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lantilla estandarizada/v3/"/>
    </mc:Choice>
  </mc:AlternateContent>
  <xr:revisionPtr revIDLastSave="0" documentId="13_ncr:1_{FC4E2474-8DF6-4680-AFB7-1A8101EC0014}" xr6:coauthVersionLast="47" xr6:coauthVersionMax="47" xr10:uidLastSave="{00000000-0000-0000-0000-000000000000}"/>
  <bookViews>
    <workbookView xWindow="-96" yWindow="0" windowWidth="11712" windowHeight="12336" tabRatio="780" firstSheet="9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9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92" sheetId="93" r:id="rId36"/>
    <sheet name="DetValiRetri202609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R1'!$A$5:$X$53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2" i="61" l="1"/>
  <c r="Q382" i="61"/>
  <c r="P382" i="61"/>
  <c r="O382" i="61"/>
  <c r="N382" i="61"/>
  <c r="M382" i="61"/>
  <c r="L382" i="61"/>
  <c r="K382" i="61"/>
  <c r="J382" i="61"/>
  <c r="I382" i="61"/>
  <c r="H382" i="61"/>
  <c r="G382" i="61"/>
  <c r="F382" i="61"/>
  <c r="E382" i="61"/>
  <c r="D383" i="61"/>
  <c r="D382" i="61"/>
  <c r="R88" i="61"/>
  <c r="Q88" i="61"/>
  <c r="P88" i="61"/>
  <c r="O88" i="61"/>
  <c r="N88" i="61"/>
  <c r="M88" i="61"/>
  <c r="L88" i="61"/>
  <c r="K88" i="61"/>
  <c r="J88" i="61"/>
  <c r="I88" i="61"/>
  <c r="H88" i="61"/>
  <c r="G88" i="61"/>
  <c r="F88" i="61"/>
  <c r="E88" i="61"/>
  <c r="D89" i="61"/>
  <c r="D88" i="61"/>
  <c r="E85" i="61"/>
  <c r="D86" i="61"/>
  <c r="D85" i="61"/>
  <c r="E79" i="61"/>
  <c r="D80" i="61"/>
  <c r="D79" i="61"/>
  <c r="E63" i="59"/>
  <c r="E57" i="59"/>
  <c r="AO106" i="55"/>
  <c r="AN106" i="55"/>
  <c r="AM106" i="55"/>
  <c r="AL106" i="55"/>
  <c r="AK106" i="55"/>
  <c r="AJ106" i="55"/>
  <c r="AI106" i="55"/>
  <c r="AH106" i="55"/>
  <c r="AG106" i="55"/>
  <c r="AF106" i="55"/>
  <c r="AE106" i="55"/>
  <c r="AD106" i="55"/>
  <c r="AC106" i="55"/>
  <c r="AB106" i="55"/>
  <c r="AA106" i="55"/>
  <c r="Z106" i="55"/>
  <c r="Y106" i="55"/>
  <c r="X106" i="55"/>
  <c r="W106" i="55"/>
  <c r="V106" i="55"/>
  <c r="U106" i="55"/>
  <c r="T106" i="55"/>
  <c r="S106" i="55"/>
  <c r="R106" i="55"/>
  <c r="Q106" i="55"/>
  <c r="P106" i="55"/>
  <c r="O106" i="55"/>
  <c r="N106" i="55"/>
  <c r="M106" i="55"/>
  <c r="L106" i="55"/>
  <c r="K106" i="55"/>
  <c r="J106" i="55"/>
  <c r="I106" i="55"/>
  <c r="H106" i="55"/>
  <c r="G106" i="55"/>
  <c r="F107" i="55"/>
  <c r="F106" i="55"/>
  <c r="F514" i="55"/>
  <c r="F496" i="55"/>
  <c r="F494" i="55"/>
  <c r="F353" i="55"/>
  <c r="F328" i="55"/>
  <c r="G323" i="55"/>
  <c r="AP119" i="55"/>
  <c r="AO119" i="55"/>
  <c r="AN119" i="55"/>
  <c r="AM119" i="55"/>
  <c r="AL119" i="55"/>
  <c r="AK119" i="55"/>
  <c r="AJ119" i="55"/>
  <c r="AI119" i="55"/>
  <c r="AH119" i="55"/>
  <c r="AG119" i="55"/>
  <c r="AF119" i="55"/>
  <c r="AE119" i="55"/>
  <c r="AD119" i="55"/>
  <c r="AC119" i="55"/>
  <c r="AB119" i="55"/>
  <c r="AA119" i="55"/>
  <c r="Z119" i="55"/>
  <c r="Y119" i="55"/>
  <c r="X119" i="55"/>
  <c r="W119" i="55"/>
  <c r="V119" i="55"/>
  <c r="U119" i="55"/>
  <c r="T119" i="55"/>
  <c r="S119" i="55"/>
  <c r="R119" i="55"/>
  <c r="Q119" i="55"/>
  <c r="P119" i="55"/>
  <c r="O119" i="55"/>
  <c r="N119" i="55"/>
  <c r="M119" i="55"/>
  <c r="L119" i="55"/>
  <c r="K119" i="55"/>
  <c r="J119" i="55"/>
  <c r="I119" i="55"/>
  <c r="H119" i="55"/>
  <c r="G119" i="55"/>
  <c r="F119" i="55"/>
  <c r="E520" i="59"/>
  <c r="E519" i="59"/>
  <c r="F516" i="59"/>
  <c r="E517" i="59"/>
  <c r="E516" i="59"/>
  <c r="F510" i="59"/>
  <c r="E510" i="59"/>
  <c r="E429" i="59"/>
  <c r="E426" i="59"/>
  <c r="E430" i="59"/>
  <c r="F426" i="59"/>
  <c r="E427" i="59"/>
  <c r="F423" i="59"/>
  <c r="E424" i="59"/>
  <c r="E423" i="59"/>
  <c r="E311" i="59"/>
  <c r="F305" i="59"/>
  <c r="E306" i="59"/>
  <c r="E305" i="59"/>
  <c r="F299" i="59"/>
  <c r="E300" i="59"/>
  <c r="E299" i="59"/>
  <c r="E190" i="59"/>
  <c r="F184" i="59"/>
  <c r="E184" i="59"/>
  <c r="F181" i="59"/>
  <c r="E182" i="59"/>
  <c r="E181" i="59"/>
  <c r="F178" i="59"/>
  <c r="E179" i="59"/>
  <c r="E178" i="59"/>
  <c r="F66" i="59"/>
  <c r="E67" i="59"/>
  <c r="E66" i="59"/>
  <c r="F63" i="59"/>
  <c r="E64" i="59"/>
  <c r="F57" i="59"/>
  <c r="E58" i="59"/>
  <c r="F833" i="55" l="1"/>
  <c r="AO831" i="55"/>
  <c r="AN831" i="55"/>
  <c r="AM831" i="55"/>
  <c r="AL831" i="55"/>
  <c r="AK831" i="55"/>
  <c r="AJ831" i="55"/>
  <c r="AI831" i="55"/>
  <c r="AH831" i="55"/>
  <c r="AG831" i="55"/>
  <c r="AF831" i="55"/>
  <c r="AE831" i="55"/>
  <c r="AD831" i="55"/>
  <c r="AC831" i="55"/>
  <c r="AB831" i="55"/>
  <c r="AA831" i="55"/>
  <c r="Z831" i="55"/>
  <c r="Y831" i="55"/>
  <c r="X831" i="55"/>
  <c r="W831" i="55"/>
  <c r="V831" i="55"/>
  <c r="U831" i="55"/>
  <c r="T831" i="55"/>
  <c r="S831" i="55"/>
  <c r="R831" i="55"/>
  <c r="Q831" i="55"/>
  <c r="P831" i="55"/>
  <c r="O831" i="55"/>
  <c r="N831" i="55"/>
  <c r="M831" i="55"/>
  <c r="L831" i="55"/>
  <c r="K831" i="55"/>
  <c r="J831" i="55"/>
  <c r="I831" i="55"/>
  <c r="H831" i="55"/>
  <c r="G831" i="55"/>
  <c r="F832" i="55"/>
  <c r="F831" i="55"/>
  <c r="G828" i="55"/>
  <c r="F829" i="55"/>
  <c r="F828" i="55"/>
  <c r="G826" i="55"/>
  <c r="F826" i="55"/>
  <c r="AO823" i="55"/>
  <c r="AN823" i="55"/>
  <c r="AM823" i="55"/>
  <c r="AL823" i="55"/>
  <c r="AK823" i="55"/>
  <c r="AJ823" i="55"/>
  <c r="AI823" i="55"/>
  <c r="AH823" i="55"/>
  <c r="AG823" i="55"/>
  <c r="AF823" i="55"/>
  <c r="AE823" i="55"/>
  <c r="AD823" i="55"/>
  <c r="AC823" i="55"/>
  <c r="AB823" i="55"/>
  <c r="AA823" i="55"/>
  <c r="Z823" i="55"/>
  <c r="Y823" i="55"/>
  <c r="X823" i="55"/>
  <c r="W823" i="55"/>
  <c r="V823" i="55"/>
  <c r="U823" i="55"/>
  <c r="T823" i="55"/>
  <c r="S823" i="55"/>
  <c r="R823" i="55"/>
  <c r="Q823" i="55"/>
  <c r="P823" i="55"/>
  <c r="O823" i="55"/>
  <c r="N823" i="55"/>
  <c r="M823" i="55"/>
  <c r="L823" i="55"/>
  <c r="K823" i="55"/>
  <c r="J823" i="55"/>
  <c r="I823" i="55"/>
  <c r="H823" i="55"/>
  <c r="G823" i="55"/>
  <c r="F824" i="55"/>
  <c r="F823" i="55"/>
  <c r="G821" i="55"/>
  <c r="F821" i="55"/>
  <c r="AO821" i="55"/>
  <c r="AN821" i="55"/>
  <c r="AM821" i="55"/>
  <c r="AL821" i="55"/>
  <c r="AK821" i="55"/>
  <c r="AJ821" i="55"/>
  <c r="AI821" i="55"/>
  <c r="AH821" i="55"/>
  <c r="AG821" i="55"/>
  <c r="AF821" i="55"/>
  <c r="AE821" i="55"/>
  <c r="AD821" i="55"/>
  <c r="AC821" i="55"/>
  <c r="AB821" i="55"/>
  <c r="AA821" i="55"/>
  <c r="Z821" i="55"/>
  <c r="Y821" i="55"/>
  <c r="X821" i="55"/>
  <c r="W821" i="55"/>
  <c r="V821" i="55"/>
  <c r="U821" i="55"/>
  <c r="T821" i="55"/>
  <c r="S821" i="55"/>
  <c r="R821" i="55"/>
  <c r="Q821" i="55"/>
  <c r="P821" i="55"/>
  <c r="O821" i="55"/>
  <c r="N821" i="55"/>
  <c r="M821" i="55"/>
  <c r="L821" i="55"/>
  <c r="K821" i="55"/>
  <c r="J821" i="55"/>
  <c r="I821" i="55"/>
  <c r="H821" i="55"/>
  <c r="F822" i="55"/>
  <c r="G813" i="55"/>
  <c r="G811" i="55"/>
  <c r="AO813" i="55"/>
  <c r="AN813" i="55"/>
  <c r="AM813" i="55"/>
  <c r="AL813" i="55"/>
  <c r="AK813" i="55"/>
  <c r="AJ813" i="55"/>
  <c r="AI813" i="55"/>
  <c r="AH813" i="55"/>
  <c r="AG813" i="55"/>
  <c r="AF813" i="55"/>
  <c r="AE813" i="55"/>
  <c r="AD813" i="55"/>
  <c r="AC813" i="55"/>
  <c r="AB813" i="55"/>
  <c r="AA813" i="55"/>
  <c r="Z813" i="55"/>
  <c r="Y813" i="55"/>
  <c r="X813" i="55"/>
  <c r="W813" i="55"/>
  <c r="V813" i="55"/>
  <c r="U813" i="55"/>
  <c r="T813" i="55"/>
  <c r="S813" i="55"/>
  <c r="R813" i="55"/>
  <c r="Q813" i="55"/>
  <c r="P813" i="55"/>
  <c r="O813" i="55"/>
  <c r="N813" i="55"/>
  <c r="M813" i="55"/>
  <c r="L813" i="55"/>
  <c r="K813" i="55"/>
  <c r="J813" i="55"/>
  <c r="I813" i="55"/>
  <c r="H813" i="55"/>
  <c r="F814" i="55"/>
  <c r="F813" i="55"/>
  <c r="F714" i="55"/>
  <c r="G712" i="55"/>
  <c r="F713" i="55"/>
  <c r="F712" i="55"/>
  <c r="G704" i="55"/>
  <c r="F705" i="55"/>
  <c r="F704" i="55"/>
  <c r="G702" i="55"/>
  <c r="F703" i="55"/>
  <c r="F702" i="55"/>
  <c r="G699" i="55"/>
  <c r="F700" i="55"/>
  <c r="F699" i="55"/>
  <c r="AO697" i="55"/>
  <c r="AN697" i="55"/>
  <c r="AM697" i="55"/>
  <c r="AL697" i="55"/>
  <c r="AK697" i="55"/>
  <c r="AJ697" i="55"/>
  <c r="AI697" i="55"/>
  <c r="AH697" i="55"/>
  <c r="AG697" i="55"/>
  <c r="AF697" i="55"/>
  <c r="AE697" i="55"/>
  <c r="AD697" i="55"/>
  <c r="AC697" i="55"/>
  <c r="AB697" i="55"/>
  <c r="AA697" i="55"/>
  <c r="Z697" i="55"/>
  <c r="Y697" i="55"/>
  <c r="X697" i="55"/>
  <c r="W697" i="55"/>
  <c r="V697" i="55"/>
  <c r="U697" i="55"/>
  <c r="T697" i="55"/>
  <c r="S697" i="55"/>
  <c r="R697" i="55"/>
  <c r="Q697" i="55"/>
  <c r="P697" i="55"/>
  <c r="O697" i="55"/>
  <c r="N697" i="55"/>
  <c r="M697" i="55"/>
  <c r="L697" i="55"/>
  <c r="K697" i="55"/>
  <c r="J697" i="55"/>
  <c r="I697" i="55"/>
  <c r="H697" i="55"/>
  <c r="G697" i="55"/>
  <c r="F698" i="55"/>
  <c r="F697" i="55"/>
  <c r="G694" i="55"/>
  <c r="F694" i="55"/>
  <c r="G692" i="55"/>
  <c r="F693" i="55"/>
  <c r="F692" i="55"/>
  <c r="G328" i="55"/>
  <c r="G325" i="55"/>
  <c r="F326" i="55"/>
  <c r="F325" i="55"/>
  <c r="F324" i="55"/>
  <c r="F323" i="55"/>
  <c r="F484" i="55"/>
  <c r="AP345" i="55"/>
  <c r="AO345" i="55"/>
  <c r="AN345" i="55"/>
  <c r="AM345" i="55"/>
  <c r="AL345" i="55"/>
  <c r="AK345" i="55"/>
  <c r="AJ345" i="55"/>
  <c r="AI345" i="55"/>
  <c r="AH345" i="55"/>
  <c r="AG345" i="55"/>
  <c r="AF345" i="55"/>
  <c r="AE345" i="55"/>
  <c r="AD345" i="55"/>
  <c r="AC345" i="55"/>
  <c r="AB345" i="55"/>
  <c r="AA345" i="55"/>
  <c r="Z345" i="55"/>
  <c r="Y345" i="55"/>
  <c r="X345" i="55"/>
  <c r="W345" i="55"/>
  <c r="V345" i="55"/>
  <c r="U345" i="55"/>
  <c r="T345" i="55"/>
  <c r="S345" i="55"/>
  <c r="R345" i="55"/>
  <c r="Q345" i="55"/>
  <c r="P345" i="55"/>
  <c r="O345" i="55"/>
  <c r="N345" i="55"/>
  <c r="M345" i="55"/>
  <c r="L345" i="55"/>
  <c r="K345" i="55"/>
  <c r="J345" i="55"/>
  <c r="I345" i="55"/>
  <c r="H345" i="55"/>
  <c r="G345" i="55"/>
  <c r="F346" i="55"/>
  <c r="F345" i="55"/>
  <c r="G343" i="55"/>
  <c r="F344" i="55"/>
  <c r="F343" i="55"/>
  <c r="AP335" i="55"/>
  <c r="AO335" i="55"/>
  <c r="AN335" i="55"/>
  <c r="AM335" i="55"/>
  <c r="AL335" i="55"/>
  <c r="AK335" i="55"/>
  <c r="AJ335" i="55"/>
  <c r="AI335" i="55"/>
  <c r="AH335" i="55"/>
  <c r="AG335" i="55"/>
  <c r="AF335" i="55"/>
  <c r="AE335" i="55"/>
  <c r="AD335" i="55"/>
  <c r="AC335" i="55"/>
  <c r="AB335" i="55"/>
  <c r="AA335" i="55"/>
  <c r="Z335" i="55"/>
  <c r="Y335" i="55"/>
  <c r="X335" i="55"/>
  <c r="W335" i="55"/>
  <c r="V335" i="55"/>
  <c r="U335" i="55"/>
  <c r="T335" i="55"/>
  <c r="S335" i="55"/>
  <c r="R335" i="55"/>
  <c r="Q335" i="55"/>
  <c r="P335" i="55"/>
  <c r="O335" i="55"/>
  <c r="N335" i="55"/>
  <c r="M335" i="55"/>
  <c r="L335" i="55"/>
  <c r="K335" i="55"/>
  <c r="J335" i="55"/>
  <c r="I335" i="55"/>
  <c r="H335" i="55"/>
  <c r="G335" i="55"/>
  <c r="F335" i="55"/>
  <c r="G333" i="55"/>
  <c r="F334" i="55"/>
  <c r="F333" i="55"/>
  <c r="AP330" i="55"/>
  <c r="AO330" i="55"/>
  <c r="AN330" i="55"/>
  <c r="AM330" i="55"/>
  <c r="AL330" i="55"/>
  <c r="AK330" i="55"/>
  <c r="AJ330" i="55"/>
  <c r="AI330" i="55"/>
  <c r="AH330" i="55"/>
  <c r="AG330" i="55"/>
  <c r="AF330" i="55"/>
  <c r="AE330" i="55"/>
  <c r="AD330" i="55"/>
  <c r="AC330" i="55"/>
  <c r="AB330" i="55"/>
  <c r="AA330" i="55"/>
  <c r="Z330" i="55"/>
  <c r="Y330" i="55"/>
  <c r="X330" i="55"/>
  <c r="W330" i="55"/>
  <c r="V330" i="55"/>
  <c r="U330" i="55"/>
  <c r="T330" i="55"/>
  <c r="S330" i="55"/>
  <c r="R330" i="55"/>
  <c r="Q330" i="55"/>
  <c r="P330" i="55"/>
  <c r="O330" i="55"/>
  <c r="N330" i="55"/>
  <c r="M330" i="55"/>
  <c r="L330" i="55"/>
  <c r="K330" i="55"/>
  <c r="J330" i="55"/>
  <c r="I330" i="55"/>
  <c r="H330" i="55"/>
  <c r="G330" i="55"/>
  <c r="F331" i="55"/>
  <c r="F330" i="55"/>
  <c r="AP328" i="55"/>
  <c r="AO328" i="55"/>
  <c r="AN328" i="55"/>
  <c r="AM328" i="55"/>
  <c r="AL328" i="55"/>
  <c r="AK328" i="55"/>
  <c r="AJ328" i="55"/>
  <c r="AI328" i="55"/>
  <c r="AH328" i="55"/>
  <c r="AG328" i="55"/>
  <c r="AF328" i="55"/>
  <c r="AE328" i="55"/>
  <c r="AD328" i="55"/>
  <c r="AC328" i="55"/>
  <c r="AB328" i="55"/>
  <c r="AA328" i="55"/>
  <c r="Z328" i="55"/>
  <c r="Y328" i="55"/>
  <c r="X328" i="55"/>
  <c r="W328" i="55"/>
  <c r="V328" i="55"/>
  <c r="U328" i="55"/>
  <c r="T328" i="55"/>
  <c r="S328" i="55"/>
  <c r="R328" i="55"/>
  <c r="Q328" i="55"/>
  <c r="P328" i="55"/>
  <c r="O328" i="55"/>
  <c r="N328" i="55"/>
  <c r="M328" i="55"/>
  <c r="L328" i="55"/>
  <c r="K328" i="55"/>
  <c r="J328" i="55"/>
  <c r="I328" i="55"/>
  <c r="H328" i="55"/>
  <c r="F329" i="55"/>
  <c r="AP325" i="55"/>
  <c r="AO325" i="55"/>
  <c r="AN325" i="55"/>
  <c r="AM325" i="55"/>
  <c r="AL325" i="55"/>
  <c r="AK325" i="55"/>
  <c r="AJ325" i="55"/>
  <c r="AI325" i="55"/>
  <c r="AH325" i="55"/>
  <c r="AG325" i="55"/>
  <c r="AF325" i="55"/>
  <c r="AE325" i="55"/>
  <c r="AD325" i="55"/>
  <c r="AC325" i="55"/>
  <c r="AB325" i="55"/>
  <c r="AA325" i="55"/>
  <c r="Z325" i="55"/>
  <c r="Y325" i="55"/>
  <c r="X325" i="55"/>
  <c r="W325" i="55"/>
  <c r="V325" i="55"/>
  <c r="U325" i="55"/>
  <c r="T325" i="55"/>
  <c r="S325" i="55"/>
  <c r="R325" i="55"/>
  <c r="Q325" i="55"/>
  <c r="P325" i="55"/>
  <c r="O325" i="55"/>
  <c r="N325" i="55"/>
  <c r="M325" i="55"/>
  <c r="L325" i="55"/>
  <c r="K325" i="55"/>
  <c r="J325" i="55"/>
  <c r="I325" i="55"/>
  <c r="H325" i="55"/>
  <c r="AP323" i="55"/>
  <c r="AO323" i="55"/>
  <c r="AN323" i="55"/>
  <c r="AM323" i="55"/>
  <c r="AL323" i="55"/>
  <c r="AK323" i="55"/>
  <c r="AJ323" i="55"/>
  <c r="AI323" i="55"/>
  <c r="AH323" i="55"/>
  <c r="AG323" i="55"/>
  <c r="AF323" i="55"/>
  <c r="AE323" i="55"/>
  <c r="AD323" i="55"/>
  <c r="AC323" i="55"/>
  <c r="AB323" i="55"/>
  <c r="AA323" i="55"/>
  <c r="Z323" i="55"/>
  <c r="Y323" i="55"/>
  <c r="X323" i="55"/>
  <c r="W323" i="55"/>
  <c r="V323" i="55"/>
  <c r="U323" i="55"/>
  <c r="T323" i="55"/>
  <c r="S323" i="55"/>
  <c r="R323" i="55"/>
  <c r="Q323" i="55"/>
  <c r="P323" i="55"/>
  <c r="O323" i="55"/>
  <c r="N323" i="55"/>
  <c r="M323" i="55"/>
  <c r="L323" i="55"/>
  <c r="K323" i="55"/>
  <c r="J323" i="55"/>
  <c r="I323" i="55"/>
  <c r="H323" i="55"/>
  <c r="G833" i="55" l="1"/>
  <c r="AO828" i="55"/>
  <c r="AN828" i="55"/>
  <c r="AM828" i="55"/>
  <c r="AL828" i="55"/>
  <c r="AK828" i="55"/>
  <c r="AJ828" i="55"/>
  <c r="AI828" i="55"/>
  <c r="AH828" i="55"/>
  <c r="AG828" i="55"/>
  <c r="AF828" i="55"/>
  <c r="AE828" i="55"/>
  <c r="AD828" i="55"/>
  <c r="AC828" i="55"/>
  <c r="AB828" i="55"/>
  <c r="AA828" i="55"/>
  <c r="Z828" i="55"/>
  <c r="Y828" i="55"/>
  <c r="X828" i="55"/>
  <c r="W828" i="55"/>
  <c r="V828" i="55"/>
  <c r="U828" i="55"/>
  <c r="T828" i="55"/>
  <c r="S828" i="55"/>
  <c r="R828" i="55"/>
  <c r="Q828" i="55"/>
  <c r="P828" i="55"/>
  <c r="O828" i="55"/>
  <c r="N828" i="55"/>
  <c r="M828" i="55"/>
  <c r="L828" i="55"/>
  <c r="K828" i="55"/>
  <c r="J828" i="55"/>
  <c r="I828" i="55"/>
  <c r="H828" i="55"/>
  <c r="F827" i="55"/>
  <c r="AO811" i="55"/>
  <c r="AN811" i="55"/>
  <c r="AM811" i="55"/>
  <c r="AL811" i="55"/>
  <c r="AK811" i="55"/>
  <c r="AJ811" i="55"/>
  <c r="AI811" i="55"/>
  <c r="AH811" i="55"/>
  <c r="AG811" i="55"/>
  <c r="AF811" i="55"/>
  <c r="AE811" i="55"/>
  <c r="AD811" i="55"/>
  <c r="AC811" i="55"/>
  <c r="AB811" i="55"/>
  <c r="AA811" i="55"/>
  <c r="Z811" i="55"/>
  <c r="Y811" i="55"/>
  <c r="X811" i="55"/>
  <c r="W811" i="55"/>
  <c r="V811" i="55"/>
  <c r="U811" i="55"/>
  <c r="T811" i="55"/>
  <c r="S811" i="55"/>
  <c r="R811" i="55"/>
  <c r="Q811" i="55"/>
  <c r="P811" i="55"/>
  <c r="O811" i="55"/>
  <c r="N811" i="55"/>
  <c r="M811" i="55"/>
  <c r="L811" i="55"/>
  <c r="K811" i="55"/>
  <c r="J811" i="55"/>
  <c r="I811" i="55"/>
  <c r="H811" i="55"/>
  <c r="F812" i="55"/>
  <c r="F811" i="55"/>
  <c r="F99" i="55"/>
  <c r="F105" i="55"/>
  <c r="AO104" i="55"/>
  <c r="AN104" i="55"/>
  <c r="AM104" i="55"/>
  <c r="AL104" i="55"/>
  <c r="AK104" i="55"/>
  <c r="AJ104" i="55"/>
  <c r="AI104" i="55"/>
  <c r="AH104" i="55"/>
  <c r="AG104" i="55"/>
  <c r="AF104" i="55"/>
  <c r="AE104" i="55"/>
  <c r="AD104" i="55"/>
  <c r="AC104" i="55"/>
  <c r="AB104" i="55"/>
  <c r="AA104" i="55"/>
  <c r="Z104" i="55"/>
  <c r="Y104" i="55"/>
  <c r="X104" i="55"/>
  <c r="W104" i="55"/>
  <c r="V104" i="55"/>
  <c r="U104" i="55"/>
  <c r="T104" i="55"/>
  <c r="S104" i="55"/>
  <c r="R104" i="55"/>
  <c r="Q104" i="55"/>
  <c r="P104" i="55"/>
  <c r="O104" i="55"/>
  <c r="N104" i="55"/>
  <c r="M104" i="55"/>
  <c r="L104" i="55"/>
  <c r="K104" i="55"/>
  <c r="J104" i="55"/>
  <c r="I104" i="55"/>
  <c r="H104" i="55"/>
  <c r="G104" i="55"/>
  <c r="F104" i="55"/>
  <c r="G89" i="55"/>
  <c r="F90" i="55"/>
  <c r="F89" i="55"/>
  <c r="AP101" i="55"/>
  <c r="AO101" i="55"/>
  <c r="AN101" i="55"/>
  <c r="AM101" i="55"/>
  <c r="AL101" i="55"/>
  <c r="AK101" i="55"/>
  <c r="AJ101" i="55"/>
  <c r="AI101" i="55"/>
  <c r="AH101" i="55"/>
  <c r="AG101" i="55"/>
  <c r="AF101" i="55"/>
  <c r="AE101" i="55"/>
  <c r="AD101" i="55"/>
  <c r="AC101" i="55"/>
  <c r="AB101" i="55"/>
  <c r="AA101" i="55"/>
  <c r="Z101" i="55"/>
  <c r="Y101" i="55"/>
  <c r="X101" i="55"/>
  <c r="W101" i="55"/>
  <c r="V101" i="55"/>
  <c r="U101" i="55"/>
  <c r="T101" i="55"/>
  <c r="S101" i="55"/>
  <c r="R101" i="55"/>
  <c r="Q101" i="55"/>
  <c r="P101" i="55"/>
  <c r="O101" i="55"/>
  <c r="N101" i="55"/>
  <c r="M101" i="55"/>
  <c r="L101" i="55"/>
  <c r="K101" i="55"/>
  <c r="J101" i="55"/>
  <c r="I101" i="55"/>
  <c r="H101" i="55"/>
  <c r="AP99" i="55"/>
  <c r="AO99" i="55"/>
  <c r="AN99" i="55"/>
  <c r="AM99" i="55"/>
  <c r="AL99" i="55"/>
  <c r="AK99" i="55"/>
  <c r="AJ99" i="55"/>
  <c r="AI99" i="55"/>
  <c r="AH99" i="55"/>
  <c r="AG99" i="55"/>
  <c r="AF99" i="55"/>
  <c r="AE99" i="55"/>
  <c r="AD99" i="55"/>
  <c r="AC99" i="55"/>
  <c r="AB99" i="55"/>
  <c r="AA99" i="55"/>
  <c r="Z99" i="55"/>
  <c r="Y99" i="55"/>
  <c r="X99" i="55"/>
  <c r="W99" i="55"/>
  <c r="V99" i="55"/>
  <c r="U99" i="55"/>
  <c r="T99" i="55"/>
  <c r="S99" i="55"/>
  <c r="R99" i="55"/>
  <c r="Q99" i="55"/>
  <c r="P99" i="55"/>
  <c r="O99" i="55"/>
  <c r="N99" i="55"/>
  <c r="M99" i="55"/>
  <c r="L99" i="55"/>
  <c r="K99" i="55"/>
  <c r="J99" i="55"/>
  <c r="I99" i="55"/>
  <c r="H99" i="55"/>
  <c r="G101" i="55"/>
  <c r="AO833" i="55"/>
  <c r="AN833" i="55"/>
  <c r="AM833" i="55"/>
  <c r="AL833" i="55"/>
  <c r="AK833" i="55"/>
  <c r="AJ833" i="55"/>
  <c r="AI833" i="55"/>
  <c r="AH833" i="55"/>
  <c r="AG833" i="55"/>
  <c r="AF833" i="55"/>
  <c r="AE833" i="55"/>
  <c r="AD833" i="55"/>
  <c r="AC833" i="55"/>
  <c r="AB833" i="55"/>
  <c r="AA833" i="55"/>
  <c r="Z833" i="55"/>
  <c r="Y833" i="55"/>
  <c r="X833" i="55"/>
  <c r="W833" i="55"/>
  <c r="V833" i="55"/>
  <c r="U833" i="55"/>
  <c r="T833" i="55"/>
  <c r="S833" i="55"/>
  <c r="R833" i="55"/>
  <c r="Q833" i="55"/>
  <c r="P833" i="55"/>
  <c r="O833" i="55"/>
  <c r="N833" i="55"/>
  <c r="M833" i="55"/>
  <c r="L833" i="55"/>
  <c r="K833" i="55"/>
  <c r="J833" i="55"/>
  <c r="I833" i="55"/>
  <c r="H833" i="55"/>
  <c r="F834" i="55"/>
  <c r="E10" i="92"/>
  <c r="E7" i="92"/>
  <c r="F10" i="92" s="1"/>
  <c r="L14" i="22"/>
  <c r="L10" i="22"/>
  <c r="L11" i="22"/>
  <c r="L12" i="22"/>
  <c r="L13" i="22"/>
  <c r="L9" i="22"/>
  <c r="D10" i="68"/>
  <c r="C11" i="68"/>
  <c r="C10" i="68"/>
  <c r="R385" i="61"/>
  <c r="Q385" i="61"/>
  <c r="P385" i="61"/>
  <c r="O385" i="61"/>
  <c r="N385" i="61"/>
  <c r="M385" i="61"/>
  <c r="L385" i="61"/>
  <c r="K385" i="61"/>
  <c r="J385" i="61"/>
  <c r="I385" i="61"/>
  <c r="H385" i="61"/>
  <c r="G385" i="61"/>
  <c r="F385" i="61"/>
  <c r="E385" i="61"/>
  <c r="D386" i="61"/>
  <c r="D385" i="61"/>
  <c r="E379" i="61"/>
  <c r="D380" i="61"/>
  <c r="D379" i="61"/>
  <c r="R373" i="61"/>
  <c r="Q373" i="61"/>
  <c r="P373" i="61"/>
  <c r="O373" i="61"/>
  <c r="N373" i="61"/>
  <c r="M373" i="61"/>
  <c r="L373" i="61"/>
  <c r="K373" i="61"/>
  <c r="J373" i="61"/>
  <c r="I373" i="61"/>
  <c r="H373" i="61"/>
  <c r="G373" i="61"/>
  <c r="F373" i="61"/>
  <c r="E373" i="61"/>
  <c r="D374" i="61"/>
  <c r="D373" i="61"/>
  <c r="R229" i="61"/>
  <c r="Q229" i="61"/>
  <c r="P229" i="61"/>
  <c r="O229" i="61"/>
  <c r="N229" i="61"/>
  <c r="M229" i="61"/>
  <c r="L229" i="61"/>
  <c r="K229" i="61"/>
  <c r="J229" i="61"/>
  <c r="I229" i="61"/>
  <c r="H229" i="61"/>
  <c r="G229" i="61"/>
  <c r="F229" i="61"/>
  <c r="E229" i="61"/>
  <c r="D230" i="61"/>
  <c r="D229" i="61"/>
  <c r="D224" i="61"/>
  <c r="E223" i="61"/>
  <c r="D223" i="61"/>
  <c r="R217" i="61"/>
  <c r="Q217" i="61"/>
  <c r="P217" i="61"/>
  <c r="O217" i="61"/>
  <c r="N217" i="61"/>
  <c r="M217" i="61"/>
  <c r="L217" i="61"/>
  <c r="K217" i="61"/>
  <c r="J217" i="61"/>
  <c r="I217" i="61"/>
  <c r="H217" i="61"/>
  <c r="G217" i="61"/>
  <c r="F217" i="61"/>
  <c r="E217" i="61"/>
  <c r="D218" i="61"/>
  <c r="D217" i="61"/>
  <c r="E186" i="61"/>
  <c r="D187" i="61"/>
  <c r="D186" i="61"/>
  <c r="E183" i="61"/>
  <c r="D184" i="61"/>
  <c r="D183" i="61"/>
  <c r="D181" i="61"/>
  <c r="E180" i="61"/>
  <c r="D180" i="61"/>
  <c r="E91" i="61"/>
  <c r="D92" i="61"/>
  <c r="D91" i="61"/>
  <c r="R516" i="59"/>
  <c r="Q516" i="59"/>
  <c r="P516" i="59"/>
  <c r="O516" i="59"/>
  <c r="N516" i="59"/>
  <c r="M516" i="59"/>
  <c r="L516" i="59"/>
  <c r="K516" i="59"/>
  <c r="J516" i="59"/>
  <c r="I516" i="59"/>
  <c r="H516" i="59"/>
  <c r="G516" i="59"/>
  <c r="R181" i="59"/>
  <c r="Q181" i="59"/>
  <c r="P181" i="59"/>
  <c r="O181" i="59"/>
  <c r="N181" i="59"/>
  <c r="M181" i="59"/>
  <c r="L181" i="59"/>
  <c r="K181" i="59"/>
  <c r="J181" i="59"/>
  <c r="I181" i="59"/>
  <c r="H181" i="59"/>
  <c r="G181" i="59"/>
  <c r="S63" i="59"/>
  <c r="R63" i="59"/>
  <c r="Q63" i="59"/>
  <c r="P63" i="59"/>
  <c r="O63" i="59"/>
  <c r="N63" i="59"/>
  <c r="M63" i="59"/>
  <c r="L63" i="59"/>
  <c r="K63" i="59"/>
  <c r="J63" i="59"/>
  <c r="I63" i="59"/>
  <c r="H63" i="59"/>
  <c r="G63" i="59"/>
  <c r="Z722" i="55"/>
  <c r="Y722" i="55"/>
  <c r="X722" i="55"/>
  <c r="W722" i="55"/>
  <c r="V722" i="55"/>
  <c r="U722" i="55"/>
  <c r="T722" i="55"/>
  <c r="S722" i="55"/>
  <c r="R722" i="55"/>
  <c r="Q722" i="55"/>
  <c r="P722" i="55"/>
  <c r="O722" i="55"/>
  <c r="N722" i="55"/>
  <c r="M722" i="55"/>
  <c r="L722" i="55"/>
  <c r="K722" i="55"/>
  <c r="J722" i="55"/>
  <c r="I722" i="55"/>
  <c r="H722" i="55"/>
  <c r="G722" i="55"/>
  <c r="F722" i="55"/>
  <c r="F695" i="55"/>
  <c r="AO692" i="55"/>
  <c r="AN692" i="55"/>
  <c r="AM692" i="55"/>
  <c r="AL692" i="55"/>
  <c r="AK692" i="55"/>
  <c r="AJ692" i="55"/>
  <c r="AI692" i="55"/>
  <c r="AH692" i="55"/>
  <c r="AG692" i="55"/>
  <c r="AF692" i="55"/>
  <c r="AE692" i="55"/>
  <c r="AD692" i="55"/>
  <c r="AC692" i="55"/>
  <c r="AB692" i="55"/>
  <c r="AA692" i="55"/>
  <c r="Z692" i="55"/>
  <c r="Y692" i="55"/>
  <c r="X692" i="55"/>
  <c r="W692" i="55"/>
  <c r="V692" i="55"/>
  <c r="U692" i="55"/>
  <c r="T692" i="55"/>
  <c r="S692" i="55"/>
  <c r="R692" i="55"/>
  <c r="Q692" i="55"/>
  <c r="P692" i="55"/>
  <c r="O692" i="55"/>
  <c r="N692" i="55"/>
  <c r="M692" i="55"/>
  <c r="L692" i="55"/>
  <c r="K692" i="55"/>
  <c r="J692" i="55"/>
  <c r="I692" i="55"/>
  <c r="H692" i="55"/>
  <c r="AO506" i="55"/>
  <c r="AN506" i="55"/>
  <c r="AM506" i="55"/>
  <c r="AL506" i="55"/>
  <c r="AK506" i="55"/>
  <c r="AJ506" i="55"/>
  <c r="AI506" i="55"/>
  <c r="AH506" i="55"/>
  <c r="AG506" i="55"/>
  <c r="AF506" i="55"/>
  <c r="AE506" i="55"/>
  <c r="AD506" i="55"/>
  <c r="AC506" i="55"/>
  <c r="AB506" i="55"/>
  <c r="AA506" i="55"/>
  <c r="Z506" i="55"/>
  <c r="Y506" i="55"/>
  <c r="X506" i="55"/>
  <c r="W506" i="55"/>
  <c r="V506" i="55"/>
  <c r="U506" i="55"/>
  <c r="T506" i="55"/>
  <c r="S506" i="55"/>
  <c r="R506" i="55"/>
  <c r="Q506" i="55"/>
  <c r="P506" i="55"/>
  <c r="O506" i="55"/>
  <c r="N506" i="55"/>
  <c r="M506" i="55"/>
  <c r="L506" i="55"/>
  <c r="K506" i="55"/>
  <c r="J506" i="55"/>
  <c r="I506" i="55"/>
  <c r="H506" i="55"/>
  <c r="G506" i="55"/>
  <c r="F507" i="55"/>
  <c r="F506" i="55"/>
  <c r="F504" i="55"/>
  <c r="AO496" i="55"/>
  <c r="AN496" i="55"/>
  <c r="AM496" i="55"/>
  <c r="AL496" i="55"/>
  <c r="AK496" i="55"/>
  <c r="AJ496" i="55"/>
  <c r="AI496" i="55"/>
  <c r="AH496" i="55"/>
  <c r="AG496" i="55"/>
  <c r="AF496" i="55"/>
  <c r="AE496" i="55"/>
  <c r="AD496" i="55"/>
  <c r="AC496" i="55"/>
  <c r="AB496" i="55"/>
  <c r="AA496" i="55"/>
  <c r="Z496" i="55"/>
  <c r="Y496" i="55"/>
  <c r="X496" i="55"/>
  <c r="W496" i="55"/>
  <c r="V496" i="55"/>
  <c r="U496" i="55"/>
  <c r="T496" i="55"/>
  <c r="S496" i="55"/>
  <c r="R496" i="55"/>
  <c r="Q496" i="55"/>
  <c r="P496" i="55"/>
  <c r="O496" i="55"/>
  <c r="N496" i="55"/>
  <c r="M496" i="55"/>
  <c r="L496" i="55"/>
  <c r="K496" i="55"/>
  <c r="J496" i="55"/>
  <c r="I496" i="55"/>
  <c r="H496" i="55"/>
  <c r="G496" i="55"/>
  <c r="F497" i="55"/>
  <c r="G494" i="55"/>
  <c r="F495" i="55"/>
  <c r="G486" i="55"/>
  <c r="F486" i="55"/>
  <c r="G484" i="55"/>
  <c r="F485" i="55"/>
  <c r="F101" i="55"/>
  <c r="G91" i="55"/>
  <c r="F91" i="55"/>
  <c r="AP111" i="55"/>
  <c r="AO111" i="55"/>
  <c r="AN111" i="55"/>
  <c r="AM111" i="55"/>
  <c r="AL111" i="55"/>
  <c r="AK111" i="55"/>
  <c r="AJ111" i="55"/>
  <c r="AI111" i="55"/>
  <c r="AH111" i="55"/>
  <c r="AG111" i="55"/>
  <c r="AF111" i="55"/>
  <c r="AE111" i="55"/>
  <c r="AD111" i="55"/>
  <c r="AC111" i="55"/>
  <c r="AB111" i="55"/>
  <c r="AA111" i="55"/>
  <c r="Z111" i="55"/>
  <c r="Y111" i="55"/>
  <c r="X111" i="55"/>
  <c r="W111" i="55"/>
  <c r="V111" i="55"/>
  <c r="U111" i="55"/>
  <c r="T111" i="55"/>
  <c r="S111" i="55"/>
  <c r="R111" i="55"/>
  <c r="Q111" i="55"/>
  <c r="P111" i="55"/>
  <c r="O111" i="55"/>
  <c r="N111" i="55"/>
  <c r="M111" i="55"/>
  <c r="L111" i="55"/>
  <c r="K111" i="55"/>
  <c r="J111" i="55"/>
  <c r="I111" i="55"/>
  <c r="H111" i="55"/>
  <c r="G111" i="55"/>
  <c r="F112" i="55"/>
  <c r="F111" i="55"/>
  <c r="G109" i="55"/>
  <c r="F110" i="55"/>
  <c r="F109" i="55"/>
  <c r="F102" i="55"/>
  <c r="G99" i="55"/>
  <c r="F100" i="55"/>
  <c r="AP91" i="55"/>
  <c r="AO91" i="55"/>
  <c r="AN91" i="55"/>
  <c r="AM91" i="55"/>
  <c r="AL91" i="55"/>
  <c r="AK91" i="55"/>
  <c r="AJ91" i="55"/>
  <c r="AI91" i="55"/>
  <c r="AH91" i="55"/>
  <c r="AG91" i="55"/>
  <c r="AF91" i="55"/>
  <c r="AE91" i="55"/>
  <c r="AD91" i="55"/>
  <c r="AC91" i="55"/>
  <c r="AB91" i="55"/>
  <c r="AA91" i="55"/>
  <c r="Z91" i="55"/>
  <c r="Y91" i="55"/>
  <c r="X91" i="55"/>
  <c r="W91" i="55"/>
  <c r="V91" i="55"/>
  <c r="U91" i="55"/>
  <c r="T91" i="55"/>
  <c r="S91" i="55"/>
  <c r="R91" i="55"/>
  <c r="Q91" i="55"/>
  <c r="P91" i="55"/>
  <c r="O91" i="55"/>
  <c r="N91" i="55"/>
  <c r="M91" i="55"/>
  <c r="L91" i="55"/>
  <c r="K91" i="55"/>
  <c r="J91" i="55"/>
  <c r="I91" i="55"/>
  <c r="H91" i="55"/>
  <c r="F92" i="55"/>
  <c r="AP89" i="55"/>
  <c r="AO89" i="55"/>
  <c r="AN89" i="55"/>
  <c r="AM89" i="55"/>
  <c r="AL89" i="55"/>
  <c r="AK89" i="55"/>
  <c r="AJ89" i="55"/>
  <c r="AI89" i="55"/>
  <c r="AH89" i="55"/>
  <c r="AG89" i="55"/>
  <c r="AF89" i="55"/>
  <c r="AE89" i="55"/>
  <c r="AD89" i="55"/>
  <c r="AC89" i="55"/>
  <c r="AB89" i="55"/>
  <c r="AA89" i="55"/>
  <c r="Z89" i="55"/>
  <c r="Y89" i="55"/>
  <c r="X89" i="55"/>
  <c r="W89" i="55"/>
  <c r="V89" i="55"/>
  <c r="U89" i="55"/>
  <c r="T89" i="55"/>
  <c r="S89" i="55"/>
  <c r="R89" i="55"/>
  <c r="Q89" i="55"/>
  <c r="P89" i="55"/>
  <c r="O89" i="55"/>
  <c r="N89" i="55"/>
  <c r="M89" i="55"/>
  <c r="L89" i="55"/>
  <c r="K89" i="55"/>
  <c r="J89" i="55"/>
  <c r="I89" i="55"/>
  <c r="H89" i="55"/>
  <c r="C37" i="68"/>
  <c r="D36" i="68"/>
  <c r="C36" i="68"/>
  <c r="D345" i="61"/>
  <c r="E344" i="61"/>
  <c r="D344" i="61"/>
  <c r="E338" i="61"/>
  <c r="D339" i="61"/>
  <c r="D338" i="61"/>
  <c r="E335" i="61"/>
  <c r="D336" i="61"/>
  <c r="D335" i="61"/>
  <c r="E332" i="61"/>
  <c r="D333" i="61"/>
  <c r="D332" i="61"/>
  <c r="E192" i="61"/>
  <c r="D193" i="61"/>
  <c r="D192" i="61"/>
  <c r="R183" i="61"/>
  <c r="Q183" i="61"/>
  <c r="P183" i="61"/>
  <c r="O183" i="61"/>
  <c r="N183" i="61"/>
  <c r="M183" i="61"/>
  <c r="L183" i="61"/>
  <c r="K183" i="61"/>
  <c r="J183" i="61"/>
  <c r="I183" i="61"/>
  <c r="H183" i="61"/>
  <c r="G183" i="61"/>
  <c r="F183" i="61"/>
  <c r="R180" i="6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R91" i="61"/>
  <c r="Q91" i="61"/>
  <c r="P91" i="61"/>
  <c r="O91" i="61"/>
  <c r="N91" i="61"/>
  <c r="M91" i="61"/>
  <c r="L91" i="61"/>
  <c r="K91" i="61"/>
  <c r="J91" i="61"/>
  <c r="I91" i="61"/>
  <c r="H91" i="61"/>
  <c r="G91" i="61"/>
  <c r="F91" i="61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E435" i="59"/>
  <c r="G504" i="55"/>
  <c r="AO486" i="55"/>
  <c r="AN486" i="55"/>
  <c r="AM486" i="55"/>
  <c r="AL486" i="55"/>
  <c r="AK486" i="55"/>
  <c r="AJ486" i="55"/>
  <c r="AI486" i="55"/>
  <c r="AH486" i="55"/>
  <c r="AG486" i="55"/>
  <c r="AF486" i="55"/>
  <c r="AE486" i="55"/>
  <c r="AD486" i="55"/>
  <c r="AC486" i="55"/>
  <c r="AB486" i="55"/>
  <c r="AA486" i="55"/>
  <c r="Z486" i="55"/>
  <c r="Y486" i="55"/>
  <c r="X486" i="55"/>
  <c r="W486" i="55"/>
  <c r="V486" i="55"/>
  <c r="U486" i="55"/>
  <c r="T486" i="55"/>
  <c r="S486" i="55"/>
  <c r="R486" i="55"/>
  <c r="Q486" i="55"/>
  <c r="P486" i="55"/>
  <c r="O486" i="55"/>
  <c r="N486" i="55"/>
  <c r="M486" i="55"/>
  <c r="L486" i="55"/>
  <c r="K486" i="55"/>
  <c r="J486" i="55"/>
  <c r="I486" i="55"/>
  <c r="H486" i="55"/>
  <c r="F487" i="55"/>
  <c r="F336" i="55"/>
  <c r="H17" i="62"/>
  <c r="R31" i="95"/>
  <c r="R30" i="95"/>
  <c r="R29" i="95"/>
  <c r="R28" i="95"/>
  <c r="R27" i="95"/>
  <c r="R26" i="95"/>
  <c r="O49" i="68"/>
  <c r="O62" i="68"/>
  <c r="P510" i="59"/>
  <c r="Z714" i="55"/>
  <c r="Y714" i="55"/>
  <c r="X714" i="55"/>
  <c r="W714" i="55"/>
  <c r="V714" i="55"/>
  <c r="U714" i="55"/>
  <c r="T714" i="55"/>
  <c r="S714" i="55"/>
  <c r="R714" i="55"/>
  <c r="Q714" i="55"/>
  <c r="P714" i="55"/>
  <c r="O714" i="55"/>
  <c r="N714" i="55"/>
  <c r="M714" i="55"/>
  <c r="L714" i="55"/>
  <c r="K714" i="55"/>
  <c r="J714" i="55"/>
  <c r="I714" i="55"/>
  <c r="H714" i="55"/>
  <c r="G714" i="55"/>
  <c r="F715" i="55"/>
  <c r="AO712" i="55"/>
  <c r="AN712" i="55"/>
  <c r="AM712" i="55"/>
  <c r="AL712" i="55"/>
  <c r="AK712" i="55"/>
  <c r="AJ712" i="55"/>
  <c r="AI712" i="55"/>
  <c r="AH712" i="55"/>
  <c r="AG712" i="55"/>
  <c r="AF712" i="55"/>
  <c r="AE712" i="55"/>
  <c r="AD712" i="55"/>
  <c r="AC712" i="55"/>
  <c r="AB712" i="55"/>
  <c r="AA712" i="55"/>
  <c r="Z712" i="55"/>
  <c r="Y712" i="55"/>
  <c r="X712" i="55"/>
  <c r="W712" i="55"/>
  <c r="V712" i="55"/>
  <c r="U712" i="55"/>
  <c r="T712" i="55"/>
  <c r="S712" i="55"/>
  <c r="R712" i="55"/>
  <c r="Q712" i="55"/>
  <c r="P712" i="55"/>
  <c r="O712" i="55"/>
  <c r="N712" i="55"/>
  <c r="M712" i="55"/>
  <c r="L712" i="55"/>
  <c r="K712" i="55"/>
  <c r="J712" i="55"/>
  <c r="I712" i="55"/>
  <c r="H712" i="55"/>
  <c r="Z704" i="55"/>
  <c r="Y704" i="55"/>
  <c r="X704" i="55"/>
  <c r="W704" i="55"/>
  <c r="V704" i="55"/>
  <c r="U704" i="55"/>
  <c r="T704" i="55"/>
  <c r="S704" i="55"/>
  <c r="R704" i="55"/>
  <c r="Q704" i="55"/>
  <c r="P704" i="55"/>
  <c r="O704" i="55"/>
  <c r="N704" i="55"/>
  <c r="M704" i="55"/>
  <c r="L704" i="55"/>
  <c r="K704" i="55"/>
  <c r="J704" i="55"/>
  <c r="I704" i="55"/>
  <c r="H704" i="55"/>
  <c r="Z699" i="55"/>
  <c r="Y699" i="55"/>
  <c r="X699" i="55"/>
  <c r="W699" i="55"/>
  <c r="V699" i="55"/>
  <c r="U699" i="55"/>
  <c r="T699" i="55"/>
  <c r="S699" i="55"/>
  <c r="R699" i="55"/>
  <c r="Q699" i="55"/>
  <c r="P699" i="55"/>
  <c r="O699" i="55"/>
  <c r="N699" i="55"/>
  <c r="M699" i="55"/>
  <c r="L699" i="55"/>
  <c r="K699" i="55"/>
  <c r="J699" i="55"/>
  <c r="I699" i="55"/>
  <c r="H699" i="55"/>
  <c r="AA694" i="55"/>
  <c r="Z694" i="55"/>
  <c r="Y694" i="55"/>
  <c r="X694" i="55"/>
  <c r="W694" i="55"/>
  <c r="V694" i="55"/>
  <c r="U694" i="55"/>
  <c r="T694" i="55"/>
  <c r="S694" i="55"/>
  <c r="R694" i="55"/>
  <c r="Q694" i="55"/>
  <c r="P694" i="55"/>
  <c r="O694" i="55"/>
  <c r="N694" i="55"/>
  <c r="M694" i="55"/>
  <c r="L694" i="55"/>
  <c r="K694" i="55"/>
  <c r="J694" i="55"/>
  <c r="I694" i="55"/>
  <c r="H694" i="55"/>
  <c r="R435" i="59"/>
  <c r="Q435" i="59"/>
  <c r="P435" i="59"/>
  <c r="O435" i="59"/>
  <c r="N435" i="59"/>
  <c r="M435" i="59"/>
  <c r="L435" i="59"/>
  <c r="K435" i="59"/>
  <c r="J435" i="59"/>
  <c r="I435" i="59"/>
  <c r="H435" i="59"/>
  <c r="G435" i="59"/>
  <c r="F435" i="59"/>
  <c r="E436" i="59"/>
  <c r="R429" i="59"/>
  <c r="Q429" i="59"/>
  <c r="P429" i="59"/>
  <c r="O429" i="59"/>
  <c r="N429" i="59"/>
  <c r="M429" i="59"/>
  <c r="L429" i="59"/>
  <c r="K429" i="59"/>
  <c r="J429" i="59"/>
  <c r="I429" i="59"/>
  <c r="H429" i="59"/>
  <c r="G429" i="59"/>
  <c r="F429" i="59"/>
  <c r="R426" i="59"/>
  <c r="Q426" i="59"/>
  <c r="P426" i="59"/>
  <c r="O426" i="59"/>
  <c r="N426" i="59"/>
  <c r="M426" i="59"/>
  <c r="L426" i="59"/>
  <c r="K426" i="59"/>
  <c r="J426" i="59"/>
  <c r="I426" i="59"/>
  <c r="H426" i="59"/>
  <c r="G426" i="59"/>
  <c r="R344" i="61"/>
  <c r="Q344" i="61"/>
  <c r="P344" i="61"/>
  <c r="O344" i="61"/>
  <c r="N344" i="61"/>
  <c r="M344" i="61"/>
  <c r="L344" i="61"/>
  <c r="K344" i="61"/>
  <c r="J344" i="61"/>
  <c r="I344" i="61"/>
  <c r="H344" i="61"/>
  <c r="G344" i="61"/>
  <c r="F344" i="61"/>
  <c r="R338" i="61"/>
  <c r="Q338" i="61"/>
  <c r="P338" i="61"/>
  <c r="O338" i="61"/>
  <c r="N338" i="61"/>
  <c r="M338" i="61"/>
  <c r="L338" i="61"/>
  <c r="K338" i="61"/>
  <c r="J338" i="61"/>
  <c r="I338" i="61"/>
  <c r="H338" i="61"/>
  <c r="G338" i="61"/>
  <c r="F338" i="61"/>
  <c r="P49" i="68"/>
  <c r="N49" i="68"/>
  <c r="M49" i="68"/>
  <c r="L49" i="68"/>
  <c r="K49" i="68"/>
  <c r="J49" i="68"/>
  <c r="I49" i="68"/>
  <c r="H49" i="68"/>
  <c r="G49" i="68"/>
  <c r="F49" i="68"/>
  <c r="E49" i="68"/>
  <c r="D49" i="68"/>
  <c r="C50" i="68"/>
  <c r="C49" i="68"/>
  <c r="F841" i="55"/>
  <c r="AA841" i="55"/>
  <c r="Z841" i="55"/>
  <c r="Y841" i="55"/>
  <c r="X841" i="55"/>
  <c r="W841" i="55"/>
  <c r="V841" i="55"/>
  <c r="U841" i="55"/>
  <c r="T841" i="55"/>
  <c r="S841" i="55"/>
  <c r="R841" i="55"/>
  <c r="Q841" i="55"/>
  <c r="P841" i="55"/>
  <c r="O841" i="55"/>
  <c r="N841" i="55"/>
  <c r="M841" i="55"/>
  <c r="L841" i="55"/>
  <c r="K841" i="55"/>
  <c r="J841" i="55"/>
  <c r="I841" i="55"/>
  <c r="H841" i="55"/>
  <c r="G841" i="55"/>
  <c r="AO494" i="55"/>
  <c r="AN494" i="55"/>
  <c r="AM494" i="55"/>
  <c r="AL494" i="55"/>
  <c r="AK494" i="55"/>
  <c r="AJ494" i="55"/>
  <c r="AI494" i="55"/>
  <c r="AH494" i="55"/>
  <c r="AG494" i="55"/>
  <c r="AF494" i="55"/>
  <c r="AE494" i="55"/>
  <c r="AD494" i="55"/>
  <c r="AC494" i="55"/>
  <c r="AB494" i="55"/>
  <c r="AA494" i="55"/>
  <c r="Z494" i="55"/>
  <c r="Y494" i="55"/>
  <c r="X494" i="55"/>
  <c r="W494" i="55"/>
  <c r="V494" i="55"/>
  <c r="U494" i="55"/>
  <c r="T494" i="55"/>
  <c r="S494" i="55"/>
  <c r="R494" i="55"/>
  <c r="Q494" i="55"/>
  <c r="P494" i="55"/>
  <c r="O494" i="55"/>
  <c r="N494" i="55"/>
  <c r="M494" i="55"/>
  <c r="L494" i="55"/>
  <c r="K494" i="55"/>
  <c r="J494" i="55"/>
  <c r="I494" i="55"/>
  <c r="H494" i="55"/>
  <c r="U514" i="55"/>
  <c r="V514" i="55"/>
  <c r="W514" i="55"/>
  <c r="X514" i="55"/>
  <c r="Y514" i="55"/>
  <c r="Z514" i="55"/>
  <c r="D23" i="68"/>
  <c r="C24" i="68"/>
  <c r="C23" i="68"/>
  <c r="E69" i="59"/>
  <c r="AC50" i="79" l="1"/>
  <c r="F3" i="64"/>
  <c r="R335" i="61"/>
  <c r="Q335" i="61"/>
  <c r="P335" i="61"/>
  <c r="O335" i="61"/>
  <c r="N335" i="61"/>
  <c r="M335" i="61"/>
  <c r="L335" i="61"/>
  <c r="K335" i="61"/>
  <c r="J335" i="61"/>
  <c r="I335" i="61"/>
  <c r="H335" i="61"/>
  <c r="G335" i="61"/>
  <c r="F335" i="61"/>
  <c r="R332" i="61"/>
  <c r="Q332" i="61"/>
  <c r="P332" i="61"/>
  <c r="O332" i="61"/>
  <c r="N332" i="61"/>
  <c r="M332" i="61"/>
  <c r="L332" i="61"/>
  <c r="K332" i="61"/>
  <c r="J332" i="61"/>
  <c r="I332" i="61"/>
  <c r="H332" i="61"/>
  <c r="G332" i="61"/>
  <c r="F332" i="61"/>
  <c r="E511" i="59" l="1"/>
  <c r="F311" i="59"/>
  <c r="E312" i="59"/>
  <c r="F190" i="59"/>
  <c r="E191" i="59"/>
  <c r="E185" i="59"/>
  <c r="E70" i="59"/>
  <c r="F69" i="59"/>
  <c r="AP109" i="55"/>
  <c r="AO109" i="55"/>
  <c r="AN109" i="55"/>
  <c r="AM109" i="55"/>
  <c r="AL109" i="55"/>
  <c r="AK109" i="55"/>
  <c r="AJ109" i="55"/>
  <c r="AI109" i="55"/>
  <c r="AH109" i="55"/>
  <c r="AG109" i="55"/>
  <c r="AF109" i="55"/>
  <c r="AE109" i="55"/>
  <c r="AD109" i="55"/>
  <c r="AC109" i="55"/>
  <c r="AB109" i="55"/>
  <c r="AA109" i="55"/>
  <c r="Z109" i="55"/>
  <c r="Y109" i="55"/>
  <c r="X109" i="55"/>
  <c r="W109" i="55"/>
  <c r="V109" i="55"/>
  <c r="U109" i="55"/>
  <c r="T109" i="55"/>
  <c r="S109" i="55"/>
  <c r="R109" i="55"/>
  <c r="Q109" i="55"/>
  <c r="P109" i="55"/>
  <c r="O109" i="55"/>
  <c r="N109" i="55"/>
  <c r="M109" i="55"/>
  <c r="L109" i="55"/>
  <c r="K109" i="55"/>
  <c r="J109" i="55"/>
  <c r="I109" i="55"/>
  <c r="H109" i="55"/>
  <c r="F3" i="70"/>
  <c r="D31" i="66"/>
  <c r="D33" i="71" l="1"/>
  <c r="R192" i="61" l="1"/>
  <c r="Q192" i="61"/>
  <c r="P192" i="61"/>
  <c r="O192" i="61"/>
  <c r="N192" i="61"/>
  <c r="M192" i="61"/>
  <c r="L192" i="61"/>
  <c r="K192" i="61"/>
  <c r="J192" i="61"/>
  <c r="I192" i="61"/>
  <c r="H192" i="61"/>
  <c r="G192" i="61"/>
  <c r="F192" i="61"/>
  <c r="C67" i="62"/>
  <c r="AC50" i="22" l="1"/>
  <c r="L13" i="79"/>
  <c r="L10" i="79"/>
  <c r="L11" i="79"/>
  <c r="L12" i="79"/>
  <c r="O36" i="68"/>
  <c r="O23" i="68"/>
  <c r="O10" i="68"/>
  <c r="L826" i="55"/>
  <c r="E130" i="85" l="1"/>
  <c r="C8" i="87"/>
  <c r="C8" i="98"/>
  <c r="C8" i="77"/>
  <c r="AE29" i="97"/>
  <c r="AD29" i="97" s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K29" i="97" l="1"/>
  <c r="C14" i="83"/>
  <c r="E146" i="97"/>
  <c r="C7" i="98"/>
  <c r="C14" i="98"/>
  <c r="C14" i="77"/>
  <c r="C14" i="36"/>
  <c r="R186" i="61" l="1"/>
  <c r="Q186" i="61"/>
  <c r="P186" i="61"/>
  <c r="O186" i="61"/>
  <c r="N186" i="61"/>
  <c r="M186" i="61"/>
  <c r="L186" i="61"/>
  <c r="K186" i="61"/>
  <c r="J186" i="61"/>
  <c r="I186" i="61"/>
  <c r="H186" i="61"/>
  <c r="G186" i="61"/>
  <c r="F186" i="61"/>
  <c r="R519" i="59"/>
  <c r="Q519" i="59"/>
  <c r="P519" i="59"/>
  <c r="O519" i="59"/>
  <c r="N519" i="59"/>
  <c r="M519" i="59"/>
  <c r="L519" i="59"/>
  <c r="K519" i="59"/>
  <c r="J519" i="59"/>
  <c r="I519" i="59"/>
  <c r="H519" i="59"/>
  <c r="G519" i="59"/>
  <c r="F519" i="59"/>
  <c r="R184" i="59"/>
  <c r="Q184" i="59"/>
  <c r="P184" i="59"/>
  <c r="O184" i="59"/>
  <c r="N184" i="59"/>
  <c r="M184" i="59"/>
  <c r="L184" i="59"/>
  <c r="K184" i="59"/>
  <c r="J184" i="59"/>
  <c r="I184" i="59"/>
  <c r="H184" i="59"/>
  <c r="G184" i="59"/>
  <c r="AO826" i="55"/>
  <c r="AN826" i="55"/>
  <c r="AM826" i="55"/>
  <c r="AL826" i="55"/>
  <c r="AK826" i="55"/>
  <c r="AJ826" i="55"/>
  <c r="AI826" i="55"/>
  <c r="AH826" i="55"/>
  <c r="AG826" i="55"/>
  <c r="AF826" i="55"/>
  <c r="AE826" i="55"/>
  <c r="AD826" i="55"/>
  <c r="AC826" i="55"/>
  <c r="AB826" i="55"/>
  <c r="AA826" i="55"/>
  <c r="Z826" i="55"/>
  <c r="Y826" i="55"/>
  <c r="X826" i="55"/>
  <c r="W826" i="55"/>
  <c r="V826" i="55"/>
  <c r="U826" i="55"/>
  <c r="T826" i="55"/>
  <c r="S826" i="55"/>
  <c r="R826" i="55"/>
  <c r="Q826" i="55"/>
  <c r="P826" i="55"/>
  <c r="O826" i="55"/>
  <c r="N826" i="55"/>
  <c r="M826" i="55"/>
  <c r="K826" i="55"/>
  <c r="J826" i="55"/>
  <c r="I826" i="55"/>
  <c r="H826" i="55"/>
  <c r="Z702" i="55"/>
  <c r="Y702" i="55"/>
  <c r="X702" i="55"/>
  <c r="W702" i="55"/>
  <c r="V702" i="55"/>
  <c r="U702" i="55"/>
  <c r="T702" i="55"/>
  <c r="S702" i="55"/>
  <c r="R702" i="55"/>
  <c r="Q702" i="55"/>
  <c r="P702" i="55"/>
  <c r="O702" i="55"/>
  <c r="N702" i="55"/>
  <c r="M702" i="55"/>
  <c r="L702" i="55"/>
  <c r="K702" i="55"/>
  <c r="J702" i="55"/>
  <c r="I702" i="55"/>
  <c r="H702" i="55"/>
  <c r="L12" i="56"/>
  <c r="L16" i="56"/>
  <c r="L4" i="70"/>
  <c r="L3" i="70"/>
  <c r="E3" i="70"/>
  <c r="G3" i="70"/>
  <c r="H3" i="70"/>
  <c r="I3" i="70"/>
  <c r="J3" i="70"/>
  <c r="K3" i="70"/>
  <c r="D4" i="70"/>
  <c r="D3" i="70"/>
  <c r="C4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6" i="62"/>
  <c r="C65" i="62"/>
  <c r="C64" i="62"/>
  <c r="C63" i="62"/>
  <c r="C62" i="62"/>
  <c r="C5" i="70" l="1"/>
  <c r="M3" i="70"/>
  <c r="D31" i="58" l="1"/>
  <c r="D31" i="57" l="1"/>
  <c r="C8" i="83" l="1"/>
  <c r="C7" i="83"/>
  <c r="C6" i="83"/>
  <c r="C5" i="83"/>
  <c r="C4" i="83"/>
  <c r="C3" i="83"/>
  <c r="E146" i="85"/>
  <c r="E145" i="85"/>
  <c r="E144" i="85"/>
  <c r="E143" i="85"/>
  <c r="E142" i="85"/>
  <c r="AC10" i="97"/>
  <c r="C8" i="80"/>
  <c r="C7" i="80"/>
  <c r="C6" i="80"/>
  <c r="C5" i="80"/>
  <c r="C4" i="80"/>
  <c r="C3" i="80"/>
  <c r="E146" i="79"/>
  <c r="E145" i="79"/>
  <c r="E144" i="79"/>
  <c r="E143" i="79"/>
  <c r="E142" i="79"/>
  <c r="E130" i="79"/>
  <c r="C6" i="77"/>
  <c r="C4" i="77"/>
  <c r="C3" i="77"/>
  <c r="E146" i="75"/>
  <c r="E145" i="75"/>
  <c r="E144" i="75"/>
  <c r="E143" i="75"/>
  <c r="E142" i="75"/>
  <c r="E130" i="22"/>
  <c r="E130" i="75"/>
  <c r="C8" i="36"/>
  <c r="C4" i="36"/>
  <c r="C5" i="36"/>
  <c r="C6" i="36"/>
  <c r="C7" i="36"/>
  <c r="C3" i="36"/>
  <c r="D10" i="67"/>
  <c r="C11" i="67"/>
  <c r="C10" i="67"/>
  <c r="C9" i="80" l="1"/>
  <c r="R305" i="59"/>
  <c r="Q305" i="59"/>
  <c r="P305" i="59"/>
  <c r="O305" i="59"/>
  <c r="N305" i="59"/>
  <c r="M305" i="59"/>
  <c r="L305" i="59"/>
  <c r="K305" i="59"/>
  <c r="J305" i="59"/>
  <c r="I305" i="59"/>
  <c r="H305" i="59"/>
  <c r="G305" i="59"/>
  <c r="R190" i="59"/>
  <c r="Q190" i="59"/>
  <c r="P190" i="59"/>
  <c r="O190" i="59"/>
  <c r="N190" i="59"/>
  <c r="M190" i="59"/>
  <c r="L190" i="59"/>
  <c r="K190" i="59"/>
  <c r="J190" i="59"/>
  <c r="I190" i="59"/>
  <c r="H190" i="59"/>
  <c r="G190" i="59"/>
  <c r="I178" i="59"/>
  <c r="R178" i="59"/>
  <c r="Q178" i="59"/>
  <c r="P178" i="59"/>
  <c r="O178" i="59"/>
  <c r="N178" i="59"/>
  <c r="M178" i="59"/>
  <c r="L178" i="59"/>
  <c r="K178" i="59"/>
  <c r="J178" i="59"/>
  <c r="H178" i="59"/>
  <c r="G178" i="59"/>
  <c r="T514" i="55"/>
  <c r="S514" i="55"/>
  <c r="R514" i="55"/>
  <c r="Q514" i="55"/>
  <c r="P514" i="55"/>
  <c r="O514" i="55"/>
  <c r="N514" i="55"/>
  <c r="M514" i="55"/>
  <c r="L514" i="55"/>
  <c r="K514" i="55"/>
  <c r="J514" i="55"/>
  <c r="I514" i="55"/>
  <c r="H514" i="55"/>
  <c r="G514" i="55"/>
  <c r="AA333" i="55"/>
  <c r="Z333" i="55"/>
  <c r="Y333" i="55"/>
  <c r="X333" i="55"/>
  <c r="W333" i="55"/>
  <c r="V333" i="55"/>
  <c r="U333" i="55"/>
  <c r="T333" i="55"/>
  <c r="S333" i="55"/>
  <c r="R333" i="55"/>
  <c r="Q333" i="55"/>
  <c r="P333" i="55"/>
  <c r="O333" i="55"/>
  <c r="N333" i="55"/>
  <c r="M333" i="55"/>
  <c r="L333" i="55"/>
  <c r="K333" i="55"/>
  <c r="J333" i="55"/>
  <c r="I333" i="55"/>
  <c r="H333" i="55"/>
  <c r="E4" i="70"/>
  <c r="F4" i="70"/>
  <c r="G4" i="70"/>
  <c r="H4" i="70"/>
  <c r="I4" i="70"/>
  <c r="J4" i="70"/>
  <c r="K4" i="70"/>
  <c r="O27" i="95"/>
  <c r="O28" i="95"/>
  <c r="O29" i="95"/>
  <c r="O30" i="95"/>
  <c r="O26" i="95"/>
  <c r="N4" i="70" l="1"/>
  <c r="M4" i="70"/>
  <c r="E143" i="22"/>
  <c r="E144" i="22"/>
  <c r="E145" i="22"/>
  <c r="E146" i="22"/>
  <c r="E142" i="22"/>
  <c r="G31" i="66" l="1"/>
  <c r="H54" i="91" l="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I35" i="96" l="1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C4" i="98"/>
  <c r="C5" i="98"/>
  <c r="C6" i="98"/>
  <c r="C3" i="98"/>
  <c r="E143" i="97"/>
  <c r="E144" i="97"/>
  <c r="E145" i="97"/>
  <c r="E142" i="97"/>
  <c r="K129" i="97"/>
  <c r="K53" i="91" s="1"/>
  <c r="K125" i="97"/>
  <c r="K49" i="91" s="1"/>
  <c r="L25" i="56"/>
  <c r="L129" i="97" s="1"/>
  <c r="L24" i="56"/>
  <c r="L128" i="97" s="1"/>
  <c r="L23" i="56"/>
  <c r="L127" i="97" s="1"/>
  <c r="L22" i="56"/>
  <c r="L126" i="97" s="1"/>
  <c r="L21" i="56"/>
  <c r="L125" i="97" s="1"/>
  <c r="L49" i="91" s="1"/>
  <c r="L15" i="56"/>
  <c r="K128" i="97" s="1"/>
  <c r="K52" i="91" s="1"/>
  <c r="L14" i="56"/>
  <c r="K127" i="97" s="1"/>
  <c r="K51" i="91" s="1"/>
  <c r="L13" i="56"/>
  <c r="K126" i="97" s="1"/>
  <c r="L7" i="56"/>
  <c r="D129" i="97" s="1"/>
  <c r="L6" i="56"/>
  <c r="D128" i="97" s="1"/>
  <c r="D52" i="91" s="1"/>
  <c r="L5" i="56"/>
  <c r="D127" i="97" s="1"/>
  <c r="L4" i="56"/>
  <c r="D126" i="97" s="1"/>
  <c r="L3" i="56"/>
  <c r="D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L8" i="98" s="1"/>
  <c r="I128" i="97"/>
  <c r="I52" i="91" s="1"/>
  <c r="I126" i="97"/>
  <c r="I50" i="91" s="1"/>
  <c r="AG107" i="97"/>
  <c r="AH107" i="97" s="1"/>
  <c r="AF107" i="97"/>
  <c r="AF63" i="90" s="1"/>
  <c r="AD107" i="97"/>
  <c r="AD63" i="90" s="1"/>
  <c r="L107" i="97"/>
  <c r="L63" i="90" s="1"/>
  <c r="L105" i="97"/>
  <c r="L61" i="90" s="1"/>
  <c r="L104" i="97"/>
  <c r="L60" i="90" s="1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Z29" i="97"/>
  <c r="AB29" i="97"/>
  <c r="Z28" i="97"/>
  <c r="X26" i="97"/>
  <c r="U26" i="97"/>
  <c r="L108" i="97"/>
  <c r="Z12" i="97"/>
  <c r="Z11" i="97"/>
  <c r="L106" i="97"/>
  <c r="L62" i="90" s="1"/>
  <c r="Z10" i="97"/>
  <c r="X7" i="97"/>
  <c r="U7" i="97"/>
  <c r="K7" i="97"/>
  <c r="Y7" i="97" s="1"/>
  <c r="G7" i="97"/>
  <c r="G102" i="97" s="1"/>
  <c r="V102" i="97" s="1"/>
  <c r="D7" i="97"/>
  <c r="D102" i="97" s="1"/>
  <c r="D7" i="99" s="1"/>
  <c r="D6" i="97"/>
  <c r="D25" i="97" s="1"/>
  <c r="N3" i="97"/>
  <c r="N60" i="97" s="1"/>
  <c r="AD60" i="97" s="1"/>
  <c r="L45" i="70"/>
  <c r="K45" i="70"/>
  <c r="N3" i="70"/>
  <c r="K5" i="70"/>
  <c r="J45" i="70"/>
  <c r="I45" i="70"/>
  <c r="H45" i="70"/>
  <c r="G45" i="70"/>
  <c r="F45" i="70"/>
  <c r="E45" i="70"/>
  <c r="D45" i="70"/>
  <c r="C45" i="70"/>
  <c r="N44" i="70"/>
  <c r="M44" i="70"/>
  <c r="N43" i="70"/>
  <c r="M43" i="70"/>
  <c r="M45" i="70" s="1"/>
  <c r="G55" i="62"/>
  <c r="G45" i="62"/>
  <c r="G36" i="62"/>
  <c r="G27" i="62"/>
  <c r="I13" i="62"/>
  <c r="G17" i="62"/>
  <c r="G3" i="62"/>
  <c r="G4" i="62"/>
  <c r="G5" i="62"/>
  <c r="G2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L64" i="90"/>
  <c r="L13" i="99"/>
  <c r="K6" i="98"/>
  <c r="D51" i="91"/>
  <c r="K5" i="98"/>
  <c r="D32" i="99"/>
  <c r="D49" i="91"/>
  <c r="K3" i="98"/>
  <c r="D30" i="99"/>
  <c r="I31" i="99"/>
  <c r="L12" i="99"/>
  <c r="Z71" i="97"/>
  <c r="L9" i="99"/>
  <c r="D33" i="99"/>
  <c r="L10" i="99"/>
  <c r="E68" i="62"/>
  <c r="I144" i="97" s="1"/>
  <c r="F5" i="98" s="1"/>
  <c r="D68" i="62"/>
  <c r="L11" i="99"/>
  <c r="I33" i="99"/>
  <c r="E63" i="62"/>
  <c r="I142" i="97" s="1"/>
  <c r="D63" i="62"/>
  <c r="AD12" i="99"/>
  <c r="E71" i="62"/>
  <c r="I145" i="97" s="1"/>
  <c r="F6" i="98" s="1"/>
  <c r="D71" i="62"/>
  <c r="G6" i="62"/>
  <c r="E73" i="62"/>
  <c r="I146" i="97" s="1"/>
  <c r="F7" i="98" s="1"/>
  <c r="D73" i="62"/>
  <c r="D50" i="91"/>
  <c r="D31" i="99"/>
  <c r="K4" i="98"/>
  <c r="E66" i="62"/>
  <c r="I143" i="97" s="1"/>
  <c r="F4" i="98" s="1"/>
  <c r="D66" i="62"/>
  <c r="D45" i="97"/>
  <c r="M5" i="98"/>
  <c r="M3" i="98"/>
  <c r="K30" i="99"/>
  <c r="D53" i="91"/>
  <c r="K7" i="98"/>
  <c r="D34" i="99"/>
  <c r="G26" i="97"/>
  <c r="V26" i="97" s="1"/>
  <c r="G7" i="99"/>
  <c r="V7" i="99" s="1"/>
  <c r="D63" i="97"/>
  <c r="L52" i="91"/>
  <c r="L33" i="99"/>
  <c r="K50" i="91"/>
  <c r="K31" i="99"/>
  <c r="L50" i="91"/>
  <c r="L31" i="99"/>
  <c r="L51" i="91"/>
  <c r="L32" i="99"/>
  <c r="K33" i="99"/>
  <c r="K34" i="99"/>
  <c r="M7" i="98"/>
  <c r="M6" i="98"/>
  <c r="M4" i="98"/>
  <c r="E3" i="98"/>
  <c r="E4" i="98"/>
  <c r="E5" i="98"/>
  <c r="E6" i="98"/>
  <c r="E7" i="98"/>
  <c r="AD10" i="97"/>
  <c r="AC106" i="97"/>
  <c r="AC62" i="90" s="1"/>
  <c r="J12" i="99"/>
  <c r="J10" i="99"/>
  <c r="L53" i="91"/>
  <c r="L34" i="99"/>
  <c r="N45" i="70"/>
  <c r="K32" i="99"/>
  <c r="L30" i="99"/>
  <c r="L9" i="98"/>
  <c r="M22" i="36" s="1"/>
  <c r="E35" i="99"/>
  <c r="E131" i="97"/>
  <c r="E54" i="91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M29" i="97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AD30" i="97"/>
  <c r="AD28" i="97"/>
  <c r="AO504" i="55"/>
  <c r="AN504" i="55"/>
  <c r="AM504" i="55"/>
  <c r="AL504" i="55"/>
  <c r="AK504" i="55"/>
  <c r="AJ504" i="55"/>
  <c r="AI504" i="55"/>
  <c r="AH504" i="55"/>
  <c r="AG504" i="55"/>
  <c r="AF504" i="55"/>
  <c r="AE504" i="55"/>
  <c r="AD504" i="55"/>
  <c r="AC504" i="55"/>
  <c r="AB504" i="55"/>
  <c r="AA504" i="55"/>
  <c r="Z504" i="55"/>
  <c r="Y504" i="55"/>
  <c r="X504" i="55"/>
  <c r="W504" i="55"/>
  <c r="V504" i="55"/>
  <c r="U504" i="55"/>
  <c r="T504" i="55"/>
  <c r="S504" i="55"/>
  <c r="R504" i="55"/>
  <c r="Q504" i="55"/>
  <c r="P504" i="55"/>
  <c r="O504" i="55"/>
  <c r="N504" i="55"/>
  <c r="M504" i="55"/>
  <c r="L504" i="55"/>
  <c r="K504" i="55"/>
  <c r="J504" i="55"/>
  <c r="I504" i="55"/>
  <c r="H504" i="55"/>
  <c r="AB11" i="97"/>
  <c r="AD11" i="97"/>
  <c r="AO484" i="55"/>
  <c r="AN484" i="55"/>
  <c r="AM484" i="55"/>
  <c r="AL484" i="55"/>
  <c r="AK484" i="55"/>
  <c r="AJ484" i="55"/>
  <c r="AI484" i="55"/>
  <c r="AH484" i="55"/>
  <c r="AG484" i="55"/>
  <c r="AF484" i="55"/>
  <c r="AE484" i="55"/>
  <c r="AD484" i="55"/>
  <c r="AC484" i="55"/>
  <c r="AB484" i="55"/>
  <c r="AA484" i="55"/>
  <c r="Z484" i="55"/>
  <c r="Y484" i="55"/>
  <c r="X484" i="55"/>
  <c r="W484" i="55"/>
  <c r="V484" i="55"/>
  <c r="U484" i="55"/>
  <c r="T484" i="55"/>
  <c r="S484" i="55"/>
  <c r="R484" i="55"/>
  <c r="Q484" i="55"/>
  <c r="P484" i="55"/>
  <c r="O484" i="55"/>
  <c r="N484" i="55"/>
  <c r="M484" i="55"/>
  <c r="L484" i="55"/>
  <c r="K484" i="55"/>
  <c r="J484" i="55"/>
  <c r="I484" i="55"/>
  <c r="H484" i="55"/>
  <c r="L14" i="99" l="1"/>
  <c r="F3" i="98"/>
  <c r="F9" i="98" s="1"/>
  <c r="G22" i="36" s="1"/>
  <c r="I147" i="97"/>
  <c r="L45" i="99"/>
  <c r="C15" i="98"/>
  <c r="D22" i="36"/>
  <c r="Y102" i="97"/>
  <c r="K7" i="99"/>
  <c r="Y7" i="99" s="1"/>
  <c r="AD98" i="97"/>
  <c r="N3" i="99"/>
  <c r="AD3" i="99" s="1"/>
  <c r="J50" i="91"/>
  <c r="J31" i="99"/>
  <c r="J52" i="91"/>
  <c r="J33" i="99"/>
  <c r="K146" i="97"/>
  <c r="H53" i="91"/>
  <c r="H34" i="99"/>
  <c r="K143" i="97"/>
  <c r="H50" i="91"/>
  <c r="H31" i="99"/>
  <c r="K145" i="97"/>
  <c r="H52" i="91"/>
  <c r="H33" i="99"/>
  <c r="AC11" i="99"/>
  <c r="I63" i="90"/>
  <c r="I12" i="99"/>
  <c r="AB61" i="90"/>
  <c r="AB10" i="99"/>
  <c r="Y63" i="90"/>
  <c r="Y12" i="99"/>
  <c r="AC61" i="90"/>
  <c r="AC10" i="99"/>
  <c r="E61" i="90"/>
  <c r="E10" i="99"/>
  <c r="AA63" i="90"/>
  <c r="AA12" i="99"/>
  <c r="W63" i="90"/>
  <c r="W12" i="99"/>
  <c r="V61" i="90"/>
  <c r="V10" i="99"/>
  <c r="V63" i="90"/>
  <c r="V12" i="99"/>
  <c r="H61" i="90"/>
  <c r="H10" i="99"/>
  <c r="Z61" i="90"/>
  <c r="Z10" i="99"/>
  <c r="F63" i="90"/>
  <c r="F12" i="99"/>
  <c r="G61" i="90"/>
  <c r="G10" i="99"/>
  <c r="D61" i="90"/>
  <c r="D10" i="99"/>
  <c r="I4" i="98"/>
  <c r="J146" i="97"/>
  <c r="G53" i="91"/>
  <c r="D7" i="98"/>
  <c r="G34" i="99"/>
  <c r="E63" i="90"/>
  <c r="E12" i="99"/>
  <c r="J145" i="97"/>
  <c r="G52" i="91"/>
  <c r="G33" i="99"/>
  <c r="D6" i="98"/>
  <c r="F61" i="90"/>
  <c r="F10" i="99"/>
  <c r="U63" i="90"/>
  <c r="U12" i="99"/>
  <c r="G63" i="90"/>
  <c r="G12" i="99"/>
  <c r="I61" i="90"/>
  <c r="I10" i="99"/>
  <c r="N61" i="90"/>
  <c r="J4" i="98"/>
  <c r="N10" i="99"/>
  <c r="AE63" i="90"/>
  <c r="AE12" i="99"/>
  <c r="AD105" i="97"/>
  <c r="AF105" i="97" s="1"/>
  <c r="AF61" i="90" s="1"/>
  <c r="AE61" i="90"/>
  <c r="AE10" i="99"/>
  <c r="J143" i="97"/>
  <c r="G50" i="91"/>
  <c r="G31" i="99"/>
  <c r="D4" i="98"/>
  <c r="J142" i="97"/>
  <c r="G49" i="91"/>
  <c r="D3" i="98"/>
  <c r="G30" i="99"/>
  <c r="J144" i="97"/>
  <c r="G51" i="91"/>
  <c r="D5" i="98"/>
  <c r="G32" i="99"/>
  <c r="AA61" i="90"/>
  <c r="AA10" i="99"/>
  <c r="N63" i="90"/>
  <c r="J6" i="98"/>
  <c r="N12" i="99"/>
  <c r="D63" i="90"/>
  <c r="I6" i="98"/>
  <c r="D12" i="99"/>
  <c r="U61" i="90"/>
  <c r="U10" i="99"/>
  <c r="AC63" i="90"/>
  <c r="AC12" i="99"/>
  <c r="H63" i="90"/>
  <c r="H12" i="99"/>
  <c r="Z63" i="90"/>
  <c r="Z12" i="99"/>
  <c r="X61" i="90"/>
  <c r="X10" i="99"/>
  <c r="X63" i="90"/>
  <c r="X12" i="99"/>
  <c r="Y61" i="90"/>
  <c r="Y10" i="99"/>
  <c r="W61" i="90"/>
  <c r="W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Z14" i="97"/>
  <c r="AD33" i="97"/>
  <c r="G55" i="91" l="1"/>
  <c r="K31" i="36"/>
  <c r="J147" i="97"/>
  <c r="M105" i="97"/>
  <c r="K61" i="90"/>
  <c r="AB63" i="90"/>
  <c r="AB12" i="99"/>
  <c r="M107" i="97"/>
  <c r="K63" i="90"/>
  <c r="AD61" i="90"/>
  <c r="AD10" i="99"/>
  <c r="AF11" i="97"/>
  <c r="AG11" i="97" s="1"/>
  <c r="AH11" i="97" s="1"/>
  <c r="K13" i="97"/>
  <c r="M13" i="97" s="1"/>
  <c r="O13" i="97" s="1"/>
  <c r="AB13" i="97"/>
  <c r="M52" i="97"/>
  <c r="O47" i="97"/>
  <c r="O107" i="97" l="1"/>
  <c r="O63" i="90" s="1"/>
  <c r="M63" i="90"/>
  <c r="O105" i="97"/>
  <c r="M61" i="90"/>
  <c r="AD68" i="97"/>
  <c r="O52" i="97"/>
  <c r="AG47" i="97"/>
  <c r="AD70" i="97"/>
  <c r="O61" i="90" l="1"/>
  <c r="AG105" i="97"/>
  <c r="AH105" i="97" s="1"/>
  <c r="AG52" i="97"/>
  <c r="AH52" i="97" s="1"/>
  <c r="AH47" i="97"/>
  <c r="N14" i="97" l="1"/>
  <c r="U14" i="97"/>
  <c r="H14" i="97"/>
  <c r="V14" i="97"/>
  <c r="I14" i="97"/>
  <c r="W14" i="97"/>
  <c r="X14" i="97"/>
  <c r="Y14" i="97"/>
  <c r="F14" i="97"/>
  <c r="K9" i="97"/>
  <c r="G14" i="97"/>
  <c r="N31" i="95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O31" i="95" l="1"/>
  <c r="K32" i="95"/>
  <c r="K14" i="97"/>
  <c r="M9" i="97"/>
  <c r="AC14" i="97"/>
  <c r="AA14" i="97"/>
  <c r="Y16" i="97"/>
  <c r="AB14" i="97"/>
  <c r="F505" i="55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522" i="59"/>
  <c r="Q522" i="59"/>
  <c r="P522" i="59"/>
  <c r="O522" i="59"/>
  <c r="N522" i="59"/>
  <c r="M522" i="59"/>
  <c r="L522" i="59"/>
  <c r="K522" i="59"/>
  <c r="J522" i="59"/>
  <c r="I522" i="59"/>
  <c r="H522" i="59"/>
  <c r="G522" i="59"/>
  <c r="F522" i="59"/>
  <c r="E523" i="59"/>
  <c r="E522" i="59"/>
  <c r="R510" i="59"/>
  <c r="Q510" i="59"/>
  <c r="O510" i="59"/>
  <c r="N510" i="59"/>
  <c r="M510" i="59"/>
  <c r="L510" i="59"/>
  <c r="K510" i="59"/>
  <c r="J510" i="59"/>
  <c r="I510" i="59"/>
  <c r="H510" i="59"/>
  <c r="G510" i="59"/>
  <c r="AF14" i="97" l="1"/>
  <c r="AG9" i="97"/>
  <c r="E393" i="61"/>
  <c r="AA353" i="55"/>
  <c r="Z353" i="55"/>
  <c r="Y353" i="55"/>
  <c r="X353" i="55"/>
  <c r="W353" i="55"/>
  <c r="V353" i="55"/>
  <c r="U353" i="55"/>
  <c r="T353" i="55"/>
  <c r="S353" i="55"/>
  <c r="R353" i="55"/>
  <c r="Q353" i="55"/>
  <c r="P353" i="55"/>
  <c r="O353" i="55"/>
  <c r="N353" i="55"/>
  <c r="M353" i="55"/>
  <c r="L353" i="55"/>
  <c r="K353" i="55"/>
  <c r="J353" i="55"/>
  <c r="I353" i="55"/>
  <c r="H353" i="55"/>
  <c r="G353" i="55"/>
  <c r="AH9" i="97" l="1"/>
  <c r="AG14" i="97"/>
  <c r="AH14" i="97" s="1"/>
  <c r="S69" i="59" l="1"/>
  <c r="R69" i="59"/>
  <c r="Q69" i="59"/>
  <c r="P69" i="59"/>
  <c r="O69" i="59"/>
  <c r="N69" i="59"/>
  <c r="M69" i="59"/>
  <c r="L69" i="59"/>
  <c r="K69" i="59"/>
  <c r="J69" i="59"/>
  <c r="I69" i="59"/>
  <c r="H69" i="59"/>
  <c r="G69" i="59"/>
  <c r="S57" i="59"/>
  <c r="R57" i="59"/>
  <c r="Q57" i="59"/>
  <c r="P57" i="59"/>
  <c r="O57" i="59"/>
  <c r="N57" i="59"/>
  <c r="M57" i="59"/>
  <c r="L57" i="59"/>
  <c r="K57" i="59"/>
  <c r="J57" i="59"/>
  <c r="I57" i="59"/>
  <c r="H57" i="59"/>
  <c r="G57" i="59"/>
  <c r="AP343" i="55"/>
  <c r="AO343" i="55"/>
  <c r="AN343" i="55"/>
  <c r="AM343" i="55"/>
  <c r="AL343" i="55"/>
  <c r="AK343" i="55"/>
  <c r="AJ343" i="55"/>
  <c r="AI343" i="55"/>
  <c r="AH343" i="55"/>
  <c r="AG343" i="55"/>
  <c r="AF343" i="55"/>
  <c r="AE343" i="55"/>
  <c r="AD343" i="55"/>
  <c r="AC343" i="55"/>
  <c r="AB343" i="55"/>
  <c r="AA343" i="55"/>
  <c r="Z343" i="55"/>
  <c r="Y343" i="55"/>
  <c r="X343" i="55"/>
  <c r="W343" i="55"/>
  <c r="V343" i="55"/>
  <c r="U343" i="55"/>
  <c r="T343" i="55"/>
  <c r="S343" i="55"/>
  <c r="R343" i="55"/>
  <c r="Q343" i="55"/>
  <c r="P343" i="55"/>
  <c r="O343" i="55"/>
  <c r="N343" i="55"/>
  <c r="M343" i="55"/>
  <c r="L343" i="55"/>
  <c r="K343" i="55"/>
  <c r="J343" i="55"/>
  <c r="I343" i="55"/>
  <c r="H343" i="55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A47" i="22"/>
  <c r="AA49" i="22"/>
  <c r="AC47" i="22"/>
  <c r="AC49" i="22"/>
  <c r="AA50" i="22"/>
  <c r="AH28" i="97" l="1"/>
  <c r="AC13" i="85"/>
  <c r="AA13" i="85"/>
  <c r="AC12" i="85" l="1"/>
  <c r="AA13" i="79"/>
  <c r="AA12" i="85"/>
  <c r="AC13" i="79"/>
  <c r="R223" i="61"/>
  <c r="Q223" i="61"/>
  <c r="P223" i="61"/>
  <c r="O223" i="61"/>
  <c r="N223" i="61"/>
  <c r="M223" i="61"/>
  <c r="L223" i="61"/>
  <c r="K223" i="61"/>
  <c r="J223" i="61"/>
  <c r="I223" i="61"/>
  <c r="H223" i="61"/>
  <c r="G223" i="61"/>
  <c r="F223" i="61"/>
  <c r="AB68" i="97" l="1"/>
  <c r="J127" i="97"/>
  <c r="G144" i="97"/>
  <c r="K68" i="97"/>
  <c r="M68" i="97" s="1"/>
  <c r="O68" i="97" s="1"/>
  <c r="R311" i="59"/>
  <c r="Q311" i="59"/>
  <c r="P311" i="59"/>
  <c r="O311" i="59"/>
  <c r="N311" i="59"/>
  <c r="M311" i="59"/>
  <c r="L311" i="59"/>
  <c r="K311" i="59"/>
  <c r="J311" i="59"/>
  <c r="I311" i="59"/>
  <c r="H311" i="59"/>
  <c r="G311" i="59"/>
  <c r="R299" i="59"/>
  <c r="Q299" i="59"/>
  <c r="P299" i="59"/>
  <c r="O299" i="59"/>
  <c r="N299" i="59"/>
  <c r="M299" i="59"/>
  <c r="L299" i="59"/>
  <c r="K299" i="59"/>
  <c r="J299" i="59"/>
  <c r="I299" i="59"/>
  <c r="H299" i="59"/>
  <c r="G299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AC10" i="75"/>
  <c r="H55" i="91" l="1"/>
  <c r="L31" i="36"/>
  <c r="O30" i="97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H30" i="97" s="1"/>
  <c r="AA12" i="22"/>
  <c r="AC12" i="22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AG33" i="97" l="1"/>
  <c r="AH33" i="97" s="1"/>
  <c r="AB66" i="97"/>
  <c r="G142" i="97"/>
  <c r="J125" i="97"/>
  <c r="K66" i="97"/>
  <c r="AA104" i="97"/>
  <c r="J49" i="91" l="1"/>
  <c r="J30" i="99"/>
  <c r="AA60" i="90"/>
  <c r="AA9" i="99"/>
  <c r="AF66" i="97"/>
  <c r="M66" i="97"/>
  <c r="R379" i="61"/>
  <c r="Q379" i="61"/>
  <c r="P379" i="61"/>
  <c r="O379" i="61"/>
  <c r="N379" i="61"/>
  <c r="M379" i="61"/>
  <c r="L379" i="61"/>
  <c r="K379" i="61"/>
  <c r="J379" i="61"/>
  <c r="I379" i="61"/>
  <c r="H379" i="61"/>
  <c r="G379" i="61"/>
  <c r="F379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U71" i="97"/>
  <c r="O66" i="97"/>
  <c r="I71" i="97"/>
  <c r="F71" i="97"/>
  <c r="AA10" i="85"/>
  <c r="J131" i="97" l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J55" i="91" l="1"/>
  <c r="N31" i="36"/>
  <c r="AF71" i="97"/>
  <c r="O70" i="97"/>
  <c r="O71" i="97" s="1"/>
  <c r="M71" i="97"/>
  <c r="AH66" i="97"/>
  <c r="D393" i="61"/>
  <c r="D33" i="58"/>
  <c r="AG70" i="97" l="1"/>
  <c r="C5" i="77"/>
  <c r="C7" i="77"/>
  <c r="AH70" i="97" l="1"/>
  <c r="AG71" i="97"/>
  <c r="AH71" i="97" s="1"/>
  <c r="U44" i="69" l="1"/>
  <c r="U25" i="69"/>
  <c r="U6" i="69"/>
  <c r="H7" i="64"/>
  <c r="H6" i="64"/>
  <c r="H5" i="64"/>
  <c r="H4" i="64"/>
  <c r="H3" i="64"/>
  <c r="D62" i="67"/>
  <c r="C63" i="67"/>
  <c r="C62" i="67"/>
  <c r="D49" i="67"/>
  <c r="C50" i="67"/>
  <c r="C49" i="67"/>
  <c r="D36" i="67"/>
  <c r="C37" i="67"/>
  <c r="AD30" i="69" s="1"/>
  <c r="C36" i="67"/>
  <c r="D23" i="67"/>
  <c r="C24" i="67"/>
  <c r="C23" i="67"/>
  <c r="D62" i="68"/>
  <c r="C63" i="68"/>
  <c r="C62" i="68"/>
  <c r="H9" i="64" l="1"/>
  <c r="H10" i="64" s="1"/>
  <c r="F45" i="62"/>
  <c r="D69" i="62" l="1"/>
  <c r="E69" i="62"/>
  <c r="AC32" i="22"/>
  <c r="D394" i="61"/>
  <c r="I145" i="75" l="1"/>
  <c r="AC66" i="22"/>
  <c r="F35" i="71"/>
  <c r="C17" i="62" l="1"/>
  <c r="E62" i="62" l="1"/>
  <c r="D62" i="62"/>
  <c r="D101" i="22"/>
  <c r="D13" i="70"/>
  <c r="C13" i="70"/>
  <c r="I142" i="79" l="1"/>
  <c r="D21" i="70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93" i="61"/>
  <c r="Q393" i="61"/>
  <c r="P393" i="61"/>
  <c r="O393" i="61"/>
  <c r="N393" i="61"/>
  <c r="M393" i="61"/>
  <c r="L393" i="61"/>
  <c r="K393" i="61"/>
  <c r="J393" i="61"/>
  <c r="I393" i="61"/>
  <c r="H393" i="61"/>
  <c r="G393" i="61"/>
  <c r="F393" i="61"/>
  <c r="R423" i="59"/>
  <c r="Q423" i="59"/>
  <c r="P423" i="59"/>
  <c r="O423" i="59"/>
  <c r="N423" i="59"/>
  <c r="M423" i="59"/>
  <c r="L423" i="59"/>
  <c r="K423" i="59"/>
  <c r="J423" i="59"/>
  <c r="I423" i="59"/>
  <c r="H423" i="59"/>
  <c r="G423" i="59"/>
  <c r="G33" i="58" l="1"/>
  <c r="E69" i="66"/>
  <c r="E69" i="71"/>
  <c r="E69" i="58"/>
  <c r="E75" i="62" l="1"/>
  <c r="D75" i="62"/>
  <c r="F7" i="64"/>
  <c r="O62" i="67"/>
  <c r="N62" i="67"/>
  <c r="M62" i="67"/>
  <c r="L62" i="67"/>
  <c r="K62" i="67"/>
  <c r="J62" i="67"/>
  <c r="I62" i="67"/>
  <c r="N32" i="69" s="1"/>
  <c r="H62" i="67"/>
  <c r="G62" i="67"/>
  <c r="F62" i="67"/>
  <c r="E62" i="67"/>
  <c r="O49" i="67"/>
  <c r="N49" i="67"/>
  <c r="M49" i="67"/>
  <c r="L49" i="67"/>
  <c r="K49" i="67"/>
  <c r="J49" i="67"/>
  <c r="I49" i="67"/>
  <c r="H49" i="67"/>
  <c r="G49" i="67"/>
  <c r="F49" i="67"/>
  <c r="E49" i="67"/>
  <c r="I142" i="85" l="1"/>
  <c r="I142" i="22"/>
  <c r="F3" i="36" s="1"/>
  <c r="O36" i="67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N36" i="68"/>
  <c r="M36" i="68"/>
  <c r="L36" i="68"/>
  <c r="K36" i="68"/>
  <c r="J36" i="68"/>
  <c r="I36" i="68"/>
  <c r="H36" i="68"/>
  <c r="G36" i="68"/>
  <c r="F36" i="68"/>
  <c r="E36" i="68"/>
  <c r="P23" i="68"/>
  <c r="N23" i="68"/>
  <c r="M23" i="68"/>
  <c r="L23" i="68"/>
  <c r="K23" i="68"/>
  <c r="J23" i="68"/>
  <c r="I23" i="68"/>
  <c r="H23" i="68"/>
  <c r="G23" i="68"/>
  <c r="F23" i="68"/>
  <c r="E23" i="68"/>
  <c r="P10" i="68"/>
  <c r="N10" i="68"/>
  <c r="M10" i="68"/>
  <c r="L10" i="68"/>
  <c r="K10" i="68"/>
  <c r="J10" i="68"/>
  <c r="I10" i="68"/>
  <c r="H10" i="68"/>
  <c r="G10" i="68"/>
  <c r="F10" i="68"/>
  <c r="E10" i="68"/>
  <c r="H45" i="62" l="1"/>
  <c r="D78" i="62" l="1"/>
  <c r="E78" i="62"/>
  <c r="I145" i="85" s="1"/>
  <c r="H27" i="62" l="1"/>
  <c r="E76" i="62" l="1"/>
  <c r="I143" i="85" s="1"/>
  <c r="D76" i="62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C104" i="22" s="1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9" i="64" l="1"/>
  <c r="F13" i="64" s="1"/>
  <c r="F12" i="64" l="1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I33" i="62"/>
  <c r="I32" i="62"/>
  <c r="D72" i="62" l="1"/>
  <c r="D67" i="62"/>
  <c r="E67" i="62"/>
  <c r="N47" i="22"/>
  <c r="G125" i="22" s="1"/>
  <c r="I47" i="22"/>
  <c r="H47" i="22"/>
  <c r="G47" i="22"/>
  <c r="F47" i="22"/>
  <c r="I146" i="79" l="1"/>
  <c r="I144" i="79"/>
  <c r="K47" i="22"/>
  <c r="M47" i="22" s="1"/>
  <c r="F27" i="62"/>
  <c r="E64" i="62" l="1"/>
  <c r="D64" i="62"/>
  <c r="O47" i="22"/>
  <c r="N51" i="22"/>
  <c r="I51" i="22"/>
  <c r="H51" i="22"/>
  <c r="G51" i="22"/>
  <c r="F51" i="22"/>
  <c r="E49" i="22"/>
  <c r="D49" i="22"/>
  <c r="D52" i="22" s="1"/>
  <c r="I143" i="75" l="1"/>
  <c r="K51" i="22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N62" i="68"/>
  <c r="M62" i="68"/>
  <c r="L62" i="68"/>
  <c r="K62" i="68"/>
  <c r="J62" i="68"/>
  <c r="I62" i="68"/>
  <c r="H62" i="68"/>
  <c r="G62" i="68"/>
  <c r="F62" i="68"/>
  <c r="E62" i="68"/>
  <c r="U6" i="88" l="1"/>
  <c r="U6" i="82"/>
  <c r="U6" i="81"/>
  <c r="U6" i="76"/>
  <c r="U6" i="39"/>
  <c r="F5" i="80" l="1"/>
  <c r="F7" i="80"/>
  <c r="F3" i="80"/>
  <c r="I23" i="62" l="1"/>
  <c r="K87" i="75" l="1"/>
  <c r="M87" i="75" s="1"/>
  <c r="H36" i="62" l="1"/>
  <c r="D77" i="62" l="1"/>
  <c r="E77" i="62"/>
  <c r="N36" i="70"/>
  <c r="M36" i="70"/>
  <c r="N35" i="70"/>
  <c r="N20" i="70"/>
  <c r="M20" i="70"/>
  <c r="N19" i="70"/>
  <c r="M19" i="70"/>
  <c r="N11" i="70"/>
  <c r="I144" i="85" l="1"/>
  <c r="I144" i="22"/>
  <c r="M37" i="70"/>
  <c r="I52" i="62" l="1"/>
  <c r="H55" i="62"/>
  <c r="D79" i="62" l="1"/>
  <c r="E79" i="62"/>
  <c r="I54" i="62"/>
  <c r="I53" i="62"/>
  <c r="I51" i="62"/>
  <c r="J51" i="62" s="1"/>
  <c r="I44" i="62"/>
  <c r="I43" i="62"/>
  <c r="I42" i="62"/>
  <c r="I41" i="62"/>
  <c r="I35" i="62"/>
  <c r="I34" i="62"/>
  <c r="I26" i="62"/>
  <c r="I25" i="62"/>
  <c r="I24" i="62"/>
  <c r="I16" i="62"/>
  <c r="I15" i="62"/>
  <c r="I14" i="62"/>
  <c r="C3" i="56" s="1"/>
  <c r="F55" i="62"/>
  <c r="E55" i="62"/>
  <c r="D55" i="62"/>
  <c r="E45" i="62"/>
  <c r="D45" i="62"/>
  <c r="C45" i="62"/>
  <c r="F36" i="62"/>
  <c r="E36" i="62"/>
  <c r="D36" i="62"/>
  <c r="E27" i="62"/>
  <c r="D27" i="62"/>
  <c r="C27" i="62"/>
  <c r="F17" i="62"/>
  <c r="E17" i="62"/>
  <c r="D17" i="62"/>
  <c r="I146" i="85" l="1"/>
  <c r="I146" i="22"/>
  <c r="E70" i="62"/>
  <c r="D70" i="62"/>
  <c r="D65" i="62"/>
  <c r="E65" i="62"/>
  <c r="I36" i="62"/>
  <c r="I45" i="62"/>
  <c r="I27" i="62"/>
  <c r="I17" i="62"/>
  <c r="I55" i="62"/>
  <c r="I145" i="79" l="1"/>
  <c r="F6" i="80" s="1"/>
  <c r="I145" i="22"/>
  <c r="I143" i="79"/>
  <c r="I143" i="22"/>
  <c r="E31" i="66"/>
  <c r="F31" i="66"/>
  <c r="D33" i="66"/>
  <c r="E33" i="66"/>
  <c r="F33" i="66"/>
  <c r="G33" i="66"/>
  <c r="D35" i="66"/>
  <c r="E35" i="66"/>
  <c r="F35" i="66"/>
  <c r="G35" i="66"/>
  <c r="I35" i="66"/>
  <c r="J35" i="66"/>
  <c r="I147" i="22" l="1"/>
  <c r="F4" i="80"/>
  <c r="I147" i="79"/>
  <c r="O30" i="36" s="1"/>
  <c r="X125" i="90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0"/>
  <c r="C9" i="36"/>
  <c r="L97" i="91" l="1"/>
  <c r="K97" i="91"/>
  <c r="J97" i="91"/>
  <c r="H97" i="91"/>
  <c r="G97" i="91"/>
  <c r="E93" i="91"/>
  <c r="E92" i="91"/>
  <c r="D97" i="91"/>
  <c r="I97" i="91"/>
  <c r="E95" i="91"/>
  <c r="E96" i="91"/>
  <c r="E94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J35" i="71"/>
  <c r="I35" i="71"/>
  <c r="G35" i="71"/>
  <c r="E35" i="71"/>
  <c r="D35" i="71"/>
  <c r="G33" i="71"/>
  <c r="F33" i="71"/>
  <c r="E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106" i="22" s="1"/>
  <c r="AC68" i="85"/>
  <c r="F6" i="36" l="1"/>
  <c r="F4" i="36"/>
  <c r="AA70" i="79"/>
  <c r="AA70" i="22"/>
  <c r="AC14" i="22" l="1"/>
  <c r="AC70" i="22"/>
  <c r="AC108" i="22" s="1"/>
  <c r="AC70" i="79"/>
  <c r="AC68" i="75"/>
  <c r="AC67" i="22" l="1"/>
  <c r="AC105" i="22" s="1"/>
  <c r="J27" i="62"/>
  <c r="F7" i="77" l="1"/>
  <c r="F6" i="77"/>
  <c r="F4" i="77"/>
  <c r="F3" i="77"/>
  <c r="AA70" i="85" l="1"/>
  <c r="AC32" i="85"/>
  <c r="AC70" i="85" l="1"/>
  <c r="AC69" i="75"/>
  <c r="AC67" i="75"/>
  <c r="AA70" i="75" l="1"/>
  <c r="AC69" i="22" l="1"/>
  <c r="AC107" i="22" s="1"/>
  <c r="AC109" i="22" s="1"/>
  <c r="AA69" i="22"/>
  <c r="AA67" i="75"/>
  <c r="AA67" i="22"/>
  <c r="L29" i="70" l="1"/>
  <c r="K29" i="70"/>
  <c r="K6" i="70" s="1"/>
  <c r="J29" i="70"/>
  <c r="I29" i="70"/>
  <c r="H29" i="70"/>
  <c r="G29" i="70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A14" i="69" l="1"/>
  <c r="AE13" i="69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89" i="97" l="1"/>
  <c r="AA108" i="97" s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F14" i="56"/>
  <c r="K127" i="75" s="1"/>
  <c r="F13" i="56"/>
  <c r="K126" i="75" s="1"/>
  <c r="F12" i="56"/>
  <c r="K125" i="75" s="1"/>
  <c r="K128" i="75" l="1"/>
  <c r="F17" i="56"/>
  <c r="K125" i="79"/>
  <c r="K30" i="76"/>
  <c r="K21" i="91"/>
  <c r="K34" i="76"/>
  <c r="K25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3" i="76" l="1"/>
  <c r="K36" i="76" s="1"/>
  <c r="K24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H2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G5" i="70"/>
  <c r="G6" i="70" s="1"/>
  <c r="F5" i="70"/>
  <c r="J5" i="70"/>
  <c r="J6" i="70" s="1"/>
  <c r="E5" i="70"/>
  <c r="I5" i="70"/>
  <c r="I6" i="70" s="1"/>
  <c r="D5" i="70"/>
  <c r="H5" i="70"/>
  <c r="H6" i="70" s="1"/>
  <c r="I6" i="62" l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D145" i="97" s="1"/>
  <c r="L145" i="97" s="1"/>
  <c r="M145" i="97" s="1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AA107" i="79" s="1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H126" i="22" l="1"/>
  <c r="H125" i="22"/>
  <c r="K142" i="22" s="1"/>
  <c r="G24" i="36"/>
  <c r="AE107" i="79"/>
  <c r="I17" i="56"/>
  <c r="I18" i="56" s="1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W105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AA108" i="22" s="1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D128" i="79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55" i="91" l="1"/>
  <c r="I31" i="36"/>
  <c r="D24" i="36"/>
  <c r="D25" i="36" s="1"/>
  <c r="D145" i="79"/>
  <c r="L39" i="91"/>
  <c r="G143" i="22"/>
  <c r="J126" i="22"/>
  <c r="J7" i="91" s="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36" i="99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K55" i="91" l="1"/>
  <c r="O31" i="36"/>
  <c r="O33" i="36" s="1"/>
  <c r="L145" i="79"/>
  <c r="M145" i="79" s="1"/>
  <c r="K46" i="99"/>
  <c r="L46" i="99"/>
  <c r="J96" i="91"/>
  <c r="J95" i="91"/>
  <c r="J92" i="91"/>
  <c r="J94" i="91"/>
  <c r="J93" i="91"/>
  <c r="H92" i="91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J98" i="91" l="1"/>
  <c r="N33" i="36"/>
  <c r="L33" i="36"/>
  <c r="G69" i="91"/>
  <c r="K32" i="36"/>
  <c r="K33" i="36" s="1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AG71" i="85" l="1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11" i="99" l="1"/>
  <c r="G62" i="90"/>
  <c r="G89" i="79"/>
  <c r="G89" i="97"/>
  <c r="G108" i="97" s="1"/>
  <c r="G85" i="79"/>
  <c r="G104" i="79" s="1"/>
  <c r="G43" i="90" s="1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64" i="90" l="1"/>
  <c r="G13" i="99"/>
  <c r="G9" i="81"/>
  <c r="G90" i="97"/>
  <c r="G104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60" i="90" l="1"/>
  <c r="G9" i="99"/>
  <c r="G109" i="97"/>
  <c r="G65" i="90" s="1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AA88" i="22" l="1"/>
  <c r="AA107" i="22" s="1"/>
  <c r="F6" i="39"/>
  <c r="AA30" i="69" l="1"/>
  <c r="Y30" i="69"/>
  <c r="X30" i="69"/>
  <c r="W30" i="69"/>
  <c r="V30" i="69"/>
  <c r="AD31" i="69" l="1"/>
  <c r="AA48" i="69" l="1"/>
  <c r="AA86" i="22" l="1"/>
  <c r="AA105" i="22" s="1"/>
  <c r="D30" i="76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AA87" i="97" l="1"/>
  <c r="AA87" i="22"/>
  <c r="AA106" i="22" s="1"/>
  <c r="Z89" i="79"/>
  <c r="Z108" i="79" s="1"/>
  <c r="Z89" i="97"/>
  <c r="Z108" i="97" s="1"/>
  <c r="Z85" i="79"/>
  <c r="Z104" i="79" s="1"/>
  <c r="Z9" i="81" s="1"/>
  <c r="Z85" i="97"/>
  <c r="J87" i="79"/>
  <c r="J87" i="97"/>
  <c r="Z87" i="79"/>
  <c r="Z106" i="79" s="1"/>
  <c r="Z45" i="90" s="1"/>
  <c r="Z87" i="97"/>
  <c r="Z106" i="97" s="1"/>
  <c r="J89" i="79"/>
  <c r="J89" i="97"/>
  <c r="J108" i="97" s="1"/>
  <c r="U108" i="97"/>
  <c r="N89" i="79"/>
  <c r="N89" i="97"/>
  <c r="N108" i="97" s="1"/>
  <c r="X87" i="79"/>
  <c r="X106" i="79" s="1"/>
  <c r="X11" i="81" s="1"/>
  <c r="X106" i="97"/>
  <c r="AA87" i="79"/>
  <c r="AA106" i="79" s="1"/>
  <c r="AC106" i="79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106" i="97" s="1"/>
  <c r="D30" i="69"/>
  <c r="K30" i="69" s="1"/>
  <c r="M30" i="69" s="1"/>
  <c r="AE29" i="69"/>
  <c r="AB30" i="69"/>
  <c r="Y47" i="69"/>
  <c r="E50" i="69"/>
  <c r="E88" i="22" s="1"/>
  <c r="E47" i="69"/>
  <c r="AB28" i="69"/>
  <c r="D28" i="69"/>
  <c r="V51" i="69"/>
  <c r="V89" i="97" s="1"/>
  <c r="V108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Z52" i="69"/>
  <c r="X14" i="69"/>
  <c r="H14" i="69"/>
  <c r="L14" i="69"/>
  <c r="U14" i="69"/>
  <c r="AA90" i="97" l="1"/>
  <c r="AA106" i="97"/>
  <c r="Z11" i="81"/>
  <c r="AA85" i="79"/>
  <c r="AA52" i="69"/>
  <c r="AA85" i="22"/>
  <c r="AA104" i="22" s="1"/>
  <c r="AA109" i="22" s="1"/>
  <c r="J21" i="94" s="1"/>
  <c r="Z62" i="90"/>
  <c r="Z11" i="99"/>
  <c r="J90" i="97"/>
  <c r="J106" i="97"/>
  <c r="Z90" i="97"/>
  <c r="Z104" i="97"/>
  <c r="Z64" i="90"/>
  <c r="Z13" i="99"/>
  <c r="Z90" i="79"/>
  <c r="Z43" i="90"/>
  <c r="J64" i="90"/>
  <c r="J13" i="99"/>
  <c r="J19" i="94"/>
  <c r="J27" i="94" s="1"/>
  <c r="X45" i="90"/>
  <c r="E62" i="90"/>
  <c r="E11" i="99"/>
  <c r="AD87" i="79"/>
  <c r="V87" i="79"/>
  <c r="V106" i="79" s="1"/>
  <c r="V11" i="81" s="1"/>
  <c r="V106" i="97"/>
  <c r="AE87" i="79"/>
  <c r="AE106" i="79" s="1"/>
  <c r="AE11" i="81" s="1"/>
  <c r="AE106" i="97"/>
  <c r="F87" i="79"/>
  <c r="F106" i="79" s="1"/>
  <c r="F106" i="97"/>
  <c r="I87" i="79"/>
  <c r="I106" i="79" s="1"/>
  <c r="I11" i="81" s="1"/>
  <c r="I106" i="97"/>
  <c r="Y87" i="79"/>
  <c r="Y106" i="79" s="1"/>
  <c r="Y45" i="90" s="1"/>
  <c r="Y106" i="97"/>
  <c r="D89" i="22"/>
  <c r="H146" i="22" s="1"/>
  <c r="D89" i="97"/>
  <c r="X62" i="90"/>
  <c r="X11" i="99"/>
  <c r="F108" i="97"/>
  <c r="W87" i="79"/>
  <c r="W106" i="79" s="1"/>
  <c r="W45" i="90" s="1"/>
  <c r="W106" i="97"/>
  <c r="X13" i="99"/>
  <c r="X64" i="90"/>
  <c r="H87" i="79"/>
  <c r="H106" i="79" s="1"/>
  <c r="H11" i="81" s="1"/>
  <c r="H106" i="97"/>
  <c r="I89" i="79"/>
  <c r="I108" i="79" s="1"/>
  <c r="I89" i="97"/>
  <c r="I108" i="97" s="1"/>
  <c r="J7" i="98"/>
  <c r="N64" i="90"/>
  <c r="N13" i="99"/>
  <c r="Y64" i="90"/>
  <c r="Y13" i="99"/>
  <c r="U87" i="79"/>
  <c r="U106" i="79" s="1"/>
  <c r="U64" i="90"/>
  <c r="U13" i="99"/>
  <c r="W13" i="99"/>
  <c r="W64" i="90"/>
  <c r="H89" i="79"/>
  <c r="H89" i="97"/>
  <c r="H108" i="97" s="1"/>
  <c r="AD108" i="97"/>
  <c r="AE64" i="90"/>
  <c r="AE13" i="99"/>
  <c r="E89" i="22"/>
  <c r="E89" i="97"/>
  <c r="E108" i="97" s="1"/>
  <c r="V64" i="90"/>
  <c r="V13" i="99"/>
  <c r="AE85" i="79"/>
  <c r="AC90" i="97"/>
  <c r="AC104" i="97"/>
  <c r="W85" i="79"/>
  <c r="W104" i="79" s="1"/>
  <c r="W9" i="81" s="1"/>
  <c r="AD85" i="79"/>
  <c r="H85" i="79"/>
  <c r="H104" i="79" s="1"/>
  <c r="H43" i="90" s="1"/>
  <c r="F85" i="79"/>
  <c r="F104" i="79" s="1"/>
  <c r="F43" i="90" s="1"/>
  <c r="U85" i="79"/>
  <c r="U104" i="79" s="1"/>
  <c r="X85" i="79"/>
  <c r="X104" i="79" s="1"/>
  <c r="X9" i="81" s="1"/>
  <c r="Y85" i="79"/>
  <c r="Y104" i="79" s="1"/>
  <c r="Y9" i="81" s="1"/>
  <c r="I85" i="79"/>
  <c r="I104" i="79" s="1"/>
  <c r="I9" i="81" s="1"/>
  <c r="V85" i="79"/>
  <c r="V104" i="79" s="1"/>
  <c r="V9" i="81" s="1"/>
  <c r="E85" i="79"/>
  <c r="E104" i="79" s="1"/>
  <c r="E9" i="81" s="1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Z109" i="79"/>
  <c r="Z48" i="90" s="1"/>
  <c r="U107" i="85"/>
  <c r="Y86" i="22"/>
  <c r="Y105" i="85"/>
  <c r="Y86" i="75"/>
  <c r="Y105" i="75" s="1"/>
  <c r="F89" i="22"/>
  <c r="F108" i="85"/>
  <c r="F80" i="90" s="1"/>
  <c r="F89" i="79"/>
  <c r="X85" i="22"/>
  <c r="V86" i="22"/>
  <c r="V105" i="85"/>
  <c r="V86" i="75"/>
  <c r="V105" i="75" s="1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A104" i="79" l="1"/>
  <c r="AA90" i="79"/>
  <c r="J29" i="94"/>
  <c r="AA11" i="99"/>
  <c r="AA109" i="97"/>
  <c r="AA65" i="90" s="1"/>
  <c r="AA62" i="90"/>
  <c r="Z14" i="81"/>
  <c r="Y11" i="81"/>
  <c r="Z109" i="97"/>
  <c r="Z65" i="90" s="1"/>
  <c r="Z9" i="99"/>
  <c r="Z14" i="99" s="1"/>
  <c r="Z60" i="90"/>
  <c r="J62" i="90"/>
  <c r="J11" i="99"/>
  <c r="J14" i="99" s="1"/>
  <c r="J109" i="97"/>
  <c r="J65" i="90" s="1"/>
  <c r="AE104" i="79"/>
  <c r="AE43" i="90" s="1"/>
  <c r="H9" i="81"/>
  <c r="H45" i="90"/>
  <c r="AE33" i="69"/>
  <c r="V43" i="90"/>
  <c r="K89" i="97"/>
  <c r="M89" i="97" s="1"/>
  <c r="O89" i="97" s="1"/>
  <c r="I43" i="90"/>
  <c r="W43" i="90"/>
  <c r="Y43" i="90"/>
  <c r="W11" i="81"/>
  <c r="U90" i="79"/>
  <c r="V45" i="90"/>
  <c r="AD89" i="79"/>
  <c r="AD90" i="79" s="1"/>
  <c r="AD89" i="97"/>
  <c r="AD90" i="97" s="1"/>
  <c r="F9" i="81"/>
  <c r="X43" i="90"/>
  <c r="I62" i="90"/>
  <c r="I11" i="99"/>
  <c r="AF87" i="97"/>
  <c r="U106" i="97"/>
  <c r="W11" i="99"/>
  <c r="W62" i="90"/>
  <c r="F62" i="90"/>
  <c r="F11" i="99"/>
  <c r="AB89" i="79"/>
  <c r="AB108" i="79" s="1"/>
  <c r="AB89" i="97"/>
  <c r="AB90" i="97" s="1"/>
  <c r="AB62" i="90"/>
  <c r="AB11" i="99"/>
  <c r="E64" i="90"/>
  <c r="E13" i="99"/>
  <c r="AE45" i="90"/>
  <c r="F64" i="90"/>
  <c r="F13" i="99"/>
  <c r="AD106" i="97"/>
  <c r="AE62" i="90"/>
  <c r="AE11" i="99"/>
  <c r="H64" i="90"/>
  <c r="H13" i="99"/>
  <c r="V62" i="90"/>
  <c r="V11" i="99"/>
  <c r="AD64" i="90"/>
  <c r="AD13" i="99"/>
  <c r="I45" i="90"/>
  <c r="I13" i="99"/>
  <c r="I64" i="90"/>
  <c r="H146" i="97"/>
  <c r="G7" i="98" s="1"/>
  <c r="H7" i="98" s="1"/>
  <c r="I129" i="97"/>
  <c r="D108" i="97"/>
  <c r="N62" i="90"/>
  <c r="J5" i="98"/>
  <c r="N11" i="99"/>
  <c r="H11" i="99"/>
  <c r="H62" i="90"/>
  <c r="Y11" i="99"/>
  <c r="Y62" i="90"/>
  <c r="I90" i="79"/>
  <c r="D87" i="22"/>
  <c r="K87" i="22" s="1"/>
  <c r="F90" i="97"/>
  <c r="F104" i="97"/>
  <c r="AB104" i="97"/>
  <c r="E90" i="97"/>
  <c r="E104" i="97"/>
  <c r="V90" i="97"/>
  <c r="V104" i="97"/>
  <c r="H90" i="97"/>
  <c r="H104" i="97"/>
  <c r="I90" i="97"/>
  <c r="I104" i="97"/>
  <c r="N85" i="79"/>
  <c r="N104" i="79" s="1"/>
  <c r="N85" i="97"/>
  <c r="AF85" i="97"/>
  <c r="Y90" i="97"/>
  <c r="Y104" i="97"/>
  <c r="W90" i="97"/>
  <c r="W104" i="97"/>
  <c r="X90" i="97"/>
  <c r="X104" i="97"/>
  <c r="AC60" i="90"/>
  <c r="AC9" i="99"/>
  <c r="AC109" i="97"/>
  <c r="AC65" i="90" s="1"/>
  <c r="E43" i="90"/>
  <c r="D85" i="22"/>
  <c r="U90" i="97"/>
  <c r="U104" i="97"/>
  <c r="AE90" i="97"/>
  <c r="AE104" i="97"/>
  <c r="AC112" i="90"/>
  <c r="E45" i="90"/>
  <c r="I47" i="90"/>
  <c r="AA47" i="90"/>
  <c r="U47" i="90"/>
  <c r="AF30" i="69"/>
  <c r="AG30" i="69" s="1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U9" i="81"/>
  <c r="U43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U106" i="85"/>
  <c r="Y90" i="85"/>
  <c r="Y104" i="85"/>
  <c r="Y76" i="90" s="1"/>
  <c r="E11" i="76"/>
  <c r="G90" i="79"/>
  <c r="G108" i="79"/>
  <c r="AE90" i="79"/>
  <c r="AE108" i="79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U109" i="79"/>
  <c r="U48" i="90" s="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104" i="75"/>
  <c r="AE26" i="90" s="1"/>
  <c r="AD108" i="85"/>
  <c r="AD80" i="90" s="1"/>
  <c r="H90" i="85"/>
  <c r="H104" i="85"/>
  <c r="H76" i="90" s="1"/>
  <c r="I13" i="81"/>
  <c r="I14" i="81" s="1"/>
  <c r="I109" i="79"/>
  <c r="I48" i="90" s="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A9" i="81" l="1"/>
  <c r="AA14" i="81" s="1"/>
  <c r="AA43" i="90"/>
  <c r="AA109" i="79"/>
  <c r="AA48" i="90" s="1"/>
  <c r="J3" i="80"/>
  <c r="J45" i="99"/>
  <c r="H142" i="79"/>
  <c r="G3" i="80" s="1"/>
  <c r="H3" i="80" s="1"/>
  <c r="AE9" i="81"/>
  <c r="AF89" i="79"/>
  <c r="H144" i="22"/>
  <c r="G5" i="36" s="1"/>
  <c r="N43" i="90"/>
  <c r="I53" i="91"/>
  <c r="I96" i="91" s="1"/>
  <c r="I34" i="99"/>
  <c r="H144" i="97"/>
  <c r="G5" i="98" s="1"/>
  <c r="H5" i="98" s="1"/>
  <c r="K87" i="97"/>
  <c r="M87" i="97" s="1"/>
  <c r="O87" i="97" s="1"/>
  <c r="AG87" i="97" s="1"/>
  <c r="AH87" i="97" s="1"/>
  <c r="I127" i="97"/>
  <c r="D106" i="97"/>
  <c r="AD62" i="90"/>
  <c r="AD11" i="99"/>
  <c r="I93" i="91"/>
  <c r="U62" i="90"/>
  <c r="U11" i="99"/>
  <c r="AF106" i="97"/>
  <c r="N9" i="81"/>
  <c r="AB108" i="97"/>
  <c r="AB109" i="97" s="1"/>
  <c r="AB65" i="90" s="1"/>
  <c r="AF89" i="97"/>
  <c r="AG89" i="97" s="1"/>
  <c r="AH89" i="97" s="1"/>
  <c r="D64" i="90"/>
  <c r="D13" i="99"/>
  <c r="I7" i="98"/>
  <c r="K108" i="97"/>
  <c r="D146" i="97"/>
  <c r="L146" i="97" s="1"/>
  <c r="M146" i="97" s="1"/>
  <c r="I9" i="99"/>
  <c r="I14" i="99" s="1"/>
  <c r="I60" i="90"/>
  <c r="I109" i="97"/>
  <c r="I65" i="90" s="1"/>
  <c r="H60" i="90"/>
  <c r="H9" i="99"/>
  <c r="H14" i="99" s="1"/>
  <c r="H109" i="97"/>
  <c r="H65" i="90" s="1"/>
  <c r="X9" i="99"/>
  <c r="X14" i="99" s="1"/>
  <c r="X60" i="90"/>
  <c r="X109" i="97"/>
  <c r="X65" i="90" s="1"/>
  <c r="AC14" i="99"/>
  <c r="V60" i="90"/>
  <c r="V9" i="99"/>
  <c r="V14" i="99" s="1"/>
  <c r="V109" i="97"/>
  <c r="V65" i="90" s="1"/>
  <c r="AD104" i="97"/>
  <c r="AF104" i="97" s="1"/>
  <c r="AE109" i="97"/>
  <c r="AE65" i="90" s="1"/>
  <c r="AE60" i="90"/>
  <c r="AE9" i="99"/>
  <c r="AE14" i="99" s="1"/>
  <c r="W60" i="90"/>
  <c r="W9" i="99"/>
  <c r="W14" i="99" s="1"/>
  <c r="W109" i="97"/>
  <c r="W65" i="90" s="1"/>
  <c r="E109" i="97"/>
  <c r="E65" i="90" s="1"/>
  <c r="E9" i="99"/>
  <c r="E14" i="99" s="1"/>
  <c r="E60" i="90"/>
  <c r="U9" i="99"/>
  <c r="U60" i="90"/>
  <c r="U109" i="97"/>
  <c r="Y60" i="90"/>
  <c r="Y9" i="99"/>
  <c r="Y14" i="99" s="1"/>
  <c r="Y109" i="97"/>
  <c r="Y65" i="90" s="1"/>
  <c r="Y92" i="97"/>
  <c r="AB60" i="90"/>
  <c r="AB9" i="99"/>
  <c r="H142" i="97"/>
  <c r="K85" i="97"/>
  <c r="I125" i="97"/>
  <c r="D90" i="97"/>
  <c r="D104" i="97"/>
  <c r="N90" i="97"/>
  <c r="N104" i="97"/>
  <c r="F9" i="99"/>
  <c r="F14" i="99" s="1"/>
  <c r="F60" i="90"/>
  <c r="F109" i="97"/>
  <c r="F65" i="90" s="1"/>
  <c r="G111" i="90"/>
  <c r="G112" i="90"/>
  <c r="G113" i="90"/>
  <c r="AA14" i="99"/>
  <c r="AE47" i="90"/>
  <c r="AB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4" i="90"/>
  <c r="AC9" i="39"/>
  <c r="AC14" i="39" s="1"/>
  <c r="V76" i="90"/>
  <c r="W26" i="90"/>
  <c r="W76" i="90"/>
  <c r="V47" i="90"/>
  <c r="W47" i="90"/>
  <c r="V26" i="90"/>
  <c r="H142" i="22"/>
  <c r="AB90" i="79"/>
  <c r="D10" i="90"/>
  <c r="D111" i="90" s="1"/>
  <c r="G9" i="90"/>
  <c r="G110" i="90" s="1"/>
  <c r="K85" i="22"/>
  <c r="D90" i="22"/>
  <c r="I127" i="79"/>
  <c r="D106" i="79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K85" i="79"/>
  <c r="M85" i="79" s="1"/>
  <c r="O85" i="79" s="1"/>
  <c r="D104" i="79"/>
  <c r="AF85" i="79"/>
  <c r="I45" i="81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09" i="79"/>
  <c r="AE48" i="90" s="1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U14" i="81"/>
  <c r="G9" i="76"/>
  <c r="G14" i="76" s="1"/>
  <c r="G109" i="75"/>
  <c r="G31" i="90" s="1"/>
  <c r="AB13" i="8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D109" i="85" l="1"/>
  <c r="D32" i="36" s="1"/>
  <c r="D142" i="79"/>
  <c r="L142" i="79" s="1"/>
  <c r="D109" i="79"/>
  <c r="D30" i="36" s="1"/>
  <c r="N76" i="90"/>
  <c r="N109" i="85"/>
  <c r="AE14" i="81"/>
  <c r="H147" i="22"/>
  <c r="AF90" i="97"/>
  <c r="H45" i="99"/>
  <c r="U14" i="99"/>
  <c r="Y16" i="99" s="1"/>
  <c r="K64" i="90"/>
  <c r="M108" i="97"/>
  <c r="D62" i="90"/>
  <c r="D11" i="99"/>
  <c r="K11" i="99" s="1"/>
  <c r="M11" i="99" s="1"/>
  <c r="O11" i="99" s="1"/>
  <c r="I5" i="98"/>
  <c r="N5" i="98" s="1"/>
  <c r="O5" i="98" s="1"/>
  <c r="P5" i="98" s="1"/>
  <c r="K106" i="97"/>
  <c r="D144" i="97"/>
  <c r="L144" i="97" s="1"/>
  <c r="M144" i="97" s="1"/>
  <c r="F45" i="99"/>
  <c r="I51" i="91"/>
  <c r="I32" i="99"/>
  <c r="E45" i="99"/>
  <c r="AF108" i="97"/>
  <c r="AF109" i="97" s="1"/>
  <c r="AF65" i="90" s="1"/>
  <c r="AB64" i="90"/>
  <c r="AB13" i="99"/>
  <c r="AB14" i="99" s="1"/>
  <c r="AF62" i="90"/>
  <c r="H147" i="97"/>
  <c r="H8" i="98" s="1"/>
  <c r="G3" i="98"/>
  <c r="N60" i="90"/>
  <c r="N9" i="99"/>
  <c r="J3" i="98"/>
  <c r="N109" i="97"/>
  <c r="E31" i="36" s="1"/>
  <c r="I3" i="98"/>
  <c r="D60" i="90"/>
  <c r="D109" i="97"/>
  <c r="D31" i="36" s="1"/>
  <c r="D9" i="99"/>
  <c r="K104" i="97"/>
  <c r="D142" i="97"/>
  <c r="Y111" i="97"/>
  <c r="U65" i="90"/>
  <c r="AF60" i="90"/>
  <c r="AD109" i="97"/>
  <c r="AD65" i="90" s="1"/>
  <c r="AD60" i="90"/>
  <c r="AD9" i="99"/>
  <c r="I131" i="97"/>
  <c r="I49" i="91"/>
  <c r="I30" i="99"/>
  <c r="K90" i="97"/>
  <c r="M85" i="97"/>
  <c r="I45" i="99"/>
  <c r="AC115" i="90"/>
  <c r="AC110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D144" i="79"/>
  <c r="L144" i="79" s="1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43" i="90"/>
  <c r="I131" i="79"/>
  <c r="I30" i="81"/>
  <c r="I131" i="75"/>
  <c r="I33" i="39"/>
  <c r="I32" i="39"/>
  <c r="AB109" i="79"/>
  <c r="AB48" i="90" s="1"/>
  <c r="AG85" i="79"/>
  <c r="AH85" i="79" s="1"/>
  <c r="D9" i="8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G3" i="77"/>
  <c r="H147" i="75"/>
  <c r="N90" i="79"/>
  <c r="N108" i="79"/>
  <c r="N109" i="79" s="1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29" i="36" s="1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F31" i="36" l="1"/>
  <c r="G31" i="36" s="1"/>
  <c r="D33" i="36"/>
  <c r="I55" i="91"/>
  <c r="M31" i="36"/>
  <c r="P31" i="36" s="1"/>
  <c r="N110" i="90"/>
  <c r="I94" i="91"/>
  <c r="K62" i="90"/>
  <c r="M106" i="97"/>
  <c r="I36" i="99"/>
  <c r="I46" i="99" s="1"/>
  <c r="M64" i="90"/>
  <c r="O108" i="97"/>
  <c r="O64" i="90" s="1"/>
  <c r="I92" i="91"/>
  <c r="AF64" i="90"/>
  <c r="L142" i="97"/>
  <c r="D147" i="97"/>
  <c r="K60" i="90"/>
  <c r="M104" i="97"/>
  <c r="K109" i="97"/>
  <c r="K65" i="90" s="1"/>
  <c r="I9" i="98"/>
  <c r="J22" i="36" s="1"/>
  <c r="D65" i="90"/>
  <c r="N65" i="90"/>
  <c r="G9" i="98"/>
  <c r="H22" i="36" s="1"/>
  <c r="H3" i="98"/>
  <c r="H9" i="98" s="1"/>
  <c r="I22" i="36" s="1"/>
  <c r="O85" i="97"/>
  <c r="M90" i="97"/>
  <c r="N47" i="90"/>
  <c r="N14" i="99"/>
  <c r="N45" i="99" s="1"/>
  <c r="K9" i="99"/>
  <c r="D14" i="99"/>
  <c r="D45" i="99" s="1"/>
  <c r="N3" i="98"/>
  <c r="I27" i="91"/>
  <c r="M29" i="36"/>
  <c r="I41" i="91"/>
  <c r="M30" i="36"/>
  <c r="P30" i="36" s="1"/>
  <c r="N31" i="90"/>
  <c r="E29" i="36"/>
  <c r="F29" i="36" s="1"/>
  <c r="G29" i="36" s="1"/>
  <c r="D81" i="90"/>
  <c r="D31" i="90"/>
  <c r="N81" i="90"/>
  <c r="E32" i="36"/>
  <c r="F32" i="36" s="1"/>
  <c r="D48" i="90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D146" i="79"/>
  <c r="AG50" i="69"/>
  <c r="AF52" i="69"/>
  <c r="AG52" i="69" s="1"/>
  <c r="G32" i="36" l="1"/>
  <c r="Q31" i="36"/>
  <c r="N8" i="98"/>
  <c r="O8" i="98" s="1"/>
  <c r="P8" i="98" s="1"/>
  <c r="AG108" i="97"/>
  <c r="AH108" i="97" s="1"/>
  <c r="I98" i="91"/>
  <c r="M62" i="90"/>
  <c r="O106" i="97"/>
  <c r="M60" i="90"/>
  <c r="O104" i="97"/>
  <c r="M109" i="97"/>
  <c r="M65" i="90" s="1"/>
  <c r="O90" i="97"/>
  <c r="AG85" i="97"/>
  <c r="L147" i="97"/>
  <c r="M147" i="97" s="1"/>
  <c r="M142" i="97"/>
  <c r="O3" i="98"/>
  <c r="K14" i="99"/>
  <c r="K45" i="99" s="1"/>
  <c r="M9" i="99"/>
  <c r="O13" i="99"/>
  <c r="J9" i="98"/>
  <c r="K22" i="36" s="1"/>
  <c r="N7" i="98"/>
  <c r="O7" i="98" s="1"/>
  <c r="P7" i="98" s="1"/>
  <c r="M33" i="36"/>
  <c r="N48" i="90"/>
  <c r="E30" i="36"/>
  <c r="F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E33" i="36" l="1"/>
  <c r="O62" i="90"/>
  <c r="AG106" i="97"/>
  <c r="AH106" i="97" s="1"/>
  <c r="AH85" i="97"/>
  <c r="AG90" i="97"/>
  <c r="AH90" i="97" s="1"/>
  <c r="O60" i="90"/>
  <c r="O109" i="97"/>
  <c r="O65" i="90" s="1"/>
  <c r="AG104" i="97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H3" i="36" s="1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F33" i="36" l="1"/>
  <c r="G33" i="36" s="1"/>
  <c r="G30" i="36"/>
  <c r="Q30" i="36" s="1"/>
  <c r="O45" i="99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J13" i="79" s="1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K143" i="22"/>
  <c r="M31" i="22"/>
  <c r="O31" i="22" s="1"/>
  <c r="AF32" i="22"/>
  <c r="W33" i="22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107" i="22"/>
  <c r="D26" i="93" s="1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E107" i="22"/>
  <c r="E26" i="93" s="1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K12" i="79"/>
  <c r="M12" i="79" s="1"/>
  <c r="O12" i="79" s="1"/>
  <c r="AD12" i="79"/>
  <c r="AF12" i="79" s="1"/>
  <c r="AD10" i="22"/>
  <c r="AF10" i="22" s="1"/>
  <c r="J10" i="79"/>
  <c r="H9" i="36"/>
  <c r="I25" i="36" s="1"/>
  <c r="D69" i="91"/>
  <c r="I32" i="36"/>
  <c r="P32" i="36" s="1"/>
  <c r="Q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I28" i="94" s="1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08" i="79"/>
  <c r="J47" i="90" s="1"/>
  <c r="AD13" i="22"/>
  <c r="AF13" i="22" s="1"/>
  <c r="J106" i="79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K9" i="79" s="1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J26" i="93" s="1"/>
  <c r="J35" i="93" s="1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AA10" i="39"/>
  <c r="AB14" i="22"/>
  <c r="AE10" i="39"/>
  <c r="AE13" i="39"/>
  <c r="J6" i="36"/>
  <c r="N12" i="39"/>
  <c r="E12" i="39"/>
  <c r="AB108" i="22"/>
  <c r="K20" i="94" s="1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D34" i="36" l="1"/>
  <c r="F34" i="36"/>
  <c r="E34" i="36"/>
  <c r="AG12" i="79"/>
  <c r="AH12" i="79" s="1"/>
  <c r="J46" i="90"/>
  <c r="J12" i="81"/>
  <c r="K12" i="81" s="1"/>
  <c r="M12" i="81" s="1"/>
  <c r="O12" i="81" s="1"/>
  <c r="AD107" i="79"/>
  <c r="K107" i="79"/>
  <c r="J105" i="79"/>
  <c r="K10" i="79"/>
  <c r="M10" i="79" s="1"/>
  <c r="O10" i="79" s="1"/>
  <c r="AD10" i="79"/>
  <c r="AF10" i="79" s="1"/>
  <c r="L24" i="94"/>
  <c r="D27" i="91"/>
  <c r="D98" i="91" s="1"/>
  <c r="I29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Y111" i="22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114" i="90" s="1"/>
  <c r="J9" i="90"/>
  <c r="J45" i="90"/>
  <c r="J11" i="81"/>
  <c r="K11" i="81" s="1"/>
  <c r="M11" i="81" s="1"/>
  <c r="O11" i="81" s="1"/>
  <c r="AD106" i="79"/>
  <c r="AF11" i="99" s="1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M9" i="79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7" i="22"/>
  <c r="K26" i="93" s="1"/>
  <c r="K35" i="93" s="1"/>
  <c r="K105" i="22"/>
  <c r="K24" i="93" s="1"/>
  <c r="K33" i="93" s="1"/>
  <c r="AD106" i="22"/>
  <c r="M18" i="94" s="1"/>
  <c r="M26" i="94" s="1"/>
  <c r="K106" i="22"/>
  <c r="K25" i="93" s="1"/>
  <c r="K34" i="93" s="1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AD29" i="90" s="1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AD108" i="79"/>
  <c r="AF108" i="79" s="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N14" i="39"/>
  <c r="N44" i="39" s="1"/>
  <c r="AB13" i="39"/>
  <c r="U14" i="39"/>
  <c r="J25" i="36" l="1"/>
  <c r="J113" i="90"/>
  <c r="AG10" i="79"/>
  <c r="AH10" i="79" s="1"/>
  <c r="M107" i="79"/>
  <c r="K46" i="90"/>
  <c r="AD46" i="90"/>
  <c r="AD12" i="81"/>
  <c r="AF12" i="81" s="1"/>
  <c r="AG12" i="81" s="1"/>
  <c r="AH12" i="81" s="1"/>
  <c r="AF107" i="79"/>
  <c r="AF46" i="90" s="1"/>
  <c r="J44" i="90"/>
  <c r="J111" i="90" s="1"/>
  <c r="J10" i="81"/>
  <c r="K10" i="81" s="1"/>
  <c r="M10" i="81" s="1"/>
  <c r="O10" i="81" s="1"/>
  <c r="K105" i="79"/>
  <c r="AD105" i="79"/>
  <c r="J112" i="90"/>
  <c r="AG11" i="99"/>
  <c r="AH11" i="99" s="1"/>
  <c r="AD47" i="90"/>
  <c r="AF13" i="99"/>
  <c r="AG13" i="99" s="1"/>
  <c r="AH13" i="99" s="1"/>
  <c r="N29" i="94"/>
  <c r="L25" i="36"/>
  <c r="K25" i="36"/>
  <c r="I33" i="36"/>
  <c r="P29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M107" i="22"/>
  <c r="O107" i="22" s="1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M106" i="22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47" i="90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AF107" i="75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O25" i="36" l="1"/>
  <c r="AD113" i="90"/>
  <c r="O107" i="79"/>
  <c r="O46" i="90" s="1"/>
  <c r="M46" i="90"/>
  <c r="AF10" i="99"/>
  <c r="AG10" i="99" s="1"/>
  <c r="AH10" i="99" s="1"/>
  <c r="AF105" i="79"/>
  <c r="AD10" i="81"/>
  <c r="AF10" i="81" s="1"/>
  <c r="AG10" i="81" s="1"/>
  <c r="AH10" i="81" s="1"/>
  <c r="AD44" i="90"/>
  <c r="AD111" i="90" s="1"/>
  <c r="K44" i="90"/>
  <c r="K111" i="90" s="1"/>
  <c r="M105" i="79"/>
  <c r="AD114" i="90"/>
  <c r="AD112" i="90"/>
  <c r="K114" i="90"/>
  <c r="K113" i="90"/>
  <c r="K112" i="90"/>
  <c r="J115" i="90"/>
  <c r="AD14" i="99"/>
  <c r="AF9" i="99"/>
  <c r="Q29" i="36"/>
  <c r="Q33" i="36" s="1"/>
  <c r="P33" i="36"/>
  <c r="P35" i="36" s="1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109" i="79"/>
  <c r="AD48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O105" i="79"/>
  <c r="M44" i="90"/>
  <c r="M111" i="90" s="1"/>
  <c r="AF44" i="90"/>
  <c r="AF111" i="90" s="1"/>
  <c r="AD115" i="90"/>
  <c r="AF114" i="90"/>
  <c r="M114" i="90"/>
  <c r="M112" i="90"/>
  <c r="AF112" i="90"/>
  <c r="AF113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8" i="93" s="1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09" i="79"/>
  <c r="AF48" i="90" s="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44" i="90" l="1"/>
  <c r="O111" i="90" s="1"/>
  <c r="O109" i="79"/>
  <c r="AG105" i="79"/>
  <c r="AG109" i="79" s="1"/>
  <c r="AH109" i="79" s="1"/>
  <c r="AF115" i="90"/>
  <c r="AH9" i="99"/>
  <c r="AG14" i="99"/>
  <c r="AH14" i="99" s="1"/>
  <c r="M48" i="90"/>
  <c r="M115" i="90" s="1"/>
  <c r="AH108" i="22"/>
  <c r="O20" i="94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8" i="90" l="1"/>
  <c r="O115" i="90" s="1"/>
  <c r="O45" i="81"/>
  <c r="AH105" i="79"/>
  <c r="AG44" i="90"/>
  <c r="AG111" i="90" s="1"/>
  <c r="AG112" i="90"/>
  <c r="AG114" i="90"/>
  <c r="AG110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<sst xmlns="http://schemas.openxmlformats.org/spreadsheetml/2006/main" count="7999" uniqueCount="345">
  <si>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</si>
  <si>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</si>
  <si>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</si>
  <si>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</si>
  <si>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</si>
  <si>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</si>
  <si>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</si>
  <si>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</si>
  <si>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</si>
  <si>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</si>
  <si>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</si>
  <si>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</si>
  <si>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</si>
  <si>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</si>
  <si>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</si>
  <si>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</si>
  <si>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</si>
  <si>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</si>
  <si>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</si>
  <si>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</si>
  <si>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</si>
  <si>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</si>
  <si>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</si>
  <si>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</si>
  <si>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</si>
  <si>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</si>
  <si>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</si>
  <si>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</si>
  <si>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</si>
  <si>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</si>
  <si>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</si>
  <si>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</si>
  <si>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</si>
  <si>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</si>
  <si>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</si>
  <si>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</si>
  <si>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</si>
  <si>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</si>
  <si>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</si>
  <si>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</si>
  <si>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</si>
  <si>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</si>
  <si>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</si>
  <si>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</si>
  <si>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</si>
  <si>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</si>
  <si>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</si>
  <si>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</si>
  <si>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</si>
  <si>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</si>
  <si>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</si>
  <si>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</si>
  <si>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</si>
  <si>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</si>
  <si>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</si>
  <si>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</si>
  <si>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</si>
  <si>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</si>
  <si>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</si>
  <si>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</si>
  <si>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</si>
  <si>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</si>
  <si>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</si>
  <si>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</si>
  <si>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</si>
  <si>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</si>
  <si>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</si>
  <si>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</si>
  <si>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</si>
  <si>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</si>
  <si>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</si>
  <si>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</si>
  <si>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</si>
  <si>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</si>
  <si>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</si>
  <si>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</si>
  <si>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</si>
  <si>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</si>
  <si>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</si>
  <si>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</si>
  <si>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</si>
  <si>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</si>
  <si>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</si>
  <si>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</si>
  <si>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</si>
  <si>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</si>
  <si>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</si>
  <si>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</si>
  <si>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</si>
  <si>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</si>
  <si>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</si>
  <si>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</si>
  <si>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</si>
  <si>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</si>
  <si>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</si>
  <si>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</si>
  <si>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</si>
  <si>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</si>
  <si>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</si>
  <si>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</si>
  <si>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</si>
  <si>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</si>
  <si>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</si>
  <si>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</si>
  <si>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</si>
  <si>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</si>
  <si>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</si>
  <si>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</si>
  <si>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</si>
  <si>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</si>
  <si>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</si>
  <si>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</si>
  <si>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</si>
  <si>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</si>
  <si>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</si>
  <si>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</si>
  <si>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</si>
  <si>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</si>
  <si>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</si>
  <si>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</si>
  <si>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</si>
  <si>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</si>
  <si>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</si>
  <si>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</si>
  <si>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</si>
  <si>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</si>
  <si>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</si>
  <si>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</si>
  <si>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</si>
  <si>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</si>
  <si>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</si>
  <si>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</si>
  <si>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</si>
  <si>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</si>
  <si>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</si>
  <si>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</si>
  <si>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</si>
  <si>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</si>
  <si>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</si>
  <si>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</si>
  <si>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</si>
  <si>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</si>
  <si>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</si>
  <si>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</si>
  <si>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</si>
  <si>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</si>
  <si>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</si>
  <si>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</si>
  <si>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</si>
  <si>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</si>
  <si>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</si>
  <si>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</si>
  <si>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</si>
  <si>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</si>
  <si>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</si>
  <si>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</si>
  <si>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</si>
  <si>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</si>
  <si>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</si>
  <si>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</si>
  <si>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</si>
  <si>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</si>
  <si>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</si>
  <si>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</si>
  <si>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</si>
  <si>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RECIPRCIDAD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</si>
  <si>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</si>
  <si>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</si>
  <si>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</si>
  <si>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</si>
  <si>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</si>
  <si>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</si>
  <si>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</si>
  <si>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</si>
  <si>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</si>
  <si>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</si>
  <si>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</si>
  <si>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</si>
  <si>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</si>
  <si>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</si>
  <si>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</si>
  <si>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</si>
  <si>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</si>
  <si>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</si>
  <si>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</si>
  <si>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</si>
  <si>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</si>
  <si>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</si>
  <si>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</si>
  <si>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</si>
  <si>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</si>
  <si>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</si>
  <si>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</si>
  <si>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</si>
  <si>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</si>
  <si>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</si>
  <si>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</si>
  <si>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</si>
  <si>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</si>
  <si>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</si>
  <si>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</si>
  <si>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</si>
  <si>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</si>
  <si>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</si>
  <si>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</si>
  <si>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</si>
  <si>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</si>
  <si>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</si>
  <si>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</si>
  <si>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</si>
  <si>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</si>
  <si>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</si>
  <si>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</si>
  <si>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</si>
  <si>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</si>
  <si>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</si>
  <si>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</si>
  <si>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</si>
  <si>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</si>
  <si>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</si>
  <si>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</si>
  <si>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</si>
  <si>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</si>
  <si>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</si>
  <si>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</si>
  <si>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</si>
  <si>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</si>
  <si>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</si>
  <si>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</si>
  <si>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</si>
  <si>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</si>
  <si>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</si>
  <si>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</si>
  <si>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</si>
  <si>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</si>
  <si>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</si>
  <si>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</si>
  <si>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</si>
  <si>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</si>
  <si>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</si>
  <si>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</si>
  <si>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</si>
  <si>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</si>
  <si>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</si>
  <si>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</si>
  <si>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</si>
  <si>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</si>
  <si>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</si>
  <si>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</si>
  <si>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</si>
  <si>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</si>
  <si>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</si>
  <si>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</si>
  <si>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</si>
  <si>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</si>
  <si>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</si>
  <si>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</si>
  <si>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</si>
  <si>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</si>
  <si>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</si>
  <si>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</si>
  <si>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</si>
  <si>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</si>
  <si>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</si>
  <si>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</si>
  <si>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</si>
  <si>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</si>
  <si>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</si>
  <si>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</si>
  <si>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</si>
  <si>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</si>
  <si>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</si>
  <si>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</si>
  <si>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</si>
  <si>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</si>
  <si>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</si>
  <si>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</si>
  <si>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</si>
  <si>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</si>
  <si>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</si>
  <si>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</si>
  <si>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</si>
  <si>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</si>
  <si>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</si>
  <si>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</si>
  <si>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</si>
  <si>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</si>
  <si>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</si>
  <si>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</si>
  <si>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</si>
  <si>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</si>
  <si>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</si>
  <si>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</si>
  <si>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</si>
  <si>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</si>
  <si>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</si>
  <si>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</si>
  <si>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</si>
  <si>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</si>
  <si>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</si>
  <si>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</si>
  <si>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</si>
  <si>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</si>
  <si>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</si>
  <si>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</si>
  <si>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</si>
  <si>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</si>
  <si>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</si>
  <si>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</si>
  <si>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</si>
  <si>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</si>
  <si>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</si>
  <si>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</si>
  <si>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</si>
  <si>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</si>
  <si>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</si>
  <si>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</si>
  <si>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</si>
  <si>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</si>
  <si>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</si>
  <si>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</si>
  <si>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</si>
  <si>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</si>
  <si>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* Costos de Interventoría: remuneración 2026031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</si>
  <si>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</si>
  <si>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</si>
  <si>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</si>
  <si>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</si>
  <si>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</si>
  <si>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</si>
  <si>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</si>
  <si>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</si>
  <si>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A</t>
  </si>
  <si>
    <t>QUINCENA</t>
  </si>
  <si>
    <t>OJO/// DILIGENCIAR</t>
  </si>
  <si>
    <t>Recaudo ENERBIT - ASE 1</t>
  </si>
  <si>
    <t>Recaudo ENERBIT - ASE 2</t>
  </si>
  <si>
    <t>Recaudo ENERBIT - ASE 3</t>
  </si>
  <si>
    <t>Recaudo ENERBIT - ASE 4</t>
  </si>
  <si>
    <t>ENEL / RECIP.</t>
  </si>
  <si>
    <t>2026092</t>
  </si>
  <si>
    <t>02/10/2026</t>
  </si>
  <si>
    <t>10:43 AM</t>
  </si>
  <si>
    <t>16/09/2026</t>
  </si>
  <si>
    <t>30/09/2026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</si>
</sst>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3" fillId="0" borderId="0"/>
    <xf numFmtId="165" fontId="64" fillId="0" borderId="0" applyFont="0" applyFill="0" applyBorder="0" applyAlignment="0" applyProtection="0"/>
    <xf numFmtId="0" fontId="19" fillId="0" borderId="0"/>
    <xf numFmtId="0" fontId="66" fillId="0" borderId="0"/>
  </cellStyleXfs>
  <cellXfs count="786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4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20" xfId="2601" applyFont="1" applyFill="1" applyBorder="1" applyAlignment="1">
      <alignment horizontal="center"/>
    </xf>
    <xf numFmtId="164" fontId="41" fillId="38" borderId="45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5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5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9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6" xfId="2604" applyFont="1" applyBorder="1"/>
    <xf numFmtId="164" fontId="22" fillId="40" borderId="11" xfId="2604" applyFont="1" applyFill="1" applyBorder="1"/>
    <xf numFmtId="164" fontId="22" fillId="40" borderId="57" xfId="2604" applyFont="1" applyFill="1" applyBorder="1" applyAlignment="1">
      <alignment horizontal="center"/>
    </xf>
    <xf numFmtId="164" fontId="22" fillId="40" borderId="65" xfId="2604" applyFont="1" applyFill="1" applyBorder="1" applyAlignment="1">
      <alignment horizontal="center"/>
    </xf>
    <xf numFmtId="0" fontId="22" fillId="0" borderId="0" xfId="2" applyFont="1"/>
    <xf numFmtId="164" fontId="0" fillId="0" borderId="54" xfId="2604" applyFont="1" applyBorder="1"/>
    <xf numFmtId="164" fontId="0" fillId="0" borderId="40" xfId="2604" applyFont="1" applyBorder="1"/>
    <xf numFmtId="164" fontId="0" fillId="0" borderId="52" xfId="2604" applyFont="1" applyBorder="1"/>
    <xf numFmtId="164" fontId="0" fillId="0" borderId="55" xfId="2604" applyFont="1" applyBorder="1"/>
    <xf numFmtId="164" fontId="0" fillId="0" borderId="68" xfId="2604" applyFont="1" applyBorder="1" applyAlignment="1">
      <alignment horizontal="right"/>
    </xf>
    <xf numFmtId="164" fontId="0" fillId="40" borderId="17" xfId="2604" applyFont="1" applyFill="1" applyBorder="1"/>
    <xf numFmtId="164" fontId="0" fillId="40" borderId="18" xfId="2604" applyFont="1" applyFill="1" applyBorder="1"/>
    <xf numFmtId="164" fontId="0" fillId="40" borderId="46" xfId="2604" applyFont="1" applyFill="1" applyBorder="1"/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9" xfId="2604" applyFont="1" applyBorder="1"/>
    <xf numFmtId="164" fontId="0" fillId="0" borderId="60" xfId="2604" applyFont="1" applyBorder="1"/>
    <xf numFmtId="164" fontId="22" fillId="39" borderId="19" xfId="2604" applyFont="1" applyFill="1" applyBorder="1"/>
    <xf numFmtId="164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164" fontId="0" fillId="51" borderId="3" xfId="2601" applyFont="1" applyFill="1" applyBorder="1" applyAlignment="1">
      <alignment vertical="top"/>
    </xf>
    <xf numFmtId="164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22" fillId="0" borderId="3" xfId="0" applyNumberFormat="1" applyFont="1" applyBorder="1"/>
    <xf numFmtId="164" fontId="0" fillId="34" borderId="0" xfId="0" applyNumberFormat="1" applyFill="1"/>
    <xf numFmtId="164" fontId="19" fillId="0" borderId="63" xfId="0" applyNumberFormat="1" applyFont="1" applyBorder="1"/>
    <xf numFmtId="164" fontId="22" fillId="0" borderId="19" xfId="0" applyNumberFormat="1" applyFont="1" applyBorder="1"/>
    <xf numFmtId="164" fontId="22" fillId="0" borderId="20" xfId="0" applyNumberFormat="1" applyFont="1" applyBorder="1"/>
    <xf numFmtId="164" fontId="22" fillId="0" borderId="45" xfId="0" applyNumberFormat="1" applyFont="1" applyBorder="1"/>
    <xf numFmtId="164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4" fontId="22" fillId="0" borderId="16" xfId="0" applyNumberFormat="1" applyFont="1" applyBorder="1"/>
    <xf numFmtId="164" fontId="22" fillId="0" borderId="49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0" borderId="51" xfId="2604" applyFont="1" applyFill="1" applyBorder="1"/>
    <xf numFmtId="164" fontId="0" fillId="0" borderId="4" xfId="2604" applyFont="1" applyFill="1" applyBorder="1"/>
    <xf numFmtId="164" fontId="0" fillId="0" borderId="3" xfId="2604" applyFont="1" applyFill="1" applyBorder="1"/>
    <xf numFmtId="164" fontId="0" fillId="45" borderId="23" xfId="2604" applyFont="1" applyFill="1" applyBorder="1" applyAlignment="1">
      <alignment horizontal="right"/>
    </xf>
    <xf numFmtId="164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4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4" fontId="41" fillId="38" borderId="19" xfId="2601" applyFont="1" applyFill="1" applyBorder="1" applyAlignment="1">
      <alignment horizontal="center"/>
    </xf>
    <xf numFmtId="164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5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4" xfId="2601" applyFont="1" applyBorder="1"/>
    <xf numFmtId="164" fontId="0" fillId="0" borderId="58" xfId="2601" applyFont="1" applyBorder="1"/>
    <xf numFmtId="164" fontId="41" fillId="34" borderId="64" xfId="2601" applyFont="1" applyFill="1" applyBorder="1"/>
    <xf numFmtId="164" fontId="0" fillId="55" borderId="18" xfId="2601" applyFont="1" applyFill="1" applyBorder="1"/>
    <xf numFmtId="164" fontId="41" fillId="34" borderId="73" xfId="2601" applyFont="1" applyFill="1" applyBorder="1"/>
    <xf numFmtId="164" fontId="41" fillId="55" borderId="51" xfId="2601" applyFont="1" applyFill="1" applyBorder="1" applyAlignment="1">
      <alignment horizontal="left"/>
    </xf>
    <xf numFmtId="164" fontId="0" fillId="55" borderId="57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8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4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5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7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5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6" xfId="2604" applyNumberFormat="1" applyFont="1" applyBorder="1"/>
    <xf numFmtId="181" fontId="0" fillId="34" borderId="0" xfId="2601" applyNumberFormat="1" applyFont="1" applyFill="1"/>
    <xf numFmtId="180" fontId="65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6" xfId="2599" applyNumberFormat="1" applyFont="1" applyBorder="1"/>
    <xf numFmtId="175" fontId="25" fillId="0" borderId="81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6" fillId="0" borderId="0" xfId="2617"/>
    <xf numFmtId="49" fontId="66" fillId="0" borderId="3" xfId="2617" applyNumberFormat="1" applyBorder="1"/>
    <xf numFmtId="183" fontId="66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4" fontId="0" fillId="0" borderId="0" xfId="2601" applyFont="1" applyAlignment="1">
      <alignment horizontal="right"/>
    </xf>
    <xf numFmtId="184" fontId="0" fillId="0" borderId="0" xfId="0" applyNumberFormat="1"/>
    <xf numFmtId="184" fontId="22" fillId="0" borderId="0" xfId="0" applyNumberFormat="1" applyFont="1"/>
    <xf numFmtId="184" fontId="0" fillId="0" borderId="0" xfId="0" applyNumberFormat="1" applyAlignment="1">
      <alignment vertical="top"/>
    </xf>
    <xf numFmtId="184" fontId="19" fillId="36" borderId="0" xfId="0" applyNumberFormat="1" applyFont="1" applyFill="1" applyAlignment="1">
      <alignment vertical="top"/>
    </xf>
    <xf numFmtId="184" fontId="19" fillId="0" borderId="0" xfId="0" applyNumberFormat="1" applyFont="1" applyAlignment="1">
      <alignment vertical="top"/>
    </xf>
    <xf numFmtId="184" fontId="0" fillId="55" borderId="0" xfId="0" applyNumberFormat="1" applyFill="1"/>
    <xf numFmtId="184" fontId="0" fillId="55" borderId="0" xfId="0" applyNumberFormat="1" applyFill="1" applyAlignment="1">
      <alignment vertical="top"/>
    </xf>
    <xf numFmtId="184" fontId="0" fillId="54" borderId="0" xfId="0" applyNumberFormat="1" applyFill="1"/>
    <xf numFmtId="184" fontId="0" fillId="54" borderId="0" xfId="0" applyNumberFormat="1" applyFill="1" applyAlignment="1">
      <alignment vertical="top"/>
    </xf>
    <xf numFmtId="184" fontId="0" fillId="38" borderId="0" xfId="0" applyNumberFormat="1" applyFill="1"/>
    <xf numFmtId="184" fontId="0" fillId="38" borderId="0" xfId="0" applyNumberFormat="1" applyFill="1" applyAlignment="1">
      <alignment vertical="top"/>
    </xf>
    <xf numFmtId="184" fontId="19" fillId="38" borderId="0" xfId="0" applyNumberFormat="1" applyFont="1" applyFill="1" applyAlignment="1">
      <alignment vertical="top"/>
    </xf>
    <xf numFmtId="184" fontId="0" fillId="33" borderId="0" xfId="0" applyNumberFormat="1" applyFill="1" applyAlignment="1">
      <alignment vertical="top"/>
    </xf>
    <xf numFmtId="184" fontId="19" fillId="33" borderId="0" xfId="0" applyNumberFormat="1" applyFont="1" applyFill="1" applyAlignment="1">
      <alignment vertical="top"/>
    </xf>
    <xf numFmtId="184" fontId="0" fillId="41" borderId="0" xfId="0" applyNumberFormat="1" applyFill="1" applyAlignment="1">
      <alignment vertical="top"/>
    </xf>
    <xf numFmtId="184" fontId="0" fillId="41" borderId="0" xfId="0" applyNumberFormat="1" applyFill="1"/>
    <xf numFmtId="184" fontId="0" fillId="46" borderId="0" xfId="0" applyNumberFormat="1" applyFill="1" applyAlignment="1">
      <alignment vertical="top"/>
    </xf>
    <xf numFmtId="184" fontId="0" fillId="39" borderId="0" xfId="0" applyNumberFormat="1" applyFill="1" applyAlignment="1">
      <alignment vertical="top"/>
    </xf>
    <xf numFmtId="184" fontId="0" fillId="48" borderId="0" xfId="0" applyNumberFormat="1" applyFill="1" applyAlignment="1">
      <alignment vertical="top"/>
    </xf>
    <xf numFmtId="184" fontId="0" fillId="37" borderId="0" xfId="0" applyNumberFormat="1" applyFill="1"/>
    <xf numFmtId="184" fontId="19" fillId="54" borderId="0" xfId="0" applyNumberFormat="1" applyFont="1" applyFill="1" applyAlignment="1">
      <alignment vertical="top"/>
    </xf>
    <xf numFmtId="184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6" fontId="0" fillId="0" borderId="3" xfId="0" applyNumberFormat="1" applyBorder="1" applyAlignment="1">
      <alignment horizontal="center" vertical="center"/>
    </xf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6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7" fillId="0" borderId="3" xfId="2617" quotePrefix="1" applyNumberFormat="1" applyFont="1" applyBorder="1"/>
    <xf numFmtId="4" fontId="66" fillId="0" borderId="3" xfId="2617" quotePrefix="1" applyNumberFormat="1" applyBorder="1"/>
    <xf numFmtId="4" fontId="66" fillId="0" borderId="0" xfId="2617" applyNumberFormat="1"/>
    <xf numFmtId="166" fontId="66" fillId="0" borderId="0" xfId="2617" applyNumberFormat="1"/>
    <xf numFmtId="4" fontId="67" fillId="0" borderId="3" xfId="2617" applyNumberFormat="1" applyFont="1" applyBorder="1"/>
    <xf numFmtId="0" fontId="67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49" fontId="68" fillId="0" borderId="3" xfId="0" applyNumberFormat="1" applyFont="1" applyBorder="1" applyAlignment="1">
      <alignment horizontal="center" vertical="center"/>
    </xf>
    <xf numFmtId="49" fontId="68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6" fillId="0" borderId="3" xfId="2617" applyNumberFormat="1" applyBorder="1"/>
    <xf numFmtId="0" fontId="69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4" fontId="55" fillId="59" borderId="72" xfId="2604" applyFont="1" applyFill="1" applyBorder="1"/>
    <xf numFmtId="164" fontId="55" fillId="59" borderId="43" xfId="2604" applyFont="1" applyFill="1" applyBorder="1"/>
    <xf numFmtId="164" fontId="55" fillId="0" borderId="43" xfId="2604" applyFont="1" applyFill="1" applyBorder="1"/>
    <xf numFmtId="164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4" fontId="55" fillId="59" borderId="55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4" fontId="55" fillId="59" borderId="79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80" xfId="2604" applyFont="1" applyFill="1" applyBorder="1"/>
    <xf numFmtId="172" fontId="62" fillId="36" borderId="11" xfId="2604" applyNumberFormat="1" applyFont="1" applyFill="1" applyBorder="1"/>
    <xf numFmtId="164" fontId="62" fillId="59" borderId="11" xfId="2604" applyFont="1" applyFill="1" applyBorder="1"/>
    <xf numFmtId="164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9" xfId="2604" applyFont="1" applyFill="1" applyBorder="1"/>
    <xf numFmtId="164" fontId="19" fillId="0" borderId="3" xfId="2604" applyFont="1" applyBorder="1"/>
    <xf numFmtId="164" fontId="55" fillId="36" borderId="46" xfId="2604" applyFont="1" applyFill="1" applyBorder="1"/>
    <xf numFmtId="164" fontId="19" fillId="0" borderId="3" xfId="2604" applyFont="1" applyFill="1" applyBorder="1"/>
    <xf numFmtId="164" fontId="62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6" fillId="0" borderId="0" xfId="2617" applyNumberFormat="1"/>
    <xf numFmtId="164" fontId="66" fillId="0" borderId="3" xfId="2617" applyNumberFormat="1" applyBorder="1"/>
    <xf numFmtId="167" fontId="66" fillId="0" borderId="0" xfId="2617" applyNumberFormat="1"/>
    <xf numFmtId="187" fontId="66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6" fillId="0" borderId="3" xfId="2617" applyNumberFormat="1" applyBorder="1"/>
    <xf numFmtId="191" fontId="66" fillId="0" borderId="3" xfId="2617" applyNumberFormat="1" applyBorder="1"/>
    <xf numFmtId="192" fontId="25" fillId="0" borderId="0" xfId="2599" applyNumberFormat="1" applyFont="1"/>
    <xf numFmtId="184" fontId="19" fillId="46" borderId="0" xfId="0" applyNumberFormat="1" applyFont="1" applyFill="1" applyAlignment="1">
      <alignment vertical="top"/>
    </xf>
    <xf numFmtId="193" fontId="66" fillId="0" borderId="3" xfId="2617" applyNumberFormat="1" applyBorder="1"/>
    <xf numFmtId="194" fontId="0" fillId="0" borderId="3" xfId="0" applyNumberFormat="1" applyBorder="1"/>
    <xf numFmtId="164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84" fontId="0" fillId="53" borderId="0" xfId="0" applyNumberFormat="1" applyFill="1" applyAlignment="1">
      <alignment vertical="top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0" fontId="0" fillId="52" borderId="0" xfId="0" applyFill="1"/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164" fontId="0" fillId="0" borderId="17" xfId="0" applyNumberFormat="1" applyBorder="1"/>
    <xf numFmtId="164" fontId="0" fillId="0" borderId="18" xfId="0" applyNumberFormat="1" applyBorder="1"/>
    <xf numFmtId="0" fontId="56" fillId="0" borderId="1" xfId="0" applyFont="1" applyBorder="1"/>
    <xf numFmtId="164" fontId="0" fillId="0" borderId="16" xfId="0" applyNumberFormat="1" applyBorder="1"/>
    <xf numFmtId="164" fontId="22" fillId="0" borderId="17" xfId="0" applyNumberFormat="1" applyFont="1" applyBorder="1"/>
    <xf numFmtId="164" fontId="22" fillId="0" borderId="46" xfId="0" applyNumberFormat="1" applyFont="1" applyBorder="1"/>
    <xf numFmtId="0" fontId="19" fillId="38" borderId="0" xfId="0" applyFont="1" applyFill="1" applyAlignment="1">
      <alignment vertical="top"/>
    </xf>
    <xf numFmtId="0" fontId="69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/>
    </xf>
    <xf numFmtId="0" fontId="0" fillId="48" borderId="0" xfId="0" applyFill="1"/>
    <xf numFmtId="4" fontId="19" fillId="48" borderId="0" xfId="0" applyNumberFormat="1" applyFont="1" applyFill="1" applyAlignment="1">
      <alignment vertical="top"/>
    </xf>
    <xf numFmtId="0" fontId="19" fillId="38" borderId="0" xfId="0" applyFont="1" applyFill="1"/>
    <xf numFmtId="0" fontId="0" fillId="49" borderId="0" xfId="0" applyFill="1"/>
    <xf numFmtId="0" fontId="0" fillId="34" borderId="0" xfId="0" applyFill="1" applyAlignment="1">
      <alignment horizontal="right"/>
    </xf>
    <xf numFmtId="0" fontId="72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0" fontId="19" fillId="35" borderId="0" xfId="0" applyFont="1" applyFill="1"/>
    <xf numFmtId="4" fontId="19" fillId="35" borderId="0" xfId="0" applyNumberFormat="1" applyFont="1" applyFill="1" applyAlignment="1">
      <alignment vertical="top"/>
    </xf>
    <xf numFmtId="0" fontId="19" fillId="35" borderId="0" xfId="0" applyFont="1" applyFill="1" applyAlignment="1">
      <alignment vertical="top"/>
    </xf>
    <xf numFmtId="184" fontId="0" fillId="33" borderId="0" xfId="0" applyNumberFormat="1" applyFill="1"/>
    <xf numFmtId="184" fontId="0" fillId="35" borderId="0" xfId="0" applyNumberFormat="1" applyFill="1"/>
    <xf numFmtId="184" fontId="19" fillId="35" borderId="0" xfId="0" applyNumberFormat="1" applyFont="1" applyFill="1" applyAlignment="1">
      <alignment vertical="top"/>
    </xf>
    <xf numFmtId="184" fontId="0" fillId="35" borderId="0" xfId="0" applyNumberFormat="1" applyFill="1" applyAlignment="1">
      <alignment vertical="top"/>
    </xf>
    <xf numFmtId="164" fontId="0" fillId="0" borderId="63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2" fillId="50" borderId="11" xfId="0" applyFont="1" applyFill="1" applyBorder="1" applyAlignment="1">
      <alignment horizontal="center" vertical="center"/>
    </xf>
    <xf numFmtId="164" fontId="55" fillId="0" borderId="0" xfId="2601" applyFont="1"/>
    <xf numFmtId="184" fontId="0" fillId="47" borderId="0" xfId="0" applyNumberFormat="1" applyFill="1"/>
    <xf numFmtId="184" fontId="0" fillId="47" borderId="0" xfId="0" applyNumberFormat="1" applyFill="1" applyAlignment="1">
      <alignment vertical="top"/>
    </xf>
    <xf numFmtId="184" fontId="19" fillId="47" borderId="0" xfId="0" applyNumberFormat="1" applyFont="1" applyFill="1" applyAlignment="1">
      <alignment vertical="top"/>
    </xf>
    <xf numFmtId="184" fontId="0" fillId="42" borderId="0" xfId="0" applyNumberFormat="1" applyFill="1" applyAlignment="1">
      <alignment vertical="top"/>
    </xf>
    <xf numFmtId="184" fontId="19" fillId="42" borderId="0" xfId="0" applyNumberFormat="1" applyFont="1" applyFill="1" applyAlignment="1">
      <alignment vertical="top"/>
    </xf>
    <xf numFmtId="0" fontId="62" fillId="49" borderId="11" xfId="0" applyFont="1" applyFill="1" applyBorder="1" applyAlignment="1">
      <alignment horizontal="center" vertical="center"/>
    </xf>
    <xf numFmtId="0" fontId="19" fillId="48" borderId="0" xfId="0" applyFont="1" applyFill="1" applyAlignment="1">
      <alignment vertical="top"/>
    </xf>
    <xf numFmtId="173" fontId="0" fillId="61" borderId="3" xfId="0" applyNumberFormat="1" applyFill="1" applyBorder="1"/>
    <xf numFmtId="164" fontId="0" fillId="0" borderId="3" xfId="2601" applyFon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9" fillId="54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56" fillId="0" borderId="0" xfId="0" applyFont="1" applyAlignment="1">
      <alignment horizontal="center"/>
    </xf>
    <xf numFmtId="184" fontId="22" fillId="34" borderId="0" xfId="0" applyNumberFormat="1" applyFont="1" applyFill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184" fontId="22" fillId="0" borderId="0" xfId="0" applyNumberFormat="1" applyFont="1" applyAlignment="1">
      <alignment horizontal="center" vertical="center" wrapText="1"/>
    </xf>
    <xf numFmtId="164" fontId="62" fillId="0" borderId="5" xfId="0" applyNumberFormat="1" applyFont="1" applyBorder="1" applyAlignment="1">
      <alignment horizontal="center"/>
    </xf>
    <xf numFmtId="164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CCFFCC"/>
      <color rgb="FF9ACDD4"/>
      <color rgb="FFFFFF00"/>
      <color rgb="FF00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64063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1459442</xdr:colOff>
      <xdr:row>25</xdr:row>
      <xdr:rowOff>25846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45012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64062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1282700</xdr:colOff>
      <xdr:row>101</xdr:row>
      <xdr:rowOff>105337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143437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0</xdr:row>
      <xdr:rowOff>114300</xdr:rowOff>
    </xdr:from>
    <xdr:to>
      <xdr:col>19</xdr:col>
      <xdr:colOff>981075</xdr:colOff>
      <xdr:row>5</xdr:row>
      <xdr:rowOff>130737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9275" y="114300"/>
          <a:ext cx="149542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48187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825500</xdr:colOff>
      <xdr:row>44</xdr:row>
      <xdr:rowOff>6912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86287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83112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787400</xdr:colOff>
      <xdr:row>101</xdr:row>
      <xdr:rowOff>121212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I30" sqref="I30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5.109375" style="167" customWidth="1"/>
    <col min="5" max="5" width="20.441406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3.8" thickBot="1" x14ac:dyDescent="0.3"/>
    <row r="2" spans="2:13" s="102" customFormat="1" ht="13.8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3.5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  <c r="J6" s="728"/>
    </row>
    <row r="7" spans="2:13" ht="13.5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8"/>
    </row>
    <row r="8" spans="2:13" ht="13.8" thickBot="1" x14ac:dyDescent="0.3">
      <c r="C8" s="182" t="s">
        <v>89</v>
      </c>
      <c r="D8" s="183"/>
      <c r="E8" s="184"/>
      <c r="F8" s="184"/>
      <c r="G8" s="185"/>
      <c r="J8" s="728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  <c r="J9" s="728"/>
    </row>
    <row r="10" spans="2:13" ht="13.8" thickBot="1" x14ac:dyDescent="0.3"/>
    <row r="11" spans="2:13" s="102" customFormat="1" ht="13.8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3.8" thickBot="1" x14ac:dyDescent="0.3">
      <c r="C17" s="182" t="s">
        <v>89</v>
      </c>
      <c r="D17" s="183"/>
      <c r="E17" s="184"/>
      <c r="F17" s="184"/>
      <c r="G17" s="185"/>
    </row>
    <row r="18" spans="1:11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3.8" thickBot="1" x14ac:dyDescent="0.3"/>
    <row r="20" spans="1:11" ht="13.8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F31" si="0">E9=SUM(E3:E8)</f>
        <v>1</v>
      </c>
      <c r="F31" s="167" t="b">
        <f t="shared" si="0"/>
        <v>1</v>
      </c>
      <c r="G31" s="167" t="b">
        <f>G9=SUM(G3:G8)</f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B1" sqref="B1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4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B2" sqref="B2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4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>
      <selection activeCell="B2" sqref="B2"/>
    </sheetView>
  </sheetViews>
  <sheetFormatPr baseColWidth="10" defaultColWidth="11.44140625" defaultRowHeight="13.2" x14ac:dyDescent="0.25"/>
  <cols>
    <col min="1" max="1" width="2.109375" style="213" customWidth="1"/>
    <col min="2" max="2" width="25" style="213" bestFit="1" customWidth="1"/>
    <col min="3" max="3" width="4.88671875" style="213" bestFit="1" customWidth="1"/>
    <col min="4" max="4" width="13.88671875" style="167" bestFit="1" customWidth="1"/>
    <col min="5" max="5" width="19" style="167" bestFit="1" customWidth="1"/>
    <col min="6" max="6" width="13.88671875" style="167" bestFit="1" customWidth="1"/>
    <col min="7" max="7" width="19" style="167" bestFit="1" customWidth="1"/>
    <col min="8" max="8" width="3.88671875" style="167" customWidth="1"/>
    <col min="9" max="9" width="20" style="167" bestFit="1" customWidth="1"/>
    <col min="10" max="10" width="26.5546875" style="167" bestFit="1" customWidth="1"/>
    <col min="11" max="13" width="19.88671875" style="167" customWidth="1"/>
    <col min="14" max="16384" width="11.44140625" style="213"/>
  </cols>
  <sheetData>
    <row r="1" spans="2:13" ht="13.8" thickBot="1" x14ac:dyDescent="0.3"/>
    <row r="2" spans="2:13" s="214" customFormat="1" ht="13.8" thickBot="1" x14ac:dyDescent="0.3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25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25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25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25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25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183"/>
      <c r="E8" s="184"/>
      <c r="F8" s="184"/>
      <c r="G8" s="185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/>
    <row r="11" spans="2:13" s="214" customFormat="1" ht="13.8" thickBot="1" x14ac:dyDescent="0.3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25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82" t="s">
        <v>89</v>
      </c>
      <c r="D17" s="183"/>
      <c r="E17" s="184"/>
      <c r="F17" s="184"/>
      <c r="G17" s="185"/>
    </row>
    <row r="18" spans="1:13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3" ht="13.8" thickBot="1" x14ac:dyDescent="0.3"/>
    <row r="20" spans="1:13" ht="13.8" thickBot="1" x14ac:dyDescent="0.3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G9" sqref="G9"/>
    </sheetView>
  </sheetViews>
  <sheetFormatPr baseColWidth="10" defaultColWidth="11.44140625" defaultRowHeight="13.2" x14ac:dyDescent="0.25"/>
  <cols>
    <col min="1" max="1" width="2.109375" style="166" customWidth="1"/>
    <col min="2" max="2" width="12.88671875" style="166" bestFit="1" customWidth="1"/>
    <col min="3" max="3" width="7.109375" style="166" customWidth="1"/>
    <col min="4" max="4" width="15.109375" style="167" customWidth="1"/>
    <col min="5" max="5" width="20.441406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  <col min="14" max="16384" width="11.44140625" style="166"/>
  </cols>
  <sheetData>
    <row r="1" spans="2:13" ht="13.8" thickBot="1" x14ac:dyDescent="0.3"/>
    <row r="2" spans="2:13" s="168" customFormat="1" ht="13.8" thickBot="1" x14ac:dyDescent="0.3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277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278">
        <v>0</v>
      </c>
      <c r="E4" s="180">
        <v>0</v>
      </c>
      <c r="F4" s="180">
        <v>0</v>
      </c>
      <c r="G4" s="181">
        <v>0</v>
      </c>
      <c r="J4" s="728"/>
    </row>
    <row r="5" spans="2:13" x14ac:dyDescent="0.25">
      <c r="C5" s="178">
        <v>3</v>
      </c>
      <c r="D5" s="278">
        <v>0</v>
      </c>
      <c r="E5" s="180">
        <v>0</v>
      </c>
      <c r="F5" s="180">
        <v>0</v>
      </c>
      <c r="G5" s="181">
        <v>0</v>
      </c>
      <c r="J5" s="728"/>
    </row>
    <row r="6" spans="2:13" x14ac:dyDescent="0.25">
      <c r="C6" s="178">
        <v>4</v>
      </c>
      <c r="D6" s="278">
        <v>0</v>
      </c>
      <c r="E6" s="180">
        <v>0</v>
      </c>
      <c r="F6" s="180">
        <v>0</v>
      </c>
      <c r="G6" s="181">
        <v>0</v>
      </c>
    </row>
    <row r="7" spans="2:13" x14ac:dyDescent="0.25">
      <c r="C7" s="178">
        <v>5</v>
      </c>
      <c r="D7" s="278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279">
        <v>0</v>
      </c>
      <c r="E8" s="184">
        <v>0</v>
      </c>
      <c r="F8" s="184">
        <v>0</v>
      </c>
      <c r="G8" s="185">
        <v>0</v>
      </c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>
      <c r="D10" s="280"/>
    </row>
    <row r="11" spans="2:13" s="168" customFormat="1" ht="13.8" thickBot="1" x14ac:dyDescent="0.3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189" t="s">
        <v>140</v>
      </c>
      <c r="C12" s="190">
        <v>1</v>
      </c>
      <c r="D12" s="281">
        <v>0</v>
      </c>
      <c r="E12" s="191">
        <v>0</v>
      </c>
      <c r="F12" s="191">
        <v>0</v>
      </c>
      <c r="G12" s="192">
        <v>0</v>
      </c>
    </row>
    <row r="13" spans="2:13" x14ac:dyDescent="0.25">
      <c r="C13" s="193">
        <v>2</v>
      </c>
      <c r="D13" s="278">
        <v>0</v>
      </c>
      <c r="E13" s="180">
        <v>0</v>
      </c>
      <c r="F13" s="180">
        <v>0</v>
      </c>
      <c r="G13" s="181">
        <v>0</v>
      </c>
    </row>
    <row r="14" spans="2:13" x14ac:dyDescent="0.25">
      <c r="C14" s="193">
        <v>3</v>
      </c>
      <c r="D14" s="278">
        <v>0</v>
      </c>
      <c r="E14" s="180">
        <v>0</v>
      </c>
      <c r="F14" s="180">
        <v>0</v>
      </c>
      <c r="G14" s="181">
        <v>0</v>
      </c>
    </row>
    <row r="15" spans="2:13" x14ac:dyDescent="0.25">
      <c r="C15" s="193">
        <v>4</v>
      </c>
      <c r="D15" s="278">
        <v>0</v>
      </c>
      <c r="E15" s="180">
        <v>0</v>
      </c>
      <c r="F15" s="180">
        <v>0</v>
      </c>
      <c r="G15" s="181">
        <v>0</v>
      </c>
    </row>
    <row r="16" spans="2:13" x14ac:dyDescent="0.25">
      <c r="C16" s="193">
        <v>5</v>
      </c>
      <c r="D16" s="278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3.8" thickBot="1" x14ac:dyDescent="0.3">
      <c r="D18" s="198">
        <v>0</v>
      </c>
      <c r="E18" s="198">
        <v>0</v>
      </c>
      <c r="F18" s="198">
        <v>0</v>
      </c>
      <c r="G18" s="198">
        <v>0</v>
      </c>
    </row>
    <row r="19" spans="1:13" ht="13.8" thickBot="1" x14ac:dyDescent="0.3"/>
    <row r="20" spans="1:13" ht="13.8" thickBot="1" x14ac:dyDescent="0.3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01" t="s">
        <v>2</v>
      </c>
      <c r="C21" s="174">
        <v>1</v>
      </c>
      <c r="D21" s="277">
        <v>0</v>
      </c>
      <c r="E21" s="282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166"/>
      <c r="C22" s="178">
        <v>2</v>
      </c>
      <c r="D22" s="278">
        <v>0</v>
      </c>
      <c r="E22" s="283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166"/>
      <c r="C23" s="178">
        <v>3</v>
      </c>
      <c r="D23" s="278">
        <v>0</v>
      </c>
      <c r="E23" s="283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166"/>
      <c r="C24" s="178">
        <v>4</v>
      </c>
      <c r="D24" s="278">
        <v>0</v>
      </c>
      <c r="E24" s="283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166"/>
      <c r="C25" s="178">
        <v>5</v>
      </c>
      <c r="D25" s="278">
        <v>0</v>
      </c>
      <c r="E25" s="283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284" t="s">
        <v>89</v>
      </c>
      <c r="D26" s="285">
        <v>0</v>
      </c>
      <c r="E26" s="283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25">
      <c r="E69" s="167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zoomScale="90" zoomScaleNormal="90" workbookViewId="0">
      <selection activeCell="L8" sqref="L8"/>
    </sheetView>
  </sheetViews>
  <sheetFormatPr baseColWidth="10" defaultRowHeight="13.2" x14ac:dyDescent="0.25"/>
  <cols>
    <col min="1" max="1" width="6" customWidth="1"/>
    <col min="2" max="2" width="47.88671875" bestFit="1" customWidth="1"/>
    <col min="3" max="9" width="22.6640625" customWidth="1"/>
    <col min="10" max="10" width="17.88671875" customWidth="1"/>
  </cols>
  <sheetData>
    <row r="1" spans="1:10" x14ac:dyDescent="0.25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326</v>
      </c>
      <c r="H1" s="248" t="s">
        <v>119</v>
      </c>
      <c r="I1" s="248" t="s">
        <v>70</v>
      </c>
    </row>
    <row r="2" spans="1:10" x14ac:dyDescent="0.25">
      <c r="B2" t="s">
        <v>97</v>
      </c>
      <c r="C2" s="249">
        <f>C13+C23+C32+C41+C51</f>
        <v>0</v>
      </c>
      <c r="D2" s="249">
        <f t="shared" ref="D2:H2" si="0">D13+D23+D32+D41+D51</f>
        <v>0</v>
      </c>
      <c r="E2" s="249">
        <f t="shared" si="0"/>
        <v>0</v>
      </c>
      <c r="F2" s="249">
        <f t="shared" si="0"/>
        <v>0</v>
      </c>
      <c r="G2" s="249">
        <f t="shared" si="0"/>
        <v>0</v>
      </c>
      <c r="H2" s="249">
        <f t="shared" si="0"/>
        <v>0</v>
      </c>
      <c r="I2" s="250">
        <f>SUM(C2:H2)</f>
        <v>0</v>
      </c>
    </row>
    <row r="3" spans="1:10" x14ac:dyDescent="0.25">
      <c r="B3" t="s">
        <v>98</v>
      </c>
      <c r="C3" s="249">
        <f>C14+C24+C33+C42+C52</f>
        <v>0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0</v>
      </c>
      <c r="G3" s="249">
        <f t="shared" ref="G3" si="2">G14+G24+G33+G42+G52</f>
        <v>0</v>
      </c>
      <c r="H3" s="249">
        <f t="shared" si="1"/>
        <v>0</v>
      </c>
      <c r="I3" s="250">
        <f>SUM(C3:H3)</f>
        <v>0</v>
      </c>
      <c r="J3" s="252" t="s">
        <v>1</v>
      </c>
    </row>
    <row r="4" spans="1:10" x14ac:dyDescent="0.25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3">G15+G25+G34+G43+G53</f>
        <v>0</v>
      </c>
      <c r="H4" s="249">
        <f t="shared" si="1"/>
        <v>0</v>
      </c>
      <c r="I4" s="250">
        <f>SUM(C4:H4)</f>
        <v>0</v>
      </c>
    </row>
    <row r="5" spans="1:10" x14ac:dyDescent="0.25">
      <c r="B5" t="s">
        <v>169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4">G16+G26+G35+G44+G54</f>
        <v>0</v>
      </c>
      <c r="H5" s="249">
        <f t="shared" si="1"/>
        <v>0</v>
      </c>
      <c r="I5" s="250">
        <f>SUM(C5:H5)</f>
        <v>0</v>
      </c>
    </row>
    <row r="6" spans="1:10" x14ac:dyDescent="0.25">
      <c r="B6" t="s">
        <v>70</v>
      </c>
      <c r="C6" s="250">
        <f>SUM(C2:C5)</f>
        <v>0</v>
      </c>
      <c r="D6" s="250">
        <f t="shared" ref="D6:H6" si="5">SUM(D2:D5)</f>
        <v>0</v>
      </c>
      <c r="E6" s="250">
        <f t="shared" si="5"/>
        <v>0</v>
      </c>
      <c r="F6" s="250">
        <f t="shared" si="5"/>
        <v>0</v>
      </c>
      <c r="G6" s="250">
        <f t="shared" si="5"/>
        <v>0</v>
      </c>
      <c r="H6" s="250">
        <f t="shared" si="5"/>
        <v>0</v>
      </c>
      <c r="I6" s="250">
        <f>SUM(I2:I5)</f>
        <v>0</v>
      </c>
    </row>
    <row r="7" spans="1:10" x14ac:dyDescent="0.25">
      <c r="C7" s="251" t="b">
        <f>C6=(C17+C27+C36+C45+C55)</f>
        <v>1</v>
      </c>
      <c r="D7" s="251" t="b">
        <f t="shared" ref="D7:H7" si="6">D6=(D17+D27+D36+D45+D55)</f>
        <v>1</v>
      </c>
      <c r="E7" s="251" t="b">
        <f t="shared" si="6"/>
        <v>1</v>
      </c>
      <c r="F7" s="251" t="b">
        <f t="shared" si="6"/>
        <v>1</v>
      </c>
      <c r="G7" s="251"/>
      <c r="H7" s="251" t="b">
        <f t="shared" si="6"/>
        <v>1</v>
      </c>
      <c r="I7" s="251" t="b">
        <f>I6=(I17+I27+I36+I45+I55)</f>
        <v>1</v>
      </c>
    </row>
    <row r="8" spans="1:10" x14ac:dyDescent="0.25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25">
      <c r="B10" s="97" t="s">
        <v>99</v>
      </c>
      <c r="H10" s="212"/>
    </row>
    <row r="11" spans="1:10" x14ac:dyDescent="0.25">
      <c r="B11" s="114" t="s">
        <v>96</v>
      </c>
    </row>
    <row r="12" spans="1:10" x14ac:dyDescent="0.25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326</v>
      </c>
      <c r="H12" s="89" t="s">
        <v>119</v>
      </c>
      <c r="I12" s="89" t="s">
        <v>70</v>
      </c>
    </row>
    <row r="13" spans="1:10" x14ac:dyDescent="0.25">
      <c r="B13" t="s">
        <v>97</v>
      </c>
      <c r="C13" s="244">
        <v>0</v>
      </c>
      <c r="D13" s="244">
        <v>0</v>
      </c>
      <c r="E13" s="244">
        <v>0</v>
      </c>
      <c r="F13" s="244">
        <v>0</v>
      </c>
      <c r="G13" s="244">
        <v>0</v>
      </c>
      <c r="H13" s="244">
        <v>0</v>
      </c>
      <c r="I13" s="246">
        <f>SUM(C13:H13)</f>
        <v>0</v>
      </c>
      <c r="J13" s="251" t="b">
        <f>SUM(C13:H13)=I13</f>
        <v>1</v>
      </c>
    </row>
    <row r="14" spans="1:10" x14ac:dyDescent="0.25">
      <c r="B14" s="89" t="s">
        <v>98</v>
      </c>
      <c r="C14" s="244">
        <v>0</v>
      </c>
      <c r="D14" s="244">
        <v>0</v>
      </c>
      <c r="E14" s="244">
        <v>0</v>
      </c>
      <c r="F14" s="244">
        <v>0</v>
      </c>
      <c r="G14" s="244">
        <v>0</v>
      </c>
      <c r="H14" s="244">
        <v>0</v>
      </c>
      <c r="I14" s="246">
        <f t="shared" ref="I14:I16" si="7">SUM(C14:H14)</f>
        <v>0</v>
      </c>
      <c r="J14" s="251" t="b">
        <f t="shared" ref="J14:J17" si="8">SUM(C14:H14)=I14</f>
        <v>1</v>
      </c>
    </row>
    <row r="15" spans="1:10" x14ac:dyDescent="0.25">
      <c r="B15" t="s">
        <v>131</v>
      </c>
      <c r="C15" s="244">
        <v>0</v>
      </c>
      <c r="D15" s="244">
        <v>0</v>
      </c>
      <c r="E15" s="244">
        <v>0</v>
      </c>
      <c r="F15" s="244">
        <v>0</v>
      </c>
      <c r="G15" s="244">
        <v>0</v>
      </c>
      <c r="H15" s="771">
        <v>0</v>
      </c>
      <c r="I15" s="246">
        <f t="shared" si="7"/>
        <v>0</v>
      </c>
      <c r="J15" s="251" t="b">
        <f t="shared" si="8"/>
        <v>1</v>
      </c>
    </row>
    <row r="16" spans="1:10" x14ac:dyDescent="0.25">
      <c r="B16" t="s">
        <v>169</v>
      </c>
      <c r="C16" s="244">
        <v>0</v>
      </c>
      <c r="D16" s="244">
        <v>0</v>
      </c>
      <c r="E16" s="244">
        <v>0</v>
      </c>
      <c r="F16" s="244">
        <v>0</v>
      </c>
      <c r="G16" s="244">
        <v>0</v>
      </c>
      <c r="H16" s="244">
        <v>0</v>
      </c>
      <c r="I16" s="246">
        <f t="shared" si="7"/>
        <v>0</v>
      </c>
      <c r="J16" s="251" t="b">
        <f t="shared" si="8"/>
        <v>1</v>
      </c>
    </row>
    <row r="17" spans="2:11" x14ac:dyDescent="0.25">
      <c r="B17" s="89" t="s">
        <v>70</v>
      </c>
      <c r="C17" s="244">
        <f>SUM(C13:C16)</f>
        <v>0</v>
      </c>
      <c r="D17" s="244">
        <f t="shared" ref="D17:I17" si="9">SUM(D13:D16)</f>
        <v>0</v>
      </c>
      <c r="E17" s="244">
        <f t="shared" si="9"/>
        <v>0</v>
      </c>
      <c r="F17" s="244">
        <f t="shared" si="9"/>
        <v>0</v>
      </c>
      <c r="G17" s="244">
        <f t="shared" si="9"/>
        <v>0</v>
      </c>
      <c r="H17" s="244">
        <f>SUM(H13:H16)</f>
        <v>0</v>
      </c>
      <c r="I17" s="247">
        <f t="shared" si="9"/>
        <v>0</v>
      </c>
      <c r="J17" s="251" t="b">
        <f t="shared" si="8"/>
        <v>1</v>
      </c>
      <c r="K17" s="122"/>
    </row>
    <row r="18" spans="2:11" x14ac:dyDescent="0.25">
      <c r="B18" s="89"/>
      <c r="C18" s="113"/>
      <c r="D18" s="113"/>
      <c r="E18" s="113"/>
      <c r="F18" s="113"/>
      <c r="G18" s="113"/>
      <c r="H18" s="113"/>
      <c r="I18" s="113"/>
    </row>
    <row r="19" spans="2:11" x14ac:dyDescent="0.25">
      <c r="C19" s="143"/>
      <c r="D19" s="212"/>
      <c r="I19" s="212"/>
    </row>
    <row r="20" spans="2:11" x14ac:dyDescent="0.25">
      <c r="B20" t="s">
        <v>100</v>
      </c>
    </row>
    <row r="21" spans="2:11" x14ac:dyDescent="0.25">
      <c r="B21" s="114" t="s">
        <v>96</v>
      </c>
    </row>
    <row r="22" spans="2:11" x14ac:dyDescent="0.25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326</v>
      </c>
      <c r="H22" s="89" t="s">
        <v>119</v>
      </c>
      <c r="I22" t="s">
        <v>70</v>
      </c>
    </row>
    <row r="23" spans="2:11" x14ac:dyDescent="0.25">
      <c r="B23" t="s">
        <v>97</v>
      </c>
      <c r="C23" s="244">
        <v>0</v>
      </c>
      <c r="D23" s="244">
        <v>0</v>
      </c>
      <c r="E23" s="244">
        <v>0</v>
      </c>
      <c r="F23" s="244">
        <v>0</v>
      </c>
      <c r="G23" s="244">
        <v>0</v>
      </c>
      <c r="H23" s="244">
        <v>0</v>
      </c>
      <c r="I23" s="246">
        <f>SUM(C23:H23)</f>
        <v>0</v>
      </c>
      <c r="J23" s="251" t="b">
        <f t="shared" ref="J23:J26" si="10">SUM(C23:H23)=I23</f>
        <v>1</v>
      </c>
    </row>
    <row r="24" spans="2:11" x14ac:dyDescent="0.25">
      <c r="B24" s="89" t="s">
        <v>98</v>
      </c>
      <c r="C24" s="244">
        <v>0</v>
      </c>
      <c r="D24" s="244">
        <v>0</v>
      </c>
      <c r="E24" s="244">
        <v>0</v>
      </c>
      <c r="F24" s="244">
        <v>0</v>
      </c>
      <c r="G24" s="244">
        <v>0</v>
      </c>
      <c r="H24" s="244">
        <v>0</v>
      </c>
      <c r="I24" s="246">
        <f t="shared" ref="I24:I26" si="11">SUM(C24:H24)</f>
        <v>0</v>
      </c>
      <c r="J24" s="251" t="b">
        <f t="shared" si="10"/>
        <v>1</v>
      </c>
    </row>
    <row r="25" spans="2:11" x14ac:dyDescent="0.25">
      <c r="B25" s="89" t="s">
        <v>131</v>
      </c>
      <c r="C25" s="244">
        <v>0</v>
      </c>
      <c r="D25" s="244">
        <v>0</v>
      </c>
      <c r="E25" s="244">
        <v>0</v>
      </c>
      <c r="F25" s="244">
        <v>0</v>
      </c>
      <c r="G25" s="244">
        <v>0</v>
      </c>
      <c r="H25" s="244">
        <v>0</v>
      </c>
      <c r="I25" s="246">
        <f t="shared" si="11"/>
        <v>0</v>
      </c>
      <c r="J25" s="251" t="b">
        <f t="shared" si="10"/>
        <v>1</v>
      </c>
    </row>
    <row r="26" spans="2:11" x14ac:dyDescent="0.25">
      <c r="B26" s="89" t="s">
        <v>169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6">
        <f t="shared" si="11"/>
        <v>0</v>
      </c>
      <c r="J26" s="251" t="b">
        <f t="shared" si="10"/>
        <v>1</v>
      </c>
    </row>
    <row r="27" spans="2:11" x14ac:dyDescent="0.25">
      <c r="B27" s="89" t="s">
        <v>70</v>
      </c>
      <c r="C27" s="244">
        <f>SUM(C23:C26)</f>
        <v>0</v>
      </c>
      <c r="D27" s="244">
        <f t="shared" ref="D27:E27" si="12">SUM(D23:D26)</f>
        <v>0</v>
      </c>
      <c r="E27" s="244">
        <f t="shared" si="12"/>
        <v>0</v>
      </c>
      <c r="F27" s="244">
        <f>SUM(F23:F26)</f>
        <v>0</v>
      </c>
      <c r="G27" s="244">
        <f>SUM(G23:G26)</f>
        <v>0</v>
      </c>
      <c r="H27" s="244">
        <f>SUM(H23:H26)</f>
        <v>0</v>
      </c>
      <c r="I27" s="247">
        <f>SUM(I23:I26)</f>
        <v>0</v>
      </c>
      <c r="J27" s="251" t="b">
        <f>SUM(C27:H27)=I27</f>
        <v>1</v>
      </c>
    </row>
    <row r="29" spans="2:11" x14ac:dyDescent="0.25">
      <c r="B29" t="s">
        <v>101</v>
      </c>
      <c r="H29" s="212"/>
      <c r="I29" s="212"/>
    </row>
    <row r="30" spans="2:11" x14ac:dyDescent="0.25">
      <c r="B30" s="114" t="s">
        <v>96</v>
      </c>
    </row>
    <row r="31" spans="2:11" x14ac:dyDescent="0.25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326</v>
      </c>
      <c r="H31" s="89" t="s">
        <v>119</v>
      </c>
      <c r="I31" t="s">
        <v>70</v>
      </c>
    </row>
    <row r="32" spans="2:11" x14ac:dyDescent="0.25">
      <c r="B32" s="89" t="s">
        <v>97</v>
      </c>
      <c r="C32" s="244">
        <v>0</v>
      </c>
      <c r="D32" s="244">
        <v>0</v>
      </c>
      <c r="E32" s="244">
        <v>0</v>
      </c>
      <c r="F32" s="244">
        <v>0</v>
      </c>
      <c r="G32" s="244">
        <v>0</v>
      </c>
      <c r="H32" s="244">
        <v>0</v>
      </c>
      <c r="I32" s="246">
        <f>SUM(C32:H32)</f>
        <v>0</v>
      </c>
      <c r="J32" s="251" t="b">
        <f>SUM(C32:H32)=I32</f>
        <v>1</v>
      </c>
    </row>
    <row r="33" spans="2:10" x14ac:dyDescent="0.25">
      <c r="B33" s="89" t="s">
        <v>98</v>
      </c>
      <c r="C33" s="244">
        <v>0</v>
      </c>
      <c r="D33" s="244">
        <v>0</v>
      </c>
      <c r="E33" s="244">
        <v>0</v>
      </c>
      <c r="F33" s="244">
        <v>0</v>
      </c>
      <c r="G33" s="244">
        <v>0</v>
      </c>
      <c r="H33" s="244">
        <v>0</v>
      </c>
      <c r="I33" s="246">
        <f>SUM(C33:H33)</f>
        <v>0</v>
      </c>
      <c r="J33" s="251" t="b">
        <f t="shared" ref="J33:J36" si="13">SUM(C33:H33)=I33</f>
        <v>1</v>
      </c>
    </row>
    <row r="34" spans="2:10" x14ac:dyDescent="0.25">
      <c r="B34" s="89" t="s">
        <v>131</v>
      </c>
      <c r="C34" s="244">
        <v>0</v>
      </c>
      <c r="D34" s="244">
        <v>0</v>
      </c>
      <c r="E34" s="244">
        <v>0</v>
      </c>
      <c r="F34" s="244">
        <v>0</v>
      </c>
      <c r="G34" s="244">
        <v>0</v>
      </c>
      <c r="H34" s="244">
        <v>0</v>
      </c>
      <c r="I34" s="246">
        <f t="shared" ref="I34:I35" si="14">SUM(C34:H34)</f>
        <v>0</v>
      </c>
      <c r="J34" s="251" t="b">
        <f t="shared" si="13"/>
        <v>1</v>
      </c>
    </row>
    <row r="35" spans="2:10" x14ac:dyDescent="0.25">
      <c r="B35" s="89" t="s">
        <v>169</v>
      </c>
      <c r="C35" s="244">
        <v>0</v>
      </c>
      <c r="D35" s="244">
        <v>0</v>
      </c>
      <c r="E35" s="244">
        <v>0</v>
      </c>
      <c r="F35" s="244">
        <v>0</v>
      </c>
      <c r="G35" s="244">
        <v>0</v>
      </c>
      <c r="H35" s="244">
        <v>0</v>
      </c>
      <c r="I35" s="246">
        <f t="shared" si="14"/>
        <v>0</v>
      </c>
      <c r="J35" s="251" t="b">
        <f t="shared" si="13"/>
        <v>1</v>
      </c>
    </row>
    <row r="36" spans="2:10" x14ac:dyDescent="0.25">
      <c r="B36" s="89" t="s">
        <v>70</v>
      </c>
      <c r="C36" s="244">
        <f>SUM(C32:C35)</f>
        <v>0</v>
      </c>
      <c r="D36" s="244">
        <f t="shared" ref="D36:G36" si="15">SUM(D32:D35)</f>
        <v>0</v>
      </c>
      <c r="E36" s="244">
        <f t="shared" si="15"/>
        <v>0</v>
      </c>
      <c r="F36" s="244">
        <f t="shared" si="15"/>
        <v>0</v>
      </c>
      <c r="G36" s="244">
        <f t="shared" si="15"/>
        <v>0</v>
      </c>
      <c r="H36" s="244">
        <f>SUM(H32:H35)</f>
        <v>0</v>
      </c>
      <c r="I36" s="247">
        <f>SUM(I32:I35)</f>
        <v>0</v>
      </c>
      <c r="J36" s="251" t="b">
        <f t="shared" si="13"/>
        <v>1</v>
      </c>
    </row>
    <row r="38" spans="2:10" x14ac:dyDescent="0.25">
      <c r="B38" t="s">
        <v>102</v>
      </c>
    </row>
    <row r="39" spans="2:10" x14ac:dyDescent="0.25">
      <c r="B39" s="114" t="s">
        <v>96</v>
      </c>
    </row>
    <row r="40" spans="2:10" x14ac:dyDescent="0.25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326</v>
      </c>
      <c r="H40" s="89" t="s">
        <v>119</v>
      </c>
      <c r="I40" s="89" t="s">
        <v>70</v>
      </c>
    </row>
    <row r="41" spans="2:10" x14ac:dyDescent="0.25">
      <c r="B41" s="89" t="s">
        <v>97</v>
      </c>
      <c r="C41" s="244">
        <v>0</v>
      </c>
      <c r="D41" s="244">
        <v>0</v>
      </c>
      <c r="E41" s="244">
        <v>0</v>
      </c>
      <c r="F41" s="244">
        <v>0</v>
      </c>
      <c r="G41" s="244">
        <v>0</v>
      </c>
      <c r="H41" s="244">
        <v>0</v>
      </c>
      <c r="I41" s="246">
        <f t="shared" ref="I41:I44" si="16">SUM(C41:H41)</f>
        <v>0</v>
      </c>
      <c r="J41" s="251" t="b">
        <f>SUM(C41:H41)=I41</f>
        <v>1</v>
      </c>
    </row>
    <row r="42" spans="2:10" x14ac:dyDescent="0.25">
      <c r="B42" s="89" t="s">
        <v>98</v>
      </c>
      <c r="C42" s="244">
        <v>0</v>
      </c>
      <c r="D42" s="244">
        <v>0</v>
      </c>
      <c r="E42" s="244">
        <v>0</v>
      </c>
      <c r="F42" s="244">
        <v>0</v>
      </c>
      <c r="G42" s="244">
        <v>0</v>
      </c>
      <c r="H42" s="244">
        <v>0</v>
      </c>
      <c r="I42" s="246">
        <f t="shared" si="16"/>
        <v>0</v>
      </c>
      <c r="J42" s="251" t="b">
        <f t="shared" ref="J42:J45" si="17">SUM(C42:H42)=I42</f>
        <v>1</v>
      </c>
    </row>
    <row r="43" spans="2:10" x14ac:dyDescent="0.25">
      <c r="B43" s="89" t="s">
        <v>131</v>
      </c>
      <c r="C43" s="244">
        <v>0</v>
      </c>
      <c r="D43" s="244">
        <v>0</v>
      </c>
      <c r="E43" s="244">
        <v>0</v>
      </c>
      <c r="F43" s="244">
        <v>0</v>
      </c>
      <c r="G43" s="244">
        <v>0</v>
      </c>
      <c r="H43" s="244">
        <v>0</v>
      </c>
      <c r="I43" s="246">
        <f t="shared" si="16"/>
        <v>0</v>
      </c>
      <c r="J43" s="251" t="b">
        <f t="shared" si="17"/>
        <v>1</v>
      </c>
    </row>
    <row r="44" spans="2:10" x14ac:dyDescent="0.25">
      <c r="B44" s="89" t="s">
        <v>169</v>
      </c>
      <c r="C44" s="244">
        <v>0</v>
      </c>
      <c r="D44" s="244">
        <v>0</v>
      </c>
      <c r="E44" s="244">
        <v>0</v>
      </c>
      <c r="F44" s="244">
        <v>0</v>
      </c>
      <c r="G44" s="244">
        <v>0</v>
      </c>
      <c r="H44" s="244">
        <v>0</v>
      </c>
      <c r="I44" s="246">
        <f t="shared" si="16"/>
        <v>0</v>
      </c>
      <c r="J44" s="251" t="b">
        <f t="shared" si="17"/>
        <v>1</v>
      </c>
    </row>
    <row r="45" spans="2:10" x14ac:dyDescent="0.25">
      <c r="B45" s="89" t="s">
        <v>70</v>
      </c>
      <c r="C45" s="244">
        <f>SUM(C41:C44)</f>
        <v>0</v>
      </c>
      <c r="D45" s="244">
        <f t="shared" ref="D45:E45" si="18">SUM(D41:D44)</f>
        <v>0</v>
      </c>
      <c r="E45" s="244">
        <f t="shared" si="18"/>
        <v>0</v>
      </c>
      <c r="F45" s="244">
        <f>SUM(F41:F44)</f>
        <v>0</v>
      </c>
      <c r="G45" s="244">
        <f>SUM(G41:G44)</f>
        <v>0</v>
      </c>
      <c r="H45" s="244">
        <f>SUM(H41:H44)</f>
        <v>0</v>
      </c>
      <c r="I45" s="247">
        <f>SUM(I41:I44)</f>
        <v>0</v>
      </c>
      <c r="J45" s="251" t="b">
        <f t="shared" si="17"/>
        <v>1</v>
      </c>
    </row>
    <row r="46" spans="2:10" x14ac:dyDescent="0.25">
      <c r="B46" s="89"/>
      <c r="C46" s="113"/>
      <c r="D46" s="113"/>
      <c r="E46" s="113"/>
      <c r="F46" s="113"/>
      <c r="G46" s="113"/>
      <c r="H46" s="113"/>
    </row>
    <row r="47" spans="2:10" x14ac:dyDescent="0.25">
      <c r="F47" s="212"/>
      <c r="G47" s="212"/>
    </row>
    <row r="48" spans="2:10" x14ac:dyDescent="0.25">
      <c r="B48" t="s">
        <v>103</v>
      </c>
    </row>
    <row r="49" spans="2:10" x14ac:dyDescent="0.25">
      <c r="B49" s="114" t="s">
        <v>96</v>
      </c>
    </row>
    <row r="50" spans="2:10" x14ac:dyDescent="0.25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326</v>
      </c>
      <c r="H50" s="89" t="s">
        <v>119</v>
      </c>
      <c r="I50" s="89" t="s">
        <v>70</v>
      </c>
    </row>
    <row r="51" spans="2:10" x14ac:dyDescent="0.25">
      <c r="B51" t="s">
        <v>97</v>
      </c>
      <c r="C51" s="590">
        <v>0</v>
      </c>
      <c r="D51" s="244">
        <v>0</v>
      </c>
      <c r="E51" s="244">
        <v>0</v>
      </c>
      <c r="F51" s="244">
        <v>0</v>
      </c>
      <c r="G51" s="244">
        <v>0</v>
      </c>
      <c r="H51" s="590">
        <v>0</v>
      </c>
      <c r="I51" s="246">
        <f t="shared" ref="I51:I54" si="19">SUM(C51:H51)</f>
        <v>0</v>
      </c>
      <c r="J51" s="251" t="b">
        <f>SUM(C51:H51)=I51</f>
        <v>1</v>
      </c>
    </row>
    <row r="52" spans="2:10" x14ac:dyDescent="0.25">
      <c r="B52" s="89" t="s">
        <v>98</v>
      </c>
      <c r="C52" s="590">
        <v>0</v>
      </c>
      <c r="D52" s="244">
        <v>0</v>
      </c>
      <c r="E52" s="244">
        <v>0</v>
      </c>
      <c r="F52" s="244">
        <v>0</v>
      </c>
      <c r="G52" s="244">
        <v>0</v>
      </c>
      <c r="H52" s="590">
        <v>0</v>
      </c>
      <c r="I52" s="246">
        <f>SUM(C52:H52)</f>
        <v>0</v>
      </c>
      <c r="J52" s="251" t="b">
        <f t="shared" ref="J52:J55" si="20">SUM(C52:H52)=I52</f>
        <v>1</v>
      </c>
    </row>
    <row r="53" spans="2:10" x14ac:dyDescent="0.25">
      <c r="B53" s="89" t="s">
        <v>131</v>
      </c>
      <c r="C53" s="590">
        <v>0</v>
      </c>
      <c r="D53" s="244">
        <v>0</v>
      </c>
      <c r="E53" s="244">
        <v>0</v>
      </c>
      <c r="F53" s="244">
        <v>0</v>
      </c>
      <c r="G53" s="244">
        <v>0</v>
      </c>
      <c r="H53" s="590">
        <v>0</v>
      </c>
      <c r="I53" s="246">
        <f t="shared" si="19"/>
        <v>0</v>
      </c>
      <c r="J53" s="251" t="b">
        <f t="shared" si="20"/>
        <v>1</v>
      </c>
    </row>
    <row r="54" spans="2:10" x14ac:dyDescent="0.25">
      <c r="B54" s="89" t="s">
        <v>169</v>
      </c>
      <c r="C54" s="244">
        <v>0</v>
      </c>
      <c r="D54" s="244">
        <v>0</v>
      </c>
      <c r="E54" s="244">
        <v>0</v>
      </c>
      <c r="F54" s="244">
        <v>0</v>
      </c>
      <c r="G54" s="244">
        <v>0</v>
      </c>
      <c r="H54" s="244">
        <v>0</v>
      </c>
      <c r="I54" s="246">
        <f t="shared" si="19"/>
        <v>0</v>
      </c>
      <c r="J54" s="251" t="b">
        <f t="shared" si="20"/>
        <v>1</v>
      </c>
    </row>
    <row r="55" spans="2:10" x14ac:dyDescent="0.25">
      <c r="B55" s="89" t="s">
        <v>70</v>
      </c>
      <c r="C55" s="244">
        <f>SUM(C51:C54)</f>
        <v>0</v>
      </c>
      <c r="D55" s="244">
        <f t="shared" ref="D55:G55" si="21">SUM(D51:D54)</f>
        <v>0</v>
      </c>
      <c r="E55" s="244">
        <f t="shared" si="21"/>
        <v>0</v>
      </c>
      <c r="F55" s="244">
        <f t="shared" si="21"/>
        <v>0</v>
      </c>
      <c r="G55" s="244">
        <f t="shared" si="21"/>
        <v>0</v>
      </c>
      <c r="H55" s="244">
        <f>SUM(H51:H54)</f>
        <v>0</v>
      </c>
      <c r="I55" s="247">
        <f>SUM(I51:I54)</f>
        <v>0</v>
      </c>
      <c r="J55" s="251" t="b">
        <f t="shared" si="20"/>
        <v>1</v>
      </c>
    </row>
    <row r="57" spans="2:10" x14ac:dyDescent="0.25">
      <c r="H57" s="212"/>
      <c r="I57" s="212"/>
    </row>
    <row r="58" spans="2:10" x14ac:dyDescent="0.25">
      <c r="F58" s="212"/>
      <c r="G58" s="212"/>
      <c r="H58" s="212"/>
      <c r="I58" s="212"/>
    </row>
    <row r="59" spans="2:10" x14ac:dyDescent="0.25">
      <c r="B59" s="743" t="s">
        <v>333</v>
      </c>
      <c r="C59" s="209">
        <v>2</v>
      </c>
      <c r="D59" s="744" t="s">
        <v>334</v>
      </c>
      <c r="H59" s="167"/>
    </row>
    <row r="60" spans="2:10" x14ac:dyDescent="0.25">
      <c r="H60" s="212"/>
    </row>
    <row r="61" spans="2:10" x14ac:dyDescent="0.25">
      <c r="B61" t="s">
        <v>1</v>
      </c>
      <c r="C61" s="143"/>
      <c r="E61" s="142"/>
    </row>
    <row r="62" spans="2:10" x14ac:dyDescent="0.25">
      <c r="B62" s="745" t="s">
        <v>207</v>
      </c>
      <c r="C62" s="746">
        <f>IF($C$59=1,'Recaudo ENEL'!D21,'Recaudo ENEL'!F21)</f>
        <v>0</v>
      </c>
      <c r="D62" s="745" t="b">
        <f>C17=C62</f>
        <v>1</v>
      </c>
      <c r="E62" s="747">
        <f>C17-C62</f>
        <v>0</v>
      </c>
      <c r="F62" s="212"/>
    </row>
    <row r="63" spans="2:10" x14ac:dyDescent="0.25">
      <c r="B63" s="745" t="s">
        <v>335</v>
      </c>
      <c r="C63" s="746">
        <f>IF($C$59=1,'Recaudo ENERBIT'!D21,'Recaudo ENERBIT'!F21)</f>
        <v>0</v>
      </c>
      <c r="D63" s="745" t="b">
        <f>G17=C63</f>
        <v>1</v>
      </c>
      <c r="E63" s="747">
        <f>G17-C63</f>
        <v>0</v>
      </c>
    </row>
    <row r="64" spans="2:10" x14ac:dyDescent="0.25">
      <c r="B64" s="748" t="s">
        <v>209</v>
      </c>
      <c r="C64" s="749">
        <f>IF($C$59=1,'Recaudo EAAB Reciprocidad'!D22,'Recaudo EAAB Reciprocidad'!F22)</f>
        <v>0</v>
      </c>
      <c r="D64" s="748" t="b">
        <f>F27=C64</f>
        <v>1</v>
      </c>
      <c r="E64" s="750">
        <f>F27-C64</f>
        <v>0</v>
      </c>
      <c r="H64" s="167"/>
    </row>
    <row r="65" spans="2:7" x14ac:dyDescent="0.25">
      <c r="B65" s="748" t="s">
        <v>324</v>
      </c>
      <c r="C65" s="749">
        <f>IF($C$59=1,'Recaudo ENEL'!D22,'Recaudo ENEL'!F22)</f>
        <v>0</v>
      </c>
      <c r="D65" s="748" t="b">
        <f>C27=C65</f>
        <v>1</v>
      </c>
      <c r="E65" s="750">
        <f>C27-C65</f>
        <v>0</v>
      </c>
      <c r="F65" s="142"/>
    </row>
    <row r="66" spans="2:7" x14ac:dyDescent="0.25">
      <c r="B66" s="748" t="s">
        <v>336</v>
      </c>
      <c r="C66" s="749">
        <f>IF($C$59=1,'Recaudo ENERBIT'!D22,'Recaudo ENERBIT'!F22)</f>
        <v>0</v>
      </c>
      <c r="D66" s="748" t="b">
        <f>G27=C66</f>
        <v>1</v>
      </c>
      <c r="E66" s="750">
        <f>G27-C66</f>
        <v>0</v>
      </c>
    </row>
    <row r="67" spans="2:7" x14ac:dyDescent="0.25">
      <c r="B67" s="745" t="s">
        <v>211</v>
      </c>
      <c r="C67" s="746">
        <f>IF($C$59=1,'Recaudo ENEL'!D23,'Recaudo ENEL'!F23)</f>
        <v>0</v>
      </c>
      <c r="D67" s="745" t="b">
        <f>C36=C67</f>
        <v>1</v>
      </c>
      <c r="E67" s="747">
        <f>C36-C67</f>
        <v>0</v>
      </c>
      <c r="F67" s="760"/>
    </row>
    <row r="68" spans="2:7" x14ac:dyDescent="0.25">
      <c r="B68" s="745" t="s">
        <v>337</v>
      </c>
      <c r="C68" s="746">
        <f>IF($C$59=1,'Recaudo ENERBIT'!D23,'Recaudo ENERBIT'!F23)</f>
        <v>0</v>
      </c>
      <c r="D68" s="745" t="b">
        <f>G36=C68</f>
        <v>1</v>
      </c>
      <c r="E68" s="747">
        <f>G36-C68</f>
        <v>0</v>
      </c>
    </row>
    <row r="69" spans="2:7" x14ac:dyDescent="0.25">
      <c r="B69" s="748" t="s">
        <v>210</v>
      </c>
      <c r="C69" s="749">
        <f>IF($C$59=1,'Recaudo EAAB Reciprocidad'!D24,'Recaudo EAAB Reciprocidad'!F24)</f>
        <v>0</v>
      </c>
      <c r="D69" s="748" t="b">
        <f>F45=C69</f>
        <v>1</v>
      </c>
      <c r="E69" s="750">
        <f>F45-C69</f>
        <v>0</v>
      </c>
    </row>
    <row r="70" spans="2:7" x14ac:dyDescent="0.25">
      <c r="B70" s="748" t="s">
        <v>325</v>
      </c>
      <c r="C70" s="749">
        <f>IF($C$59=1,'Recaudo ENEL'!D24,'Recaudo ENEL'!F24)</f>
        <v>0</v>
      </c>
      <c r="D70" s="748" t="b">
        <f>C45=C70</f>
        <v>1</v>
      </c>
      <c r="E70" s="750">
        <f>C45-C70</f>
        <v>0</v>
      </c>
      <c r="F70" s="142"/>
    </row>
    <row r="71" spans="2:7" x14ac:dyDescent="0.25">
      <c r="B71" s="748" t="s">
        <v>338</v>
      </c>
      <c r="C71" s="749">
        <f>IF($C$59=1,'Recaudo ENERBIT'!D24,'Recaudo ENERBIT'!F24)</f>
        <v>0</v>
      </c>
      <c r="D71" s="748" t="b">
        <f>G45=C71</f>
        <v>1</v>
      </c>
      <c r="E71" s="750">
        <f>G45-C71</f>
        <v>0</v>
      </c>
      <c r="F71" s="212"/>
    </row>
    <row r="72" spans="2:7" x14ac:dyDescent="0.25">
      <c r="B72" s="745" t="s">
        <v>208</v>
      </c>
      <c r="C72" s="746">
        <f>IF($C$59=1,'Recaudo ENEL'!D25,'Recaudo ENEL'!F25)</f>
        <v>0</v>
      </c>
      <c r="D72" s="745" t="b">
        <f>C55=C72</f>
        <v>1</v>
      </c>
      <c r="E72" s="747">
        <f>C55-C72</f>
        <v>0</v>
      </c>
      <c r="F72" s="142"/>
    </row>
    <row r="73" spans="2:7" x14ac:dyDescent="0.25">
      <c r="B73" s="745" t="s">
        <v>327</v>
      </c>
      <c r="C73" s="746">
        <f>IF($C$59=1,'Recaudo ENERBIT'!D25,'Recaudo ENERBIT'!F25)</f>
        <v>0</v>
      </c>
      <c r="D73" s="745" t="b">
        <f>G55=C73</f>
        <v>1</v>
      </c>
      <c r="E73" s="747">
        <f>G55-C73</f>
        <v>0</v>
      </c>
    </row>
    <row r="74" spans="2:7" x14ac:dyDescent="0.25">
      <c r="C74" s="167"/>
    </row>
    <row r="75" spans="2:7" x14ac:dyDescent="0.25">
      <c r="B75" s="745" t="s">
        <v>260</v>
      </c>
      <c r="C75" s="746">
        <f>IF($C$59=1,'Recaudo Directa Occidente'!D21,'Recaudo Directa Occidente'!F21)</f>
        <v>0</v>
      </c>
      <c r="D75" s="745" t="b">
        <f>C75=H17</f>
        <v>1</v>
      </c>
      <c r="E75" s="770">
        <f>C75-H17</f>
        <v>0</v>
      </c>
      <c r="F75" s="695"/>
      <c r="G75" s="695"/>
    </row>
    <row r="76" spans="2:7" x14ac:dyDescent="0.25">
      <c r="B76" s="748" t="s">
        <v>261</v>
      </c>
      <c r="C76" s="749">
        <f>IF($C$59=1,'Recaudo Directa Occidente'!D22,'Recaudo Directa Occidente'!F22)</f>
        <v>0</v>
      </c>
      <c r="D76" s="748" t="b">
        <f>C76=H27</f>
        <v>1</v>
      </c>
      <c r="E76" s="750">
        <f>C76-H27</f>
        <v>0</v>
      </c>
    </row>
    <row r="77" spans="2:7" x14ac:dyDescent="0.25">
      <c r="B77" s="745" t="s">
        <v>262</v>
      </c>
      <c r="C77" s="746">
        <f>IF($C$59=1,'Recaudo Directa Occidente'!D23,'Recaudo Directa Occidente'!F23)</f>
        <v>0</v>
      </c>
      <c r="D77" s="745" t="b">
        <f>C77=H36</f>
        <v>1</v>
      </c>
      <c r="E77" s="747">
        <f>C77-H36</f>
        <v>0</v>
      </c>
      <c r="F77" s="212"/>
      <c r="G77" s="212"/>
    </row>
    <row r="78" spans="2:7" x14ac:dyDescent="0.25">
      <c r="B78" s="748" t="s">
        <v>263</v>
      </c>
      <c r="C78" s="749">
        <f>IF($C$59=1,'Recaudo Directa Occidente'!D24,'Recaudo Directa Occidente'!F24)</f>
        <v>0</v>
      </c>
      <c r="D78" s="748" t="b">
        <f>C78=H45</f>
        <v>1</v>
      </c>
      <c r="E78" s="750">
        <f>C78-H45</f>
        <v>0</v>
      </c>
    </row>
    <row r="79" spans="2:7" x14ac:dyDescent="0.25">
      <c r="B79" s="745" t="s">
        <v>264</v>
      </c>
      <c r="C79" s="746">
        <f>IF($C$59=1,'Recaudo Directa Occidente'!D25,'Recaudo Directa Occidente'!F25)</f>
        <v>0</v>
      </c>
      <c r="D79" s="745" t="b">
        <f>C79=H55</f>
        <v>1</v>
      </c>
      <c r="E79" s="747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Normal="100" workbookViewId="0">
      <selection activeCell="B35" sqref="B35"/>
    </sheetView>
  </sheetViews>
  <sheetFormatPr baseColWidth="10" defaultRowHeight="13.2" x14ac:dyDescent="0.25"/>
  <cols>
    <col min="1" max="1" width="3.44140625" customWidth="1"/>
    <col min="2" max="2" width="20.88671875" bestFit="1" customWidth="1"/>
    <col min="3" max="3" width="13.109375" bestFit="1" customWidth="1"/>
    <col min="4" max="6" width="12.88671875" bestFit="1" customWidth="1"/>
    <col min="7" max="7" width="12.5546875" customWidth="1"/>
    <col min="8" max="14" width="12.88671875" bestFit="1" customWidth="1"/>
    <col min="16" max="16" width="12.88671875" bestFit="1" customWidth="1"/>
  </cols>
  <sheetData>
    <row r="1" spans="1:16" ht="13.8" thickBot="1" x14ac:dyDescent="0.3">
      <c r="C1" s="779" t="s">
        <v>99</v>
      </c>
      <c r="D1" s="779"/>
      <c r="E1" s="779" t="s">
        <v>100</v>
      </c>
      <c r="F1" s="779"/>
      <c r="G1" s="779" t="s">
        <v>101</v>
      </c>
      <c r="H1" s="779"/>
      <c r="I1" s="779" t="s">
        <v>102</v>
      </c>
      <c r="J1" s="779"/>
      <c r="K1" s="779" t="s">
        <v>103</v>
      </c>
      <c r="L1" s="779"/>
      <c r="M1" s="779" t="s">
        <v>2</v>
      </c>
      <c r="N1" s="779"/>
    </row>
    <row r="2" spans="1:16" x14ac:dyDescent="0.25">
      <c r="C2" s="257" t="s">
        <v>149</v>
      </c>
      <c r="D2" s="732" t="s">
        <v>150</v>
      </c>
      <c r="E2" s="732" t="s">
        <v>149</v>
      </c>
      <c r="F2" s="732" t="s">
        <v>150</v>
      </c>
      <c r="G2" s="732" t="s">
        <v>149</v>
      </c>
      <c r="H2" s="732" t="s">
        <v>150</v>
      </c>
      <c r="I2" s="732" t="s">
        <v>149</v>
      </c>
      <c r="J2" s="732" t="s">
        <v>150</v>
      </c>
      <c r="K2" s="732" t="s">
        <v>149</v>
      </c>
      <c r="L2" s="732" t="s">
        <v>150</v>
      </c>
      <c r="M2" s="257" t="s">
        <v>149</v>
      </c>
      <c r="N2" s="258" t="s">
        <v>150</v>
      </c>
    </row>
    <row r="3" spans="1:16" x14ac:dyDescent="0.25">
      <c r="B3" s="210" t="s">
        <v>151</v>
      </c>
      <c r="C3" s="733">
        <f>C11+C19+C27+C35+C43</f>
        <v>0</v>
      </c>
      <c r="D3" s="249">
        <f>D11+D19+D27+D35+D43</f>
        <v>0</v>
      </c>
      <c r="E3" s="249">
        <f t="shared" ref="E3:K3" si="0">E11+E19+E27+E35+E43</f>
        <v>0</v>
      </c>
      <c r="F3" s="249">
        <f>F11+F19+F27+F35+F43</f>
        <v>0</v>
      </c>
      <c r="G3" s="249">
        <f t="shared" si="0"/>
        <v>0</v>
      </c>
      <c r="H3" s="249">
        <f t="shared" si="0"/>
        <v>0</v>
      </c>
      <c r="I3" s="249">
        <f t="shared" si="0"/>
        <v>0</v>
      </c>
      <c r="J3" s="249">
        <f t="shared" si="0"/>
        <v>0</v>
      </c>
      <c r="K3" s="249">
        <f t="shared" si="0"/>
        <v>0</v>
      </c>
      <c r="L3" s="249">
        <f>L11+L19+L27+L35+L43</f>
        <v>0</v>
      </c>
      <c r="M3" s="259">
        <f>C3+E3+G3+I3+K3</f>
        <v>0</v>
      </c>
      <c r="N3" s="260">
        <f>D3+F3+H3+J3+L3</f>
        <v>0</v>
      </c>
      <c r="P3" s="209" t="b">
        <f>N3=(-VALIDACION_TOTAL!M9)</f>
        <v>1</v>
      </c>
    </row>
    <row r="4" spans="1:16" ht="13.8" thickBot="1" x14ac:dyDescent="0.3">
      <c r="B4" s="210" t="s">
        <v>152</v>
      </c>
      <c r="C4" s="730">
        <f>C12+C20+C28+C36+C44</f>
        <v>0</v>
      </c>
      <c r="D4" s="731">
        <f>D12+D20+D28+D36+D44</f>
        <v>0</v>
      </c>
      <c r="E4" s="731">
        <f t="shared" ref="E4:K4" si="1">E12+E20+E28+E36+E44</f>
        <v>0</v>
      </c>
      <c r="F4" s="731">
        <f t="shared" si="1"/>
        <v>0</v>
      </c>
      <c r="G4" s="731">
        <f t="shared" si="1"/>
        <v>0</v>
      </c>
      <c r="H4" s="731">
        <f t="shared" si="1"/>
        <v>0</v>
      </c>
      <c r="I4" s="731">
        <f t="shared" si="1"/>
        <v>0</v>
      </c>
      <c r="J4" s="731">
        <f t="shared" si="1"/>
        <v>0</v>
      </c>
      <c r="K4" s="731">
        <f t="shared" si="1"/>
        <v>0</v>
      </c>
      <c r="L4" s="731">
        <f>L12+L20+L28+L36+L44</f>
        <v>0</v>
      </c>
      <c r="M4" s="734">
        <f>C4+E4+G4+I4+K4</f>
        <v>0</v>
      </c>
      <c r="N4" s="735">
        <f>D4+F4+H4+J4+L4</f>
        <v>0</v>
      </c>
      <c r="P4" s="209" t="b">
        <f>N4=(-'CONSOLIDADO_TOTAL RECAUDO'!L131)</f>
        <v>1</v>
      </c>
    </row>
    <row r="5" spans="1:16" ht="13.8" thickBot="1" x14ac:dyDescent="0.3">
      <c r="B5" s="211" t="s">
        <v>2</v>
      </c>
      <c r="C5" s="253">
        <f>SUM(C3:C4)</f>
        <v>0</v>
      </c>
      <c r="D5" s="254">
        <f t="shared" ref="D5:L5" si="2">SUM(D3:D4)</f>
        <v>0</v>
      </c>
      <c r="E5" s="254">
        <f t="shared" si="2"/>
        <v>0</v>
      </c>
      <c r="F5" s="254">
        <f t="shared" si="2"/>
        <v>0</v>
      </c>
      <c r="G5" s="254">
        <f t="shared" si="2"/>
        <v>0</v>
      </c>
      <c r="H5" s="254">
        <f t="shared" si="2"/>
        <v>0</v>
      </c>
      <c r="I5" s="254">
        <f t="shared" si="2"/>
        <v>0</v>
      </c>
      <c r="J5" s="254">
        <f t="shared" si="2"/>
        <v>0</v>
      </c>
      <c r="K5" s="254">
        <f>SUM(K3:K4)</f>
        <v>0</v>
      </c>
      <c r="L5" s="256">
        <f t="shared" si="2"/>
        <v>0</v>
      </c>
      <c r="M5" s="253">
        <f t="shared" ref="M5" si="3">SUM(M3:M4)</f>
        <v>0</v>
      </c>
      <c r="N5" s="255">
        <f>SUM(N3:N4)</f>
        <v>0</v>
      </c>
    </row>
    <row r="6" spans="1:16" x14ac:dyDescent="0.25">
      <c r="C6" s="209" t="b">
        <f t="shared" ref="C6:K6" si="4">C5=(C13+C21+C29+C37+C45)</f>
        <v>1</v>
      </c>
      <c r="D6" s="209" t="b">
        <f t="shared" si="4"/>
        <v>1</v>
      </c>
      <c r="E6" s="209" t="b">
        <f t="shared" si="4"/>
        <v>1</v>
      </c>
      <c r="F6" s="209" t="b">
        <f t="shared" si="4"/>
        <v>1</v>
      </c>
      <c r="G6" s="209" t="b">
        <f t="shared" si="4"/>
        <v>1</v>
      </c>
      <c r="H6" s="209" t="b">
        <f t="shared" si="4"/>
        <v>1</v>
      </c>
      <c r="I6" s="209" t="b">
        <f t="shared" si="4"/>
        <v>1</v>
      </c>
      <c r="J6" s="209" t="b">
        <f t="shared" si="4"/>
        <v>1</v>
      </c>
      <c r="K6" s="209" t="b">
        <f t="shared" si="4"/>
        <v>1</v>
      </c>
      <c r="L6" s="209" t="b">
        <f>L5=(L13+L21+L29+L37+L45)</f>
        <v>1</v>
      </c>
      <c r="M6" s="209" t="b">
        <f t="shared" ref="M6" si="5">M5=(M13+M21+M29+M37+M45)</f>
        <v>1</v>
      </c>
      <c r="N6" s="209" t="b">
        <f>N5=(N13+N21+N29+N37+N45)</f>
        <v>1</v>
      </c>
    </row>
    <row r="7" spans="1:16" x14ac:dyDescent="0.25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4" x14ac:dyDescent="0.3">
      <c r="B8" s="208" t="s">
        <v>148</v>
      </c>
      <c r="C8" s="209"/>
    </row>
    <row r="9" spans="1:16" x14ac:dyDescent="0.25">
      <c r="C9" s="779" t="s">
        <v>99</v>
      </c>
      <c r="D9" s="779"/>
      <c r="E9" s="779" t="s">
        <v>100</v>
      </c>
      <c r="F9" s="779"/>
      <c r="G9" s="779" t="s">
        <v>101</v>
      </c>
      <c r="H9" s="779"/>
      <c r="I9" s="779" t="s">
        <v>102</v>
      </c>
      <c r="J9" s="779"/>
      <c r="K9" s="779" t="s">
        <v>103</v>
      </c>
      <c r="L9" s="779"/>
      <c r="M9" s="779" t="s">
        <v>2</v>
      </c>
      <c r="N9" s="779"/>
    </row>
    <row r="10" spans="1:16" x14ac:dyDescent="0.25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25">
      <c r="B11" s="210" t="s">
        <v>151</v>
      </c>
      <c r="C11" s="245">
        <v>0</v>
      </c>
      <c r="D11" s="245">
        <v>0</v>
      </c>
      <c r="E11" s="245">
        <v>0</v>
      </c>
      <c r="F11" s="245">
        <v>0</v>
      </c>
      <c r="G11" s="245">
        <v>0</v>
      </c>
      <c r="H11" s="245">
        <v>0</v>
      </c>
      <c r="I11" s="245">
        <v>0</v>
      </c>
      <c r="J11" s="245">
        <v>0</v>
      </c>
      <c r="K11" s="244">
        <v>0</v>
      </c>
      <c r="L11" s="245">
        <v>0</v>
      </c>
      <c r="M11" s="249">
        <f>C11+E11+G11+I11+K11</f>
        <v>0</v>
      </c>
      <c r="N11" s="245">
        <f>D11+F11+H11+J11+L11</f>
        <v>0</v>
      </c>
    </row>
    <row r="12" spans="1:16" x14ac:dyDescent="0.25">
      <c r="B12" s="210" t="s">
        <v>152</v>
      </c>
      <c r="C12" s="245">
        <v>0</v>
      </c>
      <c r="D12" s="245">
        <v>0</v>
      </c>
      <c r="E12" s="245">
        <v>0</v>
      </c>
      <c r="F12" s="245">
        <v>0</v>
      </c>
      <c r="G12" s="245">
        <v>0</v>
      </c>
      <c r="H12" s="245">
        <v>0</v>
      </c>
      <c r="I12" s="245">
        <v>0</v>
      </c>
      <c r="J12" s="245">
        <v>0</v>
      </c>
      <c r="K12" s="244">
        <v>0</v>
      </c>
      <c r="L12" s="245">
        <v>0</v>
      </c>
      <c r="M12" s="249">
        <f>C12+E12+G12+I12+K12</f>
        <v>0</v>
      </c>
      <c r="N12" s="245">
        <f>D12+F12+H12+J12+L12</f>
        <v>0</v>
      </c>
    </row>
    <row r="13" spans="1:16" x14ac:dyDescent="0.25">
      <c r="B13" s="211" t="s">
        <v>2</v>
      </c>
      <c r="C13" s="249">
        <f>SUM(C11:C12)</f>
        <v>0</v>
      </c>
      <c r="D13" s="249">
        <f t="shared" ref="D13:N13" si="6">SUM(D11:D12)</f>
        <v>0</v>
      </c>
      <c r="E13" s="249">
        <f t="shared" si="6"/>
        <v>0</v>
      </c>
      <c r="F13" s="249">
        <f t="shared" si="6"/>
        <v>0</v>
      </c>
      <c r="G13" s="249">
        <f>SUM(G11:G12)</f>
        <v>0</v>
      </c>
      <c r="H13" s="249">
        <f>SUM(H11:H12)</f>
        <v>0</v>
      </c>
      <c r="I13" s="249">
        <f t="shared" si="6"/>
        <v>0</v>
      </c>
      <c r="J13" s="249">
        <f t="shared" si="6"/>
        <v>0</v>
      </c>
      <c r="K13" s="249">
        <f t="shared" si="6"/>
        <v>0</v>
      </c>
      <c r="L13" s="249">
        <f t="shared" si="6"/>
        <v>0</v>
      </c>
      <c r="M13" s="249">
        <f t="shared" si="6"/>
        <v>0</v>
      </c>
      <c r="N13" s="249">
        <f t="shared" si="6"/>
        <v>0</v>
      </c>
    </row>
    <row r="14" spans="1:16" x14ac:dyDescent="0.25">
      <c r="E14" s="212"/>
    </row>
    <row r="16" spans="1:16" ht="14.4" x14ac:dyDescent="0.3">
      <c r="B16" s="208" t="s">
        <v>153</v>
      </c>
      <c r="C16" s="209"/>
    </row>
    <row r="17" spans="2:14" x14ac:dyDescent="0.25">
      <c r="C17" s="779" t="s">
        <v>99</v>
      </c>
      <c r="D17" s="779"/>
      <c r="E17" s="779" t="s">
        <v>100</v>
      </c>
      <c r="F17" s="779"/>
      <c r="G17" s="779" t="s">
        <v>101</v>
      </c>
      <c r="H17" s="779"/>
      <c r="I17" s="779" t="s">
        <v>102</v>
      </c>
      <c r="J17" s="779"/>
      <c r="K17" s="779" t="s">
        <v>103</v>
      </c>
      <c r="L17" s="779"/>
      <c r="M17" s="779" t="s">
        <v>2</v>
      </c>
      <c r="N17" s="779"/>
    </row>
    <row r="18" spans="2:14" x14ac:dyDescent="0.25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25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0</v>
      </c>
      <c r="J19" s="245">
        <v>0</v>
      </c>
      <c r="K19" s="244">
        <v>0</v>
      </c>
      <c r="L19" s="245">
        <v>0</v>
      </c>
      <c r="M19" s="245">
        <f>C19+E19+G19+I19+K19</f>
        <v>0</v>
      </c>
      <c r="N19" s="245">
        <f>D19+F19+H19+J19+L19</f>
        <v>0</v>
      </c>
    </row>
    <row r="20" spans="2:14" x14ac:dyDescent="0.25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0</v>
      </c>
      <c r="J20" s="546">
        <v>0</v>
      </c>
      <c r="K20" s="244">
        <v>0</v>
      </c>
      <c r="L20" s="245">
        <v>0</v>
      </c>
      <c r="M20" s="245">
        <f>C20+E20+G20+I20+K20</f>
        <v>0</v>
      </c>
      <c r="N20" s="245">
        <f>D20+F20+H20+J20+L20</f>
        <v>0</v>
      </c>
    </row>
    <row r="21" spans="2:14" x14ac:dyDescent="0.25">
      <c r="B21" s="211" t="s">
        <v>2</v>
      </c>
      <c r="C21" s="249">
        <f>SUM(C19:C20)</f>
        <v>0</v>
      </c>
      <c r="D21" s="249">
        <f t="shared" ref="D21:L21" si="7">SUM(D19:D20)</f>
        <v>0</v>
      </c>
      <c r="E21" s="249">
        <f t="shared" si="7"/>
        <v>0</v>
      </c>
      <c r="F21" s="249">
        <f t="shared" si="7"/>
        <v>0</v>
      </c>
      <c r="G21" s="249">
        <f t="shared" si="7"/>
        <v>0</v>
      </c>
      <c r="H21" s="249">
        <f t="shared" si="7"/>
        <v>0</v>
      </c>
      <c r="I21" s="249">
        <f t="shared" si="7"/>
        <v>0</v>
      </c>
      <c r="J21" s="249">
        <f t="shared" si="7"/>
        <v>0</v>
      </c>
      <c r="K21" s="249">
        <f t="shared" si="7"/>
        <v>0</v>
      </c>
      <c r="L21" s="249">
        <f t="shared" si="7"/>
        <v>0</v>
      </c>
      <c r="M21" s="249">
        <f>C21+E21+G21+I21+K21</f>
        <v>0</v>
      </c>
      <c r="N21" s="249">
        <f t="shared" ref="N21" si="8">SUM(N19:N20)</f>
        <v>0</v>
      </c>
    </row>
    <row r="24" spans="2:14" ht="14.4" x14ac:dyDescent="0.3">
      <c r="B24" s="208" t="s">
        <v>154</v>
      </c>
      <c r="C24" s="209"/>
    </row>
    <row r="25" spans="2:14" x14ac:dyDescent="0.25">
      <c r="C25" s="779" t="s">
        <v>99</v>
      </c>
      <c r="D25" s="779"/>
      <c r="E25" s="779" t="s">
        <v>100</v>
      </c>
      <c r="F25" s="779"/>
      <c r="G25" s="779" t="s">
        <v>101</v>
      </c>
      <c r="H25" s="779"/>
      <c r="I25" s="779" t="s">
        <v>102</v>
      </c>
      <c r="J25" s="779"/>
      <c r="K25" s="779" t="s">
        <v>103</v>
      </c>
      <c r="L25" s="779"/>
      <c r="M25" s="779" t="s">
        <v>2</v>
      </c>
      <c r="N25" s="779"/>
    </row>
    <row r="26" spans="2:14" x14ac:dyDescent="0.25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25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25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25">
      <c r="B29" s="211" t="s">
        <v>2</v>
      </c>
      <c r="C29" s="249">
        <f t="shared" ref="C29:N29" si="9">SUM(C27:C28)</f>
        <v>0</v>
      </c>
      <c r="D29" s="249">
        <f t="shared" si="9"/>
        <v>0</v>
      </c>
      <c r="E29" s="249">
        <f t="shared" si="9"/>
        <v>0</v>
      </c>
      <c r="F29" s="249">
        <f t="shared" si="9"/>
        <v>0</v>
      </c>
      <c r="G29" s="249">
        <f t="shared" si="9"/>
        <v>0</v>
      </c>
      <c r="H29" s="249">
        <f t="shared" si="9"/>
        <v>0</v>
      </c>
      <c r="I29" s="249">
        <f t="shared" si="9"/>
        <v>0</v>
      </c>
      <c r="J29" s="249">
        <f t="shared" si="9"/>
        <v>0</v>
      </c>
      <c r="K29" s="249">
        <f t="shared" si="9"/>
        <v>0</v>
      </c>
      <c r="L29" s="249">
        <f t="shared" si="9"/>
        <v>0</v>
      </c>
      <c r="M29" s="249">
        <f t="shared" si="9"/>
        <v>0</v>
      </c>
      <c r="N29" s="249">
        <f t="shared" si="9"/>
        <v>0</v>
      </c>
    </row>
    <row r="32" spans="2:14" x14ac:dyDescent="0.25">
      <c r="B32" s="209" t="s">
        <v>155</v>
      </c>
    </row>
    <row r="33" spans="2:14" x14ac:dyDescent="0.25">
      <c r="C33" s="779" t="s">
        <v>99</v>
      </c>
      <c r="D33" s="779"/>
      <c r="E33" s="779" t="s">
        <v>100</v>
      </c>
      <c r="F33" s="779"/>
      <c r="G33" s="779" t="s">
        <v>101</v>
      </c>
      <c r="H33" s="779"/>
      <c r="I33" s="779" t="s">
        <v>102</v>
      </c>
      <c r="J33" s="779"/>
      <c r="K33" s="779" t="s">
        <v>103</v>
      </c>
      <c r="L33" s="779"/>
      <c r="M33" s="779" t="s">
        <v>2</v>
      </c>
      <c r="N33" s="779"/>
    </row>
    <row r="34" spans="2:14" x14ac:dyDescent="0.25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25">
      <c r="B35" s="210" t="s">
        <v>151</v>
      </c>
      <c r="C35" s="245">
        <v>0</v>
      </c>
      <c r="D35" s="245">
        <v>0</v>
      </c>
      <c r="E35" s="245">
        <v>0</v>
      </c>
      <c r="F35" s="245">
        <v>0</v>
      </c>
      <c r="G35" s="245">
        <v>0</v>
      </c>
      <c r="H35" s="245">
        <v>0</v>
      </c>
      <c r="I35" s="245">
        <v>0</v>
      </c>
      <c r="J35" s="245">
        <v>0</v>
      </c>
      <c r="K35" s="244">
        <v>0</v>
      </c>
      <c r="L35" s="245">
        <v>0</v>
      </c>
      <c r="M35" s="245">
        <f>C35+E35+G35+I35+K35</f>
        <v>0</v>
      </c>
      <c r="N35" s="245">
        <f>D35+F35+H35+J35+L35</f>
        <v>0</v>
      </c>
    </row>
    <row r="36" spans="2:14" x14ac:dyDescent="0.25">
      <c r="B36" s="210" t="s">
        <v>152</v>
      </c>
      <c r="C36" s="245">
        <v>0</v>
      </c>
      <c r="D36" s="245">
        <v>0</v>
      </c>
      <c r="E36" s="245">
        <v>0</v>
      </c>
      <c r="F36" s="245">
        <v>0</v>
      </c>
      <c r="G36" s="245">
        <v>0</v>
      </c>
      <c r="H36" s="245">
        <v>0</v>
      </c>
      <c r="I36" s="245">
        <v>0</v>
      </c>
      <c r="J36" s="245">
        <v>0</v>
      </c>
      <c r="K36" s="244">
        <v>0</v>
      </c>
      <c r="L36" s="245">
        <v>0</v>
      </c>
      <c r="M36" s="245">
        <f>C36+E36+G36+I36+K36</f>
        <v>0</v>
      </c>
      <c r="N36" s="245">
        <f>D36+F36+H36+J36+L36</f>
        <v>0</v>
      </c>
    </row>
    <row r="37" spans="2:14" x14ac:dyDescent="0.25">
      <c r="B37" s="211" t="s">
        <v>2</v>
      </c>
      <c r="C37" s="249">
        <f>SUM(C35:C36)</f>
        <v>0</v>
      </c>
      <c r="D37" s="249">
        <f t="shared" ref="D37:L37" si="10">SUM(D35:D36)</f>
        <v>0</v>
      </c>
      <c r="E37" s="249">
        <f t="shared" si="10"/>
        <v>0</v>
      </c>
      <c r="F37" s="249">
        <f t="shared" si="10"/>
        <v>0</v>
      </c>
      <c r="G37" s="249">
        <f t="shared" si="10"/>
        <v>0</v>
      </c>
      <c r="H37" s="249">
        <f t="shared" si="10"/>
        <v>0</v>
      </c>
      <c r="I37" s="249">
        <f t="shared" si="10"/>
        <v>0</v>
      </c>
      <c r="J37" s="249">
        <f t="shared" si="10"/>
        <v>0</v>
      </c>
      <c r="K37" s="249">
        <f t="shared" si="10"/>
        <v>0</v>
      </c>
      <c r="L37" s="249">
        <f t="shared" si="10"/>
        <v>0</v>
      </c>
      <c r="M37" s="249">
        <f>SUM(M35:M36)</f>
        <v>0</v>
      </c>
      <c r="N37" s="249">
        <f t="shared" ref="N37" si="11">SUM(N35:N36)</f>
        <v>0</v>
      </c>
    </row>
    <row r="39" spans="2:14" x14ac:dyDescent="0.25">
      <c r="L39" s="212"/>
    </row>
    <row r="40" spans="2:14" x14ac:dyDescent="0.25">
      <c r="B40" s="742" t="s">
        <v>326</v>
      </c>
    </row>
    <row r="41" spans="2:14" x14ac:dyDescent="0.25">
      <c r="C41" s="779" t="s">
        <v>99</v>
      </c>
      <c r="D41" s="779"/>
      <c r="E41" s="779" t="s">
        <v>100</v>
      </c>
      <c r="F41" s="779"/>
      <c r="G41" s="779" t="s">
        <v>101</v>
      </c>
      <c r="H41" s="779"/>
      <c r="I41" s="779" t="s">
        <v>102</v>
      </c>
      <c r="J41" s="779"/>
      <c r="K41" s="779" t="s">
        <v>103</v>
      </c>
      <c r="L41" s="779"/>
      <c r="M41" s="779" t="s">
        <v>2</v>
      </c>
      <c r="N41" s="779"/>
    </row>
    <row r="42" spans="2:14" x14ac:dyDescent="0.25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25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25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25">
      <c r="B45" s="211" t="s">
        <v>2</v>
      </c>
      <c r="C45" s="249">
        <f>SUM(C43:C44)</f>
        <v>0</v>
      </c>
      <c r="D45" s="249">
        <f t="shared" ref="D45:J45" si="12">SUM(D43:D44)</f>
        <v>0</v>
      </c>
      <c r="E45" s="249">
        <f t="shared" si="12"/>
        <v>0</v>
      </c>
      <c r="F45" s="249">
        <f t="shared" si="12"/>
        <v>0</v>
      </c>
      <c r="G45" s="249">
        <f t="shared" si="12"/>
        <v>0</v>
      </c>
      <c r="H45" s="249">
        <f t="shared" si="12"/>
        <v>0</v>
      </c>
      <c r="I45" s="249">
        <f t="shared" si="12"/>
        <v>0</v>
      </c>
      <c r="J45" s="249">
        <f t="shared" si="12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 t="shared" ref="N45" si="13">SUM(N43:N44)</f>
        <v>0</v>
      </c>
    </row>
  </sheetData>
  <mergeCells count="36">
    <mergeCell ref="M33:N33"/>
    <mergeCell ref="C33:D33"/>
    <mergeCell ref="E33:F33"/>
    <mergeCell ref="G33:H33"/>
    <mergeCell ref="I33:J33"/>
    <mergeCell ref="K33:L33"/>
    <mergeCell ref="M9:N9"/>
    <mergeCell ref="C9:D9"/>
    <mergeCell ref="E9:F9"/>
    <mergeCell ref="G9:H9"/>
    <mergeCell ref="I9:J9"/>
    <mergeCell ref="K9:L9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1:N1"/>
    <mergeCell ref="C1:D1"/>
    <mergeCell ref="E1:F1"/>
    <mergeCell ref="G1:H1"/>
    <mergeCell ref="I1:J1"/>
    <mergeCell ref="K1:L1"/>
    <mergeCell ref="M41:N41"/>
    <mergeCell ref="C41:D41"/>
    <mergeCell ref="E41:F41"/>
    <mergeCell ref="G41:H41"/>
    <mergeCell ref="I41:J41"/>
    <mergeCell ref="K41:L41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workbookViewId="0">
      <selection activeCell="C24" sqref="C24"/>
    </sheetView>
  </sheetViews>
  <sheetFormatPr baseColWidth="10" defaultRowHeight="13.2" x14ac:dyDescent="0.25"/>
  <cols>
    <col min="1" max="1" width="2.44140625" customWidth="1"/>
    <col min="2" max="2" width="8" customWidth="1"/>
    <col min="3" max="3" width="15.88671875" bestFit="1" customWidth="1"/>
    <col min="4" max="4" width="1.88671875" style="238" customWidth="1"/>
    <col min="5" max="5" width="14.88671875" customWidth="1"/>
    <col min="6" max="6" width="15.88671875" bestFit="1" customWidth="1"/>
    <col min="7" max="7" width="1.88671875" style="238" customWidth="1"/>
    <col min="8" max="8" width="9.109375" customWidth="1"/>
    <col min="9" max="9" width="15.88671875" bestFit="1" customWidth="1"/>
    <col min="10" max="10" width="1.88671875" style="238" customWidth="1"/>
    <col min="11" max="11" width="14.109375" customWidth="1"/>
    <col min="12" max="12" width="17.44140625" customWidth="1"/>
    <col min="13" max="13" width="1.88671875" style="238" customWidth="1"/>
    <col min="14" max="14" width="14.109375" customWidth="1"/>
    <col min="15" max="15" width="17.44140625" customWidth="1"/>
    <col min="16" max="16" width="1.88671875" style="238" customWidth="1"/>
    <col min="17" max="17" width="20.109375" customWidth="1"/>
    <col min="18" max="18" width="15.88671875" bestFit="1" customWidth="1"/>
    <col min="19" max="19" width="3.5546875" customWidth="1"/>
    <col min="20" max="20" width="48.44140625" bestFit="1" customWidth="1"/>
  </cols>
  <sheetData>
    <row r="1" spans="2:20" ht="13.8" thickBot="1" x14ac:dyDescent="0.3">
      <c r="B1" s="142" t="s">
        <v>2</v>
      </c>
      <c r="E1" t="s">
        <v>165</v>
      </c>
      <c r="H1" t="s">
        <v>155</v>
      </c>
      <c r="K1" s="723" t="s">
        <v>326</v>
      </c>
      <c r="L1" s="723"/>
      <c r="N1" t="s">
        <v>119</v>
      </c>
      <c r="Q1" t="s">
        <v>166</v>
      </c>
    </row>
    <row r="2" spans="2:20" ht="36.6" thickBot="1" x14ac:dyDescent="0.3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15">
        <f>'REPORTE RECAUDO x BANCO'!I14</f>
        <v>0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0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0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15">
        <f>'REPORTE RECAUDO x BANCO'!I24</f>
        <v>0</v>
      </c>
      <c r="E4" s="16">
        <v>2</v>
      </c>
      <c r="F4" s="15">
        <f>'REPORTE RECAUDO x BANCO'!F24</f>
        <v>0</v>
      </c>
      <c r="H4" s="16">
        <v>2</v>
      </c>
      <c r="I4" s="15">
        <f>'REPORTE RECAUDO x BANCO'!C24</f>
        <v>0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0</v>
      </c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15">
        <f>'REPORTE RECAUDO x BANCO'!I33</f>
        <v>0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0</v>
      </c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15">
        <f>'REPORTE RECAUDO x BANCO'!I42</f>
        <v>0</v>
      </c>
      <c r="E6" s="16">
        <v>4</v>
      </c>
      <c r="F6" s="15">
        <f>'REPORTE RECAUDO x BANCO'!F42</f>
        <v>0</v>
      </c>
      <c r="H6" s="16">
        <v>4</v>
      </c>
      <c r="I6" s="15">
        <f>'REPORTE RECAUDO x BANCO'!C42</f>
        <v>0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0</v>
      </c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15">
        <f>'REPORTE RECAUDO x BANCO'!I52</f>
        <v>0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0</v>
      </c>
      <c r="K7" s="19">
        <v>5</v>
      </c>
      <c r="L7" s="15">
        <f>'REPORTE RECAUDO x BANCO'!G52</f>
        <v>0</v>
      </c>
      <c r="N7" s="19">
        <v>5</v>
      </c>
      <c r="O7" s="15">
        <f>'REPORTE RECAUDO x BANCO'!H52</f>
        <v>0</v>
      </c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47">
        <f>SUM(C3:C7)</f>
        <v>0</v>
      </c>
      <c r="E8" s="21"/>
      <c r="F8" s="47">
        <f>SUM(F3:F7)</f>
        <v>0</v>
      </c>
      <c r="H8" s="21"/>
      <c r="I8" s="47">
        <f>SUM(I3:I7)</f>
        <v>0</v>
      </c>
      <c r="K8" s="21"/>
      <c r="L8" s="47">
        <f>SUM(L3:L7)</f>
        <v>0</v>
      </c>
      <c r="N8" s="21"/>
      <c r="O8" s="47">
        <f>SUM(O3:O7)</f>
        <v>0</v>
      </c>
      <c r="Q8" s="21"/>
      <c r="R8" s="47">
        <f>SUM(R3:R7)</f>
        <v>0</v>
      </c>
    </row>
    <row r="9" spans="2:20" x14ac:dyDescent="0.25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3.8" thickBot="1" x14ac:dyDescent="0.3"/>
    <row r="11" spans="2:20" ht="60.6" thickBot="1" x14ac:dyDescent="0.3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25">
      <c r="B12" s="14">
        <v>1</v>
      </c>
      <c r="C12" s="15">
        <f>'ANT EXT-REV'!C4</f>
        <v>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EXT-REV'!C44</f>
        <v>0</v>
      </c>
      <c r="N12" s="14">
        <v>1</v>
      </c>
      <c r="O12" s="15">
        <f>'ANT EXT-REV'!C12</f>
        <v>0</v>
      </c>
      <c r="Q12" s="14">
        <v>1</v>
      </c>
      <c r="R12" s="15">
        <f>'ANT EXT-REV'!C28</f>
        <v>0</v>
      </c>
      <c r="T12" s="142" t="s">
        <v>147</v>
      </c>
    </row>
    <row r="13" spans="2:20" x14ac:dyDescent="0.25">
      <c r="B13" s="16">
        <v>2</v>
      </c>
      <c r="C13" s="15">
        <f>'ANT EXT-REV'!E4</f>
        <v>0</v>
      </c>
      <c r="E13" s="16">
        <v>2</v>
      </c>
      <c r="F13" s="15">
        <f>'ANT EXT-REV'!E20</f>
        <v>0</v>
      </c>
      <c r="H13" s="16">
        <v>2</v>
      </c>
      <c r="I13" s="15">
        <f>'ANT EXT-REV'!E36</f>
        <v>0</v>
      </c>
      <c r="K13" s="16">
        <v>2</v>
      </c>
      <c r="L13" s="15">
        <f>'ANT EXT-REV'!E44</f>
        <v>0</v>
      </c>
      <c r="N13" s="16">
        <v>2</v>
      </c>
      <c r="O13" s="15">
        <f>'ANT EXT-REV'!E12</f>
        <v>0</v>
      </c>
      <c r="Q13" s="16">
        <v>2</v>
      </c>
      <c r="R13" s="15">
        <f>'ANT EXT-REV'!E28</f>
        <v>0</v>
      </c>
    </row>
    <row r="14" spans="2:20" x14ac:dyDescent="0.25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25">
      <c r="B15" s="16">
        <v>4</v>
      </c>
      <c r="C15" s="15">
        <f>'ANT EXT-REV'!I4</f>
        <v>0</v>
      </c>
      <c r="E15" s="16">
        <v>4</v>
      </c>
      <c r="F15" s="15">
        <f>'ANT EXT-REV'!I20</f>
        <v>0</v>
      </c>
      <c r="H15" s="16">
        <v>4</v>
      </c>
      <c r="I15" s="15">
        <f>'ANT EXT-REV'!I36</f>
        <v>0</v>
      </c>
      <c r="K15" s="16">
        <v>4</v>
      </c>
      <c r="L15" s="15">
        <f>'ANT EXT-REV'!I44</f>
        <v>0</v>
      </c>
      <c r="N15" s="16">
        <v>4</v>
      </c>
      <c r="O15" s="15">
        <f>'ANT EXT-REV'!I12</f>
        <v>0</v>
      </c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15">
        <f>'ANT EXT-REV'!K4</f>
        <v>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0</v>
      </c>
      <c r="Q16" s="19">
        <v>5</v>
      </c>
      <c r="R16" s="15">
        <f>'ANT EXT-REV'!K28</f>
        <v>0</v>
      </c>
    </row>
    <row r="17" spans="2:20" ht="13.8" thickBot="1" x14ac:dyDescent="0.3">
      <c r="B17" s="21"/>
      <c r="C17" s="47">
        <f>SUM(C12:C16)</f>
        <v>0</v>
      </c>
      <c r="E17" s="21"/>
      <c r="F17" s="47">
        <f>SUM(F12:F16)</f>
        <v>0</v>
      </c>
      <c r="H17" s="21"/>
      <c r="I17" s="47">
        <f>SUM(I12:I16)</f>
        <v>0</v>
      </c>
      <c r="K17" s="21"/>
      <c r="L17" s="47">
        <f>SUM(L12:L16)</f>
        <v>0</v>
      </c>
      <c r="N17" s="21"/>
      <c r="O17" s="47">
        <f>SUM(O12:O16)</f>
        <v>0</v>
      </c>
      <c r="Q17" s="21"/>
      <c r="R17" s="47">
        <f>SUM(R12:R16)</f>
        <v>0</v>
      </c>
    </row>
    <row r="18" spans="2:20" x14ac:dyDescent="0.25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3.8" thickBot="1" x14ac:dyDescent="0.3"/>
    <row r="20" spans="2:20" ht="36.6" thickBot="1" x14ac:dyDescent="0.3">
      <c r="B20" s="11" t="s">
        <v>3</v>
      </c>
      <c r="C20" s="12" t="s">
        <v>170</v>
      </c>
      <c r="E20" s="11" t="s">
        <v>3</v>
      </c>
      <c r="F20" s="12" t="s">
        <v>170</v>
      </c>
      <c r="H20" s="11" t="s">
        <v>3</v>
      </c>
      <c r="I20" s="12" t="s">
        <v>170</v>
      </c>
      <c r="K20" s="11" t="s">
        <v>3</v>
      </c>
      <c r="L20" s="12" t="s">
        <v>170</v>
      </c>
      <c r="N20" s="11" t="s">
        <v>3</v>
      </c>
      <c r="O20" s="12" t="s">
        <v>170</v>
      </c>
      <c r="Q20" s="11" t="s">
        <v>3</v>
      </c>
      <c r="R20" s="12" t="s">
        <v>170</v>
      </c>
      <c r="T20" s="142" t="s">
        <v>171</v>
      </c>
    </row>
    <row r="21" spans="2:20" x14ac:dyDescent="0.25">
      <c r="B21" s="14">
        <v>1</v>
      </c>
      <c r="C21" s="15">
        <f>'ANT EXT-REV'!D4</f>
        <v>0</v>
      </c>
      <c r="E21" s="14">
        <v>1</v>
      </c>
      <c r="F21" s="15">
        <f>'ANT EXT-REV'!D20</f>
        <v>0</v>
      </c>
      <c r="H21" s="14">
        <v>1</v>
      </c>
      <c r="I21" s="15">
        <f>'ANT EXT-REV'!D36</f>
        <v>0</v>
      </c>
      <c r="K21" s="14">
        <v>1</v>
      </c>
      <c r="L21" s="15">
        <f>'ANT EXT-REV'!D44</f>
        <v>0</v>
      </c>
      <c r="N21" s="14">
        <v>1</v>
      </c>
      <c r="O21" s="15">
        <f>'ANT EXT-REV'!D12</f>
        <v>0</v>
      </c>
      <c r="Q21" s="14">
        <v>1</v>
      </c>
      <c r="R21" s="15">
        <f>'ANT EXT-REV'!D28</f>
        <v>0</v>
      </c>
      <c r="T21" s="142" t="s">
        <v>147</v>
      </c>
    </row>
    <row r="22" spans="2:20" x14ac:dyDescent="0.25">
      <c r="B22" s="16">
        <v>2</v>
      </c>
      <c r="C22" s="15">
        <f>'ANT EXT-REV'!F4</f>
        <v>0</v>
      </c>
      <c r="E22" s="16">
        <v>2</v>
      </c>
      <c r="F22" s="15">
        <f>'ANT EXT-REV'!F20</f>
        <v>0</v>
      </c>
      <c r="H22" s="16">
        <v>2</v>
      </c>
      <c r="I22" s="15">
        <f>'ANT EXT-REV'!F36</f>
        <v>0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25">
      <c r="B23" s="16">
        <v>3</v>
      </c>
      <c r="C23" s="15">
        <f>'ANT EXT-REV'!H4</f>
        <v>0</v>
      </c>
      <c r="E23" s="16">
        <v>3</v>
      </c>
      <c r="F23" s="15">
        <f>'ANT EXT-REV'!H20</f>
        <v>0</v>
      </c>
      <c r="H23" s="16">
        <v>3</v>
      </c>
      <c r="I23" s="15">
        <f>'ANT EXT-REV'!H36</f>
        <v>0</v>
      </c>
      <c r="K23" s="16">
        <v>3</v>
      </c>
      <c r="L23" s="15">
        <f>'ANT EXT-REV'!H44</f>
        <v>0</v>
      </c>
      <c r="N23" s="16">
        <v>3</v>
      </c>
      <c r="O23" s="15">
        <f>'ANT EXT-REV'!H12</f>
        <v>0</v>
      </c>
      <c r="Q23" s="16">
        <v>3</v>
      </c>
      <c r="R23" s="15">
        <f>'ANT EXT-REV'!H28</f>
        <v>0</v>
      </c>
    </row>
    <row r="24" spans="2:20" x14ac:dyDescent="0.25">
      <c r="B24" s="16">
        <v>4</v>
      </c>
      <c r="C24" s="15">
        <f>'ANT EXT-REV'!J4</f>
        <v>0</v>
      </c>
      <c r="E24" s="16">
        <v>4</v>
      </c>
      <c r="F24" s="15">
        <f>'ANT EXT-REV'!J20</f>
        <v>0</v>
      </c>
      <c r="H24" s="16">
        <v>4</v>
      </c>
      <c r="I24" s="15">
        <f>'ANT EXT-REV'!J36</f>
        <v>0</v>
      </c>
      <c r="K24" s="16">
        <v>4</v>
      </c>
      <c r="L24" s="15">
        <f>'ANT EXT-REV'!J44</f>
        <v>0</v>
      </c>
      <c r="N24" s="16">
        <v>4</v>
      </c>
      <c r="O24" s="15">
        <f>'ANT EXT-REV'!J12</f>
        <v>0</v>
      </c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15">
        <f>'ANT EXT-REV'!L4</f>
        <v>0</v>
      </c>
      <c r="E25" s="19">
        <v>5</v>
      </c>
      <c r="F25" s="15">
        <f>'ANT EXT-REV'!L20</f>
        <v>0</v>
      </c>
      <c r="H25" s="19">
        <v>5</v>
      </c>
      <c r="I25" s="15">
        <f>'ANT EXT-REV'!L36</f>
        <v>0</v>
      </c>
      <c r="K25" s="19">
        <v>5</v>
      </c>
      <c r="L25" s="15">
        <f>'ANT EXT-REV'!L44</f>
        <v>0</v>
      </c>
      <c r="N25" s="19">
        <v>5</v>
      </c>
      <c r="O25" s="15">
        <f>'ANT EXT-REV'!L12</f>
        <v>0</v>
      </c>
      <c r="Q25" s="19">
        <v>5</v>
      </c>
      <c r="R25" s="15">
        <f>'ANT EXT-REV'!L28</f>
        <v>0</v>
      </c>
    </row>
    <row r="26" spans="2:20" ht="13.8" thickBot="1" x14ac:dyDescent="0.3">
      <c r="B26" s="21"/>
      <c r="C26" s="47">
        <f t="shared" ref="C26" si="0">SUM(C21:C25)</f>
        <v>0</v>
      </c>
      <c r="E26" s="21"/>
      <c r="F26" s="47">
        <f t="shared" ref="F26" si="1">SUM(F21:F25)</f>
        <v>0</v>
      </c>
      <c r="H26" s="21"/>
      <c r="I26" s="47">
        <f t="shared" ref="I26" si="2">SUM(I21:I25)</f>
        <v>0</v>
      </c>
      <c r="K26" s="21"/>
      <c r="L26" s="47">
        <f t="shared" ref="L26:O26" si="3">SUM(L21:L25)</f>
        <v>0</v>
      </c>
      <c r="N26" s="21"/>
      <c r="O26" s="47">
        <f t="shared" si="3"/>
        <v>0</v>
      </c>
      <c r="Q26" s="21"/>
      <c r="R26" s="47">
        <f t="shared" ref="R26" si="4">SUM(R21:R25)</f>
        <v>0</v>
      </c>
    </row>
    <row r="27" spans="2:20" x14ac:dyDescent="0.25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D3" sqref="D3:E7"/>
    </sheetView>
  </sheetViews>
  <sheetFormatPr baseColWidth="10" defaultRowHeight="13.2" x14ac:dyDescent="0.25"/>
  <cols>
    <col min="3" max="3" width="11.44140625" style="123"/>
    <col min="4" max="4" width="19.109375" customWidth="1"/>
    <col min="5" max="5" width="18.109375" customWidth="1"/>
    <col min="6" max="7" width="18" customWidth="1"/>
    <col min="8" max="8" width="27.88671875" customWidth="1"/>
    <col min="9" max="9" width="33.5546875" customWidth="1"/>
    <col min="13" max="13" width="28.44140625" customWidth="1"/>
    <col min="17" max="17" width="12.88671875" bestFit="1" customWidth="1"/>
  </cols>
  <sheetData>
    <row r="1" spans="1:17" ht="13.8" thickBot="1" x14ac:dyDescent="0.3">
      <c r="H1" s="503" t="s">
        <v>1</v>
      </c>
    </row>
    <row r="2" spans="1:17" ht="15" thickBot="1" x14ac:dyDescent="0.35">
      <c r="C2" s="127" t="s">
        <v>3</v>
      </c>
      <c r="D2" s="128" t="s">
        <v>110</v>
      </c>
      <c r="E2" s="128" t="s">
        <v>109</v>
      </c>
      <c r="F2" s="129" t="s">
        <v>111</v>
      </c>
      <c r="G2" s="498"/>
      <c r="H2" s="502" t="s">
        <v>197</v>
      </c>
      <c r="M2" s="729"/>
      <c r="Q2" s="596"/>
    </row>
    <row r="3" spans="1:17" x14ac:dyDescent="0.25">
      <c r="C3" s="126">
        <v>1</v>
      </c>
      <c r="D3" s="592">
        <v>0</v>
      </c>
      <c r="E3" s="592">
        <v>0</v>
      </c>
      <c r="F3" s="593">
        <f>D3+E3</f>
        <v>0</v>
      </c>
      <c r="G3" s="499"/>
      <c r="H3" s="612">
        <f>DetRetri2026092!J9</f>
        <v>0</v>
      </c>
      <c r="I3" s="276">
        <f>F3-H3</f>
        <v>0</v>
      </c>
    </row>
    <row r="4" spans="1:17" x14ac:dyDescent="0.25">
      <c r="C4" s="124">
        <v>2</v>
      </c>
      <c r="D4" s="602">
        <v>0</v>
      </c>
      <c r="E4" s="602">
        <v>0</v>
      </c>
      <c r="F4" s="593">
        <f>D4+E4</f>
        <v>0</v>
      </c>
      <c r="G4" s="499"/>
      <c r="H4" s="613">
        <f>DetRetri2026092!J10</f>
        <v>0</v>
      </c>
      <c r="I4" s="276">
        <f t="shared" ref="I4:I7" si="0">F4-H4</f>
        <v>0</v>
      </c>
    </row>
    <row r="5" spans="1:17" x14ac:dyDescent="0.25">
      <c r="C5" s="124">
        <v>3</v>
      </c>
      <c r="D5" s="602">
        <v>0</v>
      </c>
      <c r="E5" s="602">
        <v>0</v>
      </c>
      <c r="F5" s="593">
        <f>D5+E5</f>
        <v>0</v>
      </c>
      <c r="G5" s="499"/>
      <c r="H5" s="613">
        <f>DetRetri2026092!J11</f>
        <v>0</v>
      </c>
      <c r="I5" s="276">
        <f t="shared" si="0"/>
        <v>0</v>
      </c>
    </row>
    <row r="6" spans="1:17" x14ac:dyDescent="0.25">
      <c r="C6" s="124">
        <v>4</v>
      </c>
      <c r="D6" s="602">
        <v>0</v>
      </c>
      <c r="E6" s="602">
        <v>0</v>
      </c>
      <c r="F6" s="593">
        <f>D6+E6</f>
        <v>0</v>
      </c>
      <c r="G6" s="499"/>
      <c r="H6" s="613">
        <f>DetRetri2026092!J12</f>
        <v>0</v>
      </c>
      <c r="I6" s="276">
        <f t="shared" si="0"/>
        <v>0</v>
      </c>
    </row>
    <row r="7" spans="1:17" ht="13.8" thickBot="1" x14ac:dyDescent="0.3">
      <c r="C7" s="125">
        <v>5</v>
      </c>
      <c r="D7" s="603">
        <v>0</v>
      </c>
      <c r="E7" s="603">
        <v>0</v>
      </c>
      <c r="F7" s="594">
        <f>D7+E7</f>
        <v>0</v>
      </c>
      <c r="G7" s="499"/>
      <c r="H7" s="614">
        <f>DetRetri2026092!J13</f>
        <v>0</v>
      </c>
      <c r="I7" s="276">
        <f t="shared" si="0"/>
        <v>0</v>
      </c>
    </row>
    <row r="8" spans="1:17" ht="13.8" thickBot="1" x14ac:dyDescent="0.3">
      <c r="D8" s="144"/>
      <c r="E8" s="144"/>
      <c r="F8" s="144"/>
      <c r="G8" s="500"/>
      <c r="H8" s="143"/>
      <c r="I8" s="276"/>
    </row>
    <row r="9" spans="1:17" ht="13.8" thickBot="1" x14ac:dyDescent="0.3">
      <c r="D9" s="144"/>
      <c r="E9" s="144"/>
      <c r="F9" s="263">
        <f>SUM(F3:F7)</f>
        <v>0</v>
      </c>
      <c r="G9" s="499"/>
      <c r="H9" s="615">
        <f>SUM(H3:H7)</f>
        <v>0</v>
      </c>
      <c r="I9" s="276">
        <f>F9-H9</f>
        <v>0</v>
      </c>
    </row>
    <row r="10" spans="1:17" ht="13.8" thickBot="1" x14ac:dyDescent="0.3">
      <c r="D10" s="144"/>
      <c r="E10" s="144"/>
      <c r="F10" s="144"/>
      <c r="G10" s="500"/>
      <c r="H10" s="265" t="b">
        <f>H9=DetRetri2026092!J14</f>
        <v>1</v>
      </c>
    </row>
    <row r="11" spans="1:17" ht="13.8" thickBot="1" x14ac:dyDescent="0.3">
      <c r="D11" s="264">
        <f>SUM(D3:D7)</f>
        <v>0</v>
      </c>
      <c r="E11" s="264">
        <f t="shared" ref="E11" si="1">SUM(E3:E7)</f>
        <v>0</v>
      </c>
      <c r="F11" s="264">
        <f>SUM(D3:E7)</f>
        <v>0</v>
      </c>
      <c r="G11" s="501"/>
      <c r="H11" s="144"/>
    </row>
    <row r="12" spans="1:17" x14ac:dyDescent="0.25">
      <c r="D12" s="144"/>
      <c r="E12" s="144"/>
      <c r="F12" s="265" t="b">
        <f>ROUND(F11,2)=ROUND(F9,2)</f>
        <v>1</v>
      </c>
      <c r="H12" s="144"/>
    </row>
    <row r="13" spans="1:17" x14ac:dyDescent="0.25">
      <c r="D13" s="144"/>
      <c r="E13" s="144"/>
      <c r="F13" s="595">
        <f>ROUND(F11,2)-ROUND(F9,2)</f>
        <v>0</v>
      </c>
      <c r="G13" s="500"/>
      <c r="H13" s="144"/>
    </row>
    <row r="14" spans="1:17" x14ac:dyDescent="0.25">
      <c r="H14" s="143"/>
      <c r="I14" s="137"/>
    </row>
    <row r="15" spans="1:17" x14ac:dyDescent="0.25">
      <c r="H15" s="143"/>
      <c r="I15" s="137"/>
    </row>
    <row r="16" spans="1:17" x14ac:dyDescent="0.25">
      <c r="A16" s="238"/>
      <c r="B16" s="238"/>
      <c r="C16" s="495"/>
      <c r="D16" s="238"/>
      <c r="E16" s="238"/>
      <c r="F16" s="238"/>
      <c r="G16" s="238"/>
      <c r="H16" s="496"/>
      <c r="I16" s="497"/>
      <c r="J16" s="238"/>
    </row>
    <row r="17" spans="4:9" ht="13.8" thickBot="1" x14ac:dyDescent="0.3">
      <c r="D17" s="266"/>
      <c r="E17" s="266"/>
      <c r="F17" s="266"/>
      <c r="G17" s="266"/>
      <c r="H17" s="143"/>
      <c r="I17" s="137"/>
    </row>
    <row r="18" spans="4:9" ht="15" thickBot="1" x14ac:dyDescent="0.35">
      <c r="D18" s="127" t="s">
        <v>3</v>
      </c>
      <c r="E18" s="504" t="s">
        <v>196</v>
      </c>
      <c r="F18" s="508" t="s">
        <v>200</v>
      </c>
      <c r="G18" s="129" t="s">
        <v>199</v>
      </c>
      <c r="H18" s="509" t="s">
        <v>198</v>
      </c>
      <c r="I18" s="137"/>
    </row>
    <row r="19" spans="4:9" x14ac:dyDescent="0.25">
      <c r="D19" s="510">
        <v>1</v>
      </c>
      <c r="E19" s="513">
        <f>'CONSOLIDADO_TOTAL RECAUDO'!J104</f>
        <v>0</v>
      </c>
      <c r="F19" s="514" t="b">
        <f>E19=F3</f>
        <v>1</v>
      </c>
      <c r="G19" s="514" t="b">
        <f>E19=H3</f>
        <v>1</v>
      </c>
      <c r="H19" s="515">
        <f>E19-H3</f>
        <v>0</v>
      </c>
      <c r="I19" s="137"/>
    </row>
    <row r="20" spans="4:9" x14ac:dyDescent="0.25">
      <c r="D20" s="511">
        <v>2</v>
      </c>
      <c r="E20" s="516">
        <f>'CONSOLIDADO_TOTAL RECAUDO'!J105</f>
        <v>0</v>
      </c>
      <c r="F20" s="505" t="b">
        <f t="shared" ref="F20:F23" si="2">E20=F4</f>
        <v>1</v>
      </c>
      <c r="G20" s="505" t="b">
        <f t="shared" ref="G20:G23" si="3">E20=H4</f>
        <v>1</v>
      </c>
      <c r="H20" s="261">
        <f t="shared" ref="H20:H23" si="4">E20-H4</f>
        <v>0</v>
      </c>
      <c r="I20" s="137"/>
    </row>
    <row r="21" spans="4:9" x14ac:dyDescent="0.25">
      <c r="D21" s="511">
        <v>3</v>
      </c>
      <c r="E21" s="516">
        <f>'CONSOLIDADO_TOTAL RECAUDO'!J106</f>
        <v>0</v>
      </c>
      <c r="F21" s="505" t="b">
        <f t="shared" si="2"/>
        <v>1</v>
      </c>
      <c r="G21" s="505" t="b">
        <f t="shared" si="3"/>
        <v>1</v>
      </c>
      <c r="H21" s="261">
        <f t="shared" si="4"/>
        <v>0</v>
      </c>
    </row>
    <row r="22" spans="4:9" x14ac:dyDescent="0.25">
      <c r="D22" s="511">
        <v>4</v>
      </c>
      <c r="E22" s="516">
        <f>'CONSOLIDADO_TOTAL RECAUDO'!J107</f>
        <v>0</v>
      </c>
      <c r="F22" s="505" t="b">
        <f t="shared" si="2"/>
        <v>1</v>
      </c>
      <c r="G22" s="505" t="b">
        <f t="shared" si="3"/>
        <v>1</v>
      </c>
      <c r="H22" s="261">
        <f t="shared" si="4"/>
        <v>0</v>
      </c>
    </row>
    <row r="23" spans="4:9" ht="13.8" thickBot="1" x14ac:dyDescent="0.3">
      <c r="D23" s="512">
        <v>5</v>
      </c>
      <c r="E23" s="517">
        <f>'CONSOLIDADO_TOTAL RECAUDO'!J108</f>
        <v>0</v>
      </c>
      <c r="F23" s="518" t="b">
        <f t="shared" si="2"/>
        <v>1</v>
      </c>
      <c r="G23" s="518" t="b">
        <f t="shared" si="3"/>
        <v>1</v>
      </c>
      <c r="H23" s="262">
        <f t="shared" si="4"/>
        <v>0</v>
      </c>
    </row>
    <row r="24" spans="4:9" ht="13.8" thickBot="1" x14ac:dyDescent="0.3">
      <c r="E24" s="264">
        <f>SUM(E19:E23)</f>
        <v>0</v>
      </c>
      <c r="F24" s="506" t="b">
        <f>E24=F9</f>
        <v>1</v>
      </c>
      <c r="G24" s="507" t="b">
        <f>E24=H9</f>
        <v>1</v>
      </c>
      <c r="H24" s="263">
        <f>E24-H9</f>
        <v>0</v>
      </c>
    </row>
    <row r="26" spans="4:9" x14ac:dyDescent="0.25">
      <c r="F26" s="137"/>
    </row>
    <row r="28" spans="4:9" x14ac:dyDescent="0.25">
      <c r="F28" s="266"/>
    </row>
    <row r="29" spans="4:9" x14ac:dyDescent="0.25">
      <c r="F29" s="266"/>
    </row>
    <row r="30" spans="4:9" x14ac:dyDescent="0.25">
      <c r="F30" s="266"/>
    </row>
    <row r="31" spans="4:9" x14ac:dyDescent="0.25">
      <c r="F31" s="266"/>
    </row>
    <row r="32" spans="4:9" x14ac:dyDescent="0.25">
      <c r="F32" s="266"/>
    </row>
    <row r="33" spans="6:7" x14ac:dyDescent="0.25">
      <c r="F33" s="266"/>
    </row>
    <row r="34" spans="6:7" x14ac:dyDescent="0.25">
      <c r="F34" s="266"/>
      <c r="G34" s="137"/>
    </row>
    <row r="35" spans="6:7" x14ac:dyDescent="0.25">
      <c r="F35" s="266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843"/>
  <sheetViews>
    <sheetView tabSelected="1" zoomScale="90" zoomScaleNormal="90" workbookViewId="0">
      <pane ySplit="5" topLeftCell="A23" activePane="bottomLeft" state="frozen"/>
      <selection activeCell="D22" sqref="D22"/>
      <selection pane="bottomLeft" activeCell="D23" sqref="D23"/>
    </sheetView>
  </sheetViews>
  <sheetFormatPr baseColWidth="10" defaultRowHeight="13.2" x14ac:dyDescent="0.25"/>
  <cols>
    <col min="1" max="1" width="13.88671875" customWidth="1"/>
    <col min="2" max="2" width="16.88671875" customWidth="1"/>
    <col min="3" max="3" width="15.88671875" bestFit="1" customWidth="1"/>
    <col min="4" max="4" width="16.88671875" bestFit="1" customWidth="1"/>
    <col min="5" max="5" width="17" bestFit="1" customWidth="1"/>
    <col min="6" max="6" width="17.44140625" bestFit="1" customWidth="1"/>
    <col min="7" max="7" width="16.88671875" bestFit="1" customWidth="1"/>
    <col min="8" max="8" width="16.109375" bestFit="1" customWidth="1"/>
    <col min="9" max="9" width="19.109375" customWidth="1"/>
    <col min="10" max="10" width="17" customWidth="1"/>
    <col min="11" max="11" width="17.109375" bestFit="1" customWidth="1"/>
    <col min="12" max="12" width="22.44140625" bestFit="1" customWidth="1"/>
    <col min="13" max="13" width="16.88671875" bestFit="1" customWidth="1"/>
    <col min="14" max="14" width="20.44140625" bestFit="1" customWidth="1"/>
    <col min="15" max="15" width="20.44140625" customWidth="1"/>
    <col min="16" max="16" width="20.44140625" bestFit="1" customWidth="1"/>
    <col min="17" max="17" width="25.109375" customWidth="1"/>
    <col min="18" max="18" width="17.109375" customWidth="1"/>
    <col min="19" max="19" width="24" customWidth="1"/>
    <col min="20" max="22" width="23.88671875" customWidth="1"/>
    <col min="23" max="24" width="20" bestFit="1" customWidth="1"/>
    <col min="25" max="25" width="18.88671875" customWidth="1"/>
    <col min="26" max="26" width="14.109375" bestFit="1" customWidth="1"/>
  </cols>
  <sheetData>
    <row r="1" spans="2:26" x14ac:dyDescent="0.25">
      <c r="F1" s="638"/>
    </row>
    <row r="3" spans="2:26" s="238" customFormat="1" x14ac:dyDescent="0.25"/>
    <row r="4" spans="2:26" ht="13.5" customHeight="1" x14ac:dyDescent="0.25">
      <c r="B4" s="97" t="s">
        <v>74</v>
      </c>
    </row>
    <row r="5" spans="2:26" ht="12" customHeight="1" x14ac:dyDescent="0.25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173</v>
      </c>
      <c r="V5" s="89" t="s">
        <v>222</v>
      </c>
      <c r="W5" s="89" t="s">
        <v>173</v>
      </c>
      <c r="X5" t="s">
        <v>173</v>
      </c>
      <c r="Y5" s="89" t="s">
        <v>135</v>
      </c>
      <c r="Z5" s="89" t="s">
        <v>167</v>
      </c>
    </row>
    <row r="6" spans="2:26" x14ac:dyDescent="0.25">
      <c r="E6" t="s">
        <v>72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  <c r="P6" s="90">
        <v>0</v>
      </c>
      <c r="Q6" s="90">
        <v>0</v>
      </c>
      <c r="R6" s="90">
        <v>0</v>
      </c>
      <c r="S6" s="90">
        <v>0</v>
      </c>
      <c r="T6" s="90">
        <v>0</v>
      </c>
      <c r="U6">
        <v>0</v>
      </c>
      <c r="V6">
        <v>0</v>
      </c>
      <c r="W6">
        <v>0</v>
      </c>
      <c r="X6">
        <v>0</v>
      </c>
      <c r="Y6">
        <v>0</v>
      </c>
      <c r="Z6" s="90">
        <v>0</v>
      </c>
    </row>
    <row r="7" spans="2:26" x14ac:dyDescent="0.25">
      <c r="D7" t="s">
        <v>156</v>
      </c>
      <c r="E7" t="s">
        <v>70</v>
      </c>
      <c r="F7" s="90">
        <v>0</v>
      </c>
      <c r="G7" s="90">
        <v>0</v>
      </c>
      <c r="H7" s="90">
        <v>0</v>
      </c>
      <c r="I7" s="90">
        <v>0</v>
      </c>
      <c r="J7" s="90">
        <v>0</v>
      </c>
      <c r="K7" s="90">
        <v>0</v>
      </c>
      <c r="L7" s="90">
        <v>0</v>
      </c>
      <c r="M7" s="90">
        <v>0</v>
      </c>
      <c r="N7" s="90">
        <v>0</v>
      </c>
      <c r="O7" s="90">
        <v>0</v>
      </c>
      <c r="P7" s="90">
        <v>0</v>
      </c>
      <c r="Q7" s="90">
        <v>0</v>
      </c>
      <c r="R7" s="90">
        <v>0</v>
      </c>
      <c r="S7" s="90">
        <v>0</v>
      </c>
      <c r="T7" s="90">
        <v>0</v>
      </c>
      <c r="U7">
        <v>0</v>
      </c>
      <c r="V7">
        <v>0</v>
      </c>
      <c r="W7">
        <v>0</v>
      </c>
      <c r="X7">
        <v>0</v>
      </c>
      <c r="Y7">
        <v>0</v>
      </c>
      <c r="Z7" s="90">
        <v>0</v>
      </c>
    </row>
    <row r="8" spans="2:26" s="286" customFormat="1" x14ac:dyDescent="0.25">
      <c r="C8" s="286" t="s">
        <v>155</v>
      </c>
      <c r="D8" s="286" t="s">
        <v>70</v>
      </c>
      <c r="F8" s="230">
        <v>0</v>
      </c>
      <c r="G8" s="230">
        <v>0</v>
      </c>
      <c r="H8" s="230">
        <v>0</v>
      </c>
      <c r="I8" s="230">
        <v>0</v>
      </c>
      <c r="J8" s="230">
        <v>0</v>
      </c>
      <c r="K8" s="230">
        <v>0</v>
      </c>
      <c r="L8" s="230">
        <v>0</v>
      </c>
      <c r="M8" s="230">
        <v>0</v>
      </c>
      <c r="N8" s="230">
        <v>0</v>
      </c>
      <c r="O8" s="230">
        <v>0</v>
      </c>
      <c r="P8" s="230">
        <v>0</v>
      </c>
      <c r="Q8" s="230">
        <v>0</v>
      </c>
      <c r="R8" s="230">
        <v>0</v>
      </c>
      <c r="S8" s="230">
        <v>0</v>
      </c>
      <c r="T8" s="230">
        <v>0</v>
      </c>
      <c r="U8" s="286">
        <v>0</v>
      </c>
      <c r="V8" s="286">
        <v>0</v>
      </c>
      <c r="W8" s="286">
        <v>0</v>
      </c>
      <c r="X8" s="286">
        <v>0</v>
      </c>
      <c r="Y8" s="286">
        <v>0</v>
      </c>
      <c r="Z8" s="230">
        <v>0</v>
      </c>
    </row>
    <row r="9" spans="2:26" ht="12.75" customHeight="1" x14ac:dyDescent="0.25">
      <c r="E9" s="89" t="s">
        <v>72</v>
      </c>
      <c r="F9" s="371">
        <v>0</v>
      </c>
      <c r="G9" s="90">
        <v>0</v>
      </c>
      <c r="H9" s="90">
        <v>0</v>
      </c>
      <c r="I9" s="90">
        <v>0</v>
      </c>
      <c r="J9" s="90">
        <v>0</v>
      </c>
      <c r="K9" s="90">
        <v>0</v>
      </c>
      <c r="L9" s="90">
        <v>0</v>
      </c>
      <c r="M9" s="90">
        <v>0</v>
      </c>
      <c r="N9" s="90">
        <v>0</v>
      </c>
      <c r="O9" s="90">
        <v>0</v>
      </c>
      <c r="P9" s="90">
        <v>0</v>
      </c>
      <c r="Q9" s="90">
        <v>0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2:26" ht="12.75" customHeight="1" x14ac:dyDescent="0.25">
      <c r="D10" t="s">
        <v>82</v>
      </c>
      <c r="E10" s="89" t="s">
        <v>70</v>
      </c>
      <c r="F10" s="371">
        <v>0</v>
      </c>
      <c r="G10" s="90">
        <v>0</v>
      </c>
      <c r="H10" s="90">
        <v>0</v>
      </c>
      <c r="I10" s="90">
        <v>0</v>
      </c>
      <c r="J10" s="90">
        <v>0</v>
      </c>
      <c r="K10" s="90">
        <v>0</v>
      </c>
      <c r="L10" s="90">
        <v>0</v>
      </c>
      <c r="M10" s="90">
        <v>0</v>
      </c>
      <c r="N10" s="90">
        <v>0</v>
      </c>
      <c r="O10" s="90">
        <v>0</v>
      </c>
      <c r="P10" s="90">
        <v>0</v>
      </c>
      <c r="Q10" s="90">
        <v>0</v>
      </c>
      <c r="R10" s="90">
        <v>0</v>
      </c>
      <c r="S10" s="90">
        <v>0</v>
      </c>
      <c r="T10" s="90">
        <v>0</v>
      </c>
      <c r="U10" s="90">
        <v>0</v>
      </c>
      <c r="V10" s="90">
        <v>0</v>
      </c>
      <c r="W10" s="90">
        <v>0</v>
      </c>
      <c r="X10" s="90">
        <v>0</v>
      </c>
      <c r="Y10" s="90">
        <v>0</v>
      </c>
      <c r="Z10" s="90">
        <v>0</v>
      </c>
    </row>
    <row r="11" spans="2:26" ht="12.75" customHeight="1" x14ac:dyDescent="0.25">
      <c r="E11" s="89" t="s">
        <v>72</v>
      </c>
      <c r="F11" s="371">
        <v>0</v>
      </c>
      <c r="G11" s="90">
        <v>0</v>
      </c>
      <c r="H11" s="90">
        <v>0</v>
      </c>
      <c r="I11" s="90">
        <v>0</v>
      </c>
      <c r="J11" s="90">
        <v>0</v>
      </c>
      <c r="K11" s="90">
        <v>0</v>
      </c>
      <c r="L11" s="90">
        <v>0</v>
      </c>
      <c r="M11" s="90">
        <v>0</v>
      </c>
      <c r="N11" s="90">
        <v>0</v>
      </c>
      <c r="O11" s="90">
        <v>0</v>
      </c>
      <c r="P11" s="90">
        <v>0</v>
      </c>
      <c r="Q11" s="90">
        <v>0</v>
      </c>
      <c r="R11" s="90">
        <v>0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2:26" ht="12.75" customHeight="1" x14ac:dyDescent="0.25">
      <c r="D12" t="s">
        <v>86</v>
      </c>
      <c r="E12" s="89" t="s">
        <v>70</v>
      </c>
      <c r="F12" s="371">
        <v>0</v>
      </c>
      <c r="G12" s="90">
        <v>0</v>
      </c>
      <c r="H12" s="90">
        <v>0</v>
      </c>
      <c r="I12" s="90">
        <v>0</v>
      </c>
      <c r="J12" s="90">
        <v>0</v>
      </c>
      <c r="K12" s="90">
        <v>0</v>
      </c>
      <c r="L12" s="90">
        <v>0</v>
      </c>
      <c r="M12" s="90">
        <v>0</v>
      </c>
      <c r="N12" s="90">
        <v>0</v>
      </c>
      <c r="O12" s="90">
        <v>0</v>
      </c>
      <c r="P12" s="90">
        <v>0</v>
      </c>
      <c r="Q12" s="90">
        <v>0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2:26" ht="12.75" customHeight="1" x14ac:dyDescent="0.25">
      <c r="E13" s="89" t="s">
        <v>72</v>
      </c>
      <c r="F13" s="371">
        <v>0</v>
      </c>
      <c r="G13" s="90">
        <v>0</v>
      </c>
      <c r="H13" s="90">
        <v>0</v>
      </c>
      <c r="I13" s="90">
        <v>0</v>
      </c>
      <c r="J13" s="90">
        <v>0</v>
      </c>
      <c r="K13" s="90">
        <v>0</v>
      </c>
      <c r="L13" s="90">
        <v>0</v>
      </c>
      <c r="M13" s="90">
        <v>0</v>
      </c>
      <c r="N13" s="90">
        <v>0</v>
      </c>
      <c r="O13" s="90">
        <v>0</v>
      </c>
      <c r="P13" s="90">
        <v>0</v>
      </c>
      <c r="Q13" s="90">
        <v>0</v>
      </c>
      <c r="R13" s="90">
        <v>0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2:26" ht="12.75" customHeight="1" x14ac:dyDescent="0.25">
      <c r="D14" t="s">
        <v>87</v>
      </c>
      <c r="E14" s="89" t="s">
        <v>70</v>
      </c>
      <c r="F14" s="371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</row>
    <row r="15" spans="2:26" s="94" customFormat="1" ht="12.75" customHeight="1" x14ac:dyDescent="0.25">
      <c r="C15" s="101" t="s">
        <v>119</v>
      </c>
      <c r="D15" s="101" t="s">
        <v>70</v>
      </c>
      <c r="F15" s="93">
        <v>0</v>
      </c>
      <c r="G15" s="93">
        <v>0</v>
      </c>
      <c r="H15" s="93">
        <v>0</v>
      </c>
      <c r="I15" s="93">
        <v>0</v>
      </c>
      <c r="J15" s="93">
        <v>0</v>
      </c>
      <c r="K15" s="93">
        <v>0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</row>
    <row r="16" spans="2:26" ht="12.75" customHeight="1" x14ac:dyDescent="0.25">
      <c r="B16" t="s">
        <v>112</v>
      </c>
      <c r="C16" t="s">
        <v>70</v>
      </c>
      <c r="E16" s="89"/>
      <c r="F16" s="371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s="458" customFormat="1" ht="12.75" customHeight="1" x14ac:dyDescent="0.25">
      <c r="A17" s="458" t="s">
        <v>186</v>
      </c>
      <c r="B17" s="458" t="s">
        <v>70</v>
      </c>
      <c r="F17" s="458">
        <v>0</v>
      </c>
      <c r="G17" s="458">
        <v>0</v>
      </c>
      <c r="H17" s="458">
        <v>0</v>
      </c>
      <c r="I17" s="458">
        <v>0</v>
      </c>
      <c r="J17" s="458">
        <v>0</v>
      </c>
      <c r="K17" s="458">
        <v>0</v>
      </c>
      <c r="L17" s="458">
        <v>0</v>
      </c>
      <c r="M17" s="458">
        <v>0</v>
      </c>
      <c r="N17" s="458">
        <v>0</v>
      </c>
      <c r="O17" s="458">
        <v>0</v>
      </c>
      <c r="P17" s="458">
        <v>0</v>
      </c>
      <c r="Q17" s="458">
        <v>0</v>
      </c>
      <c r="R17" s="458">
        <v>0</v>
      </c>
      <c r="S17" s="458">
        <v>0</v>
      </c>
      <c r="T17" s="458">
        <v>0</v>
      </c>
      <c r="U17" s="458">
        <v>0</v>
      </c>
      <c r="V17" s="458">
        <v>0</v>
      </c>
      <c r="W17" s="458">
        <v>0</v>
      </c>
      <c r="X17" s="458">
        <v>0</v>
      </c>
      <c r="Y17" s="458">
        <v>0</v>
      </c>
      <c r="Z17" s="458">
        <v>0</v>
      </c>
    </row>
    <row r="18" spans="1:26" x14ac:dyDescent="0.25">
      <c r="E18" t="s">
        <v>72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>
        <v>0</v>
      </c>
      <c r="V18">
        <v>0</v>
      </c>
      <c r="W18">
        <v>0</v>
      </c>
      <c r="X18">
        <v>0</v>
      </c>
      <c r="Y18">
        <v>0</v>
      </c>
      <c r="Z18" s="90">
        <v>0</v>
      </c>
    </row>
    <row r="19" spans="1:26" x14ac:dyDescent="0.25">
      <c r="E19" t="s">
        <v>81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>
        <v>0</v>
      </c>
      <c r="V19">
        <v>0</v>
      </c>
      <c r="W19">
        <v>0</v>
      </c>
      <c r="X19">
        <v>0</v>
      </c>
      <c r="Y19">
        <v>0</v>
      </c>
      <c r="Z19" s="90">
        <v>0</v>
      </c>
    </row>
    <row r="20" spans="1:26" x14ac:dyDescent="0.25">
      <c r="D20" t="s">
        <v>156</v>
      </c>
      <c r="E20" t="s">
        <v>70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>
        <v>0</v>
      </c>
      <c r="V20">
        <v>0</v>
      </c>
      <c r="W20">
        <v>0</v>
      </c>
      <c r="X20">
        <v>0</v>
      </c>
      <c r="Y20">
        <v>0</v>
      </c>
      <c r="Z20" s="90">
        <v>0</v>
      </c>
    </row>
    <row r="21" spans="1:26" s="286" customFormat="1" x14ac:dyDescent="0.25">
      <c r="C21" s="286" t="s">
        <v>155</v>
      </c>
      <c r="D21" s="286" t="s">
        <v>70</v>
      </c>
      <c r="F21" s="230">
        <v>0</v>
      </c>
      <c r="G21" s="230">
        <v>0</v>
      </c>
      <c r="H21" s="230">
        <v>0</v>
      </c>
      <c r="I21" s="230">
        <v>0</v>
      </c>
      <c r="J21" s="230">
        <v>0</v>
      </c>
      <c r="K21" s="230">
        <v>0</v>
      </c>
      <c r="L21" s="230">
        <v>0</v>
      </c>
      <c r="M21" s="230">
        <v>0</v>
      </c>
      <c r="N21" s="230">
        <v>0</v>
      </c>
      <c r="O21" s="230">
        <v>0</v>
      </c>
      <c r="P21" s="230">
        <v>0</v>
      </c>
      <c r="Q21" s="230">
        <v>0</v>
      </c>
      <c r="R21" s="230">
        <v>0</v>
      </c>
      <c r="S21" s="230">
        <v>0</v>
      </c>
      <c r="T21" s="230">
        <v>0</v>
      </c>
      <c r="U21" s="286">
        <v>0</v>
      </c>
      <c r="V21" s="286">
        <v>0</v>
      </c>
      <c r="W21" s="286">
        <v>0</v>
      </c>
      <c r="X21" s="286">
        <v>0</v>
      </c>
      <c r="Y21" s="286">
        <v>0</v>
      </c>
      <c r="Z21" s="230">
        <v>0</v>
      </c>
    </row>
    <row r="22" spans="1:26" x14ac:dyDescent="0.25">
      <c r="E22" t="s">
        <v>72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 s="90">
        <v>0</v>
      </c>
      <c r="S22" s="90">
        <v>0</v>
      </c>
      <c r="T22" s="90">
        <v>0</v>
      </c>
      <c r="U22">
        <v>0</v>
      </c>
      <c r="V22">
        <v>0</v>
      </c>
      <c r="W22">
        <v>0</v>
      </c>
      <c r="X22">
        <v>0</v>
      </c>
      <c r="Y22">
        <v>0</v>
      </c>
      <c r="Z22" s="90">
        <v>0</v>
      </c>
    </row>
    <row r="23" spans="1:26" x14ac:dyDescent="0.25">
      <c r="E23" t="s">
        <v>81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0">
        <v>0</v>
      </c>
      <c r="S23" s="90">
        <v>0</v>
      </c>
      <c r="T23" s="90">
        <v>0</v>
      </c>
      <c r="U23">
        <v>0</v>
      </c>
      <c r="V23">
        <v>0</v>
      </c>
      <c r="W23">
        <v>0</v>
      </c>
      <c r="X23">
        <v>0</v>
      </c>
      <c r="Y23">
        <v>0</v>
      </c>
      <c r="Z23" s="90">
        <v>0</v>
      </c>
    </row>
    <row r="24" spans="1:26" x14ac:dyDescent="0.25">
      <c r="D24" t="s">
        <v>156</v>
      </c>
      <c r="E24" t="s">
        <v>70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>
        <v>0</v>
      </c>
      <c r="V24">
        <v>0</v>
      </c>
      <c r="W24">
        <v>0</v>
      </c>
      <c r="X24">
        <v>0</v>
      </c>
      <c r="Y24">
        <v>0</v>
      </c>
      <c r="Z24" s="90">
        <v>0</v>
      </c>
    </row>
    <row r="25" spans="1:26" s="739" customFormat="1" ht="12.75" customHeight="1" x14ac:dyDescent="0.25">
      <c r="C25" s="739" t="s">
        <v>326</v>
      </c>
      <c r="D25" s="739" t="s">
        <v>70</v>
      </c>
      <c r="E25" s="231"/>
      <c r="F25" s="740">
        <v>0</v>
      </c>
      <c r="G25" s="232">
        <v>0</v>
      </c>
      <c r="H25" s="232">
        <v>0</v>
      </c>
      <c r="I25" s="232">
        <v>0</v>
      </c>
      <c r="J25" s="232">
        <v>0</v>
      </c>
      <c r="K25" s="232">
        <v>0</v>
      </c>
      <c r="L25" s="232">
        <v>0</v>
      </c>
      <c r="M25" s="232">
        <v>0</v>
      </c>
      <c r="N25" s="232">
        <v>0</v>
      </c>
      <c r="O25" s="232">
        <v>0</v>
      </c>
      <c r="P25" s="232">
        <v>0</v>
      </c>
      <c r="Q25" s="232">
        <v>0</v>
      </c>
      <c r="R25" s="232">
        <v>0</v>
      </c>
      <c r="S25" s="232">
        <v>0</v>
      </c>
      <c r="T25" s="739">
        <v>0</v>
      </c>
      <c r="U25" s="739">
        <v>0</v>
      </c>
      <c r="V25" s="739">
        <v>0</v>
      </c>
      <c r="W25" s="739">
        <v>0</v>
      </c>
      <c r="X25" s="739">
        <v>0</v>
      </c>
      <c r="Y25" s="739">
        <v>0</v>
      </c>
      <c r="Z25" s="739">
        <v>0</v>
      </c>
    </row>
    <row r="26" spans="1:26" x14ac:dyDescent="0.25">
      <c r="E26" t="s">
        <v>72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370.08</v>
      </c>
      <c r="R26" s="90">
        <v>-1.95</v>
      </c>
      <c r="S26" s="90">
        <v>0</v>
      </c>
      <c r="T26" s="90">
        <v>0</v>
      </c>
      <c r="U26">
        <v>0</v>
      </c>
      <c r="V26">
        <v>0</v>
      </c>
      <c r="W26">
        <v>0</v>
      </c>
      <c r="X26">
        <v>0</v>
      </c>
      <c r="Y26">
        <v>0</v>
      </c>
      <c r="Z26" s="90">
        <v>0</v>
      </c>
    </row>
    <row r="27" spans="1:26" x14ac:dyDescent="0.25">
      <c r="E27" t="s">
        <v>81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7.0000000000000007E-2</v>
      </c>
      <c r="R27" s="90">
        <v>0</v>
      </c>
      <c r="S27" s="90">
        <v>0</v>
      </c>
      <c r="T27" s="90">
        <v>0</v>
      </c>
      <c r="U27">
        <v>0</v>
      </c>
      <c r="V27">
        <v>0</v>
      </c>
      <c r="W27">
        <v>0</v>
      </c>
      <c r="X27">
        <v>0</v>
      </c>
      <c r="Y27">
        <v>0</v>
      </c>
      <c r="Z27" s="90">
        <v>0</v>
      </c>
    </row>
    <row r="28" spans="1:26" x14ac:dyDescent="0.25">
      <c r="D28" t="s">
        <v>82</v>
      </c>
      <c r="E28" t="s">
        <v>70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370.15</v>
      </c>
      <c r="R28" s="90">
        <v>-1.95</v>
      </c>
      <c r="S28" s="90">
        <v>0</v>
      </c>
      <c r="T28" s="90">
        <v>0</v>
      </c>
      <c r="U28">
        <v>0</v>
      </c>
      <c r="V28">
        <v>0</v>
      </c>
      <c r="W28">
        <v>0</v>
      </c>
      <c r="X28">
        <v>0</v>
      </c>
      <c r="Y28">
        <v>0</v>
      </c>
      <c r="Z28" s="90">
        <v>0</v>
      </c>
    </row>
    <row r="29" spans="1:26" x14ac:dyDescent="0.25">
      <c r="E29" t="s">
        <v>72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370.08</v>
      </c>
      <c r="R29" s="90">
        <v>-1.95</v>
      </c>
      <c r="S29" s="90">
        <v>0</v>
      </c>
      <c r="T29" s="90">
        <v>0</v>
      </c>
      <c r="U29">
        <v>0</v>
      </c>
      <c r="V29">
        <v>0</v>
      </c>
      <c r="W29">
        <v>0</v>
      </c>
      <c r="X29">
        <v>0</v>
      </c>
      <c r="Y29">
        <v>0</v>
      </c>
      <c r="Z29" s="90">
        <v>0</v>
      </c>
    </row>
    <row r="30" spans="1:26" x14ac:dyDescent="0.25">
      <c r="E30" t="s">
        <v>81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7.0000000000000007E-2</v>
      </c>
      <c r="R30" s="90">
        <v>0</v>
      </c>
      <c r="S30" s="90">
        <v>0</v>
      </c>
      <c r="T30" s="90">
        <v>0</v>
      </c>
      <c r="U30">
        <v>0</v>
      </c>
      <c r="V30">
        <v>0</v>
      </c>
      <c r="W30">
        <v>0</v>
      </c>
      <c r="X30">
        <v>0</v>
      </c>
      <c r="Y30">
        <v>0</v>
      </c>
      <c r="Z30" s="90">
        <v>0</v>
      </c>
    </row>
    <row r="31" spans="1:26" x14ac:dyDescent="0.25">
      <c r="D31" t="s">
        <v>86</v>
      </c>
      <c r="E31" t="s">
        <v>70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370.15</v>
      </c>
      <c r="R31" s="90">
        <v>-1.95</v>
      </c>
      <c r="S31" s="90">
        <v>0</v>
      </c>
      <c r="T31" s="90">
        <v>0</v>
      </c>
      <c r="U31">
        <v>0</v>
      </c>
      <c r="V31">
        <v>0</v>
      </c>
      <c r="W31">
        <v>0</v>
      </c>
      <c r="X31">
        <v>0</v>
      </c>
      <c r="Y31">
        <v>0</v>
      </c>
      <c r="Z31" s="90">
        <v>0</v>
      </c>
    </row>
    <row r="32" spans="1:26" ht="12.75" customHeight="1" x14ac:dyDescent="0.25">
      <c r="E32" s="89" t="s">
        <v>72</v>
      </c>
      <c r="F32" s="371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</row>
    <row r="33" spans="2:26" x14ac:dyDescent="0.25">
      <c r="E33" t="s">
        <v>81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>
        <v>0</v>
      </c>
      <c r="V33">
        <v>0</v>
      </c>
      <c r="W33">
        <v>0</v>
      </c>
      <c r="X33">
        <v>0</v>
      </c>
      <c r="Y33">
        <v>0</v>
      </c>
      <c r="Z33" s="90">
        <v>0</v>
      </c>
    </row>
    <row r="34" spans="2:26" ht="12.75" customHeight="1" x14ac:dyDescent="0.25">
      <c r="D34" t="s">
        <v>87</v>
      </c>
      <c r="E34" s="89" t="s">
        <v>70</v>
      </c>
      <c r="F34" s="371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</row>
    <row r="35" spans="2:26" s="94" customFormat="1" ht="12.75" customHeight="1" x14ac:dyDescent="0.25">
      <c r="C35" s="101" t="s">
        <v>119</v>
      </c>
      <c r="D35" s="101" t="s">
        <v>70</v>
      </c>
      <c r="F35" s="93">
        <v>0</v>
      </c>
      <c r="G35" s="93">
        <v>0</v>
      </c>
      <c r="H35" s="93">
        <v>0</v>
      </c>
      <c r="I35" s="93">
        <v>0</v>
      </c>
      <c r="J35" s="93">
        <v>0</v>
      </c>
      <c r="K35" s="93">
        <v>0</v>
      </c>
      <c r="L35" s="93">
        <v>0</v>
      </c>
      <c r="M35" s="93">
        <v>0</v>
      </c>
      <c r="N35" s="93">
        <v>0</v>
      </c>
      <c r="O35" s="93">
        <v>0</v>
      </c>
      <c r="P35" s="93">
        <v>0</v>
      </c>
      <c r="Q35" s="93">
        <v>0</v>
      </c>
      <c r="R35" s="93">
        <v>0</v>
      </c>
      <c r="S35" s="93">
        <v>0</v>
      </c>
      <c r="T35" s="93">
        <v>0</v>
      </c>
      <c r="U35" s="93">
        <v>0</v>
      </c>
      <c r="V35" s="93">
        <v>0</v>
      </c>
      <c r="W35" s="93">
        <v>0</v>
      </c>
      <c r="X35" s="93">
        <v>0</v>
      </c>
      <c r="Y35" s="93">
        <v>0</v>
      </c>
      <c r="Z35" s="93">
        <v>0</v>
      </c>
    </row>
    <row r="36" spans="2:26" s="378" customFormat="1" ht="12.75" customHeight="1" x14ac:dyDescent="0.25">
      <c r="B36" s="378" t="s">
        <v>122</v>
      </c>
      <c r="C36" s="378" t="s">
        <v>70</v>
      </c>
      <c r="E36" s="376"/>
      <c r="F36" s="710">
        <v>0</v>
      </c>
      <c r="G36" s="377">
        <v>0</v>
      </c>
      <c r="H36" s="377">
        <v>0</v>
      </c>
      <c r="I36" s="377">
        <v>0</v>
      </c>
      <c r="J36" s="377">
        <v>0</v>
      </c>
      <c r="K36" s="377">
        <v>0</v>
      </c>
      <c r="L36" s="377">
        <v>0</v>
      </c>
      <c r="M36" s="377">
        <v>0</v>
      </c>
      <c r="N36" s="377">
        <v>0</v>
      </c>
      <c r="O36" s="377">
        <v>0</v>
      </c>
      <c r="P36" s="377">
        <v>0</v>
      </c>
      <c r="Q36" s="377">
        <v>0</v>
      </c>
      <c r="R36" s="377">
        <v>0</v>
      </c>
      <c r="S36" s="377">
        <v>0</v>
      </c>
      <c r="T36" s="377">
        <v>0</v>
      </c>
      <c r="U36" s="377">
        <v>0</v>
      </c>
      <c r="V36" s="377">
        <v>0</v>
      </c>
      <c r="W36" s="377">
        <v>0</v>
      </c>
      <c r="X36" s="377">
        <v>0</v>
      </c>
      <c r="Y36" s="377">
        <v>0</v>
      </c>
      <c r="Z36" s="377">
        <v>0</v>
      </c>
    </row>
    <row r="37" spans="2:26" ht="12.75" customHeight="1" x14ac:dyDescent="0.25">
      <c r="E37" s="89" t="s">
        <v>72</v>
      </c>
      <c r="F37" s="371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2:26" ht="12.75" customHeight="1" x14ac:dyDescent="0.25">
      <c r="E38" s="89" t="s">
        <v>81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2:26" ht="12.75" customHeight="1" x14ac:dyDescent="0.25">
      <c r="D39" t="s">
        <v>156</v>
      </c>
      <c r="E39" s="89" t="s">
        <v>70</v>
      </c>
      <c r="F39" s="89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2:26" s="286" customFormat="1" ht="12.75" customHeight="1" x14ac:dyDescent="0.25">
      <c r="C40" s="286" t="s">
        <v>155</v>
      </c>
      <c r="D40" s="286" t="s">
        <v>70</v>
      </c>
      <c r="E40" s="229"/>
      <c r="F40" s="229">
        <v>0</v>
      </c>
      <c r="G40" s="230">
        <v>0</v>
      </c>
      <c r="H40" s="230">
        <v>0</v>
      </c>
      <c r="I40" s="230">
        <v>0</v>
      </c>
      <c r="J40" s="230">
        <v>0</v>
      </c>
      <c r="K40" s="230">
        <v>0</v>
      </c>
      <c r="L40" s="230">
        <v>0</v>
      </c>
      <c r="M40" s="230">
        <v>0</v>
      </c>
      <c r="N40" s="230">
        <v>0</v>
      </c>
      <c r="O40" s="230">
        <v>0</v>
      </c>
      <c r="P40" s="230">
        <v>0</v>
      </c>
      <c r="Q40" s="230">
        <v>0</v>
      </c>
      <c r="R40" s="230">
        <v>0</v>
      </c>
      <c r="S40" s="230">
        <v>0</v>
      </c>
      <c r="T40" s="230">
        <v>0</v>
      </c>
      <c r="U40" s="230">
        <v>0</v>
      </c>
      <c r="V40" s="230">
        <v>0</v>
      </c>
      <c r="W40" s="230">
        <v>0</v>
      </c>
      <c r="X40" s="230">
        <v>0</v>
      </c>
      <c r="Y40" s="230">
        <v>0</v>
      </c>
      <c r="Z40" s="230">
        <v>0</v>
      </c>
    </row>
    <row r="41" spans="2:26" ht="12.75" customHeight="1" x14ac:dyDescent="0.25">
      <c r="E41" s="89" t="s">
        <v>72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2:26" ht="12.75" customHeight="1" x14ac:dyDescent="0.25">
      <c r="E42" s="89" t="s">
        <v>81</v>
      </c>
      <c r="F42" s="371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2:26" ht="12.75" customHeight="1" x14ac:dyDescent="0.25">
      <c r="D43" t="s">
        <v>156</v>
      </c>
      <c r="E43" s="89" t="s">
        <v>70</v>
      </c>
      <c r="F43" s="371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</row>
    <row r="44" spans="2:26" s="739" customFormat="1" ht="12.75" customHeight="1" x14ac:dyDescent="0.25">
      <c r="C44" s="739" t="s">
        <v>326</v>
      </c>
      <c r="D44" s="739" t="s">
        <v>70</v>
      </c>
      <c r="E44" s="231"/>
      <c r="F44" s="740">
        <v>0</v>
      </c>
      <c r="G44" s="232">
        <v>0</v>
      </c>
      <c r="H44" s="232"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739">
        <v>0</v>
      </c>
      <c r="U44" s="739">
        <v>0</v>
      </c>
      <c r="V44" s="739">
        <v>0</v>
      </c>
      <c r="W44" s="739">
        <v>0</v>
      </c>
      <c r="X44" s="739">
        <v>0</v>
      </c>
      <c r="Y44" s="739">
        <v>0</v>
      </c>
      <c r="Z44" s="739">
        <v>0</v>
      </c>
    </row>
    <row r="45" spans="2:26" ht="12.75" customHeight="1" x14ac:dyDescent="0.25">
      <c r="E45" s="89" t="s">
        <v>72</v>
      </c>
      <c r="F45" s="89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</row>
    <row r="46" spans="2:26" ht="12.75" customHeight="1" x14ac:dyDescent="0.25">
      <c r="E46" s="89" t="s">
        <v>81</v>
      </c>
      <c r="F46" s="90">
        <v>0</v>
      </c>
      <c r="G46" s="90">
        <v>0</v>
      </c>
      <c r="H46" s="90">
        <v>0</v>
      </c>
      <c r="I46" s="90">
        <v>0</v>
      </c>
      <c r="J46" s="90">
        <v>0</v>
      </c>
      <c r="K46" s="90">
        <v>0</v>
      </c>
      <c r="L46" s="90">
        <v>0</v>
      </c>
      <c r="M46" s="90">
        <v>0</v>
      </c>
      <c r="N46" s="90">
        <v>0</v>
      </c>
      <c r="O46" s="90">
        <v>0</v>
      </c>
      <c r="P46" s="90">
        <v>0</v>
      </c>
      <c r="Q46" s="90">
        <v>0</v>
      </c>
      <c r="R46" s="90">
        <v>0</v>
      </c>
      <c r="S46" s="90">
        <v>0</v>
      </c>
      <c r="T46" s="90">
        <v>0</v>
      </c>
      <c r="U46" s="90">
        <v>0</v>
      </c>
      <c r="V46" s="90">
        <v>0</v>
      </c>
      <c r="W46" s="90">
        <v>0</v>
      </c>
      <c r="X46" s="90">
        <v>0</v>
      </c>
      <c r="Y46" s="90">
        <v>0</v>
      </c>
      <c r="Z46" s="90">
        <v>0</v>
      </c>
    </row>
    <row r="47" spans="2:26" ht="12.75" customHeight="1" x14ac:dyDescent="0.25">
      <c r="D47" s="89" t="s">
        <v>82</v>
      </c>
      <c r="E47" s="89" t="s">
        <v>70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  <c r="P47" s="90">
        <v>0</v>
      </c>
      <c r="Q47" s="90">
        <v>0</v>
      </c>
      <c r="R47" s="90">
        <v>0</v>
      </c>
      <c r="S47" s="90">
        <v>0</v>
      </c>
      <c r="T47" s="90">
        <v>0</v>
      </c>
      <c r="U47" s="90">
        <v>0</v>
      </c>
      <c r="V47" s="90">
        <v>0</v>
      </c>
      <c r="W47" s="90">
        <v>0</v>
      </c>
      <c r="X47" s="90">
        <v>0</v>
      </c>
      <c r="Y47" s="90">
        <v>0</v>
      </c>
      <c r="Z47" s="90">
        <v>0</v>
      </c>
    </row>
    <row r="48" spans="2:26" ht="12.75" customHeight="1" x14ac:dyDescent="0.25">
      <c r="E48" s="89" t="s">
        <v>72</v>
      </c>
      <c r="F48" s="90">
        <v>0</v>
      </c>
      <c r="G48" s="90">
        <v>0</v>
      </c>
      <c r="H48" s="90">
        <v>0</v>
      </c>
      <c r="I48" s="90">
        <v>0</v>
      </c>
      <c r="J48" s="90">
        <v>0</v>
      </c>
      <c r="K48" s="90">
        <v>0</v>
      </c>
      <c r="L48" s="90">
        <v>0</v>
      </c>
      <c r="M48" s="90">
        <v>0</v>
      </c>
      <c r="N48" s="90">
        <v>0</v>
      </c>
      <c r="O48" s="90">
        <v>0</v>
      </c>
      <c r="P48" s="90">
        <v>0</v>
      </c>
      <c r="Q48" s="90">
        <v>0</v>
      </c>
      <c r="R48" s="90">
        <v>0</v>
      </c>
      <c r="S48" s="90">
        <v>0</v>
      </c>
      <c r="T48" s="90">
        <v>0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0</v>
      </c>
    </row>
    <row r="49" spans="1:26" ht="12.75" customHeight="1" x14ac:dyDescent="0.25">
      <c r="E49" s="89" t="s">
        <v>81</v>
      </c>
      <c r="F49" s="90">
        <v>0</v>
      </c>
      <c r="G49" s="90">
        <v>0</v>
      </c>
      <c r="H49" s="90">
        <v>0</v>
      </c>
      <c r="I49" s="90">
        <v>0</v>
      </c>
      <c r="J49" s="90">
        <v>0</v>
      </c>
      <c r="K49" s="90">
        <v>0</v>
      </c>
      <c r="L49" s="90">
        <v>0</v>
      </c>
      <c r="M49" s="90">
        <v>0</v>
      </c>
      <c r="N49" s="90">
        <v>0</v>
      </c>
      <c r="O49" s="90">
        <v>0</v>
      </c>
      <c r="P49" s="90">
        <v>0</v>
      </c>
      <c r="Q49" s="90">
        <v>0</v>
      </c>
      <c r="R49" s="90">
        <v>0</v>
      </c>
      <c r="S49" s="90">
        <v>0</v>
      </c>
      <c r="T49" s="90">
        <v>0</v>
      </c>
      <c r="U49" s="90">
        <v>0</v>
      </c>
      <c r="V49" s="90">
        <v>0</v>
      </c>
      <c r="W49" s="90">
        <v>0</v>
      </c>
      <c r="X49" s="90">
        <v>0</v>
      </c>
      <c r="Y49" s="90">
        <v>0</v>
      </c>
      <c r="Z49" s="90">
        <v>0</v>
      </c>
    </row>
    <row r="50" spans="1:26" ht="12.75" customHeight="1" x14ac:dyDescent="0.25">
      <c r="D50" s="89" t="s">
        <v>86</v>
      </c>
      <c r="E50" s="89" t="s">
        <v>70</v>
      </c>
      <c r="F50" s="90">
        <v>0</v>
      </c>
      <c r="G50" s="90">
        <v>0</v>
      </c>
      <c r="H50" s="90">
        <v>0</v>
      </c>
      <c r="I50" s="90">
        <v>0</v>
      </c>
      <c r="J50" s="90">
        <v>0</v>
      </c>
      <c r="K50" s="90">
        <v>0</v>
      </c>
      <c r="L50" s="90">
        <v>0</v>
      </c>
      <c r="M50" s="90">
        <v>0</v>
      </c>
      <c r="N50" s="90">
        <v>0</v>
      </c>
      <c r="O50" s="90">
        <v>0</v>
      </c>
      <c r="P50" s="90">
        <v>0</v>
      </c>
      <c r="Q50" s="90">
        <v>0</v>
      </c>
      <c r="R50" s="90">
        <v>0</v>
      </c>
      <c r="S50" s="90">
        <v>0</v>
      </c>
      <c r="T50" s="90">
        <v>0</v>
      </c>
      <c r="U50" s="90">
        <v>0</v>
      </c>
      <c r="V50" s="90">
        <v>0</v>
      </c>
      <c r="W50" s="90">
        <v>0</v>
      </c>
      <c r="X50" s="90">
        <v>0</v>
      </c>
      <c r="Y50" s="90">
        <v>0</v>
      </c>
      <c r="Z50" s="90">
        <v>0</v>
      </c>
    </row>
    <row r="51" spans="1:26" ht="12.75" customHeight="1" x14ac:dyDescent="0.25">
      <c r="C51" s="89"/>
      <c r="D51" s="89"/>
      <c r="E51" t="s">
        <v>72</v>
      </c>
      <c r="F51" s="90">
        <v>0</v>
      </c>
      <c r="G51" s="90">
        <v>0</v>
      </c>
      <c r="H51" s="90">
        <v>0</v>
      </c>
      <c r="I51" s="90">
        <v>0</v>
      </c>
      <c r="J51" s="90">
        <v>0</v>
      </c>
      <c r="K51" s="90">
        <v>0</v>
      </c>
      <c r="L51" s="90">
        <v>0</v>
      </c>
      <c r="M51" s="90">
        <v>0</v>
      </c>
      <c r="N51" s="90">
        <v>0</v>
      </c>
      <c r="O51" s="90">
        <v>0</v>
      </c>
      <c r="P51" s="90">
        <v>0</v>
      </c>
      <c r="Q51" s="90">
        <v>0</v>
      </c>
      <c r="R51" s="90">
        <v>0</v>
      </c>
      <c r="S51" s="90">
        <v>0</v>
      </c>
      <c r="T51" s="90">
        <v>0</v>
      </c>
      <c r="U51" s="90">
        <v>0</v>
      </c>
      <c r="V51" s="90">
        <v>0</v>
      </c>
      <c r="W51" s="90">
        <v>0</v>
      </c>
      <c r="X51" s="90">
        <v>0</v>
      </c>
      <c r="Y51" s="90">
        <v>0</v>
      </c>
      <c r="Z51" s="90">
        <v>0</v>
      </c>
    </row>
    <row r="52" spans="1:26" ht="12.75" customHeight="1" x14ac:dyDescent="0.25">
      <c r="B52" s="89"/>
      <c r="C52" s="89"/>
      <c r="E52" t="s">
        <v>81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 s="90">
        <v>0</v>
      </c>
      <c r="V52" s="90">
        <v>0</v>
      </c>
      <c r="W52" s="90">
        <v>0</v>
      </c>
      <c r="X52" s="90">
        <v>0</v>
      </c>
      <c r="Y52" s="90">
        <v>0</v>
      </c>
      <c r="Z52" s="90">
        <v>0</v>
      </c>
    </row>
    <row r="53" spans="1:26" ht="12.75" customHeight="1" x14ac:dyDescent="0.25">
      <c r="C53" s="89"/>
      <c r="D53" s="89" t="s">
        <v>87</v>
      </c>
      <c r="E53" t="s">
        <v>70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</row>
    <row r="54" spans="1:26" s="94" customFormat="1" ht="12.75" customHeight="1" x14ac:dyDescent="0.25">
      <c r="C54" s="101" t="s">
        <v>119</v>
      </c>
      <c r="D54" s="101" t="s">
        <v>70</v>
      </c>
      <c r="F54" s="93">
        <v>0</v>
      </c>
      <c r="G54" s="93">
        <v>0</v>
      </c>
      <c r="H54" s="93">
        <v>0</v>
      </c>
      <c r="I54" s="93">
        <v>0</v>
      </c>
      <c r="J54" s="93">
        <v>0</v>
      </c>
      <c r="K54" s="93">
        <v>0</v>
      </c>
      <c r="L54" s="93">
        <v>0</v>
      </c>
      <c r="M54" s="93">
        <v>0</v>
      </c>
      <c r="N54" s="93">
        <v>0</v>
      </c>
      <c r="O54" s="93">
        <v>0</v>
      </c>
      <c r="P54" s="93">
        <v>0</v>
      </c>
      <c r="Q54" s="93">
        <v>0</v>
      </c>
      <c r="R54" s="93">
        <v>0</v>
      </c>
      <c r="S54" s="93">
        <v>0</v>
      </c>
      <c r="T54" s="93">
        <v>0</v>
      </c>
      <c r="U54" s="93">
        <v>0</v>
      </c>
      <c r="V54" s="93">
        <v>0</v>
      </c>
      <c r="W54" s="93">
        <v>0</v>
      </c>
      <c r="X54" s="93">
        <v>0</v>
      </c>
      <c r="Y54" s="93">
        <v>0</v>
      </c>
      <c r="Z54" s="93">
        <v>0</v>
      </c>
    </row>
    <row r="55" spans="1:26" s="226" customFormat="1" ht="12.75" customHeight="1" x14ac:dyDescent="0.25">
      <c r="B55" s="98" t="s">
        <v>112</v>
      </c>
      <c r="C55" s="98" t="s">
        <v>70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0">
        <v>0</v>
      </c>
      <c r="N55" s="100">
        <v>0</v>
      </c>
      <c r="O55" s="100">
        <v>0</v>
      </c>
      <c r="P55" s="100">
        <v>0</v>
      </c>
      <c r="Q55" s="100">
        <v>0</v>
      </c>
      <c r="R55" s="100">
        <v>0</v>
      </c>
      <c r="S55" s="100">
        <v>0</v>
      </c>
      <c r="T55" s="100">
        <v>0</v>
      </c>
      <c r="U55" s="100">
        <v>0</v>
      </c>
      <c r="V55" s="100">
        <v>0</v>
      </c>
      <c r="W55" s="100">
        <v>0</v>
      </c>
      <c r="X55" s="100">
        <v>0</v>
      </c>
      <c r="Y55" s="100">
        <v>0</v>
      </c>
      <c r="Z55" s="100">
        <v>0</v>
      </c>
    </row>
    <row r="56" spans="1:26" ht="12.6" customHeight="1" x14ac:dyDescent="0.25">
      <c r="A56" t="s">
        <v>78</v>
      </c>
      <c r="B56" t="s">
        <v>70</v>
      </c>
      <c r="E56" s="89"/>
      <c r="F56" s="89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</row>
    <row r="57" spans="1:26" x14ac:dyDescent="0.25">
      <c r="E57" t="s">
        <v>73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>
        <v>0</v>
      </c>
      <c r="V57">
        <v>0</v>
      </c>
      <c r="W57">
        <v>0</v>
      </c>
      <c r="X57">
        <v>0</v>
      </c>
      <c r="Y57">
        <v>0</v>
      </c>
      <c r="Z57" s="90">
        <v>0</v>
      </c>
    </row>
    <row r="58" spans="1:26" x14ac:dyDescent="0.25">
      <c r="D58" t="s">
        <v>156</v>
      </c>
      <c r="E58" t="s">
        <v>70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>
        <v>0</v>
      </c>
      <c r="V58">
        <v>0</v>
      </c>
      <c r="W58">
        <v>0</v>
      </c>
      <c r="X58">
        <v>0</v>
      </c>
      <c r="Y58">
        <v>0</v>
      </c>
      <c r="Z58" s="90">
        <v>0</v>
      </c>
    </row>
    <row r="59" spans="1:26" s="286" customFormat="1" ht="12.75" customHeight="1" x14ac:dyDescent="0.25">
      <c r="C59" s="286" t="s">
        <v>155</v>
      </c>
      <c r="D59" s="286" t="s">
        <v>70</v>
      </c>
      <c r="E59" s="229"/>
      <c r="F59" s="229">
        <v>0</v>
      </c>
      <c r="G59" s="230">
        <v>0</v>
      </c>
      <c r="H59" s="230">
        <v>0</v>
      </c>
      <c r="I59" s="230">
        <v>0</v>
      </c>
      <c r="J59" s="230">
        <v>0</v>
      </c>
      <c r="K59" s="230">
        <v>0</v>
      </c>
      <c r="L59" s="230">
        <v>0</v>
      </c>
      <c r="M59" s="230">
        <v>0</v>
      </c>
      <c r="N59" s="230">
        <v>0</v>
      </c>
      <c r="O59" s="230">
        <v>0</v>
      </c>
      <c r="P59" s="230">
        <v>0</v>
      </c>
      <c r="Q59" s="230">
        <v>0</v>
      </c>
      <c r="R59" s="230">
        <v>0</v>
      </c>
      <c r="S59" s="230">
        <v>0</v>
      </c>
      <c r="T59" s="230">
        <v>0</v>
      </c>
      <c r="U59" s="230">
        <v>0</v>
      </c>
      <c r="V59" s="230">
        <v>0</v>
      </c>
      <c r="W59" s="230">
        <v>0</v>
      </c>
      <c r="X59" s="230">
        <v>0</v>
      </c>
      <c r="Y59" s="230">
        <v>0</v>
      </c>
      <c r="Z59" s="230">
        <v>0</v>
      </c>
    </row>
    <row r="60" spans="1:26" x14ac:dyDescent="0.25">
      <c r="E60" t="s">
        <v>73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>
        <v>0</v>
      </c>
      <c r="V60">
        <v>0</v>
      </c>
      <c r="W60">
        <v>0</v>
      </c>
      <c r="X60">
        <v>0</v>
      </c>
      <c r="Y60">
        <v>0</v>
      </c>
      <c r="Z60" s="90">
        <v>0</v>
      </c>
    </row>
    <row r="61" spans="1:26" x14ac:dyDescent="0.25">
      <c r="D61" t="s">
        <v>156</v>
      </c>
      <c r="E61" t="s">
        <v>70</v>
      </c>
      <c r="F61" s="90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>
        <v>0</v>
      </c>
      <c r="V61">
        <v>0</v>
      </c>
      <c r="W61">
        <v>0</v>
      </c>
      <c r="X61">
        <v>0</v>
      </c>
      <c r="Y61">
        <v>0</v>
      </c>
      <c r="Z61" s="90">
        <v>0</v>
      </c>
    </row>
    <row r="62" spans="1:26" s="739" customFormat="1" ht="12.75" customHeight="1" x14ac:dyDescent="0.25">
      <c r="C62" s="739" t="s">
        <v>326</v>
      </c>
      <c r="D62" s="739" t="s">
        <v>70</v>
      </c>
      <c r="E62" s="231"/>
      <c r="F62" s="740">
        <v>0</v>
      </c>
      <c r="G62" s="232">
        <v>0</v>
      </c>
      <c r="H62" s="232">
        <v>0</v>
      </c>
      <c r="I62" s="232">
        <v>0</v>
      </c>
      <c r="J62" s="232">
        <v>0</v>
      </c>
      <c r="K62" s="232">
        <v>0</v>
      </c>
      <c r="L62" s="232">
        <v>0</v>
      </c>
      <c r="M62" s="232">
        <v>0</v>
      </c>
      <c r="N62" s="232">
        <v>0</v>
      </c>
      <c r="O62" s="232">
        <v>0</v>
      </c>
      <c r="P62" s="232">
        <v>0</v>
      </c>
      <c r="Q62" s="232">
        <v>0</v>
      </c>
      <c r="R62" s="232">
        <v>0</v>
      </c>
      <c r="S62" s="232">
        <v>0</v>
      </c>
      <c r="T62" s="739">
        <v>0</v>
      </c>
      <c r="U62" s="739">
        <v>0</v>
      </c>
      <c r="V62" s="739">
        <v>0</v>
      </c>
      <c r="W62" s="739">
        <v>0</v>
      </c>
      <c r="X62" s="739">
        <v>0</v>
      </c>
      <c r="Y62" s="739">
        <v>0</v>
      </c>
      <c r="Z62" s="739">
        <v>0</v>
      </c>
    </row>
    <row r="63" spans="1:26" x14ac:dyDescent="0.25">
      <c r="E63" t="s">
        <v>73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>
        <v>0</v>
      </c>
      <c r="V63">
        <v>0</v>
      </c>
      <c r="W63">
        <v>0</v>
      </c>
      <c r="X63">
        <v>0</v>
      </c>
      <c r="Y63">
        <v>0</v>
      </c>
      <c r="Z63" s="90">
        <v>0</v>
      </c>
    </row>
    <row r="64" spans="1:26" x14ac:dyDescent="0.25">
      <c r="D64" t="s">
        <v>82</v>
      </c>
      <c r="E64" t="s">
        <v>70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>
        <v>0</v>
      </c>
      <c r="V64">
        <v>0</v>
      </c>
      <c r="W64">
        <v>0</v>
      </c>
      <c r="X64">
        <v>0</v>
      </c>
      <c r="Y64">
        <v>0</v>
      </c>
      <c r="Z64" s="90">
        <v>0</v>
      </c>
    </row>
    <row r="65" spans="2:26" x14ac:dyDescent="0.25">
      <c r="E65" t="s">
        <v>73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>
        <v>0</v>
      </c>
      <c r="V65">
        <v>0</v>
      </c>
      <c r="W65">
        <v>0</v>
      </c>
      <c r="X65">
        <v>0</v>
      </c>
      <c r="Y65">
        <v>0</v>
      </c>
      <c r="Z65" s="90">
        <v>0</v>
      </c>
    </row>
    <row r="66" spans="2:26" x14ac:dyDescent="0.25">
      <c r="D66" t="s">
        <v>86</v>
      </c>
      <c r="E66" t="s">
        <v>70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>
        <v>0</v>
      </c>
      <c r="V66">
        <v>0</v>
      </c>
      <c r="W66">
        <v>0</v>
      </c>
      <c r="X66">
        <v>0</v>
      </c>
      <c r="Y66">
        <v>0</v>
      </c>
      <c r="Z66" s="90">
        <v>0</v>
      </c>
    </row>
    <row r="67" spans="2:26" x14ac:dyDescent="0.25">
      <c r="E67" t="s">
        <v>73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>
        <v>0</v>
      </c>
      <c r="V67">
        <v>0</v>
      </c>
      <c r="W67">
        <v>0</v>
      </c>
      <c r="X67">
        <v>0</v>
      </c>
      <c r="Y67">
        <v>0</v>
      </c>
      <c r="Z67" s="90">
        <v>0</v>
      </c>
    </row>
    <row r="68" spans="2:26" x14ac:dyDescent="0.25">
      <c r="D68" t="s">
        <v>87</v>
      </c>
      <c r="E68" t="s">
        <v>70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>
        <v>0</v>
      </c>
      <c r="V68">
        <v>0</v>
      </c>
      <c r="W68">
        <v>0</v>
      </c>
      <c r="X68">
        <v>0</v>
      </c>
      <c r="Y68">
        <v>0</v>
      </c>
      <c r="Z68" s="90">
        <v>0</v>
      </c>
    </row>
    <row r="69" spans="2:26" s="94" customFormat="1" ht="12.75" customHeight="1" x14ac:dyDescent="0.25">
      <c r="C69" s="101" t="s">
        <v>119</v>
      </c>
      <c r="D69" s="101" t="s">
        <v>70</v>
      </c>
      <c r="F69" s="93">
        <v>0</v>
      </c>
      <c r="G69" s="93">
        <v>0</v>
      </c>
      <c r="H69" s="93">
        <v>0</v>
      </c>
      <c r="I69" s="93">
        <v>0</v>
      </c>
      <c r="J69" s="93">
        <v>0</v>
      </c>
      <c r="K69" s="93">
        <v>0</v>
      </c>
      <c r="L69" s="93">
        <v>0</v>
      </c>
      <c r="M69" s="93">
        <v>0</v>
      </c>
      <c r="N69" s="93">
        <v>0</v>
      </c>
      <c r="O69" s="93">
        <v>0</v>
      </c>
      <c r="P69" s="93">
        <v>0</v>
      </c>
      <c r="Q69" s="93">
        <v>0</v>
      </c>
      <c r="R69" s="93">
        <v>0</v>
      </c>
      <c r="S69" s="93">
        <v>0</v>
      </c>
      <c r="T69" s="93">
        <v>0</v>
      </c>
      <c r="U69" s="93">
        <v>0</v>
      </c>
      <c r="V69" s="93">
        <v>0</v>
      </c>
      <c r="W69" s="93">
        <v>0</v>
      </c>
      <c r="X69" s="93">
        <v>0</v>
      </c>
      <c r="Y69" s="93">
        <v>0</v>
      </c>
      <c r="Z69" s="93">
        <v>0</v>
      </c>
    </row>
    <row r="70" spans="2:26" s="378" customFormat="1" ht="12.75" customHeight="1" x14ac:dyDescent="0.25">
      <c r="B70" s="378" t="s">
        <v>122</v>
      </c>
      <c r="C70" s="378" t="s">
        <v>70</v>
      </c>
      <c r="E70" s="376"/>
      <c r="F70" s="710">
        <v>0</v>
      </c>
      <c r="G70" s="377">
        <v>0</v>
      </c>
      <c r="H70" s="377">
        <v>0</v>
      </c>
      <c r="I70" s="377">
        <v>0</v>
      </c>
      <c r="J70" s="377">
        <v>0</v>
      </c>
      <c r="K70" s="377">
        <v>0</v>
      </c>
      <c r="L70" s="377">
        <v>0</v>
      </c>
      <c r="M70" s="377">
        <v>0</v>
      </c>
      <c r="N70" s="377">
        <v>0</v>
      </c>
      <c r="O70" s="377">
        <v>0</v>
      </c>
      <c r="P70" s="377">
        <v>0</v>
      </c>
      <c r="Q70" s="377">
        <v>0</v>
      </c>
      <c r="R70" s="377">
        <v>0</v>
      </c>
      <c r="S70" s="377">
        <v>0</v>
      </c>
      <c r="T70" s="377">
        <v>0</v>
      </c>
      <c r="U70" s="377">
        <v>0</v>
      </c>
      <c r="V70" s="377">
        <v>0</v>
      </c>
      <c r="W70" s="377">
        <v>0</v>
      </c>
      <c r="X70" s="377">
        <v>0</v>
      </c>
      <c r="Y70" s="377">
        <v>0</v>
      </c>
      <c r="Z70" s="377">
        <v>0</v>
      </c>
    </row>
    <row r="71" spans="2:26" ht="12.75" customHeight="1" x14ac:dyDescent="0.25">
      <c r="E71" s="89" t="s">
        <v>73</v>
      </c>
      <c r="F71" s="384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</row>
    <row r="72" spans="2:26" ht="12.75" customHeight="1" x14ac:dyDescent="0.25">
      <c r="D72" t="s">
        <v>156</v>
      </c>
      <c r="E72" s="89" t="s">
        <v>70</v>
      </c>
      <c r="F72" s="384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 s="90">
        <v>0</v>
      </c>
      <c r="U72" s="90">
        <v>0</v>
      </c>
      <c r="V72" s="90">
        <v>0</v>
      </c>
      <c r="W72" s="90">
        <v>0</v>
      </c>
      <c r="X72" s="90">
        <v>0</v>
      </c>
      <c r="Y72" s="90">
        <v>0</v>
      </c>
      <c r="Z72" s="90">
        <v>0</v>
      </c>
    </row>
    <row r="73" spans="2:26" s="286" customFormat="1" ht="12.75" customHeight="1" x14ac:dyDescent="0.25">
      <c r="C73" s="286" t="s">
        <v>155</v>
      </c>
      <c r="D73" s="286" t="s">
        <v>70</v>
      </c>
      <c r="E73" s="229"/>
      <c r="F73" s="229">
        <v>0</v>
      </c>
      <c r="G73" s="230">
        <v>0</v>
      </c>
      <c r="H73" s="230">
        <v>0</v>
      </c>
      <c r="I73" s="230">
        <v>0</v>
      </c>
      <c r="J73" s="230">
        <v>0</v>
      </c>
      <c r="K73" s="230">
        <v>0</v>
      </c>
      <c r="L73" s="230">
        <v>0</v>
      </c>
      <c r="M73" s="230">
        <v>0</v>
      </c>
      <c r="N73" s="230">
        <v>0</v>
      </c>
      <c r="O73" s="230">
        <v>0</v>
      </c>
      <c r="P73" s="230">
        <v>0</v>
      </c>
      <c r="Q73" s="230">
        <v>0</v>
      </c>
      <c r="R73" s="230">
        <v>0</v>
      </c>
      <c r="S73" s="230">
        <v>0</v>
      </c>
      <c r="T73" s="230">
        <v>0</v>
      </c>
      <c r="U73" s="230">
        <v>0</v>
      </c>
      <c r="V73" s="230">
        <v>0</v>
      </c>
      <c r="W73" s="230">
        <v>0</v>
      </c>
      <c r="X73" s="230">
        <v>0</v>
      </c>
      <c r="Y73" s="230">
        <v>0</v>
      </c>
      <c r="Z73" s="230">
        <v>0</v>
      </c>
    </row>
    <row r="74" spans="2:26" ht="12.75" customHeight="1" x14ac:dyDescent="0.25">
      <c r="E74" s="89" t="s">
        <v>73</v>
      </c>
      <c r="F74" s="371">
        <v>0</v>
      </c>
      <c r="G74" s="90">
        <v>0</v>
      </c>
      <c r="H74" s="90">
        <v>0</v>
      </c>
      <c r="I74" s="90">
        <v>0</v>
      </c>
      <c r="J74" s="90">
        <v>0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0</v>
      </c>
      <c r="Q74" s="90">
        <v>0</v>
      </c>
      <c r="R74" s="90">
        <v>0</v>
      </c>
      <c r="S74" s="90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2:26" ht="12.75" customHeight="1" x14ac:dyDescent="0.25">
      <c r="D75" t="s">
        <v>156</v>
      </c>
      <c r="E75" s="89" t="s">
        <v>70</v>
      </c>
      <c r="F75" s="371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2:26" s="739" customFormat="1" ht="12.75" customHeight="1" x14ac:dyDescent="0.25">
      <c r="C76" s="739" t="s">
        <v>326</v>
      </c>
      <c r="D76" s="739" t="s">
        <v>70</v>
      </c>
      <c r="E76" s="231"/>
      <c r="F76" s="740">
        <v>0</v>
      </c>
      <c r="G76" s="232">
        <v>0</v>
      </c>
      <c r="H76" s="232">
        <v>0</v>
      </c>
      <c r="I76" s="232">
        <v>0</v>
      </c>
      <c r="J76" s="232">
        <v>0</v>
      </c>
      <c r="K76" s="232">
        <v>0</v>
      </c>
      <c r="L76" s="232">
        <v>0</v>
      </c>
      <c r="M76" s="232">
        <v>0</v>
      </c>
      <c r="N76" s="232">
        <v>0</v>
      </c>
      <c r="O76" s="232">
        <v>0</v>
      </c>
      <c r="P76" s="232">
        <v>0</v>
      </c>
      <c r="Q76" s="232">
        <v>0</v>
      </c>
      <c r="R76" s="232">
        <v>0</v>
      </c>
      <c r="S76" s="232">
        <v>0</v>
      </c>
      <c r="T76" s="739">
        <v>0</v>
      </c>
      <c r="U76" s="739">
        <v>0</v>
      </c>
      <c r="V76" s="739">
        <v>0</v>
      </c>
      <c r="W76" s="739">
        <v>0</v>
      </c>
      <c r="X76" s="739">
        <v>0</v>
      </c>
      <c r="Y76" s="739">
        <v>0</v>
      </c>
      <c r="Z76" s="739">
        <v>0</v>
      </c>
    </row>
    <row r="77" spans="2:26" ht="12.75" customHeight="1" x14ac:dyDescent="0.25">
      <c r="D77" s="89"/>
      <c r="E77" s="89" t="s">
        <v>73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 s="90">
        <v>0</v>
      </c>
      <c r="S77" s="90">
        <v>0</v>
      </c>
      <c r="T77" s="90">
        <v>0</v>
      </c>
      <c r="U77" s="90">
        <v>0</v>
      </c>
      <c r="V77" s="90">
        <v>0</v>
      </c>
      <c r="W77" s="90">
        <v>0</v>
      </c>
      <c r="X77" s="90">
        <v>0</v>
      </c>
      <c r="Y77" s="90">
        <v>0</v>
      </c>
      <c r="Z77" s="90">
        <v>0</v>
      </c>
    </row>
    <row r="78" spans="2:26" ht="12.75" customHeight="1" x14ac:dyDescent="0.25">
      <c r="D78" t="s">
        <v>82</v>
      </c>
      <c r="E78" s="89" t="s">
        <v>70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</row>
    <row r="79" spans="2:26" ht="12.75" customHeight="1" x14ac:dyDescent="0.25">
      <c r="D79" s="89"/>
      <c r="E79" s="89" t="s">
        <v>73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 s="90">
        <v>0</v>
      </c>
      <c r="S79" s="90">
        <v>0</v>
      </c>
      <c r="T79" s="90">
        <v>0</v>
      </c>
      <c r="U79" s="90">
        <v>0</v>
      </c>
      <c r="V79" s="90">
        <v>0</v>
      </c>
      <c r="W79" s="90">
        <v>0</v>
      </c>
      <c r="X79" s="90">
        <v>0</v>
      </c>
      <c r="Y79" s="90">
        <v>0</v>
      </c>
      <c r="Z79" s="90">
        <v>0</v>
      </c>
    </row>
    <row r="80" spans="2:26" ht="12.75" customHeight="1" x14ac:dyDescent="0.25">
      <c r="D80" t="s">
        <v>86</v>
      </c>
      <c r="E80" s="89" t="s">
        <v>70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0">
        <v>0</v>
      </c>
      <c r="S80" s="90">
        <v>0</v>
      </c>
      <c r="T80" s="90">
        <v>0</v>
      </c>
      <c r="U80" s="90">
        <v>0</v>
      </c>
      <c r="V80" s="90">
        <v>0</v>
      </c>
      <c r="W80" s="90">
        <v>0</v>
      </c>
      <c r="X80" s="90">
        <v>0</v>
      </c>
      <c r="Y80" s="90">
        <v>0</v>
      </c>
      <c r="Z80" s="90">
        <v>0</v>
      </c>
    </row>
    <row r="81" spans="1:42" ht="12.75" customHeight="1" x14ac:dyDescent="0.25">
      <c r="D81" s="89"/>
      <c r="E81" s="89" t="s">
        <v>73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</row>
    <row r="82" spans="1:42" ht="12.75" customHeight="1" x14ac:dyDescent="0.25">
      <c r="C82" s="89"/>
      <c r="D82" s="89" t="s">
        <v>87</v>
      </c>
      <c r="E82" t="s">
        <v>70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 s="90">
        <v>0</v>
      </c>
      <c r="S82" s="90">
        <v>0</v>
      </c>
      <c r="T82" s="90">
        <v>0</v>
      </c>
      <c r="U82" s="90">
        <v>0</v>
      </c>
      <c r="V82" s="90">
        <v>0</v>
      </c>
      <c r="W82" s="90">
        <v>0</v>
      </c>
      <c r="X82" s="90">
        <v>0</v>
      </c>
      <c r="Y82" s="90">
        <v>0</v>
      </c>
      <c r="Z82" s="90">
        <v>0</v>
      </c>
    </row>
    <row r="83" spans="1:42" s="94" customFormat="1" ht="12.75" customHeight="1" x14ac:dyDescent="0.25">
      <c r="C83" s="101" t="s">
        <v>119</v>
      </c>
      <c r="D83" s="101" t="s">
        <v>70</v>
      </c>
      <c r="F83" s="93">
        <v>0</v>
      </c>
      <c r="G83" s="93">
        <v>0</v>
      </c>
      <c r="H83" s="93">
        <v>0</v>
      </c>
      <c r="I83" s="93">
        <v>0</v>
      </c>
      <c r="J83" s="93">
        <v>0</v>
      </c>
      <c r="K83" s="93">
        <v>0</v>
      </c>
      <c r="L83" s="93">
        <v>0</v>
      </c>
      <c r="M83" s="93">
        <v>0</v>
      </c>
      <c r="N83" s="93">
        <v>0</v>
      </c>
      <c r="O83" s="93">
        <v>0</v>
      </c>
      <c r="P83" s="93">
        <v>0</v>
      </c>
      <c r="Q83" s="93">
        <v>0</v>
      </c>
      <c r="R83" s="93">
        <v>0</v>
      </c>
      <c r="S83" s="93">
        <v>0</v>
      </c>
      <c r="T83" s="93">
        <v>0</v>
      </c>
      <c r="U83" s="93">
        <v>0</v>
      </c>
      <c r="V83" s="93">
        <v>0</v>
      </c>
      <c r="W83" s="93">
        <v>0</v>
      </c>
      <c r="X83" s="93">
        <v>0</v>
      </c>
      <c r="Y83" s="93">
        <v>0</v>
      </c>
      <c r="Z83" s="93">
        <v>0</v>
      </c>
    </row>
    <row r="84" spans="1:42" s="226" customFormat="1" ht="12.75" customHeight="1" x14ac:dyDescent="0.25">
      <c r="B84" s="98" t="s">
        <v>112</v>
      </c>
      <c r="C84" s="98" t="s">
        <v>70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0">
        <v>0</v>
      </c>
      <c r="N84" s="100">
        <v>0</v>
      </c>
      <c r="O84" s="100">
        <v>0</v>
      </c>
      <c r="P84" s="100">
        <v>0</v>
      </c>
      <c r="Q84" s="100">
        <v>0</v>
      </c>
      <c r="R84" s="100">
        <v>0</v>
      </c>
      <c r="S84" s="100">
        <v>0</v>
      </c>
      <c r="T84" s="100">
        <v>0</v>
      </c>
      <c r="U84" s="100">
        <v>0</v>
      </c>
      <c r="V84" s="100">
        <v>0</v>
      </c>
      <c r="W84" s="100">
        <v>0</v>
      </c>
      <c r="X84" s="100">
        <v>0</v>
      </c>
      <c r="Y84" s="100">
        <v>0</v>
      </c>
      <c r="Z84" s="100">
        <v>0</v>
      </c>
    </row>
    <row r="85" spans="1:42" ht="12.75" customHeight="1" x14ac:dyDescent="0.25">
      <c r="A85" s="89" t="s">
        <v>79</v>
      </c>
      <c r="B85" t="s">
        <v>70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 s="90">
        <v>0</v>
      </c>
      <c r="S85" s="90">
        <v>0</v>
      </c>
      <c r="T85" s="90">
        <v>0</v>
      </c>
      <c r="U85" s="90">
        <v>0</v>
      </c>
      <c r="V85" s="90">
        <v>0</v>
      </c>
      <c r="W85" s="90">
        <v>0</v>
      </c>
      <c r="X85" s="90">
        <v>0</v>
      </c>
      <c r="Y85" s="90">
        <v>0</v>
      </c>
      <c r="Z85" s="90">
        <v>0</v>
      </c>
    </row>
    <row r="86" spans="1:42" ht="12.75" customHeight="1" x14ac:dyDescent="0.25">
      <c r="A86" s="89" t="s">
        <v>70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0">
        <v>0</v>
      </c>
      <c r="S86" s="90">
        <v>0</v>
      </c>
      <c r="T86">
        <v>0</v>
      </c>
      <c r="U86">
        <v>0</v>
      </c>
      <c r="V86">
        <v>0</v>
      </c>
      <c r="W86">
        <v>0</v>
      </c>
      <c r="X86" s="90">
        <v>0</v>
      </c>
      <c r="Y86" s="90">
        <v>0</v>
      </c>
      <c r="Z86">
        <v>0</v>
      </c>
    </row>
    <row r="87" spans="1:42" ht="12.75" customHeight="1" x14ac:dyDescent="0.25">
      <c r="A87" s="89"/>
      <c r="D87" s="143"/>
      <c r="E87" s="137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X87" s="90"/>
      <c r="Y87" s="90"/>
    </row>
    <row r="88" spans="1:42" ht="12.75" customHeight="1" x14ac:dyDescent="0.25">
      <c r="A88" s="89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</row>
    <row r="89" spans="1:42" ht="12.75" customHeight="1" x14ac:dyDescent="0.25">
      <c r="C89" s="778" t="s">
        <v>2</v>
      </c>
      <c r="D89" s="775" t="s">
        <v>132</v>
      </c>
      <c r="E89" s="98" t="s">
        <v>70</v>
      </c>
      <c r="F89" s="100">
        <f>F55+F84+F16-L16-L55</f>
        <v>0</v>
      </c>
      <c r="G89" s="100">
        <f t="shared" ref="G89:AP89" si="0">G55+G16</f>
        <v>0</v>
      </c>
      <c r="H89" s="100">
        <f t="shared" si="0"/>
        <v>0</v>
      </c>
      <c r="I89" s="100">
        <f t="shared" si="0"/>
        <v>0</v>
      </c>
      <c r="J89" s="100">
        <f t="shared" si="0"/>
        <v>0</v>
      </c>
      <c r="K89" s="100">
        <f t="shared" si="0"/>
        <v>0</v>
      </c>
      <c r="L89" s="100">
        <f t="shared" si="0"/>
        <v>0</v>
      </c>
      <c r="M89" s="100">
        <f t="shared" si="0"/>
        <v>0</v>
      </c>
      <c r="N89" s="100">
        <f t="shared" si="0"/>
        <v>0</v>
      </c>
      <c r="O89" s="100">
        <f t="shared" si="0"/>
        <v>0</v>
      </c>
      <c r="P89" s="100">
        <f t="shared" si="0"/>
        <v>0</v>
      </c>
      <c r="Q89" s="100">
        <f t="shared" si="0"/>
        <v>0</v>
      </c>
      <c r="R89" s="100">
        <f t="shared" si="0"/>
        <v>0</v>
      </c>
      <c r="S89" s="100">
        <f t="shared" si="0"/>
        <v>0</v>
      </c>
      <c r="T89" s="100">
        <f t="shared" si="0"/>
        <v>0</v>
      </c>
      <c r="U89" s="100">
        <f t="shared" si="0"/>
        <v>0</v>
      </c>
      <c r="V89" s="100">
        <f t="shared" si="0"/>
        <v>0</v>
      </c>
      <c r="W89" s="100">
        <f t="shared" si="0"/>
        <v>0</v>
      </c>
      <c r="X89" s="100">
        <f t="shared" si="0"/>
        <v>0</v>
      </c>
      <c r="Y89" s="100">
        <f t="shared" si="0"/>
        <v>0</v>
      </c>
      <c r="Z89" s="100">
        <f t="shared" si="0"/>
        <v>0</v>
      </c>
      <c r="AA89" s="100">
        <f t="shared" si="0"/>
        <v>0</v>
      </c>
      <c r="AB89" s="100">
        <f t="shared" si="0"/>
        <v>0</v>
      </c>
      <c r="AC89" s="100">
        <f t="shared" si="0"/>
        <v>0</v>
      </c>
      <c r="AD89" s="100">
        <f t="shared" si="0"/>
        <v>0</v>
      </c>
      <c r="AE89" s="100">
        <f t="shared" si="0"/>
        <v>0</v>
      </c>
      <c r="AF89" s="100">
        <f t="shared" si="0"/>
        <v>0</v>
      </c>
      <c r="AG89" s="100">
        <f t="shared" si="0"/>
        <v>0</v>
      </c>
      <c r="AH89" s="100">
        <f t="shared" si="0"/>
        <v>0</v>
      </c>
      <c r="AI89" s="100">
        <f t="shared" si="0"/>
        <v>0</v>
      </c>
      <c r="AJ89" s="100">
        <f t="shared" si="0"/>
        <v>0</v>
      </c>
      <c r="AK89" s="100">
        <f t="shared" si="0"/>
        <v>0</v>
      </c>
      <c r="AL89" s="100">
        <f t="shared" si="0"/>
        <v>0</v>
      </c>
      <c r="AM89" s="100">
        <f t="shared" si="0"/>
        <v>0</v>
      </c>
      <c r="AN89" s="100">
        <f t="shared" si="0"/>
        <v>0</v>
      </c>
      <c r="AO89" s="100">
        <f t="shared" si="0"/>
        <v>0</v>
      </c>
      <c r="AP89" s="100">
        <f t="shared" si="0"/>
        <v>0</v>
      </c>
    </row>
    <row r="90" spans="1:42" ht="12.75" customHeight="1" x14ac:dyDescent="0.25">
      <c r="C90" s="778"/>
      <c r="D90" s="775"/>
      <c r="E90" s="98" t="s">
        <v>73</v>
      </c>
      <c r="F90" s="100">
        <f>F84</f>
        <v>0</v>
      </c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</row>
    <row r="91" spans="1:42" ht="12.75" customHeight="1" x14ac:dyDescent="0.25">
      <c r="C91" s="778"/>
      <c r="D91" s="775" t="s">
        <v>133</v>
      </c>
      <c r="E91" s="233" t="s">
        <v>70</v>
      </c>
      <c r="F91" s="234">
        <f>F70+F36-L36</f>
        <v>0</v>
      </c>
      <c r="G91" s="234">
        <f t="shared" ref="G91:AP91" si="1">G36</f>
        <v>0</v>
      </c>
      <c r="H91" s="234">
        <f t="shared" si="1"/>
        <v>0</v>
      </c>
      <c r="I91" s="234">
        <f t="shared" si="1"/>
        <v>0</v>
      </c>
      <c r="J91" s="234">
        <f t="shared" si="1"/>
        <v>0</v>
      </c>
      <c r="K91" s="234">
        <f t="shared" si="1"/>
        <v>0</v>
      </c>
      <c r="L91" s="234">
        <f t="shared" si="1"/>
        <v>0</v>
      </c>
      <c r="M91" s="234">
        <f t="shared" si="1"/>
        <v>0</v>
      </c>
      <c r="N91" s="234">
        <f t="shared" si="1"/>
        <v>0</v>
      </c>
      <c r="O91" s="234">
        <f t="shared" si="1"/>
        <v>0</v>
      </c>
      <c r="P91" s="234">
        <f t="shared" si="1"/>
        <v>0</v>
      </c>
      <c r="Q91" s="234">
        <f t="shared" si="1"/>
        <v>0</v>
      </c>
      <c r="R91" s="234">
        <f t="shared" si="1"/>
        <v>0</v>
      </c>
      <c r="S91" s="234">
        <f t="shared" si="1"/>
        <v>0</v>
      </c>
      <c r="T91" s="234">
        <f t="shared" si="1"/>
        <v>0</v>
      </c>
      <c r="U91" s="234">
        <f t="shared" si="1"/>
        <v>0</v>
      </c>
      <c r="V91" s="234">
        <f t="shared" si="1"/>
        <v>0</v>
      </c>
      <c r="W91" s="234">
        <f t="shared" si="1"/>
        <v>0</v>
      </c>
      <c r="X91" s="234">
        <f t="shared" si="1"/>
        <v>0</v>
      </c>
      <c r="Y91" s="234">
        <f t="shared" si="1"/>
        <v>0</v>
      </c>
      <c r="Z91" s="234">
        <f t="shared" si="1"/>
        <v>0</v>
      </c>
      <c r="AA91" s="234">
        <f t="shared" si="1"/>
        <v>0</v>
      </c>
      <c r="AB91" s="234">
        <f t="shared" si="1"/>
        <v>0</v>
      </c>
      <c r="AC91" s="234">
        <f t="shared" si="1"/>
        <v>0</v>
      </c>
      <c r="AD91" s="234">
        <f t="shared" si="1"/>
        <v>0</v>
      </c>
      <c r="AE91" s="234">
        <f t="shared" si="1"/>
        <v>0</v>
      </c>
      <c r="AF91" s="234">
        <f t="shared" si="1"/>
        <v>0</v>
      </c>
      <c r="AG91" s="234">
        <f t="shared" si="1"/>
        <v>0</v>
      </c>
      <c r="AH91" s="234">
        <f t="shared" si="1"/>
        <v>0</v>
      </c>
      <c r="AI91" s="234">
        <f t="shared" si="1"/>
        <v>0</v>
      </c>
      <c r="AJ91" s="234">
        <f t="shared" si="1"/>
        <v>0</v>
      </c>
      <c r="AK91" s="234">
        <f t="shared" si="1"/>
        <v>0</v>
      </c>
      <c r="AL91" s="234">
        <f t="shared" si="1"/>
        <v>0</v>
      </c>
      <c r="AM91" s="234">
        <f t="shared" si="1"/>
        <v>0</v>
      </c>
      <c r="AN91" s="234">
        <f t="shared" si="1"/>
        <v>0</v>
      </c>
      <c r="AO91" s="234">
        <f t="shared" si="1"/>
        <v>0</v>
      </c>
      <c r="AP91" s="234">
        <f t="shared" si="1"/>
        <v>0</v>
      </c>
    </row>
    <row r="92" spans="1:42" ht="12.75" customHeight="1" x14ac:dyDescent="0.25">
      <c r="C92" s="778"/>
      <c r="D92" s="775"/>
      <c r="E92" s="233" t="s">
        <v>73</v>
      </c>
      <c r="F92" s="234">
        <f>F70</f>
        <v>0</v>
      </c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spans="1:42" ht="12.75" customHeight="1" x14ac:dyDescent="0.25">
      <c r="A93" s="89"/>
      <c r="C93" s="97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</row>
    <row r="94" spans="1:42" ht="12.75" customHeight="1" x14ac:dyDescent="0.25">
      <c r="C94" s="778" t="s">
        <v>160</v>
      </c>
      <c r="D94" s="775" t="s">
        <v>132</v>
      </c>
      <c r="E94" s="223" t="s">
        <v>70</v>
      </c>
      <c r="F94" s="225">
        <v>0</v>
      </c>
      <c r="G94" s="225">
        <v>0</v>
      </c>
      <c r="H94" s="225">
        <v>0</v>
      </c>
      <c r="I94" s="225">
        <v>0</v>
      </c>
      <c r="J94" s="225">
        <v>0</v>
      </c>
      <c r="K94" s="225">
        <v>0</v>
      </c>
      <c r="L94" s="225">
        <v>0</v>
      </c>
      <c r="M94" s="225">
        <v>0</v>
      </c>
      <c r="N94" s="225">
        <v>0</v>
      </c>
      <c r="O94" s="225">
        <v>0</v>
      </c>
      <c r="P94" s="225">
        <v>0</v>
      </c>
      <c r="Q94" s="225">
        <v>0</v>
      </c>
      <c r="R94" s="225">
        <v>0</v>
      </c>
      <c r="S94" s="225">
        <v>0</v>
      </c>
      <c r="T94" s="225">
        <v>0</v>
      </c>
      <c r="U94" s="225">
        <v>0</v>
      </c>
      <c r="V94" s="225">
        <v>0</v>
      </c>
      <c r="W94" s="225">
        <v>0</v>
      </c>
      <c r="X94" s="225">
        <v>0</v>
      </c>
      <c r="Y94" s="225">
        <v>0</v>
      </c>
      <c r="Z94" s="225">
        <v>0</v>
      </c>
      <c r="AA94" s="225">
        <v>0</v>
      </c>
      <c r="AB94" s="225">
        <v>0</v>
      </c>
      <c r="AC94" s="225">
        <v>0</v>
      </c>
      <c r="AD94" s="225">
        <v>0</v>
      </c>
      <c r="AE94" s="225">
        <v>0</v>
      </c>
      <c r="AF94" s="225">
        <v>0</v>
      </c>
      <c r="AG94" s="225">
        <v>0</v>
      </c>
      <c r="AH94" s="225">
        <v>0</v>
      </c>
      <c r="AI94" s="225">
        <v>0</v>
      </c>
      <c r="AJ94" s="225">
        <v>0</v>
      </c>
      <c r="AK94" s="225">
        <v>0</v>
      </c>
      <c r="AL94" s="225">
        <v>0</v>
      </c>
      <c r="AM94" s="225">
        <v>0</v>
      </c>
      <c r="AN94" s="225">
        <v>0</v>
      </c>
      <c r="AO94" s="225">
        <v>0</v>
      </c>
      <c r="AP94" s="225">
        <v>0</v>
      </c>
    </row>
    <row r="95" spans="1:42" ht="12.75" customHeight="1" x14ac:dyDescent="0.25">
      <c r="C95" s="778"/>
      <c r="D95" s="775"/>
      <c r="E95" s="223" t="s">
        <v>73</v>
      </c>
      <c r="F95" s="225">
        <v>0</v>
      </c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</row>
    <row r="96" spans="1:42" ht="12.75" customHeight="1" x14ac:dyDescent="0.25">
      <c r="C96" s="778"/>
      <c r="D96" s="775" t="s">
        <v>133</v>
      </c>
      <c r="E96" s="227" t="s">
        <v>70</v>
      </c>
      <c r="F96" s="228">
        <v>0</v>
      </c>
      <c r="G96" s="228">
        <v>0</v>
      </c>
      <c r="H96" s="228">
        <v>0</v>
      </c>
      <c r="I96" s="228">
        <v>0</v>
      </c>
      <c r="J96" s="228">
        <v>0</v>
      </c>
      <c r="K96" s="228">
        <v>0</v>
      </c>
      <c r="L96" s="228">
        <v>0</v>
      </c>
      <c r="M96" s="228">
        <v>0</v>
      </c>
      <c r="N96" s="228">
        <v>0</v>
      </c>
      <c r="O96" s="228">
        <v>0</v>
      </c>
      <c r="P96" s="228">
        <v>0</v>
      </c>
      <c r="Q96" s="228">
        <v>0</v>
      </c>
      <c r="R96" s="228">
        <v>0</v>
      </c>
      <c r="S96" s="228">
        <v>0</v>
      </c>
      <c r="T96" s="228">
        <v>0</v>
      </c>
      <c r="U96" s="228">
        <v>0</v>
      </c>
      <c r="V96" s="228">
        <v>0</v>
      </c>
      <c r="W96" s="228">
        <v>0</v>
      </c>
      <c r="X96" s="228">
        <v>0</v>
      </c>
      <c r="Y96" s="228">
        <v>0</v>
      </c>
      <c r="Z96" s="228">
        <v>0</v>
      </c>
      <c r="AA96" s="228">
        <v>0</v>
      </c>
      <c r="AB96" s="228">
        <v>0</v>
      </c>
      <c r="AC96" s="228">
        <v>0</v>
      </c>
      <c r="AD96" s="228">
        <v>0</v>
      </c>
      <c r="AE96" s="228">
        <v>0</v>
      </c>
      <c r="AF96" s="228">
        <v>0</v>
      </c>
      <c r="AG96" s="228">
        <v>0</v>
      </c>
      <c r="AH96" s="228">
        <v>0</v>
      </c>
      <c r="AI96" s="228">
        <v>0</v>
      </c>
      <c r="AJ96" s="228">
        <v>0</v>
      </c>
      <c r="AK96" s="228">
        <v>0</v>
      </c>
      <c r="AL96" s="228">
        <v>0</v>
      </c>
      <c r="AM96" s="228">
        <v>0</v>
      </c>
      <c r="AN96" s="228">
        <v>0</v>
      </c>
      <c r="AO96" s="228">
        <v>0</v>
      </c>
      <c r="AP96" s="228">
        <v>0</v>
      </c>
    </row>
    <row r="97" spans="1:42" ht="12.75" customHeight="1" x14ac:dyDescent="0.25">
      <c r="C97" s="778"/>
      <c r="D97" s="775"/>
      <c r="E97" s="227" t="s">
        <v>73</v>
      </c>
      <c r="F97" s="228">
        <v>0</v>
      </c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spans="1:42" ht="12.75" customHeight="1" x14ac:dyDescent="0.25">
      <c r="A98" s="89"/>
      <c r="C98" s="97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</row>
    <row r="99" spans="1:42" ht="12.75" customHeight="1" x14ac:dyDescent="0.25">
      <c r="C99" s="778" t="s">
        <v>155</v>
      </c>
      <c r="D99" s="775" t="s">
        <v>132</v>
      </c>
      <c r="E99" s="221" t="s">
        <v>70</v>
      </c>
      <c r="F99" s="222">
        <f>F73+F40+F8-L8-L40</f>
        <v>0</v>
      </c>
      <c r="G99" s="222">
        <f t="shared" ref="G99:AP99" si="2">G40+G8</f>
        <v>0</v>
      </c>
      <c r="H99" s="222">
        <f t="shared" si="2"/>
        <v>0</v>
      </c>
      <c r="I99" s="222">
        <f t="shared" si="2"/>
        <v>0</v>
      </c>
      <c r="J99" s="222">
        <f t="shared" si="2"/>
        <v>0</v>
      </c>
      <c r="K99" s="222">
        <f t="shared" si="2"/>
        <v>0</v>
      </c>
      <c r="L99" s="222">
        <f t="shared" si="2"/>
        <v>0</v>
      </c>
      <c r="M99" s="222">
        <f t="shared" si="2"/>
        <v>0</v>
      </c>
      <c r="N99" s="222">
        <f t="shared" si="2"/>
        <v>0</v>
      </c>
      <c r="O99" s="222">
        <f t="shared" si="2"/>
        <v>0</v>
      </c>
      <c r="P99" s="222">
        <f t="shared" si="2"/>
        <v>0</v>
      </c>
      <c r="Q99" s="222">
        <f t="shared" si="2"/>
        <v>0</v>
      </c>
      <c r="R99" s="222">
        <f t="shared" si="2"/>
        <v>0</v>
      </c>
      <c r="S99" s="222">
        <f t="shared" si="2"/>
        <v>0</v>
      </c>
      <c r="T99" s="222">
        <f t="shared" si="2"/>
        <v>0</v>
      </c>
      <c r="U99" s="222">
        <f t="shared" si="2"/>
        <v>0</v>
      </c>
      <c r="V99" s="222">
        <f t="shared" si="2"/>
        <v>0</v>
      </c>
      <c r="W99" s="222">
        <f t="shared" si="2"/>
        <v>0</v>
      </c>
      <c r="X99" s="222">
        <f t="shared" si="2"/>
        <v>0</v>
      </c>
      <c r="Y99" s="222">
        <f t="shared" si="2"/>
        <v>0</v>
      </c>
      <c r="Z99" s="222">
        <f t="shared" si="2"/>
        <v>0</v>
      </c>
      <c r="AA99" s="222">
        <f t="shared" si="2"/>
        <v>0</v>
      </c>
      <c r="AB99" s="222">
        <f t="shared" si="2"/>
        <v>0</v>
      </c>
      <c r="AC99" s="222">
        <f t="shared" si="2"/>
        <v>0</v>
      </c>
      <c r="AD99" s="222">
        <f t="shared" si="2"/>
        <v>0</v>
      </c>
      <c r="AE99" s="222">
        <f t="shared" si="2"/>
        <v>0</v>
      </c>
      <c r="AF99" s="222">
        <f t="shared" si="2"/>
        <v>0</v>
      </c>
      <c r="AG99" s="222">
        <f t="shared" si="2"/>
        <v>0</v>
      </c>
      <c r="AH99" s="222">
        <f t="shared" si="2"/>
        <v>0</v>
      </c>
      <c r="AI99" s="222">
        <f t="shared" si="2"/>
        <v>0</v>
      </c>
      <c r="AJ99" s="222">
        <f t="shared" si="2"/>
        <v>0</v>
      </c>
      <c r="AK99" s="222">
        <f t="shared" si="2"/>
        <v>0</v>
      </c>
      <c r="AL99" s="222">
        <f t="shared" si="2"/>
        <v>0</v>
      </c>
      <c r="AM99" s="222">
        <f t="shared" si="2"/>
        <v>0</v>
      </c>
      <c r="AN99" s="222">
        <f t="shared" si="2"/>
        <v>0</v>
      </c>
      <c r="AO99" s="222">
        <f t="shared" si="2"/>
        <v>0</v>
      </c>
      <c r="AP99" s="222">
        <f t="shared" si="2"/>
        <v>0</v>
      </c>
    </row>
    <row r="100" spans="1:42" ht="12.75" customHeight="1" x14ac:dyDescent="0.25">
      <c r="C100" s="778"/>
      <c r="D100" s="775"/>
      <c r="E100" s="221" t="s">
        <v>73</v>
      </c>
      <c r="F100" s="222">
        <f>F73</f>
        <v>0</v>
      </c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</row>
    <row r="101" spans="1:42" ht="12.75" customHeight="1" x14ac:dyDescent="0.25">
      <c r="B101" s="150"/>
      <c r="C101" s="778"/>
      <c r="D101" s="775" t="s">
        <v>133</v>
      </c>
      <c r="E101" s="229" t="s">
        <v>70</v>
      </c>
      <c r="F101" s="230">
        <f>F59+F21-L21</f>
        <v>0</v>
      </c>
      <c r="G101" s="230">
        <f>G21</f>
        <v>0</v>
      </c>
      <c r="H101" s="230">
        <f t="shared" ref="H101:AP101" si="3">H21</f>
        <v>0</v>
      </c>
      <c r="I101" s="230">
        <f t="shared" si="3"/>
        <v>0</v>
      </c>
      <c r="J101" s="230">
        <f t="shared" si="3"/>
        <v>0</v>
      </c>
      <c r="K101" s="230">
        <f t="shared" si="3"/>
        <v>0</v>
      </c>
      <c r="L101" s="230">
        <f t="shared" si="3"/>
        <v>0</v>
      </c>
      <c r="M101" s="230">
        <f t="shared" si="3"/>
        <v>0</v>
      </c>
      <c r="N101" s="230">
        <f t="shared" si="3"/>
        <v>0</v>
      </c>
      <c r="O101" s="230">
        <f t="shared" si="3"/>
        <v>0</v>
      </c>
      <c r="P101" s="230">
        <f t="shared" si="3"/>
        <v>0</v>
      </c>
      <c r="Q101" s="230">
        <f t="shared" si="3"/>
        <v>0</v>
      </c>
      <c r="R101" s="230">
        <f t="shared" si="3"/>
        <v>0</v>
      </c>
      <c r="S101" s="230">
        <f t="shared" si="3"/>
        <v>0</v>
      </c>
      <c r="T101" s="230">
        <f t="shared" si="3"/>
        <v>0</v>
      </c>
      <c r="U101" s="230">
        <f t="shared" si="3"/>
        <v>0</v>
      </c>
      <c r="V101" s="230">
        <f t="shared" si="3"/>
        <v>0</v>
      </c>
      <c r="W101" s="230">
        <f t="shared" si="3"/>
        <v>0</v>
      </c>
      <c r="X101" s="230">
        <f t="shared" si="3"/>
        <v>0</v>
      </c>
      <c r="Y101" s="230">
        <f t="shared" si="3"/>
        <v>0</v>
      </c>
      <c r="Z101" s="230">
        <f t="shared" si="3"/>
        <v>0</v>
      </c>
      <c r="AA101" s="230">
        <f t="shared" si="3"/>
        <v>0</v>
      </c>
      <c r="AB101" s="230">
        <f t="shared" si="3"/>
        <v>0</v>
      </c>
      <c r="AC101" s="230">
        <f t="shared" si="3"/>
        <v>0</v>
      </c>
      <c r="AD101" s="230">
        <f t="shared" si="3"/>
        <v>0</v>
      </c>
      <c r="AE101" s="230">
        <f t="shared" si="3"/>
        <v>0</v>
      </c>
      <c r="AF101" s="230">
        <f t="shared" si="3"/>
        <v>0</v>
      </c>
      <c r="AG101" s="230">
        <f t="shared" si="3"/>
        <v>0</v>
      </c>
      <c r="AH101" s="230">
        <f t="shared" si="3"/>
        <v>0</v>
      </c>
      <c r="AI101" s="230">
        <f t="shared" si="3"/>
        <v>0</v>
      </c>
      <c r="AJ101" s="230">
        <f t="shared" si="3"/>
        <v>0</v>
      </c>
      <c r="AK101" s="230">
        <f t="shared" si="3"/>
        <v>0</v>
      </c>
      <c r="AL101" s="230">
        <f t="shared" si="3"/>
        <v>0</v>
      </c>
      <c r="AM101" s="230">
        <f t="shared" si="3"/>
        <v>0</v>
      </c>
      <c r="AN101" s="230">
        <f t="shared" si="3"/>
        <v>0</v>
      </c>
      <c r="AO101" s="230">
        <f t="shared" si="3"/>
        <v>0</v>
      </c>
      <c r="AP101" s="230">
        <f t="shared" si="3"/>
        <v>0</v>
      </c>
    </row>
    <row r="102" spans="1:42" ht="12.75" customHeight="1" x14ac:dyDescent="0.25">
      <c r="B102" s="150"/>
      <c r="C102" s="778"/>
      <c r="D102" s="775"/>
      <c r="E102" s="229" t="s">
        <v>73</v>
      </c>
      <c r="F102" s="230">
        <f>F59</f>
        <v>0</v>
      </c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spans="1:42" ht="12.75" customHeight="1" x14ac:dyDescent="0.25">
      <c r="A103" s="89"/>
      <c r="C103" s="97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</row>
    <row r="104" spans="1:42" ht="12.75" customHeight="1" x14ac:dyDescent="0.25">
      <c r="C104" s="776" t="s">
        <v>326</v>
      </c>
      <c r="D104" s="775" t="s">
        <v>132</v>
      </c>
      <c r="E104" s="373" t="s">
        <v>70</v>
      </c>
      <c r="F104" s="374">
        <f>F76+F44-L44</f>
        <v>0</v>
      </c>
      <c r="G104" s="374">
        <f>G44</f>
        <v>0</v>
      </c>
      <c r="H104" s="374">
        <f t="shared" ref="H104:AO104" si="4">H44</f>
        <v>0</v>
      </c>
      <c r="I104" s="374">
        <f t="shared" si="4"/>
        <v>0</v>
      </c>
      <c r="J104" s="374">
        <f t="shared" si="4"/>
        <v>0</v>
      </c>
      <c r="K104" s="374">
        <f t="shared" si="4"/>
        <v>0</v>
      </c>
      <c r="L104" s="374">
        <f t="shared" si="4"/>
        <v>0</v>
      </c>
      <c r="M104" s="374">
        <f t="shared" si="4"/>
        <v>0</v>
      </c>
      <c r="N104" s="374">
        <f t="shared" si="4"/>
        <v>0</v>
      </c>
      <c r="O104" s="374">
        <f t="shared" si="4"/>
        <v>0</v>
      </c>
      <c r="P104" s="374">
        <f t="shared" si="4"/>
        <v>0</v>
      </c>
      <c r="Q104" s="374">
        <f t="shared" si="4"/>
        <v>0</v>
      </c>
      <c r="R104" s="374">
        <f t="shared" si="4"/>
        <v>0</v>
      </c>
      <c r="S104" s="374">
        <f t="shared" si="4"/>
        <v>0</v>
      </c>
      <c r="T104" s="374">
        <f t="shared" si="4"/>
        <v>0</v>
      </c>
      <c r="U104" s="374">
        <f t="shared" si="4"/>
        <v>0</v>
      </c>
      <c r="V104" s="374">
        <f t="shared" si="4"/>
        <v>0</v>
      </c>
      <c r="W104" s="374">
        <f t="shared" si="4"/>
        <v>0</v>
      </c>
      <c r="X104" s="374">
        <f t="shared" si="4"/>
        <v>0</v>
      </c>
      <c r="Y104" s="374">
        <f t="shared" si="4"/>
        <v>0</v>
      </c>
      <c r="Z104" s="374">
        <f t="shared" si="4"/>
        <v>0</v>
      </c>
      <c r="AA104" s="374">
        <f t="shared" si="4"/>
        <v>0</v>
      </c>
      <c r="AB104" s="374">
        <f t="shared" si="4"/>
        <v>0</v>
      </c>
      <c r="AC104" s="374">
        <f t="shared" si="4"/>
        <v>0</v>
      </c>
      <c r="AD104" s="374">
        <f t="shared" si="4"/>
        <v>0</v>
      </c>
      <c r="AE104" s="374">
        <f t="shared" si="4"/>
        <v>0</v>
      </c>
      <c r="AF104" s="374">
        <f t="shared" si="4"/>
        <v>0</v>
      </c>
      <c r="AG104" s="374">
        <f t="shared" si="4"/>
        <v>0</v>
      </c>
      <c r="AH104" s="374">
        <f t="shared" si="4"/>
        <v>0</v>
      </c>
      <c r="AI104" s="374">
        <f t="shared" si="4"/>
        <v>0</v>
      </c>
      <c r="AJ104" s="374">
        <f t="shared" si="4"/>
        <v>0</v>
      </c>
      <c r="AK104" s="374">
        <f t="shared" si="4"/>
        <v>0</v>
      </c>
      <c r="AL104" s="374">
        <f t="shared" si="4"/>
        <v>0</v>
      </c>
      <c r="AM104" s="374">
        <f t="shared" si="4"/>
        <v>0</v>
      </c>
      <c r="AN104" s="374">
        <f t="shared" si="4"/>
        <v>0</v>
      </c>
      <c r="AO104" s="374">
        <f t="shared" si="4"/>
        <v>0</v>
      </c>
    </row>
    <row r="105" spans="1:42" ht="12.75" customHeight="1" x14ac:dyDescent="0.25">
      <c r="C105" s="776"/>
      <c r="D105" s="775"/>
      <c r="E105" s="373" t="s">
        <v>73</v>
      </c>
      <c r="F105" s="374">
        <f>F76</f>
        <v>0</v>
      </c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</row>
    <row r="106" spans="1:42" ht="12.75" customHeight="1" x14ac:dyDescent="0.25">
      <c r="C106" s="776"/>
      <c r="D106" s="775" t="s">
        <v>133</v>
      </c>
      <c r="E106" s="242" t="s">
        <v>70</v>
      </c>
      <c r="F106" s="243">
        <f>F62+F25-L25</f>
        <v>0</v>
      </c>
      <c r="G106" s="243">
        <f>G25</f>
        <v>0</v>
      </c>
      <c r="H106" s="243">
        <f t="shared" ref="H106:AO106" si="5">H25</f>
        <v>0</v>
      </c>
      <c r="I106" s="243">
        <f t="shared" si="5"/>
        <v>0</v>
      </c>
      <c r="J106" s="243">
        <f t="shared" si="5"/>
        <v>0</v>
      </c>
      <c r="K106" s="243">
        <f t="shared" si="5"/>
        <v>0</v>
      </c>
      <c r="L106" s="243">
        <f t="shared" si="5"/>
        <v>0</v>
      </c>
      <c r="M106" s="243">
        <f t="shared" si="5"/>
        <v>0</v>
      </c>
      <c r="N106" s="243">
        <f t="shared" si="5"/>
        <v>0</v>
      </c>
      <c r="O106" s="243">
        <f t="shared" si="5"/>
        <v>0</v>
      </c>
      <c r="P106" s="243">
        <f t="shared" si="5"/>
        <v>0</v>
      </c>
      <c r="Q106" s="243">
        <f t="shared" si="5"/>
        <v>0</v>
      </c>
      <c r="R106" s="243">
        <f t="shared" si="5"/>
        <v>0</v>
      </c>
      <c r="S106" s="243">
        <f t="shared" si="5"/>
        <v>0</v>
      </c>
      <c r="T106" s="243">
        <f t="shared" si="5"/>
        <v>0</v>
      </c>
      <c r="U106" s="243">
        <f t="shared" si="5"/>
        <v>0</v>
      </c>
      <c r="V106" s="243">
        <f t="shared" si="5"/>
        <v>0</v>
      </c>
      <c r="W106" s="243">
        <f t="shared" si="5"/>
        <v>0</v>
      </c>
      <c r="X106" s="243">
        <f t="shared" si="5"/>
        <v>0</v>
      </c>
      <c r="Y106" s="243">
        <f t="shared" si="5"/>
        <v>0</v>
      </c>
      <c r="Z106" s="243">
        <f t="shared" si="5"/>
        <v>0</v>
      </c>
      <c r="AA106" s="243">
        <f t="shared" si="5"/>
        <v>0</v>
      </c>
      <c r="AB106" s="243">
        <f t="shared" si="5"/>
        <v>0</v>
      </c>
      <c r="AC106" s="243">
        <f t="shared" si="5"/>
        <v>0</v>
      </c>
      <c r="AD106" s="243">
        <f t="shared" si="5"/>
        <v>0</v>
      </c>
      <c r="AE106" s="243">
        <f t="shared" si="5"/>
        <v>0</v>
      </c>
      <c r="AF106" s="243">
        <f t="shared" si="5"/>
        <v>0</v>
      </c>
      <c r="AG106" s="243">
        <f t="shared" si="5"/>
        <v>0</v>
      </c>
      <c r="AH106" s="243">
        <f t="shared" si="5"/>
        <v>0</v>
      </c>
      <c r="AI106" s="243">
        <f t="shared" si="5"/>
        <v>0</v>
      </c>
      <c r="AJ106" s="243">
        <f t="shared" si="5"/>
        <v>0</v>
      </c>
      <c r="AK106" s="243">
        <f t="shared" si="5"/>
        <v>0</v>
      </c>
      <c r="AL106" s="243">
        <f t="shared" si="5"/>
        <v>0</v>
      </c>
      <c r="AM106" s="243">
        <f t="shared" si="5"/>
        <v>0</v>
      </c>
      <c r="AN106" s="243">
        <f t="shared" si="5"/>
        <v>0</v>
      </c>
      <c r="AO106" s="243">
        <f t="shared" si="5"/>
        <v>0</v>
      </c>
    </row>
    <row r="107" spans="1:42" ht="12.75" customHeight="1" x14ac:dyDescent="0.25">
      <c r="C107" s="776"/>
      <c r="D107" s="775"/>
      <c r="E107" s="242" t="s">
        <v>73</v>
      </c>
      <c r="F107" s="243">
        <f>F62</f>
        <v>0</v>
      </c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spans="1:42" ht="12.75" customHeight="1" x14ac:dyDescent="0.25">
      <c r="A108" s="89"/>
      <c r="C108" s="97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</row>
    <row r="109" spans="1:42" ht="12.75" customHeight="1" x14ac:dyDescent="0.25">
      <c r="C109" s="778" t="s">
        <v>119</v>
      </c>
      <c r="D109" s="775" t="s">
        <v>132</v>
      </c>
      <c r="E109" s="101" t="s">
        <v>70</v>
      </c>
      <c r="F109" s="93">
        <f>F83+F54+F15-L15-L54</f>
        <v>0</v>
      </c>
      <c r="G109" s="93">
        <f t="shared" ref="G109:AP109" si="6">G54+G15</f>
        <v>0</v>
      </c>
      <c r="H109" s="93">
        <f t="shared" si="6"/>
        <v>0</v>
      </c>
      <c r="I109" s="93">
        <f t="shared" si="6"/>
        <v>0</v>
      </c>
      <c r="J109" s="93">
        <f t="shared" si="6"/>
        <v>0</v>
      </c>
      <c r="K109" s="93">
        <f t="shared" si="6"/>
        <v>0</v>
      </c>
      <c r="L109" s="93">
        <f t="shared" si="6"/>
        <v>0</v>
      </c>
      <c r="M109" s="93">
        <f t="shared" si="6"/>
        <v>0</v>
      </c>
      <c r="N109" s="93">
        <f t="shared" si="6"/>
        <v>0</v>
      </c>
      <c r="O109" s="93">
        <f t="shared" si="6"/>
        <v>0</v>
      </c>
      <c r="P109" s="93">
        <f t="shared" si="6"/>
        <v>0</v>
      </c>
      <c r="Q109" s="93">
        <f t="shared" si="6"/>
        <v>0</v>
      </c>
      <c r="R109" s="93">
        <f t="shared" si="6"/>
        <v>0</v>
      </c>
      <c r="S109" s="93">
        <f t="shared" si="6"/>
        <v>0</v>
      </c>
      <c r="T109" s="93">
        <f t="shared" si="6"/>
        <v>0</v>
      </c>
      <c r="U109" s="93">
        <f t="shared" si="6"/>
        <v>0</v>
      </c>
      <c r="V109" s="93">
        <f t="shared" si="6"/>
        <v>0</v>
      </c>
      <c r="W109" s="93">
        <f t="shared" si="6"/>
        <v>0</v>
      </c>
      <c r="X109" s="93">
        <f t="shared" si="6"/>
        <v>0</v>
      </c>
      <c r="Y109" s="93">
        <f t="shared" si="6"/>
        <v>0</v>
      </c>
      <c r="Z109" s="93">
        <f t="shared" si="6"/>
        <v>0</v>
      </c>
      <c r="AA109" s="93">
        <f t="shared" si="6"/>
        <v>0</v>
      </c>
      <c r="AB109" s="93">
        <f t="shared" si="6"/>
        <v>0</v>
      </c>
      <c r="AC109" s="93">
        <f t="shared" si="6"/>
        <v>0</v>
      </c>
      <c r="AD109" s="93">
        <f t="shared" si="6"/>
        <v>0</v>
      </c>
      <c r="AE109" s="93">
        <f t="shared" si="6"/>
        <v>0</v>
      </c>
      <c r="AF109" s="93">
        <f t="shared" si="6"/>
        <v>0</v>
      </c>
      <c r="AG109" s="93">
        <f t="shared" si="6"/>
        <v>0</v>
      </c>
      <c r="AH109" s="93">
        <f t="shared" si="6"/>
        <v>0</v>
      </c>
      <c r="AI109" s="93">
        <f t="shared" si="6"/>
        <v>0</v>
      </c>
      <c r="AJ109" s="93">
        <f t="shared" si="6"/>
        <v>0</v>
      </c>
      <c r="AK109" s="93">
        <f t="shared" si="6"/>
        <v>0</v>
      </c>
      <c r="AL109" s="93">
        <f t="shared" si="6"/>
        <v>0</v>
      </c>
      <c r="AM109" s="93">
        <f t="shared" si="6"/>
        <v>0</v>
      </c>
      <c r="AN109" s="93">
        <f t="shared" si="6"/>
        <v>0</v>
      </c>
      <c r="AO109" s="93">
        <f t="shared" si="6"/>
        <v>0</v>
      </c>
      <c r="AP109" s="93">
        <f t="shared" si="6"/>
        <v>0</v>
      </c>
    </row>
    <row r="110" spans="1:42" ht="12.75" customHeight="1" x14ac:dyDescent="0.25">
      <c r="C110" s="778"/>
      <c r="D110" s="775"/>
      <c r="E110" s="101" t="s">
        <v>73</v>
      </c>
      <c r="F110" s="93">
        <f>F83</f>
        <v>0</v>
      </c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</row>
    <row r="111" spans="1:42" ht="12.75" customHeight="1" x14ac:dyDescent="0.25">
      <c r="C111" s="778"/>
      <c r="D111" s="775" t="s">
        <v>133</v>
      </c>
      <c r="E111" s="235" t="s">
        <v>70</v>
      </c>
      <c r="F111" s="236">
        <f>F69+F35-L35</f>
        <v>0</v>
      </c>
      <c r="G111" s="236">
        <f t="shared" ref="G111:AP111" si="7">G35</f>
        <v>0</v>
      </c>
      <c r="H111" s="236">
        <f t="shared" si="7"/>
        <v>0</v>
      </c>
      <c r="I111" s="236">
        <f t="shared" si="7"/>
        <v>0</v>
      </c>
      <c r="J111" s="236">
        <f t="shared" si="7"/>
        <v>0</v>
      </c>
      <c r="K111" s="236">
        <f t="shared" si="7"/>
        <v>0</v>
      </c>
      <c r="L111" s="236">
        <f t="shared" si="7"/>
        <v>0</v>
      </c>
      <c r="M111" s="236">
        <f t="shared" si="7"/>
        <v>0</v>
      </c>
      <c r="N111" s="236">
        <f t="shared" si="7"/>
        <v>0</v>
      </c>
      <c r="O111" s="236">
        <f t="shared" si="7"/>
        <v>0</v>
      </c>
      <c r="P111" s="236">
        <f t="shared" si="7"/>
        <v>0</v>
      </c>
      <c r="Q111" s="236">
        <f t="shared" si="7"/>
        <v>0</v>
      </c>
      <c r="R111" s="236">
        <f t="shared" si="7"/>
        <v>0</v>
      </c>
      <c r="S111" s="236">
        <f t="shared" si="7"/>
        <v>0</v>
      </c>
      <c r="T111" s="236">
        <f t="shared" si="7"/>
        <v>0</v>
      </c>
      <c r="U111" s="236">
        <f t="shared" si="7"/>
        <v>0</v>
      </c>
      <c r="V111" s="236">
        <f t="shared" si="7"/>
        <v>0</v>
      </c>
      <c r="W111" s="236">
        <f t="shared" si="7"/>
        <v>0</v>
      </c>
      <c r="X111" s="236">
        <f t="shared" si="7"/>
        <v>0</v>
      </c>
      <c r="Y111" s="236">
        <f t="shared" si="7"/>
        <v>0</v>
      </c>
      <c r="Z111" s="236">
        <f t="shared" si="7"/>
        <v>0</v>
      </c>
      <c r="AA111" s="236">
        <f t="shared" si="7"/>
        <v>0</v>
      </c>
      <c r="AB111" s="236">
        <f t="shared" si="7"/>
        <v>0</v>
      </c>
      <c r="AC111" s="236">
        <f t="shared" si="7"/>
        <v>0</v>
      </c>
      <c r="AD111" s="236">
        <f t="shared" si="7"/>
        <v>0</v>
      </c>
      <c r="AE111" s="236">
        <f t="shared" si="7"/>
        <v>0</v>
      </c>
      <c r="AF111" s="236">
        <f t="shared" si="7"/>
        <v>0</v>
      </c>
      <c r="AG111" s="236">
        <f t="shared" si="7"/>
        <v>0</v>
      </c>
      <c r="AH111" s="236">
        <f t="shared" si="7"/>
        <v>0</v>
      </c>
      <c r="AI111" s="236">
        <f t="shared" si="7"/>
        <v>0</v>
      </c>
      <c r="AJ111" s="236">
        <f t="shared" si="7"/>
        <v>0</v>
      </c>
      <c r="AK111" s="236">
        <f t="shared" si="7"/>
        <v>0</v>
      </c>
      <c r="AL111" s="236">
        <f t="shared" si="7"/>
        <v>0</v>
      </c>
      <c r="AM111" s="236">
        <f t="shared" si="7"/>
        <v>0</v>
      </c>
      <c r="AN111" s="236">
        <f t="shared" si="7"/>
        <v>0</v>
      </c>
      <c r="AO111" s="236">
        <f t="shared" si="7"/>
        <v>0</v>
      </c>
      <c r="AP111" s="236">
        <f t="shared" si="7"/>
        <v>0</v>
      </c>
    </row>
    <row r="112" spans="1:42" ht="12.75" customHeight="1" x14ac:dyDescent="0.25">
      <c r="C112" s="778"/>
      <c r="D112" s="775"/>
      <c r="E112" s="235" t="s">
        <v>73</v>
      </c>
      <c r="F112" s="236">
        <f>F69</f>
        <v>0</v>
      </c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spans="1:42" ht="12.75" customHeight="1" x14ac:dyDescent="0.25">
      <c r="A113" s="89"/>
      <c r="C113" s="97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</row>
    <row r="114" spans="1:42" ht="12.75" customHeight="1" x14ac:dyDescent="0.25">
      <c r="C114" s="777" t="s">
        <v>161</v>
      </c>
      <c r="D114" s="775" t="s">
        <v>132</v>
      </c>
      <c r="E114" s="231" t="s">
        <v>70</v>
      </c>
      <c r="F114" s="232">
        <v>0</v>
      </c>
      <c r="G114" s="232">
        <v>0</v>
      </c>
      <c r="H114" s="232">
        <v>0</v>
      </c>
      <c r="I114" s="232">
        <v>0</v>
      </c>
      <c r="J114" s="232">
        <v>0</v>
      </c>
      <c r="K114" s="232">
        <v>0</v>
      </c>
      <c r="L114" s="232">
        <v>0</v>
      </c>
      <c r="M114" s="232">
        <v>0</v>
      </c>
      <c r="N114" s="232">
        <v>0</v>
      </c>
      <c r="O114" s="232">
        <v>0</v>
      </c>
      <c r="P114" s="232">
        <v>0</v>
      </c>
      <c r="Q114" s="232">
        <v>0</v>
      </c>
      <c r="R114" s="232">
        <v>0</v>
      </c>
      <c r="S114" s="232">
        <v>0</v>
      </c>
      <c r="T114" s="232">
        <v>0</v>
      </c>
      <c r="U114" s="232">
        <v>0</v>
      </c>
      <c r="V114" s="232">
        <v>0</v>
      </c>
      <c r="W114" s="232">
        <v>0</v>
      </c>
      <c r="X114" s="232">
        <v>0</v>
      </c>
      <c r="Y114" s="232">
        <v>0</v>
      </c>
      <c r="Z114" s="232">
        <v>0</v>
      </c>
      <c r="AA114" s="232">
        <v>0</v>
      </c>
      <c r="AB114" s="232">
        <v>0</v>
      </c>
      <c r="AC114" s="232">
        <v>0</v>
      </c>
      <c r="AD114" s="232">
        <v>0</v>
      </c>
      <c r="AE114" s="232">
        <v>0</v>
      </c>
      <c r="AF114" s="232">
        <v>0</v>
      </c>
      <c r="AG114" s="232">
        <v>0</v>
      </c>
      <c r="AH114" s="232">
        <v>0</v>
      </c>
      <c r="AI114" s="232">
        <v>0</v>
      </c>
      <c r="AJ114" s="232">
        <v>0</v>
      </c>
      <c r="AK114" s="232">
        <v>0</v>
      </c>
      <c r="AL114" s="232">
        <v>0</v>
      </c>
      <c r="AM114" s="232">
        <v>0</v>
      </c>
      <c r="AN114" s="232">
        <v>0</v>
      </c>
      <c r="AO114" s="232">
        <v>0</v>
      </c>
      <c r="AP114" s="232">
        <v>0</v>
      </c>
    </row>
    <row r="115" spans="1:42" ht="12.75" customHeight="1" x14ac:dyDescent="0.25">
      <c r="C115" s="777"/>
      <c r="D115" s="775"/>
      <c r="E115" s="231" t="s">
        <v>73</v>
      </c>
      <c r="F115" s="232">
        <v>0</v>
      </c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</row>
    <row r="116" spans="1:42" ht="12.75" customHeight="1" x14ac:dyDescent="0.25">
      <c r="C116" s="777"/>
      <c r="D116" s="775" t="s">
        <v>133</v>
      </c>
      <c r="E116" s="148" t="s">
        <v>70</v>
      </c>
      <c r="F116" s="149">
        <v>0</v>
      </c>
      <c r="G116" s="149">
        <v>0</v>
      </c>
      <c r="H116" s="149">
        <v>0</v>
      </c>
      <c r="I116" s="149">
        <v>0</v>
      </c>
      <c r="J116" s="149">
        <v>0</v>
      </c>
      <c r="K116" s="149">
        <v>0</v>
      </c>
      <c r="L116" s="149">
        <v>0</v>
      </c>
      <c r="M116" s="149">
        <v>0</v>
      </c>
      <c r="N116" s="149">
        <v>0</v>
      </c>
      <c r="O116" s="149">
        <v>0</v>
      </c>
      <c r="P116" s="149">
        <v>0</v>
      </c>
      <c r="Q116" s="149">
        <v>0</v>
      </c>
      <c r="R116" s="149">
        <v>0</v>
      </c>
      <c r="S116" s="149">
        <v>0</v>
      </c>
      <c r="T116" s="149">
        <v>0</v>
      </c>
      <c r="U116" s="149">
        <v>0</v>
      </c>
      <c r="V116" s="149">
        <v>0</v>
      </c>
      <c r="W116" s="149">
        <v>0</v>
      </c>
      <c r="X116" s="149">
        <v>0</v>
      </c>
      <c r="Y116" s="149">
        <v>0</v>
      </c>
      <c r="Z116" s="149">
        <v>0</v>
      </c>
      <c r="AA116" s="149">
        <v>0</v>
      </c>
      <c r="AB116" s="149">
        <v>0</v>
      </c>
      <c r="AC116" s="149">
        <v>0</v>
      </c>
      <c r="AD116" s="149">
        <v>0</v>
      </c>
      <c r="AE116" s="149">
        <v>0</v>
      </c>
      <c r="AF116" s="149">
        <v>0</v>
      </c>
      <c r="AG116" s="149">
        <v>0</v>
      </c>
      <c r="AH116" s="149">
        <v>0</v>
      </c>
      <c r="AI116" s="149">
        <v>0</v>
      </c>
      <c r="AJ116" s="149">
        <v>0</v>
      </c>
      <c r="AK116" s="149">
        <v>0</v>
      </c>
      <c r="AL116" s="149">
        <v>0</v>
      </c>
      <c r="AM116" s="149">
        <v>0</v>
      </c>
      <c r="AN116" s="149">
        <v>0</v>
      </c>
      <c r="AO116" s="149">
        <v>0</v>
      </c>
      <c r="AP116" s="149">
        <v>0</v>
      </c>
    </row>
    <row r="117" spans="1:42" ht="12.75" customHeight="1" x14ac:dyDescent="0.25">
      <c r="C117" s="777"/>
      <c r="D117" s="775"/>
      <c r="E117" s="148" t="s">
        <v>73</v>
      </c>
      <c r="F117" s="149">
        <v>0</v>
      </c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spans="1:42" ht="12.75" customHeight="1" x14ac:dyDescent="0.25">
      <c r="C118" s="388"/>
      <c r="D118" s="220"/>
      <c r="E118" s="89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spans="1:42" ht="12.75" customHeight="1" x14ac:dyDescent="0.25">
      <c r="D119" s="458" t="s">
        <v>186</v>
      </c>
      <c r="E119" s="459" t="s">
        <v>70</v>
      </c>
      <c r="F119" s="460">
        <f>F16</f>
        <v>0</v>
      </c>
      <c r="G119" s="460">
        <f t="shared" ref="G119:AP119" si="8">G16</f>
        <v>0</v>
      </c>
      <c r="H119" s="460">
        <f t="shared" si="8"/>
        <v>0</v>
      </c>
      <c r="I119" s="460">
        <f t="shared" si="8"/>
        <v>0</v>
      </c>
      <c r="J119" s="460">
        <f t="shared" si="8"/>
        <v>0</v>
      </c>
      <c r="K119" s="460">
        <f t="shared" si="8"/>
        <v>0</v>
      </c>
      <c r="L119" s="460">
        <f t="shared" si="8"/>
        <v>0</v>
      </c>
      <c r="M119" s="460">
        <f t="shared" si="8"/>
        <v>0</v>
      </c>
      <c r="N119" s="460">
        <f t="shared" si="8"/>
        <v>0</v>
      </c>
      <c r="O119" s="460">
        <f t="shared" si="8"/>
        <v>0</v>
      </c>
      <c r="P119" s="460">
        <f t="shared" si="8"/>
        <v>0</v>
      </c>
      <c r="Q119" s="460">
        <f t="shared" si="8"/>
        <v>0</v>
      </c>
      <c r="R119" s="460">
        <f t="shared" si="8"/>
        <v>0</v>
      </c>
      <c r="S119" s="460">
        <f t="shared" si="8"/>
        <v>0</v>
      </c>
      <c r="T119" s="460">
        <f t="shared" si="8"/>
        <v>0</v>
      </c>
      <c r="U119" s="460">
        <f t="shared" si="8"/>
        <v>0</v>
      </c>
      <c r="V119" s="460">
        <f t="shared" si="8"/>
        <v>0</v>
      </c>
      <c r="W119" s="460">
        <f t="shared" si="8"/>
        <v>0</v>
      </c>
      <c r="X119" s="460">
        <f t="shared" si="8"/>
        <v>0</v>
      </c>
      <c r="Y119" s="460">
        <f t="shared" si="8"/>
        <v>0</v>
      </c>
      <c r="Z119" s="460">
        <f t="shared" si="8"/>
        <v>0</v>
      </c>
      <c r="AA119" s="460">
        <f t="shared" si="8"/>
        <v>0</v>
      </c>
      <c r="AB119" s="460">
        <f t="shared" si="8"/>
        <v>0</v>
      </c>
      <c r="AC119" s="460">
        <f t="shared" si="8"/>
        <v>0</v>
      </c>
      <c r="AD119" s="460">
        <f t="shared" si="8"/>
        <v>0</v>
      </c>
      <c r="AE119" s="460">
        <f t="shared" si="8"/>
        <v>0</v>
      </c>
      <c r="AF119" s="460">
        <f t="shared" si="8"/>
        <v>0</v>
      </c>
      <c r="AG119" s="460">
        <f t="shared" si="8"/>
        <v>0</v>
      </c>
      <c r="AH119" s="460">
        <f t="shared" si="8"/>
        <v>0</v>
      </c>
      <c r="AI119" s="460">
        <f t="shared" si="8"/>
        <v>0</v>
      </c>
      <c r="AJ119" s="460">
        <f t="shared" si="8"/>
        <v>0</v>
      </c>
      <c r="AK119" s="460">
        <f t="shared" si="8"/>
        <v>0</v>
      </c>
      <c r="AL119" s="460">
        <f t="shared" si="8"/>
        <v>0</v>
      </c>
      <c r="AM119" s="460">
        <f t="shared" si="8"/>
        <v>0</v>
      </c>
      <c r="AN119" s="460">
        <f t="shared" si="8"/>
        <v>0</v>
      </c>
      <c r="AO119" s="460">
        <f t="shared" si="8"/>
        <v>0</v>
      </c>
      <c r="AP119" s="460">
        <f t="shared" si="8"/>
        <v>0</v>
      </c>
    </row>
    <row r="120" spans="1:42" ht="12.75" customHeight="1" x14ac:dyDescent="0.25">
      <c r="C120" s="388"/>
      <c r="D120" s="220"/>
      <c r="E120" s="89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spans="1:42" s="238" customFormat="1" ht="12.75" customHeight="1" x14ac:dyDescent="0.25">
      <c r="B121" s="239"/>
      <c r="C121" s="239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</row>
    <row r="122" spans="1:42" ht="12" customHeight="1" x14ac:dyDescent="0.25">
      <c r="A122" s="89"/>
      <c r="B122" s="97" t="s">
        <v>75</v>
      </c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spans="1:42" ht="12.6" customHeight="1" x14ac:dyDescent="0.25">
      <c r="F123" s="89" t="s">
        <v>70</v>
      </c>
      <c r="G123" s="89" t="s">
        <v>64</v>
      </c>
      <c r="H123" s="89" t="s">
        <v>65</v>
      </c>
      <c r="I123" s="218" t="s">
        <v>164</v>
      </c>
      <c r="J123" s="89" t="s">
        <v>69</v>
      </c>
      <c r="K123" s="89" t="s">
        <v>68</v>
      </c>
      <c r="L123" s="89" t="s">
        <v>71</v>
      </c>
      <c r="M123" s="89" t="s">
        <v>66</v>
      </c>
      <c r="N123" s="89" t="s">
        <v>63</v>
      </c>
      <c r="O123" s="89" t="s">
        <v>61</v>
      </c>
      <c r="P123" s="89" t="s">
        <v>62</v>
      </c>
      <c r="Q123" s="89" t="s">
        <v>67</v>
      </c>
      <c r="R123" s="89" t="s">
        <v>77</v>
      </c>
      <c r="S123" s="89" t="s">
        <v>80</v>
      </c>
      <c r="T123" s="89" t="s">
        <v>135</v>
      </c>
      <c r="U123" s="89" t="s">
        <v>173</v>
      </c>
      <c r="V123" s="89" t="s">
        <v>222</v>
      </c>
      <c r="W123" s="89" t="s">
        <v>173</v>
      </c>
      <c r="X123" t="s">
        <v>173</v>
      </c>
      <c r="Y123" s="89" t="s">
        <v>135</v>
      </c>
      <c r="Z123" s="89" t="s">
        <v>167</v>
      </c>
    </row>
    <row r="124" spans="1:42" ht="12.75" customHeight="1" x14ac:dyDescent="0.25">
      <c r="E124" t="s">
        <v>72</v>
      </c>
      <c r="F124" s="384">
        <v>0</v>
      </c>
      <c r="G124" s="89">
        <v>0</v>
      </c>
      <c r="H124" s="89">
        <v>0</v>
      </c>
      <c r="I124" s="664">
        <v>0</v>
      </c>
      <c r="J124" s="89">
        <v>0</v>
      </c>
      <c r="K124" s="89">
        <v>0</v>
      </c>
      <c r="L124" s="89">
        <v>0</v>
      </c>
      <c r="M124" s="89">
        <v>0</v>
      </c>
      <c r="N124" s="89">
        <v>0</v>
      </c>
      <c r="O124" s="89">
        <v>0</v>
      </c>
      <c r="P124" s="89">
        <v>0</v>
      </c>
      <c r="Q124" s="89">
        <v>0</v>
      </c>
      <c r="R124" s="89">
        <v>0</v>
      </c>
      <c r="S124" s="89">
        <v>0</v>
      </c>
      <c r="T124" s="89">
        <v>0</v>
      </c>
      <c r="U124" s="89">
        <v>0</v>
      </c>
      <c r="V124" s="89">
        <v>0</v>
      </c>
      <c r="W124" s="89">
        <v>0</v>
      </c>
      <c r="X124">
        <v>0</v>
      </c>
      <c r="Y124" s="89">
        <v>0</v>
      </c>
      <c r="Z124" s="89">
        <v>0</v>
      </c>
    </row>
    <row r="125" spans="1:42" ht="12.75" customHeight="1" x14ac:dyDescent="0.25">
      <c r="D125" t="s">
        <v>156</v>
      </c>
      <c r="E125" t="s">
        <v>70</v>
      </c>
      <c r="F125" s="384">
        <v>0</v>
      </c>
      <c r="G125" s="89">
        <v>0</v>
      </c>
      <c r="H125" s="89">
        <v>0</v>
      </c>
      <c r="I125" s="664">
        <v>0</v>
      </c>
      <c r="J125" s="89">
        <v>0</v>
      </c>
      <c r="K125" s="89">
        <v>0</v>
      </c>
      <c r="L125" s="89">
        <v>0</v>
      </c>
      <c r="M125" s="89">
        <v>0</v>
      </c>
      <c r="N125" s="89">
        <v>0</v>
      </c>
      <c r="O125" s="89">
        <v>0</v>
      </c>
      <c r="P125" s="89">
        <v>0</v>
      </c>
      <c r="Q125" s="89">
        <v>0</v>
      </c>
      <c r="R125" s="89">
        <v>0</v>
      </c>
      <c r="S125" s="89">
        <v>0</v>
      </c>
      <c r="T125" s="89">
        <v>0</v>
      </c>
      <c r="U125" s="89">
        <v>0</v>
      </c>
      <c r="V125" s="89">
        <v>0</v>
      </c>
      <c r="W125" s="89">
        <v>0</v>
      </c>
      <c r="X125">
        <v>0</v>
      </c>
      <c r="Y125" s="89">
        <v>0</v>
      </c>
      <c r="Z125" s="89">
        <v>0</v>
      </c>
    </row>
    <row r="126" spans="1:42" s="656" customFormat="1" ht="12.75" customHeight="1" x14ac:dyDescent="0.25">
      <c r="C126" s="656" t="s">
        <v>155</v>
      </c>
      <c r="D126" s="656" t="s">
        <v>70</v>
      </c>
      <c r="F126" s="736">
        <v>0</v>
      </c>
      <c r="G126" s="657">
        <v>0</v>
      </c>
      <c r="H126" s="657">
        <v>0</v>
      </c>
      <c r="I126" s="737">
        <v>0</v>
      </c>
      <c r="J126" s="657">
        <v>0</v>
      </c>
      <c r="K126" s="657">
        <v>0</v>
      </c>
      <c r="L126" s="657">
        <v>0</v>
      </c>
      <c r="M126" s="657">
        <v>0</v>
      </c>
      <c r="N126" s="657">
        <v>0</v>
      </c>
      <c r="O126" s="657">
        <v>0</v>
      </c>
      <c r="P126" s="657">
        <v>0</v>
      </c>
      <c r="Q126" s="657">
        <v>0</v>
      </c>
      <c r="R126" s="657">
        <v>0</v>
      </c>
      <c r="S126" s="657">
        <v>0</v>
      </c>
      <c r="T126" s="657">
        <v>0</v>
      </c>
      <c r="U126" s="657">
        <v>0</v>
      </c>
      <c r="V126" s="657">
        <v>0</v>
      </c>
      <c r="W126" s="657">
        <v>0</v>
      </c>
      <c r="X126" s="656">
        <v>0</v>
      </c>
      <c r="Y126" s="657">
        <v>0</v>
      </c>
      <c r="Z126" s="657">
        <v>0</v>
      </c>
    </row>
    <row r="127" spans="1:42" x14ac:dyDescent="0.25">
      <c r="E127" t="s">
        <v>72</v>
      </c>
      <c r="F127" s="371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0</v>
      </c>
    </row>
    <row r="128" spans="1:42" x14ac:dyDescent="0.25">
      <c r="D128" t="s">
        <v>115</v>
      </c>
      <c r="E128" t="s">
        <v>70</v>
      </c>
      <c r="F128" s="371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3:26" x14ac:dyDescent="0.25">
      <c r="E129" t="s">
        <v>72</v>
      </c>
      <c r="F129" s="371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3:26" x14ac:dyDescent="0.25">
      <c r="D130" t="s">
        <v>116</v>
      </c>
      <c r="E130" t="s">
        <v>70</v>
      </c>
      <c r="F130" s="371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3:26" x14ac:dyDescent="0.25">
      <c r="E131" t="s">
        <v>72</v>
      </c>
      <c r="F131" s="371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3:26" x14ac:dyDescent="0.25">
      <c r="D132" s="772">
        <v>3</v>
      </c>
      <c r="E132" t="s">
        <v>70</v>
      </c>
      <c r="F132" s="371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3:26" x14ac:dyDescent="0.25">
      <c r="D133" s="772"/>
      <c r="E133" t="s">
        <v>72</v>
      </c>
      <c r="F133" s="371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3:26" x14ac:dyDescent="0.25">
      <c r="D134" s="772">
        <v>4</v>
      </c>
      <c r="E134" t="s">
        <v>70</v>
      </c>
      <c r="F134" s="371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0">
        <v>0</v>
      </c>
      <c r="S134" s="90">
        <v>0</v>
      </c>
      <c r="T134" s="90">
        <v>0</v>
      </c>
      <c r="U134" s="90">
        <v>0</v>
      </c>
      <c r="V134" s="90">
        <v>0</v>
      </c>
      <c r="W134" s="90">
        <v>0</v>
      </c>
      <c r="X134">
        <v>0</v>
      </c>
      <c r="Y134">
        <v>0</v>
      </c>
      <c r="Z134">
        <v>0</v>
      </c>
    </row>
    <row r="135" spans="3:26" x14ac:dyDescent="0.25">
      <c r="E135" t="s">
        <v>72</v>
      </c>
      <c r="F135" s="371">
        <v>0</v>
      </c>
      <c r="G135" s="90">
        <v>0</v>
      </c>
      <c r="H135" s="90">
        <v>0</v>
      </c>
      <c r="I135" s="90">
        <v>0</v>
      </c>
      <c r="J135" s="90">
        <v>0</v>
      </c>
      <c r="K135" s="90">
        <v>0</v>
      </c>
      <c r="L135" s="90">
        <v>0</v>
      </c>
      <c r="M135" s="90">
        <v>0</v>
      </c>
      <c r="N135" s="90">
        <v>0</v>
      </c>
      <c r="O135" s="90">
        <v>0</v>
      </c>
      <c r="P135" s="90">
        <v>0</v>
      </c>
      <c r="Q135" s="90">
        <v>0</v>
      </c>
      <c r="R135" s="90">
        <v>0</v>
      </c>
      <c r="S135" s="90">
        <v>0</v>
      </c>
      <c r="T135" s="90">
        <v>0</v>
      </c>
      <c r="U135" s="90">
        <v>0</v>
      </c>
      <c r="V135" s="90">
        <v>0</v>
      </c>
      <c r="W135" s="90">
        <v>0</v>
      </c>
      <c r="X135">
        <v>0</v>
      </c>
      <c r="Y135">
        <v>0</v>
      </c>
      <c r="Z135">
        <v>0</v>
      </c>
    </row>
    <row r="136" spans="3:26" x14ac:dyDescent="0.25">
      <c r="D136" t="s">
        <v>118</v>
      </c>
      <c r="E136" t="s">
        <v>70</v>
      </c>
      <c r="F136" s="371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3:26" x14ac:dyDescent="0.25">
      <c r="E137" t="s">
        <v>72</v>
      </c>
      <c r="F137" s="371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0">
        <v>0</v>
      </c>
      <c r="S137" s="90">
        <v>0</v>
      </c>
      <c r="T137" s="90">
        <v>0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0</v>
      </c>
    </row>
    <row r="138" spans="3:26" x14ac:dyDescent="0.25">
      <c r="D138" s="772">
        <v>6</v>
      </c>
      <c r="E138" t="s">
        <v>70</v>
      </c>
      <c r="F138" s="371">
        <v>0</v>
      </c>
      <c r="G138" s="90">
        <v>0</v>
      </c>
      <c r="H138" s="90">
        <v>0</v>
      </c>
      <c r="I138" s="90">
        <v>0</v>
      </c>
      <c r="J138" s="90">
        <v>0</v>
      </c>
      <c r="K138" s="90">
        <v>0</v>
      </c>
      <c r="L138" s="90">
        <v>0</v>
      </c>
      <c r="M138" s="90">
        <v>0</v>
      </c>
      <c r="N138" s="90">
        <v>0</v>
      </c>
      <c r="O138" s="90">
        <v>0</v>
      </c>
      <c r="P138" s="90">
        <v>0</v>
      </c>
      <c r="Q138" s="90">
        <v>0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3:26" x14ac:dyDescent="0.25">
      <c r="C139" s="89"/>
      <c r="D139" s="89"/>
      <c r="E139" t="s">
        <v>72</v>
      </c>
      <c r="F139" s="90">
        <v>0</v>
      </c>
      <c r="G139" s="90">
        <v>0</v>
      </c>
      <c r="H139" s="90">
        <v>0</v>
      </c>
      <c r="I139" s="90">
        <v>0</v>
      </c>
      <c r="J139" s="90">
        <v>0</v>
      </c>
      <c r="K139" s="90">
        <v>0</v>
      </c>
      <c r="L139" s="90">
        <v>0</v>
      </c>
      <c r="M139" s="90">
        <v>0</v>
      </c>
      <c r="N139" s="90">
        <v>0</v>
      </c>
      <c r="O139" s="90">
        <v>0</v>
      </c>
      <c r="P139" s="90">
        <v>0</v>
      </c>
      <c r="Q139" s="90">
        <v>0</v>
      </c>
      <c r="R139" s="90">
        <v>0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3:26" x14ac:dyDescent="0.25">
      <c r="D140" s="772">
        <v>9</v>
      </c>
      <c r="E140" t="s">
        <v>70</v>
      </c>
      <c r="F140" s="384">
        <v>0</v>
      </c>
      <c r="G140" s="89">
        <v>0</v>
      </c>
      <c r="H140" s="89">
        <v>0</v>
      </c>
      <c r="I140" s="664">
        <v>0</v>
      </c>
      <c r="J140" s="89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0</v>
      </c>
      <c r="Q140" s="89">
        <v>0</v>
      </c>
      <c r="R140" s="89">
        <v>0</v>
      </c>
      <c r="S140" s="89">
        <v>0</v>
      </c>
      <c r="T140" s="89">
        <v>0</v>
      </c>
      <c r="U140" s="89">
        <v>0</v>
      </c>
      <c r="V140" s="89">
        <v>0</v>
      </c>
      <c r="W140" s="89">
        <v>0</v>
      </c>
      <c r="X140">
        <v>0</v>
      </c>
      <c r="Y140" s="89">
        <v>0</v>
      </c>
      <c r="Z140" s="89">
        <v>0</v>
      </c>
    </row>
    <row r="141" spans="3:26" s="224" customFormat="1" x14ac:dyDescent="0.25">
      <c r="C141" s="223" t="s">
        <v>120</v>
      </c>
      <c r="D141" s="223" t="s">
        <v>70</v>
      </c>
      <c r="F141" s="225">
        <v>0</v>
      </c>
      <c r="G141" s="225">
        <v>0</v>
      </c>
      <c r="H141" s="225">
        <v>0</v>
      </c>
      <c r="I141" s="225">
        <v>0</v>
      </c>
      <c r="J141" s="225">
        <v>0</v>
      </c>
      <c r="K141" s="225">
        <v>0</v>
      </c>
      <c r="L141" s="225">
        <v>0</v>
      </c>
      <c r="M141" s="225">
        <v>0</v>
      </c>
      <c r="N141" s="225">
        <v>0</v>
      </c>
      <c r="O141" s="225">
        <v>0</v>
      </c>
      <c r="P141" s="225">
        <v>0</v>
      </c>
      <c r="Q141" s="225">
        <v>0</v>
      </c>
      <c r="R141" s="225">
        <v>0</v>
      </c>
      <c r="S141" s="225">
        <v>0</v>
      </c>
      <c r="T141" s="225">
        <v>0</v>
      </c>
      <c r="U141" s="225">
        <v>0</v>
      </c>
      <c r="V141" s="225">
        <v>0</v>
      </c>
      <c r="W141" s="225">
        <v>0</v>
      </c>
      <c r="X141" s="224">
        <v>0</v>
      </c>
      <c r="Y141" s="224">
        <v>0</v>
      </c>
      <c r="Z141" s="224">
        <v>0</v>
      </c>
    </row>
    <row r="142" spans="3:26" ht="12.75" customHeight="1" x14ac:dyDescent="0.25">
      <c r="E142" s="89" t="s">
        <v>72</v>
      </c>
      <c r="F142" s="90">
        <v>0</v>
      </c>
      <c r="G142" s="90">
        <v>0</v>
      </c>
      <c r="H142" s="90">
        <v>0</v>
      </c>
      <c r="I142" s="90">
        <v>0</v>
      </c>
      <c r="J142" s="90">
        <v>0</v>
      </c>
      <c r="K142" s="90">
        <v>0</v>
      </c>
      <c r="L142" s="90">
        <v>0</v>
      </c>
      <c r="M142" s="90">
        <v>0</v>
      </c>
      <c r="N142" s="90">
        <v>0</v>
      </c>
      <c r="O142" s="90">
        <v>0</v>
      </c>
      <c r="P142" s="90">
        <v>0</v>
      </c>
      <c r="Q142" s="90">
        <v>0</v>
      </c>
      <c r="R142" s="90">
        <v>0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>
        <v>0</v>
      </c>
      <c r="Y142">
        <v>0</v>
      </c>
      <c r="Z142">
        <v>0</v>
      </c>
    </row>
    <row r="143" spans="3:26" ht="12.75" customHeight="1" x14ac:dyDescent="0.25">
      <c r="D143" t="s">
        <v>82</v>
      </c>
      <c r="E143" s="89" t="s">
        <v>70</v>
      </c>
      <c r="F143" s="371">
        <v>0</v>
      </c>
      <c r="G143" s="90">
        <v>0</v>
      </c>
      <c r="H143" s="90">
        <v>0</v>
      </c>
      <c r="I143" s="90">
        <v>0</v>
      </c>
      <c r="J143" s="90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 s="90">
        <v>0</v>
      </c>
      <c r="S143" s="90">
        <v>0</v>
      </c>
      <c r="T143" s="90">
        <v>0</v>
      </c>
      <c r="U143" s="90">
        <v>0</v>
      </c>
      <c r="V143" s="90">
        <v>0</v>
      </c>
      <c r="W143" s="90">
        <v>0</v>
      </c>
      <c r="X143">
        <v>0</v>
      </c>
      <c r="Y143">
        <v>0</v>
      </c>
      <c r="Z143">
        <v>0</v>
      </c>
    </row>
    <row r="144" spans="3:26" ht="12.75" customHeight="1" x14ac:dyDescent="0.25">
      <c r="E144" s="89" t="s">
        <v>72</v>
      </c>
      <c r="F144" s="371">
        <v>0</v>
      </c>
      <c r="G144" s="90">
        <v>0</v>
      </c>
      <c r="H144" s="90">
        <v>0</v>
      </c>
      <c r="I144" s="90">
        <v>0</v>
      </c>
      <c r="J144" s="90">
        <v>0</v>
      </c>
      <c r="K144" s="90">
        <v>0</v>
      </c>
      <c r="L144" s="90">
        <v>0</v>
      </c>
      <c r="M144" s="90">
        <v>0</v>
      </c>
      <c r="N144" s="90">
        <v>0</v>
      </c>
      <c r="O144" s="90">
        <v>0</v>
      </c>
      <c r="P144" s="90">
        <v>0</v>
      </c>
      <c r="Q144" s="90">
        <v>0</v>
      </c>
      <c r="R144" s="90">
        <v>0</v>
      </c>
      <c r="S144" s="90">
        <v>0</v>
      </c>
      <c r="T144" s="90">
        <v>0</v>
      </c>
      <c r="U144" s="90">
        <v>0</v>
      </c>
      <c r="V144" s="90">
        <v>0</v>
      </c>
      <c r="W144" s="90">
        <v>0</v>
      </c>
      <c r="X144">
        <v>0</v>
      </c>
      <c r="Y144">
        <v>0</v>
      </c>
      <c r="Z144">
        <v>0</v>
      </c>
    </row>
    <row r="145" spans="1:26" ht="12.75" customHeight="1" x14ac:dyDescent="0.25">
      <c r="D145" t="s">
        <v>86</v>
      </c>
      <c r="E145" s="89" t="s">
        <v>70</v>
      </c>
      <c r="F145" s="371">
        <v>0</v>
      </c>
      <c r="G145" s="90">
        <v>0</v>
      </c>
      <c r="H145" s="90">
        <v>0</v>
      </c>
      <c r="I145" s="90">
        <v>0</v>
      </c>
      <c r="J145" s="90">
        <v>0</v>
      </c>
      <c r="K145" s="90">
        <v>0</v>
      </c>
      <c r="L145" s="90">
        <v>0</v>
      </c>
      <c r="M145" s="90">
        <v>0</v>
      </c>
      <c r="N145" s="90">
        <v>0</v>
      </c>
      <c r="O145" s="90">
        <v>0</v>
      </c>
      <c r="P145" s="90">
        <v>0</v>
      </c>
      <c r="Q145" s="90">
        <v>0</v>
      </c>
      <c r="R145" s="90">
        <v>0</v>
      </c>
      <c r="S145" s="90">
        <v>0</v>
      </c>
      <c r="T145" s="90">
        <v>0</v>
      </c>
      <c r="U145" s="90">
        <v>0</v>
      </c>
      <c r="V145" s="90">
        <v>0</v>
      </c>
      <c r="W145" s="90">
        <v>0</v>
      </c>
      <c r="X145">
        <v>0</v>
      </c>
      <c r="Y145">
        <v>0</v>
      </c>
      <c r="Z145">
        <v>0</v>
      </c>
    </row>
    <row r="146" spans="1:26" ht="12.75" customHeight="1" x14ac:dyDescent="0.25">
      <c r="E146" s="89" t="s">
        <v>72</v>
      </c>
      <c r="F146" s="371">
        <v>0</v>
      </c>
      <c r="G146" s="90">
        <v>0</v>
      </c>
      <c r="H146" s="90">
        <v>0</v>
      </c>
      <c r="I146" s="90">
        <v>0</v>
      </c>
      <c r="J146" s="90">
        <v>0</v>
      </c>
      <c r="K146" s="90">
        <v>0</v>
      </c>
      <c r="L146" s="90">
        <v>0</v>
      </c>
      <c r="M146" s="90">
        <v>0</v>
      </c>
      <c r="N146" s="90">
        <v>0</v>
      </c>
      <c r="O146" s="90">
        <v>0</v>
      </c>
      <c r="P146" s="90">
        <v>0</v>
      </c>
      <c r="Q146" s="90">
        <v>0</v>
      </c>
      <c r="R146" s="90">
        <v>0</v>
      </c>
      <c r="S146" s="90">
        <v>0</v>
      </c>
      <c r="T146" s="90">
        <v>0</v>
      </c>
      <c r="U146" s="90">
        <v>0</v>
      </c>
      <c r="V146" s="90">
        <v>0</v>
      </c>
      <c r="W146" s="90">
        <v>0</v>
      </c>
      <c r="X146" s="90">
        <v>0</v>
      </c>
      <c r="Y146" s="90">
        <v>0</v>
      </c>
      <c r="Z146" s="90">
        <v>0</v>
      </c>
    </row>
    <row r="147" spans="1:26" ht="12.75" customHeight="1" x14ac:dyDescent="0.25">
      <c r="D147" t="s">
        <v>87</v>
      </c>
      <c r="E147" s="89" t="s">
        <v>70</v>
      </c>
      <c r="F147" s="371">
        <v>0</v>
      </c>
      <c r="G147" s="90">
        <v>0</v>
      </c>
      <c r="H147" s="90">
        <v>0</v>
      </c>
      <c r="I147" s="90">
        <v>0</v>
      </c>
      <c r="J147" s="90">
        <v>0</v>
      </c>
      <c r="K147" s="90">
        <v>0</v>
      </c>
      <c r="L147" s="90">
        <v>0</v>
      </c>
      <c r="M147" s="90">
        <v>0</v>
      </c>
      <c r="N147" s="90">
        <v>0</v>
      </c>
      <c r="O147" s="90">
        <v>0</v>
      </c>
      <c r="P147" s="90">
        <v>0</v>
      </c>
      <c r="Q147" s="90">
        <v>0</v>
      </c>
      <c r="R147" s="90">
        <v>0</v>
      </c>
      <c r="S147" s="90">
        <v>0</v>
      </c>
      <c r="T147" s="90">
        <v>0</v>
      </c>
      <c r="U147" s="90">
        <v>0</v>
      </c>
      <c r="V147" s="90">
        <v>0</v>
      </c>
      <c r="W147" s="90">
        <v>0</v>
      </c>
      <c r="X147" s="90">
        <v>0</v>
      </c>
      <c r="Y147" s="90">
        <v>0</v>
      </c>
      <c r="Z147" s="90">
        <v>0</v>
      </c>
    </row>
    <row r="148" spans="1:26" s="94" customFormat="1" ht="12.75" customHeight="1" x14ac:dyDescent="0.25">
      <c r="C148" s="94" t="s">
        <v>119</v>
      </c>
      <c r="D148" s="94" t="s">
        <v>70</v>
      </c>
      <c r="E148" s="101"/>
      <c r="F148" s="93">
        <v>0</v>
      </c>
      <c r="G148" s="93">
        <v>0</v>
      </c>
      <c r="H148" s="93">
        <v>0</v>
      </c>
      <c r="I148" s="93">
        <v>0</v>
      </c>
      <c r="J148" s="93">
        <v>0</v>
      </c>
      <c r="K148" s="93">
        <v>0</v>
      </c>
      <c r="L148" s="93">
        <v>0</v>
      </c>
      <c r="M148" s="93">
        <v>0</v>
      </c>
      <c r="N148" s="93">
        <v>0</v>
      </c>
      <c r="O148" s="93">
        <v>0</v>
      </c>
      <c r="P148" s="93">
        <v>0</v>
      </c>
      <c r="Q148" s="93">
        <v>0</v>
      </c>
      <c r="R148" s="93">
        <v>0</v>
      </c>
      <c r="S148" s="93">
        <v>0</v>
      </c>
      <c r="T148" s="93">
        <v>0</v>
      </c>
      <c r="U148" s="93">
        <v>0</v>
      </c>
      <c r="V148" s="93">
        <v>0</v>
      </c>
      <c r="W148" s="93">
        <v>0</v>
      </c>
      <c r="X148" s="94">
        <v>0</v>
      </c>
      <c r="Y148" s="94">
        <v>0</v>
      </c>
      <c r="Z148" s="94">
        <v>0</v>
      </c>
    </row>
    <row r="149" spans="1:26" ht="12.75" customHeight="1" x14ac:dyDescent="0.25">
      <c r="B149" s="89" t="s">
        <v>112</v>
      </c>
      <c r="C149" s="89" t="s">
        <v>70</v>
      </c>
      <c r="F149" s="90">
        <v>0</v>
      </c>
      <c r="G149" s="90">
        <v>0</v>
      </c>
      <c r="H149" s="90">
        <v>0</v>
      </c>
      <c r="I149" s="90">
        <v>0</v>
      </c>
      <c r="J149" s="90">
        <v>0</v>
      </c>
      <c r="K149" s="90">
        <v>0</v>
      </c>
      <c r="L149" s="90">
        <v>0</v>
      </c>
      <c r="M149" s="90">
        <v>0</v>
      </c>
      <c r="N149" s="90">
        <v>0</v>
      </c>
      <c r="O149" s="90">
        <v>0</v>
      </c>
      <c r="P149" s="90">
        <v>0</v>
      </c>
      <c r="Q149" s="90">
        <v>0</v>
      </c>
      <c r="R149" s="90">
        <v>0</v>
      </c>
      <c r="S149" s="90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90">
        <v>0</v>
      </c>
      <c r="Z149">
        <v>0</v>
      </c>
    </row>
    <row r="150" spans="1:26" s="458" customFormat="1" x14ac:dyDescent="0.25">
      <c r="A150" s="458" t="s">
        <v>186</v>
      </c>
      <c r="B150" s="459" t="s">
        <v>70</v>
      </c>
      <c r="C150" s="459"/>
      <c r="F150" s="460">
        <v>0</v>
      </c>
      <c r="G150" s="460">
        <v>0</v>
      </c>
      <c r="H150" s="460">
        <v>0</v>
      </c>
      <c r="I150" s="460">
        <v>0</v>
      </c>
      <c r="J150" s="460">
        <v>0</v>
      </c>
      <c r="K150" s="460">
        <v>0</v>
      </c>
      <c r="L150" s="460">
        <v>0</v>
      </c>
      <c r="M150" s="460">
        <v>0</v>
      </c>
      <c r="N150" s="460">
        <v>0</v>
      </c>
      <c r="O150" s="460">
        <v>0</v>
      </c>
      <c r="P150" s="460">
        <v>0</v>
      </c>
      <c r="Q150" s="460">
        <v>0</v>
      </c>
      <c r="R150" s="460">
        <v>0</v>
      </c>
      <c r="S150" s="460">
        <v>0</v>
      </c>
      <c r="T150" s="460">
        <v>0</v>
      </c>
      <c r="U150" s="460">
        <v>0</v>
      </c>
      <c r="V150" s="460">
        <v>0</v>
      </c>
      <c r="W150" s="460">
        <v>0</v>
      </c>
      <c r="X150" s="460">
        <v>0</v>
      </c>
      <c r="Y150" s="460">
        <v>0</v>
      </c>
      <c r="Z150" s="460">
        <v>0</v>
      </c>
    </row>
    <row r="151" spans="1:26" ht="12.75" customHeight="1" x14ac:dyDescent="0.25">
      <c r="E151" s="89" t="s">
        <v>72</v>
      </c>
      <c r="F151" s="371">
        <v>0</v>
      </c>
      <c r="G151" s="90">
        <v>0</v>
      </c>
      <c r="H151" s="90">
        <v>0</v>
      </c>
      <c r="I151" s="90">
        <v>0</v>
      </c>
      <c r="J151" s="90">
        <v>0</v>
      </c>
      <c r="K151" s="90">
        <v>0</v>
      </c>
      <c r="L151" s="90">
        <v>0</v>
      </c>
      <c r="M151" s="90">
        <v>0</v>
      </c>
      <c r="N151" s="90">
        <v>0</v>
      </c>
      <c r="O151" s="90">
        <v>0</v>
      </c>
      <c r="P151" s="90">
        <v>0</v>
      </c>
      <c r="Q151" s="90">
        <v>0</v>
      </c>
      <c r="R151" s="90">
        <v>0</v>
      </c>
      <c r="S151" s="90">
        <v>0</v>
      </c>
      <c r="T151" s="90">
        <v>0</v>
      </c>
      <c r="U151" s="90">
        <v>0</v>
      </c>
      <c r="V151" s="90">
        <v>0</v>
      </c>
      <c r="W151" s="90">
        <v>0</v>
      </c>
      <c r="X151">
        <v>0</v>
      </c>
      <c r="Y151">
        <v>0</v>
      </c>
      <c r="Z151">
        <v>0</v>
      </c>
    </row>
    <row r="152" spans="1:26" ht="12.75" customHeight="1" x14ac:dyDescent="0.25">
      <c r="E152" s="89" t="s">
        <v>81</v>
      </c>
      <c r="F152" s="371">
        <v>0</v>
      </c>
      <c r="G152" s="90">
        <v>0</v>
      </c>
      <c r="H152" s="90">
        <v>0</v>
      </c>
      <c r="I152" s="90">
        <v>0</v>
      </c>
      <c r="J152" s="90">
        <v>0</v>
      </c>
      <c r="K152" s="90">
        <v>0</v>
      </c>
      <c r="L152" s="90">
        <v>0</v>
      </c>
      <c r="M152" s="90">
        <v>0</v>
      </c>
      <c r="N152" s="90">
        <v>0</v>
      </c>
      <c r="O152" s="90">
        <v>0</v>
      </c>
      <c r="P152" s="90">
        <v>0</v>
      </c>
      <c r="Q152" s="90">
        <v>0</v>
      </c>
      <c r="R152" s="90">
        <v>0</v>
      </c>
      <c r="S152" s="90">
        <v>0</v>
      </c>
      <c r="T152" s="90">
        <v>0</v>
      </c>
      <c r="U152" s="90">
        <v>0</v>
      </c>
      <c r="V152" s="90">
        <v>0</v>
      </c>
      <c r="W152" s="90">
        <v>0</v>
      </c>
      <c r="X152">
        <v>0</v>
      </c>
      <c r="Y152">
        <v>0</v>
      </c>
      <c r="Z152">
        <v>0</v>
      </c>
    </row>
    <row r="153" spans="1:26" ht="12.75" customHeight="1" x14ac:dyDescent="0.25">
      <c r="D153" t="s">
        <v>156</v>
      </c>
      <c r="E153" t="s">
        <v>70</v>
      </c>
      <c r="F153" s="384">
        <v>0</v>
      </c>
      <c r="G153" s="89">
        <v>0</v>
      </c>
      <c r="H153" s="89">
        <v>0</v>
      </c>
      <c r="I153" s="664">
        <v>0</v>
      </c>
      <c r="J153" s="89">
        <v>0</v>
      </c>
      <c r="K153" s="89">
        <v>0</v>
      </c>
      <c r="L153" s="89">
        <v>0</v>
      </c>
      <c r="M153" s="89">
        <v>0</v>
      </c>
      <c r="N153" s="89">
        <v>0</v>
      </c>
      <c r="O153" s="89">
        <v>0</v>
      </c>
      <c r="P153" s="89">
        <v>0</v>
      </c>
      <c r="Q153" s="89">
        <v>0</v>
      </c>
      <c r="R153" s="89">
        <v>0</v>
      </c>
      <c r="S153" s="89">
        <v>0</v>
      </c>
      <c r="T153" s="89">
        <v>0</v>
      </c>
      <c r="U153" s="89">
        <v>0</v>
      </c>
      <c r="V153" s="89">
        <v>0</v>
      </c>
      <c r="W153" s="89">
        <v>0</v>
      </c>
      <c r="X153">
        <v>0</v>
      </c>
      <c r="Y153" s="89">
        <v>0</v>
      </c>
      <c r="Z153" s="89">
        <v>0</v>
      </c>
    </row>
    <row r="154" spans="1:26" s="656" customFormat="1" ht="12.75" customHeight="1" x14ac:dyDescent="0.25">
      <c r="C154" s="656" t="s">
        <v>155</v>
      </c>
      <c r="D154" s="656" t="s">
        <v>70</v>
      </c>
      <c r="F154" s="736">
        <v>0</v>
      </c>
      <c r="G154" s="657">
        <v>0</v>
      </c>
      <c r="H154" s="657">
        <v>0</v>
      </c>
      <c r="I154" s="737">
        <v>0</v>
      </c>
      <c r="J154" s="657">
        <v>0</v>
      </c>
      <c r="K154" s="657">
        <v>0</v>
      </c>
      <c r="L154" s="657">
        <v>0</v>
      </c>
      <c r="M154" s="657">
        <v>0</v>
      </c>
      <c r="N154" s="657">
        <v>0</v>
      </c>
      <c r="O154" s="657">
        <v>0</v>
      </c>
      <c r="P154" s="657">
        <v>0</v>
      </c>
      <c r="Q154" s="657">
        <v>0</v>
      </c>
      <c r="R154" s="657">
        <v>0</v>
      </c>
      <c r="S154" s="657">
        <v>0</v>
      </c>
      <c r="T154" s="657">
        <v>0</v>
      </c>
      <c r="U154" s="657">
        <v>0</v>
      </c>
      <c r="V154" s="657">
        <v>0</v>
      </c>
      <c r="W154" s="657">
        <v>0</v>
      </c>
      <c r="X154" s="656">
        <v>0</v>
      </c>
      <c r="Y154" s="657">
        <v>0</v>
      </c>
      <c r="Z154" s="657">
        <v>0</v>
      </c>
    </row>
    <row r="155" spans="1:26" ht="12.75" customHeight="1" x14ac:dyDescent="0.25">
      <c r="D155" s="89"/>
      <c r="E155" s="89" t="s">
        <v>72</v>
      </c>
      <c r="F155" s="371">
        <v>0</v>
      </c>
      <c r="G155" s="90">
        <v>0</v>
      </c>
      <c r="H155" s="90">
        <v>0</v>
      </c>
      <c r="I155" s="90">
        <v>0</v>
      </c>
      <c r="J155" s="90">
        <v>0</v>
      </c>
      <c r="K155" s="90">
        <v>0</v>
      </c>
      <c r="L155" s="90">
        <v>0</v>
      </c>
      <c r="M155" s="90">
        <v>0</v>
      </c>
      <c r="N155" s="90">
        <v>0</v>
      </c>
      <c r="O155" s="90">
        <v>0</v>
      </c>
      <c r="P155" s="90">
        <v>0</v>
      </c>
      <c r="Q155" s="90">
        <v>0</v>
      </c>
      <c r="R155" s="90">
        <v>0</v>
      </c>
      <c r="S155" s="90">
        <v>0</v>
      </c>
      <c r="T155" s="90">
        <v>0</v>
      </c>
      <c r="U155" s="90">
        <v>0</v>
      </c>
      <c r="V155" s="90">
        <v>0</v>
      </c>
      <c r="W155" s="90">
        <v>0</v>
      </c>
      <c r="X155">
        <v>0</v>
      </c>
      <c r="Y155">
        <v>0</v>
      </c>
      <c r="Z155">
        <v>0</v>
      </c>
    </row>
    <row r="156" spans="1:26" ht="12.75" customHeight="1" x14ac:dyDescent="0.25">
      <c r="D156" s="89"/>
      <c r="E156" s="89" t="s">
        <v>81</v>
      </c>
      <c r="F156" s="371">
        <v>0</v>
      </c>
      <c r="G156" s="90">
        <v>0</v>
      </c>
      <c r="H156" s="90">
        <v>0</v>
      </c>
      <c r="I156" s="90">
        <v>0</v>
      </c>
      <c r="J156" s="90">
        <v>0</v>
      </c>
      <c r="K156" s="90">
        <v>0</v>
      </c>
      <c r="L156" s="90">
        <v>0</v>
      </c>
      <c r="M156" s="90">
        <v>0</v>
      </c>
      <c r="N156" s="90">
        <v>0</v>
      </c>
      <c r="O156" s="90">
        <v>0</v>
      </c>
      <c r="P156" s="90">
        <v>0</v>
      </c>
      <c r="Q156" s="90">
        <v>0</v>
      </c>
      <c r="R156" s="90">
        <v>0</v>
      </c>
      <c r="S156" s="90">
        <v>0</v>
      </c>
      <c r="T156" s="90">
        <v>0</v>
      </c>
      <c r="U156" s="90">
        <v>0</v>
      </c>
      <c r="V156" s="90">
        <v>0</v>
      </c>
      <c r="W156" s="90">
        <v>0</v>
      </c>
      <c r="X156">
        <v>0</v>
      </c>
      <c r="Y156">
        <v>0</v>
      </c>
      <c r="Z156">
        <v>0</v>
      </c>
    </row>
    <row r="157" spans="1:26" ht="12.75" customHeight="1" x14ac:dyDescent="0.25">
      <c r="D157" s="89" t="s">
        <v>115</v>
      </c>
      <c r="E157" s="89" t="s">
        <v>70</v>
      </c>
      <c r="F157" s="371">
        <v>0</v>
      </c>
      <c r="G157" s="90">
        <v>0</v>
      </c>
      <c r="H157" s="90">
        <v>0</v>
      </c>
      <c r="I157" s="90">
        <v>0</v>
      </c>
      <c r="J157" s="90">
        <v>0</v>
      </c>
      <c r="K157" s="90">
        <v>0</v>
      </c>
      <c r="L157" s="90">
        <v>0</v>
      </c>
      <c r="M157" s="90">
        <v>0</v>
      </c>
      <c r="N157" s="90">
        <v>0</v>
      </c>
      <c r="O157" s="90">
        <v>0</v>
      </c>
      <c r="P157" s="90">
        <v>0</v>
      </c>
      <c r="Q157" s="90">
        <v>0</v>
      </c>
      <c r="R157" s="90">
        <v>0</v>
      </c>
      <c r="S157" s="90">
        <v>0</v>
      </c>
      <c r="T157" s="90">
        <v>0</v>
      </c>
      <c r="U157" s="90">
        <v>0</v>
      </c>
      <c r="V157" s="90">
        <v>0</v>
      </c>
      <c r="W157" s="90">
        <v>0</v>
      </c>
      <c r="X157">
        <v>0</v>
      </c>
      <c r="Y157">
        <v>0</v>
      </c>
      <c r="Z157">
        <v>0</v>
      </c>
    </row>
    <row r="158" spans="1:26" ht="12.75" customHeight="1" x14ac:dyDescent="0.25">
      <c r="D158" s="89"/>
      <c r="E158" s="89" t="s">
        <v>72</v>
      </c>
      <c r="F158" s="371">
        <v>0</v>
      </c>
      <c r="G158" s="90">
        <v>0</v>
      </c>
      <c r="H158" s="90">
        <v>0</v>
      </c>
      <c r="I158" s="90">
        <v>0</v>
      </c>
      <c r="J158" s="90">
        <v>0</v>
      </c>
      <c r="K158" s="90">
        <v>0</v>
      </c>
      <c r="L158" s="90">
        <v>0</v>
      </c>
      <c r="M158" s="90">
        <v>0</v>
      </c>
      <c r="N158" s="90">
        <v>0</v>
      </c>
      <c r="O158" s="90">
        <v>0</v>
      </c>
      <c r="P158" s="90">
        <v>0</v>
      </c>
      <c r="Q158" s="90">
        <v>0</v>
      </c>
      <c r="R158" s="90">
        <v>0</v>
      </c>
      <c r="S158" s="90">
        <v>0</v>
      </c>
      <c r="T158" s="90">
        <v>0</v>
      </c>
      <c r="U158" s="90">
        <v>0</v>
      </c>
      <c r="V158" s="90">
        <v>0</v>
      </c>
      <c r="W158" s="90">
        <v>0</v>
      </c>
      <c r="X158">
        <v>0</v>
      </c>
      <c r="Y158">
        <v>0</v>
      </c>
      <c r="Z158">
        <v>0</v>
      </c>
    </row>
    <row r="159" spans="1:26" ht="12.75" customHeight="1" x14ac:dyDescent="0.25">
      <c r="D159" s="89"/>
      <c r="E159" s="89" t="s">
        <v>81</v>
      </c>
      <c r="F159" s="90">
        <v>0</v>
      </c>
      <c r="G159" s="90">
        <v>0</v>
      </c>
      <c r="H159" s="90">
        <v>0</v>
      </c>
      <c r="I159" s="90">
        <v>0</v>
      </c>
      <c r="J159" s="90">
        <v>0</v>
      </c>
      <c r="K159" s="90">
        <v>0</v>
      </c>
      <c r="L159" s="90">
        <v>0</v>
      </c>
      <c r="M159" s="90">
        <v>0</v>
      </c>
      <c r="N159" s="90">
        <v>0</v>
      </c>
      <c r="O159" s="90">
        <v>0</v>
      </c>
      <c r="P159" s="90">
        <v>0</v>
      </c>
      <c r="Q159" s="90">
        <v>0</v>
      </c>
      <c r="R159" s="90">
        <v>0</v>
      </c>
      <c r="S159" s="90">
        <v>0</v>
      </c>
      <c r="T159" s="90">
        <v>0</v>
      </c>
      <c r="U159" s="90">
        <v>0</v>
      </c>
      <c r="V159" s="90">
        <v>0</v>
      </c>
      <c r="W159" s="90">
        <v>0</v>
      </c>
      <c r="X159">
        <v>0</v>
      </c>
      <c r="Y159">
        <v>0</v>
      </c>
      <c r="Z159">
        <v>0</v>
      </c>
    </row>
    <row r="160" spans="1:26" ht="12.75" customHeight="1" x14ac:dyDescent="0.25">
      <c r="D160" t="s">
        <v>116</v>
      </c>
      <c r="E160" s="89" t="s">
        <v>70</v>
      </c>
      <c r="F160" s="90">
        <v>0</v>
      </c>
      <c r="G160" s="90">
        <v>0</v>
      </c>
      <c r="H160" s="90">
        <v>0</v>
      </c>
      <c r="I160" s="90">
        <v>0</v>
      </c>
      <c r="J160" s="90">
        <v>0</v>
      </c>
      <c r="K160" s="90">
        <v>0</v>
      </c>
      <c r="L160" s="90">
        <v>0</v>
      </c>
      <c r="M160" s="90">
        <v>0</v>
      </c>
      <c r="N160" s="90">
        <v>0</v>
      </c>
      <c r="O160" s="90">
        <v>0</v>
      </c>
      <c r="P160" s="90">
        <v>0</v>
      </c>
      <c r="Q160" s="90">
        <v>0</v>
      </c>
      <c r="R160" s="90">
        <v>0</v>
      </c>
      <c r="S160" s="90">
        <v>0</v>
      </c>
      <c r="T160" s="90">
        <v>0</v>
      </c>
      <c r="U160" s="90">
        <v>0</v>
      </c>
      <c r="V160" s="90">
        <v>0</v>
      </c>
      <c r="W160" s="90">
        <v>0</v>
      </c>
      <c r="X160">
        <v>0</v>
      </c>
      <c r="Y160">
        <v>0</v>
      </c>
      <c r="Z160">
        <v>0</v>
      </c>
    </row>
    <row r="161" spans="3:26" ht="12.75" customHeight="1" x14ac:dyDescent="0.25">
      <c r="D161" s="89"/>
      <c r="E161" s="89" t="s">
        <v>72</v>
      </c>
      <c r="F161" s="371">
        <v>0</v>
      </c>
      <c r="G161" s="90">
        <v>0</v>
      </c>
      <c r="H161" s="90">
        <v>0</v>
      </c>
      <c r="I161" s="90">
        <v>0</v>
      </c>
      <c r="J161" s="90">
        <v>0</v>
      </c>
      <c r="K161" s="90">
        <v>0</v>
      </c>
      <c r="L161" s="90">
        <v>0</v>
      </c>
      <c r="M161" s="90">
        <v>0</v>
      </c>
      <c r="N161" s="90">
        <v>0</v>
      </c>
      <c r="O161" s="90">
        <v>0</v>
      </c>
      <c r="P161" s="90">
        <v>0</v>
      </c>
      <c r="Q161" s="90">
        <v>0</v>
      </c>
      <c r="R161" s="90">
        <v>0</v>
      </c>
      <c r="S161" s="90">
        <v>0</v>
      </c>
      <c r="T161" s="90">
        <v>0</v>
      </c>
      <c r="U161" s="90">
        <v>0</v>
      </c>
      <c r="V161" s="90">
        <v>0</v>
      </c>
      <c r="W161" s="90">
        <v>0</v>
      </c>
      <c r="X161">
        <v>0</v>
      </c>
      <c r="Y161">
        <v>0</v>
      </c>
      <c r="Z161">
        <v>0</v>
      </c>
    </row>
    <row r="162" spans="3:26" ht="12.75" customHeight="1" x14ac:dyDescent="0.25">
      <c r="D162" s="89"/>
      <c r="E162" s="89" t="s">
        <v>81</v>
      </c>
      <c r="F162" s="371">
        <v>0</v>
      </c>
      <c r="G162" s="90">
        <v>0</v>
      </c>
      <c r="H162" s="90">
        <v>0</v>
      </c>
      <c r="I162" s="90">
        <v>0</v>
      </c>
      <c r="J162" s="90">
        <v>0</v>
      </c>
      <c r="K162" s="90">
        <v>0</v>
      </c>
      <c r="L162" s="90">
        <v>0</v>
      </c>
      <c r="M162" s="90">
        <v>0</v>
      </c>
      <c r="N162" s="90">
        <v>0</v>
      </c>
      <c r="O162" s="90">
        <v>0</v>
      </c>
      <c r="P162" s="90">
        <v>0</v>
      </c>
      <c r="Q162" s="90">
        <v>0</v>
      </c>
      <c r="R162" s="90">
        <v>0</v>
      </c>
      <c r="S162" s="90">
        <v>0</v>
      </c>
      <c r="T162" s="90">
        <v>0</v>
      </c>
      <c r="U162" s="90">
        <v>0</v>
      </c>
      <c r="V162" s="90">
        <v>0</v>
      </c>
      <c r="W162" s="90">
        <v>0</v>
      </c>
      <c r="X162">
        <v>0</v>
      </c>
      <c r="Y162">
        <v>0</v>
      </c>
      <c r="Z162">
        <v>0</v>
      </c>
    </row>
    <row r="163" spans="3:26" ht="12.75" customHeight="1" x14ac:dyDescent="0.25">
      <c r="D163" s="773">
        <v>3</v>
      </c>
      <c r="E163" s="89" t="s">
        <v>70</v>
      </c>
      <c r="F163" s="371">
        <v>0</v>
      </c>
      <c r="G163" s="90">
        <v>0</v>
      </c>
      <c r="H163" s="90">
        <v>0</v>
      </c>
      <c r="I163" s="90">
        <v>0</v>
      </c>
      <c r="J163" s="90">
        <v>0</v>
      </c>
      <c r="K163" s="90">
        <v>0</v>
      </c>
      <c r="L163" s="90">
        <v>0</v>
      </c>
      <c r="M163" s="90">
        <v>0</v>
      </c>
      <c r="N163" s="90">
        <v>0</v>
      </c>
      <c r="O163" s="90">
        <v>0</v>
      </c>
      <c r="P163" s="90">
        <v>0</v>
      </c>
      <c r="Q163" s="90">
        <v>0</v>
      </c>
      <c r="R163" s="90">
        <v>0</v>
      </c>
      <c r="S163" s="90">
        <v>0</v>
      </c>
      <c r="T163" s="90">
        <v>0</v>
      </c>
      <c r="U163" s="90">
        <v>0</v>
      </c>
      <c r="V163" s="90">
        <v>0</v>
      </c>
      <c r="W163" s="90">
        <v>0</v>
      </c>
      <c r="X163">
        <v>0</v>
      </c>
      <c r="Y163">
        <v>0</v>
      </c>
      <c r="Z163">
        <v>0</v>
      </c>
    </row>
    <row r="164" spans="3:26" ht="12.75" customHeight="1" x14ac:dyDescent="0.25">
      <c r="D164" s="89"/>
      <c r="E164" s="89" t="s">
        <v>72</v>
      </c>
      <c r="F164" s="371">
        <v>0</v>
      </c>
      <c r="G164" s="90">
        <v>0</v>
      </c>
      <c r="H164" s="90">
        <v>0</v>
      </c>
      <c r="I164" s="90">
        <v>0</v>
      </c>
      <c r="J164" s="90">
        <v>0</v>
      </c>
      <c r="K164" s="90">
        <v>0</v>
      </c>
      <c r="L164" s="90">
        <v>0</v>
      </c>
      <c r="M164" s="90">
        <v>0</v>
      </c>
      <c r="N164" s="90">
        <v>0</v>
      </c>
      <c r="O164" s="90">
        <v>0</v>
      </c>
      <c r="P164" s="90">
        <v>0</v>
      </c>
      <c r="Q164" s="90">
        <v>0</v>
      </c>
      <c r="R164" s="90">
        <v>0</v>
      </c>
      <c r="S164" s="90">
        <v>0</v>
      </c>
      <c r="T164" s="90">
        <v>0</v>
      </c>
      <c r="U164" s="90">
        <v>0</v>
      </c>
      <c r="V164" s="90">
        <v>0</v>
      </c>
      <c r="W164" s="90">
        <v>0</v>
      </c>
      <c r="X164">
        <v>0</v>
      </c>
      <c r="Y164">
        <v>0</v>
      </c>
      <c r="Z164">
        <v>0</v>
      </c>
    </row>
    <row r="165" spans="3:26" ht="12.75" customHeight="1" x14ac:dyDescent="0.25">
      <c r="D165" s="89"/>
      <c r="E165" s="89" t="s">
        <v>81</v>
      </c>
      <c r="F165" s="371">
        <v>0</v>
      </c>
      <c r="G165" s="90">
        <v>0</v>
      </c>
      <c r="H165" s="90">
        <v>0</v>
      </c>
      <c r="I165" s="90">
        <v>0</v>
      </c>
      <c r="J165" s="90">
        <v>0</v>
      </c>
      <c r="K165" s="90">
        <v>0</v>
      </c>
      <c r="L165" s="90">
        <v>0</v>
      </c>
      <c r="M165" s="90">
        <v>0</v>
      </c>
      <c r="N165" s="90">
        <v>0</v>
      </c>
      <c r="O165" s="90">
        <v>0</v>
      </c>
      <c r="P165" s="90">
        <v>0</v>
      </c>
      <c r="Q165" s="90">
        <v>0</v>
      </c>
      <c r="R165" s="90">
        <v>0</v>
      </c>
      <c r="S165" s="90">
        <v>0</v>
      </c>
      <c r="T165" s="90">
        <v>0</v>
      </c>
      <c r="U165" s="90">
        <v>0</v>
      </c>
      <c r="V165" s="90">
        <v>0</v>
      </c>
      <c r="W165" s="90">
        <v>0</v>
      </c>
      <c r="X165">
        <v>0</v>
      </c>
      <c r="Y165">
        <v>0</v>
      </c>
      <c r="Z165">
        <v>0</v>
      </c>
    </row>
    <row r="166" spans="3:26" ht="12.75" customHeight="1" x14ac:dyDescent="0.25">
      <c r="D166" s="773">
        <v>4</v>
      </c>
      <c r="E166" s="89" t="s">
        <v>70</v>
      </c>
      <c r="F166" s="371">
        <v>0</v>
      </c>
      <c r="G166" s="90">
        <v>0</v>
      </c>
      <c r="H166" s="90">
        <v>0</v>
      </c>
      <c r="I166" s="90">
        <v>0</v>
      </c>
      <c r="J166" s="90">
        <v>0</v>
      </c>
      <c r="K166" s="90">
        <v>0</v>
      </c>
      <c r="L166" s="90">
        <v>0</v>
      </c>
      <c r="M166" s="90">
        <v>0</v>
      </c>
      <c r="N166" s="90">
        <v>0</v>
      </c>
      <c r="O166" s="90">
        <v>0</v>
      </c>
      <c r="P166" s="90">
        <v>0</v>
      </c>
      <c r="Q166" s="90">
        <v>0</v>
      </c>
      <c r="R166" s="90">
        <v>0</v>
      </c>
      <c r="S166" s="90">
        <v>0</v>
      </c>
      <c r="T166" s="90">
        <v>0</v>
      </c>
      <c r="U166" s="90">
        <v>0</v>
      </c>
      <c r="V166" s="90">
        <v>0</v>
      </c>
      <c r="W166" s="90">
        <v>0</v>
      </c>
      <c r="X166">
        <v>0</v>
      </c>
      <c r="Y166">
        <v>0</v>
      </c>
      <c r="Z166">
        <v>0</v>
      </c>
    </row>
    <row r="167" spans="3:26" ht="12.75" customHeight="1" x14ac:dyDescent="0.25">
      <c r="D167" s="89"/>
      <c r="E167" s="89" t="s">
        <v>72</v>
      </c>
      <c r="F167" s="371">
        <v>0</v>
      </c>
      <c r="G167" s="90">
        <v>0</v>
      </c>
      <c r="H167" s="90">
        <v>0</v>
      </c>
      <c r="I167" s="90">
        <v>0</v>
      </c>
      <c r="J167" s="90">
        <v>0</v>
      </c>
      <c r="K167" s="90">
        <v>0</v>
      </c>
      <c r="L167" s="90">
        <v>0</v>
      </c>
      <c r="M167" s="90">
        <v>0</v>
      </c>
      <c r="N167" s="90">
        <v>0</v>
      </c>
      <c r="O167" s="90">
        <v>0</v>
      </c>
      <c r="P167" s="90">
        <v>0</v>
      </c>
      <c r="Q167" s="90">
        <v>0</v>
      </c>
      <c r="R167" s="90">
        <v>0</v>
      </c>
      <c r="S167" s="90">
        <v>0</v>
      </c>
      <c r="T167" s="90">
        <v>0</v>
      </c>
      <c r="U167" s="90">
        <v>0</v>
      </c>
      <c r="V167" s="90">
        <v>0</v>
      </c>
      <c r="W167" s="90">
        <v>0</v>
      </c>
      <c r="X167">
        <v>0</v>
      </c>
      <c r="Y167">
        <v>0</v>
      </c>
      <c r="Z167">
        <v>0</v>
      </c>
    </row>
    <row r="168" spans="3:26" ht="12.75" customHeight="1" x14ac:dyDescent="0.25">
      <c r="D168" s="89"/>
      <c r="E168" s="89" t="s">
        <v>81</v>
      </c>
      <c r="F168" s="90">
        <v>0</v>
      </c>
      <c r="G168" s="90">
        <v>0</v>
      </c>
      <c r="H168" s="90">
        <v>0</v>
      </c>
      <c r="I168" s="90">
        <v>0</v>
      </c>
      <c r="J168" s="90">
        <v>0</v>
      </c>
      <c r="K168" s="90">
        <v>0</v>
      </c>
      <c r="L168" s="90">
        <v>0</v>
      </c>
      <c r="M168" s="90">
        <v>0</v>
      </c>
      <c r="N168" s="90">
        <v>0</v>
      </c>
      <c r="O168" s="90">
        <v>0</v>
      </c>
      <c r="P168" s="90">
        <v>0</v>
      </c>
      <c r="Q168" s="90">
        <v>0</v>
      </c>
      <c r="R168" s="90">
        <v>0</v>
      </c>
      <c r="S168" s="90">
        <v>0</v>
      </c>
      <c r="T168" s="90">
        <v>0</v>
      </c>
      <c r="U168" s="90">
        <v>0</v>
      </c>
      <c r="V168" s="90">
        <v>0</v>
      </c>
      <c r="W168" s="90">
        <v>0</v>
      </c>
      <c r="X168">
        <v>0</v>
      </c>
      <c r="Y168">
        <v>0</v>
      </c>
      <c r="Z168">
        <v>0</v>
      </c>
    </row>
    <row r="169" spans="3:26" ht="12.75" customHeight="1" x14ac:dyDescent="0.25">
      <c r="D169" t="s">
        <v>118</v>
      </c>
      <c r="E169" s="89" t="s">
        <v>70</v>
      </c>
      <c r="F169" s="90">
        <v>0</v>
      </c>
      <c r="G169" s="90">
        <v>0</v>
      </c>
      <c r="H169" s="90">
        <v>0</v>
      </c>
      <c r="I169" s="90">
        <v>0</v>
      </c>
      <c r="J169" s="90">
        <v>0</v>
      </c>
      <c r="K169" s="90">
        <v>0</v>
      </c>
      <c r="L169" s="90">
        <v>0</v>
      </c>
      <c r="M169" s="90">
        <v>0</v>
      </c>
      <c r="N169" s="90">
        <v>0</v>
      </c>
      <c r="O169" s="90">
        <v>0</v>
      </c>
      <c r="P169" s="90">
        <v>0</v>
      </c>
      <c r="Q169" s="90">
        <v>0</v>
      </c>
      <c r="R169" s="90">
        <v>0</v>
      </c>
      <c r="S169" s="90">
        <v>0</v>
      </c>
      <c r="T169" s="90">
        <v>0</v>
      </c>
      <c r="U169" s="90">
        <v>0</v>
      </c>
      <c r="V169" s="90">
        <v>0</v>
      </c>
      <c r="W169" s="90">
        <v>0</v>
      </c>
      <c r="X169">
        <v>0</v>
      </c>
      <c r="Y169">
        <v>0</v>
      </c>
      <c r="Z169">
        <v>0</v>
      </c>
    </row>
    <row r="170" spans="3:26" ht="12.75" customHeight="1" x14ac:dyDescent="0.25">
      <c r="D170" s="89"/>
      <c r="E170" s="89" t="s">
        <v>72</v>
      </c>
      <c r="F170" s="371">
        <v>0</v>
      </c>
      <c r="G170" s="90">
        <v>0</v>
      </c>
      <c r="H170" s="90">
        <v>0</v>
      </c>
      <c r="I170" s="90">
        <v>0</v>
      </c>
      <c r="J170" s="90">
        <v>0</v>
      </c>
      <c r="K170" s="90">
        <v>0</v>
      </c>
      <c r="L170" s="90">
        <v>0</v>
      </c>
      <c r="M170" s="90">
        <v>0</v>
      </c>
      <c r="N170" s="90">
        <v>0</v>
      </c>
      <c r="O170" s="90">
        <v>0</v>
      </c>
      <c r="P170" s="90">
        <v>0</v>
      </c>
      <c r="Q170" s="90">
        <v>0</v>
      </c>
      <c r="R170" s="90">
        <v>0</v>
      </c>
      <c r="S170" s="90">
        <v>0</v>
      </c>
      <c r="T170" s="90">
        <v>0</v>
      </c>
      <c r="U170" s="90">
        <v>0</v>
      </c>
      <c r="V170" s="90">
        <v>0</v>
      </c>
      <c r="W170" s="90">
        <v>0</v>
      </c>
      <c r="X170">
        <v>0</v>
      </c>
      <c r="Y170">
        <v>0</v>
      </c>
      <c r="Z170">
        <v>0</v>
      </c>
    </row>
    <row r="171" spans="3:26" ht="12.75" customHeight="1" x14ac:dyDescent="0.25">
      <c r="D171" s="89"/>
      <c r="E171" s="89" t="s">
        <v>81</v>
      </c>
      <c r="F171" s="90">
        <v>0</v>
      </c>
      <c r="G171" s="90">
        <v>0</v>
      </c>
      <c r="H171" s="90">
        <v>0</v>
      </c>
      <c r="I171" s="90">
        <v>0</v>
      </c>
      <c r="J171" s="90">
        <v>0</v>
      </c>
      <c r="K171" s="90">
        <v>0</v>
      </c>
      <c r="L171" s="90">
        <v>0</v>
      </c>
      <c r="M171" s="90">
        <v>0</v>
      </c>
      <c r="N171" s="90">
        <v>0</v>
      </c>
      <c r="O171" s="90">
        <v>0</v>
      </c>
      <c r="P171" s="90">
        <v>0</v>
      </c>
      <c r="Q171" s="90">
        <v>0</v>
      </c>
      <c r="R171" s="90">
        <v>0</v>
      </c>
      <c r="S171" s="90">
        <v>0</v>
      </c>
      <c r="T171" s="90">
        <v>0</v>
      </c>
      <c r="U171" s="90">
        <v>0</v>
      </c>
      <c r="V171" s="90">
        <v>0</v>
      </c>
      <c r="W171" s="90">
        <v>0</v>
      </c>
      <c r="X171">
        <v>0</v>
      </c>
      <c r="Y171">
        <v>0</v>
      </c>
      <c r="Z171">
        <v>0</v>
      </c>
    </row>
    <row r="172" spans="3:26" ht="12.75" customHeight="1" x14ac:dyDescent="0.25">
      <c r="D172" s="772">
        <v>6</v>
      </c>
      <c r="E172" s="89" t="s">
        <v>70</v>
      </c>
      <c r="F172" s="90">
        <v>0</v>
      </c>
      <c r="G172" s="90">
        <v>0</v>
      </c>
      <c r="H172" s="90">
        <v>0</v>
      </c>
      <c r="I172" s="90">
        <v>0</v>
      </c>
      <c r="J172" s="90">
        <v>0</v>
      </c>
      <c r="K172" s="90">
        <v>0</v>
      </c>
      <c r="L172" s="90">
        <v>0</v>
      </c>
      <c r="M172" s="90">
        <v>0</v>
      </c>
      <c r="N172" s="90">
        <v>0</v>
      </c>
      <c r="O172" s="90">
        <v>0</v>
      </c>
      <c r="P172" s="90">
        <v>0</v>
      </c>
      <c r="Q172" s="90">
        <v>0</v>
      </c>
      <c r="R172" s="90">
        <v>0</v>
      </c>
      <c r="S172" s="90">
        <v>0</v>
      </c>
      <c r="T172" s="90">
        <v>0</v>
      </c>
      <c r="U172" s="90">
        <v>0</v>
      </c>
      <c r="V172" s="90">
        <v>0</v>
      </c>
      <c r="W172" s="90">
        <v>0</v>
      </c>
      <c r="X172">
        <v>0</v>
      </c>
      <c r="Y172">
        <v>0</v>
      </c>
      <c r="Z172">
        <v>0</v>
      </c>
    </row>
    <row r="173" spans="3:26" ht="12.75" customHeight="1" x14ac:dyDescent="0.25">
      <c r="D173" s="89"/>
      <c r="E173" s="89" t="s">
        <v>72</v>
      </c>
      <c r="F173" s="90">
        <v>0</v>
      </c>
      <c r="G173" s="90">
        <v>0</v>
      </c>
      <c r="H173" s="90">
        <v>0</v>
      </c>
      <c r="I173" s="90">
        <v>0</v>
      </c>
      <c r="J173" s="90">
        <v>0</v>
      </c>
      <c r="K173" s="90">
        <v>0</v>
      </c>
      <c r="L173" s="90">
        <v>0</v>
      </c>
      <c r="M173" s="90">
        <v>0</v>
      </c>
      <c r="N173" s="90">
        <v>0</v>
      </c>
      <c r="O173" s="90">
        <v>0</v>
      </c>
      <c r="P173" s="90">
        <v>0</v>
      </c>
      <c r="Q173" s="90">
        <v>0</v>
      </c>
      <c r="R173" s="90">
        <v>0</v>
      </c>
      <c r="S173" s="90">
        <v>0</v>
      </c>
      <c r="T173" s="90">
        <v>0</v>
      </c>
      <c r="U173" s="90">
        <v>0</v>
      </c>
      <c r="V173" s="90">
        <v>0</v>
      </c>
      <c r="W173" s="90">
        <v>0</v>
      </c>
      <c r="X173">
        <v>0</v>
      </c>
      <c r="Y173">
        <v>0</v>
      </c>
      <c r="Z173">
        <v>0</v>
      </c>
    </row>
    <row r="174" spans="3:26" ht="12.75" customHeight="1" x14ac:dyDescent="0.25">
      <c r="E174" s="89" t="s">
        <v>81</v>
      </c>
      <c r="F174" s="90">
        <v>0</v>
      </c>
      <c r="G174" s="90">
        <v>0</v>
      </c>
      <c r="H174" s="90">
        <v>0</v>
      </c>
      <c r="I174" s="90">
        <v>0</v>
      </c>
      <c r="J174" s="90">
        <v>0</v>
      </c>
      <c r="K174" s="90">
        <v>0</v>
      </c>
      <c r="L174" s="90">
        <v>0</v>
      </c>
      <c r="M174" s="90">
        <v>0</v>
      </c>
      <c r="N174" s="90">
        <v>0</v>
      </c>
      <c r="O174" s="90">
        <v>0</v>
      </c>
      <c r="P174" s="90">
        <v>0</v>
      </c>
      <c r="Q174" s="90">
        <v>0</v>
      </c>
      <c r="R174" s="90">
        <v>0</v>
      </c>
      <c r="S174" s="90">
        <v>0</v>
      </c>
      <c r="T174" s="90">
        <v>0</v>
      </c>
      <c r="U174" s="90">
        <v>0</v>
      </c>
      <c r="V174" s="90">
        <v>0</v>
      </c>
      <c r="W174" s="90">
        <v>0</v>
      </c>
      <c r="X174">
        <v>0</v>
      </c>
      <c r="Y174">
        <v>0</v>
      </c>
      <c r="Z174">
        <v>0</v>
      </c>
    </row>
    <row r="175" spans="3:26" ht="12.75" customHeight="1" x14ac:dyDescent="0.25">
      <c r="D175" s="772">
        <v>9</v>
      </c>
      <c r="E175" s="89" t="s">
        <v>70</v>
      </c>
      <c r="F175" s="90">
        <v>0</v>
      </c>
      <c r="G175" s="90">
        <v>0</v>
      </c>
      <c r="H175" s="90">
        <v>0</v>
      </c>
      <c r="I175" s="90">
        <v>0</v>
      </c>
      <c r="J175" s="90">
        <v>0</v>
      </c>
      <c r="K175" s="90">
        <v>0</v>
      </c>
      <c r="L175" s="90">
        <v>0</v>
      </c>
      <c r="M175" s="90">
        <v>0</v>
      </c>
      <c r="N175" s="90">
        <v>0</v>
      </c>
      <c r="O175" s="90">
        <v>0</v>
      </c>
      <c r="P175" s="90">
        <v>0</v>
      </c>
      <c r="Q175" s="90">
        <v>0</v>
      </c>
      <c r="R175" s="90">
        <v>0</v>
      </c>
      <c r="S175" s="90">
        <v>0</v>
      </c>
      <c r="T175" s="90">
        <v>0</v>
      </c>
      <c r="U175" s="90">
        <v>0</v>
      </c>
      <c r="V175" s="90">
        <v>0</v>
      </c>
      <c r="W175" s="90">
        <v>0</v>
      </c>
      <c r="X175">
        <v>0</v>
      </c>
      <c r="Y175">
        <v>0</v>
      </c>
      <c r="Z175">
        <v>0</v>
      </c>
    </row>
    <row r="176" spans="3:26" s="224" customFormat="1" ht="12.75" customHeight="1" x14ac:dyDescent="0.25">
      <c r="C176" s="223" t="s">
        <v>120</v>
      </c>
      <c r="D176" s="223" t="s">
        <v>70</v>
      </c>
      <c r="F176" s="225">
        <v>0</v>
      </c>
      <c r="G176" s="225">
        <v>0</v>
      </c>
      <c r="H176" s="225">
        <v>0</v>
      </c>
      <c r="I176" s="225">
        <v>0</v>
      </c>
      <c r="J176" s="225">
        <v>0</v>
      </c>
      <c r="K176" s="225">
        <v>0</v>
      </c>
      <c r="L176" s="225">
        <v>0</v>
      </c>
      <c r="M176" s="225">
        <v>0</v>
      </c>
      <c r="N176" s="225">
        <v>0</v>
      </c>
      <c r="O176" s="225">
        <v>0</v>
      </c>
      <c r="P176" s="225">
        <v>0</v>
      </c>
      <c r="Q176" s="225">
        <v>0</v>
      </c>
      <c r="R176" s="225">
        <v>0</v>
      </c>
      <c r="S176" s="225">
        <v>0</v>
      </c>
      <c r="T176" s="224">
        <v>0</v>
      </c>
      <c r="U176" s="224">
        <v>0</v>
      </c>
      <c r="V176" s="224">
        <v>0</v>
      </c>
      <c r="W176" s="224">
        <v>0</v>
      </c>
      <c r="X176" s="224">
        <v>0</v>
      </c>
      <c r="Y176" s="225">
        <v>0</v>
      </c>
      <c r="Z176" s="224">
        <v>0</v>
      </c>
    </row>
    <row r="177" spans="2:26" ht="12.75" customHeight="1" x14ac:dyDescent="0.25">
      <c r="E177" s="89" t="s">
        <v>72</v>
      </c>
      <c r="F177" s="371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 s="90">
        <v>0</v>
      </c>
      <c r="S177" s="90">
        <v>0</v>
      </c>
      <c r="T177" s="90">
        <v>0</v>
      </c>
      <c r="U177" s="90">
        <v>0</v>
      </c>
      <c r="V177" s="90">
        <v>0</v>
      </c>
      <c r="W177" s="90">
        <v>0</v>
      </c>
      <c r="X177">
        <v>0</v>
      </c>
      <c r="Y177">
        <v>0</v>
      </c>
      <c r="Z177">
        <v>0</v>
      </c>
    </row>
    <row r="178" spans="2:26" ht="12.75" customHeight="1" x14ac:dyDescent="0.25">
      <c r="E178" s="89" t="s">
        <v>81</v>
      </c>
      <c r="F178" s="371">
        <v>0</v>
      </c>
      <c r="G178" s="90">
        <v>0</v>
      </c>
      <c r="H178" s="90">
        <v>0</v>
      </c>
      <c r="I178" s="90">
        <v>0</v>
      </c>
      <c r="J178" s="90">
        <v>0</v>
      </c>
      <c r="K178" s="90">
        <v>0</v>
      </c>
      <c r="L178" s="90">
        <v>0</v>
      </c>
      <c r="M178" s="90">
        <v>0</v>
      </c>
      <c r="N178" s="90">
        <v>0</v>
      </c>
      <c r="O178" s="90">
        <v>0</v>
      </c>
      <c r="P178" s="90">
        <v>0</v>
      </c>
      <c r="Q178" s="90">
        <v>0</v>
      </c>
      <c r="R178" s="90">
        <v>0</v>
      </c>
      <c r="S178" s="90">
        <v>0</v>
      </c>
      <c r="T178" s="90">
        <v>0</v>
      </c>
      <c r="U178" s="90">
        <v>0</v>
      </c>
      <c r="V178" s="90">
        <v>0</v>
      </c>
      <c r="W178" s="90">
        <v>0</v>
      </c>
      <c r="X178">
        <v>0</v>
      </c>
      <c r="Y178">
        <v>0</v>
      </c>
      <c r="Z178">
        <v>0</v>
      </c>
    </row>
    <row r="179" spans="2:26" ht="12.75" customHeight="1" x14ac:dyDescent="0.25">
      <c r="D179" t="s">
        <v>82</v>
      </c>
      <c r="E179" s="89" t="s">
        <v>70</v>
      </c>
      <c r="F179" s="371">
        <v>0</v>
      </c>
      <c r="G179" s="90">
        <v>0</v>
      </c>
      <c r="H179" s="90">
        <v>0</v>
      </c>
      <c r="I179" s="90">
        <v>0</v>
      </c>
      <c r="J179" s="90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0">
        <v>0</v>
      </c>
      <c r="S179" s="90">
        <v>0</v>
      </c>
      <c r="T179" s="90">
        <v>0</v>
      </c>
      <c r="U179" s="90">
        <v>0</v>
      </c>
      <c r="V179" s="90">
        <v>0</v>
      </c>
      <c r="W179" s="90">
        <v>0</v>
      </c>
      <c r="X179">
        <v>0</v>
      </c>
      <c r="Y179">
        <v>0</v>
      </c>
      <c r="Z179">
        <v>0</v>
      </c>
    </row>
    <row r="180" spans="2:26" ht="12.75" customHeight="1" x14ac:dyDescent="0.25">
      <c r="E180" s="89" t="s">
        <v>72</v>
      </c>
      <c r="F180" s="371">
        <v>0</v>
      </c>
      <c r="G180" s="90">
        <v>0</v>
      </c>
      <c r="H180" s="90">
        <v>0</v>
      </c>
      <c r="I180" s="90">
        <v>0</v>
      </c>
      <c r="J180" s="90">
        <v>0</v>
      </c>
      <c r="K180" s="90">
        <v>0</v>
      </c>
      <c r="L180" s="90">
        <v>0</v>
      </c>
      <c r="M180" s="90">
        <v>0</v>
      </c>
      <c r="N180" s="90">
        <v>0</v>
      </c>
      <c r="O180" s="90">
        <v>0</v>
      </c>
      <c r="P180" s="90">
        <v>0</v>
      </c>
      <c r="Q180" s="90">
        <v>0</v>
      </c>
      <c r="R180" s="90">
        <v>0</v>
      </c>
      <c r="S180" s="90">
        <v>0</v>
      </c>
      <c r="T180" s="90">
        <v>0</v>
      </c>
      <c r="U180" s="90">
        <v>0</v>
      </c>
      <c r="V180" s="90">
        <v>0</v>
      </c>
      <c r="W180" s="90">
        <v>0</v>
      </c>
      <c r="X180">
        <v>0</v>
      </c>
      <c r="Y180">
        <v>0</v>
      </c>
      <c r="Z180">
        <v>0</v>
      </c>
    </row>
    <row r="181" spans="2:26" ht="12.75" customHeight="1" x14ac:dyDescent="0.25">
      <c r="E181" s="89" t="s">
        <v>81</v>
      </c>
      <c r="F181" s="371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 s="90">
        <v>0</v>
      </c>
      <c r="S181" s="90">
        <v>0</v>
      </c>
      <c r="T181" s="90">
        <v>0</v>
      </c>
      <c r="U181" s="90">
        <v>0</v>
      </c>
      <c r="V181" s="90">
        <v>0</v>
      </c>
      <c r="W181" s="90">
        <v>0</v>
      </c>
      <c r="X181">
        <v>0</v>
      </c>
      <c r="Y181">
        <v>0</v>
      </c>
      <c r="Z181">
        <v>0</v>
      </c>
    </row>
    <row r="182" spans="2:26" ht="12.75" customHeight="1" x14ac:dyDescent="0.25">
      <c r="D182" t="s">
        <v>86</v>
      </c>
      <c r="E182" s="89" t="s">
        <v>70</v>
      </c>
      <c r="F182" s="371">
        <v>0</v>
      </c>
      <c r="G182" s="90">
        <v>0</v>
      </c>
      <c r="H182" s="90">
        <v>0</v>
      </c>
      <c r="I182" s="90">
        <v>0</v>
      </c>
      <c r="J182" s="90">
        <v>0</v>
      </c>
      <c r="K182" s="90">
        <v>0</v>
      </c>
      <c r="L182" s="90">
        <v>0</v>
      </c>
      <c r="M182" s="90">
        <v>0</v>
      </c>
      <c r="N182" s="90">
        <v>0</v>
      </c>
      <c r="O182" s="90">
        <v>0</v>
      </c>
      <c r="P182" s="90">
        <v>0</v>
      </c>
      <c r="Q182" s="90">
        <v>0</v>
      </c>
      <c r="R182" s="90">
        <v>0</v>
      </c>
      <c r="S182" s="90">
        <v>0</v>
      </c>
      <c r="T182" s="90">
        <v>0</v>
      </c>
      <c r="U182" s="90">
        <v>0</v>
      </c>
      <c r="V182" s="90">
        <v>0</v>
      </c>
      <c r="W182" s="90">
        <v>0</v>
      </c>
      <c r="X182">
        <v>0</v>
      </c>
      <c r="Y182">
        <v>0</v>
      </c>
      <c r="Z182">
        <v>0</v>
      </c>
    </row>
    <row r="183" spans="2:26" ht="12.75" customHeight="1" x14ac:dyDescent="0.25">
      <c r="E183" s="89" t="s">
        <v>72</v>
      </c>
      <c r="F183" s="371">
        <v>0</v>
      </c>
      <c r="G183" s="90">
        <v>0</v>
      </c>
      <c r="H183" s="90">
        <v>0</v>
      </c>
      <c r="I183" s="90">
        <v>0</v>
      </c>
      <c r="J183" s="90">
        <v>0</v>
      </c>
      <c r="K183" s="90">
        <v>0</v>
      </c>
      <c r="L183" s="90">
        <v>0</v>
      </c>
      <c r="M183" s="90">
        <v>0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 s="90">
        <v>0</v>
      </c>
      <c r="Y183" s="90">
        <v>0</v>
      </c>
      <c r="Z183" s="90">
        <v>0</v>
      </c>
    </row>
    <row r="184" spans="2:26" x14ac:dyDescent="0.25">
      <c r="E184" t="s">
        <v>81</v>
      </c>
      <c r="F184" s="90">
        <v>0</v>
      </c>
      <c r="G184" s="90">
        <v>0</v>
      </c>
      <c r="H184" s="90">
        <v>0</v>
      </c>
      <c r="I184" s="90">
        <v>0</v>
      </c>
      <c r="J184" s="90">
        <v>0</v>
      </c>
      <c r="K184" s="90">
        <v>0</v>
      </c>
      <c r="L184" s="90">
        <v>0</v>
      </c>
      <c r="M184" s="90">
        <v>0</v>
      </c>
      <c r="N184" s="90">
        <v>0</v>
      </c>
      <c r="O184" s="90">
        <v>0</v>
      </c>
      <c r="P184" s="90">
        <v>0</v>
      </c>
      <c r="Q184" s="90">
        <v>0</v>
      </c>
      <c r="R184" s="90">
        <v>0</v>
      </c>
      <c r="S184" s="90">
        <v>0</v>
      </c>
      <c r="T184" s="90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 s="90">
        <v>0</v>
      </c>
    </row>
    <row r="185" spans="2:26" ht="12.75" customHeight="1" x14ac:dyDescent="0.25">
      <c r="D185" t="s">
        <v>87</v>
      </c>
      <c r="E185" s="89" t="s">
        <v>70</v>
      </c>
      <c r="F185" s="371">
        <v>0</v>
      </c>
      <c r="G185" s="90">
        <v>0</v>
      </c>
      <c r="H185" s="90">
        <v>0</v>
      </c>
      <c r="I185" s="90">
        <v>0</v>
      </c>
      <c r="J185" s="90">
        <v>0</v>
      </c>
      <c r="K185" s="90">
        <v>0</v>
      </c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  <c r="R185" s="90">
        <v>0</v>
      </c>
      <c r="S185" s="90">
        <v>0</v>
      </c>
      <c r="T185" s="90">
        <v>0</v>
      </c>
      <c r="U185" s="90">
        <v>0</v>
      </c>
      <c r="V185" s="90">
        <v>0</v>
      </c>
      <c r="W185" s="90">
        <v>0</v>
      </c>
      <c r="X185" s="90">
        <v>0</v>
      </c>
      <c r="Y185" s="90">
        <v>0</v>
      </c>
      <c r="Z185" s="90">
        <v>0</v>
      </c>
    </row>
    <row r="186" spans="2:26" s="94" customFormat="1" ht="12.75" customHeight="1" x14ac:dyDescent="0.25">
      <c r="C186" s="94" t="s">
        <v>119</v>
      </c>
      <c r="D186" s="94" t="s">
        <v>70</v>
      </c>
      <c r="E186" s="101"/>
      <c r="F186" s="93">
        <v>0</v>
      </c>
      <c r="G186" s="93">
        <v>0</v>
      </c>
      <c r="H186" s="93">
        <v>0</v>
      </c>
      <c r="I186" s="93">
        <v>0</v>
      </c>
      <c r="J186" s="93">
        <v>0</v>
      </c>
      <c r="K186" s="93">
        <v>0</v>
      </c>
      <c r="L186" s="93">
        <v>0</v>
      </c>
      <c r="M186" s="93">
        <v>0</v>
      </c>
      <c r="N186" s="93">
        <v>0</v>
      </c>
      <c r="O186" s="93">
        <v>0</v>
      </c>
      <c r="P186" s="93">
        <v>0</v>
      </c>
      <c r="Q186" s="93">
        <v>0</v>
      </c>
      <c r="R186" s="93">
        <v>0</v>
      </c>
      <c r="S186" s="93">
        <v>0</v>
      </c>
      <c r="T186" s="93">
        <v>0</v>
      </c>
      <c r="U186" s="93">
        <v>0</v>
      </c>
      <c r="V186" s="93">
        <v>0</v>
      </c>
      <c r="W186" s="93">
        <v>0</v>
      </c>
      <c r="X186" s="94">
        <v>0</v>
      </c>
      <c r="Y186" s="94">
        <v>0</v>
      </c>
      <c r="Z186" s="94">
        <v>0</v>
      </c>
    </row>
    <row r="187" spans="2:26" s="378" customFormat="1" ht="12.75" customHeight="1" x14ac:dyDescent="0.25">
      <c r="B187" s="378" t="s">
        <v>122</v>
      </c>
      <c r="C187" s="378" t="s">
        <v>70</v>
      </c>
      <c r="E187" s="376"/>
      <c r="F187" s="710">
        <v>0</v>
      </c>
      <c r="G187" s="377">
        <v>0</v>
      </c>
      <c r="H187" s="377">
        <v>0</v>
      </c>
      <c r="I187" s="377">
        <v>0</v>
      </c>
      <c r="J187" s="377">
        <v>0</v>
      </c>
      <c r="K187" s="377">
        <v>0</v>
      </c>
      <c r="L187" s="377">
        <v>0</v>
      </c>
      <c r="M187" s="377">
        <v>0</v>
      </c>
      <c r="N187" s="377">
        <v>0</v>
      </c>
      <c r="O187" s="377">
        <v>0</v>
      </c>
      <c r="P187" s="377">
        <v>0</v>
      </c>
      <c r="Q187" s="377">
        <v>0</v>
      </c>
      <c r="R187" s="377">
        <v>0</v>
      </c>
      <c r="S187" s="377">
        <v>0</v>
      </c>
      <c r="T187" s="377">
        <v>0</v>
      </c>
      <c r="U187" s="377">
        <v>0</v>
      </c>
      <c r="V187" s="377">
        <v>0</v>
      </c>
      <c r="W187" s="377">
        <v>0</v>
      </c>
      <c r="X187" s="378">
        <v>0</v>
      </c>
      <c r="Y187" s="378">
        <v>0</v>
      </c>
      <c r="Z187" s="378">
        <v>0</v>
      </c>
    </row>
    <row r="188" spans="2:26" ht="12.75" customHeight="1" x14ac:dyDescent="0.25">
      <c r="E188" s="89" t="s">
        <v>72</v>
      </c>
      <c r="F188" s="371">
        <v>0</v>
      </c>
      <c r="G188" s="90">
        <v>0</v>
      </c>
      <c r="H188" s="90">
        <v>0</v>
      </c>
      <c r="I188" s="90">
        <v>0</v>
      </c>
      <c r="J188" s="90">
        <v>0</v>
      </c>
      <c r="K188" s="90">
        <v>0</v>
      </c>
      <c r="L188" s="90">
        <v>0</v>
      </c>
      <c r="M188" s="90">
        <v>0</v>
      </c>
      <c r="N188" s="90">
        <v>0</v>
      </c>
      <c r="O188" s="90">
        <v>0</v>
      </c>
      <c r="P188" s="90">
        <v>0</v>
      </c>
      <c r="Q188" s="90">
        <v>0</v>
      </c>
      <c r="R188" s="90">
        <v>0</v>
      </c>
      <c r="S188" s="90">
        <v>0</v>
      </c>
      <c r="T188" s="90">
        <v>0</v>
      </c>
      <c r="U188" s="90">
        <v>0</v>
      </c>
      <c r="V188" s="90">
        <v>0</v>
      </c>
      <c r="W188" s="90">
        <v>0</v>
      </c>
      <c r="X188">
        <v>0</v>
      </c>
      <c r="Y188">
        <v>0</v>
      </c>
      <c r="Z188">
        <v>0</v>
      </c>
    </row>
    <row r="189" spans="2:26" ht="12.75" customHeight="1" x14ac:dyDescent="0.25">
      <c r="E189" s="89" t="s">
        <v>81</v>
      </c>
      <c r="F189" s="90">
        <v>0</v>
      </c>
      <c r="G189" s="90">
        <v>0</v>
      </c>
      <c r="H189" s="90">
        <v>0</v>
      </c>
      <c r="I189" s="90">
        <v>0</v>
      </c>
      <c r="J189" s="90">
        <v>0</v>
      </c>
      <c r="K189" s="90">
        <v>0</v>
      </c>
      <c r="L189" s="90">
        <v>0</v>
      </c>
      <c r="M189" s="90">
        <v>0</v>
      </c>
      <c r="N189" s="90">
        <v>0</v>
      </c>
      <c r="O189" s="90">
        <v>0</v>
      </c>
      <c r="P189" s="90">
        <v>0</v>
      </c>
      <c r="Q189" s="90">
        <v>0</v>
      </c>
      <c r="R189" s="90">
        <v>0</v>
      </c>
      <c r="S189" s="90">
        <v>0</v>
      </c>
      <c r="T189" s="90">
        <v>0</v>
      </c>
      <c r="U189" s="90">
        <v>0</v>
      </c>
      <c r="V189" s="90">
        <v>0</v>
      </c>
      <c r="W189" s="90">
        <v>0</v>
      </c>
      <c r="X189">
        <v>0</v>
      </c>
      <c r="Y189">
        <v>0</v>
      </c>
      <c r="Z189">
        <v>0</v>
      </c>
    </row>
    <row r="190" spans="2:26" ht="12.75" customHeight="1" x14ac:dyDescent="0.25">
      <c r="D190" t="s">
        <v>156</v>
      </c>
      <c r="E190" s="89" t="s">
        <v>70</v>
      </c>
      <c r="F190" s="90">
        <v>0</v>
      </c>
      <c r="G190" s="90">
        <v>0</v>
      </c>
      <c r="H190" s="90">
        <v>0</v>
      </c>
      <c r="I190" s="90">
        <v>0</v>
      </c>
      <c r="J190" s="90">
        <v>0</v>
      </c>
      <c r="K190" s="90">
        <v>0</v>
      </c>
      <c r="L190" s="90">
        <v>0</v>
      </c>
      <c r="M190" s="90">
        <v>0</v>
      </c>
      <c r="N190" s="90">
        <v>0</v>
      </c>
      <c r="O190" s="90">
        <v>0</v>
      </c>
      <c r="P190" s="90">
        <v>0</v>
      </c>
      <c r="Q190" s="90">
        <v>0</v>
      </c>
      <c r="R190" s="90">
        <v>0</v>
      </c>
      <c r="S190" s="90">
        <v>0</v>
      </c>
      <c r="T190" s="90">
        <v>0</v>
      </c>
      <c r="U190" s="90">
        <v>0</v>
      </c>
      <c r="V190" s="90">
        <v>0</v>
      </c>
      <c r="W190" s="90">
        <v>0</v>
      </c>
      <c r="X190">
        <v>0</v>
      </c>
      <c r="Y190">
        <v>0</v>
      </c>
      <c r="Z190">
        <v>0</v>
      </c>
    </row>
    <row r="191" spans="2:26" s="656" customFormat="1" ht="12.75" customHeight="1" x14ac:dyDescent="0.25">
      <c r="C191" s="656" t="s">
        <v>155</v>
      </c>
      <c r="D191" s="657" t="s">
        <v>70</v>
      </c>
      <c r="E191" s="657"/>
      <c r="F191" s="658">
        <v>0</v>
      </c>
      <c r="G191" s="658">
        <v>0</v>
      </c>
      <c r="H191" s="658">
        <v>0</v>
      </c>
      <c r="I191" s="658">
        <v>0</v>
      </c>
      <c r="J191" s="658">
        <v>0</v>
      </c>
      <c r="K191" s="658">
        <v>0</v>
      </c>
      <c r="L191" s="658">
        <v>0</v>
      </c>
      <c r="M191" s="658">
        <v>0</v>
      </c>
      <c r="N191" s="658">
        <v>0</v>
      </c>
      <c r="O191" s="658">
        <v>0</v>
      </c>
      <c r="P191" s="658">
        <v>0</v>
      </c>
      <c r="Q191" s="658">
        <v>0</v>
      </c>
      <c r="R191" s="658">
        <v>0</v>
      </c>
      <c r="S191" s="658">
        <v>0</v>
      </c>
      <c r="T191" s="658">
        <v>0</v>
      </c>
      <c r="U191" s="658">
        <v>0</v>
      </c>
      <c r="V191" s="658">
        <v>0</v>
      </c>
      <c r="W191" s="658">
        <v>0</v>
      </c>
      <c r="X191" s="656">
        <v>0</v>
      </c>
      <c r="Y191" s="656">
        <v>0</v>
      </c>
      <c r="Z191" s="656">
        <v>0</v>
      </c>
    </row>
    <row r="192" spans="2:26" ht="12.75" customHeight="1" x14ac:dyDescent="0.25">
      <c r="D192" s="89"/>
      <c r="E192" s="89" t="s">
        <v>72</v>
      </c>
      <c r="F192" s="371">
        <v>0</v>
      </c>
      <c r="G192" s="90">
        <v>0</v>
      </c>
      <c r="H192" s="90">
        <v>0</v>
      </c>
      <c r="I192" s="90">
        <v>0</v>
      </c>
      <c r="J192" s="90">
        <v>0</v>
      </c>
      <c r="K192" s="90">
        <v>0</v>
      </c>
      <c r="L192" s="90">
        <v>0</v>
      </c>
      <c r="M192" s="90">
        <v>0</v>
      </c>
      <c r="N192" s="90">
        <v>0</v>
      </c>
      <c r="O192" s="90">
        <v>0</v>
      </c>
      <c r="P192" s="90">
        <v>0</v>
      </c>
      <c r="Q192" s="90">
        <v>0</v>
      </c>
      <c r="R192" s="90">
        <v>0</v>
      </c>
      <c r="S192" s="90">
        <v>0</v>
      </c>
      <c r="T192" s="90">
        <v>0</v>
      </c>
      <c r="U192" s="90">
        <v>0</v>
      </c>
      <c r="V192" s="90">
        <v>0</v>
      </c>
      <c r="W192" s="90">
        <v>0</v>
      </c>
      <c r="X192">
        <v>0</v>
      </c>
      <c r="Y192">
        <v>0</v>
      </c>
      <c r="Z192">
        <v>0</v>
      </c>
    </row>
    <row r="193" spans="4:26" ht="12.75" customHeight="1" x14ac:dyDescent="0.25">
      <c r="D193" s="89"/>
      <c r="E193" s="89" t="s">
        <v>81</v>
      </c>
      <c r="F193" s="371">
        <v>0</v>
      </c>
      <c r="G193" s="90">
        <v>0</v>
      </c>
      <c r="H193" s="90">
        <v>0</v>
      </c>
      <c r="I193" s="90">
        <v>0</v>
      </c>
      <c r="J193" s="90">
        <v>0</v>
      </c>
      <c r="K193" s="90">
        <v>0</v>
      </c>
      <c r="L193" s="90">
        <v>0</v>
      </c>
      <c r="M193" s="90">
        <v>0</v>
      </c>
      <c r="N193" s="90">
        <v>0</v>
      </c>
      <c r="O193" s="90">
        <v>0</v>
      </c>
      <c r="P193" s="90">
        <v>0</v>
      </c>
      <c r="Q193" s="90">
        <v>0</v>
      </c>
      <c r="R193" s="90">
        <v>0</v>
      </c>
      <c r="S193" s="90">
        <v>0</v>
      </c>
      <c r="T193" s="90">
        <v>0</v>
      </c>
      <c r="U193" s="90">
        <v>0</v>
      </c>
      <c r="V193" s="90">
        <v>0</v>
      </c>
      <c r="W193" s="90">
        <v>0</v>
      </c>
      <c r="X193">
        <v>0</v>
      </c>
      <c r="Y193">
        <v>0</v>
      </c>
      <c r="Z193">
        <v>0</v>
      </c>
    </row>
    <row r="194" spans="4:26" ht="12.75" customHeight="1" x14ac:dyDescent="0.25">
      <c r="D194" s="89" t="s">
        <v>115</v>
      </c>
      <c r="E194" s="89" t="s">
        <v>70</v>
      </c>
      <c r="F194" s="371">
        <v>0</v>
      </c>
      <c r="G194" s="90">
        <v>0</v>
      </c>
      <c r="H194" s="90">
        <v>0</v>
      </c>
      <c r="I194" s="90">
        <v>0</v>
      </c>
      <c r="J194" s="90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 s="90">
        <v>0</v>
      </c>
      <c r="S194" s="90">
        <v>0</v>
      </c>
      <c r="T194" s="90">
        <v>0</v>
      </c>
      <c r="U194" s="90">
        <v>0</v>
      </c>
      <c r="V194" s="90">
        <v>0</v>
      </c>
      <c r="W194" s="90">
        <v>0</v>
      </c>
      <c r="X194">
        <v>0</v>
      </c>
      <c r="Y194">
        <v>0</v>
      </c>
      <c r="Z194">
        <v>0</v>
      </c>
    </row>
    <row r="195" spans="4:26" ht="12.75" customHeight="1" x14ac:dyDescent="0.25">
      <c r="D195" s="89"/>
      <c r="E195" s="89" t="s">
        <v>72</v>
      </c>
      <c r="F195" s="371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0</v>
      </c>
      <c r="L195" s="90">
        <v>0</v>
      </c>
      <c r="M195" s="90">
        <v>0</v>
      </c>
      <c r="N195" s="90">
        <v>0</v>
      </c>
      <c r="O195" s="90">
        <v>0</v>
      </c>
      <c r="P195" s="90">
        <v>0</v>
      </c>
      <c r="Q195" s="90">
        <v>0</v>
      </c>
      <c r="R195" s="90">
        <v>0</v>
      </c>
      <c r="S195" s="90">
        <v>0</v>
      </c>
      <c r="T195" s="90">
        <v>0</v>
      </c>
      <c r="U195" s="90">
        <v>0</v>
      </c>
      <c r="V195" s="90">
        <v>0</v>
      </c>
      <c r="W195" s="90">
        <v>0</v>
      </c>
      <c r="X195">
        <v>0</v>
      </c>
      <c r="Y195">
        <v>0</v>
      </c>
      <c r="Z195">
        <v>0</v>
      </c>
    </row>
    <row r="196" spans="4:26" ht="12.75" customHeight="1" x14ac:dyDescent="0.25">
      <c r="D196" s="89"/>
      <c r="E196" s="89" t="s">
        <v>81</v>
      </c>
      <c r="F196" s="90">
        <v>0</v>
      </c>
      <c r="G196" s="90">
        <v>0</v>
      </c>
      <c r="H196" s="90">
        <v>0</v>
      </c>
      <c r="I196" s="90">
        <v>0</v>
      </c>
      <c r="J196" s="90">
        <v>0</v>
      </c>
      <c r="K196" s="90">
        <v>0</v>
      </c>
      <c r="L196" s="90">
        <v>0</v>
      </c>
      <c r="M196" s="90">
        <v>0</v>
      </c>
      <c r="N196" s="90">
        <v>0</v>
      </c>
      <c r="O196" s="90">
        <v>0</v>
      </c>
      <c r="P196" s="90">
        <v>0</v>
      </c>
      <c r="Q196" s="90">
        <v>0</v>
      </c>
      <c r="R196" s="90">
        <v>0</v>
      </c>
      <c r="S196" s="90">
        <v>0</v>
      </c>
      <c r="T196" s="90">
        <v>0</v>
      </c>
      <c r="U196" s="90">
        <v>0</v>
      </c>
      <c r="V196" s="90">
        <v>0</v>
      </c>
      <c r="W196" s="90">
        <v>0</v>
      </c>
      <c r="X196">
        <v>0</v>
      </c>
      <c r="Y196">
        <v>0</v>
      </c>
      <c r="Z196">
        <v>0</v>
      </c>
    </row>
    <row r="197" spans="4:26" ht="12.75" customHeight="1" x14ac:dyDescent="0.25">
      <c r="D197" t="s">
        <v>116</v>
      </c>
      <c r="E197" s="89" t="s">
        <v>70</v>
      </c>
      <c r="F197" s="90">
        <v>0</v>
      </c>
      <c r="G197" s="90">
        <v>0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 s="90">
        <v>0</v>
      </c>
      <c r="S197" s="90">
        <v>0</v>
      </c>
      <c r="T197" s="90">
        <v>0</v>
      </c>
      <c r="U197" s="90">
        <v>0</v>
      </c>
      <c r="V197" s="90">
        <v>0</v>
      </c>
      <c r="W197" s="90">
        <v>0</v>
      </c>
      <c r="X197">
        <v>0</v>
      </c>
      <c r="Y197">
        <v>0</v>
      </c>
      <c r="Z197">
        <v>0</v>
      </c>
    </row>
    <row r="198" spans="4:26" ht="12.75" customHeight="1" x14ac:dyDescent="0.25">
      <c r="D198" s="89"/>
      <c r="E198" s="89" t="s">
        <v>72</v>
      </c>
      <c r="F198" s="371">
        <v>0</v>
      </c>
      <c r="G198" s="90">
        <v>0</v>
      </c>
      <c r="H198" s="90">
        <v>0</v>
      </c>
      <c r="I198" s="90">
        <v>0</v>
      </c>
      <c r="J198" s="90">
        <v>0</v>
      </c>
      <c r="K198" s="90">
        <v>0</v>
      </c>
      <c r="L198" s="90">
        <v>0</v>
      </c>
      <c r="M198" s="90">
        <v>0</v>
      </c>
      <c r="N198" s="90">
        <v>0</v>
      </c>
      <c r="O198" s="90">
        <v>0</v>
      </c>
      <c r="P198" s="90">
        <v>0</v>
      </c>
      <c r="Q198" s="90">
        <v>0</v>
      </c>
      <c r="R198" s="90">
        <v>0</v>
      </c>
      <c r="S198" s="90">
        <v>0</v>
      </c>
      <c r="T198" s="90">
        <v>0</v>
      </c>
      <c r="U198" s="90">
        <v>0</v>
      </c>
      <c r="V198" s="90">
        <v>0</v>
      </c>
      <c r="W198" s="90">
        <v>0</v>
      </c>
      <c r="X198">
        <v>0</v>
      </c>
      <c r="Y198">
        <v>0</v>
      </c>
      <c r="Z198">
        <v>0</v>
      </c>
    </row>
    <row r="199" spans="4:26" ht="12.75" customHeight="1" x14ac:dyDescent="0.25">
      <c r="D199" s="89"/>
      <c r="E199" s="89" t="s">
        <v>81</v>
      </c>
      <c r="F199" s="371">
        <v>0</v>
      </c>
      <c r="G199" s="90">
        <v>0</v>
      </c>
      <c r="H199" s="90">
        <v>0</v>
      </c>
      <c r="I199" s="90">
        <v>0</v>
      </c>
      <c r="J199" s="90">
        <v>0</v>
      </c>
      <c r="K199" s="90">
        <v>0</v>
      </c>
      <c r="L199" s="90">
        <v>0</v>
      </c>
      <c r="M199" s="90">
        <v>0</v>
      </c>
      <c r="N199" s="90">
        <v>0</v>
      </c>
      <c r="O199" s="90">
        <v>0</v>
      </c>
      <c r="P199" s="90">
        <v>0</v>
      </c>
      <c r="Q199" s="90">
        <v>0</v>
      </c>
      <c r="R199" s="90">
        <v>0</v>
      </c>
      <c r="S199" s="90">
        <v>0</v>
      </c>
      <c r="T199" s="90">
        <v>0</v>
      </c>
      <c r="U199" s="90">
        <v>0</v>
      </c>
      <c r="V199" s="90">
        <v>0</v>
      </c>
      <c r="W199" s="90">
        <v>0</v>
      </c>
      <c r="X199">
        <v>0</v>
      </c>
      <c r="Y199">
        <v>0</v>
      </c>
      <c r="Z199">
        <v>0</v>
      </c>
    </row>
    <row r="200" spans="4:26" ht="12.75" customHeight="1" x14ac:dyDescent="0.25">
      <c r="D200" s="773">
        <v>3</v>
      </c>
      <c r="E200" s="89" t="s">
        <v>70</v>
      </c>
      <c r="F200" s="371">
        <v>0</v>
      </c>
      <c r="G200" s="90">
        <v>0</v>
      </c>
      <c r="H200" s="90">
        <v>0</v>
      </c>
      <c r="I200" s="90">
        <v>0</v>
      </c>
      <c r="J200" s="90">
        <v>0</v>
      </c>
      <c r="K200" s="90">
        <v>0</v>
      </c>
      <c r="L200" s="90">
        <v>0</v>
      </c>
      <c r="M200" s="90">
        <v>0</v>
      </c>
      <c r="N200" s="90">
        <v>0</v>
      </c>
      <c r="O200" s="90">
        <v>0</v>
      </c>
      <c r="P200" s="90">
        <v>0</v>
      </c>
      <c r="Q200" s="90">
        <v>0</v>
      </c>
      <c r="R200" s="90">
        <v>0</v>
      </c>
      <c r="S200" s="90">
        <v>0</v>
      </c>
      <c r="T200" s="90">
        <v>0</v>
      </c>
      <c r="U200" s="90">
        <v>0</v>
      </c>
      <c r="V200" s="90">
        <v>0</v>
      </c>
      <c r="W200" s="90">
        <v>0</v>
      </c>
      <c r="X200">
        <v>0</v>
      </c>
      <c r="Y200">
        <v>0</v>
      </c>
      <c r="Z200">
        <v>0</v>
      </c>
    </row>
    <row r="201" spans="4:26" ht="12.75" customHeight="1" x14ac:dyDescent="0.25">
      <c r="D201" s="89"/>
      <c r="E201" s="89" t="s">
        <v>72</v>
      </c>
      <c r="F201" s="371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>
        <v>0</v>
      </c>
      <c r="Y201">
        <v>0</v>
      </c>
      <c r="Z201">
        <v>0</v>
      </c>
    </row>
    <row r="202" spans="4:26" ht="12.75" customHeight="1" x14ac:dyDescent="0.25">
      <c r="D202" s="89"/>
      <c r="E202" s="89" t="s">
        <v>81</v>
      </c>
      <c r="F202" s="371">
        <v>0</v>
      </c>
      <c r="G202" s="90">
        <v>0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0</v>
      </c>
      <c r="O202" s="90">
        <v>0</v>
      </c>
      <c r="P202" s="90">
        <v>0</v>
      </c>
      <c r="Q202" s="90">
        <v>0</v>
      </c>
      <c r="R202" s="90">
        <v>0</v>
      </c>
      <c r="S202" s="90">
        <v>0</v>
      </c>
      <c r="T202" s="90">
        <v>0</v>
      </c>
      <c r="U202" s="90">
        <v>0</v>
      </c>
      <c r="V202" s="90">
        <v>0</v>
      </c>
      <c r="W202" s="90">
        <v>0</v>
      </c>
      <c r="X202">
        <v>0</v>
      </c>
      <c r="Y202">
        <v>0</v>
      </c>
      <c r="Z202">
        <v>0</v>
      </c>
    </row>
    <row r="203" spans="4:26" ht="12.75" customHeight="1" x14ac:dyDescent="0.25">
      <c r="D203" s="773">
        <v>4</v>
      </c>
      <c r="E203" s="89" t="s">
        <v>70</v>
      </c>
      <c r="F203" s="371">
        <v>0</v>
      </c>
      <c r="G203" s="90">
        <v>0</v>
      </c>
      <c r="H203" s="90">
        <v>0</v>
      </c>
      <c r="I203" s="90">
        <v>0</v>
      </c>
      <c r="J203" s="90">
        <v>0</v>
      </c>
      <c r="K203" s="90">
        <v>0</v>
      </c>
      <c r="L203" s="90">
        <v>0</v>
      </c>
      <c r="M203" s="90">
        <v>0</v>
      </c>
      <c r="N203" s="90">
        <v>0</v>
      </c>
      <c r="O203" s="90">
        <v>0</v>
      </c>
      <c r="P203" s="90">
        <v>0</v>
      </c>
      <c r="Q203" s="90">
        <v>0</v>
      </c>
      <c r="R203" s="90">
        <v>0</v>
      </c>
      <c r="S203" s="90">
        <v>0</v>
      </c>
      <c r="T203" s="90">
        <v>0</v>
      </c>
      <c r="U203" s="90">
        <v>0</v>
      </c>
      <c r="V203" s="90">
        <v>0</v>
      </c>
      <c r="W203" s="90">
        <v>0</v>
      </c>
      <c r="X203">
        <v>0</v>
      </c>
      <c r="Y203">
        <v>0</v>
      </c>
      <c r="Z203">
        <v>0</v>
      </c>
    </row>
    <row r="204" spans="4:26" ht="12.75" customHeight="1" x14ac:dyDescent="0.25">
      <c r="D204" s="89"/>
      <c r="E204" s="89" t="s">
        <v>72</v>
      </c>
      <c r="F204" s="371">
        <v>0</v>
      </c>
      <c r="G204" s="90">
        <v>0</v>
      </c>
      <c r="H204" s="90">
        <v>0</v>
      </c>
      <c r="I204" s="90">
        <v>0</v>
      </c>
      <c r="J204" s="90">
        <v>0</v>
      </c>
      <c r="K204" s="90">
        <v>0</v>
      </c>
      <c r="L204" s="90">
        <v>0</v>
      </c>
      <c r="M204" s="90">
        <v>0</v>
      </c>
      <c r="N204" s="90">
        <v>0</v>
      </c>
      <c r="O204" s="90">
        <v>0</v>
      </c>
      <c r="P204" s="90">
        <v>0</v>
      </c>
      <c r="Q204" s="90">
        <v>0</v>
      </c>
      <c r="R204" s="90">
        <v>0</v>
      </c>
      <c r="S204" s="90">
        <v>0</v>
      </c>
      <c r="T204" s="90">
        <v>0</v>
      </c>
      <c r="U204" s="90">
        <v>0</v>
      </c>
      <c r="V204" s="90">
        <v>0</v>
      </c>
      <c r="W204" s="90">
        <v>0</v>
      </c>
      <c r="X204">
        <v>0</v>
      </c>
      <c r="Y204">
        <v>0</v>
      </c>
      <c r="Z204">
        <v>0</v>
      </c>
    </row>
    <row r="205" spans="4:26" ht="12.75" customHeight="1" x14ac:dyDescent="0.25">
      <c r="D205" s="89"/>
      <c r="E205" s="89" t="s">
        <v>81</v>
      </c>
      <c r="F205" s="90">
        <v>0</v>
      </c>
      <c r="G205" s="90">
        <v>0</v>
      </c>
      <c r="H205" s="90">
        <v>0</v>
      </c>
      <c r="I205" s="90">
        <v>0</v>
      </c>
      <c r="J205" s="90">
        <v>0</v>
      </c>
      <c r="K205" s="90">
        <v>0</v>
      </c>
      <c r="L205" s="90">
        <v>0</v>
      </c>
      <c r="M205" s="90">
        <v>0</v>
      </c>
      <c r="N205" s="90">
        <v>0</v>
      </c>
      <c r="O205" s="90">
        <v>0</v>
      </c>
      <c r="P205" s="90">
        <v>0</v>
      </c>
      <c r="Q205" s="90">
        <v>0</v>
      </c>
      <c r="R205" s="90">
        <v>0</v>
      </c>
      <c r="S205" s="90">
        <v>0</v>
      </c>
      <c r="T205" s="90">
        <v>0</v>
      </c>
      <c r="U205" s="90">
        <v>0</v>
      </c>
      <c r="V205" s="90">
        <v>0</v>
      </c>
      <c r="W205" s="90">
        <v>0</v>
      </c>
      <c r="X205">
        <v>0</v>
      </c>
      <c r="Y205">
        <v>0</v>
      </c>
      <c r="Z205">
        <v>0</v>
      </c>
    </row>
    <row r="206" spans="4:26" ht="12.75" customHeight="1" x14ac:dyDescent="0.25">
      <c r="D206" t="s">
        <v>118</v>
      </c>
      <c r="E206" s="89" t="s">
        <v>70</v>
      </c>
      <c r="F206" s="90">
        <v>0</v>
      </c>
      <c r="G206" s="90">
        <v>0</v>
      </c>
      <c r="H206" s="90">
        <v>0</v>
      </c>
      <c r="I206" s="90">
        <v>0</v>
      </c>
      <c r="J206" s="90">
        <v>0</v>
      </c>
      <c r="K206" s="90">
        <v>0</v>
      </c>
      <c r="L206" s="90">
        <v>0</v>
      </c>
      <c r="M206" s="90">
        <v>0</v>
      </c>
      <c r="N206" s="90">
        <v>0</v>
      </c>
      <c r="O206" s="90">
        <v>0</v>
      </c>
      <c r="P206" s="90">
        <v>0</v>
      </c>
      <c r="Q206" s="90">
        <v>0</v>
      </c>
      <c r="R206" s="90">
        <v>0</v>
      </c>
      <c r="S206" s="90">
        <v>0</v>
      </c>
      <c r="T206" s="90">
        <v>0</v>
      </c>
      <c r="U206" s="90">
        <v>0</v>
      </c>
      <c r="V206" s="90">
        <v>0</v>
      </c>
      <c r="W206" s="90">
        <v>0</v>
      </c>
      <c r="X206">
        <v>0</v>
      </c>
      <c r="Y206">
        <v>0</v>
      </c>
      <c r="Z206">
        <v>0</v>
      </c>
    </row>
    <row r="207" spans="4:26" ht="12.75" customHeight="1" x14ac:dyDescent="0.25">
      <c r="D207" s="89"/>
      <c r="E207" s="89" t="s">
        <v>72</v>
      </c>
      <c r="F207" s="371">
        <v>0</v>
      </c>
      <c r="G207" s="90">
        <v>0</v>
      </c>
      <c r="H207" s="90">
        <v>0</v>
      </c>
      <c r="I207" s="90">
        <v>0</v>
      </c>
      <c r="J207" s="90">
        <v>0</v>
      </c>
      <c r="K207" s="90">
        <v>0</v>
      </c>
      <c r="L207" s="90">
        <v>0</v>
      </c>
      <c r="M207" s="90">
        <v>0</v>
      </c>
      <c r="N207" s="90">
        <v>0</v>
      </c>
      <c r="O207" s="90">
        <v>0</v>
      </c>
      <c r="P207" s="90">
        <v>0</v>
      </c>
      <c r="Q207" s="90">
        <v>0</v>
      </c>
      <c r="R207" s="90">
        <v>0</v>
      </c>
      <c r="S207" s="90">
        <v>0</v>
      </c>
      <c r="T207" s="90">
        <v>0</v>
      </c>
      <c r="U207" s="90">
        <v>0</v>
      </c>
      <c r="V207" s="90">
        <v>0</v>
      </c>
      <c r="W207" s="90">
        <v>0</v>
      </c>
      <c r="X207">
        <v>0</v>
      </c>
      <c r="Y207">
        <v>0</v>
      </c>
      <c r="Z207">
        <v>0</v>
      </c>
    </row>
    <row r="208" spans="4:26" ht="12.75" customHeight="1" x14ac:dyDescent="0.25">
      <c r="D208" s="89"/>
      <c r="E208" s="89" t="s">
        <v>81</v>
      </c>
      <c r="F208" s="90">
        <v>0</v>
      </c>
      <c r="G208" s="90">
        <v>0</v>
      </c>
      <c r="H208" s="90">
        <v>0</v>
      </c>
      <c r="I208" s="90">
        <v>0</v>
      </c>
      <c r="J208" s="90">
        <v>0</v>
      </c>
      <c r="K208" s="90">
        <v>0</v>
      </c>
      <c r="L208" s="90">
        <v>0</v>
      </c>
      <c r="M208" s="90">
        <v>0</v>
      </c>
      <c r="N208" s="90">
        <v>0</v>
      </c>
      <c r="O208" s="90">
        <v>0</v>
      </c>
      <c r="P208" s="90">
        <v>0</v>
      </c>
      <c r="Q208" s="90">
        <v>0</v>
      </c>
      <c r="R208" s="90">
        <v>0</v>
      </c>
      <c r="S208" s="90">
        <v>0</v>
      </c>
      <c r="T208" s="90">
        <v>0</v>
      </c>
      <c r="U208" s="90">
        <v>0</v>
      </c>
      <c r="V208" s="90">
        <v>0</v>
      </c>
      <c r="W208" s="90">
        <v>0</v>
      </c>
      <c r="X208">
        <v>0</v>
      </c>
      <c r="Y208">
        <v>0</v>
      </c>
      <c r="Z208">
        <v>0</v>
      </c>
    </row>
    <row r="209" spans="2:26" ht="12.75" customHeight="1" x14ac:dyDescent="0.25">
      <c r="D209" s="772">
        <v>6</v>
      </c>
      <c r="E209" s="89" t="s">
        <v>70</v>
      </c>
      <c r="F209" s="90">
        <v>0</v>
      </c>
      <c r="G209" s="90">
        <v>0</v>
      </c>
      <c r="H209" s="90">
        <v>0</v>
      </c>
      <c r="I209" s="90">
        <v>0</v>
      </c>
      <c r="J209" s="90">
        <v>0</v>
      </c>
      <c r="K209" s="90">
        <v>0</v>
      </c>
      <c r="L209" s="90">
        <v>0</v>
      </c>
      <c r="M209" s="90">
        <v>0</v>
      </c>
      <c r="N209" s="90">
        <v>0</v>
      </c>
      <c r="O209" s="90">
        <v>0</v>
      </c>
      <c r="P209" s="90">
        <v>0</v>
      </c>
      <c r="Q209" s="90">
        <v>0</v>
      </c>
      <c r="R209" s="90">
        <v>0</v>
      </c>
      <c r="S209" s="90">
        <v>0</v>
      </c>
      <c r="T209" s="90">
        <v>0</v>
      </c>
      <c r="U209" s="90">
        <v>0</v>
      </c>
      <c r="V209" s="90">
        <v>0</v>
      </c>
      <c r="W209" s="90">
        <v>0</v>
      </c>
      <c r="X209">
        <v>0</v>
      </c>
      <c r="Y209">
        <v>0</v>
      </c>
      <c r="Z209">
        <v>0</v>
      </c>
    </row>
    <row r="210" spans="2:26" ht="12.75" customHeight="1" x14ac:dyDescent="0.25">
      <c r="D210" s="89"/>
      <c r="E210" s="89" t="s">
        <v>72</v>
      </c>
      <c r="F210" s="90">
        <v>0</v>
      </c>
      <c r="G210" s="90">
        <v>0</v>
      </c>
      <c r="H210" s="90">
        <v>0</v>
      </c>
      <c r="I210" s="90">
        <v>0</v>
      </c>
      <c r="J210" s="90">
        <v>0</v>
      </c>
      <c r="K210" s="90">
        <v>0</v>
      </c>
      <c r="L210" s="90">
        <v>0</v>
      </c>
      <c r="M210" s="90">
        <v>0</v>
      </c>
      <c r="N210" s="90">
        <v>0</v>
      </c>
      <c r="O210" s="90">
        <v>0</v>
      </c>
      <c r="P210" s="90">
        <v>0</v>
      </c>
      <c r="Q210" s="90">
        <v>0</v>
      </c>
      <c r="R210" s="90">
        <v>0</v>
      </c>
      <c r="S210" s="90">
        <v>0</v>
      </c>
      <c r="T210" s="90">
        <v>0</v>
      </c>
      <c r="U210" s="90">
        <v>0</v>
      </c>
      <c r="V210" s="90">
        <v>0</v>
      </c>
      <c r="W210" s="90">
        <v>0</v>
      </c>
      <c r="X210">
        <v>0</v>
      </c>
      <c r="Y210">
        <v>0</v>
      </c>
      <c r="Z210">
        <v>0</v>
      </c>
    </row>
    <row r="211" spans="2:26" ht="12.75" customHeight="1" x14ac:dyDescent="0.25">
      <c r="E211" s="89" t="s">
        <v>81</v>
      </c>
      <c r="F211" s="90">
        <v>0</v>
      </c>
      <c r="G211" s="90">
        <v>0</v>
      </c>
      <c r="H211" s="90">
        <v>0</v>
      </c>
      <c r="I211" s="90">
        <v>0</v>
      </c>
      <c r="J211" s="90">
        <v>0</v>
      </c>
      <c r="K211" s="90">
        <v>0</v>
      </c>
      <c r="L211" s="90">
        <v>0</v>
      </c>
      <c r="M211" s="90">
        <v>0</v>
      </c>
      <c r="N211" s="90">
        <v>0</v>
      </c>
      <c r="O211" s="90">
        <v>0</v>
      </c>
      <c r="P211" s="90">
        <v>0</v>
      </c>
      <c r="Q211" s="90">
        <v>0</v>
      </c>
      <c r="R211" s="90">
        <v>0</v>
      </c>
      <c r="S211" s="90">
        <v>0</v>
      </c>
      <c r="T211" s="90">
        <v>0</v>
      </c>
      <c r="U211" s="90">
        <v>0</v>
      </c>
      <c r="V211" s="90">
        <v>0</v>
      </c>
      <c r="W211" s="90">
        <v>0</v>
      </c>
      <c r="X211">
        <v>0</v>
      </c>
      <c r="Y211">
        <v>0</v>
      </c>
      <c r="Z211">
        <v>0</v>
      </c>
    </row>
    <row r="212" spans="2:26" ht="12.75" customHeight="1" x14ac:dyDescent="0.25">
      <c r="D212" s="772">
        <v>9</v>
      </c>
      <c r="E212" s="89" t="s">
        <v>70</v>
      </c>
      <c r="F212" s="90">
        <v>0</v>
      </c>
      <c r="G212" s="90">
        <v>0</v>
      </c>
      <c r="H212" s="90">
        <v>0</v>
      </c>
      <c r="I212" s="90">
        <v>0</v>
      </c>
      <c r="J212" s="90">
        <v>0</v>
      </c>
      <c r="K212" s="90">
        <v>0</v>
      </c>
      <c r="L212" s="90">
        <v>0</v>
      </c>
      <c r="M212" s="90">
        <v>0</v>
      </c>
      <c r="N212" s="90">
        <v>0</v>
      </c>
      <c r="O212" s="90">
        <v>0</v>
      </c>
      <c r="P212" s="90">
        <v>0</v>
      </c>
      <c r="Q212" s="90">
        <v>0</v>
      </c>
      <c r="R212" s="90">
        <v>0</v>
      </c>
      <c r="S212" s="90">
        <v>0</v>
      </c>
      <c r="T212" s="90">
        <v>0</v>
      </c>
      <c r="U212" s="90">
        <v>0</v>
      </c>
      <c r="V212" s="90">
        <v>0</v>
      </c>
      <c r="W212" s="90">
        <v>0</v>
      </c>
      <c r="X212">
        <v>0</v>
      </c>
      <c r="Y212">
        <v>0</v>
      </c>
      <c r="Z212">
        <v>0</v>
      </c>
    </row>
    <row r="213" spans="2:26" s="224" customFormat="1" ht="12.75" customHeight="1" x14ac:dyDescent="0.25">
      <c r="C213" s="223" t="s">
        <v>120</v>
      </c>
      <c r="D213" s="223" t="s">
        <v>70</v>
      </c>
      <c r="F213" s="225">
        <v>0</v>
      </c>
      <c r="G213" s="225">
        <v>0</v>
      </c>
      <c r="H213" s="225">
        <v>0</v>
      </c>
      <c r="I213" s="225">
        <v>0</v>
      </c>
      <c r="J213" s="225">
        <v>0</v>
      </c>
      <c r="K213" s="225">
        <v>0</v>
      </c>
      <c r="L213" s="225">
        <v>0</v>
      </c>
      <c r="M213" s="225">
        <v>0</v>
      </c>
      <c r="N213" s="225">
        <v>0</v>
      </c>
      <c r="O213" s="225">
        <v>0</v>
      </c>
      <c r="P213" s="225">
        <v>0</v>
      </c>
      <c r="Q213" s="225">
        <v>0</v>
      </c>
      <c r="R213" s="225">
        <v>0</v>
      </c>
      <c r="S213" s="225">
        <v>0</v>
      </c>
      <c r="T213" s="224">
        <v>0</v>
      </c>
      <c r="U213" s="224">
        <v>0</v>
      </c>
      <c r="V213" s="224">
        <v>0</v>
      </c>
      <c r="W213" s="224">
        <v>0</v>
      </c>
      <c r="X213" s="224">
        <v>0</v>
      </c>
      <c r="Y213" s="225">
        <v>0</v>
      </c>
      <c r="Z213" s="224">
        <v>0</v>
      </c>
    </row>
    <row r="214" spans="2:26" ht="12.75" customHeight="1" x14ac:dyDescent="0.25">
      <c r="E214" s="89" t="s">
        <v>72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>
        <v>0</v>
      </c>
      <c r="Y214">
        <v>0</v>
      </c>
      <c r="Z214">
        <v>0</v>
      </c>
    </row>
    <row r="215" spans="2:26" ht="12.75" customHeight="1" x14ac:dyDescent="0.25">
      <c r="C215" s="89"/>
      <c r="D215" s="89"/>
      <c r="E215" t="s">
        <v>81</v>
      </c>
      <c r="F215" s="90">
        <v>0</v>
      </c>
      <c r="G215" s="90">
        <v>0</v>
      </c>
      <c r="H215" s="90">
        <v>0</v>
      </c>
      <c r="I215" s="90">
        <v>0</v>
      </c>
      <c r="J215" s="90">
        <v>0</v>
      </c>
      <c r="K215" s="90">
        <v>0</v>
      </c>
      <c r="L215" s="90">
        <v>0</v>
      </c>
      <c r="M215" s="90">
        <v>0</v>
      </c>
      <c r="N215" s="90">
        <v>0</v>
      </c>
      <c r="O215" s="90">
        <v>0</v>
      </c>
      <c r="P215" s="90">
        <v>0</v>
      </c>
      <c r="Q215" s="90">
        <v>0</v>
      </c>
      <c r="R215" s="90">
        <v>0</v>
      </c>
      <c r="S215" s="90">
        <v>0</v>
      </c>
      <c r="T215" s="90">
        <v>0</v>
      </c>
      <c r="U215" s="90">
        <v>0</v>
      </c>
      <c r="V215" s="90">
        <v>0</v>
      </c>
      <c r="W215" s="90">
        <v>0</v>
      </c>
      <c r="X215">
        <v>0</v>
      </c>
      <c r="Y215">
        <v>0</v>
      </c>
      <c r="Z215">
        <v>0</v>
      </c>
    </row>
    <row r="216" spans="2:26" ht="12.75" customHeight="1" x14ac:dyDescent="0.25">
      <c r="D216" t="s">
        <v>82</v>
      </c>
      <c r="E216" s="89" t="s">
        <v>70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>
        <v>0</v>
      </c>
      <c r="Y216">
        <v>0</v>
      </c>
      <c r="Z216">
        <v>0</v>
      </c>
    </row>
    <row r="217" spans="2:26" ht="12.75" customHeight="1" x14ac:dyDescent="0.25">
      <c r="E217" s="89" t="s">
        <v>72</v>
      </c>
      <c r="F217" s="90">
        <v>0</v>
      </c>
      <c r="G217" s="90">
        <v>0</v>
      </c>
      <c r="H217" s="90">
        <v>0</v>
      </c>
      <c r="I217" s="90">
        <v>0</v>
      </c>
      <c r="J217" s="90">
        <v>0</v>
      </c>
      <c r="K217" s="90">
        <v>0</v>
      </c>
      <c r="L217" s="90">
        <v>0</v>
      </c>
      <c r="M217" s="90">
        <v>0</v>
      </c>
      <c r="N217" s="90">
        <v>0</v>
      </c>
      <c r="O217" s="90">
        <v>0</v>
      </c>
      <c r="P217" s="90">
        <v>0</v>
      </c>
      <c r="Q217" s="90">
        <v>0</v>
      </c>
      <c r="R217" s="90">
        <v>0</v>
      </c>
      <c r="S217" s="90">
        <v>0</v>
      </c>
      <c r="T217" s="90">
        <v>0</v>
      </c>
      <c r="U217" s="90">
        <v>0</v>
      </c>
      <c r="V217" s="90">
        <v>0</v>
      </c>
      <c r="W217" s="90">
        <v>0</v>
      </c>
      <c r="X217">
        <v>0</v>
      </c>
      <c r="Y217">
        <v>0</v>
      </c>
      <c r="Z217">
        <v>0</v>
      </c>
    </row>
    <row r="218" spans="2:26" ht="12.75" customHeight="1" x14ac:dyDescent="0.25">
      <c r="D218" s="89"/>
      <c r="E218" s="89" t="s">
        <v>81</v>
      </c>
      <c r="F218" s="90">
        <v>0</v>
      </c>
      <c r="G218" s="90">
        <v>0</v>
      </c>
      <c r="H218" s="90">
        <v>0</v>
      </c>
      <c r="I218" s="90">
        <v>0</v>
      </c>
      <c r="J218" s="90">
        <v>0</v>
      </c>
      <c r="K218" s="90">
        <v>0</v>
      </c>
      <c r="L218" s="90">
        <v>0</v>
      </c>
      <c r="M218" s="90">
        <v>0</v>
      </c>
      <c r="N218" s="90">
        <v>0</v>
      </c>
      <c r="O218" s="90">
        <v>0</v>
      </c>
      <c r="P218" s="90">
        <v>0</v>
      </c>
      <c r="Q218" s="90">
        <v>0</v>
      </c>
      <c r="R218" s="90">
        <v>0</v>
      </c>
      <c r="S218" s="90">
        <v>0</v>
      </c>
      <c r="T218" s="90">
        <v>0</v>
      </c>
      <c r="U218" s="90">
        <v>0</v>
      </c>
      <c r="V218" s="90">
        <v>0</v>
      </c>
      <c r="W218" s="90">
        <v>0</v>
      </c>
      <c r="X218">
        <v>0</v>
      </c>
      <c r="Y218">
        <v>0</v>
      </c>
      <c r="Z218">
        <v>0</v>
      </c>
    </row>
    <row r="219" spans="2:26" ht="12.75" customHeight="1" x14ac:dyDescent="0.25">
      <c r="D219" t="s">
        <v>86</v>
      </c>
      <c r="E219" s="89" t="s">
        <v>70</v>
      </c>
      <c r="F219" s="90">
        <v>0</v>
      </c>
      <c r="G219" s="90">
        <v>0</v>
      </c>
      <c r="H219" s="90">
        <v>0</v>
      </c>
      <c r="I219" s="90">
        <v>0</v>
      </c>
      <c r="J219" s="90">
        <v>0</v>
      </c>
      <c r="K219" s="90">
        <v>0</v>
      </c>
      <c r="L219" s="90">
        <v>0</v>
      </c>
      <c r="M219" s="90">
        <v>0</v>
      </c>
      <c r="N219" s="90">
        <v>0</v>
      </c>
      <c r="O219" s="90">
        <v>0</v>
      </c>
      <c r="P219" s="90">
        <v>0</v>
      </c>
      <c r="Q219" s="90">
        <v>0</v>
      </c>
      <c r="R219" s="90">
        <v>0</v>
      </c>
      <c r="S219" s="90">
        <v>0</v>
      </c>
      <c r="T219" s="90">
        <v>0</v>
      </c>
      <c r="U219" s="90">
        <v>0</v>
      </c>
      <c r="V219" s="90">
        <v>0</v>
      </c>
      <c r="W219" s="90">
        <v>0</v>
      </c>
      <c r="X219">
        <v>0</v>
      </c>
      <c r="Y219">
        <v>0</v>
      </c>
      <c r="Z219">
        <v>0</v>
      </c>
    </row>
    <row r="220" spans="2:26" ht="12.75" customHeight="1" x14ac:dyDescent="0.25">
      <c r="E220" s="89" t="s">
        <v>72</v>
      </c>
      <c r="F220" s="90">
        <v>0</v>
      </c>
      <c r="G220" s="90">
        <v>0</v>
      </c>
      <c r="H220" s="90">
        <v>0</v>
      </c>
      <c r="I220" s="90">
        <v>0</v>
      </c>
      <c r="J220" s="90">
        <v>0</v>
      </c>
      <c r="K220" s="90">
        <v>0</v>
      </c>
      <c r="L220" s="90">
        <v>0</v>
      </c>
      <c r="M220" s="90">
        <v>0</v>
      </c>
      <c r="N220" s="90">
        <v>0</v>
      </c>
      <c r="O220" s="90">
        <v>0</v>
      </c>
      <c r="P220" s="90">
        <v>0</v>
      </c>
      <c r="Q220" s="90">
        <v>0</v>
      </c>
      <c r="R220" s="90">
        <v>0</v>
      </c>
      <c r="S220" s="90">
        <v>0</v>
      </c>
      <c r="T220" s="90">
        <v>0</v>
      </c>
      <c r="U220" s="90">
        <v>0</v>
      </c>
      <c r="V220" s="90">
        <v>0</v>
      </c>
      <c r="W220" s="90">
        <v>0</v>
      </c>
      <c r="X220">
        <v>0</v>
      </c>
      <c r="Y220">
        <v>0</v>
      </c>
      <c r="Z220">
        <v>0</v>
      </c>
    </row>
    <row r="221" spans="2:26" ht="12.75" customHeight="1" x14ac:dyDescent="0.25">
      <c r="D221" s="89"/>
      <c r="E221" s="89" t="s">
        <v>81</v>
      </c>
      <c r="F221" s="90">
        <v>0</v>
      </c>
      <c r="G221" s="90">
        <v>0</v>
      </c>
      <c r="H221" s="90">
        <v>0</v>
      </c>
      <c r="I221" s="90">
        <v>0</v>
      </c>
      <c r="J221" s="90">
        <v>0</v>
      </c>
      <c r="K221" s="90">
        <v>0</v>
      </c>
      <c r="L221" s="90">
        <v>0</v>
      </c>
      <c r="M221" s="90">
        <v>0</v>
      </c>
      <c r="N221" s="90">
        <v>0</v>
      </c>
      <c r="O221" s="90">
        <v>0</v>
      </c>
      <c r="P221" s="90">
        <v>0</v>
      </c>
      <c r="Q221" s="90">
        <v>0</v>
      </c>
      <c r="R221" s="90">
        <v>0</v>
      </c>
      <c r="S221" s="90">
        <v>0</v>
      </c>
      <c r="T221" s="90">
        <v>0</v>
      </c>
      <c r="U221" s="90">
        <v>0</v>
      </c>
      <c r="V221" s="90">
        <v>0</v>
      </c>
      <c r="W221" s="90">
        <v>0</v>
      </c>
      <c r="X221">
        <v>0</v>
      </c>
      <c r="Y221">
        <v>0</v>
      </c>
      <c r="Z221">
        <v>0</v>
      </c>
    </row>
    <row r="222" spans="2:26" ht="12.75" customHeight="1" x14ac:dyDescent="0.25">
      <c r="D222" t="s">
        <v>87</v>
      </c>
      <c r="E222" s="89" t="s">
        <v>70</v>
      </c>
      <c r="F222" s="90">
        <v>0</v>
      </c>
      <c r="G222" s="90">
        <v>0</v>
      </c>
      <c r="H222" s="90">
        <v>0</v>
      </c>
      <c r="I222" s="90">
        <v>0</v>
      </c>
      <c r="J222" s="90">
        <v>0</v>
      </c>
      <c r="K222" s="90">
        <v>0</v>
      </c>
      <c r="L222" s="90">
        <v>0</v>
      </c>
      <c r="M222" s="90">
        <v>0</v>
      </c>
      <c r="N222" s="90">
        <v>0</v>
      </c>
      <c r="O222" s="90">
        <v>0</v>
      </c>
      <c r="P222" s="90">
        <v>0</v>
      </c>
      <c r="Q222" s="90">
        <v>0</v>
      </c>
      <c r="R222" s="90">
        <v>0</v>
      </c>
      <c r="S222" s="90">
        <v>0</v>
      </c>
      <c r="T222" s="90">
        <v>0</v>
      </c>
      <c r="U222" s="90">
        <v>0</v>
      </c>
      <c r="V222" s="90">
        <v>0</v>
      </c>
      <c r="W222" s="90">
        <v>0</v>
      </c>
      <c r="X222">
        <v>0</v>
      </c>
      <c r="Y222">
        <v>0</v>
      </c>
      <c r="Z222">
        <v>0</v>
      </c>
    </row>
    <row r="223" spans="2:26" s="94" customFormat="1" ht="12.75" customHeight="1" x14ac:dyDescent="0.25">
      <c r="C223" s="94" t="s">
        <v>119</v>
      </c>
      <c r="D223" s="94" t="s">
        <v>70</v>
      </c>
      <c r="E223" s="101"/>
      <c r="F223" s="93">
        <v>0</v>
      </c>
      <c r="G223" s="93">
        <v>0</v>
      </c>
      <c r="H223" s="93">
        <v>0</v>
      </c>
      <c r="I223" s="93">
        <v>0</v>
      </c>
      <c r="J223" s="93">
        <v>0</v>
      </c>
      <c r="K223" s="93">
        <v>0</v>
      </c>
      <c r="L223" s="93">
        <v>0</v>
      </c>
      <c r="M223" s="93">
        <v>0</v>
      </c>
      <c r="N223" s="93">
        <v>0</v>
      </c>
      <c r="O223" s="93">
        <v>0</v>
      </c>
      <c r="P223" s="93">
        <v>0</v>
      </c>
      <c r="Q223" s="93">
        <v>0</v>
      </c>
      <c r="R223" s="93">
        <v>0</v>
      </c>
      <c r="S223" s="93">
        <v>0</v>
      </c>
      <c r="T223" s="93">
        <v>0</v>
      </c>
      <c r="U223" s="93">
        <v>0</v>
      </c>
      <c r="V223" s="93">
        <v>0</v>
      </c>
      <c r="W223" s="93">
        <v>0</v>
      </c>
      <c r="X223" s="94">
        <v>0</v>
      </c>
      <c r="Y223" s="94">
        <v>0</v>
      </c>
      <c r="Z223" s="94">
        <v>0</v>
      </c>
    </row>
    <row r="224" spans="2:26" s="226" customFormat="1" ht="12.75" customHeight="1" x14ac:dyDescent="0.25">
      <c r="B224" s="98" t="s">
        <v>112</v>
      </c>
      <c r="C224" s="98" t="s">
        <v>70</v>
      </c>
      <c r="F224" s="100">
        <v>0</v>
      </c>
      <c r="G224" s="100">
        <v>0</v>
      </c>
      <c r="H224" s="100">
        <v>0</v>
      </c>
      <c r="I224" s="100">
        <v>0</v>
      </c>
      <c r="J224" s="100">
        <v>0</v>
      </c>
      <c r="K224" s="100">
        <v>0</v>
      </c>
      <c r="L224" s="100">
        <v>0</v>
      </c>
      <c r="M224" s="100">
        <v>0</v>
      </c>
      <c r="N224" s="100">
        <v>0</v>
      </c>
      <c r="O224" s="100">
        <v>0</v>
      </c>
      <c r="P224" s="100">
        <v>0</v>
      </c>
      <c r="Q224" s="100">
        <v>0</v>
      </c>
      <c r="R224" s="100">
        <v>0</v>
      </c>
      <c r="S224" s="100">
        <v>0</v>
      </c>
      <c r="T224" s="100">
        <v>0</v>
      </c>
      <c r="U224" s="100">
        <v>0</v>
      </c>
      <c r="V224" s="100">
        <v>0</v>
      </c>
      <c r="W224" s="100">
        <v>0</v>
      </c>
      <c r="X224" s="226">
        <v>0</v>
      </c>
      <c r="Y224" s="226">
        <v>0</v>
      </c>
      <c r="Z224" s="226">
        <v>0</v>
      </c>
    </row>
    <row r="225" spans="1:26" ht="12.75" customHeight="1" x14ac:dyDescent="0.25">
      <c r="A225" t="s">
        <v>78</v>
      </c>
      <c r="B225" s="89" t="s">
        <v>70</v>
      </c>
      <c r="C225" s="89"/>
      <c r="F225" s="90">
        <v>0</v>
      </c>
      <c r="G225" s="90">
        <v>0</v>
      </c>
      <c r="H225" s="90">
        <v>0</v>
      </c>
      <c r="I225" s="90">
        <v>0</v>
      </c>
      <c r="J225" s="90">
        <v>0</v>
      </c>
      <c r="K225" s="90">
        <v>0</v>
      </c>
      <c r="L225" s="90">
        <v>0</v>
      </c>
      <c r="M225" s="90">
        <v>0</v>
      </c>
      <c r="N225" s="90">
        <v>0</v>
      </c>
      <c r="O225" s="90">
        <v>0</v>
      </c>
      <c r="P225" s="90">
        <v>0</v>
      </c>
      <c r="Q225" s="90">
        <v>0</v>
      </c>
      <c r="R225" s="90">
        <v>0</v>
      </c>
      <c r="S225" s="90">
        <v>0</v>
      </c>
      <c r="T225" s="90">
        <v>0</v>
      </c>
      <c r="U225" s="90">
        <v>0</v>
      </c>
      <c r="V225" s="90">
        <v>0</v>
      </c>
      <c r="W225" s="90">
        <v>0</v>
      </c>
      <c r="X225">
        <v>0</v>
      </c>
      <c r="Y225">
        <v>0</v>
      </c>
      <c r="Z225">
        <v>0</v>
      </c>
    </row>
    <row r="226" spans="1:26" ht="12.75" customHeight="1" x14ac:dyDescent="0.25">
      <c r="B226" s="89"/>
      <c r="C226" s="89"/>
      <c r="E226" t="s">
        <v>73</v>
      </c>
      <c r="F226" s="90">
        <v>0</v>
      </c>
      <c r="G226" s="90">
        <v>0</v>
      </c>
      <c r="H226" s="90">
        <v>0</v>
      </c>
      <c r="I226" s="90">
        <v>0</v>
      </c>
      <c r="J226" s="90">
        <v>0</v>
      </c>
      <c r="K226" s="90">
        <v>0</v>
      </c>
      <c r="L226" s="90">
        <v>0</v>
      </c>
      <c r="M226" s="90">
        <v>0</v>
      </c>
      <c r="N226" s="90">
        <v>0</v>
      </c>
      <c r="O226" s="90">
        <v>0</v>
      </c>
      <c r="P226" s="90">
        <v>0</v>
      </c>
      <c r="Q226" s="90">
        <v>0</v>
      </c>
      <c r="R226" s="90">
        <v>0</v>
      </c>
      <c r="S226" s="90">
        <v>0</v>
      </c>
      <c r="T226" s="90">
        <v>0</v>
      </c>
      <c r="U226" s="90">
        <v>0</v>
      </c>
      <c r="V226" s="90">
        <v>0</v>
      </c>
      <c r="W226" s="90">
        <v>0</v>
      </c>
      <c r="X226">
        <v>0</v>
      </c>
      <c r="Y226">
        <v>0</v>
      </c>
      <c r="Z226">
        <v>0</v>
      </c>
    </row>
    <row r="227" spans="1:26" ht="12.75" customHeight="1" x14ac:dyDescent="0.25">
      <c r="B227" s="89"/>
      <c r="C227" s="89"/>
      <c r="D227" t="s">
        <v>156</v>
      </c>
      <c r="E227" t="s">
        <v>70</v>
      </c>
      <c r="F227" s="90">
        <v>0</v>
      </c>
      <c r="G227" s="90">
        <v>0</v>
      </c>
      <c r="H227" s="90">
        <v>0</v>
      </c>
      <c r="I227" s="90">
        <v>0</v>
      </c>
      <c r="J227" s="90">
        <v>0</v>
      </c>
      <c r="K227" s="90">
        <v>0</v>
      </c>
      <c r="L227" s="90">
        <v>0</v>
      </c>
      <c r="M227" s="90">
        <v>0</v>
      </c>
      <c r="N227" s="90">
        <v>0</v>
      </c>
      <c r="O227" s="90">
        <v>0</v>
      </c>
      <c r="P227" s="90">
        <v>0</v>
      </c>
      <c r="Q227" s="90">
        <v>0</v>
      </c>
      <c r="R227" s="90">
        <v>0</v>
      </c>
      <c r="S227" s="90">
        <v>0</v>
      </c>
      <c r="T227" s="90">
        <v>0</v>
      </c>
      <c r="U227" s="90">
        <v>0</v>
      </c>
      <c r="V227" s="90">
        <v>0</v>
      </c>
      <c r="W227" s="90">
        <v>0</v>
      </c>
      <c r="X227">
        <v>0</v>
      </c>
      <c r="Y227">
        <v>0</v>
      </c>
      <c r="Z227">
        <v>0</v>
      </c>
    </row>
    <row r="228" spans="1:26" s="656" customFormat="1" ht="12.75" customHeight="1" x14ac:dyDescent="0.25">
      <c r="C228" s="656" t="s">
        <v>155</v>
      </c>
      <c r="D228" s="657" t="s">
        <v>70</v>
      </c>
      <c r="E228" s="657"/>
      <c r="F228" s="658">
        <v>0</v>
      </c>
      <c r="G228" s="658">
        <v>0</v>
      </c>
      <c r="H228" s="658">
        <v>0</v>
      </c>
      <c r="I228" s="658">
        <v>0</v>
      </c>
      <c r="J228" s="658">
        <v>0</v>
      </c>
      <c r="K228" s="658">
        <v>0</v>
      </c>
      <c r="L228" s="658">
        <v>0</v>
      </c>
      <c r="M228" s="658">
        <v>0</v>
      </c>
      <c r="N228" s="658">
        <v>0</v>
      </c>
      <c r="O228" s="658">
        <v>0</v>
      </c>
      <c r="P228" s="658">
        <v>0</v>
      </c>
      <c r="Q228" s="658">
        <v>0</v>
      </c>
      <c r="R228" s="658">
        <v>0</v>
      </c>
      <c r="S228" s="658">
        <v>0</v>
      </c>
      <c r="T228" s="658">
        <v>0</v>
      </c>
      <c r="U228" s="658">
        <v>0</v>
      </c>
      <c r="V228" s="658">
        <v>0</v>
      </c>
      <c r="W228" s="658">
        <v>0</v>
      </c>
      <c r="X228" s="656">
        <v>0</v>
      </c>
      <c r="Y228" s="656">
        <v>0</v>
      </c>
      <c r="Z228" s="656">
        <v>0</v>
      </c>
    </row>
    <row r="229" spans="1:26" ht="12.75" customHeight="1" x14ac:dyDescent="0.25">
      <c r="E229" s="89" t="s">
        <v>73</v>
      </c>
      <c r="F229" s="90">
        <v>0</v>
      </c>
      <c r="G229" s="90">
        <v>0</v>
      </c>
      <c r="H229" s="90">
        <v>0</v>
      </c>
      <c r="I229" s="90">
        <v>0</v>
      </c>
      <c r="J229" s="90">
        <v>0</v>
      </c>
      <c r="K229" s="90">
        <v>0</v>
      </c>
      <c r="L229" s="90">
        <v>0</v>
      </c>
      <c r="M229" s="90">
        <v>0</v>
      </c>
      <c r="N229" s="90">
        <v>0</v>
      </c>
      <c r="O229" s="90">
        <v>0</v>
      </c>
      <c r="P229" s="90">
        <v>0</v>
      </c>
      <c r="Q229" s="90">
        <v>0</v>
      </c>
      <c r="R229" s="90">
        <v>0</v>
      </c>
      <c r="S229" s="90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 s="90">
        <v>0</v>
      </c>
      <c r="Z229">
        <v>0</v>
      </c>
    </row>
    <row r="230" spans="1:26" ht="12.75" customHeight="1" x14ac:dyDescent="0.25">
      <c r="D230" t="s">
        <v>115</v>
      </c>
      <c r="E230" s="89" t="s">
        <v>70</v>
      </c>
      <c r="F230" s="371">
        <v>0</v>
      </c>
      <c r="G230" s="90">
        <v>0</v>
      </c>
      <c r="H230" s="90">
        <v>0</v>
      </c>
      <c r="I230" s="90">
        <v>0</v>
      </c>
      <c r="J230" s="90">
        <v>0</v>
      </c>
      <c r="K230" s="90">
        <v>0</v>
      </c>
      <c r="L230" s="90">
        <v>0</v>
      </c>
      <c r="M230" s="90">
        <v>0</v>
      </c>
      <c r="N230" s="90">
        <v>0</v>
      </c>
      <c r="O230" s="90">
        <v>0</v>
      </c>
      <c r="P230" s="90">
        <v>0</v>
      </c>
      <c r="Q230" s="90">
        <v>0</v>
      </c>
      <c r="R230" s="90">
        <v>0</v>
      </c>
      <c r="S230" s="9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 s="90">
        <v>0</v>
      </c>
      <c r="Z230">
        <v>0</v>
      </c>
    </row>
    <row r="231" spans="1:26" ht="12.75" customHeight="1" x14ac:dyDescent="0.25">
      <c r="E231" s="89" t="s">
        <v>73</v>
      </c>
      <c r="F231" s="371">
        <v>0</v>
      </c>
      <c r="G231" s="90">
        <v>0</v>
      </c>
      <c r="H231" s="90">
        <v>0</v>
      </c>
      <c r="I231" s="90">
        <v>0</v>
      </c>
      <c r="J231" s="90">
        <v>0</v>
      </c>
      <c r="K231" s="90">
        <v>0</v>
      </c>
      <c r="L231" s="90">
        <v>0</v>
      </c>
      <c r="M231" s="90">
        <v>0</v>
      </c>
      <c r="N231" s="90">
        <v>0</v>
      </c>
      <c r="O231" s="90">
        <v>0</v>
      </c>
      <c r="P231" s="90">
        <v>0</v>
      </c>
      <c r="Q231" s="90">
        <v>0</v>
      </c>
      <c r="R231" s="90">
        <v>0</v>
      </c>
      <c r="S231" s="90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 s="90">
        <v>0</v>
      </c>
      <c r="Z231">
        <v>0</v>
      </c>
    </row>
    <row r="232" spans="1:26" ht="12.75" customHeight="1" x14ac:dyDescent="0.25">
      <c r="D232" s="772">
        <v>2</v>
      </c>
      <c r="E232" s="89" t="s">
        <v>70</v>
      </c>
      <c r="F232" s="371">
        <v>0</v>
      </c>
      <c r="G232" s="90">
        <v>0</v>
      </c>
      <c r="H232" s="90">
        <v>0</v>
      </c>
      <c r="I232" s="90">
        <v>0</v>
      </c>
      <c r="J232" s="90">
        <v>0</v>
      </c>
      <c r="K232" s="90">
        <v>0</v>
      </c>
      <c r="L232" s="90">
        <v>0</v>
      </c>
      <c r="M232" s="90">
        <v>0</v>
      </c>
      <c r="N232" s="90">
        <v>0</v>
      </c>
      <c r="O232" s="90">
        <v>0</v>
      </c>
      <c r="P232" s="90">
        <v>0</v>
      </c>
      <c r="Q232" s="90">
        <v>0</v>
      </c>
      <c r="R232" s="90">
        <v>0</v>
      </c>
      <c r="S232" s="90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 s="90">
        <v>0</v>
      </c>
      <c r="Z232">
        <v>0</v>
      </c>
    </row>
    <row r="233" spans="1:26" ht="12.75" customHeight="1" x14ac:dyDescent="0.25">
      <c r="E233" s="89" t="s">
        <v>73</v>
      </c>
      <c r="F233" s="371">
        <v>0</v>
      </c>
      <c r="G233" s="90">
        <v>0</v>
      </c>
      <c r="H233" s="90">
        <v>0</v>
      </c>
      <c r="I233" s="90">
        <v>0</v>
      </c>
      <c r="J233" s="90">
        <v>0</v>
      </c>
      <c r="K233" s="90">
        <v>0</v>
      </c>
      <c r="L233" s="90">
        <v>0</v>
      </c>
      <c r="M233" s="90">
        <v>0</v>
      </c>
      <c r="N233" s="90">
        <v>0</v>
      </c>
      <c r="O233" s="90">
        <v>0</v>
      </c>
      <c r="P233" s="90">
        <v>0</v>
      </c>
      <c r="Q233" s="90">
        <v>0</v>
      </c>
      <c r="R233" s="90">
        <v>0</v>
      </c>
      <c r="S233" s="90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 s="90">
        <v>0</v>
      </c>
      <c r="Z233">
        <v>0</v>
      </c>
    </row>
    <row r="234" spans="1:26" ht="12.75" customHeight="1" x14ac:dyDescent="0.25">
      <c r="D234" s="772">
        <v>3</v>
      </c>
      <c r="E234" s="89" t="s">
        <v>70</v>
      </c>
      <c r="F234" s="371">
        <v>0</v>
      </c>
      <c r="G234" s="90">
        <v>0</v>
      </c>
      <c r="H234" s="90">
        <v>0</v>
      </c>
      <c r="I234" s="90">
        <v>0</v>
      </c>
      <c r="J234" s="90">
        <v>0</v>
      </c>
      <c r="K234" s="90">
        <v>0</v>
      </c>
      <c r="L234" s="90">
        <v>0</v>
      </c>
      <c r="M234" s="90">
        <v>0</v>
      </c>
      <c r="N234" s="90">
        <v>0</v>
      </c>
      <c r="O234" s="90">
        <v>0</v>
      </c>
      <c r="P234" s="90">
        <v>0</v>
      </c>
      <c r="Q234" s="90">
        <v>0</v>
      </c>
      <c r="R234" s="90">
        <v>0</v>
      </c>
      <c r="S234" s="90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 s="90">
        <v>0</v>
      </c>
      <c r="Z234">
        <v>0</v>
      </c>
    </row>
    <row r="235" spans="1:26" ht="12.75" customHeight="1" x14ac:dyDescent="0.25">
      <c r="D235" s="772"/>
      <c r="E235" s="89" t="s">
        <v>73</v>
      </c>
      <c r="F235" s="90">
        <v>0</v>
      </c>
      <c r="G235" s="90">
        <v>0</v>
      </c>
      <c r="H235" s="90">
        <v>0</v>
      </c>
      <c r="I235" s="90">
        <v>0</v>
      </c>
      <c r="J235" s="90">
        <v>0</v>
      </c>
      <c r="K235" s="90">
        <v>0</v>
      </c>
      <c r="L235" s="90">
        <v>0</v>
      </c>
      <c r="M235" s="90">
        <v>0</v>
      </c>
      <c r="N235" s="90">
        <v>0</v>
      </c>
      <c r="O235" s="90">
        <v>0</v>
      </c>
      <c r="P235" s="90">
        <v>0</v>
      </c>
      <c r="Q235" s="90">
        <v>0</v>
      </c>
      <c r="R235" s="90">
        <v>0</v>
      </c>
      <c r="S235" s="90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 s="90">
        <v>0</v>
      </c>
      <c r="Z235">
        <v>0</v>
      </c>
    </row>
    <row r="236" spans="1:26" ht="12.75" customHeight="1" x14ac:dyDescent="0.25">
      <c r="D236" s="772">
        <v>4</v>
      </c>
      <c r="E236" s="89" t="s">
        <v>70</v>
      </c>
      <c r="F236" s="371">
        <v>0</v>
      </c>
      <c r="G236" s="90">
        <v>0</v>
      </c>
      <c r="H236" s="90">
        <v>0</v>
      </c>
      <c r="I236" s="90">
        <v>0</v>
      </c>
      <c r="J236" s="90">
        <v>0</v>
      </c>
      <c r="K236" s="90">
        <v>0</v>
      </c>
      <c r="L236" s="90">
        <v>0</v>
      </c>
      <c r="M236" s="90">
        <v>0</v>
      </c>
      <c r="N236" s="90">
        <v>0</v>
      </c>
      <c r="O236" s="90">
        <v>0</v>
      </c>
      <c r="P236" s="90">
        <v>0</v>
      </c>
      <c r="Q236" s="90">
        <v>0</v>
      </c>
      <c r="R236" s="90">
        <v>0</v>
      </c>
      <c r="S236" s="90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 s="90">
        <v>0</v>
      </c>
      <c r="Z236">
        <v>0</v>
      </c>
    </row>
    <row r="237" spans="1:26" ht="12.75" customHeight="1" x14ac:dyDescent="0.25">
      <c r="D237" s="772"/>
      <c r="E237" s="89" t="s">
        <v>73</v>
      </c>
      <c r="F237" s="371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 s="90">
        <v>0</v>
      </c>
      <c r="Z237">
        <v>0</v>
      </c>
    </row>
    <row r="238" spans="1:26" ht="12.75" customHeight="1" x14ac:dyDescent="0.25">
      <c r="D238" s="772" t="s">
        <v>118</v>
      </c>
      <c r="E238" s="89" t="s">
        <v>70</v>
      </c>
      <c r="F238" s="371">
        <v>0</v>
      </c>
      <c r="G238" s="90">
        <v>0</v>
      </c>
      <c r="H238" s="90">
        <v>0</v>
      </c>
      <c r="I238" s="90">
        <v>0</v>
      </c>
      <c r="J238" s="90">
        <v>0</v>
      </c>
      <c r="K238" s="90">
        <v>0</v>
      </c>
      <c r="L238" s="90">
        <v>0</v>
      </c>
      <c r="M238" s="90">
        <v>0</v>
      </c>
      <c r="N238" s="90">
        <v>0</v>
      </c>
      <c r="O238" s="90">
        <v>0</v>
      </c>
      <c r="P238" s="90">
        <v>0</v>
      </c>
      <c r="Q238" s="90">
        <v>0</v>
      </c>
      <c r="R238" s="90">
        <v>0</v>
      </c>
      <c r="S238" s="90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 s="90">
        <v>0</v>
      </c>
      <c r="Z238">
        <v>0</v>
      </c>
    </row>
    <row r="239" spans="1:26" ht="12.75" customHeight="1" x14ac:dyDescent="0.25">
      <c r="D239" s="772"/>
      <c r="E239" s="89" t="s">
        <v>73</v>
      </c>
      <c r="F239" s="371">
        <v>0</v>
      </c>
      <c r="G239" s="90">
        <v>0</v>
      </c>
      <c r="H239" s="90">
        <v>0</v>
      </c>
      <c r="I239" s="90">
        <v>0</v>
      </c>
      <c r="J239" s="90">
        <v>0</v>
      </c>
      <c r="K239" s="90">
        <v>0</v>
      </c>
      <c r="L239" s="90">
        <v>0</v>
      </c>
      <c r="M239" s="90">
        <v>0</v>
      </c>
      <c r="N239" s="90">
        <v>0</v>
      </c>
      <c r="O239" s="90">
        <v>0</v>
      </c>
      <c r="P239" s="90">
        <v>0</v>
      </c>
      <c r="Q239" s="90">
        <v>0</v>
      </c>
      <c r="R239" s="90">
        <v>0</v>
      </c>
      <c r="S239" s="90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 s="90">
        <v>0</v>
      </c>
      <c r="Z239">
        <v>0</v>
      </c>
    </row>
    <row r="240" spans="1:26" ht="12.75" customHeight="1" x14ac:dyDescent="0.25">
      <c r="D240" s="772">
        <v>6</v>
      </c>
      <c r="E240" s="89" t="s">
        <v>70</v>
      </c>
      <c r="F240" s="371">
        <v>0</v>
      </c>
      <c r="G240" s="90">
        <v>0</v>
      </c>
      <c r="H240" s="90">
        <v>0</v>
      </c>
      <c r="I240" s="90">
        <v>0</v>
      </c>
      <c r="J240" s="90">
        <v>0</v>
      </c>
      <c r="K240" s="90">
        <v>0</v>
      </c>
      <c r="L240" s="90">
        <v>0</v>
      </c>
      <c r="M240" s="90">
        <v>0</v>
      </c>
      <c r="N240" s="90">
        <v>0</v>
      </c>
      <c r="O240" s="90">
        <v>0</v>
      </c>
      <c r="P240" s="90">
        <v>0</v>
      </c>
      <c r="Q240" s="90">
        <v>0</v>
      </c>
      <c r="R240" s="90">
        <v>0</v>
      </c>
      <c r="S240" s="9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 s="90">
        <v>0</v>
      </c>
      <c r="Z240">
        <v>0</v>
      </c>
    </row>
    <row r="241" spans="2:26" ht="12.75" customHeight="1" x14ac:dyDescent="0.25">
      <c r="E241" s="89" t="s">
        <v>73</v>
      </c>
      <c r="F241" s="371">
        <v>0</v>
      </c>
      <c r="G241" s="90">
        <v>0</v>
      </c>
      <c r="H241" s="90">
        <v>0</v>
      </c>
      <c r="I241" s="90">
        <v>0</v>
      </c>
      <c r="J241" s="90">
        <v>0</v>
      </c>
      <c r="K241" s="90">
        <v>0</v>
      </c>
      <c r="L241" s="90">
        <v>0</v>
      </c>
      <c r="M241" s="90">
        <v>0</v>
      </c>
      <c r="N241" s="90">
        <v>0</v>
      </c>
      <c r="O241" s="90">
        <v>0</v>
      </c>
      <c r="P241" s="90">
        <v>0</v>
      </c>
      <c r="Q241" s="90">
        <v>0</v>
      </c>
      <c r="R241" s="90">
        <v>0</v>
      </c>
      <c r="S241" s="90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 s="90">
        <v>0</v>
      </c>
      <c r="Z241">
        <v>0</v>
      </c>
    </row>
    <row r="242" spans="2:26" ht="12.75" customHeight="1" x14ac:dyDescent="0.25">
      <c r="D242" s="772">
        <v>9</v>
      </c>
      <c r="E242" s="89" t="s">
        <v>70</v>
      </c>
      <c r="F242" s="371">
        <v>0</v>
      </c>
      <c r="G242" s="90">
        <v>0</v>
      </c>
      <c r="H242" s="90">
        <v>0</v>
      </c>
      <c r="I242" s="90">
        <v>0</v>
      </c>
      <c r="J242" s="90">
        <v>0</v>
      </c>
      <c r="K242" s="90">
        <v>0</v>
      </c>
      <c r="L242" s="90">
        <v>0</v>
      </c>
      <c r="M242" s="90">
        <v>0</v>
      </c>
      <c r="N242" s="90">
        <v>0</v>
      </c>
      <c r="O242" s="90">
        <v>0</v>
      </c>
      <c r="P242" s="90">
        <v>0</v>
      </c>
      <c r="Q242" s="90">
        <v>0</v>
      </c>
      <c r="R242" s="90">
        <v>0</v>
      </c>
      <c r="S242" s="90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 s="90">
        <v>0</v>
      </c>
      <c r="Z242">
        <v>0</v>
      </c>
    </row>
    <row r="243" spans="2:26" s="224" customFormat="1" ht="12.75" customHeight="1" x14ac:dyDescent="0.25">
      <c r="C243" s="223" t="s">
        <v>120</v>
      </c>
      <c r="D243" s="223" t="s">
        <v>70</v>
      </c>
      <c r="F243" s="225">
        <v>0</v>
      </c>
      <c r="G243" s="225">
        <v>0</v>
      </c>
      <c r="H243" s="225">
        <v>0</v>
      </c>
      <c r="I243" s="225">
        <v>0</v>
      </c>
      <c r="J243" s="225">
        <v>0</v>
      </c>
      <c r="K243" s="225">
        <v>0</v>
      </c>
      <c r="L243" s="225">
        <v>0</v>
      </c>
      <c r="M243" s="225">
        <v>0</v>
      </c>
      <c r="N243" s="225">
        <v>0</v>
      </c>
      <c r="O243" s="225">
        <v>0</v>
      </c>
      <c r="P243" s="225">
        <v>0</v>
      </c>
      <c r="Q243" s="225">
        <v>0</v>
      </c>
      <c r="R243" s="225">
        <v>0</v>
      </c>
      <c r="S243" s="225">
        <v>0</v>
      </c>
      <c r="T243" s="224">
        <v>0</v>
      </c>
      <c r="U243" s="224">
        <v>0</v>
      </c>
      <c r="V243" s="224">
        <v>0</v>
      </c>
      <c r="W243" s="224">
        <v>0</v>
      </c>
      <c r="X243" s="224">
        <v>0</v>
      </c>
      <c r="Y243" s="225">
        <v>0</v>
      </c>
      <c r="Z243" s="224">
        <v>0</v>
      </c>
    </row>
    <row r="244" spans="2:26" ht="12.75" customHeight="1" x14ac:dyDescent="0.25">
      <c r="D244" s="89"/>
      <c r="E244" s="89" t="s">
        <v>73</v>
      </c>
      <c r="F244" s="371">
        <v>0</v>
      </c>
      <c r="G244" s="90">
        <v>0</v>
      </c>
      <c r="H244" s="90">
        <v>0</v>
      </c>
      <c r="I244" s="90">
        <v>0</v>
      </c>
      <c r="J244" s="90">
        <v>0</v>
      </c>
      <c r="K244" s="90">
        <v>0</v>
      </c>
      <c r="L244" s="90">
        <v>0</v>
      </c>
      <c r="M244" s="90">
        <v>0</v>
      </c>
      <c r="N244" s="90">
        <v>0</v>
      </c>
      <c r="O244" s="90">
        <v>0</v>
      </c>
      <c r="P244" s="90">
        <v>0</v>
      </c>
      <c r="Q244" s="90">
        <v>0</v>
      </c>
      <c r="R244" s="90">
        <v>0</v>
      </c>
      <c r="S244" s="90">
        <v>0</v>
      </c>
      <c r="T244" s="90">
        <v>0</v>
      </c>
      <c r="U244" s="90">
        <v>0</v>
      </c>
      <c r="V244" s="90">
        <v>0</v>
      </c>
      <c r="W244" s="90">
        <v>0</v>
      </c>
      <c r="X244">
        <v>0</v>
      </c>
      <c r="Y244">
        <v>0</v>
      </c>
      <c r="Z244">
        <v>0</v>
      </c>
    </row>
    <row r="245" spans="2:26" ht="12.75" customHeight="1" x14ac:dyDescent="0.25">
      <c r="D245" s="89" t="s">
        <v>82</v>
      </c>
      <c r="E245" s="89" t="s">
        <v>70</v>
      </c>
      <c r="F245" s="371">
        <v>0</v>
      </c>
      <c r="G245" s="90">
        <v>0</v>
      </c>
      <c r="H245" s="90">
        <v>0</v>
      </c>
      <c r="I245" s="90">
        <v>0</v>
      </c>
      <c r="J245" s="90">
        <v>0</v>
      </c>
      <c r="K245" s="90">
        <v>0</v>
      </c>
      <c r="L245" s="90">
        <v>0</v>
      </c>
      <c r="M245" s="90">
        <v>0</v>
      </c>
      <c r="N245" s="90">
        <v>0</v>
      </c>
      <c r="O245" s="90">
        <v>0</v>
      </c>
      <c r="P245" s="90">
        <v>0</v>
      </c>
      <c r="Q245" s="90">
        <v>0</v>
      </c>
      <c r="R245" s="90">
        <v>0</v>
      </c>
      <c r="S245" s="90">
        <v>0</v>
      </c>
      <c r="T245" s="90">
        <v>0</v>
      </c>
      <c r="U245" s="90">
        <v>0</v>
      </c>
      <c r="V245" s="90">
        <v>0</v>
      </c>
      <c r="W245" s="90">
        <v>0</v>
      </c>
      <c r="X245">
        <v>0</v>
      </c>
      <c r="Y245">
        <v>0</v>
      </c>
      <c r="Z245">
        <v>0</v>
      </c>
    </row>
    <row r="246" spans="2:26" ht="12.75" customHeight="1" x14ac:dyDescent="0.25">
      <c r="D246" s="89"/>
      <c r="E246" s="89" t="s">
        <v>73</v>
      </c>
      <c r="F246" s="371">
        <v>0</v>
      </c>
      <c r="G246" s="90">
        <v>0</v>
      </c>
      <c r="H246" s="90">
        <v>0</v>
      </c>
      <c r="I246" s="90">
        <v>0</v>
      </c>
      <c r="J246" s="90">
        <v>0</v>
      </c>
      <c r="K246" s="90">
        <v>0</v>
      </c>
      <c r="L246" s="90">
        <v>0</v>
      </c>
      <c r="M246" s="90">
        <v>0</v>
      </c>
      <c r="N246" s="90">
        <v>0</v>
      </c>
      <c r="O246" s="90">
        <v>0</v>
      </c>
      <c r="P246" s="90">
        <v>0</v>
      </c>
      <c r="Q246" s="90">
        <v>0</v>
      </c>
      <c r="R246" s="90">
        <v>0</v>
      </c>
      <c r="S246" s="90">
        <v>0</v>
      </c>
      <c r="T246" s="90">
        <v>0</v>
      </c>
      <c r="U246" s="90">
        <v>0</v>
      </c>
      <c r="V246" s="90">
        <v>0</v>
      </c>
      <c r="W246" s="90">
        <v>0</v>
      </c>
      <c r="X246">
        <v>0</v>
      </c>
      <c r="Y246">
        <v>0</v>
      </c>
      <c r="Z246">
        <v>0</v>
      </c>
    </row>
    <row r="247" spans="2:26" ht="12.75" customHeight="1" x14ac:dyDescent="0.25">
      <c r="D247" s="89" t="s">
        <v>86</v>
      </c>
      <c r="E247" s="89" t="s">
        <v>70</v>
      </c>
      <c r="F247" s="371">
        <v>0</v>
      </c>
      <c r="G247" s="90">
        <v>0</v>
      </c>
      <c r="H247" s="90">
        <v>0</v>
      </c>
      <c r="I247" s="90">
        <v>0</v>
      </c>
      <c r="J247" s="90">
        <v>0</v>
      </c>
      <c r="K247" s="90">
        <v>0</v>
      </c>
      <c r="L247" s="90">
        <v>0</v>
      </c>
      <c r="M247" s="90">
        <v>0</v>
      </c>
      <c r="N247" s="90">
        <v>0</v>
      </c>
      <c r="O247" s="90">
        <v>0</v>
      </c>
      <c r="P247" s="90">
        <v>0</v>
      </c>
      <c r="Q247" s="90">
        <v>0</v>
      </c>
      <c r="R247" s="90">
        <v>0</v>
      </c>
      <c r="S247" s="90">
        <v>0</v>
      </c>
      <c r="T247" s="90">
        <v>0</v>
      </c>
      <c r="U247" s="90">
        <v>0</v>
      </c>
      <c r="V247" s="90">
        <v>0</v>
      </c>
      <c r="W247" s="90">
        <v>0</v>
      </c>
      <c r="X247">
        <v>0</v>
      </c>
      <c r="Y247">
        <v>0</v>
      </c>
      <c r="Z247">
        <v>0</v>
      </c>
    </row>
    <row r="248" spans="2:26" x14ac:dyDescent="0.25">
      <c r="E248" t="s">
        <v>73</v>
      </c>
      <c r="F248" s="90">
        <v>0</v>
      </c>
      <c r="G248" s="90">
        <v>0</v>
      </c>
      <c r="H248" s="90">
        <v>0</v>
      </c>
      <c r="I248" s="90">
        <v>0</v>
      </c>
      <c r="J248" s="90">
        <v>0</v>
      </c>
      <c r="K248" s="90">
        <v>0</v>
      </c>
      <c r="L248" s="90">
        <v>0</v>
      </c>
      <c r="M248" s="90">
        <v>0</v>
      </c>
      <c r="N248" s="90">
        <v>0</v>
      </c>
      <c r="O248" s="90">
        <v>0</v>
      </c>
      <c r="P248" s="90">
        <v>0</v>
      </c>
      <c r="Q248" s="90">
        <v>0</v>
      </c>
      <c r="R248" s="90">
        <v>0</v>
      </c>
      <c r="S248" s="90">
        <v>0</v>
      </c>
      <c r="T248" s="90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 s="90">
        <v>0</v>
      </c>
    </row>
    <row r="249" spans="2:26" x14ac:dyDescent="0.25">
      <c r="D249" t="s">
        <v>87</v>
      </c>
      <c r="E249" t="s">
        <v>70</v>
      </c>
      <c r="F249" s="90">
        <v>0</v>
      </c>
      <c r="G249" s="90">
        <v>0</v>
      </c>
      <c r="H249" s="90">
        <v>0</v>
      </c>
      <c r="I249" s="90">
        <v>0</v>
      </c>
      <c r="J249" s="90">
        <v>0</v>
      </c>
      <c r="K249" s="90">
        <v>0</v>
      </c>
      <c r="L249" s="90">
        <v>0</v>
      </c>
      <c r="M249" s="90">
        <v>0</v>
      </c>
      <c r="N249" s="90">
        <v>0</v>
      </c>
      <c r="O249" s="90">
        <v>0</v>
      </c>
      <c r="P249" s="90">
        <v>0</v>
      </c>
      <c r="Q249" s="90">
        <v>0</v>
      </c>
      <c r="R249" s="90">
        <v>0</v>
      </c>
      <c r="S249" s="90">
        <v>0</v>
      </c>
      <c r="T249" s="90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 s="90">
        <v>0</v>
      </c>
    </row>
    <row r="250" spans="2:26" s="94" customFormat="1" ht="12.75" customHeight="1" x14ac:dyDescent="0.25">
      <c r="C250" s="94" t="s">
        <v>119</v>
      </c>
      <c r="D250" s="94" t="s">
        <v>70</v>
      </c>
      <c r="E250" s="101"/>
      <c r="F250" s="93">
        <v>0</v>
      </c>
      <c r="G250" s="93">
        <v>0</v>
      </c>
      <c r="H250" s="93">
        <v>0</v>
      </c>
      <c r="I250" s="93">
        <v>0</v>
      </c>
      <c r="J250" s="93">
        <v>0</v>
      </c>
      <c r="K250" s="93">
        <v>0</v>
      </c>
      <c r="L250" s="93">
        <v>0</v>
      </c>
      <c r="M250" s="93">
        <v>0</v>
      </c>
      <c r="N250" s="93">
        <v>0</v>
      </c>
      <c r="O250" s="93">
        <v>0</v>
      </c>
      <c r="P250" s="93">
        <v>0</v>
      </c>
      <c r="Q250" s="93">
        <v>0</v>
      </c>
      <c r="R250" s="93">
        <v>0</v>
      </c>
      <c r="S250" s="93">
        <v>0</v>
      </c>
      <c r="T250" s="93">
        <v>0</v>
      </c>
      <c r="U250" s="93">
        <v>0</v>
      </c>
      <c r="V250" s="93">
        <v>0</v>
      </c>
      <c r="W250" s="93">
        <v>0</v>
      </c>
      <c r="X250" s="94">
        <v>0</v>
      </c>
      <c r="Y250" s="94">
        <v>0</v>
      </c>
      <c r="Z250" s="94">
        <v>0</v>
      </c>
    </row>
    <row r="251" spans="2:26" s="378" customFormat="1" ht="12.75" customHeight="1" x14ac:dyDescent="0.25">
      <c r="B251" s="378" t="s">
        <v>122</v>
      </c>
      <c r="C251" s="378" t="s">
        <v>70</v>
      </c>
      <c r="E251" s="376"/>
      <c r="F251" s="710">
        <v>0</v>
      </c>
      <c r="G251" s="377">
        <v>0</v>
      </c>
      <c r="H251" s="377">
        <v>0</v>
      </c>
      <c r="I251" s="377">
        <v>0</v>
      </c>
      <c r="J251" s="377">
        <v>0</v>
      </c>
      <c r="K251" s="377">
        <v>0</v>
      </c>
      <c r="L251" s="377">
        <v>0</v>
      </c>
      <c r="M251" s="377">
        <v>0</v>
      </c>
      <c r="N251" s="377">
        <v>0</v>
      </c>
      <c r="O251" s="377">
        <v>0</v>
      </c>
      <c r="P251" s="377">
        <v>0</v>
      </c>
      <c r="Q251" s="377">
        <v>0</v>
      </c>
      <c r="R251" s="377">
        <v>0</v>
      </c>
      <c r="S251" s="377">
        <v>0</v>
      </c>
      <c r="T251" s="377">
        <v>0</v>
      </c>
      <c r="U251" s="377">
        <v>0</v>
      </c>
      <c r="V251" s="377">
        <v>0</v>
      </c>
      <c r="W251" s="377">
        <v>0</v>
      </c>
      <c r="X251" s="378">
        <v>0</v>
      </c>
      <c r="Y251" s="378">
        <v>0</v>
      </c>
      <c r="Z251" s="378">
        <v>0</v>
      </c>
    </row>
    <row r="252" spans="2:26" ht="12.75" customHeight="1" x14ac:dyDescent="0.25">
      <c r="E252" s="89" t="s">
        <v>73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>
        <v>0</v>
      </c>
      <c r="Y252">
        <v>0</v>
      </c>
      <c r="Z252">
        <v>0</v>
      </c>
    </row>
    <row r="253" spans="2:26" ht="12.75" customHeight="1" x14ac:dyDescent="0.25">
      <c r="D253" s="89" t="s">
        <v>156</v>
      </c>
      <c r="E253" s="89" t="s">
        <v>70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>
        <v>0</v>
      </c>
      <c r="Y253">
        <v>0</v>
      </c>
      <c r="Z253">
        <v>0</v>
      </c>
    </row>
    <row r="254" spans="2:26" s="656" customFormat="1" ht="12.75" customHeight="1" x14ac:dyDescent="0.25">
      <c r="C254" s="656" t="s">
        <v>155</v>
      </c>
      <c r="D254" s="657" t="s">
        <v>70</v>
      </c>
      <c r="E254" s="657"/>
      <c r="F254" s="738">
        <v>0</v>
      </c>
      <c r="G254" s="658">
        <v>0</v>
      </c>
      <c r="H254" s="658">
        <v>0</v>
      </c>
      <c r="I254" s="658">
        <v>0</v>
      </c>
      <c r="J254" s="658">
        <v>0</v>
      </c>
      <c r="K254" s="658">
        <v>0</v>
      </c>
      <c r="L254" s="658">
        <v>0</v>
      </c>
      <c r="M254" s="658">
        <v>0</v>
      </c>
      <c r="N254" s="658">
        <v>0</v>
      </c>
      <c r="O254" s="658">
        <v>0</v>
      </c>
      <c r="P254" s="658">
        <v>0</v>
      </c>
      <c r="Q254" s="658">
        <v>0</v>
      </c>
      <c r="R254" s="658">
        <v>0</v>
      </c>
      <c r="S254" s="658">
        <v>0</v>
      </c>
      <c r="T254" s="658">
        <v>0</v>
      </c>
      <c r="U254" s="658">
        <v>0</v>
      </c>
      <c r="V254" s="658">
        <v>0</v>
      </c>
      <c r="W254" s="658">
        <v>0</v>
      </c>
      <c r="X254" s="656">
        <v>0</v>
      </c>
      <c r="Y254" s="656">
        <v>0</v>
      </c>
      <c r="Z254" s="656">
        <v>0</v>
      </c>
    </row>
    <row r="255" spans="2:26" ht="12.75" customHeight="1" x14ac:dyDescent="0.25">
      <c r="D255" s="89"/>
      <c r="E255" s="89" t="s">
        <v>73</v>
      </c>
      <c r="F255" s="371">
        <v>0</v>
      </c>
      <c r="G255" s="90">
        <v>0</v>
      </c>
      <c r="H255" s="90">
        <v>0</v>
      </c>
      <c r="I255" s="90">
        <v>0</v>
      </c>
      <c r="J255" s="90">
        <v>0</v>
      </c>
      <c r="K255" s="90">
        <v>0</v>
      </c>
      <c r="L255" s="90">
        <v>0</v>
      </c>
      <c r="M255" s="90">
        <v>0</v>
      </c>
      <c r="N255" s="90">
        <v>0</v>
      </c>
      <c r="O255" s="90">
        <v>0</v>
      </c>
      <c r="P255" s="90">
        <v>0</v>
      </c>
      <c r="Q255" s="90">
        <v>0</v>
      </c>
      <c r="R255" s="90">
        <v>0</v>
      </c>
      <c r="S255" s="90">
        <v>0</v>
      </c>
      <c r="T255" s="90">
        <v>0</v>
      </c>
      <c r="U255" s="90">
        <v>0</v>
      </c>
      <c r="V255" s="90">
        <v>0</v>
      </c>
      <c r="W255" s="90">
        <v>0</v>
      </c>
      <c r="X255">
        <v>0</v>
      </c>
      <c r="Y255">
        <v>0</v>
      </c>
      <c r="Z255">
        <v>0</v>
      </c>
    </row>
    <row r="256" spans="2:26" ht="12.75" customHeight="1" x14ac:dyDescent="0.25">
      <c r="D256" s="89" t="s">
        <v>115</v>
      </c>
      <c r="E256" s="89" t="s">
        <v>70</v>
      </c>
      <c r="F256" s="371">
        <v>0</v>
      </c>
      <c r="G256" s="90">
        <v>0</v>
      </c>
      <c r="H256" s="90">
        <v>0</v>
      </c>
      <c r="I256" s="90">
        <v>0</v>
      </c>
      <c r="J256" s="90">
        <v>0</v>
      </c>
      <c r="K256" s="90">
        <v>0</v>
      </c>
      <c r="L256" s="90">
        <v>0</v>
      </c>
      <c r="M256" s="90">
        <v>0</v>
      </c>
      <c r="N256" s="90">
        <v>0</v>
      </c>
      <c r="O256" s="90">
        <v>0</v>
      </c>
      <c r="P256" s="90">
        <v>0</v>
      </c>
      <c r="Q256" s="90">
        <v>0</v>
      </c>
      <c r="R256" s="90">
        <v>0</v>
      </c>
      <c r="S256" s="90">
        <v>0</v>
      </c>
      <c r="T256" s="90">
        <v>0</v>
      </c>
      <c r="U256" s="90">
        <v>0</v>
      </c>
      <c r="V256" s="90">
        <v>0</v>
      </c>
      <c r="W256" s="90">
        <v>0</v>
      </c>
      <c r="X256">
        <v>0</v>
      </c>
      <c r="Y256">
        <v>0</v>
      </c>
      <c r="Z256">
        <v>0</v>
      </c>
    </row>
    <row r="257" spans="3:26" ht="12.75" customHeight="1" x14ac:dyDescent="0.25">
      <c r="D257" s="89"/>
      <c r="E257" s="89" t="s">
        <v>73</v>
      </c>
      <c r="F257" s="371">
        <v>0</v>
      </c>
      <c r="G257" s="90">
        <v>0</v>
      </c>
      <c r="H257" s="90">
        <v>0</v>
      </c>
      <c r="I257" s="90">
        <v>0</v>
      </c>
      <c r="J257" s="90">
        <v>0</v>
      </c>
      <c r="K257" s="90">
        <v>0</v>
      </c>
      <c r="L257" s="90">
        <v>0</v>
      </c>
      <c r="M257" s="90">
        <v>0</v>
      </c>
      <c r="N257" s="90">
        <v>0</v>
      </c>
      <c r="O257" s="90">
        <v>0</v>
      </c>
      <c r="P257" s="90">
        <v>0</v>
      </c>
      <c r="Q257" s="90">
        <v>0</v>
      </c>
      <c r="R257" s="90">
        <v>0</v>
      </c>
      <c r="S257" s="90">
        <v>0</v>
      </c>
      <c r="T257" s="90">
        <v>0</v>
      </c>
      <c r="U257" s="90">
        <v>0</v>
      </c>
      <c r="V257" s="90">
        <v>0</v>
      </c>
      <c r="W257" s="90">
        <v>0</v>
      </c>
      <c r="X257">
        <v>0</v>
      </c>
      <c r="Y257">
        <v>0</v>
      </c>
      <c r="Z257">
        <v>0</v>
      </c>
    </row>
    <row r="258" spans="3:26" ht="12.75" customHeight="1" x14ac:dyDescent="0.25">
      <c r="D258" s="89" t="s">
        <v>116</v>
      </c>
      <c r="E258" s="89" t="s">
        <v>70</v>
      </c>
      <c r="F258" s="371">
        <v>0</v>
      </c>
      <c r="G258" s="90">
        <v>0</v>
      </c>
      <c r="H258" s="90">
        <v>0</v>
      </c>
      <c r="I258" s="90">
        <v>0</v>
      </c>
      <c r="J258" s="90">
        <v>0</v>
      </c>
      <c r="K258" s="90">
        <v>0</v>
      </c>
      <c r="L258" s="90">
        <v>0</v>
      </c>
      <c r="M258" s="90">
        <v>0</v>
      </c>
      <c r="N258" s="90">
        <v>0</v>
      </c>
      <c r="O258" s="90">
        <v>0</v>
      </c>
      <c r="P258" s="90">
        <v>0</v>
      </c>
      <c r="Q258" s="90">
        <v>0</v>
      </c>
      <c r="R258" s="90">
        <v>0</v>
      </c>
      <c r="S258" s="90">
        <v>0</v>
      </c>
      <c r="T258" s="90">
        <v>0</v>
      </c>
      <c r="U258" s="90">
        <v>0</v>
      </c>
      <c r="V258" s="90">
        <v>0</v>
      </c>
      <c r="W258" s="90">
        <v>0</v>
      </c>
      <c r="X258">
        <v>0</v>
      </c>
      <c r="Y258">
        <v>0</v>
      </c>
      <c r="Z258">
        <v>0</v>
      </c>
    </row>
    <row r="259" spans="3:26" ht="12.75" customHeight="1" x14ac:dyDescent="0.25">
      <c r="D259" s="89"/>
      <c r="E259" s="89" t="s">
        <v>73</v>
      </c>
      <c r="F259" s="371">
        <v>0</v>
      </c>
      <c r="G259" s="90">
        <v>0</v>
      </c>
      <c r="H259" s="90">
        <v>0</v>
      </c>
      <c r="I259" s="90">
        <v>0</v>
      </c>
      <c r="J259" s="90">
        <v>0</v>
      </c>
      <c r="K259" s="90">
        <v>0</v>
      </c>
      <c r="L259" s="90">
        <v>0</v>
      </c>
      <c r="M259" s="90">
        <v>0</v>
      </c>
      <c r="N259" s="90">
        <v>0</v>
      </c>
      <c r="O259" s="90">
        <v>0</v>
      </c>
      <c r="P259" s="90">
        <v>0</v>
      </c>
      <c r="Q259" s="90">
        <v>0</v>
      </c>
      <c r="R259" s="90">
        <v>0</v>
      </c>
      <c r="S259" s="90">
        <v>0</v>
      </c>
      <c r="T259" s="90">
        <v>0</v>
      </c>
      <c r="U259" s="90">
        <v>0</v>
      </c>
      <c r="V259" s="90">
        <v>0</v>
      </c>
      <c r="W259" s="90">
        <v>0</v>
      </c>
      <c r="X259">
        <v>0</v>
      </c>
      <c r="Y259">
        <v>0</v>
      </c>
      <c r="Z259">
        <v>0</v>
      </c>
    </row>
    <row r="260" spans="3:26" ht="12.75" customHeight="1" x14ac:dyDescent="0.25">
      <c r="D260" s="773">
        <v>3</v>
      </c>
      <c r="E260" s="89" t="s">
        <v>70</v>
      </c>
      <c r="F260" s="371">
        <v>0</v>
      </c>
      <c r="G260" s="90">
        <v>0</v>
      </c>
      <c r="H260" s="90">
        <v>0</v>
      </c>
      <c r="I260" s="90">
        <v>0</v>
      </c>
      <c r="J260" s="90">
        <v>0</v>
      </c>
      <c r="K260" s="90">
        <v>0</v>
      </c>
      <c r="L260" s="90">
        <v>0</v>
      </c>
      <c r="M260" s="90">
        <v>0</v>
      </c>
      <c r="N260" s="90">
        <v>0</v>
      </c>
      <c r="O260" s="90">
        <v>0</v>
      </c>
      <c r="P260" s="90">
        <v>0</v>
      </c>
      <c r="Q260" s="90">
        <v>0</v>
      </c>
      <c r="R260" s="90">
        <v>0</v>
      </c>
      <c r="S260" s="90">
        <v>0</v>
      </c>
      <c r="T260" s="90">
        <v>0</v>
      </c>
      <c r="U260" s="90">
        <v>0</v>
      </c>
      <c r="V260" s="90">
        <v>0</v>
      </c>
      <c r="W260" s="90">
        <v>0</v>
      </c>
      <c r="X260">
        <v>0</v>
      </c>
      <c r="Y260">
        <v>0</v>
      </c>
      <c r="Z260">
        <v>0</v>
      </c>
    </row>
    <row r="261" spans="3:26" ht="12.75" customHeight="1" x14ac:dyDescent="0.25">
      <c r="D261" s="89"/>
      <c r="E261" s="89" t="s">
        <v>73</v>
      </c>
      <c r="F261" s="371">
        <v>0</v>
      </c>
      <c r="G261" s="90">
        <v>0</v>
      </c>
      <c r="H261" s="90">
        <v>0</v>
      </c>
      <c r="I261" s="90">
        <v>0</v>
      </c>
      <c r="J261" s="90">
        <v>0</v>
      </c>
      <c r="K261" s="90">
        <v>0</v>
      </c>
      <c r="L261" s="90">
        <v>0</v>
      </c>
      <c r="M261" s="90">
        <v>0</v>
      </c>
      <c r="N261" s="90">
        <v>0</v>
      </c>
      <c r="O261" s="90">
        <v>0</v>
      </c>
      <c r="P261" s="90">
        <v>0</v>
      </c>
      <c r="Q261" s="90">
        <v>0</v>
      </c>
      <c r="R261" s="90">
        <v>0</v>
      </c>
      <c r="S261" s="90">
        <v>0</v>
      </c>
      <c r="T261" s="90">
        <v>0</v>
      </c>
      <c r="U261" s="90">
        <v>0</v>
      </c>
      <c r="V261" s="90">
        <v>0</v>
      </c>
      <c r="W261" s="90">
        <v>0</v>
      </c>
      <c r="X261">
        <v>0</v>
      </c>
      <c r="Y261">
        <v>0</v>
      </c>
      <c r="Z261">
        <v>0</v>
      </c>
    </row>
    <row r="262" spans="3:26" ht="12.75" customHeight="1" x14ac:dyDescent="0.25">
      <c r="D262" s="773">
        <v>4</v>
      </c>
      <c r="E262" s="89" t="s">
        <v>70</v>
      </c>
      <c r="F262" s="371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>
        <v>0</v>
      </c>
      <c r="Y262">
        <v>0</v>
      </c>
      <c r="Z262">
        <v>0</v>
      </c>
    </row>
    <row r="263" spans="3:26" ht="12.75" customHeight="1" x14ac:dyDescent="0.25">
      <c r="D263" s="89"/>
      <c r="E263" s="89" t="s">
        <v>73</v>
      </c>
      <c r="F263" s="371">
        <v>0</v>
      </c>
      <c r="G263" s="90">
        <v>0</v>
      </c>
      <c r="H263" s="90">
        <v>0</v>
      </c>
      <c r="I263" s="90">
        <v>0</v>
      </c>
      <c r="J263" s="90">
        <v>0</v>
      </c>
      <c r="K263" s="90">
        <v>0</v>
      </c>
      <c r="L263" s="90">
        <v>0</v>
      </c>
      <c r="M263" s="90">
        <v>0</v>
      </c>
      <c r="N263" s="90">
        <v>0</v>
      </c>
      <c r="O263" s="90">
        <v>0</v>
      </c>
      <c r="P263" s="90">
        <v>0</v>
      </c>
      <c r="Q263" s="90">
        <v>0</v>
      </c>
      <c r="R263" s="90">
        <v>0</v>
      </c>
      <c r="S263" s="90">
        <v>0</v>
      </c>
      <c r="T263" s="90">
        <v>0</v>
      </c>
      <c r="U263" s="90">
        <v>0</v>
      </c>
      <c r="V263" s="90">
        <v>0</v>
      </c>
      <c r="W263" s="90">
        <v>0</v>
      </c>
      <c r="X263">
        <v>0</v>
      </c>
      <c r="Y263">
        <v>0</v>
      </c>
      <c r="Z263">
        <v>0</v>
      </c>
    </row>
    <row r="264" spans="3:26" ht="12.75" customHeight="1" x14ac:dyDescent="0.25">
      <c r="D264" s="89" t="s">
        <v>118</v>
      </c>
      <c r="E264" s="89" t="s">
        <v>70</v>
      </c>
      <c r="F264" s="371">
        <v>0</v>
      </c>
      <c r="G264" s="90">
        <v>0</v>
      </c>
      <c r="H264" s="90">
        <v>0</v>
      </c>
      <c r="I264" s="90">
        <v>0</v>
      </c>
      <c r="J264" s="90">
        <v>0</v>
      </c>
      <c r="K264" s="90">
        <v>0</v>
      </c>
      <c r="L264" s="90">
        <v>0</v>
      </c>
      <c r="M264" s="90">
        <v>0</v>
      </c>
      <c r="N264" s="90">
        <v>0</v>
      </c>
      <c r="O264" s="90">
        <v>0</v>
      </c>
      <c r="P264" s="90">
        <v>0</v>
      </c>
      <c r="Q264" s="90">
        <v>0</v>
      </c>
      <c r="R264" s="90">
        <v>0</v>
      </c>
      <c r="S264" s="90">
        <v>0</v>
      </c>
      <c r="T264" s="90">
        <v>0</v>
      </c>
      <c r="U264" s="90">
        <v>0</v>
      </c>
      <c r="V264" s="90">
        <v>0</v>
      </c>
      <c r="W264" s="90">
        <v>0</v>
      </c>
      <c r="X264">
        <v>0</v>
      </c>
      <c r="Y264">
        <v>0</v>
      </c>
      <c r="Z264">
        <v>0</v>
      </c>
    </row>
    <row r="265" spans="3:26" ht="12.75" customHeight="1" x14ac:dyDescent="0.25">
      <c r="D265" s="89"/>
      <c r="E265" s="89" t="s">
        <v>73</v>
      </c>
      <c r="F265" s="371">
        <v>0</v>
      </c>
      <c r="G265" s="90">
        <v>0</v>
      </c>
      <c r="H265" s="90">
        <v>0</v>
      </c>
      <c r="I265" s="90">
        <v>0</v>
      </c>
      <c r="J265" s="90">
        <v>0</v>
      </c>
      <c r="K265" s="90">
        <v>0</v>
      </c>
      <c r="L265" s="90">
        <v>0</v>
      </c>
      <c r="M265" s="90">
        <v>0</v>
      </c>
      <c r="N265" s="90">
        <v>0</v>
      </c>
      <c r="O265" s="90">
        <v>0</v>
      </c>
      <c r="P265" s="90">
        <v>0</v>
      </c>
      <c r="Q265" s="90">
        <v>0</v>
      </c>
      <c r="R265" s="90">
        <v>0</v>
      </c>
      <c r="S265" s="90">
        <v>0</v>
      </c>
      <c r="T265" s="90">
        <v>0</v>
      </c>
      <c r="U265" s="90">
        <v>0</v>
      </c>
      <c r="V265" s="90">
        <v>0</v>
      </c>
      <c r="W265" s="90">
        <v>0</v>
      </c>
      <c r="X265">
        <v>0</v>
      </c>
      <c r="Y265">
        <v>0</v>
      </c>
      <c r="Z265">
        <v>0</v>
      </c>
    </row>
    <row r="266" spans="3:26" ht="12.75" customHeight="1" x14ac:dyDescent="0.25">
      <c r="D266" s="773">
        <v>6</v>
      </c>
      <c r="E266" s="89" t="s">
        <v>70</v>
      </c>
      <c r="F266" s="371">
        <v>0</v>
      </c>
      <c r="G266" s="90">
        <v>0</v>
      </c>
      <c r="H266" s="90">
        <v>0</v>
      </c>
      <c r="I266" s="90">
        <v>0</v>
      </c>
      <c r="J266" s="90">
        <v>0</v>
      </c>
      <c r="K266" s="90">
        <v>0</v>
      </c>
      <c r="L266" s="90">
        <v>0</v>
      </c>
      <c r="M266" s="90">
        <v>0</v>
      </c>
      <c r="N266" s="90">
        <v>0</v>
      </c>
      <c r="O266" s="90">
        <v>0</v>
      </c>
      <c r="P266" s="90">
        <v>0</v>
      </c>
      <c r="Q266" s="90">
        <v>0</v>
      </c>
      <c r="R266" s="90">
        <v>0</v>
      </c>
      <c r="S266" s="90">
        <v>0</v>
      </c>
      <c r="T266" s="90">
        <v>0</v>
      </c>
      <c r="U266" s="90">
        <v>0</v>
      </c>
      <c r="V266" s="90">
        <v>0</v>
      </c>
      <c r="W266" s="90">
        <v>0</v>
      </c>
      <c r="X266">
        <v>0</v>
      </c>
      <c r="Y266">
        <v>0</v>
      </c>
      <c r="Z266">
        <v>0</v>
      </c>
    </row>
    <row r="267" spans="3:26" ht="12.75" customHeight="1" x14ac:dyDescent="0.25">
      <c r="D267" s="89"/>
      <c r="E267" s="89" t="s">
        <v>73</v>
      </c>
      <c r="F267" s="371">
        <v>0</v>
      </c>
      <c r="G267" s="90">
        <v>0</v>
      </c>
      <c r="H267" s="90">
        <v>0</v>
      </c>
      <c r="I267" s="90">
        <v>0</v>
      </c>
      <c r="J267" s="90">
        <v>0</v>
      </c>
      <c r="K267" s="90">
        <v>0</v>
      </c>
      <c r="L267" s="90">
        <v>0</v>
      </c>
      <c r="M267" s="90">
        <v>0</v>
      </c>
      <c r="N267" s="90">
        <v>0</v>
      </c>
      <c r="O267" s="90">
        <v>0</v>
      </c>
      <c r="P267" s="90">
        <v>0</v>
      </c>
      <c r="Q267" s="90">
        <v>0</v>
      </c>
      <c r="R267" s="90">
        <v>0</v>
      </c>
      <c r="S267" s="90">
        <v>0</v>
      </c>
      <c r="T267" s="90">
        <v>0</v>
      </c>
      <c r="U267" s="90">
        <v>0</v>
      </c>
      <c r="V267" s="90">
        <v>0</v>
      </c>
      <c r="W267" s="90">
        <v>0</v>
      </c>
      <c r="X267">
        <v>0</v>
      </c>
      <c r="Y267">
        <v>0</v>
      </c>
      <c r="Z267">
        <v>0</v>
      </c>
    </row>
    <row r="268" spans="3:26" ht="12.75" customHeight="1" x14ac:dyDescent="0.25">
      <c r="D268" s="773">
        <v>9</v>
      </c>
      <c r="E268" s="89" t="s">
        <v>70</v>
      </c>
      <c r="F268" s="371">
        <v>0</v>
      </c>
      <c r="G268" s="90">
        <v>0</v>
      </c>
      <c r="H268" s="90">
        <v>0</v>
      </c>
      <c r="I268" s="90">
        <v>0</v>
      </c>
      <c r="J268" s="90">
        <v>0</v>
      </c>
      <c r="K268" s="90">
        <v>0</v>
      </c>
      <c r="L268" s="90">
        <v>0</v>
      </c>
      <c r="M268" s="90">
        <v>0</v>
      </c>
      <c r="N268" s="90">
        <v>0</v>
      </c>
      <c r="O268" s="90">
        <v>0</v>
      </c>
      <c r="P268" s="90">
        <v>0</v>
      </c>
      <c r="Q268" s="90">
        <v>0</v>
      </c>
      <c r="R268" s="90">
        <v>0</v>
      </c>
      <c r="S268" s="90">
        <v>0</v>
      </c>
      <c r="T268" s="90">
        <v>0</v>
      </c>
      <c r="U268" s="90">
        <v>0</v>
      </c>
      <c r="V268" s="90">
        <v>0</v>
      </c>
      <c r="W268" s="90">
        <v>0</v>
      </c>
      <c r="X268">
        <v>0</v>
      </c>
      <c r="Y268">
        <v>0</v>
      </c>
      <c r="Z268">
        <v>0</v>
      </c>
    </row>
    <row r="269" spans="3:26" s="224" customFormat="1" ht="12.75" customHeight="1" x14ac:dyDescent="0.25">
      <c r="C269" s="223" t="s">
        <v>120</v>
      </c>
      <c r="D269" s="223" t="s">
        <v>70</v>
      </c>
      <c r="F269" s="225">
        <v>0</v>
      </c>
      <c r="G269" s="225">
        <v>0</v>
      </c>
      <c r="H269" s="225">
        <v>0</v>
      </c>
      <c r="I269" s="225">
        <v>0</v>
      </c>
      <c r="J269" s="225">
        <v>0</v>
      </c>
      <c r="K269" s="225">
        <v>0</v>
      </c>
      <c r="L269" s="225">
        <v>0</v>
      </c>
      <c r="M269" s="225">
        <v>0</v>
      </c>
      <c r="N269" s="225">
        <v>0</v>
      </c>
      <c r="O269" s="225">
        <v>0</v>
      </c>
      <c r="P269" s="225">
        <v>0</v>
      </c>
      <c r="Q269" s="225">
        <v>0</v>
      </c>
      <c r="R269" s="225">
        <v>0</v>
      </c>
      <c r="S269" s="225">
        <v>0</v>
      </c>
      <c r="T269" s="225">
        <v>0</v>
      </c>
      <c r="U269" s="225">
        <v>0</v>
      </c>
      <c r="V269" s="225">
        <v>0</v>
      </c>
      <c r="W269" s="225">
        <v>0</v>
      </c>
      <c r="X269" s="224">
        <v>0</v>
      </c>
      <c r="Y269" s="224">
        <v>0</v>
      </c>
      <c r="Z269" s="224">
        <v>0</v>
      </c>
    </row>
    <row r="270" spans="3:26" ht="12.75" customHeight="1" x14ac:dyDescent="0.25">
      <c r="E270" s="89" t="s">
        <v>73</v>
      </c>
      <c r="F270" s="90">
        <v>0</v>
      </c>
      <c r="G270" s="90">
        <v>0</v>
      </c>
      <c r="H270" s="90">
        <v>0</v>
      </c>
      <c r="I270" s="90">
        <v>0</v>
      </c>
      <c r="J270" s="90">
        <v>0</v>
      </c>
      <c r="K270" s="90">
        <v>0</v>
      </c>
      <c r="L270" s="90">
        <v>0</v>
      </c>
      <c r="M270" s="90">
        <v>0</v>
      </c>
      <c r="N270" s="90">
        <v>0</v>
      </c>
      <c r="O270" s="90">
        <v>0</v>
      </c>
      <c r="P270" s="90">
        <v>0</v>
      </c>
      <c r="Q270" s="90">
        <v>0</v>
      </c>
      <c r="R270" s="90">
        <v>0</v>
      </c>
      <c r="S270" s="90">
        <v>0</v>
      </c>
      <c r="T270" s="90">
        <v>0</v>
      </c>
      <c r="U270" s="90">
        <v>0</v>
      </c>
      <c r="V270" s="90">
        <v>0</v>
      </c>
      <c r="W270" s="90">
        <v>0</v>
      </c>
      <c r="X270">
        <v>0</v>
      </c>
      <c r="Y270">
        <v>0</v>
      </c>
      <c r="Z270">
        <v>0</v>
      </c>
    </row>
    <row r="271" spans="3:26" ht="12.75" customHeight="1" x14ac:dyDescent="0.25">
      <c r="D271" s="89" t="s">
        <v>82</v>
      </c>
      <c r="E271" s="89" t="s">
        <v>70</v>
      </c>
      <c r="F271" s="90">
        <v>0</v>
      </c>
      <c r="G271" s="90">
        <v>0</v>
      </c>
      <c r="H271" s="90">
        <v>0</v>
      </c>
      <c r="I271" s="90">
        <v>0</v>
      </c>
      <c r="J271" s="90">
        <v>0</v>
      </c>
      <c r="K271" s="90">
        <v>0</v>
      </c>
      <c r="L271" s="90">
        <v>0</v>
      </c>
      <c r="M271" s="90">
        <v>0</v>
      </c>
      <c r="N271" s="90">
        <v>0</v>
      </c>
      <c r="O271" s="90">
        <v>0</v>
      </c>
      <c r="P271" s="90">
        <v>0</v>
      </c>
      <c r="Q271" s="90">
        <v>0</v>
      </c>
      <c r="R271" s="90">
        <v>0</v>
      </c>
      <c r="S271" s="90">
        <v>0</v>
      </c>
      <c r="T271" s="90">
        <v>0</v>
      </c>
      <c r="U271" s="90">
        <v>0</v>
      </c>
      <c r="V271" s="90">
        <v>0</v>
      </c>
      <c r="W271" s="90">
        <v>0</v>
      </c>
      <c r="X271">
        <v>0</v>
      </c>
      <c r="Y271">
        <v>0</v>
      </c>
      <c r="Z271">
        <v>0</v>
      </c>
    </row>
    <row r="272" spans="3:26" ht="12.75" customHeight="1" x14ac:dyDescent="0.25">
      <c r="E272" s="89" t="s">
        <v>73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>
        <v>0</v>
      </c>
      <c r="Y272">
        <v>0</v>
      </c>
      <c r="Z272">
        <v>0</v>
      </c>
    </row>
    <row r="273" spans="1:26" ht="12.75" customHeight="1" x14ac:dyDescent="0.25">
      <c r="D273" s="89" t="s">
        <v>86</v>
      </c>
      <c r="E273" s="89" t="s">
        <v>70</v>
      </c>
      <c r="F273" s="90">
        <v>0</v>
      </c>
      <c r="G273" s="90">
        <v>0</v>
      </c>
      <c r="H273" s="90">
        <v>0</v>
      </c>
      <c r="I273" s="90">
        <v>0</v>
      </c>
      <c r="J273" s="90">
        <v>0</v>
      </c>
      <c r="K273" s="90">
        <v>0</v>
      </c>
      <c r="L273" s="90">
        <v>0</v>
      </c>
      <c r="M273" s="90">
        <v>0</v>
      </c>
      <c r="N273" s="90">
        <v>0</v>
      </c>
      <c r="O273" s="90">
        <v>0</v>
      </c>
      <c r="P273" s="90">
        <v>0</v>
      </c>
      <c r="Q273" s="90">
        <v>0</v>
      </c>
      <c r="R273" s="90">
        <v>0</v>
      </c>
      <c r="S273" s="90">
        <v>0</v>
      </c>
      <c r="T273" s="90">
        <v>0</v>
      </c>
      <c r="U273" s="90">
        <v>0</v>
      </c>
      <c r="V273" s="90">
        <v>0</v>
      </c>
      <c r="W273" s="90">
        <v>0</v>
      </c>
      <c r="X273">
        <v>0</v>
      </c>
      <c r="Y273">
        <v>0</v>
      </c>
      <c r="Z273">
        <v>0</v>
      </c>
    </row>
    <row r="274" spans="1:26" ht="12.75" customHeight="1" x14ac:dyDescent="0.25">
      <c r="E274" s="89" t="s">
        <v>73</v>
      </c>
      <c r="F274" s="90">
        <v>0</v>
      </c>
      <c r="G274" s="90">
        <v>0</v>
      </c>
      <c r="H274" s="90">
        <v>0</v>
      </c>
      <c r="I274" s="90">
        <v>0</v>
      </c>
      <c r="J274" s="90">
        <v>0</v>
      </c>
      <c r="K274" s="90">
        <v>0</v>
      </c>
      <c r="L274" s="90">
        <v>0</v>
      </c>
      <c r="M274" s="90">
        <v>0</v>
      </c>
      <c r="N274" s="90">
        <v>0</v>
      </c>
      <c r="O274" s="90">
        <v>0</v>
      </c>
      <c r="P274" s="90">
        <v>0</v>
      </c>
      <c r="Q274" s="90">
        <v>0</v>
      </c>
      <c r="R274" s="90">
        <v>0</v>
      </c>
      <c r="S274" s="90">
        <v>0</v>
      </c>
      <c r="T274" s="90">
        <v>0</v>
      </c>
      <c r="U274" s="90">
        <v>0</v>
      </c>
      <c r="V274" s="90">
        <v>0</v>
      </c>
      <c r="W274" s="90">
        <v>0</v>
      </c>
      <c r="X274">
        <v>0</v>
      </c>
      <c r="Y274">
        <v>0</v>
      </c>
      <c r="Z274">
        <v>0</v>
      </c>
    </row>
    <row r="275" spans="1:26" ht="12.75" customHeight="1" x14ac:dyDescent="0.25">
      <c r="D275" s="89" t="s">
        <v>87</v>
      </c>
      <c r="E275" s="89" t="s">
        <v>70</v>
      </c>
      <c r="F275" s="90">
        <v>0</v>
      </c>
      <c r="G275" s="90">
        <v>0</v>
      </c>
      <c r="H275" s="90">
        <v>0</v>
      </c>
      <c r="I275" s="90">
        <v>0</v>
      </c>
      <c r="J275" s="90">
        <v>0</v>
      </c>
      <c r="K275" s="90">
        <v>0</v>
      </c>
      <c r="L275" s="90">
        <v>0</v>
      </c>
      <c r="M275" s="90">
        <v>0</v>
      </c>
      <c r="N275" s="90">
        <v>0</v>
      </c>
      <c r="O275" s="90">
        <v>0</v>
      </c>
      <c r="P275" s="90">
        <v>0</v>
      </c>
      <c r="Q275" s="90">
        <v>0</v>
      </c>
      <c r="R275" s="90">
        <v>0</v>
      </c>
      <c r="S275" s="90">
        <v>0</v>
      </c>
      <c r="T275" s="90">
        <v>0</v>
      </c>
      <c r="U275" s="90">
        <v>0</v>
      </c>
      <c r="V275" s="90">
        <v>0</v>
      </c>
      <c r="W275" s="90">
        <v>0</v>
      </c>
      <c r="X275">
        <v>0</v>
      </c>
      <c r="Y275">
        <v>0</v>
      </c>
      <c r="Z275">
        <v>0</v>
      </c>
    </row>
    <row r="276" spans="1:26" s="94" customFormat="1" ht="12.75" customHeight="1" x14ac:dyDescent="0.25">
      <c r="C276" s="101" t="s">
        <v>119</v>
      </c>
      <c r="D276" s="101" t="s">
        <v>70</v>
      </c>
      <c r="F276" s="93">
        <v>0</v>
      </c>
      <c r="G276" s="93">
        <v>0</v>
      </c>
      <c r="H276" s="93">
        <v>0</v>
      </c>
      <c r="I276" s="93">
        <v>0</v>
      </c>
      <c r="J276" s="93">
        <v>0</v>
      </c>
      <c r="K276" s="93">
        <v>0</v>
      </c>
      <c r="L276" s="93">
        <v>0</v>
      </c>
      <c r="M276" s="93">
        <v>0</v>
      </c>
      <c r="N276" s="93">
        <v>0</v>
      </c>
      <c r="O276" s="93">
        <v>0</v>
      </c>
      <c r="P276" s="93">
        <v>0</v>
      </c>
      <c r="Q276" s="93">
        <v>0</v>
      </c>
      <c r="R276" s="93">
        <v>0</v>
      </c>
      <c r="S276" s="93">
        <v>0</v>
      </c>
      <c r="T276" s="93">
        <v>0</v>
      </c>
      <c r="U276" s="93">
        <v>0</v>
      </c>
      <c r="V276" s="93">
        <v>0</v>
      </c>
      <c r="W276" s="93">
        <v>0</v>
      </c>
      <c r="X276" s="94">
        <v>0</v>
      </c>
      <c r="Y276" s="94">
        <v>0</v>
      </c>
      <c r="Z276" s="94">
        <v>0</v>
      </c>
    </row>
    <row r="277" spans="1:26" s="226" customFormat="1" ht="12.75" customHeight="1" x14ac:dyDescent="0.25">
      <c r="B277" s="98" t="s">
        <v>112</v>
      </c>
      <c r="C277" s="98" t="s">
        <v>70</v>
      </c>
      <c r="F277" s="100">
        <v>0</v>
      </c>
      <c r="G277" s="100">
        <v>0</v>
      </c>
      <c r="H277" s="100">
        <v>0</v>
      </c>
      <c r="I277" s="100">
        <v>0</v>
      </c>
      <c r="J277" s="100">
        <v>0</v>
      </c>
      <c r="K277" s="100">
        <v>0</v>
      </c>
      <c r="L277" s="100">
        <v>0</v>
      </c>
      <c r="M277" s="100">
        <v>0</v>
      </c>
      <c r="N277" s="100">
        <v>0</v>
      </c>
      <c r="O277" s="100">
        <v>0</v>
      </c>
      <c r="P277" s="100">
        <v>0</v>
      </c>
      <c r="Q277" s="100">
        <v>0</v>
      </c>
      <c r="R277" s="100">
        <v>0</v>
      </c>
      <c r="S277" s="100">
        <v>0</v>
      </c>
      <c r="T277" s="100">
        <v>0</v>
      </c>
      <c r="U277" s="100">
        <v>0</v>
      </c>
      <c r="V277" s="100">
        <v>0</v>
      </c>
      <c r="W277" s="100">
        <v>0</v>
      </c>
      <c r="X277" s="226">
        <v>0</v>
      </c>
      <c r="Y277" s="226">
        <v>0</v>
      </c>
      <c r="Z277" s="226">
        <v>0</v>
      </c>
    </row>
    <row r="278" spans="1:26" ht="12.75" customHeight="1" x14ac:dyDescent="0.25">
      <c r="A278" s="89" t="s">
        <v>79</v>
      </c>
      <c r="B278" s="89" t="s">
        <v>70</v>
      </c>
      <c r="F278" s="90">
        <v>0</v>
      </c>
      <c r="G278" s="90">
        <v>0</v>
      </c>
      <c r="H278" s="90">
        <v>0</v>
      </c>
      <c r="I278" s="90">
        <v>0</v>
      </c>
      <c r="J278" s="90">
        <v>0</v>
      </c>
      <c r="K278" s="90">
        <v>0</v>
      </c>
      <c r="L278" s="90">
        <v>0</v>
      </c>
      <c r="M278" s="90">
        <v>0</v>
      </c>
      <c r="N278" s="90">
        <v>0</v>
      </c>
      <c r="O278" s="90">
        <v>0</v>
      </c>
      <c r="P278" s="90">
        <v>0</v>
      </c>
      <c r="Q278" s="90">
        <v>0</v>
      </c>
      <c r="R278" s="90">
        <v>0</v>
      </c>
      <c r="S278" s="90">
        <v>0</v>
      </c>
      <c r="T278" s="90">
        <v>0</v>
      </c>
      <c r="U278" s="90">
        <v>0</v>
      </c>
      <c r="V278" s="90">
        <v>0</v>
      </c>
      <c r="W278" s="90">
        <v>0</v>
      </c>
      <c r="X278">
        <v>0</v>
      </c>
      <c r="Y278">
        <v>0</v>
      </c>
      <c r="Z278">
        <v>0</v>
      </c>
    </row>
    <row r="279" spans="1:26" ht="12.75" customHeight="1" x14ac:dyDescent="0.25">
      <c r="A279" s="89" t="s">
        <v>70</v>
      </c>
      <c r="F279" s="90">
        <v>0</v>
      </c>
      <c r="G279" s="90">
        <v>0</v>
      </c>
      <c r="H279" s="90">
        <v>0</v>
      </c>
      <c r="I279" s="90">
        <v>0</v>
      </c>
      <c r="J279" s="90">
        <v>0</v>
      </c>
      <c r="K279" s="90">
        <v>0</v>
      </c>
      <c r="L279" s="90">
        <v>0</v>
      </c>
      <c r="M279" s="90">
        <v>0</v>
      </c>
      <c r="N279" s="90">
        <v>0</v>
      </c>
      <c r="O279" s="90">
        <v>0</v>
      </c>
      <c r="P279" s="90">
        <v>0</v>
      </c>
      <c r="Q279" s="90">
        <v>0</v>
      </c>
      <c r="R279" s="90">
        <v>0</v>
      </c>
      <c r="S279" s="90">
        <v>0</v>
      </c>
      <c r="T279" s="90">
        <v>0</v>
      </c>
      <c r="U279" s="90">
        <v>0</v>
      </c>
      <c r="V279" s="90">
        <v>0</v>
      </c>
      <c r="W279" s="90">
        <v>0</v>
      </c>
      <c r="X279">
        <v>0</v>
      </c>
      <c r="Y279">
        <v>0</v>
      </c>
      <c r="Z279">
        <v>0</v>
      </c>
    </row>
    <row r="280" spans="1:26" ht="12.75" customHeight="1" x14ac:dyDescent="0.25">
      <c r="A280" s="89"/>
      <c r="D280" s="89"/>
      <c r="E280" s="89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26" ht="12.75" customHeight="1" x14ac:dyDescent="0.25">
      <c r="A281" s="89"/>
      <c r="C281" s="89"/>
      <c r="D281" s="89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</row>
    <row r="282" spans="1:26" ht="12.75" hidden="1" customHeight="1" x14ac:dyDescent="0.25">
      <c r="A282" s="89"/>
      <c r="E282" s="89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</row>
    <row r="283" spans="1:26" ht="12.75" hidden="1" customHeight="1" x14ac:dyDescent="0.25">
      <c r="A283" s="89"/>
      <c r="D283" s="89"/>
      <c r="E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</row>
    <row r="284" spans="1:26" ht="12.75" hidden="1" customHeight="1" x14ac:dyDescent="0.25">
      <c r="A284" s="89"/>
      <c r="E284" s="89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</row>
    <row r="285" spans="1:26" ht="12.75" hidden="1" customHeight="1" x14ac:dyDescent="0.25">
      <c r="A285" s="89"/>
      <c r="D285" s="89"/>
      <c r="E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</row>
    <row r="286" spans="1:26" ht="12.75" hidden="1" customHeight="1" x14ac:dyDescent="0.25">
      <c r="A286" s="89"/>
      <c r="E286" s="89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</row>
    <row r="287" spans="1:26" ht="12.75" hidden="1" customHeight="1" x14ac:dyDescent="0.25">
      <c r="A287" s="89"/>
      <c r="D287" s="89"/>
      <c r="E287" s="89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</row>
    <row r="288" spans="1:26" ht="12.75" hidden="1" customHeight="1" x14ac:dyDescent="0.25">
      <c r="A288" s="89"/>
      <c r="C288" s="89"/>
      <c r="D288" s="89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</row>
    <row r="289" spans="1:19" ht="12.75" hidden="1" customHeight="1" x14ac:dyDescent="0.25">
      <c r="A289" s="89"/>
      <c r="B289" s="89"/>
      <c r="C289" s="89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</row>
    <row r="290" spans="1:19" ht="12.75" hidden="1" customHeight="1" x14ac:dyDescent="0.25">
      <c r="A290" s="89"/>
      <c r="B290" s="89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</row>
    <row r="291" spans="1:19" ht="12.75" hidden="1" customHeight="1" x14ac:dyDescent="0.25">
      <c r="A291" s="89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</row>
    <row r="292" spans="1:19" ht="12.75" hidden="1" customHeight="1" x14ac:dyDescent="0.25">
      <c r="A292" s="89"/>
      <c r="B292" s="89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</row>
    <row r="293" spans="1:19" ht="12.75" hidden="1" customHeight="1" x14ac:dyDescent="0.25">
      <c r="A293" s="89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</row>
    <row r="294" spans="1:19" ht="12.75" hidden="1" customHeight="1" x14ac:dyDescent="0.25">
      <c r="A294" s="89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</row>
    <row r="295" spans="1:19" ht="12.75" hidden="1" customHeight="1" x14ac:dyDescent="0.25">
      <c r="A295" s="89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</row>
    <row r="296" spans="1:19" ht="12.75" hidden="1" customHeight="1" x14ac:dyDescent="0.25">
      <c r="A296" s="89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</row>
    <row r="297" spans="1:19" ht="12.75" hidden="1" customHeight="1" x14ac:dyDescent="0.25">
      <c r="A297" s="89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</row>
    <row r="298" spans="1:19" ht="12.75" hidden="1" customHeight="1" x14ac:dyDescent="0.25">
      <c r="A298" s="89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</row>
    <row r="299" spans="1:19" ht="12.75" hidden="1" customHeight="1" x14ac:dyDescent="0.25">
      <c r="A299" s="89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</row>
    <row r="300" spans="1:19" ht="12.75" hidden="1" customHeight="1" x14ac:dyDescent="0.25">
      <c r="A300" s="89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</row>
    <row r="301" spans="1:19" ht="12.75" hidden="1" customHeight="1" x14ac:dyDescent="0.25">
      <c r="A301" s="89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</row>
    <row r="302" spans="1:19" ht="12.75" hidden="1" customHeight="1" x14ac:dyDescent="0.25">
      <c r="A302" s="89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</row>
    <row r="303" spans="1:19" ht="12.75" hidden="1" customHeight="1" x14ac:dyDescent="0.25">
      <c r="A303" s="89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</row>
    <row r="304" spans="1:19" ht="12.75" hidden="1" customHeight="1" x14ac:dyDescent="0.25">
      <c r="A304" s="89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</row>
    <row r="305" spans="1:19" ht="12.75" hidden="1" customHeight="1" x14ac:dyDescent="0.25">
      <c r="A305" s="89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</row>
    <row r="306" spans="1:19" ht="12.75" hidden="1" customHeight="1" x14ac:dyDescent="0.25">
      <c r="A306" s="89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</row>
    <row r="307" spans="1:19" ht="12.75" hidden="1" customHeight="1" x14ac:dyDescent="0.25">
      <c r="A307" s="89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</row>
    <row r="308" spans="1:19" ht="12.75" hidden="1" customHeight="1" x14ac:dyDescent="0.25">
      <c r="A308" s="89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</row>
    <row r="309" spans="1:19" ht="12.75" hidden="1" customHeight="1" x14ac:dyDescent="0.25">
      <c r="A309" s="89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</row>
    <row r="310" spans="1:19" ht="12.75" hidden="1" customHeight="1" x14ac:dyDescent="0.25">
      <c r="A310" s="89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</row>
    <row r="311" spans="1:19" ht="12.75" hidden="1" customHeight="1" x14ac:dyDescent="0.25">
      <c r="A311" s="89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</row>
    <row r="312" spans="1:19" ht="12.75" hidden="1" customHeight="1" x14ac:dyDescent="0.25">
      <c r="A312" s="89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</row>
    <row r="313" spans="1:19" ht="12.75" hidden="1" customHeight="1" x14ac:dyDescent="0.25">
      <c r="A313" s="89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</row>
    <row r="314" spans="1:19" ht="12.75" hidden="1" customHeight="1" x14ac:dyDescent="0.25">
      <c r="A314" s="89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</row>
    <row r="315" spans="1:19" ht="12.75" hidden="1" customHeight="1" x14ac:dyDescent="0.25">
      <c r="A315" s="89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</row>
    <row r="316" spans="1:19" ht="12.75" hidden="1" customHeight="1" x14ac:dyDescent="0.25">
      <c r="A316" s="89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</row>
    <row r="317" spans="1:19" ht="12.75" hidden="1" customHeight="1" x14ac:dyDescent="0.25">
      <c r="A317" s="89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</row>
    <row r="318" spans="1:19" ht="12.75" hidden="1" customHeight="1" x14ac:dyDescent="0.25">
      <c r="A318" s="89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</row>
    <row r="319" spans="1:19" ht="12.75" hidden="1" customHeight="1" x14ac:dyDescent="0.25">
      <c r="A319" s="89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</row>
    <row r="320" spans="1:19" ht="12.75" hidden="1" customHeight="1" x14ac:dyDescent="0.25">
      <c r="A320" s="89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</row>
    <row r="321" spans="1:42" ht="12.75" customHeight="1" x14ac:dyDescent="0.25">
      <c r="A321" s="89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</row>
    <row r="322" spans="1:42" ht="12.75" customHeight="1" x14ac:dyDescent="0.25">
      <c r="A322" s="89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</row>
    <row r="323" spans="1:42" ht="12.75" customHeight="1" x14ac:dyDescent="0.25">
      <c r="C323" s="778" t="s">
        <v>2</v>
      </c>
      <c r="D323" s="775" t="s">
        <v>132</v>
      </c>
      <c r="E323" s="98" t="s">
        <v>70</v>
      </c>
      <c r="F323" s="100">
        <f>F224+F277-L224+F149-L149</f>
        <v>0</v>
      </c>
      <c r="G323" s="100">
        <f>G224+G149</f>
        <v>0</v>
      </c>
      <c r="H323" s="100">
        <f t="shared" ref="H323:AP323" si="9">H224+H149</f>
        <v>0</v>
      </c>
      <c r="I323" s="100">
        <f t="shared" si="9"/>
        <v>0</v>
      </c>
      <c r="J323" s="100">
        <f t="shared" si="9"/>
        <v>0</v>
      </c>
      <c r="K323" s="100">
        <f t="shared" si="9"/>
        <v>0</v>
      </c>
      <c r="L323" s="100">
        <f t="shared" si="9"/>
        <v>0</v>
      </c>
      <c r="M323" s="100">
        <f t="shared" si="9"/>
        <v>0</v>
      </c>
      <c r="N323" s="100">
        <f t="shared" si="9"/>
        <v>0</v>
      </c>
      <c r="O323" s="100">
        <f t="shared" si="9"/>
        <v>0</v>
      </c>
      <c r="P323" s="100">
        <f t="shared" si="9"/>
        <v>0</v>
      </c>
      <c r="Q323" s="100">
        <f t="shared" si="9"/>
        <v>0</v>
      </c>
      <c r="R323" s="100">
        <f t="shared" si="9"/>
        <v>0</v>
      </c>
      <c r="S323" s="100">
        <f t="shared" si="9"/>
        <v>0</v>
      </c>
      <c r="T323" s="100">
        <f t="shared" si="9"/>
        <v>0</v>
      </c>
      <c r="U323" s="100">
        <f t="shared" si="9"/>
        <v>0</v>
      </c>
      <c r="V323" s="100">
        <f t="shared" si="9"/>
        <v>0</v>
      </c>
      <c r="W323" s="100">
        <f t="shared" si="9"/>
        <v>0</v>
      </c>
      <c r="X323" s="100">
        <f t="shared" si="9"/>
        <v>0</v>
      </c>
      <c r="Y323" s="100">
        <f t="shared" si="9"/>
        <v>0</v>
      </c>
      <c r="Z323" s="100">
        <f t="shared" si="9"/>
        <v>0</v>
      </c>
      <c r="AA323" s="100">
        <f t="shared" si="9"/>
        <v>0</v>
      </c>
      <c r="AB323" s="100">
        <f t="shared" si="9"/>
        <v>0</v>
      </c>
      <c r="AC323" s="100">
        <f t="shared" si="9"/>
        <v>0</v>
      </c>
      <c r="AD323" s="100">
        <f t="shared" si="9"/>
        <v>0</v>
      </c>
      <c r="AE323" s="100">
        <f t="shared" si="9"/>
        <v>0</v>
      </c>
      <c r="AF323" s="100">
        <f t="shared" si="9"/>
        <v>0</v>
      </c>
      <c r="AG323" s="100">
        <f t="shared" si="9"/>
        <v>0</v>
      </c>
      <c r="AH323" s="100">
        <f t="shared" si="9"/>
        <v>0</v>
      </c>
      <c r="AI323" s="100">
        <f t="shared" si="9"/>
        <v>0</v>
      </c>
      <c r="AJ323" s="100">
        <f t="shared" si="9"/>
        <v>0</v>
      </c>
      <c r="AK323" s="100">
        <f t="shared" si="9"/>
        <v>0</v>
      </c>
      <c r="AL323" s="100">
        <f t="shared" si="9"/>
        <v>0</v>
      </c>
      <c r="AM323" s="100">
        <f t="shared" si="9"/>
        <v>0</v>
      </c>
      <c r="AN323" s="100">
        <f t="shared" si="9"/>
        <v>0</v>
      </c>
      <c r="AO323" s="100">
        <f t="shared" si="9"/>
        <v>0</v>
      </c>
      <c r="AP323" s="100">
        <f t="shared" si="9"/>
        <v>0</v>
      </c>
    </row>
    <row r="324" spans="1:42" ht="12.75" customHeight="1" x14ac:dyDescent="0.25">
      <c r="C324" s="778"/>
      <c r="D324" s="775"/>
      <c r="E324" s="98" t="s">
        <v>73</v>
      </c>
      <c r="F324" s="100">
        <f>F277</f>
        <v>0</v>
      </c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</row>
    <row r="325" spans="1:42" ht="12.75" customHeight="1" x14ac:dyDescent="0.25">
      <c r="C325" s="778"/>
      <c r="D325" s="775" t="s">
        <v>133</v>
      </c>
      <c r="E325" s="233" t="s">
        <v>70</v>
      </c>
      <c r="F325" s="234">
        <f>F251+F187-L187</f>
        <v>0</v>
      </c>
      <c r="G325" s="234">
        <f>G187</f>
        <v>0</v>
      </c>
      <c r="H325" s="234">
        <f t="shared" ref="H325:AP325" si="10">H187</f>
        <v>0</v>
      </c>
      <c r="I325" s="234">
        <f t="shared" si="10"/>
        <v>0</v>
      </c>
      <c r="J325" s="234">
        <f t="shared" si="10"/>
        <v>0</v>
      </c>
      <c r="K325" s="234">
        <f t="shared" si="10"/>
        <v>0</v>
      </c>
      <c r="L325" s="234">
        <f t="shared" si="10"/>
        <v>0</v>
      </c>
      <c r="M325" s="234">
        <f t="shared" si="10"/>
        <v>0</v>
      </c>
      <c r="N325" s="234">
        <f t="shared" si="10"/>
        <v>0</v>
      </c>
      <c r="O325" s="234">
        <f t="shared" si="10"/>
        <v>0</v>
      </c>
      <c r="P325" s="234">
        <f t="shared" si="10"/>
        <v>0</v>
      </c>
      <c r="Q325" s="234">
        <f t="shared" si="10"/>
        <v>0</v>
      </c>
      <c r="R325" s="234">
        <f t="shared" si="10"/>
        <v>0</v>
      </c>
      <c r="S325" s="234">
        <f t="shared" si="10"/>
        <v>0</v>
      </c>
      <c r="T325" s="234">
        <f t="shared" si="10"/>
        <v>0</v>
      </c>
      <c r="U325" s="234">
        <f t="shared" si="10"/>
        <v>0</v>
      </c>
      <c r="V325" s="234">
        <f t="shared" si="10"/>
        <v>0</v>
      </c>
      <c r="W325" s="234">
        <f t="shared" si="10"/>
        <v>0</v>
      </c>
      <c r="X325" s="234">
        <f t="shared" si="10"/>
        <v>0</v>
      </c>
      <c r="Y325" s="234">
        <f t="shared" si="10"/>
        <v>0</v>
      </c>
      <c r="Z325" s="234">
        <f t="shared" si="10"/>
        <v>0</v>
      </c>
      <c r="AA325" s="234">
        <f t="shared" si="10"/>
        <v>0</v>
      </c>
      <c r="AB325" s="234">
        <f t="shared" si="10"/>
        <v>0</v>
      </c>
      <c r="AC325" s="234">
        <f t="shared" si="10"/>
        <v>0</v>
      </c>
      <c r="AD325" s="234">
        <f t="shared" si="10"/>
        <v>0</v>
      </c>
      <c r="AE325" s="234">
        <f t="shared" si="10"/>
        <v>0</v>
      </c>
      <c r="AF325" s="234">
        <f t="shared" si="10"/>
        <v>0</v>
      </c>
      <c r="AG325" s="234">
        <f t="shared" si="10"/>
        <v>0</v>
      </c>
      <c r="AH325" s="234">
        <f t="shared" si="10"/>
        <v>0</v>
      </c>
      <c r="AI325" s="234">
        <f t="shared" si="10"/>
        <v>0</v>
      </c>
      <c r="AJ325" s="234">
        <f t="shared" si="10"/>
        <v>0</v>
      </c>
      <c r="AK325" s="234">
        <f t="shared" si="10"/>
        <v>0</v>
      </c>
      <c r="AL325" s="234">
        <f t="shared" si="10"/>
        <v>0</v>
      </c>
      <c r="AM325" s="234">
        <f t="shared" si="10"/>
        <v>0</v>
      </c>
      <c r="AN325" s="234">
        <f t="shared" si="10"/>
        <v>0</v>
      </c>
      <c r="AO325" s="234">
        <f t="shared" si="10"/>
        <v>0</v>
      </c>
      <c r="AP325" s="234">
        <f t="shared" si="10"/>
        <v>0</v>
      </c>
    </row>
    <row r="326" spans="1:42" ht="12.75" customHeight="1" x14ac:dyDescent="0.25">
      <c r="C326" s="778"/>
      <c r="D326" s="775"/>
      <c r="E326" s="233" t="s">
        <v>73</v>
      </c>
      <c r="F326" s="234">
        <f>F251</f>
        <v>0</v>
      </c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</row>
    <row r="327" spans="1:42" ht="12.75" customHeight="1" x14ac:dyDescent="0.25">
      <c r="A327" s="89"/>
      <c r="C327" s="97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</row>
    <row r="328" spans="1:42" ht="12.75" customHeight="1" x14ac:dyDescent="0.25">
      <c r="C328" s="778" t="s">
        <v>160</v>
      </c>
      <c r="D328" s="775" t="s">
        <v>132</v>
      </c>
      <c r="E328" s="223" t="s">
        <v>70</v>
      </c>
      <c r="F328" s="225">
        <f>F269+F213+F141-L141-M213</f>
        <v>0</v>
      </c>
      <c r="G328" s="225">
        <f>G213+G141</f>
        <v>0</v>
      </c>
      <c r="H328" s="225">
        <f t="shared" ref="H328:AP328" si="11">H213+H141</f>
        <v>0</v>
      </c>
      <c r="I328" s="225">
        <f t="shared" si="11"/>
        <v>0</v>
      </c>
      <c r="J328" s="225">
        <f t="shared" si="11"/>
        <v>0</v>
      </c>
      <c r="K328" s="225">
        <f t="shared" si="11"/>
        <v>0</v>
      </c>
      <c r="L328" s="225">
        <f t="shared" si="11"/>
        <v>0</v>
      </c>
      <c r="M328" s="225">
        <f t="shared" si="11"/>
        <v>0</v>
      </c>
      <c r="N328" s="225">
        <f t="shared" si="11"/>
        <v>0</v>
      </c>
      <c r="O328" s="225">
        <f t="shared" si="11"/>
        <v>0</v>
      </c>
      <c r="P328" s="225">
        <f t="shared" si="11"/>
        <v>0</v>
      </c>
      <c r="Q328" s="225">
        <f t="shared" si="11"/>
        <v>0</v>
      </c>
      <c r="R328" s="225">
        <f t="shared" si="11"/>
        <v>0</v>
      </c>
      <c r="S328" s="225">
        <f t="shared" si="11"/>
        <v>0</v>
      </c>
      <c r="T328" s="225">
        <f t="shared" si="11"/>
        <v>0</v>
      </c>
      <c r="U328" s="225">
        <f t="shared" si="11"/>
        <v>0</v>
      </c>
      <c r="V328" s="225">
        <f t="shared" si="11"/>
        <v>0</v>
      </c>
      <c r="W328" s="225">
        <f t="shared" si="11"/>
        <v>0</v>
      </c>
      <c r="X328" s="225">
        <f t="shared" si="11"/>
        <v>0</v>
      </c>
      <c r="Y328" s="225">
        <f t="shared" si="11"/>
        <v>0</v>
      </c>
      <c r="Z328" s="225">
        <f t="shared" si="11"/>
        <v>0</v>
      </c>
      <c r="AA328" s="225">
        <f t="shared" si="11"/>
        <v>0</v>
      </c>
      <c r="AB328" s="225">
        <f t="shared" si="11"/>
        <v>0</v>
      </c>
      <c r="AC328" s="225">
        <f t="shared" si="11"/>
        <v>0</v>
      </c>
      <c r="AD328" s="225">
        <f t="shared" si="11"/>
        <v>0</v>
      </c>
      <c r="AE328" s="225">
        <f t="shared" si="11"/>
        <v>0</v>
      </c>
      <c r="AF328" s="225">
        <f t="shared" si="11"/>
        <v>0</v>
      </c>
      <c r="AG328" s="225">
        <f t="shared" si="11"/>
        <v>0</v>
      </c>
      <c r="AH328" s="225">
        <f t="shared" si="11"/>
        <v>0</v>
      </c>
      <c r="AI328" s="225">
        <f t="shared" si="11"/>
        <v>0</v>
      </c>
      <c r="AJ328" s="225">
        <f t="shared" si="11"/>
        <v>0</v>
      </c>
      <c r="AK328" s="225">
        <f t="shared" si="11"/>
        <v>0</v>
      </c>
      <c r="AL328" s="225">
        <f t="shared" si="11"/>
        <v>0</v>
      </c>
      <c r="AM328" s="225">
        <f t="shared" si="11"/>
        <v>0</v>
      </c>
      <c r="AN328" s="225">
        <f t="shared" si="11"/>
        <v>0</v>
      </c>
      <c r="AO328" s="225">
        <f t="shared" si="11"/>
        <v>0</v>
      </c>
      <c r="AP328" s="225">
        <f t="shared" si="11"/>
        <v>0</v>
      </c>
    </row>
    <row r="329" spans="1:42" ht="12.75" customHeight="1" x14ac:dyDescent="0.25">
      <c r="C329" s="778"/>
      <c r="D329" s="775"/>
      <c r="E329" s="223" t="s">
        <v>73</v>
      </c>
      <c r="F329" s="225">
        <f>F269</f>
        <v>0</v>
      </c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</row>
    <row r="330" spans="1:42" ht="12.75" customHeight="1" x14ac:dyDescent="0.25">
      <c r="C330" s="778"/>
      <c r="D330" s="775" t="s">
        <v>133</v>
      </c>
      <c r="E330" s="227" t="s">
        <v>70</v>
      </c>
      <c r="F330" s="228">
        <f>F243+F176-L176</f>
        <v>0</v>
      </c>
      <c r="G330" s="228">
        <f>G176</f>
        <v>0</v>
      </c>
      <c r="H330" s="228">
        <f t="shared" ref="H330:AP330" si="12">H176</f>
        <v>0</v>
      </c>
      <c r="I330" s="228">
        <f t="shared" si="12"/>
        <v>0</v>
      </c>
      <c r="J330" s="228">
        <f t="shared" si="12"/>
        <v>0</v>
      </c>
      <c r="K330" s="228">
        <f t="shared" si="12"/>
        <v>0</v>
      </c>
      <c r="L330" s="228">
        <f t="shared" si="12"/>
        <v>0</v>
      </c>
      <c r="M330" s="228">
        <f t="shared" si="12"/>
        <v>0</v>
      </c>
      <c r="N330" s="228">
        <f t="shared" si="12"/>
        <v>0</v>
      </c>
      <c r="O330" s="228">
        <f t="shared" si="12"/>
        <v>0</v>
      </c>
      <c r="P330" s="228">
        <f t="shared" si="12"/>
        <v>0</v>
      </c>
      <c r="Q330" s="228">
        <f t="shared" si="12"/>
        <v>0</v>
      </c>
      <c r="R330" s="228">
        <f t="shared" si="12"/>
        <v>0</v>
      </c>
      <c r="S330" s="228">
        <f t="shared" si="12"/>
        <v>0</v>
      </c>
      <c r="T330" s="228">
        <f t="shared" si="12"/>
        <v>0</v>
      </c>
      <c r="U330" s="228">
        <f t="shared" si="12"/>
        <v>0</v>
      </c>
      <c r="V330" s="228">
        <f t="shared" si="12"/>
        <v>0</v>
      </c>
      <c r="W330" s="228">
        <f t="shared" si="12"/>
        <v>0</v>
      </c>
      <c r="X330" s="228">
        <f t="shared" si="12"/>
        <v>0</v>
      </c>
      <c r="Y330" s="228">
        <f t="shared" si="12"/>
        <v>0</v>
      </c>
      <c r="Z330" s="228">
        <f t="shared" si="12"/>
        <v>0</v>
      </c>
      <c r="AA330" s="228">
        <f t="shared" si="12"/>
        <v>0</v>
      </c>
      <c r="AB330" s="228">
        <f t="shared" si="12"/>
        <v>0</v>
      </c>
      <c r="AC330" s="228">
        <f t="shared" si="12"/>
        <v>0</v>
      </c>
      <c r="AD330" s="228">
        <f t="shared" si="12"/>
        <v>0</v>
      </c>
      <c r="AE330" s="228">
        <f t="shared" si="12"/>
        <v>0</v>
      </c>
      <c r="AF330" s="228">
        <f t="shared" si="12"/>
        <v>0</v>
      </c>
      <c r="AG330" s="228">
        <f t="shared" si="12"/>
        <v>0</v>
      </c>
      <c r="AH330" s="228">
        <f t="shared" si="12"/>
        <v>0</v>
      </c>
      <c r="AI330" s="228">
        <f t="shared" si="12"/>
        <v>0</v>
      </c>
      <c r="AJ330" s="228">
        <f t="shared" si="12"/>
        <v>0</v>
      </c>
      <c r="AK330" s="228">
        <f t="shared" si="12"/>
        <v>0</v>
      </c>
      <c r="AL330" s="228">
        <f t="shared" si="12"/>
        <v>0</v>
      </c>
      <c r="AM330" s="228">
        <f t="shared" si="12"/>
        <v>0</v>
      </c>
      <c r="AN330" s="228">
        <f t="shared" si="12"/>
        <v>0</v>
      </c>
      <c r="AO330" s="228">
        <f t="shared" si="12"/>
        <v>0</v>
      </c>
      <c r="AP330" s="228">
        <f t="shared" si="12"/>
        <v>0</v>
      </c>
    </row>
    <row r="331" spans="1:42" ht="12.75" customHeight="1" x14ac:dyDescent="0.25">
      <c r="C331" s="778"/>
      <c r="D331" s="775"/>
      <c r="E331" s="227" t="s">
        <v>73</v>
      </c>
      <c r="F331" s="228">
        <f>F243</f>
        <v>0</v>
      </c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</row>
    <row r="332" spans="1:42" ht="12.75" customHeight="1" x14ac:dyDescent="0.25">
      <c r="A332" s="89"/>
      <c r="C332" s="97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</row>
    <row r="333" spans="1:42" ht="12.75" customHeight="1" x14ac:dyDescent="0.25">
      <c r="C333" s="778" t="s">
        <v>155</v>
      </c>
      <c r="D333" s="775" t="s">
        <v>132</v>
      </c>
      <c r="E333" s="221" t="s">
        <v>70</v>
      </c>
      <c r="F333" s="222">
        <f>F254+F191+F126--L126-L191</f>
        <v>0</v>
      </c>
      <c r="G333" s="222">
        <f t="shared" ref="G333:AA333" si="13">G191+G126</f>
        <v>0</v>
      </c>
      <c r="H333" s="222">
        <f t="shared" si="13"/>
        <v>0</v>
      </c>
      <c r="I333" s="222">
        <f t="shared" si="13"/>
        <v>0</v>
      </c>
      <c r="J333" s="222">
        <f t="shared" si="13"/>
        <v>0</v>
      </c>
      <c r="K333" s="222">
        <f t="shared" si="13"/>
        <v>0</v>
      </c>
      <c r="L333" s="222">
        <f t="shared" si="13"/>
        <v>0</v>
      </c>
      <c r="M333" s="222">
        <f t="shared" si="13"/>
        <v>0</v>
      </c>
      <c r="N333" s="222">
        <f t="shared" si="13"/>
        <v>0</v>
      </c>
      <c r="O333" s="222">
        <f t="shared" si="13"/>
        <v>0</v>
      </c>
      <c r="P333" s="222">
        <f t="shared" si="13"/>
        <v>0</v>
      </c>
      <c r="Q333" s="222">
        <f t="shared" si="13"/>
        <v>0</v>
      </c>
      <c r="R333" s="222">
        <f t="shared" si="13"/>
        <v>0</v>
      </c>
      <c r="S333" s="222">
        <f t="shared" si="13"/>
        <v>0</v>
      </c>
      <c r="T333" s="222">
        <f t="shared" si="13"/>
        <v>0</v>
      </c>
      <c r="U333" s="222">
        <f t="shared" si="13"/>
        <v>0</v>
      </c>
      <c r="V333" s="222">
        <f t="shared" si="13"/>
        <v>0</v>
      </c>
      <c r="W333" s="222">
        <f t="shared" si="13"/>
        <v>0</v>
      </c>
      <c r="X333" s="222">
        <f t="shared" si="13"/>
        <v>0</v>
      </c>
      <c r="Y333" s="222">
        <f t="shared" si="13"/>
        <v>0</v>
      </c>
      <c r="Z333" s="222">
        <f t="shared" si="13"/>
        <v>0</v>
      </c>
      <c r="AA333" s="222">
        <f t="shared" si="13"/>
        <v>0</v>
      </c>
    </row>
    <row r="334" spans="1:42" ht="12.75" customHeight="1" x14ac:dyDescent="0.25">
      <c r="C334" s="778"/>
      <c r="D334" s="775"/>
      <c r="E334" s="221" t="s">
        <v>73</v>
      </c>
      <c r="F334" s="222">
        <f>F254</f>
        <v>0</v>
      </c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</row>
    <row r="335" spans="1:42" ht="12.75" customHeight="1" x14ac:dyDescent="0.25">
      <c r="C335" s="778"/>
      <c r="D335" s="775" t="s">
        <v>133</v>
      </c>
      <c r="E335" s="229" t="s">
        <v>70</v>
      </c>
      <c r="F335" s="230">
        <f>F228+F154-L154</f>
        <v>0</v>
      </c>
      <c r="G335" s="230">
        <f>G154</f>
        <v>0</v>
      </c>
      <c r="H335" s="230">
        <f t="shared" ref="H335:AP335" si="14">H154</f>
        <v>0</v>
      </c>
      <c r="I335" s="230">
        <f t="shared" si="14"/>
        <v>0</v>
      </c>
      <c r="J335" s="230">
        <f t="shared" si="14"/>
        <v>0</v>
      </c>
      <c r="K335" s="230">
        <f t="shared" si="14"/>
        <v>0</v>
      </c>
      <c r="L335" s="230">
        <f t="shared" si="14"/>
        <v>0</v>
      </c>
      <c r="M335" s="230">
        <f t="shared" si="14"/>
        <v>0</v>
      </c>
      <c r="N335" s="230">
        <f t="shared" si="14"/>
        <v>0</v>
      </c>
      <c r="O335" s="230">
        <f t="shared" si="14"/>
        <v>0</v>
      </c>
      <c r="P335" s="230">
        <f t="shared" si="14"/>
        <v>0</v>
      </c>
      <c r="Q335" s="230">
        <f t="shared" si="14"/>
        <v>0</v>
      </c>
      <c r="R335" s="230">
        <f t="shared" si="14"/>
        <v>0</v>
      </c>
      <c r="S335" s="230">
        <f t="shared" si="14"/>
        <v>0</v>
      </c>
      <c r="T335" s="230">
        <f t="shared" si="14"/>
        <v>0</v>
      </c>
      <c r="U335" s="230">
        <f t="shared" si="14"/>
        <v>0</v>
      </c>
      <c r="V335" s="230">
        <f t="shared" si="14"/>
        <v>0</v>
      </c>
      <c r="W335" s="230">
        <f t="shared" si="14"/>
        <v>0</v>
      </c>
      <c r="X335" s="230">
        <f t="shared" si="14"/>
        <v>0</v>
      </c>
      <c r="Y335" s="230">
        <f t="shared" si="14"/>
        <v>0</v>
      </c>
      <c r="Z335" s="230">
        <f t="shared" si="14"/>
        <v>0</v>
      </c>
      <c r="AA335" s="230">
        <f t="shared" si="14"/>
        <v>0</v>
      </c>
      <c r="AB335" s="230">
        <f t="shared" si="14"/>
        <v>0</v>
      </c>
      <c r="AC335" s="230">
        <f t="shared" si="14"/>
        <v>0</v>
      </c>
      <c r="AD335" s="230">
        <f t="shared" si="14"/>
        <v>0</v>
      </c>
      <c r="AE335" s="230">
        <f t="shared" si="14"/>
        <v>0</v>
      </c>
      <c r="AF335" s="230">
        <f t="shared" si="14"/>
        <v>0</v>
      </c>
      <c r="AG335" s="230">
        <f t="shared" si="14"/>
        <v>0</v>
      </c>
      <c r="AH335" s="230">
        <f t="shared" si="14"/>
        <v>0</v>
      </c>
      <c r="AI335" s="230">
        <f t="shared" si="14"/>
        <v>0</v>
      </c>
      <c r="AJ335" s="230">
        <f t="shared" si="14"/>
        <v>0</v>
      </c>
      <c r="AK335" s="230">
        <f t="shared" si="14"/>
        <v>0</v>
      </c>
      <c r="AL335" s="230">
        <f t="shared" si="14"/>
        <v>0</v>
      </c>
      <c r="AM335" s="230">
        <f t="shared" si="14"/>
        <v>0</v>
      </c>
      <c r="AN335" s="230">
        <f t="shared" si="14"/>
        <v>0</v>
      </c>
      <c r="AO335" s="230">
        <f t="shared" si="14"/>
        <v>0</v>
      </c>
      <c r="AP335" s="230">
        <f t="shared" si="14"/>
        <v>0</v>
      </c>
    </row>
    <row r="336" spans="1:42" ht="12.75" customHeight="1" x14ac:dyDescent="0.25">
      <c r="C336" s="778"/>
      <c r="D336" s="775"/>
      <c r="E336" s="229" t="s">
        <v>73</v>
      </c>
      <c r="F336" s="230">
        <f>F228</f>
        <v>0</v>
      </c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</row>
    <row r="337" spans="1:42" ht="12.75" customHeight="1" x14ac:dyDescent="0.25">
      <c r="A337" s="89"/>
      <c r="C337" s="97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</row>
    <row r="338" spans="1:42" ht="12.75" customHeight="1" x14ac:dyDescent="0.25">
      <c r="C338" s="776" t="s">
        <v>326</v>
      </c>
      <c r="D338" s="775" t="s">
        <v>132</v>
      </c>
      <c r="E338" s="373" t="s">
        <v>70</v>
      </c>
      <c r="F338" s="374">
        <v>0</v>
      </c>
      <c r="G338" s="374">
        <v>0</v>
      </c>
      <c r="H338" s="374">
        <v>0</v>
      </c>
      <c r="I338" s="374">
        <v>0</v>
      </c>
      <c r="J338" s="374">
        <v>0</v>
      </c>
      <c r="K338" s="374">
        <v>0</v>
      </c>
      <c r="L338" s="374">
        <v>0</v>
      </c>
      <c r="M338" s="374">
        <v>0</v>
      </c>
      <c r="N338" s="374">
        <v>0</v>
      </c>
      <c r="O338" s="374">
        <v>0</v>
      </c>
      <c r="P338" s="374">
        <v>0</v>
      </c>
      <c r="Q338" s="374">
        <v>0</v>
      </c>
      <c r="R338" s="374">
        <v>0</v>
      </c>
      <c r="S338" s="374">
        <v>0</v>
      </c>
      <c r="T338" s="374">
        <v>0</v>
      </c>
      <c r="U338" s="374">
        <v>0</v>
      </c>
      <c r="V338" s="374">
        <v>0</v>
      </c>
      <c r="W338" s="374">
        <v>0</v>
      </c>
      <c r="X338" s="374">
        <v>0</v>
      </c>
      <c r="Y338" s="374">
        <v>0</v>
      </c>
      <c r="Z338" s="374">
        <v>0</v>
      </c>
      <c r="AA338" s="374">
        <v>0</v>
      </c>
      <c r="AB338" s="374">
        <v>0</v>
      </c>
      <c r="AC338" s="374">
        <v>0</v>
      </c>
      <c r="AD338" s="374">
        <v>0</v>
      </c>
      <c r="AE338" s="374">
        <v>0</v>
      </c>
      <c r="AF338" s="374">
        <v>0</v>
      </c>
      <c r="AG338" s="374">
        <v>0</v>
      </c>
      <c r="AH338" s="374">
        <v>0</v>
      </c>
      <c r="AI338" s="374">
        <v>0</v>
      </c>
      <c r="AJ338" s="374">
        <v>0</v>
      </c>
      <c r="AK338" s="374">
        <v>0</v>
      </c>
      <c r="AL338" s="374">
        <v>0</v>
      </c>
      <c r="AM338" s="374">
        <v>0</v>
      </c>
      <c r="AN338" s="374">
        <v>0</v>
      </c>
      <c r="AO338" s="374">
        <v>0</v>
      </c>
    </row>
    <row r="339" spans="1:42" ht="12.75" customHeight="1" x14ac:dyDescent="0.25">
      <c r="C339" s="776"/>
      <c r="D339" s="775"/>
      <c r="E339" s="373" t="s">
        <v>73</v>
      </c>
      <c r="F339" s="374">
        <v>0</v>
      </c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</row>
    <row r="340" spans="1:42" ht="12.75" customHeight="1" x14ac:dyDescent="0.25">
      <c r="C340" s="776"/>
      <c r="D340" s="775" t="s">
        <v>133</v>
      </c>
      <c r="E340" s="242" t="s">
        <v>70</v>
      </c>
      <c r="F340" s="243">
        <v>0</v>
      </c>
      <c r="G340" s="243">
        <v>0</v>
      </c>
      <c r="H340" s="243">
        <v>0</v>
      </c>
      <c r="I340" s="243">
        <v>0</v>
      </c>
      <c r="J340" s="243">
        <v>0</v>
      </c>
      <c r="K340" s="243">
        <v>0</v>
      </c>
      <c r="L340" s="243">
        <v>0</v>
      </c>
      <c r="M340" s="243">
        <v>0</v>
      </c>
      <c r="N340" s="243">
        <v>0</v>
      </c>
      <c r="O340" s="243">
        <v>0</v>
      </c>
      <c r="P340" s="243">
        <v>0</v>
      </c>
      <c r="Q340" s="243">
        <v>0</v>
      </c>
      <c r="R340" s="243">
        <v>0</v>
      </c>
      <c r="S340" s="243">
        <v>0</v>
      </c>
      <c r="T340" s="243">
        <v>0</v>
      </c>
      <c r="U340" s="243">
        <v>0</v>
      </c>
      <c r="V340" s="243">
        <v>0</v>
      </c>
      <c r="W340" s="243">
        <v>0</v>
      </c>
      <c r="X340" s="243">
        <v>0</v>
      </c>
      <c r="Y340" s="243">
        <v>0</v>
      </c>
      <c r="Z340" s="243">
        <v>0</v>
      </c>
      <c r="AA340" s="243">
        <v>0</v>
      </c>
      <c r="AB340" s="243">
        <v>0</v>
      </c>
      <c r="AC340" s="243">
        <v>0</v>
      </c>
      <c r="AD340" s="243">
        <v>0</v>
      </c>
      <c r="AE340" s="243">
        <v>0</v>
      </c>
      <c r="AF340" s="243">
        <v>0</v>
      </c>
      <c r="AG340" s="243">
        <v>0</v>
      </c>
      <c r="AH340" s="243">
        <v>0</v>
      </c>
      <c r="AI340" s="243">
        <v>0</v>
      </c>
      <c r="AJ340" s="243">
        <v>0</v>
      </c>
      <c r="AK340" s="243">
        <v>0</v>
      </c>
      <c r="AL340" s="243">
        <v>0</v>
      </c>
      <c r="AM340" s="243">
        <v>0</v>
      </c>
      <c r="AN340" s="243">
        <v>0</v>
      </c>
      <c r="AO340" s="243">
        <v>0</v>
      </c>
    </row>
    <row r="341" spans="1:42" ht="12.75" customHeight="1" x14ac:dyDescent="0.25">
      <c r="C341" s="776"/>
      <c r="D341" s="775"/>
      <c r="E341" s="242" t="s">
        <v>73</v>
      </c>
      <c r="F341" s="243">
        <v>0</v>
      </c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</row>
    <row r="342" spans="1:42" ht="12.75" customHeight="1" x14ac:dyDescent="0.25">
      <c r="A342" s="89"/>
      <c r="C342" s="97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</row>
    <row r="343" spans="1:42" ht="12.75" customHeight="1" x14ac:dyDescent="0.25">
      <c r="C343" s="778" t="s">
        <v>119</v>
      </c>
      <c r="D343" s="775" t="s">
        <v>132</v>
      </c>
      <c r="E343" s="101" t="s">
        <v>70</v>
      </c>
      <c r="F343" s="93">
        <f>F276+F223+F148-L148-L223</f>
        <v>0</v>
      </c>
      <c r="G343" s="93">
        <f t="shared" ref="G343:AP343" si="15">G223+G148</f>
        <v>0</v>
      </c>
      <c r="H343" s="93">
        <f t="shared" si="15"/>
        <v>0</v>
      </c>
      <c r="I343" s="93">
        <f t="shared" si="15"/>
        <v>0</v>
      </c>
      <c r="J343" s="93">
        <f t="shared" si="15"/>
        <v>0</v>
      </c>
      <c r="K343" s="93">
        <f t="shared" si="15"/>
        <v>0</v>
      </c>
      <c r="L343" s="93">
        <f t="shared" si="15"/>
        <v>0</v>
      </c>
      <c r="M343" s="93">
        <f t="shared" si="15"/>
        <v>0</v>
      </c>
      <c r="N343" s="93">
        <f t="shared" si="15"/>
        <v>0</v>
      </c>
      <c r="O343" s="93">
        <f t="shared" si="15"/>
        <v>0</v>
      </c>
      <c r="P343" s="93">
        <f t="shared" si="15"/>
        <v>0</v>
      </c>
      <c r="Q343" s="93">
        <f t="shared" si="15"/>
        <v>0</v>
      </c>
      <c r="R343" s="93">
        <f t="shared" si="15"/>
        <v>0</v>
      </c>
      <c r="S343" s="93">
        <f t="shared" si="15"/>
        <v>0</v>
      </c>
      <c r="T343" s="93">
        <f t="shared" si="15"/>
        <v>0</v>
      </c>
      <c r="U343" s="93">
        <f t="shared" si="15"/>
        <v>0</v>
      </c>
      <c r="V343" s="93">
        <f t="shared" si="15"/>
        <v>0</v>
      </c>
      <c r="W343" s="93">
        <f t="shared" si="15"/>
        <v>0</v>
      </c>
      <c r="X343" s="93">
        <f t="shared" si="15"/>
        <v>0</v>
      </c>
      <c r="Y343" s="93">
        <f t="shared" si="15"/>
        <v>0</v>
      </c>
      <c r="Z343" s="93">
        <f t="shared" si="15"/>
        <v>0</v>
      </c>
      <c r="AA343" s="93">
        <f t="shared" si="15"/>
        <v>0</v>
      </c>
      <c r="AB343" s="93">
        <f t="shared" si="15"/>
        <v>0</v>
      </c>
      <c r="AC343" s="93">
        <f t="shared" si="15"/>
        <v>0</v>
      </c>
      <c r="AD343" s="93">
        <f t="shared" si="15"/>
        <v>0</v>
      </c>
      <c r="AE343" s="93">
        <f t="shared" si="15"/>
        <v>0</v>
      </c>
      <c r="AF343" s="93">
        <f t="shared" si="15"/>
        <v>0</v>
      </c>
      <c r="AG343" s="93">
        <f t="shared" si="15"/>
        <v>0</v>
      </c>
      <c r="AH343" s="93">
        <f t="shared" si="15"/>
        <v>0</v>
      </c>
      <c r="AI343" s="93">
        <f t="shared" si="15"/>
        <v>0</v>
      </c>
      <c r="AJ343" s="93">
        <f t="shared" si="15"/>
        <v>0</v>
      </c>
      <c r="AK343" s="93">
        <f t="shared" si="15"/>
        <v>0</v>
      </c>
      <c r="AL343" s="93">
        <f t="shared" si="15"/>
        <v>0</v>
      </c>
      <c r="AM343" s="93">
        <f t="shared" si="15"/>
        <v>0</v>
      </c>
      <c r="AN343" s="93">
        <f t="shared" si="15"/>
        <v>0</v>
      </c>
      <c r="AO343" s="93">
        <f t="shared" si="15"/>
        <v>0</v>
      </c>
      <c r="AP343" s="93">
        <f t="shared" si="15"/>
        <v>0</v>
      </c>
    </row>
    <row r="344" spans="1:42" ht="12.75" customHeight="1" x14ac:dyDescent="0.25">
      <c r="C344" s="778"/>
      <c r="D344" s="775"/>
      <c r="E344" s="101" t="s">
        <v>73</v>
      </c>
      <c r="F344" s="93">
        <f>F276</f>
        <v>0</v>
      </c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</row>
    <row r="345" spans="1:42" ht="12.75" customHeight="1" x14ac:dyDescent="0.25">
      <c r="C345" s="778"/>
      <c r="D345" s="775" t="s">
        <v>133</v>
      </c>
      <c r="E345" s="235" t="s">
        <v>70</v>
      </c>
      <c r="F345" s="236">
        <f>F250+F186-L186</f>
        <v>0</v>
      </c>
      <c r="G345" s="236">
        <f>G186</f>
        <v>0</v>
      </c>
      <c r="H345" s="236">
        <f t="shared" ref="H345:AP345" si="16">H186</f>
        <v>0</v>
      </c>
      <c r="I345" s="236">
        <f t="shared" si="16"/>
        <v>0</v>
      </c>
      <c r="J345" s="236">
        <f t="shared" si="16"/>
        <v>0</v>
      </c>
      <c r="K345" s="236">
        <f t="shared" si="16"/>
        <v>0</v>
      </c>
      <c r="L345" s="236">
        <f t="shared" si="16"/>
        <v>0</v>
      </c>
      <c r="M345" s="236">
        <f t="shared" si="16"/>
        <v>0</v>
      </c>
      <c r="N345" s="236">
        <f t="shared" si="16"/>
        <v>0</v>
      </c>
      <c r="O345" s="236">
        <f t="shared" si="16"/>
        <v>0</v>
      </c>
      <c r="P345" s="236">
        <f t="shared" si="16"/>
        <v>0</v>
      </c>
      <c r="Q345" s="236">
        <f t="shared" si="16"/>
        <v>0</v>
      </c>
      <c r="R345" s="236">
        <f t="shared" si="16"/>
        <v>0</v>
      </c>
      <c r="S345" s="236">
        <f t="shared" si="16"/>
        <v>0</v>
      </c>
      <c r="T345" s="236">
        <f t="shared" si="16"/>
        <v>0</v>
      </c>
      <c r="U345" s="236">
        <f t="shared" si="16"/>
        <v>0</v>
      </c>
      <c r="V345" s="236">
        <f t="shared" si="16"/>
        <v>0</v>
      </c>
      <c r="W345" s="236">
        <f t="shared" si="16"/>
        <v>0</v>
      </c>
      <c r="X345" s="236">
        <f t="shared" si="16"/>
        <v>0</v>
      </c>
      <c r="Y345" s="236">
        <f t="shared" si="16"/>
        <v>0</v>
      </c>
      <c r="Z345" s="236">
        <f t="shared" si="16"/>
        <v>0</v>
      </c>
      <c r="AA345" s="236">
        <f t="shared" si="16"/>
        <v>0</v>
      </c>
      <c r="AB345" s="236">
        <f t="shared" si="16"/>
        <v>0</v>
      </c>
      <c r="AC345" s="236">
        <f t="shared" si="16"/>
        <v>0</v>
      </c>
      <c r="AD345" s="236">
        <f t="shared" si="16"/>
        <v>0</v>
      </c>
      <c r="AE345" s="236">
        <f t="shared" si="16"/>
        <v>0</v>
      </c>
      <c r="AF345" s="236">
        <f t="shared" si="16"/>
        <v>0</v>
      </c>
      <c r="AG345" s="236">
        <f t="shared" si="16"/>
        <v>0</v>
      </c>
      <c r="AH345" s="236">
        <f t="shared" si="16"/>
        <v>0</v>
      </c>
      <c r="AI345" s="236">
        <f t="shared" si="16"/>
        <v>0</v>
      </c>
      <c r="AJ345" s="236">
        <f t="shared" si="16"/>
        <v>0</v>
      </c>
      <c r="AK345" s="236">
        <f t="shared" si="16"/>
        <v>0</v>
      </c>
      <c r="AL345" s="236">
        <f t="shared" si="16"/>
        <v>0</v>
      </c>
      <c r="AM345" s="236">
        <f t="shared" si="16"/>
        <v>0</v>
      </c>
      <c r="AN345" s="236">
        <f t="shared" si="16"/>
        <v>0</v>
      </c>
      <c r="AO345" s="236">
        <f t="shared" si="16"/>
        <v>0</v>
      </c>
      <c r="AP345" s="236">
        <f t="shared" si="16"/>
        <v>0</v>
      </c>
    </row>
    <row r="346" spans="1:42" ht="12.75" customHeight="1" x14ac:dyDescent="0.25">
      <c r="C346" s="778"/>
      <c r="D346" s="775"/>
      <c r="E346" s="235" t="s">
        <v>73</v>
      </c>
      <c r="F346" s="236">
        <f>F250</f>
        <v>0</v>
      </c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</row>
    <row r="347" spans="1:42" ht="12.75" customHeight="1" x14ac:dyDescent="0.25">
      <c r="A347" s="89"/>
      <c r="C347" s="97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</row>
    <row r="348" spans="1:42" ht="12.75" customHeight="1" x14ac:dyDescent="0.25">
      <c r="C348" s="777" t="s">
        <v>161</v>
      </c>
      <c r="D348" s="775" t="s">
        <v>132</v>
      </c>
      <c r="E348" s="231" t="s">
        <v>70</v>
      </c>
      <c r="F348" s="232">
        <v>0</v>
      </c>
      <c r="G348" s="232">
        <v>0</v>
      </c>
      <c r="H348" s="232">
        <v>0</v>
      </c>
      <c r="I348" s="232">
        <v>0</v>
      </c>
      <c r="J348" s="232">
        <v>0</v>
      </c>
      <c r="K348" s="232">
        <v>0</v>
      </c>
      <c r="L348" s="232">
        <v>0</v>
      </c>
      <c r="M348" s="232">
        <v>0</v>
      </c>
      <c r="N348" s="232">
        <v>0</v>
      </c>
      <c r="O348" s="232">
        <v>0</v>
      </c>
      <c r="P348" s="232">
        <v>0</v>
      </c>
      <c r="Q348" s="232">
        <v>0</v>
      </c>
      <c r="R348" s="232">
        <v>0</v>
      </c>
      <c r="S348" s="232">
        <v>0</v>
      </c>
      <c r="T348" s="232">
        <v>0</v>
      </c>
      <c r="U348" s="232">
        <v>0</v>
      </c>
      <c r="V348" s="232">
        <v>0</v>
      </c>
      <c r="W348" s="232">
        <v>0</v>
      </c>
      <c r="X348" s="232">
        <v>0</v>
      </c>
      <c r="Y348" s="232"/>
      <c r="Z348" s="232">
        <v>0</v>
      </c>
      <c r="AA348" s="232">
        <v>0</v>
      </c>
      <c r="AB348" s="232">
        <v>0</v>
      </c>
      <c r="AC348" s="232">
        <v>0</v>
      </c>
      <c r="AD348" s="232">
        <v>0</v>
      </c>
      <c r="AE348" s="232">
        <v>0</v>
      </c>
      <c r="AF348" s="232">
        <v>0</v>
      </c>
      <c r="AG348" s="232">
        <v>0</v>
      </c>
      <c r="AH348" s="232">
        <v>0</v>
      </c>
      <c r="AI348" s="232">
        <v>0</v>
      </c>
      <c r="AJ348" s="232">
        <v>0</v>
      </c>
      <c r="AK348" s="232">
        <v>0</v>
      </c>
      <c r="AL348" s="232">
        <v>0</v>
      </c>
      <c r="AM348" s="232">
        <v>0</v>
      </c>
      <c r="AN348" s="232">
        <v>0</v>
      </c>
      <c r="AO348" s="232">
        <v>0</v>
      </c>
      <c r="AP348" s="232">
        <v>0</v>
      </c>
    </row>
    <row r="349" spans="1:42" ht="12.75" customHeight="1" x14ac:dyDescent="0.25">
      <c r="C349" s="777"/>
      <c r="D349" s="775"/>
      <c r="E349" s="231" t="s">
        <v>73</v>
      </c>
      <c r="F349" s="232">
        <v>0</v>
      </c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</row>
    <row r="350" spans="1:42" ht="12.75" customHeight="1" x14ac:dyDescent="0.25">
      <c r="C350" s="777"/>
      <c r="E350" s="148" t="s">
        <v>70</v>
      </c>
      <c r="F350" s="149">
        <v>0</v>
      </c>
      <c r="G350" s="149">
        <v>0</v>
      </c>
      <c r="H350" s="149">
        <v>0</v>
      </c>
      <c r="I350" s="149">
        <v>0</v>
      </c>
      <c r="J350" s="149">
        <v>0</v>
      </c>
      <c r="K350" s="149">
        <v>0</v>
      </c>
      <c r="L350" s="149">
        <v>0</v>
      </c>
      <c r="M350" s="149">
        <v>0</v>
      </c>
      <c r="N350" s="149">
        <v>0</v>
      </c>
      <c r="O350" s="149">
        <v>0</v>
      </c>
      <c r="P350" s="149">
        <v>0</v>
      </c>
      <c r="Q350" s="149">
        <v>0</v>
      </c>
      <c r="R350" s="149">
        <v>0</v>
      </c>
      <c r="S350" s="149">
        <v>0</v>
      </c>
      <c r="T350" s="149">
        <v>0</v>
      </c>
      <c r="U350" s="149">
        <v>0</v>
      </c>
      <c r="V350" s="149">
        <v>0</v>
      </c>
      <c r="W350" s="149">
        <v>0</v>
      </c>
      <c r="X350" s="149">
        <v>0</v>
      </c>
      <c r="Y350" s="149">
        <v>0</v>
      </c>
      <c r="Z350" s="149">
        <v>0</v>
      </c>
      <c r="AA350" s="149">
        <v>0</v>
      </c>
    </row>
    <row r="351" spans="1:42" ht="12.75" customHeight="1" x14ac:dyDescent="0.25">
      <c r="C351" s="777"/>
      <c r="D351" s="220" t="s">
        <v>132</v>
      </c>
      <c r="E351" s="148" t="s">
        <v>73</v>
      </c>
      <c r="F351" s="149">
        <v>0</v>
      </c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</row>
    <row r="352" spans="1:42" ht="12.75" customHeight="1" x14ac:dyDescent="0.25">
      <c r="C352" s="388"/>
      <c r="D352" s="220"/>
      <c r="E352" s="89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</row>
    <row r="353" spans="1:27" ht="12.75" customHeight="1" x14ac:dyDescent="0.25">
      <c r="D353" s="458" t="s">
        <v>186</v>
      </c>
      <c r="E353" s="459" t="s">
        <v>70</v>
      </c>
      <c r="F353" s="460">
        <f>F149</f>
        <v>0</v>
      </c>
      <c r="G353" s="460">
        <f t="shared" ref="G353:AA353" si="17">G149</f>
        <v>0</v>
      </c>
      <c r="H353" s="460">
        <f t="shared" si="17"/>
        <v>0</v>
      </c>
      <c r="I353" s="460">
        <f t="shared" si="17"/>
        <v>0</v>
      </c>
      <c r="J353" s="460">
        <f t="shared" si="17"/>
        <v>0</v>
      </c>
      <c r="K353" s="460">
        <f t="shared" si="17"/>
        <v>0</v>
      </c>
      <c r="L353" s="460">
        <f t="shared" si="17"/>
        <v>0</v>
      </c>
      <c r="M353" s="460">
        <f t="shared" si="17"/>
        <v>0</v>
      </c>
      <c r="N353" s="460">
        <f t="shared" si="17"/>
        <v>0</v>
      </c>
      <c r="O353" s="460">
        <f t="shared" si="17"/>
        <v>0</v>
      </c>
      <c r="P353" s="460">
        <f t="shared" si="17"/>
        <v>0</v>
      </c>
      <c r="Q353" s="460">
        <f t="shared" si="17"/>
        <v>0</v>
      </c>
      <c r="R353" s="460">
        <f t="shared" si="17"/>
        <v>0</v>
      </c>
      <c r="S353" s="460">
        <f t="shared" si="17"/>
        <v>0</v>
      </c>
      <c r="T353" s="460">
        <f t="shared" si="17"/>
        <v>0</v>
      </c>
      <c r="U353" s="460">
        <f t="shared" si="17"/>
        <v>0</v>
      </c>
      <c r="V353" s="460">
        <f t="shared" si="17"/>
        <v>0</v>
      </c>
      <c r="W353" s="460">
        <f t="shared" si="17"/>
        <v>0</v>
      </c>
      <c r="X353" s="460">
        <f t="shared" si="17"/>
        <v>0</v>
      </c>
      <c r="Y353" s="460">
        <f t="shared" si="17"/>
        <v>0</v>
      </c>
      <c r="Z353" s="460">
        <f t="shared" si="17"/>
        <v>0</v>
      </c>
      <c r="AA353" s="460">
        <f t="shared" si="17"/>
        <v>0</v>
      </c>
    </row>
    <row r="354" spans="1:27" ht="12.75" customHeight="1" x14ac:dyDescent="0.25">
      <c r="C354" s="388"/>
      <c r="D354" s="220"/>
      <c r="E354" s="89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</row>
    <row r="355" spans="1:27" s="238" customFormat="1" ht="12.75" customHeight="1" x14ac:dyDescent="0.25">
      <c r="D355" s="239"/>
      <c r="E355" s="240"/>
      <c r="F355" s="240"/>
      <c r="G355" s="240"/>
      <c r="H355" s="240"/>
      <c r="I355" s="240"/>
      <c r="J355" s="240"/>
      <c r="K355" s="240"/>
      <c r="L355" s="240"/>
      <c r="M355" s="240"/>
      <c r="N355" s="240"/>
      <c r="O355" s="240"/>
      <c r="P355" s="240"/>
      <c r="Q355" s="240"/>
    </row>
    <row r="356" spans="1:27" ht="12.75" customHeight="1" x14ac:dyDescent="0.25">
      <c r="A356" s="89"/>
      <c r="B356" s="97" t="s">
        <v>76</v>
      </c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</row>
    <row r="357" spans="1:27" ht="12.6" customHeight="1" x14ac:dyDescent="0.25">
      <c r="F357" s="89" t="s">
        <v>70</v>
      </c>
      <c r="G357" s="89" t="s">
        <v>64</v>
      </c>
      <c r="H357" s="89" t="s">
        <v>65</v>
      </c>
      <c r="I357" s="218" t="s">
        <v>164</v>
      </c>
      <c r="J357" s="89" t="s">
        <v>69</v>
      </c>
      <c r="K357" s="89" t="s">
        <v>68</v>
      </c>
      <c r="L357" s="89" t="s">
        <v>71</v>
      </c>
      <c r="M357" s="89" t="s">
        <v>66</v>
      </c>
      <c r="N357" s="89" t="s">
        <v>63</v>
      </c>
      <c r="O357" s="89" t="s">
        <v>61</v>
      </c>
      <c r="P357" s="89" t="s">
        <v>62</v>
      </c>
      <c r="Q357" s="89" t="s">
        <v>67</v>
      </c>
      <c r="R357" s="89" t="s">
        <v>77</v>
      </c>
      <c r="S357" s="89" t="s">
        <v>80</v>
      </c>
      <c r="T357" s="89" t="s">
        <v>135</v>
      </c>
      <c r="U357" s="89" t="s">
        <v>173</v>
      </c>
      <c r="V357" s="89" t="s">
        <v>222</v>
      </c>
      <c r="W357" s="89" t="s">
        <v>173</v>
      </c>
      <c r="X357" t="s">
        <v>173</v>
      </c>
      <c r="Y357" s="89" t="s">
        <v>135</v>
      </c>
      <c r="Z357" t="s">
        <v>167</v>
      </c>
    </row>
    <row r="358" spans="1:27" ht="12.75" customHeight="1" x14ac:dyDescent="0.25">
      <c r="E358" s="89" t="s">
        <v>72</v>
      </c>
      <c r="F358" s="371">
        <v>0</v>
      </c>
      <c r="G358" s="90">
        <v>0</v>
      </c>
      <c r="H358" s="90">
        <v>0</v>
      </c>
      <c r="I358" s="90">
        <v>0</v>
      </c>
      <c r="J358" s="90">
        <v>0</v>
      </c>
      <c r="K358" s="90">
        <v>0</v>
      </c>
      <c r="L358" s="90">
        <v>0</v>
      </c>
      <c r="M358" s="90">
        <v>0</v>
      </c>
      <c r="N358" s="90">
        <v>0</v>
      </c>
      <c r="O358" s="90">
        <v>0</v>
      </c>
      <c r="P358" s="90">
        <v>0</v>
      </c>
      <c r="Q358" s="90">
        <v>0</v>
      </c>
      <c r="R358" s="90">
        <v>0</v>
      </c>
      <c r="S358" s="90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</row>
    <row r="359" spans="1:27" ht="12.75" customHeight="1" x14ac:dyDescent="0.25">
      <c r="D359" t="s">
        <v>156</v>
      </c>
      <c r="E359" s="89" t="s">
        <v>70</v>
      </c>
      <c r="F359" s="371">
        <v>0</v>
      </c>
      <c r="G359" s="90">
        <v>0</v>
      </c>
      <c r="H359" s="90">
        <v>0</v>
      </c>
      <c r="I359" s="90">
        <v>0</v>
      </c>
      <c r="J359" s="90">
        <v>0</v>
      </c>
      <c r="K359" s="90">
        <v>0</v>
      </c>
      <c r="L359" s="90">
        <v>0</v>
      </c>
      <c r="M359" s="90">
        <v>0</v>
      </c>
      <c r="N359" s="90">
        <v>0</v>
      </c>
      <c r="O359" s="90">
        <v>0</v>
      </c>
      <c r="P359" s="90">
        <v>0</v>
      </c>
      <c r="Q359" s="90">
        <v>0</v>
      </c>
      <c r="R359" s="90">
        <v>0</v>
      </c>
      <c r="S359" s="90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</row>
    <row r="360" spans="1:27" s="286" customFormat="1" ht="12.75" customHeight="1" x14ac:dyDescent="0.25">
      <c r="C360" s="286" t="s">
        <v>155</v>
      </c>
      <c r="D360" s="286" t="s">
        <v>70</v>
      </c>
      <c r="E360" s="229"/>
      <c r="F360" s="229">
        <v>0</v>
      </c>
      <c r="G360" s="230">
        <v>0</v>
      </c>
      <c r="H360" s="230">
        <v>0</v>
      </c>
      <c r="I360" s="230">
        <v>0</v>
      </c>
      <c r="J360" s="230">
        <v>0</v>
      </c>
      <c r="K360" s="230">
        <v>0</v>
      </c>
      <c r="L360" s="230">
        <v>0</v>
      </c>
      <c r="M360" s="230">
        <v>0</v>
      </c>
      <c r="N360" s="230">
        <v>0</v>
      </c>
      <c r="O360" s="230">
        <v>0</v>
      </c>
      <c r="P360" s="230">
        <v>0</v>
      </c>
      <c r="Q360" s="230">
        <v>0</v>
      </c>
      <c r="R360" s="230">
        <v>0</v>
      </c>
      <c r="S360" s="230">
        <v>0</v>
      </c>
      <c r="T360" s="230">
        <v>0</v>
      </c>
      <c r="U360" s="230">
        <v>0</v>
      </c>
      <c r="V360" s="230">
        <v>0</v>
      </c>
      <c r="W360" s="230">
        <v>0</v>
      </c>
      <c r="X360" s="230">
        <v>0</v>
      </c>
      <c r="Y360" s="230">
        <v>0</v>
      </c>
      <c r="Z360" s="230">
        <v>0</v>
      </c>
    </row>
    <row r="361" spans="1:27" ht="12.75" customHeight="1" x14ac:dyDescent="0.25">
      <c r="E361" s="89" t="s">
        <v>72</v>
      </c>
      <c r="F361" s="90">
        <v>0</v>
      </c>
      <c r="G361" s="90">
        <v>0</v>
      </c>
      <c r="H361" s="90">
        <v>0</v>
      </c>
      <c r="I361" s="90">
        <v>0</v>
      </c>
      <c r="J361" s="90">
        <v>0</v>
      </c>
      <c r="K361" s="90">
        <v>0</v>
      </c>
      <c r="L361" s="90">
        <v>0</v>
      </c>
      <c r="M361" s="90">
        <v>0</v>
      </c>
      <c r="N361" s="90">
        <v>0</v>
      </c>
      <c r="O361" s="90">
        <v>0</v>
      </c>
      <c r="P361" s="90">
        <v>0</v>
      </c>
      <c r="Q361" s="90">
        <v>0</v>
      </c>
      <c r="R361" s="90">
        <v>0</v>
      </c>
      <c r="S361" s="90">
        <v>0</v>
      </c>
      <c r="T361" s="90">
        <v>0</v>
      </c>
      <c r="U361" s="90">
        <v>0</v>
      </c>
      <c r="V361" s="90">
        <v>0</v>
      </c>
      <c r="W361" s="90">
        <v>0</v>
      </c>
      <c r="X361">
        <v>0</v>
      </c>
      <c r="Y361">
        <v>0</v>
      </c>
      <c r="Z361">
        <v>0</v>
      </c>
    </row>
    <row r="362" spans="1:27" ht="12.75" customHeight="1" x14ac:dyDescent="0.25">
      <c r="D362" t="s">
        <v>82</v>
      </c>
      <c r="E362" s="89" t="s">
        <v>70</v>
      </c>
      <c r="F362" s="371">
        <v>0</v>
      </c>
      <c r="G362" s="90">
        <v>0</v>
      </c>
      <c r="H362" s="90">
        <v>0</v>
      </c>
      <c r="I362" s="90">
        <v>0</v>
      </c>
      <c r="J362" s="90">
        <v>0</v>
      </c>
      <c r="K362" s="90">
        <v>0</v>
      </c>
      <c r="L362" s="90">
        <v>0</v>
      </c>
      <c r="M362" s="90">
        <v>0</v>
      </c>
      <c r="N362" s="90">
        <v>0</v>
      </c>
      <c r="O362" s="90">
        <v>0</v>
      </c>
      <c r="P362" s="90">
        <v>0</v>
      </c>
      <c r="Q362" s="90">
        <v>0</v>
      </c>
      <c r="R362" s="90">
        <v>0</v>
      </c>
      <c r="S362" s="90">
        <v>0</v>
      </c>
      <c r="T362" s="90">
        <v>0</v>
      </c>
      <c r="U362" s="90">
        <v>0</v>
      </c>
      <c r="V362" s="90">
        <v>0</v>
      </c>
      <c r="W362" s="90">
        <v>0</v>
      </c>
      <c r="X362">
        <v>0</v>
      </c>
      <c r="Y362">
        <v>0</v>
      </c>
      <c r="Z362">
        <v>0</v>
      </c>
    </row>
    <row r="363" spans="1:27" ht="12.75" customHeight="1" x14ac:dyDescent="0.25">
      <c r="E363" s="89" t="s">
        <v>72</v>
      </c>
      <c r="F363" s="371">
        <v>0</v>
      </c>
      <c r="G363" s="90">
        <v>0</v>
      </c>
      <c r="H363" s="90">
        <v>0</v>
      </c>
      <c r="I363" s="90">
        <v>0</v>
      </c>
      <c r="J363" s="90">
        <v>0</v>
      </c>
      <c r="K363" s="90">
        <v>0</v>
      </c>
      <c r="L363" s="90">
        <v>0</v>
      </c>
      <c r="M363" s="90">
        <v>0</v>
      </c>
      <c r="N363" s="90">
        <v>0</v>
      </c>
      <c r="O363" s="90">
        <v>0</v>
      </c>
      <c r="P363" s="90">
        <v>0</v>
      </c>
      <c r="Q363" s="90">
        <v>0</v>
      </c>
      <c r="R363" s="90">
        <v>0</v>
      </c>
      <c r="S363" s="90">
        <v>0</v>
      </c>
      <c r="T363" s="90">
        <v>0</v>
      </c>
      <c r="U363" s="90">
        <v>0</v>
      </c>
      <c r="V363" s="90">
        <v>0</v>
      </c>
      <c r="W363" s="90">
        <v>0</v>
      </c>
      <c r="X363">
        <v>0</v>
      </c>
      <c r="Y363">
        <v>0</v>
      </c>
      <c r="Z363">
        <v>0</v>
      </c>
    </row>
    <row r="364" spans="1:27" ht="12.75" customHeight="1" x14ac:dyDescent="0.25">
      <c r="D364" t="s">
        <v>86</v>
      </c>
      <c r="E364" s="89" t="s">
        <v>70</v>
      </c>
      <c r="F364" s="371">
        <v>0</v>
      </c>
      <c r="G364" s="90">
        <v>0</v>
      </c>
      <c r="H364" s="90">
        <v>0</v>
      </c>
      <c r="I364" s="90">
        <v>0</v>
      </c>
      <c r="J364" s="90">
        <v>0</v>
      </c>
      <c r="K364" s="90">
        <v>0</v>
      </c>
      <c r="L364" s="90">
        <v>0</v>
      </c>
      <c r="M364" s="90">
        <v>0</v>
      </c>
      <c r="N364" s="90">
        <v>0</v>
      </c>
      <c r="O364" s="90">
        <v>0</v>
      </c>
      <c r="P364" s="90">
        <v>0</v>
      </c>
      <c r="Q364" s="90">
        <v>0</v>
      </c>
      <c r="R364" s="90">
        <v>0</v>
      </c>
      <c r="S364" s="90">
        <v>0</v>
      </c>
      <c r="T364" s="90">
        <v>0</v>
      </c>
      <c r="U364" s="90">
        <v>0</v>
      </c>
      <c r="V364" s="90">
        <v>0</v>
      </c>
      <c r="W364" s="90">
        <v>0</v>
      </c>
      <c r="X364">
        <v>0</v>
      </c>
      <c r="Y364">
        <v>0</v>
      </c>
      <c r="Z364">
        <v>0</v>
      </c>
    </row>
    <row r="365" spans="1:27" ht="12.75" customHeight="1" x14ac:dyDescent="0.25">
      <c r="E365" s="89" t="s">
        <v>72</v>
      </c>
      <c r="F365" s="371">
        <v>0</v>
      </c>
      <c r="G365" s="90">
        <v>0</v>
      </c>
      <c r="H365" s="90">
        <v>0</v>
      </c>
      <c r="I365" s="90">
        <v>0</v>
      </c>
      <c r="J365" s="90">
        <v>0</v>
      </c>
      <c r="K365" s="90">
        <v>0</v>
      </c>
      <c r="L365" s="90">
        <v>0</v>
      </c>
      <c r="M365" s="90">
        <v>0</v>
      </c>
      <c r="N365" s="90">
        <v>0</v>
      </c>
      <c r="O365" s="90">
        <v>0</v>
      </c>
      <c r="P365" s="90">
        <v>0</v>
      </c>
      <c r="Q365" s="90">
        <v>0</v>
      </c>
      <c r="R365" s="90">
        <v>0</v>
      </c>
      <c r="S365" s="90">
        <v>0</v>
      </c>
      <c r="T365" s="90">
        <v>0</v>
      </c>
      <c r="U365" s="90">
        <v>0</v>
      </c>
      <c r="V365" s="90">
        <v>0</v>
      </c>
      <c r="W365" s="90">
        <v>0</v>
      </c>
      <c r="X365" s="90">
        <v>0</v>
      </c>
      <c r="Y365" s="90">
        <v>0</v>
      </c>
      <c r="Z365" s="90">
        <v>0</v>
      </c>
    </row>
    <row r="366" spans="1:27" ht="12.75" customHeight="1" x14ac:dyDescent="0.25">
      <c r="D366" t="s">
        <v>87</v>
      </c>
      <c r="E366" s="89" t="s">
        <v>70</v>
      </c>
      <c r="F366" s="371">
        <v>0</v>
      </c>
      <c r="G366" s="90">
        <v>0</v>
      </c>
      <c r="H366" s="90">
        <v>0</v>
      </c>
      <c r="I366" s="90">
        <v>0</v>
      </c>
      <c r="J366" s="90">
        <v>0</v>
      </c>
      <c r="K366" s="90">
        <v>0</v>
      </c>
      <c r="L366" s="90">
        <v>0</v>
      </c>
      <c r="M366" s="90">
        <v>0</v>
      </c>
      <c r="N366" s="90">
        <v>0</v>
      </c>
      <c r="O366" s="90">
        <v>0</v>
      </c>
      <c r="P366" s="90">
        <v>0</v>
      </c>
      <c r="Q366" s="90">
        <v>0</v>
      </c>
      <c r="R366" s="90">
        <v>0</v>
      </c>
      <c r="S366" s="90">
        <v>0</v>
      </c>
      <c r="T366" s="90">
        <v>0</v>
      </c>
      <c r="U366" s="90">
        <v>0</v>
      </c>
      <c r="V366" s="90">
        <v>0</v>
      </c>
      <c r="W366" s="90">
        <v>0</v>
      </c>
      <c r="X366" s="90">
        <v>0</v>
      </c>
      <c r="Y366" s="90">
        <v>0</v>
      </c>
      <c r="Z366" s="90">
        <v>0</v>
      </c>
    </row>
    <row r="367" spans="1:27" s="94" customFormat="1" ht="12.75" customHeight="1" x14ac:dyDescent="0.25">
      <c r="C367" s="101" t="s">
        <v>119</v>
      </c>
      <c r="D367" s="101" t="s">
        <v>70</v>
      </c>
      <c r="F367" s="93">
        <v>0</v>
      </c>
      <c r="G367" s="93">
        <v>0</v>
      </c>
      <c r="H367" s="93">
        <v>0</v>
      </c>
      <c r="I367" s="93">
        <v>0</v>
      </c>
      <c r="J367" s="93">
        <v>0</v>
      </c>
      <c r="K367" s="93">
        <v>0</v>
      </c>
      <c r="L367" s="93">
        <v>0</v>
      </c>
      <c r="M367" s="93">
        <v>0</v>
      </c>
      <c r="N367" s="93">
        <v>0</v>
      </c>
      <c r="O367" s="93">
        <v>0</v>
      </c>
      <c r="P367" s="93">
        <v>0</v>
      </c>
      <c r="Q367" s="93">
        <v>0</v>
      </c>
      <c r="R367" s="93">
        <v>0</v>
      </c>
      <c r="S367" s="93">
        <v>0</v>
      </c>
      <c r="T367" s="94">
        <v>0</v>
      </c>
      <c r="U367" s="94">
        <v>0</v>
      </c>
      <c r="V367" s="94">
        <v>0</v>
      </c>
      <c r="W367" s="94">
        <v>0</v>
      </c>
      <c r="X367" s="94">
        <v>0</v>
      </c>
      <c r="Y367" s="94">
        <v>0</v>
      </c>
      <c r="Z367" s="94">
        <v>0</v>
      </c>
    </row>
    <row r="368" spans="1:27" ht="12.75" customHeight="1" x14ac:dyDescent="0.25">
      <c r="B368" t="s">
        <v>112</v>
      </c>
      <c r="C368" t="s">
        <v>70</v>
      </c>
      <c r="E368" s="89"/>
      <c r="F368" s="371">
        <v>0</v>
      </c>
      <c r="G368" s="90">
        <v>0</v>
      </c>
      <c r="H368" s="90">
        <v>0</v>
      </c>
      <c r="I368" s="90">
        <v>0</v>
      </c>
      <c r="J368" s="90">
        <v>0</v>
      </c>
      <c r="K368" s="90">
        <v>0</v>
      </c>
      <c r="L368" s="90">
        <v>0</v>
      </c>
      <c r="M368" s="90">
        <v>0</v>
      </c>
      <c r="N368" s="90">
        <v>0</v>
      </c>
      <c r="O368" s="90">
        <v>0</v>
      </c>
      <c r="P368" s="90">
        <v>0</v>
      </c>
      <c r="Q368" s="90">
        <v>0</v>
      </c>
      <c r="R368" s="90">
        <v>0</v>
      </c>
      <c r="S368" s="90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</row>
    <row r="369" spans="1:26" s="458" customFormat="1" ht="12.75" customHeight="1" x14ac:dyDescent="0.25">
      <c r="A369" s="458" t="s">
        <v>186</v>
      </c>
      <c r="B369" s="458" t="s">
        <v>70</v>
      </c>
      <c r="F369" s="458">
        <v>0</v>
      </c>
      <c r="G369" s="458">
        <v>0</v>
      </c>
      <c r="H369" s="458">
        <v>0</v>
      </c>
      <c r="I369" s="458">
        <v>0</v>
      </c>
      <c r="J369" s="458">
        <v>0</v>
      </c>
      <c r="K369" s="458">
        <v>0</v>
      </c>
      <c r="L369" s="458">
        <v>0</v>
      </c>
      <c r="M369" s="458">
        <v>0</v>
      </c>
      <c r="N369" s="458">
        <v>0</v>
      </c>
      <c r="O369" s="458">
        <v>0</v>
      </c>
      <c r="P369" s="458">
        <v>0</v>
      </c>
      <c r="Q369" s="458">
        <v>0</v>
      </c>
      <c r="R369" s="458">
        <v>0</v>
      </c>
      <c r="S369" s="458">
        <v>0</v>
      </c>
      <c r="T369" s="458">
        <v>0</v>
      </c>
      <c r="U369" s="458">
        <v>0</v>
      </c>
      <c r="V369" s="458">
        <v>0</v>
      </c>
      <c r="W369" s="458">
        <v>0</v>
      </c>
      <c r="X369" s="458">
        <v>0</v>
      </c>
      <c r="Y369" s="458">
        <v>0</v>
      </c>
      <c r="Z369" s="458">
        <v>0</v>
      </c>
    </row>
    <row r="370" spans="1:26" x14ac:dyDescent="0.25">
      <c r="E370" t="s">
        <v>72</v>
      </c>
      <c r="F370" s="90">
        <v>0</v>
      </c>
      <c r="G370" s="90">
        <v>0</v>
      </c>
      <c r="H370" s="90">
        <v>0</v>
      </c>
      <c r="I370" s="90">
        <v>0</v>
      </c>
      <c r="J370" s="90">
        <v>0</v>
      </c>
      <c r="K370" s="90">
        <v>0</v>
      </c>
      <c r="L370" s="90">
        <v>0</v>
      </c>
      <c r="M370" s="90">
        <v>0</v>
      </c>
      <c r="N370" s="90">
        <v>0</v>
      </c>
      <c r="O370" s="90">
        <v>0</v>
      </c>
      <c r="P370" s="90">
        <v>0</v>
      </c>
      <c r="Q370" s="90">
        <v>0</v>
      </c>
      <c r="R370" s="90">
        <v>0</v>
      </c>
      <c r="S370" s="90">
        <v>0</v>
      </c>
      <c r="T370" s="9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 s="90">
        <v>0</v>
      </c>
    </row>
    <row r="371" spans="1:26" x14ac:dyDescent="0.25">
      <c r="E371" t="s">
        <v>81</v>
      </c>
      <c r="F371" s="90">
        <v>0</v>
      </c>
      <c r="G371" s="90">
        <v>0</v>
      </c>
      <c r="H371" s="90">
        <v>0</v>
      </c>
      <c r="I371" s="90">
        <v>0</v>
      </c>
      <c r="J371" s="90">
        <v>0</v>
      </c>
      <c r="K371" s="90">
        <v>0</v>
      </c>
      <c r="L371" s="90">
        <v>0</v>
      </c>
      <c r="M371" s="90">
        <v>0</v>
      </c>
      <c r="N371" s="90">
        <v>0</v>
      </c>
      <c r="O371" s="90">
        <v>0</v>
      </c>
      <c r="P371" s="90">
        <v>0</v>
      </c>
      <c r="Q371" s="90">
        <v>0</v>
      </c>
      <c r="R371" s="90">
        <v>0</v>
      </c>
      <c r="S371" s="90">
        <v>0</v>
      </c>
      <c r="T371" s="90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 s="90">
        <v>0</v>
      </c>
    </row>
    <row r="372" spans="1:26" x14ac:dyDescent="0.25">
      <c r="D372" t="s">
        <v>156</v>
      </c>
      <c r="E372" t="s">
        <v>70</v>
      </c>
      <c r="F372" s="90">
        <v>0</v>
      </c>
      <c r="G372" s="90">
        <v>0</v>
      </c>
      <c r="H372" s="90">
        <v>0</v>
      </c>
      <c r="I372" s="90">
        <v>0</v>
      </c>
      <c r="J372" s="90">
        <v>0</v>
      </c>
      <c r="K372" s="90">
        <v>0</v>
      </c>
      <c r="L372" s="90">
        <v>0</v>
      </c>
      <c r="M372" s="90">
        <v>0</v>
      </c>
      <c r="N372" s="90">
        <v>0</v>
      </c>
      <c r="O372" s="90">
        <v>0</v>
      </c>
      <c r="P372" s="90">
        <v>0</v>
      </c>
      <c r="Q372" s="90">
        <v>0</v>
      </c>
      <c r="R372" s="90">
        <v>0</v>
      </c>
      <c r="S372" s="90">
        <v>0</v>
      </c>
      <c r="T372" s="90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 s="90">
        <v>0</v>
      </c>
    </row>
    <row r="373" spans="1:26" s="286" customFormat="1" x14ac:dyDescent="0.25">
      <c r="C373" s="286" t="s">
        <v>155</v>
      </c>
      <c r="D373" s="286" t="s">
        <v>70</v>
      </c>
      <c r="F373" s="230">
        <v>0</v>
      </c>
      <c r="G373" s="230">
        <v>0</v>
      </c>
      <c r="H373" s="230">
        <v>0</v>
      </c>
      <c r="I373" s="230">
        <v>0</v>
      </c>
      <c r="J373" s="230">
        <v>0</v>
      </c>
      <c r="K373" s="230">
        <v>0</v>
      </c>
      <c r="L373" s="230">
        <v>0</v>
      </c>
      <c r="M373" s="230">
        <v>0</v>
      </c>
      <c r="N373" s="230">
        <v>0</v>
      </c>
      <c r="O373" s="230">
        <v>0</v>
      </c>
      <c r="P373" s="230">
        <v>0</v>
      </c>
      <c r="Q373" s="230">
        <v>0</v>
      </c>
      <c r="R373" s="230">
        <v>0</v>
      </c>
      <c r="S373" s="230">
        <v>0</v>
      </c>
      <c r="T373" s="230">
        <v>0</v>
      </c>
      <c r="U373" s="286">
        <v>0</v>
      </c>
      <c r="V373" s="286">
        <v>0</v>
      </c>
      <c r="W373" s="286">
        <v>0</v>
      </c>
      <c r="X373" s="286">
        <v>0</v>
      </c>
      <c r="Y373" s="286">
        <v>0</v>
      </c>
      <c r="Z373" s="230">
        <v>0</v>
      </c>
    </row>
    <row r="374" spans="1:26" x14ac:dyDescent="0.25">
      <c r="E374" t="s">
        <v>72</v>
      </c>
      <c r="F374" s="90">
        <v>0</v>
      </c>
      <c r="G374" s="90">
        <v>0</v>
      </c>
      <c r="H374" s="90">
        <v>0</v>
      </c>
      <c r="I374" s="90">
        <v>0</v>
      </c>
      <c r="J374" s="90">
        <v>0</v>
      </c>
      <c r="K374" s="90">
        <v>0</v>
      </c>
      <c r="L374" s="90">
        <v>0</v>
      </c>
      <c r="M374" s="90">
        <v>0</v>
      </c>
      <c r="N374" s="90">
        <v>0</v>
      </c>
      <c r="O374" s="90">
        <v>0</v>
      </c>
      <c r="P374" s="90">
        <v>0</v>
      </c>
      <c r="Q374" s="90">
        <v>370.08</v>
      </c>
      <c r="R374" s="90">
        <v>-1.95</v>
      </c>
      <c r="S374" s="90">
        <v>0</v>
      </c>
      <c r="T374" s="90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 s="90">
        <v>0</v>
      </c>
    </row>
    <row r="375" spans="1:26" x14ac:dyDescent="0.25">
      <c r="E375" t="s">
        <v>81</v>
      </c>
      <c r="F375" s="90">
        <v>0</v>
      </c>
      <c r="G375" s="90">
        <v>0</v>
      </c>
      <c r="H375" s="90">
        <v>0</v>
      </c>
      <c r="I375" s="90">
        <v>0</v>
      </c>
      <c r="J375" s="90">
        <v>0</v>
      </c>
      <c r="K375" s="90">
        <v>0</v>
      </c>
      <c r="L375" s="90">
        <v>0</v>
      </c>
      <c r="M375" s="90">
        <v>0</v>
      </c>
      <c r="N375" s="90">
        <v>0</v>
      </c>
      <c r="O375" s="90">
        <v>0</v>
      </c>
      <c r="P375" s="90">
        <v>0</v>
      </c>
      <c r="Q375" s="90">
        <v>7.0000000000000007E-2</v>
      </c>
      <c r="R375" s="90">
        <v>0</v>
      </c>
      <c r="S375" s="90">
        <v>0</v>
      </c>
      <c r="T375" s="90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 s="90">
        <v>0</v>
      </c>
    </row>
    <row r="376" spans="1:26" x14ac:dyDescent="0.25">
      <c r="D376" t="s">
        <v>82</v>
      </c>
      <c r="E376" t="s">
        <v>70</v>
      </c>
      <c r="F376" s="90">
        <v>0</v>
      </c>
      <c r="G376" s="90">
        <v>0</v>
      </c>
      <c r="H376" s="90">
        <v>0</v>
      </c>
      <c r="I376" s="90">
        <v>0</v>
      </c>
      <c r="J376" s="90">
        <v>0</v>
      </c>
      <c r="K376" s="90">
        <v>0</v>
      </c>
      <c r="L376" s="90">
        <v>0</v>
      </c>
      <c r="M376" s="90">
        <v>0</v>
      </c>
      <c r="N376" s="90">
        <v>0</v>
      </c>
      <c r="O376" s="90">
        <v>0</v>
      </c>
      <c r="P376" s="90">
        <v>0</v>
      </c>
      <c r="Q376" s="90">
        <v>370.15</v>
      </c>
      <c r="R376" s="90">
        <v>-1.95</v>
      </c>
      <c r="S376" s="90">
        <v>0</v>
      </c>
      <c r="T376" s="90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 s="90">
        <v>0</v>
      </c>
    </row>
    <row r="377" spans="1:26" x14ac:dyDescent="0.25">
      <c r="E377" t="s">
        <v>72</v>
      </c>
      <c r="F377" s="90">
        <v>0</v>
      </c>
      <c r="G377" s="90">
        <v>0</v>
      </c>
      <c r="H377" s="90">
        <v>0</v>
      </c>
      <c r="I377" s="90">
        <v>0</v>
      </c>
      <c r="J377" s="90">
        <v>0</v>
      </c>
      <c r="K377" s="90">
        <v>0</v>
      </c>
      <c r="L377" s="90">
        <v>0</v>
      </c>
      <c r="M377" s="90">
        <v>0</v>
      </c>
      <c r="N377" s="90">
        <v>0</v>
      </c>
      <c r="O377" s="90">
        <v>0</v>
      </c>
      <c r="P377" s="90">
        <v>0</v>
      </c>
      <c r="Q377" s="90">
        <v>370.08</v>
      </c>
      <c r="R377" s="90">
        <v>-1.95</v>
      </c>
      <c r="S377" s="90">
        <v>0</v>
      </c>
      <c r="T377" s="90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 s="90">
        <v>0</v>
      </c>
    </row>
    <row r="378" spans="1:26" x14ac:dyDescent="0.25">
      <c r="E378" t="s">
        <v>81</v>
      </c>
      <c r="F378" s="90">
        <v>0</v>
      </c>
      <c r="G378" s="90">
        <v>0</v>
      </c>
      <c r="H378" s="90">
        <v>0</v>
      </c>
      <c r="I378" s="90">
        <v>0</v>
      </c>
      <c r="J378" s="90">
        <v>0</v>
      </c>
      <c r="K378" s="90">
        <v>0</v>
      </c>
      <c r="L378" s="90">
        <v>0</v>
      </c>
      <c r="M378" s="90">
        <v>0</v>
      </c>
      <c r="N378" s="90">
        <v>0</v>
      </c>
      <c r="O378" s="90">
        <v>0</v>
      </c>
      <c r="P378" s="90">
        <v>0</v>
      </c>
      <c r="Q378" s="90">
        <v>7.0000000000000007E-2</v>
      </c>
      <c r="R378" s="90">
        <v>0</v>
      </c>
      <c r="S378" s="90">
        <v>0</v>
      </c>
      <c r="T378" s="90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s="90">
        <v>0</v>
      </c>
    </row>
    <row r="379" spans="1:26" x14ac:dyDescent="0.25">
      <c r="D379" t="s">
        <v>86</v>
      </c>
      <c r="E379" t="s">
        <v>70</v>
      </c>
      <c r="F379" s="90">
        <v>0</v>
      </c>
      <c r="G379" s="90">
        <v>0</v>
      </c>
      <c r="H379" s="90">
        <v>0</v>
      </c>
      <c r="I379" s="90">
        <v>0</v>
      </c>
      <c r="J379" s="90">
        <v>0</v>
      </c>
      <c r="K379" s="90">
        <v>0</v>
      </c>
      <c r="L379" s="90">
        <v>0</v>
      </c>
      <c r="M379" s="90">
        <v>0</v>
      </c>
      <c r="N379" s="90">
        <v>0</v>
      </c>
      <c r="O379" s="90">
        <v>0</v>
      </c>
      <c r="P379" s="90">
        <v>0</v>
      </c>
      <c r="Q379" s="90">
        <v>370.15</v>
      </c>
      <c r="R379" s="90">
        <v>-1.95</v>
      </c>
      <c r="S379" s="90">
        <v>0</v>
      </c>
      <c r="T379" s="90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 s="90">
        <v>0</v>
      </c>
    </row>
    <row r="380" spans="1:26" ht="12.75" customHeight="1" x14ac:dyDescent="0.25">
      <c r="E380" s="89" t="s">
        <v>72</v>
      </c>
      <c r="F380" s="371">
        <v>0</v>
      </c>
      <c r="G380" s="90">
        <v>0</v>
      </c>
      <c r="H380" s="90">
        <v>0</v>
      </c>
      <c r="I380" s="90">
        <v>0</v>
      </c>
      <c r="J380" s="90">
        <v>0</v>
      </c>
      <c r="K380" s="90">
        <v>0</v>
      </c>
      <c r="L380" s="90">
        <v>0</v>
      </c>
      <c r="M380" s="90">
        <v>0</v>
      </c>
      <c r="N380" s="90">
        <v>0</v>
      </c>
      <c r="O380" s="90">
        <v>0</v>
      </c>
      <c r="P380" s="90">
        <v>0</v>
      </c>
      <c r="Q380" s="90">
        <v>0</v>
      </c>
      <c r="R380" s="90">
        <v>0</v>
      </c>
      <c r="S380" s="90">
        <v>0</v>
      </c>
      <c r="T380" s="90">
        <v>0</v>
      </c>
      <c r="U380" s="90">
        <v>0</v>
      </c>
      <c r="V380" s="90">
        <v>0</v>
      </c>
      <c r="W380" s="90">
        <v>0</v>
      </c>
      <c r="X380" s="90">
        <v>0</v>
      </c>
      <c r="Y380" s="90">
        <v>0</v>
      </c>
      <c r="Z380" s="90">
        <v>0</v>
      </c>
    </row>
    <row r="381" spans="1:26" x14ac:dyDescent="0.25">
      <c r="E381" t="s">
        <v>81</v>
      </c>
      <c r="F381" s="90">
        <v>0</v>
      </c>
      <c r="G381" s="90">
        <v>0</v>
      </c>
      <c r="H381" s="90">
        <v>0</v>
      </c>
      <c r="I381" s="90">
        <v>0</v>
      </c>
      <c r="J381" s="90">
        <v>0</v>
      </c>
      <c r="K381" s="90">
        <v>0</v>
      </c>
      <c r="L381" s="90">
        <v>0</v>
      </c>
      <c r="M381" s="90">
        <v>0</v>
      </c>
      <c r="N381" s="90">
        <v>0</v>
      </c>
      <c r="O381" s="90">
        <v>0</v>
      </c>
      <c r="P381" s="90">
        <v>0</v>
      </c>
      <c r="Q381" s="90">
        <v>0</v>
      </c>
      <c r="R381" s="90">
        <v>0</v>
      </c>
      <c r="S381" s="90">
        <v>0</v>
      </c>
      <c r="T381" s="90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 s="90">
        <v>0</v>
      </c>
    </row>
    <row r="382" spans="1:26" ht="12.75" customHeight="1" x14ac:dyDescent="0.25">
      <c r="D382" t="s">
        <v>87</v>
      </c>
      <c r="E382" s="89" t="s">
        <v>70</v>
      </c>
      <c r="F382" s="371">
        <v>0</v>
      </c>
      <c r="G382" s="90">
        <v>0</v>
      </c>
      <c r="H382" s="90">
        <v>0</v>
      </c>
      <c r="I382" s="90">
        <v>0</v>
      </c>
      <c r="J382" s="90">
        <v>0</v>
      </c>
      <c r="K382" s="90">
        <v>0</v>
      </c>
      <c r="L382" s="90">
        <v>0</v>
      </c>
      <c r="M382" s="90">
        <v>0</v>
      </c>
      <c r="N382" s="90">
        <v>0</v>
      </c>
      <c r="O382" s="90">
        <v>0</v>
      </c>
      <c r="P382" s="90">
        <v>0</v>
      </c>
      <c r="Q382" s="90">
        <v>0</v>
      </c>
      <c r="R382" s="90">
        <v>0</v>
      </c>
      <c r="S382" s="90">
        <v>0</v>
      </c>
      <c r="T382" s="90">
        <v>0</v>
      </c>
      <c r="U382" s="90">
        <v>0</v>
      </c>
      <c r="V382" s="90">
        <v>0</v>
      </c>
      <c r="W382" s="90">
        <v>0</v>
      </c>
      <c r="X382" s="90">
        <v>0</v>
      </c>
      <c r="Y382" s="90">
        <v>0</v>
      </c>
      <c r="Z382" s="90">
        <v>0</v>
      </c>
    </row>
    <row r="383" spans="1:26" s="94" customFormat="1" ht="12.75" customHeight="1" x14ac:dyDescent="0.25">
      <c r="C383" s="101" t="s">
        <v>119</v>
      </c>
      <c r="D383" s="101" t="s">
        <v>70</v>
      </c>
      <c r="F383" s="93">
        <v>0</v>
      </c>
      <c r="G383" s="93">
        <v>0</v>
      </c>
      <c r="H383" s="93">
        <v>0</v>
      </c>
      <c r="I383" s="93">
        <v>0</v>
      </c>
      <c r="J383" s="93">
        <v>0</v>
      </c>
      <c r="K383" s="93">
        <v>0</v>
      </c>
      <c r="L383" s="93">
        <v>0</v>
      </c>
      <c r="M383" s="93">
        <v>0</v>
      </c>
      <c r="N383" s="93">
        <v>0</v>
      </c>
      <c r="O383" s="93">
        <v>0</v>
      </c>
      <c r="P383" s="93">
        <v>0</v>
      </c>
      <c r="Q383" s="93">
        <v>0</v>
      </c>
      <c r="R383" s="93">
        <v>0</v>
      </c>
      <c r="S383" s="93">
        <v>0</v>
      </c>
      <c r="T383" s="93">
        <v>0</v>
      </c>
      <c r="U383" s="93">
        <v>0</v>
      </c>
      <c r="V383" s="93">
        <v>0</v>
      </c>
      <c r="W383" s="93">
        <v>0</v>
      </c>
      <c r="X383" s="93">
        <v>0</v>
      </c>
      <c r="Y383" s="93">
        <v>0</v>
      </c>
      <c r="Z383" s="93">
        <v>0</v>
      </c>
    </row>
    <row r="384" spans="1:26" s="378" customFormat="1" ht="12.75" customHeight="1" x14ac:dyDescent="0.25">
      <c r="B384" s="378" t="s">
        <v>122</v>
      </c>
      <c r="C384" s="378" t="s">
        <v>70</v>
      </c>
      <c r="E384" s="376"/>
      <c r="F384" s="710">
        <v>0</v>
      </c>
      <c r="G384" s="377">
        <v>0</v>
      </c>
      <c r="H384" s="377">
        <v>0</v>
      </c>
      <c r="I384" s="377">
        <v>0</v>
      </c>
      <c r="J384" s="377">
        <v>0</v>
      </c>
      <c r="K384" s="377">
        <v>0</v>
      </c>
      <c r="L384" s="377">
        <v>0</v>
      </c>
      <c r="M384" s="377">
        <v>0</v>
      </c>
      <c r="N384" s="377">
        <v>0</v>
      </c>
      <c r="O384" s="377">
        <v>0</v>
      </c>
      <c r="P384" s="377">
        <v>0</v>
      </c>
      <c r="Q384" s="377">
        <v>0</v>
      </c>
      <c r="R384" s="377">
        <v>0</v>
      </c>
      <c r="S384" s="377">
        <v>0</v>
      </c>
      <c r="T384" s="378">
        <v>0</v>
      </c>
      <c r="U384" s="378">
        <v>0</v>
      </c>
      <c r="V384" s="378">
        <v>0</v>
      </c>
      <c r="W384" s="378">
        <v>0</v>
      </c>
      <c r="X384" s="378">
        <v>0</v>
      </c>
      <c r="Y384" s="378">
        <v>0</v>
      </c>
      <c r="Z384" s="378">
        <v>0</v>
      </c>
    </row>
    <row r="385" spans="1:26" ht="12.75" customHeight="1" x14ac:dyDescent="0.25">
      <c r="E385" s="89" t="s">
        <v>72</v>
      </c>
      <c r="F385" s="371">
        <v>0</v>
      </c>
      <c r="G385" s="90">
        <v>0</v>
      </c>
      <c r="H385" s="90">
        <v>0</v>
      </c>
      <c r="I385" s="90">
        <v>0</v>
      </c>
      <c r="J385" s="90">
        <v>0</v>
      </c>
      <c r="K385" s="90">
        <v>0</v>
      </c>
      <c r="L385" s="90">
        <v>0</v>
      </c>
      <c r="M385" s="90">
        <v>0</v>
      </c>
      <c r="N385" s="90">
        <v>0</v>
      </c>
      <c r="O385" s="90">
        <v>0</v>
      </c>
      <c r="P385" s="90">
        <v>0</v>
      </c>
      <c r="Q385" s="90">
        <v>0</v>
      </c>
      <c r="R385" s="90">
        <v>0</v>
      </c>
      <c r="S385" s="90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</row>
    <row r="386" spans="1:26" ht="12.75" customHeight="1" x14ac:dyDescent="0.25">
      <c r="E386" s="89" t="s">
        <v>81</v>
      </c>
      <c r="F386" s="371">
        <v>0</v>
      </c>
      <c r="G386" s="90">
        <v>0</v>
      </c>
      <c r="H386" s="90">
        <v>0</v>
      </c>
      <c r="I386" s="90">
        <v>0</v>
      </c>
      <c r="J386" s="90">
        <v>0</v>
      </c>
      <c r="K386" s="90">
        <v>0</v>
      </c>
      <c r="L386" s="90">
        <v>0</v>
      </c>
      <c r="M386" s="90">
        <v>0</v>
      </c>
      <c r="N386" s="90">
        <v>0</v>
      </c>
      <c r="O386" s="90">
        <v>0</v>
      </c>
      <c r="P386" s="90">
        <v>0</v>
      </c>
      <c r="Q386" s="90">
        <v>0</v>
      </c>
      <c r="R386" s="90">
        <v>0</v>
      </c>
      <c r="S386" s="90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</row>
    <row r="387" spans="1:26" ht="12.75" customHeight="1" x14ac:dyDescent="0.25">
      <c r="D387" t="s">
        <v>156</v>
      </c>
      <c r="E387" s="89" t="s">
        <v>70</v>
      </c>
      <c r="F387" s="90">
        <v>0</v>
      </c>
      <c r="G387" s="90">
        <v>0</v>
      </c>
      <c r="H387" s="90">
        <v>0</v>
      </c>
      <c r="I387" s="90">
        <v>0</v>
      </c>
      <c r="J387" s="90">
        <v>0</v>
      </c>
      <c r="K387" s="90">
        <v>0</v>
      </c>
      <c r="L387" s="90">
        <v>0</v>
      </c>
      <c r="M387" s="90">
        <v>0</v>
      </c>
      <c r="N387" s="90">
        <v>0</v>
      </c>
      <c r="O387" s="90">
        <v>0</v>
      </c>
      <c r="P387" s="90">
        <v>0</v>
      </c>
      <c r="Q387" s="90">
        <v>0</v>
      </c>
      <c r="R387" s="90">
        <v>0</v>
      </c>
      <c r="S387" s="90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</row>
    <row r="388" spans="1:26" s="286" customFormat="1" ht="12.75" customHeight="1" x14ac:dyDescent="0.25">
      <c r="C388" s="286" t="s">
        <v>155</v>
      </c>
      <c r="D388" s="286" t="s">
        <v>70</v>
      </c>
      <c r="E388" s="229"/>
      <c r="F388" s="229">
        <v>0</v>
      </c>
      <c r="G388" s="230">
        <v>0</v>
      </c>
      <c r="H388" s="230">
        <v>0</v>
      </c>
      <c r="I388" s="230">
        <v>0</v>
      </c>
      <c r="J388" s="230">
        <v>0</v>
      </c>
      <c r="K388" s="230">
        <v>0</v>
      </c>
      <c r="L388" s="230">
        <v>0</v>
      </c>
      <c r="M388" s="230">
        <v>0</v>
      </c>
      <c r="N388" s="230">
        <v>0</v>
      </c>
      <c r="O388" s="230">
        <v>0</v>
      </c>
      <c r="P388" s="230">
        <v>0</v>
      </c>
      <c r="Q388" s="230">
        <v>0</v>
      </c>
      <c r="R388" s="230">
        <v>0</v>
      </c>
      <c r="S388" s="230">
        <v>0</v>
      </c>
      <c r="T388" s="230">
        <v>0</v>
      </c>
      <c r="U388" s="230">
        <v>0</v>
      </c>
      <c r="V388" s="230">
        <v>0</v>
      </c>
      <c r="W388" s="230">
        <v>0</v>
      </c>
      <c r="X388" s="230">
        <v>0</v>
      </c>
      <c r="Y388" s="230">
        <v>0</v>
      </c>
      <c r="Z388" s="230">
        <v>0</v>
      </c>
    </row>
    <row r="389" spans="1:26" ht="12.75" customHeight="1" x14ac:dyDescent="0.25">
      <c r="E389" s="89" t="s">
        <v>72</v>
      </c>
      <c r="F389" s="90">
        <v>0</v>
      </c>
      <c r="G389" s="90">
        <v>0</v>
      </c>
      <c r="H389" s="90">
        <v>0</v>
      </c>
      <c r="I389" s="90">
        <v>0</v>
      </c>
      <c r="J389" s="90">
        <v>0</v>
      </c>
      <c r="K389" s="90">
        <v>0</v>
      </c>
      <c r="L389" s="90">
        <v>0</v>
      </c>
      <c r="M389" s="90">
        <v>0</v>
      </c>
      <c r="N389" s="90">
        <v>0</v>
      </c>
      <c r="O389" s="90">
        <v>0</v>
      </c>
      <c r="P389" s="90">
        <v>0</v>
      </c>
      <c r="Q389" s="90">
        <v>0</v>
      </c>
      <c r="R389" s="90">
        <v>0</v>
      </c>
      <c r="S389" s="90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</row>
    <row r="390" spans="1:26" ht="12.75" customHeight="1" x14ac:dyDescent="0.25">
      <c r="E390" s="89" t="s">
        <v>81</v>
      </c>
      <c r="F390" s="90">
        <v>0</v>
      </c>
      <c r="G390" s="90">
        <v>0</v>
      </c>
      <c r="H390" s="90">
        <v>0</v>
      </c>
      <c r="I390" s="90">
        <v>0</v>
      </c>
      <c r="J390" s="90">
        <v>0</v>
      </c>
      <c r="K390" s="90">
        <v>0</v>
      </c>
      <c r="L390" s="90">
        <v>0</v>
      </c>
      <c r="M390" s="90">
        <v>0</v>
      </c>
      <c r="N390" s="90">
        <v>0</v>
      </c>
      <c r="O390" s="90">
        <v>0</v>
      </c>
      <c r="P390" s="90">
        <v>0</v>
      </c>
      <c r="Q390" s="90">
        <v>0</v>
      </c>
      <c r="R390" s="90">
        <v>0</v>
      </c>
      <c r="S390" s="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</row>
    <row r="391" spans="1:26" ht="12.75" customHeight="1" x14ac:dyDescent="0.25">
      <c r="D391" s="89" t="s">
        <v>82</v>
      </c>
      <c r="E391" s="89" t="s">
        <v>70</v>
      </c>
      <c r="F391" s="90">
        <v>0</v>
      </c>
      <c r="G391" s="90">
        <v>0</v>
      </c>
      <c r="H391" s="90">
        <v>0</v>
      </c>
      <c r="I391" s="90">
        <v>0</v>
      </c>
      <c r="J391" s="90">
        <v>0</v>
      </c>
      <c r="K391" s="90">
        <v>0</v>
      </c>
      <c r="L391" s="90">
        <v>0</v>
      </c>
      <c r="M391" s="90">
        <v>0</v>
      </c>
      <c r="N391" s="90">
        <v>0</v>
      </c>
      <c r="O391" s="90">
        <v>0</v>
      </c>
      <c r="P391" s="90">
        <v>0</v>
      </c>
      <c r="Q391" s="90">
        <v>0</v>
      </c>
      <c r="R391" s="90">
        <v>0</v>
      </c>
      <c r="S391" s="90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</row>
    <row r="392" spans="1:26" ht="12.75" customHeight="1" x14ac:dyDescent="0.25">
      <c r="D392" s="89"/>
      <c r="E392" s="89" t="s">
        <v>72</v>
      </c>
      <c r="F392" s="90">
        <v>0</v>
      </c>
      <c r="G392" s="90">
        <v>0</v>
      </c>
      <c r="H392" s="90">
        <v>0</v>
      </c>
      <c r="I392" s="90">
        <v>0</v>
      </c>
      <c r="J392" s="90">
        <v>0</v>
      </c>
      <c r="K392" s="90">
        <v>0</v>
      </c>
      <c r="L392" s="90">
        <v>0</v>
      </c>
      <c r="M392" s="90">
        <v>0</v>
      </c>
      <c r="N392" s="90">
        <v>0</v>
      </c>
      <c r="O392" s="90">
        <v>0</v>
      </c>
      <c r="P392" s="90">
        <v>0</v>
      </c>
      <c r="Q392" s="90">
        <v>0</v>
      </c>
      <c r="R392" s="90">
        <v>0</v>
      </c>
      <c r="S392" s="90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</row>
    <row r="393" spans="1:26" ht="12.75" customHeight="1" x14ac:dyDescent="0.25">
      <c r="E393" s="89" t="s">
        <v>81</v>
      </c>
      <c r="F393" s="90">
        <v>0</v>
      </c>
      <c r="G393" s="90">
        <v>0</v>
      </c>
      <c r="H393" s="90">
        <v>0</v>
      </c>
      <c r="I393" s="90">
        <v>0</v>
      </c>
      <c r="J393" s="90">
        <v>0</v>
      </c>
      <c r="K393" s="90">
        <v>0</v>
      </c>
      <c r="L393" s="90">
        <v>0</v>
      </c>
      <c r="M393" s="90">
        <v>0</v>
      </c>
      <c r="N393" s="90">
        <v>0</v>
      </c>
      <c r="O393" s="90">
        <v>0</v>
      </c>
      <c r="P393" s="90">
        <v>0</v>
      </c>
      <c r="Q393" s="90">
        <v>0</v>
      </c>
      <c r="R393" s="90">
        <v>0</v>
      </c>
      <c r="S393" s="90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</row>
    <row r="394" spans="1:26" ht="12.75" customHeight="1" x14ac:dyDescent="0.25">
      <c r="D394" s="89" t="s">
        <v>86</v>
      </c>
      <c r="E394" s="89" t="s">
        <v>70</v>
      </c>
      <c r="F394" s="90">
        <v>0</v>
      </c>
      <c r="G394" s="90">
        <v>0</v>
      </c>
      <c r="H394" s="90">
        <v>0</v>
      </c>
      <c r="I394" s="90">
        <v>0</v>
      </c>
      <c r="J394" s="90">
        <v>0</v>
      </c>
      <c r="K394" s="90">
        <v>0</v>
      </c>
      <c r="L394" s="90">
        <v>0</v>
      </c>
      <c r="M394" s="90">
        <v>0</v>
      </c>
      <c r="N394" s="90">
        <v>0</v>
      </c>
      <c r="O394" s="90">
        <v>0</v>
      </c>
      <c r="P394" s="90">
        <v>0</v>
      </c>
      <c r="Q394" s="90">
        <v>0</v>
      </c>
      <c r="R394" s="90">
        <v>0</v>
      </c>
      <c r="S394" s="90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</row>
    <row r="395" spans="1:26" ht="12.75" customHeight="1" x14ac:dyDescent="0.25">
      <c r="E395" s="89" t="s">
        <v>72</v>
      </c>
      <c r="F395" s="90">
        <v>0</v>
      </c>
      <c r="G395" s="90">
        <v>0</v>
      </c>
      <c r="H395" s="90">
        <v>0</v>
      </c>
      <c r="I395" s="90">
        <v>0</v>
      </c>
      <c r="J395" s="90">
        <v>0</v>
      </c>
      <c r="K395" s="90">
        <v>0</v>
      </c>
      <c r="L395" s="90">
        <v>0</v>
      </c>
      <c r="M395" s="90">
        <v>0</v>
      </c>
      <c r="N395" s="90">
        <v>0</v>
      </c>
      <c r="O395" s="90">
        <v>0</v>
      </c>
      <c r="P395" s="90">
        <v>0</v>
      </c>
      <c r="Q395" s="90">
        <v>0</v>
      </c>
      <c r="R395" s="90">
        <v>0</v>
      </c>
      <c r="S395" s="90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</row>
    <row r="396" spans="1:26" ht="12.75" customHeight="1" x14ac:dyDescent="0.25">
      <c r="E396" s="89" t="s">
        <v>81</v>
      </c>
      <c r="F396" s="90">
        <v>0</v>
      </c>
      <c r="G396" s="90">
        <v>0</v>
      </c>
      <c r="H396" s="90">
        <v>0</v>
      </c>
      <c r="I396" s="90">
        <v>0</v>
      </c>
      <c r="J396" s="90">
        <v>0</v>
      </c>
      <c r="K396" s="90">
        <v>0</v>
      </c>
      <c r="L396" s="90">
        <v>0</v>
      </c>
      <c r="M396" s="90">
        <v>0</v>
      </c>
      <c r="N396" s="90">
        <v>0</v>
      </c>
      <c r="O396" s="90">
        <v>0</v>
      </c>
      <c r="P396" s="90">
        <v>0</v>
      </c>
      <c r="Q396" s="90">
        <v>0</v>
      </c>
      <c r="R396" s="90">
        <v>0</v>
      </c>
      <c r="S396" s="90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</row>
    <row r="397" spans="1:26" ht="12.75" customHeight="1" x14ac:dyDescent="0.25">
      <c r="D397" s="89" t="s">
        <v>87</v>
      </c>
      <c r="E397" s="89" t="s">
        <v>70</v>
      </c>
      <c r="F397" s="90">
        <v>0</v>
      </c>
      <c r="G397" s="90">
        <v>0</v>
      </c>
      <c r="H397" s="90">
        <v>0</v>
      </c>
      <c r="I397" s="90">
        <v>0</v>
      </c>
      <c r="J397" s="90">
        <v>0</v>
      </c>
      <c r="K397" s="90">
        <v>0</v>
      </c>
      <c r="L397" s="90">
        <v>0</v>
      </c>
      <c r="M397" s="90">
        <v>0</v>
      </c>
      <c r="N397" s="90">
        <v>0</v>
      </c>
      <c r="O397" s="90">
        <v>0</v>
      </c>
      <c r="P397" s="90">
        <v>0</v>
      </c>
      <c r="Q397" s="90">
        <v>0</v>
      </c>
      <c r="R397" s="90">
        <v>0</v>
      </c>
      <c r="S397" s="90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</row>
    <row r="398" spans="1:26" s="94" customFormat="1" ht="12.75" customHeight="1" x14ac:dyDescent="0.25">
      <c r="C398" s="101" t="s">
        <v>119</v>
      </c>
      <c r="D398" s="101" t="s">
        <v>70</v>
      </c>
      <c r="F398" s="93">
        <v>0</v>
      </c>
      <c r="G398" s="93">
        <v>0</v>
      </c>
      <c r="H398" s="93">
        <v>0</v>
      </c>
      <c r="I398" s="93">
        <v>0</v>
      </c>
      <c r="J398" s="93">
        <v>0</v>
      </c>
      <c r="K398" s="93">
        <v>0</v>
      </c>
      <c r="L398" s="93">
        <v>0</v>
      </c>
      <c r="M398" s="93">
        <v>0</v>
      </c>
      <c r="N398" s="93">
        <v>0</v>
      </c>
      <c r="O398" s="93">
        <v>0</v>
      </c>
      <c r="P398" s="93">
        <v>0</v>
      </c>
      <c r="Q398" s="93">
        <v>0</v>
      </c>
      <c r="R398" s="93">
        <v>0</v>
      </c>
      <c r="S398" s="93">
        <v>0</v>
      </c>
      <c r="T398" s="94">
        <v>0</v>
      </c>
      <c r="U398" s="94">
        <v>0</v>
      </c>
      <c r="V398" s="94">
        <v>0</v>
      </c>
      <c r="W398" s="94">
        <v>0</v>
      </c>
      <c r="X398" s="94">
        <v>0</v>
      </c>
      <c r="Y398" s="94">
        <v>0</v>
      </c>
      <c r="Z398" s="94">
        <v>0</v>
      </c>
    </row>
    <row r="399" spans="1:26" s="226" customFormat="1" ht="12.75" customHeight="1" x14ac:dyDescent="0.25">
      <c r="B399" s="98" t="s">
        <v>112</v>
      </c>
      <c r="C399" s="98" t="s">
        <v>70</v>
      </c>
      <c r="F399" s="100">
        <v>0</v>
      </c>
      <c r="G399" s="100">
        <v>0</v>
      </c>
      <c r="H399" s="100">
        <v>0</v>
      </c>
      <c r="I399" s="100">
        <v>0</v>
      </c>
      <c r="J399" s="100">
        <v>0</v>
      </c>
      <c r="K399" s="100">
        <v>0</v>
      </c>
      <c r="L399" s="100">
        <v>0</v>
      </c>
      <c r="M399" s="100">
        <v>0</v>
      </c>
      <c r="N399" s="100">
        <v>0</v>
      </c>
      <c r="O399" s="100">
        <v>0</v>
      </c>
      <c r="P399" s="100">
        <v>0</v>
      </c>
      <c r="Q399" s="100">
        <v>0</v>
      </c>
      <c r="R399" s="100">
        <v>0</v>
      </c>
      <c r="S399" s="100">
        <v>0</v>
      </c>
      <c r="T399" s="226">
        <v>0</v>
      </c>
      <c r="U399" s="226">
        <v>0</v>
      </c>
      <c r="V399" s="226">
        <v>0</v>
      </c>
      <c r="W399" s="226">
        <v>0</v>
      </c>
      <c r="X399" s="226">
        <v>0</v>
      </c>
      <c r="Y399" s="226">
        <v>0</v>
      </c>
      <c r="Z399" s="226">
        <v>0</v>
      </c>
    </row>
    <row r="400" spans="1:26" ht="12.75" customHeight="1" x14ac:dyDescent="0.25">
      <c r="A400" s="89" t="s">
        <v>78</v>
      </c>
      <c r="B400" s="89" t="s">
        <v>70</v>
      </c>
      <c r="F400" s="90">
        <v>0</v>
      </c>
      <c r="G400" s="90">
        <v>0</v>
      </c>
      <c r="H400" s="90">
        <v>0</v>
      </c>
      <c r="I400" s="90">
        <v>0</v>
      </c>
      <c r="J400" s="90">
        <v>0</v>
      </c>
      <c r="K400" s="90">
        <v>0</v>
      </c>
      <c r="L400" s="90">
        <v>0</v>
      </c>
      <c r="M400" s="90">
        <v>0</v>
      </c>
      <c r="N400" s="90">
        <v>0</v>
      </c>
      <c r="O400" s="90">
        <v>0</v>
      </c>
      <c r="P400" s="90">
        <v>0</v>
      </c>
      <c r="Q400" s="90">
        <v>0</v>
      </c>
      <c r="R400" s="90">
        <v>0</v>
      </c>
      <c r="S400" s="9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</row>
    <row r="401" spans="2:26" x14ac:dyDescent="0.25">
      <c r="E401" t="s">
        <v>73</v>
      </c>
      <c r="F401" s="90">
        <v>0</v>
      </c>
      <c r="G401" s="90">
        <v>0</v>
      </c>
      <c r="H401" s="90">
        <v>0</v>
      </c>
      <c r="I401" s="90">
        <v>0</v>
      </c>
      <c r="J401" s="90">
        <v>0</v>
      </c>
      <c r="K401" s="90">
        <v>0</v>
      </c>
      <c r="L401" s="90">
        <v>0</v>
      </c>
      <c r="M401" s="90">
        <v>0</v>
      </c>
      <c r="N401" s="90">
        <v>0</v>
      </c>
      <c r="O401" s="90">
        <v>0</v>
      </c>
      <c r="P401" s="90">
        <v>0</v>
      </c>
      <c r="Q401" s="90">
        <v>0</v>
      </c>
      <c r="R401" s="90">
        <v>0</v>
      </c>
      <c r="S401" s="90">
        <v>0</v>
      </c>
      <c r="T401" s="90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 s="90">
        <v>0</v>
      </c>
    </row>
    <row r="402" spans="2:26" x14ac:dyDescent="0.25">
      <c r="D402" t="s">
        <v>156</v>
      </c>
      <c r="E402" t="s">
        <v>70</v>
      </c>
      <c r="F402" s="90">
        <v>0</v>
      </c>
      <c r="G402" s="90">
        <v>0</v>
      </c>
      <c r="H402" s="90">
        <v>0</v>
      </c>
      <c r="I402" s="90">
        <v>0</v>
      </c>
      <c r="J402" s="90">
        <v>0</v>
      </c>
      <c r="K402" s="90">
        <v>0</v>
      </c>
      <c r="L402" s="90">
        <v>0</v>
      </c>
      <c r="M402" s="90">
        <v>0</v>
      </c>
      <c r="N402" s="90">
        <v>0</v>
      </c>
      <c r="O402" s="90">
        <v>0</v>
      </c>
      <c r="P402" s="90">
        <v>0</v>
      </c>
      <c r="Q402" s="90">
        <v>0</v>
      </c>
      <c r="R402" s="90">
        <v>0</v>
      </c>
      <c r="S402" s="90">
        <v>0</v>
      </c>
      <c r="T402" s="90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 s="90">
        <v>0</v>
      </c>
    </row>
    <row r="403" spans="2:26" s="286" customFormat="1" ht="12.75" customHeight="1" x14ac:dyDescent="0.25">
      <c r="C403" s="286" t="s">
        <v>155</v>
      </c>
      <c r="D403" s="286" t="s">
        <v>70</v>
      </c>
      <c r="E403" s="229"/>
      <c r="F403" s="229">
        <v>0</v>
      </c>
      <c r="G403" s="230">
        <v>0</v>
      </c>
      <c r="H403" s="230">
        <v>0</v>
      </c>
      <c r="I403" s="230">
        <v>0</v>
      </c>
      <c r="J403" s="230">
        <v>0</v>
      </c>
      <c r="K403" s="230">
        <v>0</v>
      </c>
      <c r="L403" s="230">
        <v>0</v>
      </c>
      <c r="M403" s="230">
        <v>0</v>
      </c>
      <c r="N403" s="230">
        <v>0</v>
      </c>
      <c r="O403" s="230">
        <v>0</v>
      </c>
      <c r="P403" s="230">
        <v>0</v>
      </c>
      <c r="Q403" s="230">
        <v>0</v>
      </c>
      <c r="R403" s="230">
        <v>0</v>
      </c>
      <c r="S403" s="230">
        <v>0</v>
      </c>
      <c r="T403" s="230">
        <v>0</v>
      </c>
      <c r="U403" s="230">
        <v>0</v>
      </c>
      <c r="V403" s="230">
        <v>0</v>
      </c>
      <c r="W403" s="230">
        <v>0</v>
      </c>
      <c r="X403" s="230">
        <v>0</v>
      </c>
      <c r="Y403" s="230">
        <v>0</v>
      </c>
      <c r="Z403" s="230">
        <v>0</v>
      </c>
    </row>
    <row r="404" spans="2:26" x14ac:dyDescent="0.25">
      <c r="E404" t="s">
        <v>73</v>
      </c>
      <c r="F404" s="90">
        <v>0</v>
      </c>
      <c r="G404" s="90">
        <v>0</v>
      </c>
      <c r="H404" s="90">
        <v>0</v>
      </c>
      <c r="I404" s="90">
        <v>0</v>
      </c>
      <c r="J404" s="90">
        <v>0</v>
      </c>
      <c r="K404" s="90">
        <v>0</v>
      </c>
      <c r="L404" s="90">
        <v>0</v>
      </c>
      <c r="M404" s="90">
        <v>0</v>
      </c>
      <c r="N404" s="90">
        <v>0</v>
      </c>
      <c r="O404" s="90">
        <v>0</v>
      </c>
      <c r="P404" s="90">
        <v>0</v>
      </c>
      <c r="Q404" s="90">
        <v>0</v>
      </c>
      <c r="R404" s="90">
        <v>0</v>
      </c>
      <c r="S404" s="90">
        <v>0</v>
      </c>
      <c r="T404" s="90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 s="90">
        <v>0</v>
      </c>
    </row>
    <row r="405" spans="2:26" x14ac:dyDescent="0.25">
      <c r="D405" t="s">
        <v>82</v>
      </c>
      <c r="E405" t="s">
        <v>70</v>
      </c>
      <c r="F405" s="90">
        <v>0</v>
      </c>
      <c r="G405" s="90">
        <v>0</v>
      </c>
      <c r="H405" s="90">
        <v>0</v>
      </c>
      <c r="I405" s="90">
        <v>0</v>
      </c>
      <c r="J405" s="90">
        <v>0</v>
      </c>
      <c r="K405" s="90">
        <v>0</v>
      </c>
      <c r="L405" s="90">
        <v>0</v>
      </c>
      <c r="M405" s="90">
        <v>0</v>
      </c>
      <c r="N405" s="90">
        <v>0</v>
      </c>
      <c r="O405" s="90">
        <v>0</v>
      </c>
      <c r="P405" s="90">
        <v>0</v>
      </c>
      <c r="Q405" s="90">
        <v>0</v>
      </c>
      <c r="R405" s="90">
        <v>0</v>
      </c>
      <c r="S405" s="90">
        <v>0</v>
      </c>
      <c r="T405" s="90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 s="90">
        <v>0</v>
      </c>
    </row>
    <row r="406" spans="2:26" x14ac:dyDescent="0.25">
      <c r="E406" t="s">
        <v>73</v>
      </c>
      <c r="F406" s="90">
        <v>0</v>
      </c>
      <c r="G406" s="90">
        <v>0</v>
      </c>
      <c r="H406" s="90">
        <v>0</v>
      </c>
      <c r="I406" s="90">
        <v>0</v>
      </c>
      <c r="J406" s="90">
        <v>0</v>
      </c>
      <c r="K406" s="90">
        <v>0</v>
      </c>
      <c r="L406" s="90">
        <v>0</v>
      </c>
      <c r="M406" s="90">
        <v>0</v>
      </c>
      <c r="N406" s="90">
        <v>0</v>
      </c>
      <c r="O406" s="90">
        <v>0</v>
      </c>
      <c r="P406" s="90">
        <v>0</v>
      </c>
      <c r="Q406" s="90">
        <v>0</v>
      </c>
      <c r="R406" s="90">
        <v>0</v>
      </c>
      <c r="S406" s="90">
        <v>0</v>
      </c>
      <c r="T406" s="90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 s="90">
        <v>0</v>
      </c>
    </row>
    <row r="407" spans="2:26" x14ac:dyDescent="0.25">
      <c r="D407" t="s">
        <v>86</v>
      </c>
      <c r="E407" t="s">
        <v>70</v>
      </c>
      <c r="F407" s="90">
        <v>0</v>
      </c>
      <c r="G407" s="90">
        <v>0</v>
      </c>
      <c r="H407" s="90">
        <v>0</v>
      </c>
      <c r="I407" s="90">
        <v>0</v>
      </c>
      <c r="J407" s="90">
        <v>0</v>
      </c>
      <c r="K407" s="90">
        <v>0</v>
      </c>
      <c r="L407" s="90">
        <v>0</v>
      </c>
      <c r="M407" s="90">
        <v>0</v>
      </c>
      <c r="N407" s="90">
        <v>0</v>
      </c>
      <c r="O407" s="90">
        <v>0</v>
      </c>
      <c r="P407" s="90">
        <v>0</v>
      </c>
      <c r="Q407" s="90">
        <v>0</v>
      </c>
      <c r="R407" s="90">
        <v>0</v>
      </c>
      <c r="S407" s="90">
        <v>0</v>
      </c>
      <c r="T407" s="90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 s="90">
        <v>0</v>
      </c>
    </row>
    <row r="408" spans="2:26" x14ac:dyDescent="0.25">
      <c r="E408" t="s">
        <v>73</v>
      </c>
      <c r="F408" s="90">
        <v>0</v>
      </c>
      <c r="G408" s="90">
        <v>0</v>
      </c>
      <c r="H408" s="90">
        <v>0</v>
      </c>
      <c r="I408" s="90">
        <v>0</v>
      </c>
      <c r="J408" s="90">
        <v>0</v>
      </c>
      <c r="K408" s="90">
        <v>0</v>
      </c>
      <c r="L408" s="90">
        <v>0</v>
      </c>
      <c r="M408" s="90">
        <v>0</v>
      </c>
      <c r="N408" s="90">
        <v>0</v>
      </c>
      <c r="O408" s="90">
        <v>0</v>
      </c>
      <c r="P408" s="90">
        <v>0</v>
      </c>
      <c r="Q408" s="90">
        <v>0</v>
      </c>
      <c r="R408" s="90">
        <v>0</v>
      </c>
      <c r="S408" s="90">
        <v>0</v>
      </c>
      <c r="T408" s="90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 s="90">
        <v>0</v>
      </c>
    </row>
    <row r="409" spans="2:26" x14ac:dyDescent="0.25">
      <c r="D409" t="s">
        <v>87</v>
      </c>
      <c r="E409" t="s">
        <v>70</v>
      </c>
      <c r="F409" s="90">
        <v>0</v>
      </c>
      <c r="G409" s="90">
        <v>0</v>
      </c>
      <c r="H409" s="90">
        <v>0</v>
      </c>
      <c r="I409" s="90">
        <v>0</v>
      </c>
      <c r="J409" s="90">
        <v>0</v>
      </c>
      <c r="K409" s="90">
        <v>0</v>
      </c>
      <c r="L409" s="90">
        <v>0</v>
      </c>
      <c r="M409" s="90">
        <v>0</v>
      </c>
      <c r="N409" s="90">
        <v>0</v>
      </c>
      <c r="O409" s="90">
        <v>0</v>
      </c>
      <c r="P409" s="90">
        <v>0</v>
      </c>
      <c r="Q409" s="90">
        <v>0</v>
      </c>
      <c r="R409" s="90">
        <v>0</v>
      </c>
      <c r="S409" s="90">
        <v>0</v>
      </c>
      <c r="T409" s="90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 s="90">
        <v>0</v>
      </c>
    </row>
    <row r="410" spans="2:26" s="94" customFormat="1" ht="12.75" customHeight="1" x14ac:dyDescent="0.25">
      <c r="C410" s="101" t="s">
        <v>119</v>
      </c>
      <c r="D410" s="101" t="s">
        <v>70</v>
      </c>
      <c r="F410" s="93">
        <v>0</v>
      </c>
      <c r="G410" s="93">
        <v>0</v>
      </c>
      <c r="H410" s="93">
        <v>0</v>
      </c>
      <c r="I410" s="93">
        <v>0</v>
      </c>
      <c r="J410" s="93">
        <v>0</v>
      </c>
      <c r="K410" s="93">
        <v>0</v>
      </c>
      <c r="L410" s="93">
        <v>0</v>
      </c>
      <c r="M410" s="93">
        <v>0</v>
      </c>
      <c r="N410" s="93">
        <v>0</v>
      </c>
      <c r="O410" s="93">
        <v>0</v>
      </c>
      <c r="P410" s="93">
        <v>0</v>
      </c>
      <c r="Q410" s="93">
        <v>0</v>
      </c>
      <c r="R410" s="93">
        <v>0</v>
      </c>
      <c r="S410" s="93">
        <v>0</v>
      </c>
      <c r="T410" s="93">
        <v>0</v>
      </c>
      <c r="U410" s="93">
        <v>0</v>
      </c>
      <c r="V410" s="93">
        <v>0</v>
      </c>
      <c r="W410" s="93">
        <v>0</v>
      </c>
      <c r="X410" s="93">
        <v>0</v>
      </c>
      <c r="Y410" s="93">
        <v>0</v>
      </c>
      <c r="Z410" s="93">
        <v>0</v>
      </c>
    </row>
    <row r="411" spans="2:26" s="378" customFormat="1" ht="12.6" customHeight="1" x14ac:dyDescent="0.25">
      <c r="B411" s="378" t="s">
        <v>122</v>
      </c>
      <c r="C411" s="378" t="s">
        <v>70</v>
      </c>
      <c r="E411" s="376"/>
      <c r="F411" s="710">
        <v>0</v>
      </c>
      <c r="G411" s="377">
        <v>0</v>
      </c>
      <c r="H411" s="377">
        <v>0</v>
      </c>
      <c r="I411" s="377">
        <v>0</v>
      </c>
      <c r="J411" s="377">
        <v>0</v>
      </c>
      <c r="K411" s="377">
        <v>0</v>
      </c>
      <c r="L411" s="377">
        <v>0</v>
      </c>
      <c r="M411" s="377">
        <v>0</v>
      </c>
      <c r="N411" s="377">
        <v>0</v>
      </c>
      <c r="O411" s="377">
        <v>0</v>
      </c>
      <c r="P411" s="377">
        <v>0</v>
      </c>
      <c r="Q411" s="377">
        <v>0</v>
      </c>
      <c r="R411" s="377">
        <v>0</v>
      </c>
      <c r="S411" s="377">
        <v>0</v>
      </c>
      <c r="T411" s="378">
        <v>0</v>
      </c>
      <c r="U411" s="378">
        <v>0</v>
      </c>
      <c r="V411" s="378">
        <v>0</v>
      </c>
      <c r="W411" s="378">
        <v>0</v>
      </c>
      <c r="X411" s="378">
        <v>0</v>
      </c>
      <c r="Y411" s="378">
        <v>0</v>
      </c>
      <c r="Z411" s="378">
        <v>0</v>
      </c>
    </row>
    <row r="412" spans="2:26" ht="12.6" customHeight="1" x14ac:dyDescent="0.25">
      <c r="E412" s="89" t="s">
        <v>73</v>
      </c>
      <c r="F412" s="371">
        <v>0</v>
      </c>
      <c r="G412" s="90">
        <v>0</v>
      </c>
      <c r="H412" s="90">
        <v>0</v>
      </c>
      <c r="I412" s="90">
        <v>0</v>
      </c>
      <c r="J412" s="90">
        <v>0</v>
      </c>
      <c r="K412" s="90">
        <v>0</v>
      </c>
      <c r="L412" s="90">
        <v>0</v>
      </c>
      <c r="M412" s="90">
        <v>0</v>
      </c>
      <c r="N412" s="90">
        <v>0</v>
      </c>
      <c r="O412" s="90">
        <v>0</v>
      </c>
      <c r="P412" s="90">
        <v>0</v>
      </c>
      <c r="Q412" s="90">
        <v>0</v>
      </c>
      <c r="R412" s="90">
        <v>0</v>
      </c>
      <c r="S412" s="90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</row>
    <row r="413" spans="2:26" ht="12.75" customHeight="1" x14ac:dyDescent="0.25">
      <c r="D413" t="s">
        <v>156</v>
      </c>
      <c r="E413" s="89" t="s">
        <v>70</v>
      </c>
      <c r="F413" s="371">
        <v>0</v>
      </c>
      <c r="G413" s="90">
        <v>0</v>
      </c>
      <c r="H413" s="90">
        <v>0</v>
      </c>
      <c r="I413" s="90">
        <v>0</v>
      </c>
      <c r="J413" s="90">
        <v>0</v>
      </c>
      <c r="K413" s="90">
        <v>0</v>
      </c>
      <c r="L413" s="90">
        <v>0</v>
      </c>
      <c r="M413" s="90">
        <v>0</v>
      </c>
      <c r="N413" s="90">
        <v>0</v>
      </c>
      <c r="O413" s="90">
        <v>0</v>
      </c>
      <c r="P413" s="90">
        <v>0</v>
      </c>
      <c r="Q413" s="90">
        <v>0</v>
      </c>
      <c r="R413" s="90">
        <v>0</v>
      </c>
      <c r="S413" s="90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</row>
    <row r="414" spans="2:26" s="286" customFormat="1" ht="12.75" customHeight="1" x14ac:dyDescent="0.25">
      <c r="C414" s="286" t="s">
        <v>155</v>
      </c>
      <c r="D414" s="286" t="s">
        <v>70</v>
      </c>
      <c r="E414" s="229"/>
      <c r="F414" s="229">
        <v>0</v>
      </c>
      <c r="G414" s="230">
        <v>0</v>
      </c>
      <c r="H414" s="230">
        <v>0</v>
      </c>
      <c r="I414" s="230">
        <v>0</v>
      </c>
      <c r="J414" s="230">
        <v>0</v>
      </c>
      <c r="K414" s="230">
        <v>0</v>
      </c>
      <c r="L414" s="230">
        <v>0</v>
      </c>
      <c r="M414" s="230">
        <v>0</v>
      </c>
      <c r="N414" s="230">
        <v>0</v>
      </c>
      <c r="O414" s="230">
        <v>0</v>
      </c>
      <c r="P414" s="230">
        <v>0</v>
      </c>
      <c r="Q414" s="230">
        <v>0</v>
      </c>
      <c r="R414" s="230">
        <v>0</v>
      </c>
      <c r="S414" s="230">
        <v>0</v>
      </c>
      <c r="T414" s="230">
        <v>0</v>
      </c>
      <c r="U414" s="230">
        <v>0</v>
      </c>
      <c r="V414" s="230">
        <v>0</v>
      </c>
      <c r="W414" s="230">
        <v>0</v>
      </c>
      <c r="X414" s="230">
        <v>0</v>
      </c>
      <c r="Y414" s="230">
        <v>0</v>
      </c>
      <c r="Z414" s="230">
        <v>0</v>
      </c>
    </row>
    <row r="415" spans="2:26" ht="12.75" customHeight="1" x14ac:dyDescent="0.25">
      <c r="D415" s="89"/>
      <c r="E415" s="89" t="s">
        <v>73</v>
      </c>
      <c r="F415" s="90">
        <v>0</v>
      </c>
      <c r="G415" s="90">
        <v>0</v>
      </c>
      <c r="H415" s="90">
        <v>0</v>
      </c>
      <c r="I415" s="90">
        <v>0</v>
      </c>
      <c r="J415" s="90">
        <v>0</v>
      </c>
      <c r="K415" s="90">
        <v>0</v>
      </c>
      <c r="L415" s="90">
        <v>0</v>
      </c>
      <c r="M415" s="90">
        <v>0</v>
      </c>
      <c r="N415" s="90">
        <v>0</v>
      </c>
      <c r="O415" s="90">
        <v>0</v>
      </c>
      <c r="P415" s="90">
        <v>0</v>
      </c>
      <c r="Q415" s="90">
        <v>0</v>
      </c>
      <c r="R415" s="90">
        <v>0</v>
      </c>
      <c r="S415" s="90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</row>
    <row r="416" spans="2:26" ht="12.75" customHeight="1" x14ac:dyDescent="0.25">
      <c r="D416" t="s">
        <v>82</v>
      </c>
      <c r="E416" s="89" t="s">
        <v>70</v>
      </c>
      <c r="F416" s="90">
        <v>0</v>
      </c>
      <c r="G416" s="90">
        <v>0</v>
      </c>
      <c r="H416" s="90">
        <v>0</v>
      </c>
      <c r="I416" s="90">
        <v>0</v>
      </c>
      <c r="J416" s="90">
        <v>0</v>
      </c>
      <c r="K416" s="90">
        <v>0</v>
      </c>
      <c r="L416" s="90">
        <v>0</v>
      </c>
      <c r="M416" s="90">
        <v>0</v>
      </c>
      <c r="N416" s="90">
        <v>0</v>
      </c>
      <c r="O416" s="90">
        <v>0</v>
      </c>
      <c r="P416" s="90">
        <v>0</v>
      </c>
      <c r="Q416" s="90">
        <v>0</v>
      </c>
      <c r="R416" s="90">
        <v>0</v>
      </c>
      <c r="S416" s="90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</row>
    <row r="417" spans="1:26" ht="12.75" customHeight="1" x14ac:dyDescent="0.25">
      <c r="D417" s="89"/>
      <c r="E417" s="89" t="s">
        <v>73</v>
      </c>
      <c r="F417" s="90">
        <v>0</v>
      </c>
      <c r="G417" s="90">
        <v>0</v>
      </c>
      <c r="H417" s="90">
        <v>0</v>
      </c>
      <c r="I417" s="90">
        <v>0</v>
      </c>
      <c r="J417" s="90">
        <v>0</v>
      </c>
      <c r="K417" s="90">
        <v>0</v>
      </c>
      <c r="L417" s="90">
        <v>0</v>
      </c>
      <c r="M417" s="90">
        <v>0</v>
      </c>
      <c r="N417" s="90">
        <v>0</v>
      </c>
      <c r="O417" s="90">
        <v>0</v>
      </c>
      <c r="P417" s="90">
        <v>0</v>
      </c>
      <c r="Q417" s="90">
        <v>0</v>
      </c>
      <c r="R417" s="90">
        <v>0</v>
      </c>
      <c r="S417" s="90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</row>
    <row r="418" spans="1:26" ht="12.75" customHeight="1" x14ac:dyDescent="0.25">
      <c r="D418" t="s">
        <v>86</v>
      </c>
      <c r="E418" s="89" t="s">
        <v>70</v>
      </c>
      <c r="F418" s="90">
        <v>0</v>
      </c>
      <c r="G418" s="90">
        <v>0</v>
      </c>
      <c r="H418" s="90">
        <v>0</v>
      </c>
      <c r="I418" s="90">
        <v>0</v>
      </c>
      <c r="J418" s="90">
        <v>0</v>
      </c>
      <c r="K418" s="90">
        <v>0</v>
      </c>
      <c r="L418" s="90">
        <v>0</v>
      </c>
      <c r="M418" s="90">
        <v>0</v>
      </c>
      <c r="N418" s="90">
        <v>0</v>
      </c>
      <c r="O418" s="90">
        <v>0</v>
      </c>
      <c r="P418" s="90">
        <v>0</v>
      </c>
      <c r="Q418" s="90">
        <v>0</v>
      </c>
      <c r="R418" s="90">
        <v>0</v>
      </c>
      <c r="S418" s="90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</row>
    <row r="419" spans="1:26" ht="12.75" customHeight="1" x14ac:dyDescent="0.25">
      <c r="D419" s="89"/>
      <c r="E419" s="89" t="s">
        <v>73</v>
      </c>
      <c r="F419" s="90">
        <v>0</v>
      </c>
      <c r="G419" s="90">
        <v>0</v>
      </c>
      <c r="H419" s="90">
        <v>0</v>
      </c>
      <c r="I419" s="90">
        <v>0</v>
      </c>
      <c r="J419" s="90">
        <v>0</v>
      </c>
      <c r="K419" s="90">
        <v>0</v>
      </c>
      <c r="L419" s="90">
        <v>0</v>
      </c>
      <c r="M419" s="90">
        <v>0</v>
      </c>
      <c r="N419" s="90">
        <v>0</v>
      </c>
      <c r="O419" s="90">
        <v>0</v>
      </c>
      <c r="P419" s="90">
        <v>0</v>
      </c>
      <c r="Q419" s="90">
        <v>0</v>
      </c>
      <c r="R419" s="90">
        <v>0</v>
      </c>
      <c r="S419" s="90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</row>
    <row r="420" spans="1:26" ht="12.75" customHeight="1" x14ac:dyDescent="0.25">
      <c r="C420" s="89"/>
      <c r="D420" s="89" t="s">
        <v>87</v>
      </c>
      <c r="E420" t="s">
        <v>70</v>
      </c>
      <c r="F420" s="90">
        <v>0</v>
      </c>
      <c r="G420" s="90">
        <v>0</v>
      </c>
      <c r="H420" s="90">
        <v>0</v>
      </c>
      <c r="I420" s="90">
        <v>0</v>
      </c>
      <c r="J420" s="90">
        <v>0</v>
      </c>
      <c r="K420" s="90">
        <v>0</v>
      </c>
      <c r="L420" s="90">
        <v>0</v>
      </c>
      <c r="M420" s="90">
        <v>0</v>
      </c>
      <c r="N420" s="90">
        <v>0</v>
      </c>
      <c r="O420" s="90">
        <v>0</v>
      </c>
      <c r="P420" s="90">
        <v>0</v>
      </c>
      <c r="Q420" s="90">
        <v>0</v>
      </c>
      <c r="R420" s="90">
        <v>0</v>
      </c>
      <c r="S420" s="9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</row>
    <row r="421" spans="1:26" s="94" customFormat="1" ht="12.75" customHeight="1" x14ac:dyDescent="0.25">
      <c r="C421" s="101" t="s">
        <v>119</v>
      </c>
      <c r="D421" s="101" t="s">
        <v>70</v>
      </c>
      <c r="F421" s="93">
        <v>0</v>
      </c>
      <c r="G421" s="93">
        <v>0</v>
      </c>
      <c r="H421" s="93">
        <v>0</v>
      </c>
      <c r="I421" s="93">
        <v>0</v>
      </c>
      <c r="J421" s="93">
        <v>0</v>
      </c>
      <c r="K421" s="93">
        <v>0</v>
      </c>
      <c r="L421" s="93">
        <v>0</v>
      </c>
      <c r="M421" s="93">
        <v>0</v>
      </c>
      <c r="N421" s="93">
        <v>0</v>
      </c>
      <c r="O421" s="93">
        <v>0</v>
      </c>
      <c r="P421" s="93">
        <v>0</v>
      </c>
      <c r="Q421" s="93">
        <v>0</v>
      </c>
      <c r="R421" s="93">
        <v>0</v>
      </c>
      <c r="S421" s="93">
        <v>0</v>
      </c>
      <c r="T421" s="94">
        <v>0</v>
      </c>
      <c r="U421" s="94">
        <v>0</v>
      </c>
      <c r="V421" s="94">
        <v>0</v>
      </c>
      <c r="W421" s="94">
        <v>0</v>
      </c>
      <c r="X421" s="94">
        <v>0</v>
      </c>
      <c r="Y421" s="94">
        <v>0</v>
      </c>
      <c r="Z421" s="94">
        <v>0</v>
      </c>
    </row>
    <row r="422" spans="1:26" s="226" customFormat="1" ht="12.75" customHeight="1" x14ac:dyDescent="0.25">
      <c r="A422" s="98"/>
      <c r="B422" s="98" t="s">
        <v>112</v>
      </c>
      <c r="C422" s="226" t="s">
        <v>70</v>
      </c>
      <c r="F422" s="100">
        <v>0</v>
      </c>
      <c r="G422" s="100">
        <v>0</v>
      </c>
      <c r="H422" s="100">
        <v>0</v>
      </c>
      <c r="I422" s="100">
        <v>0</v>
      </c>
      <c r="J422" s="100">
        <v>0</v>
      </c>
      <c r="K422" s="100">
        <v>0</v>
      </c>
      <c r="L422" s="100">
        <v>0</v>
      </c>
      <c r="M422" s="100">
        <v>0</v>
      </c>
      <c r="N422" s="100">
        <v>0</v>
      </c>
      <c r="O422" s="100">
        <v>0</v>
      </c>
      <c r="P422" s="100">
        <v>0</v>
      </c>
      <c r="Q422" s="100">
        <v>0</v>
      </c>
      <c r="R422" s="100">
        <v>0</v>
      </c>
      <c r="S422" s="100">
        <v>0</v>
      </c>
      <c r="T422" s="226">
        <v>0</v>
      </c>
      <c r="U422" s="226">
        <v>0</v>
      </c>
      <c r="V422" s="226">
        <v>0</v>
      </c>
      <c r="W422" s="226">
        <v>0</v>
      </c>
      <c r="X422" s="226">
        <v>0</v>
      </c>
      <c r="Y422" s="226">
        <v>0</v>
      </c>
      <c r="Z422" s="226">
        <v>0</v>
      </c>
    </row>
    <row r="423" spans="1:26" ht="12.75" customHeight="1" x14ac:dyDescent="0.25">
      <c r="A423" s="89" t="s">
        <v>79</v>
      </c>
      <c r="B423" t="s">
        <v>70</v>
      </c>
      <c r="F423" s="90">
        <v>0</v>
      </c>
      <c r="G423" s="90">
        <v>0</v>
      </c>
      <c r="H423" s="90">
        <v>0</v>
      </c>
      <c r="I423" s="90">
        <v>0</v>
      </c>
      <c r="J423" s="90">
        <v>0</v>
      </c>
      <c r="K423" s="90">
        <v>0</v>
      </c>
      <c r="L423" s="90">
        <v>0</v>
      </c>
      <c r="M423" s="90">
        <v>0</v>
      </c>
      <c r="N423" s="90">
        <v>0</v>
      </c>
      <c r="O423" s="90">
        <v>0</v>
      </c>
      <c r="P423" s="90">
        <v>0</v>
      </c>
      <c r="Q423" s="90">
        <v>0</v>
      </c>
      <c r="R423" s="90">
        <v>0</v>
      </c>
      <c r="S423" s="90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</row>
    <row r="424" spans="1:26" ht="12.75" customHeight="1" x14ac:dyDescent="0.25">
      <c r="A424" t="s">
        <v>70</v>
      </c>
      <c r="E424" s="89"/>
      <c r="F424" s="90">
        <v>0</v>
      </c>
      <c r="G424" s="90">
        <v>0</v>
      </c>
      <c r="H424" s="90">
        <v>0</v>
      </c>
      <c r="I424" s="90">
        <v>0</v>
      </c>
      <c r="J424" s="90">
        <v>0</v>
      </c>
      <c r="K424" s="90">
        <v>0</v>
      </c>
      <c r="L424" s="90">
        <v>0</v>
      </c>
      <c r="M424" s="90">
        <v>0</v>
      </c>
      <c r="N424" s="90">
        <v>0</v>
      </c>
      <c r="O424" s="90">
        <v>0</v>
      </c>
      <c r="P424" s="90">
        <v>0</v>
      </c>
      <c r="Q424" s="90">
        <v>0</v>
      </c>
      <c r="R424" s="90">
        <v>0</v>
      </c>
      <c r="S424" s="90">
        <v>0</v>
      </c>
      <c r="T424" s="150">
        <v>0</v>
      </c>
      <c r="U424" s="150">
        <v>0</v>
      </c>
      <c r="V424" s="150">
        <v>0</v>
      </c>
      <c r="W424" s="150">
        <v>0</v>
      </c>
      <c r="X424">
        <v>0</v>
      </c>
      <c r="Y424">
        <v>0</v>
      </c>
      <c r="Z424">
        <v>0</v>
      </c>
    </row>
    <row r="425" spans="1:26" ht="12.75" hidden="1" customHeight="1" x14ac:dyDescent="0.25">
      <c r="A425" s="89"/>
      <c r="B425" s="89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</row>
    <row r="426" spans="1:26" ht="12.75" hidden="1" customHeight="1" x14ac:dyDescent="0.25">
      <c r="E426" s="89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26" ht="12.75" hidden="1" customHeight="1" x14ac:dyDescent="0.25">
      <c r="D427" s="89"/>
      <c r="E427" s="89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</row>
    <row r="428" spans="1:26" ht="12.75" hidden="1" customHeight="1" x14ac:dyDescent="0.25">
      <c r="D428" s="89"/>
      <c r="E428" s="89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</row>
    <row r="429" spans="1:26" ht="12.75" hidden="1" customHeight="1" x14ac:dyDescent="0.25">
      <c r="E429" s="89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26" ht="12.75" hidden="1" customHeight="1" x14ac:dyDescent="0.25">
      <c r="D430" s="89"/>
      <c r="E430" s="89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</row>
    <row r="431" spans="1:26" ht="12.75" hidden="1" customHeight="1" x14ac:dyDescent="0.25">
      <c r="E431" s="89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26" ht="12.75" hidden="1" customHeight="1" x14ac:dyDescent="0.25">
      <c r="D432" s="89"/>
      <c r="E432" s="89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</row>
    <row r="433" spans="1:23" ht="12.75" hidden="1" customHeight="1" x14ac:dyDescent="0.25">
      <c r="E433" s="89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</row>
    <row r="434" spans="1:23" ht="12.75" hidden="1" customHeight="1" x14ac:dyDescent="0.25">
      <c r="D434" s="89"/>
      <c r="E434" s="89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23" ht="12.75" hidden="1" customHeight="1" x14ac:dyDescent="0.25">
      <c r="C435" s="89"/>
      <c r="D435" s="89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</row>
    <row r="436" spans="1:23" ht="12.75" hidden="1" customHeight="1" x14ac:dyDescent="0.25">
      <c r="E436" s="89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23" ht="12.75" hidden="1" customHeight="1" x14ac:dyDescent="0.25">
      <c r="D437" s="89"/>
      <c r="E437" s="89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</row>
    <row r="438" spans="1:23" ht="12.75" hidden="1" customHeight="1" x14ac:dyDescent="0.25">
      <c r="E438" s="89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</row>
    <row r="439" spans="1:23" ht="12.75" hidden="1" customHeight="1" x14ac:dyDescent="0.25">
      <c r="D439" s="89"/>
      <c r="E439" s="89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</row>
    <row r="440" spans="1:23" ht="12.75" hidden="1" customHeight="1" x14ac:dyDescent="0.25">
      <c r="C440" s="89"/>
      <c r="D440" s="89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</row>
    <row r="441" spans="1:23" ht="12.75" hidden="1" customHeight="1" x14ac:dyDescent="0.25">
      <c r="B441" s="89"/>
      <c r="C441" s="89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</row>
    <row r="442" spans="1:23" ht="12.75" hidden="1" customHeight="1" x14ac:dyDescent="0.25">
      <c r="A442" s="89"/>
      <c r="B442" s="89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</row>
    <row r="443" spans="1:23" ht="12.75" hidden="1" customHeight="1" x14ac:dyDescent="0.25">
      <c r="A443" s="89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</row>
    <row r="444" spans="1:23" ht="12.75" hidden="1" customHeight="1" x14ac:dyDescent="0.25">
      <c r="A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</row>
    <row r="445" spans="1:23" ht="12.75" hidden="1" customHeight="1" x14ac:dyDescent="0.25">
      <c r="A445" s="89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</row>
    <row r="446" spans="1:23" ht="12.75" hidden="1" customHeight="1" x14ac:dyDescent="0.25">
      <c r="A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</row>
    <row r="447" spans="1:23" ht="12.75" hidden="1" customHeight="1" x14ac:dyDescent="0.25">
      <c r="A447" s="89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</row>
    <row r="448" spans="1:23" ht="12.75" hidden="1" customHeight="1" x14ac:dyDescent="0.25">
      <c r="A448" s="89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150"/>
      <c r="U448" s="150"/>
      <c r="V448" s="150"/>
      <c r="W448" s="150"/>
    </row>
    <row r="449" spans="1:23" ht="12.75" hidden="1" customHeight="1" x14ac:dyDescent="0.25">
      <c r="A449" s="89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150"/>
      <c r="U449" s="150"/>
      <c r="V449" s="150"/>
      <c r="W449" s="150"/>
    </row>
    <row r="450" spans="1:23" ht="12.75" hidden="1" customHeight="1" x14ac:dyDescent="0.25">
      <c r="A450" s="89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150"/>
      <c r="U450" s="150"/>
      <c r="V450" s="150"/>
      <c r="W450" s="150"/>
    </row>
    <row r="451" spans="1:23" ht="12.75" hidden="1" customHeight="1" x14ac:dyDescent="0.25">
      <c r="A451" s="89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150"/>
      <c r="U451" s="150"/>
      <c r="V451" s="150"/>
      <c r="W451" s="150"/>
    </row>
    <row r="452" spans="1:23" ht="12.75" hidden="1" customHeight="1" x14ac:dyDescent="0.25">
      <c r="A452" s="89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150"/>
      <c r="U452" s="150"/>
      <c r="V452" s="150"/>
      <c r="W452" s="150"/>
    </row>
    <row r="453" spans="1:23" ht="12.75" hidden="1" customHeight="1" x14ac:dyDescent="0.25">
      <c r="A453" s="89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150"/>
      <c r="U453" s="150"/>
      <c r="V453" s="150"/>
      <c r="W453" s="150"/>
    </row>
    <row r="454" spans="1:23" ht="12.75" hidden="1" customHeight="1" x14ac:dyDescent="0.25">
      <c r="A454" s="89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150"/>
      <c r="U454" s="150"/>
      <c r="V454" s="150"/>
      <c r="W454" s="150"/>
    </row>
    <row r="455" spans="1:23" ht="12.75" hidden="1" customHeight="1" x14ac:dyDescent="0.25">
      <c r="A455" s="89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150"/>
      <c r="U455" s="150"/>
      <c r="V455" s="150"/>
      <c r="W455" s="150"/>
    </row>
    <row r="456" spans="1:23" ht="12.75" hidden="1" customHeight="1" x14ac:dyDescent="0.25">
      <c r="A456" s="89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150"/>
      <c r="U456" s="150"/>
      <c r="V456" s="150"/>
      <c r="W456" s="150"/>
    </row>
    <row r="457" spans="1:23" ht="12.75" hidden="1" customHeight="1" x14ac:dyDescent="0.25">
      <c r="A457" s="89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150"/>
      <c r="U457" s="150"/>
      <c r="V457" s="150"/>
      <c r="W457" s="150"/>
    </row>
    <row r="458" spans="1:23" ht="12.75" hidden="1" customHeight="1" x14ac:dyDescent="0.25">
      <c r="A458" s="89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150"/>
      <c r="U458" s="150"/>
      <c r="V458" s="150"/>
      <c r="W458" s="150"/>
    </row>
    <row r="459" spans="1:23" ht="12.75" hidden="1" customHeight="1" x14ac:dyDescent="0.25">
      <c r="A459" s="89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150"/>
      <c r="U459" s="150"/>
      <c r="V459" s="150"/>
      <c r="W459" s="150"/>
    </row>
    <row r="460" spans="1:23" ht="12.75" hidden="1" customHeight="1" x14ac:dyDescent="0.25">
      <c r="A460" s="89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150"/>
      <c r="U460" s="150"/>
      <c r="V460" s="150"/>
      <c r="W460" s="150"/>
    </row>
    <row r="461" spans="1:23" ht="12.75" hidden="1" customHeight="1" x14ac:dyDescent="0.25">
      <c r="A461" s="89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150"/>
      <c r="U461" s="150"/>
      <c r="V461" s="150"/>
      <c r="W461" s="150"/>
    </row>
    <row r="462" spans="1:23" ht="12.75" hidden="1" customHeight="1" x14ac:dyDescent="0.25">
      <c r="A462" s="89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150"/>
      <c r="U462" s="150"/>
      <c r="V462" s="150"/>
      <c r="W462" s="150"/>
    </row>
    <row r="463" spans="1:23" ht="12.75" hidden="1" customHeight="1" x14ac:dyDescent="0.25">
      <c r="A463" s="89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150"/>
      <c r="U463" s="150"/>
      <c r="V463" s="150"/>
      <c r="W463" s="150"/>
    </row>
    <row r="464" spans="1:23" ht="12.75" hidden="1" customHeight="1" x14ac:dyDescent="0.25">
      <c r="A464" s="89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150"/>
      <c r="U464" s="150"/>
      <c r="V464" s="150"/>
      <c r="W464" s="150"/>
    </row>
    <row r="465" spans="1:23" ht="12.75" hidden="1" customHeight="1" x14ac:dyDescent="0.25">
      <c r="A465" s="89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150"/>
      <c r="U465" s="150"/>
      <c r="V465" s="150"/>
      <c r="W465" s="150"/>
    </row>
    <row r="466" spans="1:23" ht="12.75" hidden="1" customHeight="1" x14ac:dyDescent="0.25">
      <c r="A466" s="89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150"/>
      <c r="U466" s="150"/>
      <c r="V466" s="150"/>
      <c r="W466" s="150"/>
    </row>
    <row r="467" spans="1:23" ht="12.75" hidden="1" customHeight="1" x14ac:dyDescent="0.25">
      <c r="A467" s="89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150"/>
      <c r="U467" s="150"/>
      <c r="V467" s="150"/>
      <c r="W467" s="150"/>
    </row>
    <row r="468" spans="1:23" ht="12.75" hidden="1" customHeight="1" x14ac:dyDescent="0.25">
      <c r="A468" s="89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150"/>
      <c r="U468" s="150"/>
      <c r="V468" s="150"/>
      <c r="W468" s="150"/>
    </row>
    <row r="469" spans="1:23" ht="12.75" hidden="1" customHeight="1" x14ac:dyDescent="0.25">
      <c r="A469" s="89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150"/>
      <c r="U469" s="150"/>
      <c r="V469" s="150"/>
      <c r="W469" s="150"/>
    </row>
    <row r="470" spans="1:23" ht="12.75" hidden="1" customHeight="1" x14ac:dyDescent="0.25">
      <c r="A470" s="89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150"/>
      <c r="U470" s="150"/>
      <c r="V470" s="150"/>
      <c r="W470" s="150"/>
    </row>
    <row r="471" spans="1:23" ht="12.75" hidden="1" customHeight="1" x14ac:dyDescent="0.25">
      <c r="A471" s="89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150"/>
      <c r="U471" s="150"/>
      <c r="V471" s="150"/>
      <c r="W471" s="150"/>
    </row>
    <row r="472" spans="1:23" ht="12.75" hidden="1" customHeight="1" x14ac:dyDescent="0.25">
      <c r="A472" s="89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150"/>
      <c r="U472" s="150"/>
      <c r="V472" s="150"/>
      <c r="W472" s="150"/>
    </row>
    <row r="473" spans="1:23" ht="12.75" hidden="1" customHeight="1" x14ac:dyDescent="0.25">
      <c r="A473" s="89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150"/>
      <c r="U473" s="150"/>
      <c r="V473" s="150"/>
      <c r="W473" s="150"/>
    </row>
    <row r="474" spans="1:23" ht="12.75" hidden="1" customHeight="1" x14ac:dyDescent="0.25">
      <c r="A474" s="89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150"/>
      <c r="U474" s="150"/>
      <c r="V474" s="150"/>
      <c r="W474" s="150"/>
    </row>
    <row r="475" spans="1:23" ht="12.75" hidden="1" customHeight="1" x14ac:dyDescent="0.25">
      <c r="A475" s="89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150"/>
      <c r="U475" s="150"/>
      <c r="V475" s="150"/>
      <c r="W475" s="150"/>
    </row>
    <row r="476" spans="1:23" ht="12.75" hidden="1" customHeight="1" x14ac:dyDescent="0.25">
      <c r="A476" s="89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150"/>
      <c r="U476" s="150"/>
      <c r="V476" s="150"/>
      <c r="W476" s="150"/>
    </row>
    <row r="477" spans="1:23" ht="12.75" hidden="1" customHeight="1" x14ac:dyDescent="0.25">
      <c r="A477" s="89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150"/>
      <c r="U477" s="150"/>
      <c r="V477" s="150"/>
      <c r="W477" s="150"/>
    </row>
    <row r="478" spans="1:23" ht="12.75" hidden="1" customHeight="1" x14ac:dyDescent="0.25">
      <c r="A478" s="89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150"/>
      <c r="U478" s="150"/>
      <c r="V478" s="150"/>
      <c r="W478" s="150"/>
    </row>
    <row r="479" spans="1:23" ht="12.75" hidden="1" customHeight="1" x14ac:dyDescent="0.25">
      <c r="A479" s="89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150"/>
      <c r="U479" s="150"/>
      <c r="V479" s="150"/>
      <c r="W479" s="150"/>
    </row>
    <row r="480" spans="1:23" ht="12.75" hidden="1" customHeight="1" x14ac:dyDescent="0.25">
      <c r="A480" s="89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150"/>
      <c r="U480" s="150"/>
      <c r="V480" s="150"/>
      <c r="W480" s="150"/>
    </row>
    <row r="481" spans="1:41" ht="12.75" hidden="1" customHeight="1" x14ac:dyDescent="0.25">
      <c r="A481" s="89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150"/>
      <c r="U481" s="150"/>
      <c r="V481" s="150"/>
      <c r="W481" s="150"/>
    </row>
    <row r="482" spans="1:41" ht="12.75" customHeight="1" x14ac:dyDescent="0.25">
      <c r="A482" s="89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150"/>
      <c r="U482" s="150"/>
      <c r="V482" s="150"/>
      <c r="W482" s="150"/>
    </row>
    <row r="483" spans="1:41" ht="12.75" customHeight="1" x14ac:dyDescent="0.25">
      <c r="A483" s="89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150"/>
      <c r="U483" s="150"/>
      <c r="V483" s="150"/>
      <c r="W483" s="150"/>
    </row>
    <row r="484" spans="1:41" ht="12.75" customHeight="1" x14ac:dyDescent="0.25">
      <c r="C484" s="778" t="s">
        <v>2</v>
      </c>
      <c r="D484" s="775" t="s">
        <v>132</v>
      </c>
      <c r="E484" s="98" t="s">
        <v>70</v>
      </c>
      <c r="F484" s="100">
        <f>F399+F422+F368-L368-L399</f>
        <v>0</v>
      </c>
      <c r="G484" s="100">
        <f t="shared" ref="G484:AO484" si="18">G399+G368</f>
        <v>0</v>
      </c>
      <c r="H484" s="100">
        <f t="shared" si="18"/>
        <v>0</v>
      </c>
      <c r="I484" s="100">
        <f t="shared" si="18"/>
        <v>0</v>
      </c>
      <c r="J484" s="100">
        <f t="shared" si="18"/>
        <v>0</v>
      </c>
      <c r="K484" s="100">
        <f t="shared" si="18"/>
        <v>0</v>
      </c>
      <c r="L484" s="100">
        <f t="shared" si="18"/>
        <v>0</v>
      </c>
      <c r="M484" s="100">
        <f t="shared" si="18"/>
        <v>0</v>
      </c>
      <c r="N484" s="100">
        <f t="shared" si="18"/>
        <v>0</v>
      </c>
      <c r="O484" s="100">
        <f t="shared" si="18"/>
        <v>0</v>
      </c>
      <c r="P484" s="100">
        <f t="shared" si="18"/>
        <v>0</v>
      </c>
      <c r="Q484" s="100">
        <f t="shared" si="18"/>
        <v>0</v>
      </c>
      <c r="R484" s="100">
        <f t="shared" si="18"/>
        <v>0</v>
      </c>
      <c r="S484" s="100">
        <f t="shared" si="18"/>
        <v>0</v>
      </c>
      <c r="T484" s="100">
        <f t="shared" si="18"/>
        <v>0</v>
      </c>
      <c r="U484" s="100">
        <f t="shared" si="18"/>
        <v>0</v>
      </c>
      <c r="V484" s="100">
        <f t="shared" si="18"/>
        <v>0</v>
      </c>
      <c r="W484" s="100">
        <f t="shared" si="18"/>
        <v>0</v>
      </c>
      <c r="X484" s="100">
        <f t="shared" si="18"/>
        <v>0</v>
      </c>
      <c r="Y484" s="100">
        <f t="shared" si="18"/>
        <v>0</v>
      </c>
      <c r="Z484" s="100">
        <f t="shared" si="18"/>
        <v>0</v>
      </c>
      <c r="AA484" s="100">
        <f t="shared" si="18"/>
        <v>0</v>
      </c>
      <c r="AB484" s="100">
        <f t="shared" si="18"/>
        <v>0</v>
      </c>
      <c r="AC484" s="100">
        <f t="shared" si="18"/>
        <v>0</v>
      </c>
      <c r="AD484" s="100">
        <f t="shared" si="18"/>
        <v>0</v>
      </c>
      <c r="AE484" s="100">
        <f t="shared" si="18"/>
        <v>0</v>
      </c>
      <c r="AF484" s="100">
        <f t="shared" si="18"/>
        <v>0</v>
      </c>
      <c r="AG484" s="100">
        <f t="shared" si="18"/>
        <v>0</v>
      </c>
      <c r="AH484" s="100">
        <f t="shared" si="18"/>
        <v>0</v>
      </c>
      <c r="AI484" s="100">
        <f t="shared" si="18"/>
        <v>0</v>
      </c>
      <c r="AJ484" s="100">
        <f t="shared" si="18"/>
        <v>0</v>
      </c>
      <c r="AK484" s="100">
        <f t="shared" si="18"/>
        <v>0</v>
      </c>
      <c r="AL484" s="100">
        <f t="shared" si="18"/>
        <v>0</v>
      </c>
      <c r="AM484" s="100">
        <f t="shared" si="18"/>
        <v>0</v>
      </c>
      <c r="AN484" s="100">
        <f t="shared" si="18"/>
        <v>0</v>
      </c>
      <c r="AO484" s="100">
        <f t="shared" si="18"/>
        <v>0</v>
      </c>
    </row>
    <row r="485" spans="1:41" ht="12.75" customHeight="1" x14ac:dyDescent="0.25">
      <c r="C485" s="778"/>
      <c r="D485" s="775"/>
      <c r="E485" s="98" t="s">
        <v>73</v>
      </c>
      <c r="F485" s="100">
        <f>F422</f>
        <v>0</v>
      </c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</row>
    <row r="486" spans="1:41" ht="12.75" customHeight="1" x14ac:dyDescent="0.25">
      <c r="A486" s="90"/>
      <c r="C486" s="778"/>
      <c r="D486" s="775" t="s">
        <v>133</v>
      </c>
      <c r="E486" s="233" t="s">
        <v>70</v>
      </c>
      <c r="F486" s="234">
        <f>F411+F384-L384</f>
        <v>0</v>
      </c>
      <c r="G486" s="234">
        <f>G384</f>
        <v>0</v>
      </c>
      <c r="H486" s="234">
        <f t="shared" ref="H486:AO486" si="19">H384</f>
        <v>0</v>
      </c>
      <c r="I486" s="234">
        <f t="shared" si="19"/>
        <v>0</v>
      </c>
      <c r="J486" s="234">
        <f t="shared" si="19"/>
        <v>0</v>
      </c>
      <c r="K486" s="234">
        <f t="shared" si="19"/>
        <v>0</v>
      </c>
      <c r="L486" s="234">
        <f t="shared" si="19"/>
        <v>0</v>
      </c>
      <c r="M486" s="234">
        <f t="shared" si="19"/>
        <v>0</v>
      </c>
      <c r="N486" s="234">
        <f t="shared" si="19"/>
        <v>0</v>
      </c>
      <c r="O486" s="234">
        <f t="shared" si="19"/>
        <v>0</v>
      </c>
      <c r="P486" s="234">
        <f t="shared" si="19"/>
        <v>0</v>
      </c>
      <c r="Q486" s="234">
        <f t="shared" si="19"/>
        <v>0</v>
      </c>
      <c r="R486" s="234">
        <f t="shared" si="19"/>
        <v>0</v>
      </c>
      <c r="S486" s="234">
        <f t="shared" si="19"/>
        <v>0</v>
      </c>
      <c r="T486" s="234">
        <f t="shared" si="19"/>
        <v>0</v>
      </c>
      <c r="U486" s="234">
        <f t="shared" si="19"/>
        <v>0</v>
      </c>
      <c r="V486" s="234">
        <f t="shared" si="19"/>
        <v>0</v>
      </c>
      <c r="W486" s="234">
        <f t="shared" si="19"/>
        <v>0</v>
      </c>
      <c r="X486" s="234">
        <f t="shared" si="19"/>
        <v>0</v>
      </c>
      <c r="Y486" s="234">
        <f t="shared" si="19"/>
        <v>0</v>
      </c>
      <c r="Z486" s="234">
        <f t="shared" si="19"/>
        <v>0</v>
      </c>
      <c r="AA486" s="234">
        <f t="shared" si="19"/>
        <v>0</v>
      </c>
      <c r="AB486" s="234">
        <f t="shared" si="19"/>
        <v>0</v>
      </c>
      <c r="AC486" s="234">
        <f t="shared" si="19"/>
        <v>0</v>
      </c>
      <c r="AD486" s="234">
        <f t="shared" si="19"/>
        <v>0</v>
      </c>
      <c r="AE486" s="234">
        <f t="shared" si="19"/>
        <v>0</v>
      </c>
      <c r="AF486" s="234">
        <f t="shared" si="19"/>
        <v>0</v>
      </c>
      <c r="AG486" s="234">
        <f t="shared" si="19"/>
        <v>0</v>
      </c>
      <c r="AH486" s="234">
        <f t="shared" si="19"/>
        <v>0</v>
      </c>
      <c r="AI486" s="234">
        <f t="shared" si="19"/>
        <v>0</v>
      </c>
      <c r="AJ486" s="234">
        <f t="shared" si="19"/>
        <v>0</v>
      </c>
      <c r="AK486" s="234">
        <f t="shared" si="19"/>
        <v>0</v>
      </c>
      <c r="AL486" s="234">
        <f t="shared" si="19"/>
        <v>0</v>
      </c>
      <c r="AM486" s="234">
        <f t="shared" si="19"/>
        <v>0</v>
      </c>
      <c r="AN486" s="234">
        <f t="shared" si="19"/>
        <v>0</v>
      </c>
      <c r="AO486" s="234">
        <f t="shared" si="19"/>
        <v>0</v>
      </c>
    </row>
    <row r="487" spans="1:41" ht="12.75" customHeight="1" x14ac:dyDescent="0.25">
      <c r="C487" s="778"/>
      <c r="D487" s="775"/>
      <c r="E487" s="233" t="s">
        <v>73</v>
      </c>
      <c r="F487" s="234">
        <f>F411</f>
        <v>0</v>
      </c>
      <c r="G487" s="371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</row>
    <row r="488" spans="1:41" ht="12.75" customHeight="1" x14ac:dyDescent="0.25">
      <c r="A488" s="89"/>
      <c r="C488" s="97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</row>
    <row r="489" spans="1:41" ht="12.75" customHeight="1" x14ac:dyDescent="0.25">
      <c r="C489" s="778" t="s">
        <v>160</v>
      </c>
      <c r="D489" s="775" t="s">
        <v>132</v>
      </c>
      <c r="E489" s="223" t="s">
        <v>70</v>
      </c>
      <c r="F489" s="225">
        <v>0</v>
      </c>
      <c r="G489" s="225">
        <v>0</v>
      </c>
      <c r="H489" s="225">
        <v>0</v>
      </c>
      <c r="I489" s="225">
        <v>0</v>
      </c>
      <c r="J489" s="225">
        <v>0</v>
      </c>
      <c r="K489" s="225">
        <v>0</v>
      </c>
      <c r="L489" s="225">
        <v>0</v>
      </c>
      <c r="M489" s="225">
        <v>0</v>
      </c>
      <c r="N489" s="225">
        <v>0</v>
      </c>
      <c r="O489" s="225">
        <v>0</v>
      </c>
      <c r="P489" s="225">
        <v>0</v>
      </c>
      <c r="Q489" s="225">
        <v>0</v>
      </c>
      <c r="R489" s="225">
        <v>0</v>
      </c>
      <c r="S489" s="225">
        <v>0</v>
      </c>
      <c r="T489" s="225">
        <v>0</v>
      </c>
      <c r="U489" s="225"/>
      <c r="V489" s="225"/>
      <c r="W489" s="225"/>
      <c r="X489" s="225">
        <v>0</v>
      </c>
      <c r="Y489" s="225">
        <v>0</v>
      </c>
      <c r="Z489" s="225">
        <v>0</v>
      </c>
      <c r="AA489" s="225">
        <v>0</v>
      </c>
      <c r="AB489" s="225">
        <v>0</v>
      </c>
      <c r="AC489" s="225">
        <v>0</v>
      </c>
      <c r="AD489" s="225">
        <v>0</v>
      </c>
      <c r="AE489" s="225">
        <v>0</v>
      </c>
      <c r="AF489" s="225">
        <v>0</v>
      </c>
      <c r="AG489" s="225">
        <v>0</v>
      </c>
      <c r="AH489" s="225">
        <v>0</v>
      </c>
      <c r="AI489" s="225">
        <v>0</v>
      </c>
      <c r="AJ489" s="225">
        <v>0</v>
      </c>
      <c r="AK489" s="225">
        <v>0</v>
      </c>
      <c r="AL489" s="225">
        <v>0</v>
      </c>
      <c r="AM489" s="225">
        <v>0</v>
      </c>
      <c r="AN489" s="225">
        <v>0</v>
      </c>
      <c r="AO489" s="225">
        <v>0</v>
      </c>
    </row>
    <row r="490" spans="1:41" ht="12.75" customHeight="1" x14ac:dyDescent="0.25">
      <c r="C490" s="778"/>
      <c r="D490" s="775"/>
      <c r="E490" s="223" t="s">
        <v>73</v>
      </c>
      <c r="F490" s="225">
        <v>0</v>
      </c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</row>
    <row r="491" spans="1:41" ht="12.75" customHeight="1" x14ac:dyDescent="0.25">
      <c r="C491" s="778"/>
      <c r="D491" s="775" t="s">
        <v>133</v>
      </c>
      <c r="E491" s="227" t="s">
        <v>70</v>
      </c>
      <c r="F491" s="228">
        <v>0</v>
      </c>
      <c r="G491" s="228">
        <v>0</v>
      </c>
      <c r="H491" s="228">
        <v>0</v>
      </c>
      <c r="I491" s="228">
        <v>0</v>
      </c>
      <c r="J491" s="228">
        <v>0</v>
      </c>
      <c r="K491" s="228">
        <v>0</v>
      </c>
      <c r="L491" s="228">
        <v>0</v>
      </c>
      <c r="M491" s="228">
        <v>0</v>
      </c>
      <c r="N491" s="228">
        <v>0</v>
      </c>
      <c r="O491" s="228">
        <v>0</v>
      </c>
      <c r="P491" s="228">
        <v>0</v>
      </c>
      <c r="Q491" s="228">
        <v>0</v>
      </c>
      <c r="R491" s="228">
        <v>0</v>
      </c>
      <c r="S491" s="228">
        <v>0</v>
      </c>
      <c r="T491" s="228">
        <v>0</v>
      </c>
      <c r="U491" s="228"/>
      <c r="V491" s="228"/>
      <c r="W491" s="228"/>
      <c r="X491" s="228">
        <v>0</v>
      </c>
      <c r="Y491" s="228">
        <v>0</v>
      </c>
      <c r="Z491" s="228">
        <v>0</v>
      </c>
      <c r="AA491" s="228">
        <v>0</v>
      </c>
      <c r="AB491" s="228">
        <v>0</v>
      </c>
      <c r="AC491" s="228">
        <v>0</v>
      </c>
      <c r="AD491" s="228">
        <v>0</v>
      </c>
      <c r="AE491" s="228">
        <v>0</v>
      </c>
      <c r="AF491" s="228">
        <v>0</v>
      </c>
      <c r="AG491" s="228">
        <v>0</v>
      </c>
      <c r="AH491" s="228">
        <v>0</v>
      </c>
      <c r="AI491" s="228">
        <v>0</v>
      </c>
      <c r="AJ491" s="228">
        <v>0</v>
      </c>
      <c r="AK491" s="228">
        <v>0</v>
      </c>
      <c r="AL491" s="228">
        <v>0</v>
      </c>
      <c r="AM491" s="228">
        <v>0</v>
      </c>
      <c r="AN491" s="228">
        <v>0</v>
      </c>
      <c r="AO491" s="228">
        <v>0</v>
      </c>
    </row>
    <row r="492" spans="1:41" ht="12.75" customHeight="1" x14ac:dyDescent="0.25">
      <c r="C492" s="778"/>
      <c r="D492" s="775"/>
      <c r="E492" s="227" t="s">
        <v>73</v>
      </c>
      <c r="F492" s="228">
        <v>0</v>
      </c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</row>
    <row r="493" spans="1:41" ht="12.75" customHeight="1" x14ac:dyDescent="0.25">
      <c r="A493" s="89"/>
      <c r="C493" s="97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</row>
    <row r="494" spans="1:41" ht="12.75" customHeight="1" x14ac:dyDescent="0.25">
      <c r="C494" s="778" t="s">
        <v>155</v>
      </c>
      <c r="D494" s="775" t="s">
        <v>132</v>
      </c>
      <c r="E494" s="221" t="s">
        <v>70</v>
      </c>
      <c r="F494" s="222">
        <f>F414+F388+F360-L360-L388</f>
        <v>0</v>
      </c>
      <c r="G494" s="222">
        <f t="shared" ref="G494:AO494" si="20">G388+G360</f>
        <v>0</v>
      </c>
      <c r="H494" s="222">
        <f t="shared" si="20"/>
        <v>0</v>
      </c>
      <c r="I494" s="222">
        <f t="shared" si="20"/>
        <v>0</v>
      </c>
      <c r="J494" s="222">
        <f t="shared" si="20"/>
        <v>0</v>
      </c>
      <c r="K494" s="222">
        <f t="shared" si="20"/>
        <v>0</v>
      </c>
      <c r="L494" s="222">
        <f t="shared" si="20"/>
        <v>0</v>
      </c>
      <c r="M494" s="222">
        <f t="shared" si="20"/>
        <v>0</v>
      </c>
      <c r="N494" s="222">
        <f t="shared" si="20"/>
        <v>0</v>
      </c>
      <c r="O494" s="222">
        <f t="shared" si="20"/>
        <v>0</v>
      </c>
      <c r="P494" s="222">
        <f t="shared" si="20"/>
        <v>0</v>
      </c>
      <c r="Q494" s="222">
        <f t="shared" si="20"/>
        <v>0</v>
      </c>
      <c r="R494" s="222">
        <f t="shared" si="20"/>
        <v>0</v>
      </c>
      <c r="S494" s="222">
        <f t="shared" si="20"/>
        <v>0</v>
      </c>
      <c r="T494" s="222">
        <f t="shared" si="20"/>
        <v>0</v>
      </c>
      <c r="U494" s="222">
        <f t="shared" si="20"/>
        <v>0</v>
      </c>
      <c r="V494" s="222">
        <f t="shared" si="20"/>
        <v>0</v>
      </c>
      <c r="W494" s="222">
        <f t="shared" si="20"/>
        <v>0</v>
      </c>
      <c r="X494" s="222">
        <f t="shared" si="20"/>
        <v>0</v>
      </c>
      <c r="Y494" s="222">
        <f t="shared" si="20"/>
        <v>0</v>
      </c>
      <c r="Z494" s="222">
        <f t="shared" si="20"/>
        <v>0</v>
      </c>
      <c r="AA494" s="222">
        <f t="shared" si="20"/>
        <v>0</v>
      </c>
      <c r="AB494" s="222">
        <f t="shared" si="20"/>
        <v>0</v>
      </c>
      <c r="AC494" s="222">
        <f t="shared" si="20"/>
        <v>0</v>
      </c>
      <c r="AD494" s="222">
        <f t="shared" si="20"/>
        <v>0</v>
      </c>
      <c r="AE494" s="222">
        <f t="shared" si="20"/>
        <v>0</v>
      </c>
      <c r="AF494" s="222">
        <f t="shared" si="20"/>
        <v>0</v>
      </c>
      <c r="AG494" s="222">
        <f t="shared" si="20"/>
        <v>0</v>
      </c>
      <c r="AH494" s="222">
        <f t="shared" si="20"/>
        <v>0</v>
      </c>
      <c r="AI494" s="222">
        <f t="shared" si="20"/>
        <v>0</v>
      </c>
      <c r="AJ494" s="222">
        <f t="shared" si="20"/>
        <v>0</v>
      </c>
      <c r="AK494" s="222">
        <f t="shared" si="20"/>
        <v>0</v>
      </c>
      <c r="AL494" s="222">
        <f t="shared" si="20"/>
        <v>0</v>
      </c>
      <c r="AM494" s="222">
        <f t="shared" si="20"/>
        <v>0</v>
      </c>
      <c r="AN494" s="222">
        <f t="shared" si="20"/>
        <v>0</v>
      </c>
      <c r="AO494" s="222">
        <f t="shared" si="20"/>
        <v>0</v>
      </c>
    </row>
    <row r="495" spans="1:41" ht="12.75" customHeight="1" x14ac:dyDescent="0.25">
      <c r="C495" s="778"/>
      <c r="D495" s="775"/>
      <c r="E495" s="221" t="s">
        <v>73</v>
      </c>
      <c r="F495" s="222">
        <f>F414</f>
        <v>0</v>
      </c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</row>
    <row r="496" spans="1:41" ht="12.75" customHeight="1" x14ac:dyDescent="0.25">
      <c r="C496" s="778"/>
      <c r="D496" s="775" t="s">
        <v>133</v>
      </c>
      <c r="E496" s="229" t="s">
        <v>70</v>
      </c>
      <c r="F496" s="230">
        <f>F403+F373-L373</f>
        <v>0</v>
      </c>
      <c r="G496" s="230">
        <f>G373</f>
        <v>0</v>
      </c>
      <c r="H496" s="230">
        <f t="shared" ref="H496:AO496" si="21">H373</f>
        <v>0</v>
      </c>
      <c r="I496" s="230">
        <f t="shared" si="21"/>
        <v>0</v>
      </c>
      <c r="J496" s="230">
        <f t="shared" si="21"/>
        <v>0</v>
      </c>
      <c r="K496" s="230">
        <f t="shared" si="21"/>
        <v>0</v>
      </c>
      <c r="L496" s="230">
        <f t="shared" si="21"/>
        <v>0</v>
      </c>
      <c r="M496" s="230">
        <f t="shared" si="21"/>
        <v>0</v>
      </c>
      <c r="N496" s="230">
        <f t="shared" si="21"/>
        <v>0</v>
      </c>
      <c r="O496" s="230">
        <f t="shared" si="21"/>
        <v>0</v>
      </c>
      <c r="P496" s="230">
        <f t="shared" si="21"/>
        <v>0</v>
      </c>
      <c r="Q496" s="230">
        <f t="shared" si="21"/>
        <v>0</v>
      </c>
      <c r="R496" s="230">
        <f t="shared" si="21"/>
        <v>0</v>
      </c>
      <c r="S496" s="230">
        <f t="shared" si="21"/>
        <v>0</v>
      </c>
      <c r="T496" s="230">
        <f t="shared" si="21"/>
        <v>0</v>
      </c>
      <c r="U496" s="230">
        <f t="shared" si="21"/>
        <v>0</v>
      </c>
      <c r="V496" s="230">
        <f t="shared" si="21"/>
        <v>0</v>
      </c>
      <c r="W496" s="230">
        <f t="shared" si="21"/>
        <v>0</v>
      </c>
      <c r="X496" s="230">
        <f t="shared" si="21"/>
        <v>0</v>
      </c>
      <c r="Y496" s="230">
        <f t="shared" si="21"/>
        <v>0</v>
      </c>
      <c r="Z496" s="230">
        <f t="shared" si="21"/>
        <v>0</v>
      </c>
      <c r="AA496" s="230">
        <f t="shared" si="21"/>
        <v>0</v>
      </c>
      <c r="AB496" s="230">
        <f t="shared" si="21"/>
        <v>0</v>
      </c>
      <c r="AC496" s="230">
        <f t="shared" si="21"/>
        <v>0</v>
      </c>
      <c r="AD496" s="230">
        <f t="shared" si="21"/>
        <v>0</v>
      </c>
      <c r="AE496" s="230">
        <f t="shared" si="21"/>
        <v>0</v>
      </c>
      <c r="AF496" s="230">
        <f t="shared" si="21"/>
        <v>0</v>
      </c>
      <c r="AG496" s="230">
        <f t="shared" si="21"/>
        <v>0</v>
      </c>
      <c r="AH496" s="230">
        <f t="shared" si="21"/>
        <v>0</v>
      </c>
      <c r="AI496" s="230">
        <f t="shared" si="21"/>
        <v>0</v>
      </c>
      <c r="AJ496" s="230">
        <f t="shared" si="21"/>
        <v>0</v>
      </c>
      <c r="AK496" s="230">
        <f t="shared" si="21"/>
        <v>0</v>
      </c>
      <c r="AL496" s="230">
        <f t="shared" si="21"/>
        <v>0</v>
      </c>
      <c r="AM496" s="230">
        <f t="shared" si="21"/>
        <v>0</v>
      </c>
      <c r="AN496" s="230">
        <f t="shared" si="21"/>
        <v>0</v>
      </c>
      <c r="AO496" s="230">
        <f t="shared" si="21"/>
        <v>0</v>
      </c>
    </row>
    <row r="497" spans="1:41" ht="12.75" customHeight="1" x14ac:dyDescent="0.25">
      <c r="C497" s="778"/>
      <c r="D497" s="775"/>
      <c r="E497" s="229" t="s">
        <v>73</v>
      </c>
      <c r="F497" s="230">
        <f>F403</f>
        <v>0</v>
      </c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</row>
    <row r="498" spans="1:41" ht="12.75" customHeight="1" x14ac:dyDescent="0.25">
      <c r="A498" s="89"/>
      <c r="C498" s="97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</row>
    <row r="499" spans="1:41" ht="12.75" customHeight="1" x14ac:dyDescent="0.25">
      <c r="C499" s="776" t="s">
        <v>326</v>
      </c>
      <c r="D499" s="775" t="s">
        <v>132</v>
      </c>
      <c r="E499" s="373" t="s">
        <v>70</v>
      </c>
      <c r="F499" s="374">
        <v>0</v>
      </c>
      <c r="G499" s="374">
        <v>0</v>
      </c>
      <c r="H499" s="374">
        <v>0</v>
      </c>
      <c r="I499" s="374">
        <v>0</v>
      </c>
      <c r="J499" s="374">
        <v>0</v>
      </c>
      <c r="K499" s="374">
        <v>0</v>
      </c>
      <c r="L499" s="374">
        <v>0</v>
      </c>
      <c r="M499" s="374">
        <v>0</v>
      </c>
      <c r="N499" s="374">
        <v>0</v>
      </c>
      <c r="O499" s="374">
        <v>0</v>
      </c>
      <c r="P499" s="374">
        <v>0</v>
      </c>
      <c r="Q499" s="374">
        <v>0</v>
      </c>
      <c r="R499" s="374">
        <v>0</v>
      </c>
      <c r="S499" s="374">
        <v>0</v>
      </c>
      <c r="T499" s="374">
        <v>0</v>
      </c>
      <c r="U499" s="374">
        <v>0</v>
      </c>
      <c r="V499" s="374">
        <v>0</v>
      </c>
      <c r="W499" s="374">
        <v>0</v>
      </c>
      <c r="X499" s="374">
        <v>0</v>
      </c>
      <c r="Y499" s="374">
        <v>0</v>
      </c>
      <c r="Z499" s="374">
        <v>0</v>
      </c>
      <c r="AA499" s="374">
        <v>0</v>
      </c>
      <c r="AB499" s="374">
        <v>0</v>
      </c>
      <c r="AC499" s="374">
        <v>0</v>
      </c>
      <c r="AD499" s="374">
        <v>0</v>
      </c>
      <c r="AE499" s="374">
        <v>0</v>
      </c>
      <c r="AF499" s="374">
        <v>0</v>
      </c>
      <c r="AG499" s="374">
        <v>0</v>
      </c>
      <c r="AH499" s="374">
        <v>0</v>
      </c>
      <c r="AI499" s="374">
        <v>0</v>
      </c>
      <c r="AJ499" s="374">
        <v>0</v>
      </c>
      <c r="AK499" s="374">
        <v>0</v>
      </c>
      <c r="AL499" s="374">
        <v>0</v>
      </c>
      <c r="AM499" s="374">
        <v>0</v>
      </c>
      <c r="AN499" s="374">
        <v>0</v>
      </c>
      <c r="AO499" s="374">
        <v>0</v>
      </c>
    </row>
    <row r="500" spans="1:41" ht="12.75" customHeight="1" x14ac:dyDescent="0.25">
      <c r="C500" s="776"/>
      <c r="D500" s="775"/>
      <c r="E500" s="373" t="s">
        <v>73</v>
      </c>
      <c r="F500" s="374">
        <v>0</v>
      </c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</row>
    <row r="501" spans="1:41" ht="12.75" customHeight="1" x14ac:dyDescent="0.25">
      <c r="C501" s="776"/>
      <c r="D501" s="775" t="s">
        <v>133</v>
      </c>
      <c r="E501" s="242" t="s">
        <v>70</v>
      </c>
      <c r="F501" s="243">
        <v>0</v>
      </c>
      <c r="G501" s="243">
        <v>0</v>
      </c>
      <c r="H501" s="243">
        <v>0</v>
      </c>
      <c r="I501" s="243">
        <v>0</v>
      </c>
      <c r="J501" s="243">
        <v>0</v>
      </c>
      <c r="K501" s="243">
        <v>0</v>
      </c>
      <c r="L501" s="243">
        <v>0</v>
      </c>
      <c r="M501" s="243">
        <v>0</v>
      </c>
      <c r="N501" s="243">
        <v>0</v>
      </c>
      <c r="O501" s="243">
        <v>0</v>
      </c>
      <c r="P501" s="243">
        <v>0</v>
      </c>
      <c r="Q501" s="243">
        <v>0</v>
      </c>
      <c r="R501" s="243">
        <v>0</v>
      </c>
      <c r="S501" s="243">
        <v>0</v>
      </c>
      <c r="T501" s="243">
        <v>0</v>
      </c>
      <c r="U501" s="243">
        <v>0</v>
      </c>
      <c r="V501" s="243">
        <v>0</v>
      </c>
      <c r="W501" s="243">
        <v>0</v>
      </c>
      <c r="X501" s="243">
        <v>0</v>
      </c>
      <c r="Y501" s="243">
        <v>0</v>
      </c>
      <c r="Z501" s="243">
        <v>0</v>
      </c>
      <c r="AA501" s="243">
        <v>0</v>
      </c>
      <c r="AB501" s="243">
        <v>0</v>
      </c>
      <c r="AC501" s="243">
        <v>0</v>
      </c>
      <c r="AD501" s="243">
        <v>0</v>
      </c>
      <c r="AE501" s="243">
        <v>0</v>
      </c>
      <c r="AF501" s="243">
        <v>0</v>
      </c>
      <c r="AG501" s="243">
        <v>0</v>
      </c>
      <c r="AH501" s="243">
        <v>0</v>
      </c>
      <c r="AI501" s="243">
        <v>0</v>
      </c>
      <c r="AJ501" s="243">
        <v>0</v>
      </c>
      <c r="AK501" s="243">
        <v>0</v>
      </c>
      <c r="AL501" s="243">
        <v>0</v>
      </c>
      <c r="AM501" s="243">
        <v>0</v>
      </c>
      <c r="AN501" s="243">
        <v>0</v>
      </c>
      <c r="AO501" s="243">
        <v>0</v>
      </c>
    </row>
    <row r="502" spans="1:41" ht="12.75" customHeight="1" x14ac:dyDescent="0.25">
      <c r="C502" s="776"/>
      <c r="D502" s="775"/>
      <c r="E502" s="242" t="s">
        <v>73</v>
      </c>
      <c r="F502" s="243">
        <v>0</v>
      </c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</row>
    <row r="503" spans="1:41" ht="12.75" customHeight="1" x14ac:dyDescent="0.25">
      <c r="A503" s="89"/>
      <c r="C503" s="97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</row>
    <row r="504" spans="1:41" ht="12.75" customHeight="1" x14ac:dyDescent="0.25">
      <c r="C504" s="778" t="s">
        <v>119</v>
      </c>
      <c r="D504" s="775" t="s">
        <v>132</v>
      </c>
      <c r="E504" s="101" t="s">
        <v>70</v>
      </c>
      <c r="F504" s="93">
        <f>F421+F398+F367-L367-L398</f>
        <v>0</v>
      </c>
      <c r="G504" s="93">
        <f t="shared" ref="G504:AO504" si="22">G398+G367</f>
        <v>0</v>
      </c>
      <c r="H504" s="93">
        <f t="shared" si="22"/>
        <v>0</v>
      </c>
      <c r="I504" s="93">
        <f t="shared" si="22"/>
        <v>0</v>
      </c>
      <c r="J504" s="93">
        <f t="shared" si="22"/>
        <v>0</v>
      </c>
      <c r="K504" s="93">
        <f t="shared" si="22"/>
        <v>0</v>
      </c>
      <c r="L504" s="93">
        <f t="shared" si="22"/>
        <v>0</v>
      </c>
      <c r="M504" s="93">
        <f t="shared" si="22"/>
        <v>0</v>
      </c>
      <c r="N504" s="93">
        <f t="shared" si="22"/>
        <v>0</v>
      </c>
      <c r="O504" s="93">
        <f t="shared" si="22"/>
        <v>0</v>
      </c>
      <c r="P504" s="93">
        <f t="shared" si="22"/>
        <v>0</v>
      </c>
      <c r="Q504" s="93">
        <f t="shared" si="22"/>
        <v>0</v>
      </c>
      <c r="R504" s="93">
        <f t="shared" si="22"/>
        <v>0</v>
      </c>
      <c r="S504" s="93">
        <f t="shared" si="22"/>
        <v>0</v>
      </c>
      <c r="T504" s="93">
        <f t="shared" si="22"/>
        <v>0</v>
      </c>
      <c r="U504" s="93">
        <f t="shared" si="22"/>
        <v>0</v>
      </c>
      <c r="V504" s="93">
        <f t="shared" si="22"/>
        <v>0</v>
      </c>
      <c r="W504" s="93">
        <f t="shared" si="22"/>
        <v>0</v>
      </c>
      <c r="X504" s="93">
        <f t="shared" si="22"/>
        <v>0</v>
      </c>
      <c r="Y504" s="93">
        <f t="shared" si="22"/>
        <v>0</v>
      </c>
      <c r="Z504" s="93">
        <f t="shared" si="22"/>
        <v>0</v>
      </c>
      <c r="AA504" s="93">
        <f t="shared" si="22"/>
        <v>0</v>
      </c>
      <c r="AB504" s="93">
        <f t="shared" si="22"/>
        <v>0</v>
      </c>
      <c r="AC504" s="93">
        <f t="shared" si="22"/>
        <v>0</v>
      </c>
      <c r="AD504" s="93">
        <f t="shared" si="22"/>
        <v>0</v>
      </c>
      <c r="AE504" s="93">
        <f t="shared" si="22"/>
        <v>0</v>
      </c>
      <c r="AF504" s="93">
        <f t="shared" si="22"/>
        <v>0</v>
      </c>
      <c r="AG504" s="93">
        <f t="shared" si="22"/>
        <v>0</v>
      </c>
      <c r="AH504" s="93">
        <f t="shared" si="22"/>
        <v>0</v>
      </c>
      <c r="AI504" s="93">
        <f t="shared" si="22"/>
        <v>0</v>
      </c>
      <c r="AJ504" s="93">
        <f t="shared" si="22"/>
        <v>0</v>
      </c>
      <c r="AK504" s="93">
        <f t="shared" si="22"/>
        <v>0</v>
      </c>
      <c r="AL504" s="93">
        <f t="shared" si="22"/>
        <v>0</v>
      </c>
      <c r="AM504" s="93">
        <f t="shared" si="22"/>
        <v>0</v>
      </c>
      <c r="AN504" s="93">
        <f t="shared" si="22"/>
        <v>0</v>
      </c>
      <c r="AO504" s="93">
        <f t="shared" si="22"/>
        <v>0</v>
      </c>
    </row>
    <row r="505" spans="1:41" ht="12.75" customHeight="1" x14ac:dyDescent="0.25">
      <c r="C505" s="778"/>
      <c r="D505" s="775"/>
      <c r="E505" s="101" t="s">
        <v>73</v>
      </c>
      <c r="F505" s="93">
        <f>F421</f>
        <v>0</v>
      </c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</row>
    <row r="506" spans="1:41" ht="12.75" customHeight="1" x14ac:dyDescent="0.25">
      <c r="C506" s="778"/>
      <c r="D506" s="775" t="s">
        <v>133</v>
      </c>
      <c r="E506" s="235" t="s">
        <v>70</v>
      </c>
      <c r="F506" s="236">
        <f>F410+F383-L383</f>
        <v>0</v>
      </c>
      <c r="G506" s="236">
        <f>G383</f>
        <v>0</v>
      </c>
      <c r="H506" s="236">
        <f t="shared" ref="H506:AO506" si="23">H383</f>
        <v>0</v>
      </c>
      <c r="I506" s="236">
        <f t="shared" si="23"/>
        <v>0</v>
      </c>
      <c r="J506" s="236">
        <f t="shared" si="23"/>
        <v>0</v>
      </c>
      <c r="K506" s="236">
        <f t="shared" si="23"/>
        <v>0</v>
      </c>
      <c r="L506" s="236">
        <f t="shared" si="23"/>
        <v>0</v>
      </c>
      <c r="M506" s="236">
        <f t="shared" si="23"/>
        <v>0</v>
      </c>
      <c r="N506" s="236">
        <f t="shared" si="23"/>
        <v>0</v>
      </c>
      <c r="O506" s="236">
        <f t="shared" si="23"/>
        <v>0</v>
      </c>
      <c r="P506" s="236">
        <f t="shared" si="23"/>
        <v>0</v>
      </c>
      <c r="Q506" s="236">
        <f t="shared" si="23"/>
        <v>0</v>
      </c>
      <c r="R506" s="236">
        <f t="shared" si="23"/>
        <v>0</v>
      </c>
      <c r="S506" s="236">
        <f t="shared" si="23"/>
        <v>0</v>
      </c>
      <c r="T506" s="236">
        <f t="shared" si="23"/>
        <v>0</v>
      </c>
      <c r="U506" s="236">
        <f t="shared" si="23"/>
        <v>0</v>
      </c>
      <c r="V506" s="236">
        <f t="shared" si="23"/>
        <v>0</v>
      </c>
      <c r="W506" s="236">
        <f t="shared" si="23"/>
        <v>0</v>
      </c>
      <c r="X506" s="236">
        <f t="shared" si="23"/>
        <v>0</v>
      </c>
      <c r="Y506" s="236">
        <f t="shared" si="23"/>
        <v>0</v>
      </c>
      <c r="Z506" s="236">
        <f t="shared" si="23"/>
        <v>0</v>
      </c>
      <c r="AA506" s="236">
        <f t="shared" si="23"/>
        <v>0</v>
      </c>
      <c r="AB506" s="236">
        <f t="shared" si="23"/>
        <v>0</v>
      </c>
      <c r="AC506" s="236">
        <f t="shared" si="23"/>
        <v>0</v>
      </c>
      <c r="AD506" s="236">
        <f t="shared" si="23"/>
        <v>0</v>
      </c>
      <c r="AE506" s="236">
        <f t="shared" si="23"/>
        <v>0</v>
      </c>
      <c r="AF506" s="236">
        <f t="shared" si="23"/>
        <v>0</v>
      </c>
      <c r="AG506" s="236">
        <f t="shared" si="23"/>
        <v>0</v>
      </c>
      <c r="AH506" s="236">
        <f t="shared" si="23"/>
        <v>0</v>
      </c>
      <c r="AI506" s="236">
        <f t="shared" si="23"/>
        <v>0</v>
      </c>
      <c r="AJ506" s="236">
        <f t="shared" si="23"/>
        <v>0</v>
      </c>
      <c r="AK506" s="236">
        <f t="shared" si="23"/>
        <v>0</v>
      </c>
      <c r="AL506" s="236">
        <f t="shared" si="23"/>
        <v>0</v>
      </c>
      <c r="AM506" s="236">
        <f t="shared" si="23"/>
        <v>0</v>
      </c>
      <c r="AN506" s="236">
        <f t="shared" si="23"/>
        <v>0</v>
      </c>
      <c r="AO506" s="236">
        <f t="shared" si="23"/>
        <v>0</v>
      </c>
    </row>
    <row r="507" spans="1:41" ht="12.75" customHeight="1" x14ac:dyDescent="0.25">
      <c r="C507" s="778"/>
      <c r="D507" s="775"/>
      <c r="E507" s="235" t="s">
        <v>73</v>
      </c>
      <c r="F507" s="236">
        <f>F410</f>
        <v>0</v>
      </c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</row>
    <row r="508" spans="1:41" ht="12.75" customHeight="1" x14ac:dyDescent="0.25">
      <c r="A508" s="89"/>
      <c r="C508" s="97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</row>
    <row r="509" spans="1:41" ht="12.75" customHeight="1" x14ac:dyDescent="0.25">
      <c r="C509" s="777" t="s">
        <v>161</v>
      </c>
      <c r="D509" s="775" t="s">
        <v>132</v>
      </c>
      <c r="E509" s="231" t="s">
        <v>70</v>
      </c>
      <c r="F509" s="232">
        <v>0</v>
      </c>
      <c r="G509" s="232">
        <v>0</v>
      </c>
      <c r="H509" s="232">
        <v>0</v>
      </c>
      <c r="I509" s="232">
        <v>0</v>
      </c>
      <c r="J509" s="232">
        <v>0</v>
      </c>
      <c r="K509" s="232">
        <v>0</v>
      </c>
      <c r="L509" s="232">
        <v>0</v>
      </c>
      <c r="M509" s="232">
        <v>0</v>
      </c>
      <c r="N509" s="232">
        <v>0</v>
      </c>
      <c r="O509" s="232">
        <v>0</v>
      </c>
      <c r="P509" s="232">
        <v>0</v>
      </c>
      <c r="Q509" s="232">
        <v>0</v>
      </c>
      <c r="R509" s="232">
        <v>0</v>
      </c>
      <c r="S509" s="232">
        <v>0</v>
      </c>
      <c r="T509" s="232">
        <v>0</v>
      </c>
      <c r="U509" s="232"/>
      <c r="V509" s="232"/>
      <c r="W509" s="232"/>
      <c r="X509" s="232">
        <v>0</v>
      </c>
      <c r="Y509" s="232">
        <v>0</v>
      </c>
      <c r="Z509" s="232">
        <v>0</v>
      </c>
      <c r="AA509" s="232">
        <v>0</v>
      </c>
      <c r="AB509" s="232">
        <v>0</v>
      </c>
      <c r="AC509" s="232">
        <v>0</v>
      </c>
      <c r="AD509" s="232">
        <v>0</v>
      </c>
      <c r="AE509" s="232">
        <v>0</v>
      </c>
      <c r="AF509" s="232">
        <v>0</v>
      </c>
      <c r="AG509" s="232">
        <v>0</v>
      </c>
      <c r="AH509" s="232">
        <v>0</v>
      </c>
      <c r="AI509" s="232">
        <v>0</v>
      </c>
      <c r="AJ509" s="232">
        <v>0</v>
      </c>
      <c r="AK509" s="232">
        <v>0</v>
      </c>
      <c r="AL509" s="232">
        <v>0</v>
      </c>
      <c r="AM509" s="232">
        <v>0</v>
      </c>
      <c r="AN509" s="232">
        <v>0</v>
      </c>
      <c r="AO509" s="232">
        <v>0</v>
      </c>
    </row>
    <row r="510" spans="1:41" ht="12.75" customHeight="1" x14ac:dyDescent="0.25">
      <c r="C510" s="777"/>
      <c r="D510" s="775"/>
      <c r="E510" s="231" t="s">
        <v>73</v>
      </c>
      <c r="F510" s="232">
        <v>0</v>
      </c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</row>
    <row r="511" spans="1:41" ht="12.75" customHeight="1" x14ac:dyDescent="0.25">
      <c r="C511" s="777"/>
      <c r="D511" s="775" t="s">
        <v>133</v>
      </c>
      <c r="E511" s="148" t="s">
        <v>70</v>
      </c>
      <c r="F511" s="149">
        <v>0</v>
      </c>
      <c r="G511" s="149">
        <v>0</v>
      </c>
      <c r="H511" s="149">
        <v>0</v>
      </c>
      <c r="I511" s="149">
        <v>0</v>
      </c>
      <c r="J511" s="149">
        <v>0</v>
      </c>
      <c r="K511" s="149">
        <v>0</v>
      </c>
      <c r="L511" s="149">
        <v>0</v>
      </c>
      <c r="M511" s="149">
        <v>0</v>
      </c>
      <c r="N511" s="149">
        <v>0</v>
      </c>
      <c r="O511" s="149">
        <v>0</v>
      </c>
      <c r="P511" s="149">
        <v>0</v>
      </c>
      <c r="Q511" s="149">
        <v>0</v>
      </c>
      <c r="R511" s="149">
        <v>0</v>
      </c>
      <c r="S511" s="149">
        <v>0</v>
      </c>
      <c r="T511" s="149">
        <v>0</v>
      </c>
      <c r="U511" s="149"/>
      <c r="V511" s="149"/>
      <c r="W511" s="149"/>
      <c r="X511" s="149">
        <v>0</v>
      </c>
      <c r="Y511" s="149">
        <v>0</v>
      </c>
      <c r="Z511" s="149">
        <v>0</v>
      </c>
      <c r="AA511" s="149">
        <v>0</v>
      </c>
      <c r="AB511" s="149">
        <v>0</v>
      </c>
      <c r="AC511" s="149">
        <v>0</v>
      </c>
      <c r="AD511" s="149">
        <v>0</v>
      </c>
      <c r="AE511" s="149">
        <v>0</v>
      </c>
      <c r="AF511" s="149">
        <v>0</v>
      </c>
      <c r="AG511" s="149">
        <v>0</v>
      </c>
      <c r="AH511" s="149">
        <v>0</v>
      </c>
      <c r="AI511" s="149">
        <v>0</v>
      </c>
      <c r="AJ511" s="149">
        <v>0</v>
      </c>
      <c r="AK511" s="149">
        <v>0</v>
      </c>
      <c r="AL511" s="149">
        <v>0</v>
      </c>
      <c r="AM511" s="149">
        <v>0</v>
      </c>
      <c r="AN511" s="149">
        <v>0</v>
      </c>
      <c r="AO511" s="149">
        <v>0</v>
      </c>
    </row>
    <row r="512" spans="1:41" ht="12.75" customHeight="1" x14ac:dyDescent="0.25">
      <c r="C512" s="777"/>
      <c r="D512" s="775"/>
      <c r="E512" s="148" t="s">
        <v>73</v>
      </c>
      <c r="F512" s="149">
        <v>0</v>
      </c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</row>
    <row r="513" spans="1:26" ht="12.75" customHeight="1" x14ac:dyDescent="0.25">
      <c r="C513" s="388"/>
      <c r="D513" s="220"/>
      <c r="E513" s="89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</row>
    <row r="514" spans="1:26" ht="12.75" customHeight="1" x14ac:dyDescent="0.25">
      <c r="D514" s="458" t="s">
        <v>186</v>
      </c>
      <c r="E514" s="459" t="s">
        <v>70</v>
      </c>
      <c r="F514" s="460">
        <f>F368</f>
        <v>0</v>
      </c>
      <c r="G514" s="460">
        <f t="shared" ref="G514:Z514" si="24">G368</f>
        <v>0</v>
      </c>
      <c r="H514" s="460">
        <f t="shared" si="24"/>
        <v>0</v>
      </c>
      <c r="I514" s="460">
        <f t="shared" si="24"/>
        <v>0</v>
      </c>
      <c r="J514" s="460">
        <f t="shared" si="24"/>
        <v>0</v>
      </c>
      <c r="K514" s="460">
        <f t="shared" si="24"/>
        <v>0</v>
      </c>
      <c r="L514" s="460">
        <f t="shared" si="24"/>
        <v>0</v>
      </c>
      <c r="M514" s="460">
        <f t="shared" si="24"/>
        <v>0</v>
      </c>
      <c r="N514" s="460">
        <f t="shared" si="24"/>
        <v>0</v>
      </c>
      <c r="O514" s="460">
        <f t="shared" si="24"/>
        <v>0</v>
      </c>
      <c r="P514" s="460">
        <f t="shared" si="24"/>
        <v>0</v>
      </c>
      <c r="Q514" s="460">
        <f t="shared" si="24"/>
        <v>0</v>
      </c>
      <c r="R514" s="460">
        <f t="shared" si="24"/>
        <v>0</v>
      </c>
      <c r="S514" s="460">
        <f t="shared" si="24"/>
        <v>0</v>
      </c>
      <c r="T514" s="460">
        <f t="shared" si="24"/>
        <v>0</v>
      </c>
      <c r="U514" s="460">
        <f t="shared" si="24"/>
        <v>0</v>
      </c>
      <c r="V514" s="460">
        <f t="shared" si="24"/>
        <v>0</v>
      </c>
      <c r="W514" s="460">
        <f t="shared" si="24"/>
        <v>0</v>
      </c>
      <c r="X514" s="460">
        <f t="shared" si="24"/>
        <v>0</v>
      </c>
      <c r="Y514" s="460">
        <f t="shared" si="24"/>
        <v>0</v>
      </c>
      <c r="Z514" s="460">
        <f t="shared" si="24"/>
        <v>0</v>
      </c>
    </row>
    <row r="515" spans="1:26" ht="12.75" customHeight="1" x14ac:dyDescent="0.25">
      <c r="C515" s="388"/>
      <c r="D515" s="220"/>
      <c r="E515" s="89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</row>
    <row r="516" spans="1:26" s="238" customFormat="1" ht="12.75" customHeight="1" x14ac:dyDescent="0.25">
      <c r="D516" s="239"/>
      <c r="E516" s="240"/>
      <c r="F516" s="240"/>
      <c r="G516" s="240"/>
      <c r="H516" s="240"/>
      <c r="I516" s="240"/>
      <c r="J516" s="240"/>
      <c r="K516" s="240"/>
      <c r="L516" s="240"/>
      <c r="M516" s="240"/>
      <c r="N516" s="240"/>
      <c r="O516" s="240"/>
      <c r="P516" s="240"/>
      <c r="Q516" s="240"/>
    </row>
    <row r="517" spans="1:26" ht="12.75" customHeight="1" x14ac:dyDescent="0.25">
      <c r="A517" s="89"/>
      <c r="B517" s="97" t="s">
        <v>88</v>
      </c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</row>
    <row r="518" spans="1:26" ht="12.75" customHeight="1" x14ac:dyDescent="0.25">
      <c r="A518" s="142"/>
      <c r="F518" s="89" t="s">
        <v>70</v>
      </c>
      <c r="G518" s="89" t="s">
        <v>64</v>
      </c>
      <c r="H518" s="89" t="s">
        <v>65</v>
      </c>
      <c r="I518" s="218" t="s">
        <v>164</v>
      </c>
      <c r="J518" s="89" t="s">
        <v>69</v>
      </c>
      <c r="K518" s="89" t="s">
        <v>68</v>
      </c>
      <c r="L518" s="89" t="s">
        <v>71</v>
      </c>
      <c r="M518" s="89" t="s">
        <v>66</v>
      </c>
      <c r="N518" s="89" t="s">
        <v>63</v>
      </c>
      <c r="O518" s="89" t="s">
        <v>61</v>
      </c>
      <c r="P518" s="89" t="s">
        <v>62</v>
      </c>
      <c r="Q518" s="89" t="s">
        <v>67</v>
      </c>
      <c r="R518" s="89" t="s">
        <v>77</v>
      </c>
      <c r="S518" s="89" t="s">
        <v>80</v>
      </c>
      <c r="T518" t="s">
        <v>135</v>
      </c>
      <c r="U518" t="s">
        <v>173</v>
      </c>
      <c r="V518" t="s">
        <v>222</v>
      </c>
      <c r="W518" t="s">
        <v>173</v>
      </c>
      <c r="X518" t="s">
        <v>173</v>
      </c>
      <c r="Y518" s="89" t="s">
        <v>135</v>
      </c>
      <c r="Z518" t="s">
        <v>167</v>
      </c>
    </row>
    <row r="519" spans="1:26" ht="12.75" customHeight="1" x14ac:dyDescent="0.25">
      <c r="E519" t="s">
        <v>72</v>
      </c>
      <c r="F519" s="384">
        <v>0</v>
      </c>
      <c r="G519" s="89">
        <v>0</v>
      </c>
      <c r="H519" s="89">
        <v>0</v>
      </c>
      <c r="I519" s="664">
        <v>0</v>
      </c>
      <c r="J519" s="89">
        <v>0</v>
      </c>
      <c r="K519" s="89">
        <v>0</v>
      </c>
      <c r="L519" s="89">
        <v>0</v>
      </c>
      <c r="M519" s="89">
        <v>0</v>
      </c>
      <c r="N519" s="89">
        <v>0</v>
      </c>
      <c r="O519" s="89">
        <v>0</v>
      </c>
      <c r="P519" s="89">
        <v>0</v>
      </c>
      <c r="Q519" s="89">
        <v>0</v>
      </c>
      <c r="R519" s="89">
        <v>0</v>
      </c>
      <c r="S519" s="89">
        <v>0</v>
      </c>
      <c r="T519" s="89">
        <v>0</v>
      </c>
      <c r="U519" s="89">
        <v>0</v>
      </c>
      <c r="V519" s="89">
        <v>0</v>
      </c>
      <c r="W519" s="89">
        <v>0</v>
      </c>
      <c r="X519">
        <v>0</v>
      </c>
      <c r="Y519" s="89">
        <v>0</v>
      </c>
      <c r="Z519" s="89">
        <v>0</v>
      </c>
    </row>
    <row r="520" spans="1:26" ht="12.75" customHeight="1" x14ac:dyDescent="0.25">
      <c r="D520" t="s">
        <v>156</v>
      </c>
      <c r="E520" t="s">
        <v>70</v>
      </c>
      <c r="F520" s="384">
        <v>0</v>
      </c>
      <c r="G520" s="89">
        <v>0</v>
      </c>
      <c r="H520" s="89">
        <v>0</v>
      </c>
      <c r="I520" s="664">
        <v>0</v>
      </c>
      <c r="J520" s="89">
        <v>0</v>
      </c>
      <c r="K520" s="89">
        <v>0</v>
      </c>
      <c r="L520" s="89">
        <v>0</v>
      </c>
      <c r="M520" s="89">
        <v>0</v>
      </c>
      <c r="N520" s="89">
        <v>0</v>
      </c>
      <c r="O520" s="89">
        <v>0</v>
      </c>
      <c r="P520" s="89">
        <v>0</v>
      </c>
      <c r="Q520" s="89">
        <v>0</v>
      </c>
      <c r="R520" s="89">
        <v>0</v>
      </c>
      <c r="S520" s="89">
        <v>0</v>
      </c>
      <c r="T520" s="89">
        <v>0</v>
      </c>
      <c r="U520" s="89">
        <v>0</v>
      </c>
      <c r="V520" s="89">
        <v>0</v>
      </c>
      <c r="W520" s="89">
        <v>0</v>
      </c>
      <c r="X520">
        <v>0</v>
      </c>
      <c r="Y520" s="89">
        <v>0</v>
      </c>
      <c r="Z520" s="89">
        <v>0</v>
      </c>
    </row>
    <row r="521" spans="1:26" s="656" customFormat="1" ht="12.75" customHeight="1" x14ac:dyDescent="0.25">
      <c r="C521" s="656" t="s">
        <v>155</v>
      </c>
      <c r="D521" s="656" t="s">
        <v>70</v>
      </c>
      <c r="F521" s="736">
        <v>0</v>
      </c>
      <c r="G521" s="657">
        <v>0</v>
      </c>
      <c r="H521" s="657">
        <v>0</v>
      </c>
      <c r="I521" s="737">
        <v>0</v>
      </c>
      <c r="J521" s="657">
        <v>0</v>
      </c>
      <c r="K521" s="657">
        <v>0</v>
      </c>
      <c r="L521" s="657">
        <v>0</v>
      </c>
      <c r="M521" s="657">
        <v>0</v>
      </c>
      <c r="N521" s="657">
        <v>0</v>
      </c>
      <c r="O521" s="657">
        <v>0</v>
      </c>
      <c r="P521" s="657">
        <v>0</v>
      </c>
      <c r="Q521" s="657">
        <v>0</v>
      </c>
      <c r="R521" s="657">
        <v>0</v>
      </c>
      <c r="S521" s="657">
        <v>0</v>
      </c>
      <c r="T521" s="657">
        <v>0</v>
      </c>
      <c r="U521" s="657">
        <v>0</v>
      </c>
      <c r="V521" s="657">
        <v>0</v>
      </c>
      <c r="W521" s="657">
        <v>0</v>
      </c>
      <c r="X521" s="656">
        <v>0</v>
      </c>
      <c r="Y521" s="657">
        <v>0</v>
      </c>
      <c r="Z521" s="657">
        <v>0</v>
      </c>
    </row>
    <row r="522" spans="1:26" x14ac:dyDescent="0.25">
      <c r="E522" t="s">
        <v>72</v>
      </c>
      <c r="F522" s="371">
        <v>0</v>
      </c>
      <c r="G522" s="90">
        <v>0</v>
      </c>
      <c r="H522" s="90">
        <v>0</v>
      </c>
      <c r="I522" s="90">
        <v>0</v>
      </c>
      <c r="J522" s="90">
        <v>0</v>
      </c>
      <c r="K522" s="90">
        <v>0</v>
      </c>
      <c r="L522" s="90">
        <v>0</v>
      </c>
      <c r="M522" s="90">
        <v>0</v>
      </c>
      <c r="N522" s="90">
        <v>0</v>
      </c>
      <c r="O522" s="90">
        <v>0</v>
      </c>
      <c r="P522" s="90">
        <v>0</v>
      </c>
      <c r="Q522" s="90">
        <v>0</v>
      </c>
      <c r="R522" s="90">
        <v>0</v>
      </c>
      <c r="S522" s="90">
        <v>0</v>
      </c>
      <c r="T522" s="90">
        <v>0</v>
      </c>
      <c r="U522" s="90">
        <v>0</v>
      </c>
      <c r="V522" s="90">
        <v>0</v>
      </c>
      <c r="W522" s="90">
        <v>0</v>
      </c>
      <c r="X522">
        <v>0</v>
      </c>
      <c r="Y522">
        <v>0</v>
      </c>
      <c r="Z522">
        <v>0</v>
      </c>
    </row>
    <row r="523" spans="1:26" x14ac:dyDescent="0.25">
      <c r="D523" t="s">
        <v>115</v>
      </c>
      <c r="E523" t="s">
        <v>70</v>
      </c>
      <c r="F523" s="371">
        <v>0</v>
      </c>
      <c r="G523" s="90">
        <v>0</v>
      </c>
      <c r="H523" s="90">
        <v>0</v>
      </c>
      <c r="I523" s="90">
        <v>0</v>
      </c>
      <c r="J523" s="90">
        <v>0</v>
      </c>
      <c r="K523" s="90">
        <v>0</v>
      </c>
      <c r="L523" s="90">
        <v>0</v>
      </c>
      <c r="M523" s="90">
        <v>0</v>
      </c>
      <c r="N523" s="90">
        <v>0</v>
      </c>
      <c r="O523" s="90">
        <v>0</v>
      </c>
      <c r="P523" s="90">
        <v>0</v>
      </c>
      <c r="Q523" s="90">
        <v>0</v>
      </c>
      <c r="R523" s="90">
        <v>0</v>
      </c>
      <c r="S523" s="90">
        <v>0</v>
      </c>
      <c r="T523" s="90">
        <v>0</v>
      </c>
      <c r="U523" s="90">
        <v>0</v>
      </c>
      <c r="V523" s="90">
        <v>0</v>
      </c>
      <c r="W523" s="90">
        <v>0</v>
      </c>
      <c r="X523">
        <v>0</v>
      </c>
      <c r="Y523">
        <v>0</v>
      </c>
      <c r="Z523">
        <v>0</v>
      </c>
    </row>
    <row r="524" spans="1:26" x14ac:dyDescent="0.25">
      <c r="E524" t="s">
        <v>72</v>
      </c>
      <c r="F524" s="371">
        <v>0</v>
      </c>
      <c r="G524" s="90">
        <v>0</v>
      </c>
      <c r="H524" s="90">
        <v>0</v>
      </c>
      <c r="I524" s="90">
        <v>0</v>
      </c>
      <c r="J524" s="90">
        <v>0</v>
      </c>
      <c r="K524" s="90">
        <v>0</v>
      </c>
      <c r="L524" s="90">
        <v>0</v>
      </c>
      <c r="M524" s="90">
        <v>0</v>
      </c>
      <c r="N524" s="90">
        <v>0</v>
      </c>
      <c r="O524" s="90">
        <v>0</v>
      </c>
      <c r="P524" s="90">
        <v>0</v>
      </c>
      <c r="Q524" s="90">
        <v>0</v>
      </c>
      <c r="R524" s="90">
        <v>0</v>
      </c>
      <c r="S524" s="90">
        <v>0</v>
      </c>
      <c r="T524" s="90">
        <v>0</v>
      </c>
      <c r="U524" s="90">
        <v>0</v>
      </c>
      <c r="V524" s="90">
        <v>0</v>
      </c>
      <c r="W524" s="90">
        <v>0</v>
      </c>
      <c r="X524">
        <v>0</v>
      </c>
      <c r="Y524">
        <v>0</v>
      </c>
      <c r="Z524">
        <v>0</v>
      </c>
    </row>
    <row r="525" spans="1:26" x14ac:dyDescent="0.25">
      <c r="D525" t="s">
        <v>116</v>
      </c>
      <c r="E525" t="s">
        <v>70</v>
      </c>
      <c r="F525" s="371">
        <v>0</v>
      </c>
      <c r="G525" s="90">
        <v>0</v>
      </c>
      <c r="H525" s="90">
        <v>0</v>
      </c>
      <c r="I525" s="90">
        <v>0</v>
      </c>
      <c r="J525" s="90">
        <v>0</v>
      </c>
      <c r="K525" s="90">
        <v>0</v>
      </c>
      <c r="L525" s="90">
        <v>0</v>
      </c>
      <c r="M525" s="90">
        <v>0</v>
      </c>
      <c r="N525" s="90">
        <v>0</v>
      </c>
      <c r="O525" s="90">
        <v>0</v>
      </c>
      <c r="P525" s="90">
        <v>0</v>
      </c>
      <c r="Q525" s="90">
        <v>0</v>
      </c>
      <c r="R525" s="90">
        <v>0</v>
      </c>
      <c r="S525" s="90">
        <v>0</v>
      </c>
      <c r="T525" s="90">
        <v>0</v>
      </c>
      <c r="U525" s="90">
        <v>0</v>
      </c>
      <c r="V525" s="90">
        <v>0</v>
      </c>
      <c r="W525" s="90">
        <v>0</v>
      </c>
      <c r="X525">
        <v>0</v>
      </c>
      <c r="Y525">
        <v>0</v>
      </c>
      <c r="Z525">
        <v>0</v>
      </c>
    </row>
    <row r="526" spans="1:26" x14ac:dyDescent="0.25">
      <c r="E526" t="s">
        <v>72</v>
      </c>
      <c r="F526" s="371">
        <v>0</v>
      </c>
      <c r="G526" s="90">
        <v>0</v>
      </c>
      <c r="H526" s="90">
        <v>0</v>
      </c>
      <c r="I526" s="90">
        <v>0</v>
      </c>
      <c r="J526" s="90">
        <v>0</v>
      </c>
      <c r="K526" s="90">
        <v>0</v>
      </c>
      <c r="L526" s="90">
        <v>0</v>
      </c>
      <c r="M526" s="90">
        <v>0</v>
      </c>
      <c r="N526" s="90">
        <v>0</v>
      </c>
      <c r="O526" s="90">
        <v>0</v>
      </c>
      <c r="P526" s="90">
        <v>0</v>
      </c>
      <c r="Q526" s="90">
        <v>0</v>
      </c>
      <c r="R526" s="90">
        <v>0</v>
      </c>
      <c r="S526" s="90">
        <v>0</v>
      </c>
      <c r="T526" s="90">
        <v>0</v>
      </c>
      <c r="U526" s="90">
        <v>0</v>
      </c>
      <c r="V526" s="90">
        <v>0</v>
      </c>
      <c r="W526" s="90">
        <v>0</v>
      </c>
      <c r="X526">
        <v>0</v>
      </c>
      <c r="Y526">
        <v>0</v>
      </c>
      <c r="Z526">
        <v>0</v>
      </c>
    </row>
    <row r="527" spans="1:26" x14ac:dyDescent="0.25">
      <c r="D527" s="772">
        <v>3</v>
      </c>
      <c r="E527" t="s">
        <v>70</v>
      </c>
      <c r="F527" s="371">
        <v>0</v>
      </c>
      <c r="G527" s="90">
        <v>0</v>
      </c>
      <c r="H527" s="90">
        <v>0</v>
      </c>
      <c r="I527" s="90">
        <v>0</v>
      </c>
      <c r="J527" s="90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0">
        <v>0</v>
      </c>
      <c r="S527" s="90">
        <v>0</v>
      </c>
      <c r="T527" s="90">
        <v>0</v>
      </c>
      <c r="U527" s="90">
        <v>0</v>
      </c>
      <c r="V527" s="90">
        <v>0</v>
      </c>
      <c r="W527" s="90">
        <v>0</v>
      </c>
      <c r="X527">
        <v>0</v>
      </c>
      <c r="Y527">
        <v>0</v>
      </c>
      <c r="Z527">
        <v>0</v>
      </c>
    </row>
    <row r="528" spans="1:26" x14ac:dyDescent="0.25">
      <c r="D528" s="772"/>
      <c r="E528" t="s">
        <v>72</v>
      </c>
      <c r="F528" s="371">
        <v>0</v>
      </c>
      <c r="G528" s="90">
        <v>0</v>
      </c>
      <c r="H528" s="90">
        <v>0</v>
      </c>
      <c r="I528" s="90">
        <v>0</v>
      </c>
      <c r="J528" s="90">
        <v>0</v>
      </c>
      <c r="K528" s="90">
        <v>0</v>
      </c>
      <c r="L528" s="90">
        <v>0</v>
      </c>
      <c r="M528" s="90">
        <v>0</v>
      </c>
      <c r="N528" s="90">
        <v>0</v>
      </c>
      <c r="O528" s="90">
        <v>0</v>
      </c>
      <c r="P528" s="90">
        <v>0</v>
      </c>
      <c r="Q528" s="90">
        <v>0</v>
      </c>
      <c r="R528" s="90">
        <v>0</v>
      </c>
      <c r="S528" s="90">
        <v>0</v>
      </c>
      <c r="T528" s="90">
        <v>0</v>
      </c>
      <c r="U528" s="90">
        <v>0</v>
      </c>
      <c r="V528" s="90">
        <v>0</v>
      </c>
      <c r="W528" s="90">
        <v>0</v>
      </c>
      <c r="X528">
        <v>0</v>
      </c>
      <c r="Y528">
        <v>0</v>
      </c>
      <c r="Z528">
        <v>0</v>
      </c>
    </row>
    <row r="529" spans="2:26" x14ac:dyDescent="0.25">
      <c r="D529" s="772">
        <v>4</v>
      </c>
      <c r="E529" t="s">
        <v>70</v>
      </c>
      <c r="F529" s="371">
        <v>0</v>
      </c>
      <c r="G529" s="90">
        <v>0</v>
      </c>
      <c r="H529" s="90">
        <v>0</v>
      </c>
      <c r="I529" s="90">
        <v>0</v>
      </c>
      <c r="J529" s="90">
        <v>0</v>
      </c>
      <c r="K529" s="90">
        <v>0</v>
      </c>
      <c r="L529" s="90">
        <v>0</v>
      </c>
      <c r="M529" s="90">
        <v>0</v>
      </c>
      <c r="N529" s="90">
        <v>0</v>
      </c>
      <c r="O529" s="90">
        <v>0</v>
      </c>
      <c r="P529" s="90">
        <v>0</v>
      </c>
      <c r="Q529" s="90">
        <v>0</v>
      </c>
      <c r="R529" s="90">
        <v>0</v>
      </c>
      <c r="S529" s="90">
        <v>0</v>
      </c>
      <c r="T529" s="90">
        <v>0</v>
      </c>
      <c r="U529" s="90">
        <v>0</v>
      </c>
      <c r="V529" s="90">
        <v>0</v>
      </c>
      <c r="W529" s="90">
        <v>0</v>
      </c>
      <c r="X529">
        <v>0</v>
      </c>
      <c r="Y529">
        <v>0</v>
      </c>
      <c r="Z529">
        <v>0</v>
      </c>
    </row>
    <row r="530" spans="2:26" x14ac:dyDescent="0.25">
      <c r="E530" t="s">
        <v>72</v>
      </c>
      <c r="F530" s="371">
        <v>0</v>
      </c>
      <c r="G530" s="90">
        <v>0</v>
      </c>
      <c r="H530" s="90">
        <v>0</v>
      </c>
      <c r="I530" s="90">
        <v>0</v>
      </c>
      <c r="J530" s="90">
        <v>0</v>
      </c>
      <c r="K530" s="90">
        <v>0</v>
      </c>
      <c r="L530" s="90">
        <v>0</v>
      </c>
      <c r="M530" s="90">
        <v>0</v>
      </c>
      <c r="N530" s="90">
        <v>0</v>
      </c>
      <c r="O530" s="90">
        <v>0</v>
      </c>
      <c r="P530" s="90">
        <v>0</v>
      </c>
      <c r="Q530" s="90">
        <v>0</v>
      </c>
      <c r="R530" s="90">
        <v>0</v>
      </c>
      <c r="S530" s="90">
        <v>0</v>
      </c>
      <c r="T530" s="90">
        <v>0</v>
      </c>
      <c r="U530" s="90">
        <v>0</v>
      </c>
      <c r="V530" s="90">
        <v>0</v>
      </c>
      <c r="W530" s="90">
        <v>0</v>
      </c>
      <c r="X530">
        <v>0</v>
      </c>
      <c r="Y530">
        <v>0</v>
      </c>
      <c r="Z530">
        <v>0</v>
      </c>
    </row>
    <row r="531" spans="2:26" x14ac:dyDescent="0.25">
      <c r="D531" t="s">
        <v>118</v>
      </c>
      <c r="E531" t="s">
        <v>70</v>
      </c>
      <c r="F531" s="371">
        <v>0</v>
      </c>
      <c r="G531" s="90">
        <v>0</v>
      </c>
      <c r="H531" s="90">
        <v>0</v>
      </c>
      <c r="I531" s="90">
        <v>0</v>
      </c>
      <c r="J531" s="90">
        <v>0</v>
      </c>
      <c r="K531" s="90">
        <v>0</v>
      </c>
      <c r="L531" s="90">
        <v>0</v>
      </c>
      <c r="M531" s="90">
        <v>0</v>
      </c>
      <c r="N531" s="90">
        <v>0</v>
      </c>
      <c r="O531" s="90">
        <v>0</v>
      </c>
      <c r="P531" s="90">
        <v>0</v>
      </c>
      <c r="Q531" s="90">
        <v>0</v>
      </c>
      <c r="R531" s="90">
        <v>0</v>
      </c>
      <c r="S531" s="90">
        <v>0</v>
      </c>
      <c r="T531" s="90">
        <v>0</v>
      </c>
      <c r="U531" s="90">
        <v>0</v>
      </c>
      <c r="V531" s="90">
        <v>0</v>
      </c>
      <c r="W531" s="90">
        <v>0</v>
      </c>
      <c r="X531">
        <v>0</v>
      </c>
      <c r="Y531">
        <v>0</v>
      </c>
      <c r="Z531">
        <v>0</v>
      </c>
    </row>
    <row r="532" spans="2:26" x14ac:dyDescent="0.25">
      <c r="E532" t="s">
        <v>72</v>
      </c>
      <c r="F532" s="371">
        <v>0</v>
      </c>
      <c r="G532" s="90">
        <v>0</v>
      </c>
      <c r="H532" s="90">
        <v>0</v>
      </c>
      <c r="I532" s="90">
        <v>0</v>
      </c>
      <c r="J532" s="90">
        <v>0</v>
      </c>
      <c r="K532" s="90">
        <v>0</v>
      </c>
      <c r="L532" s="90">
        <v>0</v>
      </c>
      <c r="M532" s="90">
        <v>0</v>
      </c>
      <c r="N532" s="90">
        <v>0</v>
      </c>
      <c r="O532" s="90">
        <v>0</v>
      </c>
      <c r="P532" s="90">
        <v>0</v>
      </c>
      <c r="Q532" s="90">
        <v>0</v>
      </c>
      <c r="R532" s="90">
        <v>0</v>
      </c>
      <c r="S532" s="90">
        <v>0</v>
      </c>
      <c r="T532" s="90">
        <v>0</v>
      </c>
      <c r="U532" s="90">
        <v>0</v>
      </c>
      <c r="V532" s="90">
        <v>0</v>
      </c>
      <c r="W532" s="90">
        <v>0</v>
      </c>
      <c r="X532">
        <v>0</v>
      </c>
      <c r="Y532">
        <v>0</v>
      </c>
      <c r="Z532">
        <v>0</v>
      </c>
    </row>
    <row r="533" spans="2:26" x14ac:dyDescent="0.25">
      <c r="D533" s="772">
        <v>6</v>
      </c>
      <c r="E533" t="s">
        <v>70</v>
      </c>
      <c r="F533" s="371">
        <v>0</v>
      </c>
      <c r="G533" s="90">
        <v>0</v>
      </c>
      <c r="H533" s="90">
        <v>0</v>
      </c>
      <c r="I533" s="90">
        <v>0</v>
      </c>
      <c r="J533" s="90">
        <v>0</v>
      </c>
      <c r="K533" s="90">
        <v>0</v>
      </c>
      <c r="L533" s="90">
        <v>0</v>
      </c>
      <c r="M533" s="90">
        <v>0</v>
      </c>
      <c r="N533" s="90">
        <v>0</v>
      </c>
      <c r="O533" s="90">
        <v>0</v>
      </c>
      <c r="P533" s="90">
        <v>0</v>
      </c>
      <c r="Q533" s="90">
        <v>0</v>
      </c>
      <c r="R533" s="90">
        <v>0</v>
      </c>
      <c r="S533" s="90">
        <v>0</v>
      </c>
      <c r="T533" s="90">
        <v>0</v>
      </c>
      <c r="U533" s="90">
        <v>0</v>
      </c>
      <c r="V533" s="90">
        <v>0</v>
      </c>
      <c r="W533" s="90">
        <v>0</v>
      </c>
      <c r="X533">
        <v>0</v>
      </c>
      <c r="Y533">
        <v>0</v>
      </c>
      <c r="Z533">
        <v>0</v>
      </c>
    </row>
    <row r="534" spans="2:26" x14ac:dyDescent="0.25">
      <c r="C534" s="89"/>
      <c r="D534" s="89"/>
      <c r="E534" t="s">
        <v>72</v>
      </c>
      <c r="F534" s="371">
        <v>0</v>
      </c>
      <c r="G534" s="90">
        <v>0</v>
      </c>
      <c r="H534" s="90">
        <v>0</v>
      </c>
      <c r="I534" s="90">
        <v>0</v>
      </c>
      <c r="J534" s="90">
        <v>0</v>
      </c>
      <c r="K534" s="90">
        <v>0</v>
      </c>
      <c r="L534" s="90">
        <v>0</v>
      </c>
      <c r="M534" s="90">
        <v>0</v>
      </c>
      <c r="N534" s="90">
        <v>0</v>
      </c>
      <c r="O534" s="90">
        <v>0</v>
      </c>
      <c r="P534" s="90">
        <v>0</v>
      </c>
      <c r="Q534" s="90">
        <v>0</v>
      </c>
      <c r="R534" s="90">
        <v>0</v>
      </c>
      <c r="S534" s="90">
        <v>0</v>
      </c>
      <c r="T534" s="90">
        <v>0</v>
      </c>
      <c r="U534" s="90">
        <v>0</v>
      </c>
      <c r="V534" s="90">
        <v>0</v>
      </c>
      <c r="W534" s="90">
        <v>0</v>
      </c>
      <c r="X534">
        <v>0</v>
      </c>
      <c r="Y534">
        <v>0</v>
      </c>
      <c r="Z534">
        <v>0</v>
      </c>
    </row>
    <row r="535" spans="2:26" x14ac:dyDescent="0.25">
      <c r="D535" s="772">
        <v>9</v>
      </c>
      <c r="E535" t="s">
        <v>70</v>
      </c>
      <c r="F535" s="371">
        <v>0</v>
      </c>
      <c r="G535" s="90">
        <v>0</v>
      </c>
      <c r="H535" s="90">
        <v>0</v>
      </c>
      <c r="I535" s="90">
        <v>0</v>
      </c>
      <c r="J535" s="90">
        <v>0</v>
      </c>
      <c r="K535" s="90">
        <v>0</v>
      </c>
      <c r="L535" s="90">
        <v>0</v>
      </c>
      <c r="M535" s="90">
        <v>0</v>
      </c>
      <c r="N535" s="90">
        <v>0</v>
      </c>
      <c r="O535" s="90">
        <v>0</v>
      </c>
      <c r="P535" s="90">
        <v>0</v>
      </c>
      <c r="Q535" s="90">
        <v>0</v>
      </c>
      <c r="R535" s="90">
        <v>0</v>
      </c>
      <c r="S535" s="90">
        <v>0</v>
      </c>
      <c r="T535" s="90">
        <v>0</v>
      </c>
      <c r="U535" s="90">
        <v>0</v>
      </c>
      <c r="V535" s="90">
        <v>0</v>
      </c>
      <c r="W535" s="90">
        <v>0</v>
      </c>
      <c r="X535">
        <v>0</v>
      </c>
      <c r="Y535">
        <v>0</v>
      </c>
      <c r="Z535">
        <v>0</v>
      </c>
    </row>
    <row r="536" spans="2:26" s="224" customFormat="1" x14ac:dyDescent="0.25">
      <c r="C536" s="224" t="s">
        <v>120</v>
      </c>
      <c r="D536" s="224" t="s">
        <v>70</v>
      </c>
      <c r="F536" s="224">
        <v>0</v>
      </c>
      <c r="G536" s="224">
        <v>0</v>
      </c>
      <c r="H536" s="224">
        <v>0</v>
      </c>
      <c r="I536" s="224">
        <v>0</v>
      </c>
      <c r="J536" s="224">
        <v>0</v>
      </c>
      <c r="K536" s="224">
        <v>0</v>
      </c>
      <c r="L536" s="224">
        <v>0</v>
      </c>
      <c r="M536" s="224">
        <v>0</v>
      </c>
      <c r="N536" s="224">
        <v>0</v>
      </c>
      <c r="O536" s="224">
        <v>0</v>
      </c>
      <c r="P536" s="224">
        <v>0</v>
      </c>
      <c r="Q536" s="224">
        <v>0</v>
      </c>
      <c r="R536" s="224">
        <v>0</v>
      </c>
      <c r="S536" s="224">
        <v>0</v>
      </c>
      <c r="T536" s="224">
        <v>0</v>
      </c>
      <c r="U536" s="224">
        <v>0</v>
      </c>
      <c r="V536" s="224">
        <v>0</v>
      </c>
      <c r="W536" s="224">
        <v>0</v>
      </c>
      <c r="X536" s="224">
        <v>0</v>
      </c>
      <c r="Y536" s="224">
        <v>0</v>
      </c>
      <c r="Z536" s="224">
        <v>0</v>
      </c>
    </row>
    <row r="537" spans="2:26" ht="12.75" customHeight="1" x14ac:dyDescent="0.25">
      <c r="E537" s="89" t="s">
        <v>72</v>
      </c>
      <c r="F537" s="90">
        <v>0</v>
      </c>
      <c r="G537" s="90">
        <v>0</v>
      </c>
      <c r="H537" s="90">
        <v>0</v>
      </c>
      <c r="I537" s="90">
        <v>0</v>
      </c>
      <c r="J537" s="90">
        <v>0</v>
      </c>
      <c r="K537" s="90">
        <v>0</v>
      </c>
      <c r="L537" s="90">
        <v>0</v>
      </c>
      <c r="M537" s="90">
        <v>0</v>
      </c>
      <c r="N537" s="90">
        <v>0</v>
      </c>
      <c r="O537" s="90">
        <v>0</v>
      </c>
      <c r="P537" s="90">
        <v>0</v>
      </c>
      <c r="Q537" s="90">
        <v>0</v>
      </c>
      <c r="R537" s="90">
        <v>0</v>
      </c>
      <c r="S537" s="90">
        <v>0</v>
      </c>
      <c r="T537" s="90">
        <v>0</v>
      </c>
      <c r="U537" s="90">
        <v>0</v>
      </c>
      <c r="V537" s="90">
        <v>0</v>
      </c>
      <c r="W537" s="90">
        <v>0</v>
      </c>
      <c r="X537">
        <v>0</v>
      </c>
      <c r="Y537">
        <v>0</v>
      </c>
      <c r="Z537">
        <v>0</v>
      </c>
    </row>
    <row r="538" spans="2:26" ht="12.75" customHeight="1" x14ac:dyDescent="0.25">
      <c r="D538" t="s">
        <v>82</v>
      </c>
      <c r="E538" s="89" t="s">
        <v>70</v>
      </c>
      <c r="F538" s="371">
        <v>0</v>
      </c>
      <c r="G538" s="90">
        <v>0</v>
      </c>
      <c r="H538" s="90">
        <v>0</v>
      </c>
      <c r="I538" s="90">
        <v>0</v>
      </c>
      <c r="J538" s="90">
        <v>0</v>
      </c>
      <c r="K538" s="90">
        <v>0</v>
      </c>
      <c r="L538" s="90">
        <v>0</v>
      </c>
      <c r="M538" s="90">
        <v>0</v>
      </c>
      <c r="N538" s="90">
        <v>0</v>
      </c>
      <c r="O538" s="90">
        <v>0</v>
      </c>
      <c r="P538" s="90">
        <v>0</v>
      </c>
      <c r="Q538" s="90">
        <v>0</v>
      </c>
      <c r="R538" s="90">
        <v>0</v>
      </c>
      <c r="S538" s="90">
        <v>0</v>
      </c>
      <c r="T538" s="90">
        <v>0</v>
      </c>
      <c r="U538" s="90">
        <v>0</v>
      </c>
      <c r="V538" s="90">
        <v>0</v>
      </c>
      <c r="W538" s="90">
        <v>0</v>
      </c>
      <c r="X538">
        <v>0</v>
      </c>
      <c r="Y538">
        <v>0</v>
      </c>
      <c r="Z538">
        <v>0</v>
      </c>
    </row>
    <row r="539" spans="2:26" ht="12.75" customHeight="1" x14ac:dyDescent="0.25">
      <c r="E539" s="89" t="s">
        <v>72</v>
      </c>
      <c r="F539" s="371">
        <v>0</v>
      </c>
      <c r="G539" s="90">
        <v>0</v>
      </c>
      <c r="H539" s="90">
        <v>0</v>
      </c>
      <c r="I539" s="90">
        <v>0</v>
      </c>
      <c r="J539" s="90">
        <v>0</v>
      </c>
      <c r="K539" s="90">
        <v>0</v>
      </c>
      <c r="L539" s="90">
        <v>0</v>
      </c>
      <c r="M539" s="90">
        <v>0</v>
      </c>
      <c r="N539" s="90">
        <v>0</v>
      </c>
      <c r="O539" s="90">
        <v>0</v>
      </c>
      <c r="P539" s="90">
        <v>0</v>
      </c>
      <c r="Q539" s="90">
        <v>0</v>
      </c>
      <c r="R539" s="90">
        <v>0</v>
      </c>
      <c r="S539" s="90">
        <v>0</v>
      </c>
      <c r="T539" s="90">
        <v>0</v>
      </c>
      <c r="U539" s="90">
        <v>0</v>
      </c>
      <c r="V539" s="90">
        <v>0</v>
      </c>
      <c r="W539" s="90">
        <v>0</v>
      </c>
      <c r="X539">
        <v>0</v>
      </c>
      <c r="Y539">
        <v>0</v>
      </c>
      <c r="Z539">
        <v>0</v>
      </c>
    </row>
    <row r="540" spans="2:26" ht="12.75" customHeight="1" x14ac:dyDescent="0.25">
      <c r="D540" t="s">
        <v>86</v>
      </c>
      <c r="E540" s="89" t="s">
        <v>70</v>
      </c>
      <c r="F540" s="371">
        <v>0</v>
      </c>
      <c r="G540" s="90">
        <v>0</v>
      </c>
      <c r="H540" s="90">
        <v>0</v>
      </c>
      <c r="I540" s="90">
        <v>0</v>
      </c>
      <c r="J540" s="90">
        <v>0</v>
      </c>
      <c r="K540" s="90">
        <v>0</v>
      </c>
      <c r="L540" s="90">
        <v>0</v>
      </c>
      <c r="M540" s="90">
        <v>0</v>
      </c>
      <c r="N540" s="90">
        <v>0</v>
      </c>
      <c r="O540" s="90">
        <v>0</v>
      </c>
      <c r="P540" s="90">
        <v>0</v>
      </c>
      <c r="Q540" s="90">
        <v>0</v>
      </c>
      <c r="R540" s="90">
        <v>0</v>
      </c>
      <c r="S540" s="90">
        <v>0</v>
      </c>
      <c r="T540" s="90">
        <v>0</v>
      </c>
      <c r="U540" s="90">
        <v>0</v>
      </c>
      <c r="V540" s="90">
        <v>0</v>
      </c>
      <c r="W540" s="90">
        <v>0</v>
      </c>
      <c r="X540">
        <v>0</v>
      </c>
      <c r="Y540">
        <v>0</v>
      </c>
      <c r="Z540">
        <v>0</v>
      </c>
    </row>
    <row r="541" spans="2:26" ht="12.75" customHeight="1" x14ac:dyDescent="0.25">
      <c r="E541" s="89" t="s">
        <v>72</v>
      </c>
      <c r="F541" s="371">
        <v>0</v>
      </c>
      <c r="G541" s="90">
        <v>0</v>
      </c>
      <c r="H541" s="90">
        <v>0</v>
      </c>
      <c r="I541" s="90">
        <v>0</v>
      </c>
      <c r="J541" s="90">
        <v>0</v>
      </c>
      <c r="K541" s="90">
        <v>0</v>
      </c>
      <c r="L541" s="90">
        <v>0</v>
      </c>
      <c r="M541" s="90">
        <v>0</v>
      </c>
      <c r="N541" s="90">
        <v>0</v>
      </c>
      <c r="O541" s="90">
        <v>0</v>
      </c>
      <c r="P541" s="90">
        <v>0</v>
      </c>
      <c r="Q541" s="90">
        <v>0</v>
      </c>
      <c r="R541" s="90">
        <v>0</v>
      </c>
      <c r="S541" s="90">
        <v>0</v>
      </c>
      <c r="T541" s="90">
        <v>0</v>
      </c>
      <c r="U541" s="90">
        <v>0</v>
      </c>
      <c r="V541" s="90">
        <v>0</v>
      </c>
      <c r="W541" s="90">
        <v>0</v>
      </c>
      <c r="X541" s="90">
        <v>0</v>
      </c>
      <c r="Y541" s="90">
        <v>0</v>
      </c>
      <c r="Z541" s="90">
        <v>0</v>
      </c>
    </row>
    <row r="542" spans="2:26" ht="12.75" customHeight="1" x14ac:dyDescent="0.25">
      <c r="D542" t="s">
        <v>87</v>
      </c>
      <c r="E542" s="89" t="s">
        <v>70</v>
      </c>
      <c r="F542" s="371">
        <v>0</v>
      </c>
      <c r="G542" s="90">
        <v>0</v>
      </c>
      <c r="H542" s="90">
        <v>0</v>
      </c>
      <c r="I542" s="90">
        <v>0</v>
      </c>
      <c r="J542" s="90">
        <v>0</v>
      </c>
      <c r="K542" s="90">
        <v>0</v>
      </c>
      <c r="L542" s="90">
        <v>0</v>
      </c>
      <c r="M542" s="90">
        <v>0</v>
      </c>
      <c r="N542" s="90">
        <v>0</v>
      </c>
      <c r="O542" s="90">
        <v>0</v>
      </c>
      <c r="P542" s="90">
        <v>0</v>
      </c>
      <c r="Q542" s="90">
        <v>0</v>
      </c>
      <c r="R542" s="90">
        <v>0</v>
      </c>
      <c r="S542" s="90">
        <v>0</v>
      </c>
      <c r="T542" s="90">
        <v>0</v>
      </c>
      <c r="U542" s="90">
        <v>0</v>
      </c>
      <c r="V542" s="90">
        <v>0</v>
      </c>
      <c r="W542" s="90">
        <v>0</v>
      </c>
      <c r="X542" s="90">
        <v>0</v>
      </c>
      <c r="Y542" s="90">
        <v>0</v>
      </c>
      <c r="Z542" s="90">
        <v>0</v>
      </c>
    </row>
    <row r="543" spans="2:26" s="94" customFormat="1" ht="12.75" customHeight="1" x14ac:dyDescent="0.25">
      <c r="C543" s="101" t="s">
        <v>119</v>
      </c>
      <c r="D543" s="101" t="s">
        <v>70</v>
      </c>
      <c r="F543" s="93">
        <v>0</v>
      </c>
      <c r="G543" s="93">
        <v>0</v>
      </c>
      <c r="H543" s="93">
        <v>0</v>
      </c>
      <c r="I543" s="93">
        <v>0</v>
      </c>
      <c r="J543" s="93">
        <v>0</v>
      </c>
      <c r="K543" s="93">
        <v>0</v>
      </c>
      <c r="L543" s="93">
        <v>0</v>
      </c>
      <c r="M543" s="93">
        <v>0</v>
      </c>
      <c r="N543" s="93">
        <v>0</v>
      </c>
      <c r="O543" s="93">
        <v>0</v>
      </c>
      <c r="P543" s="93">
        <v>0</v>
      </c>
      <c r="Q543" s="93">
        <v>0</v>
      </c>
      <c r="R543" s="93">
        <v>0</v>
      </c>
      <c r="S543" s="93">
        <v>0</v>
      </c>
      <c r="T543" s="94">
        <v>0</v>
      </c>
      <c r="U543" s="94">
        <v>0</v>
      </c>
      <c r="V543" s="94">
        <v>0</v>
      </c>
      <c r="W543" s="94">
        <v>0</v>
      </c>
      <c r="X543" s="94">
        <v>0</v>
      </c>
      <c r="Y543" s="93">
        <v>0</v>
      </c>
      <c r="Z543" s="94">
        <v>0</v>
      </c>
    </row>
    <row r="544" spans="2:26" ht="12.75" customHeight="1" x14ac:dyDescent="0.25">
      <c r="B544" t="s">
        <v>112</v>
      </c>
      <c r="C544" t="s">
        <v>70</v>
      </c>
      <c r="E544" s="89"/>
      <c r="F544" s="371">
        <v>0</v>
      </c>
      <c r="G544" s="90">
        <v>0</v>
      </c>
      <c r="H544" s="90">
        <v>0</v>
      </c>
      <c r="I544" s="90">
        <v>0</v>
      </c>
      <c r="J544" s="90">
        <v>0</v>
      </c>
      <c r="K544" s="90">
        <v>0</v>
      </c>
      <c r="L544" s="90">
        <v>0</v>
      </c>
      <c r="M544" s="90">
        <v>0</v>
      </c>
      <c r="N544" s="90">
        <v>0</v>
      </c>
      <c r="O544" s="90">
        <v>0</v>
      </c>
      <c r="P544" s="90">
        <v>0</v>
      </c>
      <c r="Q544" s="90">
        <v>0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 s="90">
        <v>0</v>
      </c>
      <c r="Z544">
        <v>0</v>
      </c>
    </row>
    <row r="545" spans="1:26" s="458" customFormat="1" x14ac:dyDescent="0.25">
      <c r="A545" s="458" t="s">
        <v>186</v>
      </c>
      <c r="B545" s="459" t="s">
        <v>70</v>
      </c>
      <c r="C545" s="459"/>
      <c r="F545" s="460">
        <v>0</v>
      </c>
      <c r="G545" s="460">
        <v>0</v>
      </c>
      <c r="H545" s="460">
        <v>0</v>
      </c>
      <c r="I545" s="460">
        <v>0</v>
      </c>
      <c r="J545" s="460">
        <v>0</v>
      </c>
      <c r="K545" s="460">
        <v>0</v>
      </c>
      <c r="L545" s="460">
        <v>0</v>
      </c>
      <c r="M545" s="460">
        <v>0</v>
      </c>
      <c r="N545" s="460">
        <v>0</v>
      </c>
      <c r="O545" s="460">
        <v>0</v>
      </c>
      <c r="P545" s="460">
        <v>0</v>
      </c>
      <c r="Q545" s="460">
        <v>0</v>
      </c>
      <c r="R545" s="460">
        <v>0</v>
      </c>
      <c r="S545" s="460">
        <v>0</v>
      </c>
      <c r="T545" s="460">
        <v>0</v>
      </c>
      <c r="U545" s="460">
        <v>0</v>
      </c>
      <c r="V545" s="460">
        <v>0</v>
      </c>
      <c r="W545" s="460">
        <v>0</v>
      </c>
      <c r="X545" s="460">
        <v>0</v>
      </c>
      <c r="Y545" s="460">
        <v>0</v>
      </c>
      <c r="Z545" s="460">
        <v>0</v>
      </c>
    </row>
    <row r="546" spans="1:26" ht="12.75" customHeight="1" x14ac:dyDescent="0.25">
      <c r="E546" s="89" t="s">
        <v>72</v>
      </c>
      <c r="F546" s="90">
        <v>0</v>
      </c>
      <c r="G546" s="90">
        <v>0</v>
      </c>
      <c r="H546" s="90">
        <v>0</v>
      </c>
      <c r="I546" s="90">
        <v>0</v>
      </c>
      <c r="J546" s="90">
        <v>0</v>
      </c>
      <c r="K546" s="90">
        <v>0</v>
      </c>
      <c r="L546" s="90">
        <v>0</v>
      </c>
      <c r="M546" s="90">
        <v>0</v>
      </c>
      <c r="N546" s="90">
        <v>0</v>
      </c>
      <c r="O546" s="90">
        <v>0</v>
      </c>
      <c r="P546" s="90">
        <v>0</v>
      </c>
      <c r="Q546" s="90">
        <v>0</v>
      </c>
      <c r="R546" s="90">
        <v>0</v>
      </c>
      <c r="S546" s="90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 s="90">
        <v>0</v>
      </c>
      <c r="Z546">
        <v>0</v>
      </c>
    </row>
    <row r="547" spans="1:26" ht="12.75" customHeight="1" x14ac:dyDescent="0.25">
      <c r="E547" s="89" t="s">
        <v>81</v>
      </c>
      <c r="F547" s="90">
        <v>0</v>
      </c>
      <c r="G547" s="90">
        <v>0</v>
      </c>
      <c r="H547" s="90">
        <v>0</v>
      </c>
      <c r="I547" s="90">
        <v>0</v>
      </c>
      <c r="J547" s="90">
        <v>0</v>
      </c>
      <c r="K547" s="90">
        <v>0</v>
      </c>
      <c r="L547" s="90">
        <v>0</v>
      </c>
      <c r="M547" s="90">
        <v>0</v>
      </c>
      <c r="N547" s="90">
        <v>0</v>
      </c>
      <c r="O547" s="90">
        <v>0</v>
      </c>
      <c r="P547" s="90">
        <v>0</v>
      </c>
      <c r="Q547" s="90">
        <v>0</v>
      </c>
      <c r="R547" s="90">
        <v>0</v>
      </c>
      <c r="S547" s="90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 s="90">
        <v>0</v>
      </c>
      <c r="Z547">
        <v>0</v>
      </c>
    </row>
    <row r="548" spans="1:26" ht="12.75" customHeight="1" x14ac:dyDescent="0.25">
      <c r="D548" t="s">
        <v>156</v>
      </c>
      <c r="E548" s="89" t="s">
        <v>70</v>
      </c>
      <c r="F548" s="90">
        <v>0</v>
      </c>
      <c r="G548" s="90">
        <v>0</v>
      </c>
      <c r="H548" s="90">
        <v>0</v>
      </c>
      <c r="I548" s="90">
        <v>0</v>
      </c>
      <c r="J548" s="90">
        <v>0</v>
      </c>
      <c r="K548" s="90">
        <v>0</v>
      </c>
      <c r="L548" s="90">
        <v>0</v>
      </c>
      <c r="M548" s="90">
        <v>0</v>
      </c>
      <c r="N548" s="90">
        <v>0</v>
      </c>
      <c r="O548" s="90">
        <v>0</v>
      </c>
      <c r="P548" s="90">
        <v>0</v>
      </c>
      <c r="Q548" s="90">
        <v>0</v>
      </c>
      <c r="R548" s="90">
        <v>0</v>
      </c>
      <c r="S548" s="90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 s="90">
        <v>0</v>
      </c>
      <c r="Z548">
        <v>0</v>
      </c>
    </row>
    <row r="549" spans="1:26" s="656" customFormat="1" ht="12.75" customHeight="1" x14ac:dyDescent="0.25">
      <c r="C549" s="656" t="s">
        <v>155</v>
      </c>
      <c r="D549" s="657" t="s">
        <v>70</v>
      </c>
      <c r="E549" s="657"/>
      <c r="F549" s="658">
        <v>0</v>
      </c>
      <c r="G549" s="658">
        <v>0</v>
      </c>
      <c r="H549" s="658">
        <v>0</v>
      </c>
      <c r="I549" s="658">
        <v>0</v>
      </c>
      <c r="J549" s="658">
        <v>0</v>
      </c>
      <c r="K549" s="658">
        <v>0</v>
      </c>
      <c r="L549" s="658">
        <v>0</v>
      </c>
      <c r="M549" s="658">
        <v>0</v>
      </c>
      <c r="N549" s="658">
        <v>0</v>
      </c>
      <c r="O549" s="658">
        <v>0</v>
      </c>
      <c r="P549" s="658">
        <v>0</v>
      </c>
      <c r="Q549" s="658">
        <v>0</v>
      </c>
      <c r="R549" s="658">
        <v>0</v>
      </c>
      <c r="S549" s="658">
        <v>0</v>
      </c>
      <c r="T549" s="656">
        <v>0</v>
      </c>
      <c r="U549" s="656">
        <v>0</v>
      </c>
      <c r="V549" s="656">
        <v>0</v>
      </c>
      <c r="W549" s="656">
        <v>0</v>
      </c>
      <c r="X549" s="656">
        <v>0</v>
      </c>
      <c r="Y549" s="658">
        <v>0</v>
      </c>
      <c r="Z549" s="656">
        <v>0</v>
      </c>
    </row>
    <row r="550" spans="1:26" ht="12.75" customHeight="1" x14ac:dyDescent="0.25">
      <c r="D550" s="89"/>
      <c r="E550" s="89" t="s">
        <v>72</v>
      </c>
      <c r="F550" s="371">
        <v>0</v>
      </c>
      <c r="G550" s="90">
        <v>0</v>
      </c>
      <c r="H550" s="90">
        <v>0</v>
      </c>
      <c r="I550" s="90">
        <v>0</v>
      </c>
      <c r="J550" s="90">
        <v>0</v>
      </c>
      <c r="K550" s="90">
        <v>0</v>
      </c>
      <c r="L550" s="90">
        <v>0</v>
      </c>
      <c r="M550" s="90">
        <v>0</v>
      </c>
      <c r="N550" s="90">
        <v>0</v>
      </c>
      <c r="O550" s="90">
        <v>0</v>
      </c>
      <c r="P550" s="90">
        <v>0</v>
      </c>
      <c r="Q550" s="90">
        <v>0</v>
      </c>
      <c r="R550" s="90">
        <v>0</v>
      </c>
      <c r="S550" s="90">
        <v>0</v>
      </c>
      <c r="T550" s="90">
        <v>0</v>
      </c>
      <c r="U550" s="90">
        <v>0</v>
      </c>
      <c r="V550" s="90">
        <v>0</v>
      </c>
      <c r="W550" s="90">
        <v>0</v>
      </c>
      <c r="X550">
        <v>0</v>
      </c>
      <c r="Y550">
        <v>0</v>
      </c>
      <c r="Z550">
        <v>0</v>
      </c>
    </row>
    <row r="551" spans="1:26" ht="12.75" customHeight="1" x14ac:dyDescent="0.25">
      <c r="D551" s="89"/>
      <c r="E551" s="89" t="s">
        <v>81</v>
      </c>
      <c r="F551" s="371">
        <v>0</v>
      </c>
      <c r="G551" s="90">
        <v>0</v>
      </c>
      <c r="H551" s="90">
        <v>0</v>
      </c>
      <c r="I551" s="90">
        <v>0</v>
      </c>
      <c r="J551" s="90">
        <v>0</v>
      </c>
      <c r="K551" s="90">
        <v>0</v>
      </c>
      <c r="L551" s="90">
        <v>0</v>
      </c>
      <c r="M551" s="90">
        <v>0</v>
      </c>
      <c r="N551" s="90">
        <v>0</v>
      </c>
      <c r="O551" s="90">
        <v>0</v>
      </c>
      <c r="P551" s="90">
        <v>0</v>
      </c>
      <c r="Q551" s="90">
        <v>0</v>
      </c>
      <c r="R551" s="90">
        <v>0</v>
      </c>
      <c r="S551" s="90">
        <v>0</v>
      </c>
      <c r="T551" s="90">
        <v>0</v>
      </c>
      <c r="U551" s="90">
        <v>0</v>
      </c>
      <c r="V551" s="90">
        <v>0</v>
      </c>
      <c r="W551" s="90">
        <v>0</v>
      </c>
      <c r="X551">
        <v>0</v>
      </c>
      <c r="Y551">
        <v>0</v>
      </c>
      <c r="Z551">
        <v>0</v>
      </c>
    </row>
    <row r="552" spans="1:26" ht="12.75" customHeight="1" x14ac:dyDescent="0.25">
      <c r="D552" s="89" t="s">
        <v>115</v>
      </c>
      <c r="E552" s="89" t="s">
        <v>70</v>
      </c>
      <c r="F552" s="371">
        <v>0</v>
      </c>
      <c r="G552" s="90">
        <v>0</v>
      </c>
      <c r="H552" s="90">
        <v>0</v>
      </c>
      <c r="I552" s="90">
        <v>0</v>
      </c>
      <c r="J552" s="90">
        <v>0</v>
      </c>
      <c r="K552" s="90">
        <v>0</v>
      </c>
      <c r="L552" s="90">
        <v>0</v>
      </c>
      <c r="M552" s="90">
        <v>0</v>
      </c>
      <c r="N552" s="90">
        <v>0</v>
      </c>
      <c r="O552" s="90">
        <v>0</v>
      </c>
      <c r="P552" s="90">
        <v>0</v>
      </c>
      <c r="Q552" s="90">
        <v>0</v>
      </c>
      <c r="R552" s="90">
        <v>0</v>
      </c>
      <c r="S552" s="90">
        <v>0</v>
      </c>
      <c r="T552" s="90">
        <v>0</v>
      </c>
      <c r="U552" s="90">
        <v>0</v>
      </c>
      <c r="V552" s="90">
        <v>0</v>
      </c>
      <c r="W552" s="90">
        <v>0</v>
      </c>
      <c r="X552">
        <v>0</v>
      </c>
      <c r="Y552">
        <v>0</v>
      </c>
      <c r="Z552">
        <v>0</v>
      </c>
    </row>
    <row r="553" spans="1:26" ht="12.75" customHeight="1" x14ac:dyDescent="0.25">
      <c r="D553" s="89"/>
      <c r="E553" s="89" t="s">
        <v>72</v>
      </c>
      <c r="F553" s="371">
        <v>0</v>
      </c>
      <c r="G553" s="90">
        <v>0</v>
      </c>
      <c r="H553" s="90">
        <v>0</v>
      </c>
      <c r="I553" s="90">
        <v>0</v>
      </c>
      <c r="J553" s="90">
        <v>0</v>
      </c>
      <c r="K553" s="90">
        <v>0</v>
      </c>
      <c r="L553" s="90">
        <v>0</v>
      </c>
      <c r="M553" s="90">
        <v>0</v>
      </c>
      <c r="N553" s="90">
        <v>0</v>
      </c>
      <c r="O553" s="90">
        <v>0</v>
      </c>
      <c r="P553" s="90">
        <v>0</v>
      </c>
      <c r="Q553" s="90">
        <v>0</v>
      </c>
      <c r="R553" s="90">
        <v>0</v>
      </c>
      <c r="S553" s="90">
        <v>0</v>
      </c>
      <c r="T553" s="90">
        <v>0</v>
      </c>
      <c r="U553" s="90">
        <v>0</v>
      </c>
      <c r="V553" s="90">
        <v>0</v>
      </c>
      <c r="W553" s="90">
        <v>0</v>
      </c>
      <c r="X553">
        <v>0</v>
      </c>
      <c r="Y553">
        <v>0</v>
      </c>
      <c r="Z553">
        <v>0</v>
      </c>
    </row>
    <row r="554" spans="1:26" ht="12.75" customHeight="1" x14ac:dyDescent="0.25">
      <c r="D554" s="89"/>
      <c r="E554" s="89" t="s">
        <v>81</v>
      </c>
      <c r="F554" s="90">
        <v>0</v>
      </c>
      <c r="G554" s="90">
        <v>0</v>
      </c>
      <c r="H554" s="90">
        <v>0</v>
      </c>
      <c r="I554" s="90">
        <v>0</v>
      </c>
      <c r="J554" s="90">
        <v>0</v>
      </c>
      <c r="K554" s="90">
        <v>0</v>
      </c>
      <c r="L554" s="90">
        <v>0</v>
      </c>
      <c r="M554" s="90">
        <v>0</v>
      </c>
      <c r="N554" s="90">
        <v>0</v>
      </c>
      <c r="O554" s="90">
        <v>0</v>
      </c>
      <c r="P554" s="90">
        <v>0</v>
      </c>
      <c r="Q554" s="90">
        <v>0</v>
      </c>
      <c r="R554" s="90">
        <v>0</v>
      </c>
      <c r="S554" s="90">
        <v>0</v>
      </c>
      <c r="T554" s="90">
        <v>0</v>
      </c>
      <c r="U554" s="90">
        <v>0</v>
      </c>
      <c r="V554" s="90">
        <v>0</v>
      </c>
      <c r="W554" s="90">
        <v>0</v>
      </c>
      <c r="X554">
        <v>0</v>
      </c>
      <c r="Y554">
        <v>0</v>
      </c>
      <c r="Z554">
        <v>0</v>
      </c>
    </row>
    <row r="555" spans="1:26" ht="12.75" customHeight="1" x14ac:dyDescent="0.25">
      <c r="D555" t="s">
        <v>116</v>
      </c>
      <c r="E555" s="89" t="s">
        <v>70</v>
      </c>
      <c r="F555" s="90">
        <v>0</v>
      </c>
      <c r="G555" s="90">
        <v>0</v>
      </c>
      <c r="H555" s="90">
        <v>0</v>
      </c>
      <c r="I555" s="90">
        <v>0</v>
      </c>
      <c r="J555" s="90">
        <v>0</v>
      </c>
      <c r="K555" s="90">
        <v>0</v>
      </c>
      <c r="L555" s="90">
        <v>0</v>
      </c>
      <c r="M555" s="90">
        <v>0</v>
      </c>
      <c r="N555" s="90">
        <v>0</v>
      </c>
      <c r="O555" s="90">
        <v>0</v>
      </c>
      <c r="P555" s="90">
        <v>0</v>
      </c>
      <c r="Q555" s="90">
        <v>0</v>
      </c>
      <c r="R555" s="90">
        <v>0</v>
      </c>
      <c r="S555" s="90">
        <v>0</v>
      </c>
      <c r="T555" s="90">
        <v>0</v>
      </c>
      <c r="U555" s="90">
        <v>0</v>
      </c>
      <c r="V555" s="90">
        <v>0</v>
      </c>
      <c r="W555" s="90">
        <v>0</v>
      </c>
      <c r="X555">
        <v>0</v>
      </c>
      <c r="Y555">
        <v>0</v>
      </c>
      <c r="Z555">
        <v>0</v>
      </c>
    </row>
    <row r="556" spans="1:26" ht="12.75" customHeight="1" x14ac:dyDescent="0.25">
      <c r="D556" s="89"/>
      <c r="E556" s="89" t="s">
        <v>72</v>
      </c>
      <c r="F556" s="371">
        <v>0</v>
      </c>
      <c r="G556" s="90">
        <v>0</v>
      </c>
      <c r="H556" s="90">
        <v>0</v>
      </c>
      <c r="I556" s="90">
        <v>0</v>
      </c>
      <c r="J556" s="90">
        <v>0</v>
      </c>
      <c r="K556" s="90">
        <v>0</v>
      </c>
      <c r="L556" s="90">
        <v>0</v>
      </c>
      <c r="M556" s="90">
        <v>0</v>
      </c>
      <c r="N556" s="90">
        <v>0</v>
      </c>
      <c r="O556" s="90">
        <v>0</v>
      </c>
      <c r="P556" s="90">
        <v>0</v>
      </c>
      <c r="Q556" s="90">
        <v>0</v>
      </c>
      <c r="R556" s="90">
        <v>0</v>
      </c>
      <c r="S556" s="90">
        <v>0</v>
      </c>
      <c r="T556" s="90">
        <v>0</v>
      </c>
      <c r="U556" s="90">
        <v>0</v>
      </c>
      <c r="V556" s="90">
        <v>0</v>
      </c>
      <c r="W556" s="90">
        <v>0</v>
      </c>
      <c r="X556">
        <v>0</v>
      </c>
      <c r="Y556">
        <v>0</v>
      </c>
      <c r="Z556">
        <v>0</v>
      </c>
    </row>
    <row r="557" spans="1:26" ht="12.75" customHeight="1" x14ac:dyDescent="0.25">
      <c r="D557" s="89"/>
      <c r="E557" s="89" t="s">
        <v>81</v>
      </c>
      <c r="F557" s="371">
        <v>0</v>
      </c>
      <c r="G557" s="90">
        <v>0</v>
      </c>
      <c r="H557" s="90">
        <v>0</v>
      </c>
      <c r="I557" s="90">
        <v>0</v>
      </c>
      <c r="J557" s="90">
        <v>0</v>
      </c>
      <c r="K557" s="90">
        <v>0</v>
      </c>
      <c r="L557" s="90">
        <v>0</v>
      </c>
      <c r="M557" s="90">
        <v>0</v>
      </c>
      <c r="N557" s="90">
        <v>0</v>
      </c>
      <c r="O557" s="90">
        <v>0</v>
      </c>
      <c r="P557" s="90">
        <v>0</v>
      </c>
      <c r="Q557" s="90">
        <v>0</v>
      </c>
      <c r="R557" s="90">
        <v>0</v>
      </c>
      <c r="S557" s="90">
        <v>0</v>
      </c>
      <c r="T557" s="90">
        <v>0</v>
      </c>
      <c r="U557" s="90">
        <v>0</v>
      </c>
      <c r="V557" s="90">
        <v>0</v>
      </c>
      <c r="W557" s="90">
        <v>0</v>
      </c>
      <c r="X557">
        <v>0</v>
      </c>
      <c r="Y557">
        <v>0</v>
      </c>
      <c r="Z557">
        <v>0</v>
      </c>
    </row>
    <row r="558" spans="1:26" ht="12.75" customHeight="1" x14ac:dyDescent="0.25">
      <c r="D558" s="773">
        <v>3</v>
      </c>
      <c r="E558" s="89" t="s">
        <v>70</v>
      </c>
      <c r="F558" s="371">
        <v>0</v>
      </c>
      <c r="G558" s="90">
        <v>0</v>
      </c>
      <c r="H558" s="90">
        <v>0</v>
      </c>
      <c r="I558" s="90">
        <v>0</v>
      </c>
      <c r="J558" s="90">
        <v>0</v>
      </c>
      <c r="K558" s="90">
        <v>0</v>
      </c>
      <c r="L558" s="90">
        <v>0</v>
      </c>
      <c r="M558" s="90">
        <v>0</v>
      </c>
      <c r="N558" s="90">
        <v>0</v>
      </c>
      <c r="O558" s="90">
        <v>0</v>
      </c>
      <c r="P558" s="90">
        <v>0</v>
      </c>
      <c r="Q558" s="90">
        <v>0</v>
      </c>
      <c r="R558" s="90">
        <v>0</v>
      </c>
      <c r="S558" s="90">
        <v>0</v>
      </c>
      <c r="T558" s="90">
        <v>0</v>
      </c>
      <c r="U558" s="90">
        <v>0</v>
      </c>
      <c r="V558" s="90">
        <v>0</v>
      </c>
      <c r="W558" s="90">
        <v>0</v>
      </c>
      <c r="X558">
        <v>0</v>
      </c>
      <c r="Y558">
        <v>0</v>
      </c>
      <c r="Z558">
        <v>0</v>
      </c>
    </row>
    <row r="559" spans="1:26" ht="12.75" customHeight="1" x14ac:dyDescent="0.25">
      <c r="D559" s="89"/>
      <c r="E559" s="89" t="s">
        <v>72</v>
      </c>
      <c r="F559" s="371">
        <v>0</v>
      </c>
      <c r="G559" s="90">
        <v>0</v>
      </c>
      <c r="H559" s="90">
        <v>0</v>
      </c>
      <c r="I559" s="90">
        <v>0</v>
      </c>
      <c r="J559" s="90">
        <v>0</v>
      </c>
      <c r="K559" s="90">
        <v>0</v>
      </c>
      <c r="L559" s="90">
        <v>0</v>
      </c>
      <c r="M559" s="90">
        <v>0</v>
      </c>
      <c r="N559" s="90">
        <v>0</v>
      </c>
      <c r="O559" s="90">
        <v>0</v>
      </c>
      <c r="P559" s="90">
        <v>0</v>
      </c>
      <c r="Q559" s="90">
        <v>0</v>
      </c>
      <c r="R559" s="90">
        <v>0</v>
      </c>
      <c r="S559" s="90">
        <v>0</v>
      </c>
      <c r="T559" s="90">
        <v>0</v>
      </c>
      <c r="U559" s="90">
        <v>0</v>
      </c>
      <c r="V559" s="90">
        <v>0</v>
      </c>
      <c r="W559" s="90">
        <v>0</v>
      </c>
      <c r="X559">
        <v>0</v>
      </c>
      <c r="Y559">
        <v>0</v>
      </c>
      <c r="Z559">
        <v>0</v>
      </c>
    </row>
    <row r="560" spans="1:26" ht="12.75" customHeight="1" x14ac:dyDescent="0.25">
      <c r="D560" s="89"/>
      <c r="E560" s="89" t="s">
        <v>81</v>
      </c>
      <c r="F560" s="371">
        <v>0</v>
      </c>
      <c r="G560" s="90">
        <v>0</v>
      </c>
      <c r="H560" s="90">
        <v>0</v>
      </c>
      <c r="I560" s="90">
        <v>0</v>
      </c>
      <c r="J560" s="90">
        <v>0</v>
      </c>
      <c r="K560" s="90">
        <v>0</v>
      </c>
      <c r="L560" s="90">
        <v>0</v>
      </c>
      <c r="M560" s="90">
        <v>0</v>
      </c>
      <c r="N560" s="90">
        <v>0</v>
      </c>
      <c r="O560" s="90">
        <v>0</v>
      </c>
      <c r="P560" s="90">
        <v>0</v>
      </c>
      <c r="Q560" s="90">
        <v>0</v>
      </c>
      <c r="R560" s="90">
        <v>0</v>
      </c>
      <c r="S560" s="90">
        <v>0</v>
      </c>
      <c r="T560" s="90">
        <v>0</v>
      </c>
      <c r="U560" s="90">
        <v>0</v>
      </c>
      <c r="V560" s="90">
        <v>0</v>
      </c>
      <c r="W560" s="90">
        <v>0</v>
      </c>
      <c r="X560">
        <v>0</v>
      </c>
      <c r="Y560">
        <v>0</v>
      </c>
      <c r="Z560">
        <v>0</v>
      </c>
    </row>
    <row r="561" spans="3:26" ht="12.75" customHeight="1" x14ac:dyDescent="0.25">
      <c r="D561" s="773">
        <v>4</v>
      </c>
      <c r="E561" s="89" t="s">
        <v>70</v>
      </c>
      <c r="F561" s="371">
        <v>0</v>
      </c>
      <c r="G561" s="90">
        <v>0</v>
      </c>
      <c r="H561" s="90">
        <v>0</v>
      </c>
      <c r="I561" s="90">
        <v>0</v>
      </c>
      <c r="J561" s="90">
        <v>0</v>
      </c>
      <c r="K561" s="90">
        <v>0</v>
      </c>
      <c r="L561" s="90">
        <v>0</v>
      </c>
      <c r="M561" s="90">
        <v>0</v>
      </c>
      <c r="N561" s="90">
        <v>0</v>
      </c>
      <c r="O561" s="90">
        <v>0</v>
      </c>
      <c r="P561" s="90">
        <v>0</v>
      </c>
      <c r="Q561" s="90">
        <v>0</v>
      </c>
      <c r="R561" s="90">
        <v>0</v>
      </c>
      <c r="S561" s="90">
        <v>0</v>
      </c>
      <c r="T561" s="90">
        <v>0</v>
      </c>
      <c r="U561" s="90">
        <v>0</v>
      </c>
      <c r="V561" s="90">
        <v>0</v>
      </c>
      <c r="W561" s="90">
        <v>0</v>
      </c>
      <c r="X561">
        <v>0</v>
      </c>
      <c r="Y561">
        <v>0</v>
      </c>
      <c r="Z561">
        <v>0</v>
      </c>
    </row>
    <row r="562" spans="3:26" ht="12.75" customHeight="1" x14ac:dyDescent="0.25">
      <c r="D562" s="89"/>
      <c r="E562" s="89" t="s">
        <v>72</v>
      </c>
      <c r="F562" s="371">
        <v>0</v>
      </c>
      <c r="G562" s="90">
        <v>0</v>
      </c>
      <c r="H562" s="90">
        <v>0</v>
      </c>
      <c r="I562" s="90">
        <v>0</v>
      </c>
      <c r="J562" s="90">
        <v>0</v>
      </c>
      <c r="K562" s="90">
        <v>0</v>
      </c>
      <c r="L562" s="90">
        <v>0</v>
      </c>
      <c r="M562" s="90">
        <v>0</v>
      </c>
      <c r="N562" s="90">
        <v>0</v>
      </c>
      <c r="O562" s="90">
        <v>0</v>
      </c>
      <c r="P562" s="90">
        <v>0</v>
      </c>
      <c r="Q562" s="90">
        <v>0</v>
      </c>
      <c r="R562" s="90">
        <v>0</v>
      </c>
      <c r="S562" s="90">
        <v>0</v>
      </c>
      <c r="T562" s="90">
        <v>0</v>
      </c>
      <c r="U562" s="90">
        <v>0</v>
      </c>
      <c r="V562" s="90">
        <v>0</v>
      </c>
      <c r="W562" s="90">
        <v>0</v>
      </c>
      <c r="X562">
        <v>0</v>
      </c>
      <c r="Y562">
        <v>0</v>
      </c>
      <c r="Z562">
        <v>0</v>
      </c>
    </row>
    <row r="563" spans="3:26" ht="12.75" customHeight="1" x14ac:dyDescent="0.25">
      <c r="D563" s="89"/>
      <c r="E563" s="89" t="s">
        <v>81</v>
      </c>
      <c r="F563" s="90">
        <v>0</v>
      </c>
      <c r="G563" s="90">
        <v>0</v>
      </c>
      <c r="H563" s="90">
        <v>0</v>
      </c>
      <c r="I563" s="90">
        <v>0</v>
      </c>
      <c r="J563" s="90">
        <v>0</v>
      </c>
      <c r="K563" s="90">
        <v>0</v>
      </c>
      <c r="L563" s="90">
        <v>0</v>
      </c>
      <c r="M563" s="90">
        <v>0</v>
      </c>
      <c r="N563" s="90">
        <v>0</v>
      </c>
      <c r="O563" s="90">
        <v>0</v>
      </c>
      <c r="P563" s="90">
        <v>0</v>
      </c>
      <c r="Q563" s="90">
        <v>0</v>
      </c>
      <c r="R563" s="90">
        <v>0</v>
      </c>
      <c r="S563" s="90">
        <v>0</v>
      </c>
      <c r="T563" s="90">
        <v>0</v>
      </c>
      <c r="U563" s="90">
        <v>0</v>
      </c>
      <c r="V563" s="90">
        <v>0</v>
      </c>
      <c r="W563" s="90">
        <v>0</v>
      </c>
      <c r="X563">
        <v>0</v>
      </c>
      <c r="Y563">
        <v>0</v>
      </c>
      <c r="Z563">
        <v>0</v>
      </c>
    </row>
    <row r="564" spans="3:26" ht="12.75" customHeight="1" x14ac:dyDescent="0.25">
      <c r="D564" t="s">
        <v>118</v>
      </c>
      <c r="E564" s="89" t="s">
        <v>70</v>
      </c>
      <c r="F564" s="90">
        <v>0</v>
      </c>
      <c r="G564" s="90">
        <v>0</v>
      </c>
      <c r="H564" s="90">
        <v>0</v>
      </c>
      <c r="I564" s="90">
        <v>0</v>
      </c>
      <c r="J564" s="90">
        <v>0</v>
      </c>
      <c r="K564" s="90">
        <v>0</v>
      </c>
      <c r="L564" s="90">
        <v>0</v>
      </c>
      <c r="M564" s="90">
        <v>0</v>
      </c>
      <c r="N564" s="90">
        <v>0</v>
      </c>
      <c r="O564" s="90">
        <v>0</v>
      </c>
      <c r="P564" s="90">
        <v>0</v>
      </c>
      <c r="Q564" s="90">
        <v>0</v>
      </c>
      <c r="R564" s="90">
        <v>0</v>
      </c>
      <c r="S564" s="90">
        <v>0</v>
      </c>
      <c r="T564" s="90">
        <v>0</v>
      </c>
      <c r="U564" s="90">
        <v>0</v>
      </c>
      <c r="V564" s="90">
        <v>0</v>
      </c>
      <c r="W564" s="90">
        <v>0</v>
      </c>
      <c r="X564">
        <v>0</v>
      </c>
      <c r="Y564">
        <v>0</v>
      </c>
      <c r="Z564">
        <v>0</v>
      </c>
    </row>
    <row r="565" spans="3:26" ht="12.75" customHeight="1" x14ac:dyDescent="0.25">
      <c r="D565" s="89"/>
      <c r="E565" s="89" t="s">
        <v>72</v>
      </c>
      <c r="F565" s="371">
        <v>0</v>
      </c>
      <c r="G565" s="90">
        <v>0</v>
      </c>
      <c r="H565" s="90">
        <v>0</v>
      </c>
      <c r="I565" s="90">
        <v>0</v>
      </c>
      <c r="J565" s="90">
        <v>0</v>
      </c>
      <c r="K565" s="90">
        <v>0</v>
      </c>
      <c r="L565" s="90">
        <v>0</v>
      </c>
      <c r="M565" s="90">
        <v>0</v>
      </c>
      <c r="N565" s="90">
        <v>0</v>
      </c>
      <c r="O565" s="90">
        <v>0</v>
      </c>
      <c r="P565" s="90">
        <v>0</v>
      </c>
      <c r="Q565" s="90">
        <v>0</v>
      </c>
      <c r="R565" s="90">
        <v>0</v>
      </c>
      <c r="S565" s="90">
        <v>0</v>
      </c>
      <c r="T565" s="90">
        <v>0</v>
      </c>
      <c r="U565" s="90">
        <v>0</v>
      </c>
      <c r="V565" s="90">
        <v>0</v>
      </c>
      <c r="W565" s="90">
        <v>0</v>
      </c>
      <c r="X565">
        <v>0</v>
      </c>
      <c r="Y565">
        <v>0</v>
      </c>
      <c r="Z565">
        <v>0</v>
      </c>
    </row>
    <row r="566" spans="3:26" ht="12.75" customHeight="1" x14ac:dyDescent="0.25">
      <c r="D566" s="89"/>
      <c r="E566" s="89" t="s">
        <v>81</v>
      </c>
      <c r="F566" s="90">
        <v>0</v>
      </c>
      <c r="G566" s="90">
        <v>0</v>
      </c>
      <c r="H566" s="90">
        <v>0</v>
      </c>
      <c r="I566" s="90">
        <v>0</v>
      </c>
      <c r="J566" s="90">
        <v>0</v>
      </c>
      <c r="K566" s="90">
        <v>0</v>
      </c>
      <c r="L566" s="90">
        <v>0</v>
      </c>
      <c r="M566" s="90">
        <v>0</v>
      </c>
      <c r="N566" s="90">
        <v>0</v>
      </c>
      <c r="O566" s="90">
        <v>0</v>
      </c>
      <c r="P566" s="90">
        <v>0</v>
      </c>
      <c r="Q566" s="90">
        <v>0</v>
      </c>
      <c r="R566" s="90">
        <v>0</v>
      </c>
      <c r="S566" s="90">
        <v>0</v>
      </c>
      <c r="T566" s="90">
        <v>0</v>
      </c>
      <c r="U566" s="90">
        <v>0</v>
      </c>
      <c r="V566" s="90">
        <v>0</v>
      </c>
      <c r="W566" s="90">
        <v>0</v>
      </c>
      <c r="X566">
        <v>0</v>
      </c>
      <c r="Y566">
        <v>0</v>
      </c>
      <c r="Z566">
        <v>0</v>
      </c>
    </row>
    <row r="567" spans="3:26" ht="12.75" customHeight="1" x14ac:dyDescent="0.25">
      <c r="D567" s="772">
        <v>6</v>
      </c>
      <c r="E567" s="89" t="s">
        <v>70</v>
      </c>
      <c r="F567" s="90">
        <v>0</v>
      </c>
      <c r="G567" s="90">
        <v>0</v>
      </c>
      <c r="H567" s="90">
        <v>0</v>
      </c>
      <c r="I567" s="90">
        <v>0</v>
      </c>
      <c r="J567" s="90">
        <v>0</v>
      </c>
      <c r="K567" s="90">
        <v>0</v>
      </c>
      <c r="L567" s="90">
        <v>0</v>
      </c>
      <c r="M567" s="90">
        <v>0</v>
      </c>
      <c r="N567" s="90">
        <v>0</v>
      </c>
      <c r="O567" s="90">
        <v>0</v>
      </c>
      <c r="P567" s="90">
        <v>0</v>
      </c>
      <c r="Q567" s="90">
        <v>0</v>
      </c>
      <c r="R567" s="90">
        <v>0</v>
      </c>
      <c r="S567" s="90">
        <v>0</v>
      </c>
      <c r="T567" s="90">
        <v>0</v>
      </c>
      <c r="U567" s="90">
        <v>0</v>
      </c>
      <c r="V567" s="90">
        <v>0</v>
      </c>
      <c r="W567" s="90">
        <v>0</v>
      </c>
      <c r="X567">
        <v>0</v>
      </c>
      <c r="Y567">
        <v>0</v>
      </c>
      <c r="Z567">
        <v>0</v>
      </c>
    </row>
    <row r="568" spans="3:26" ht="12.75" customHeight="1" x14ac:dyDescent="0.25">
      <c r="D568" s="89"/>
      <c r="E568" s="89" t="s">
        <v>72</v>
      </c>
      <c r="F568" s="90">
        <v>0</v>
      </c>
      <c r="G568" s="90">
        <v>0</v>
      </c>
      <c r="H568" s="90">
        <v>0</v>
      </c>
      <c r="I568" s="90">
        <v>0</v>
      </c>
      <c r="J568" s="90">
        <v>0</v>
      </c>
      <c r="K568" s="90">
        <v>0</v>
      </c>
      <c r="L568" s="90">
        <v>0</v>
      </c>
      <c r="M568" s="90">
        <v>0</v>
      </c>
      <c r="N568" s="90">
        <v>0</v>
      </c>
      <c r="O568" s="90">
        <v>0</v>
      </c>
      <c r="P568" s="90">
        <v>0</v>
      </c>
      <c r="Q568" s="90">
        <v>0</v>
      </c>
      <c r="R568" s="90">
        <v>0</v>
      </c>
      <c r="S568" s="90">
        <v>0</v>
      </c>
      <c r="T568" s="90">
        <v>0</v>
      </c>
      <c r="U568" s="90">
        <v>0</v>
      </c>
      <c r="V568" s="90">
        <v>0</v>
      </c>
      <c r="W568" s="90">
        <v>0</v>
      </c>
      <c r="X568">
        <v>0</v>
      </c>
      <c r="Y568">
        <v>0</v>
      </c>
      <c r="Z568">
        <v>0</v>
      </c>
    </row>
    <row r="569" spans="3:26" ht="12.75" customHeight="1" x14ac:dyDescent="0.25">
      <c r="E569" s="89" t="s">
        <v>81</v>
      </c>
      <c r="F569" s="90">
        <v>0</v>
      </c>
      <c r="G569" s="90">
        <v>0</v>
      </c>
      <c r="H569" s="90">
        <v>0</v>
      </c>
      <c r="I569" s="90">
        <v>0</v>
      </c>
      <c r="J569" s="90">
        <v>0</v>
      </c>
      <c r="K569" s="90">
        <v>0</v>
      </c>
      <c r="L569" s="90">
        <v>0</v>
      </c>
      <c r="M569" s="90">
        <v>0</v>
      </c>
      <c r="N569" s="90">
        <v>0</v>
      </c>
      <c r="O569" s="90">
        <v>0</v>
      </c>
      <c r="P569" s="90">
        <v>0</v>
      </c>
      <c r="Q569" s="90">
        <v>0</v>
      </c>
      <c r="R569" s="90">
        <v>0</v>
      </c>
      <c r="S569" s="90">
        <v>0</v>
      </c>
      <c r="T569" s="90">
        <v>0</v>
      </c>
      <c r="U569" s="90">
        <v>0</v>
      </c>
      <c r="V569" s="90">
        <v>0</v>
      </c>
      <c r="W569" s="90">
        <v>0</v>
      </c>
      <c r="X569">
        <v>0</v>
      </c>
      <c r="Y569">
        <v>0</v>
      </c>
      <c r="Z569">
        <v>0</v>
      </c>
    </row>
    <row r="570" spans="3:26" ht="12.75" customHeight="1" x14ac:dyDescent="0.25">
      <c r="D570" s="772">
        <v>9</v>
      </c>
      <c r="E570" s="89" t="s">
        <v>70</v>
      </c>
      <c r="F570" s="90">
        <v>0</v>
      </c>
      <c r="G570" s="90">
        <v>0</v>
      </c>
      <c r="H570" s="90">
        <v>0</v>
      </c>
      <c r="I570" s="90">
        <v>0</v>
      </c>
      <c r="J570" s="90">
        <v>0</v>
      </c>
      <c r="K570" s="90">
        <v>0</v>
      </c>
      <c r="L570" s="90">
        <v>0</v>
      </c>
      <c r="M570" s="90">
        <v>0</v>
      </c>
      <c r="N570" s="90">
        <v>0</v>
      </c>
      <c r="O570" s="90">
        <v>0</v>
      </c>
      <c r="P570" s="90">
        <v>0</v>
      </c>
      <c r="Q570" s="90">
        <v>0</v>
      </c>
      <c r="R570" s="90">
        <v>0</v>
      </c>
      <c r="S570" s="90">
        <v>0</v>
      </c>
      <c r="T570" s="90">
        <v>0</v>
      </c>
      <c r="U570" s="90">
        <v>0</v>
      </c>
      <c r="V570" s="90">
        <v>0</v>
      </c>
      <c r="W570" s="90">
        <v>0</v>
      </c>
      <c r="X570">
        <v>0</v>
      </c>
      <c r="Y570">
        <v>0</v>
      </c>
      <c r="Z570">
        <v>0</v>
      </c>
    </row>
    <row r="571" spans="3:26" s="224" customFormat="1" ht="12.75" customHeight="1" x14ac:dyDescent="0.25">
      <c r="C571" s="223" t="s">
        <v>120</v>
      </c>
      <c r="D571" s="223" t="s">
        <v>70</v>
      </c>
      <c r="F571" s="225">
        <v>0</v>
      </c>
      <c r="G571" s="225">
        <v>0</v>
      </c>
      <c r="H571" s="225">
        <v>0</v>
      </c>
      <c r="I571" s="225">
        <v>0</v>
      </c>
      <c r="J571" s="225">
        <v>0</v>
      </c>
      <c r="K571" s="225">
        <v>0</v>
      </c>
      <c r="L571" s="225">
        <v>0</v>
      </c>
      <c r="M571" s="225">
        <v>0</v>
      </c>
      <c r="N571" s="225">
        <v>0</v>
      </c>
      <c r="O571" s="225">
        <v>0</v>
      </c>
      <c r="P571" s="225">
        <v>0</v>
      </c>
      <c r="Q571" s="225">
        <v>0</v>
      </c>
      <c r="R571" s="225">
        <v>0</v>
      </c>
      <c r="S571" s="225">
        <v>0</v>
      </c>
      <c r="T571" s="224">
        <v>0</v>
      </c>
      <c r="U571" s="224">
        <v>0</v>
      </c>
      <c r="V571" s="224">
        <v>0</v>
      </c>
      <c r="W571" s="224">
        <v>0</v>
      </c>
      <c r="X571" s="224">
        <v>0</v>
      </c>
      <c r="Y571" s="225">
        <v>0</v>
      </c>
      <c r="Z571" s="224">
        <v>0</v>
      </c>
    </row>
    <row r="572" spans="3:26" ht="12.75" customHeight="1" x14ac:dyDescent="0.25">
      <c r="E572" s="89" t="s">
        <v>72</v>
      </c>
      <c r="F572" s="371">
        <v>0</v>
      </c>
      <c r="G572" s="90">
        <v>0</v>
      </c>
      <c r="H572" s="90">
        <v>0</v>
      </c>
      <c r="I572" s="90">
        <v>0</v>
      </c>
      <c r="J572" s="90">
        <v>0</v>
      </c>
      <c r="K572" s="90">
        <v>0</v>
      </c>
      <c r="L572" s="90">
        <v>0</v>
      </c>
      <c r="M572" s="90">
        <v>0</v>
      </c>
      <c r="N572" s="90">
        <v>0</v>
      </c>
      <c r="O572" s="90">
        <v>0</v>
      </c>
      <c r="P572" s="90">
        <v>0</v>
      </c>
      <c r="Q572" s="90">
        <v>0</v>
      </c>
      <c r="R572" s="90">
        <v>0</v>
      </c>
      <c r="S572" s="90">
        <v>0</v>
      </c>
      <c r="T572" s="90">
        <v>0</v>
      </c>
      <c r="U572" s="90">
        <v>0</v>
      </c>
      <c r="V572" s="90">
        <v>0</v>
      </c>
      <c r="W572" s="90">
        <v>0</v>
      </c>
      <c r="X572">
        <v>0</v>
      </c>
      <c r="Y572">
        <v>0</v>
      </c>
      <c r="Z572">
        <v>0</v>
      </c>
    </row>
    <row r="573" spans="3:26" ht="12.75" customHeight="1" x14ac:dyDescent="0.25">
      <c r="E573" s="89" t="s">
        <v>81</v>
      </c>
      <c r="F573" s="371">
        <v>0</v>
      </c>
      <c r="G573" s="90">
        <v>0</v>
      </c>
      <c r="H573" s="90">
        <v>0</v>
      </c>
      <c r="I573" s="90">
        <v>0</v>
      </c>
      <c r="J573" s="90">
        <v>0</v>
      </c>
      <c r="K573" s="90">
        <v>0</v>
      </c>
      <c r="L573" s="90">
        <v>0</v>
      </c>
      <c r="M573" s="90">
        <v>0</v>
      </c>
      <c r="N573" s="90">
        <v>0</v>
      </c>
      <c r="O573" s="90">
        <v>0</v>
      </c>
      <c r="P573" s="90">
        <v>0</v>
      </c>
      <c r="Q573" s="90">
        <v>0</v>
      </c>
      <c r="R573" s="90">
        <v>0</v>
      </c>
      <c r="S573" s="90">
        <v>0</v>
      </c>
      <c r="T573" s="90">
        <v>0</v>
      </c>
      <c r="U573" s="90">
        <v>0</v>
      </c>
      <c r="V573" s="90">
        <v>0</v>
      </c>
      <c r="W573" s="90">
        <v>0</v>
      </c>
      <c r="X573">
        <v>0</v>
      </c>
      <c r="Y573">
        <v>0</v>
      </c>
      <c r="Z573">
        <v>0</v>
      </c>
    </row>
    <row r="574" spans="3:26" ht="12.75" customHeight="1" x14ac:dyDescent="0.25">
      <c r="D574" t="s">
        <v>82</v>
      </c>
      <c r="E574" s="89" t="s">
        <v>70</v>
      </c>
      <c r="F574" s="371">
        <v>0</v>
      </c>
      <c r="G574" s="90">
        <v>0</v>
      </c>
      <c r="H574" s="90">
        <v>0</v>
      </c>
      <c r="I574" s="90">
        <v>0</v>
      </c>
      <c r="J574" s="90">
        <v>0</v>
      </c>
      <c r="K574" s="90">
        <v>0</v>
      </c>
      <c r="L574" s="90">
        <v>0</v>
      </c>
      <c r="M574" s="90">
        <v>0</v>
      </c>
      <c r="N574" s="90">
        <v>0</v>
      </c>
      <c r="O574" s="90">
        <v>0</v>
      </c>
      <c r="P574" s="90">
        <v>0</v>
      </c>
      <c r="Q574" s="90">
        <v>0</v>
      </c>
      <c r="R574" s="90">
        <v>0</v>
      </c>
      <c r="S574" s="90">
        <v>0</v>
      </c>
      <c r="T574" s="90">
        <v>0</v>
      </c>
      <c r="U574" s="90">
        <v>0</v>
      </c>
      <c r="V574" s="90">
        <v>0</v>
      </c>
      <c r="W574" s="90">
        <v>0</v>
      </c>
      <c r="X574">
        <v>0</v>
      </c>
      <c r="Y574">
        <v>0</v>
      </c>
      <c r="Z574">
        <v>0</v>
      </c>
    </row>
    <row r="575" spans="3:26" ht="12.75" customHeight="1" x14ac:dyDescent="0.25">
      <c r="E575" s="89" t="s">
        <v>72</v>
      </c>
      <c r="F575" s="371">
        <v>0</v>
      </c>
      <c r="G575" s="90">
        <v>0</v>
      </c>
      <c r="H575" s="90">
        <v>0</v>
      </c>
      <c r="I575" s="90">
        <v>0</v>
      </c>
      <c r="J575" s="90">
        <v>0</v>
      </c>
      <c r="K575" s="90">
        <v>0</v>
      </c>
      <c r="L575" s="90">
        <v>0</v>
      </c>
      <c r="M575" s="90">
        <v>0</v>
      </c>
      <c r="N575" s="90">
        <v>0</v>
      </c>
      <c r="O575" s="90">
        <v>0</v>
      </c>
      <c r="P575" s="90">
        <v>0</v>
      </c>
      <c r="Q575" s="90">
        <v>0</v>
      </c>
      <c r="R575" s="90">
        <v>0</v>
      </c>
      <c r="S575" s="90">
        <v>0</v>
      </c>
      <c r="T575" s="90">
        <v>0</v>
      </c>
      <c r="U575" s="90">
        <v>0</v>
      </c>
      <c r="V575" s="90">
        <v>0</v>
      </c>
      <c r="W575" s="90">
        <v>0</v>
      </c>
      <c r="X575">
        <v>0</v>
      </c>
      <c r="Y575">
        <v>0</v>
      </c>
      <c r="Z575">
        <v>0</v>
      </c>
    </row>
    <row r="576" spans="3:26" ht="12.75" customHeight="1" x14ac:dyDescent="0.25">
      <c r="E576" s="89" t="s">
        <v>81</v>
      </c>
      <c r="F576" s="371">
        <v>0</v>
      </c>
      <c r="G576" s="90">
        <v>0</v>
      </c>
      <c r="H576" s="90">
        <v>0</v>
      </c>
      <c r="I576" s="90">
        <v>0</v>
      </c>
      <c r="J576" s="90">
        <v>0</v>
      </c>
      <c r="K576" s="90">
        <v>0</v>
      </c>
      <c r="L576" s="90">
        <v>0</v>
      </c>
      <c r="M576" s="90">
        <v>0</v>
      </c>
      <c r="N576" s="90">
        <v>0</v>
      </c>
      <c r="O576" s="90">
        <v>0</v>
      </c>
      <c r="P576" s="90">
        <v>0</v>
      </c>
      <c r="Q576" s="90">
        <v>0</v>
      </c>
      <c r="R576" s="90">
        <v>0</v>
      </c>
      <c r="S576" s="90">
        <v>0</v>
      </c>
      <c r="T576" s="90">
        <v>0</v>
      </c>
      <c r="U576" s="90">
        <v>0</v>
      </c>
      <c r="V576" s="90">
        <v>0</v>
      </c>
      <c r="W576" s="90">
        <v>0</v>
      </c>
      <c r="X576">
        <v>0</v>
      </c>
      <c r="Y576">
        <v>0</v>
      </c>
      <c r="Z576">
        <v>0</v>
      </c>
    </row>
    <row r="577" spans="2:26" ht="12.75" customHeight="1" x14ac:dyDescent="0.25">
      <c r="D577" t="s">
        <v>86</v>
      </c>
      <c r="E577" s="89" t="s">
        <v>70</v>
      </c>
      <c r="F577" s="371">
        <v>0</v>
      </c>
      <c r="G577" s="90">
        <v>0</v>
      </c>
      <c r="H577" s="90">
        <v>0</v>
      </c>
      <c r="I577" s="90">
        <v>0</v>
      </c>
      <c r="J577" s="90">
        <v>0</v>
      </c>
      <c r="K577" s="90">
        <v>0</v>
      </c>
      <c r="L577" s="90">
        <v>0</v>
      </c>
      <c r="M577" s="90">
        <v>0</v>
      </c>
      <c r="N577" s="90">
        <v>0</v>
      </c>
      <c r="O577" s="90">
        <v>0</v>
      </c>
      <c r="P577" s="90">
        <v>0</v>
      </c>
      <c r="Q577" s="90">
        <v>0</v>
      </c>
      <c r="R577" s="90">
        <v>0</v>
      </c>
      <c r="S577" s="90">
        <v>0</v>
      </c>
      <c r="T577" s="90">
        <v>0</v>
      </c>
      <c r="U577" s="90">
        <v>0</v>
      </c>
      <c r="V577" s="90">
        <v>0</v>
      </c>
      <c r="W577" s="90">
        <v>0</v>
      </c>
      <c r="X577">
        <v>0</v>
      </c>
      <c r="Y577">
        <v>0</v>
      </c>
      <c r="Z577">
        <v>0</v>
      </c>
    </row>
    <row r="578" spans="2:26" ht="12.75" customHeight="1" x14ac:dyDescent="0.25">
      <c r="E578" s="89" t="s">
        <v>72</v>
      </c>
      <c r="F578" s="371">
        <v>0</v>
      </c>
      <c r="G578" s="90">
        <v>0</v>
      </c>
      <c r="H578" s="90">
        <v>0</v>
      </c>
      <c r="I578" s="90">
        <v>0</v>
      </c>
      <c r="J578" s="90">
        <v>0</v>
      </c>
      <c r="K578" s="90">
        <v>0</v>
      </c>
      <c r="L578" s="90">
        <v>0</v>
      </c>
      <c r="M578" s="90">
        <v>0</v>
      </c>
      <c r="N578" s="90">
        <v>0</v>
      </c>
      <c r="O578" s="90">
        <v>0</v>
      </c>
      <c r="P578" s="90">
        <v>0</v>
      </c>
      <c r="Q578" s="90">
        <v>0</v>
      </c>
      <c r="R578" s="90">
        <v>0</v>
      </c>
      <c r="S578" s="90">
        <v>0</v>
      </c>
      <c r="T578" s="90">
        <v>0</v>
      </c>
      <c r="U578" s="90">
        <v>0</v>
      </c>
      <c r="V578" s="90">
        <v>0</v>
      </c>
      <c r="W578" s="90">
        <v>0</v>
      </c>
      <c r="X578" s="90">
        <v>0</v>
      </c>
      <c r="Y578" s="90">
        <v>0</v>
      </c>
      <c r="Z578" s="90">
        <v>0</v>
      </c>
    </row>
    <row r="579" spans="2:26" x14ac:dyDescent="0.25">
      <c r="E579" t="s">
        <v>81</v>
      </c>
      <c r="F579" s="90">
        <v>0</v>
      </c>
      <c r="G579" s="90">
        <v>0</v>
      </c>
      <c r="H579" s="90">
        <v>0</v>
      </c>
      <c r="I579" s="90">
        <v>0</v>
      </c>
      <c r="J579" s="90">
        <v>0</v>
      </c>
      <c r="K579" s="90">
        <v>0</v>
      </c>
      <c r="L579" s="90">
        <v>0</v>
      </c>
      <c r="M579" s="90">
        <v>0</v>
      </c>
      <c r="N579" s="90">
        <v>0</v>
      </c>
      <c r="O579" s="90">
        <v>0</v>
      </c>
      <c r="P579" s="90">
        <v>0</v>
      </c>
      <c r="Q579" s="90">
        <v>0</v>
      </c>
      <c r="R579" s="90">
        <v>0</v>
      </c>
      <c r="S579" s="90">
        <v>0</v>
      </c>
      <c r="T579" s="90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 s="90">
        <v>0</v>
      </c>
    </row>
    <row r="580" spans="2:26" ht="12.75" customHeight="1" x14ac:dyDescent="0.25">
      <c r="D580" t="s">
        <v>87</v>
      </c>
      <c r="E580" s="89" t="s">
        <v>70</v>
      </c>
      <c r="F580" s="371">
        <v>0</v>
      </c>
      <c r="G580" s="90">
        <v>0</v>
      </c>
      <c r="H580" s="90">
        <v>0</v>
      </c>
      <c r="I580" s="90">
        <v>0</v>
      </c>
      <c r="J580" s="90">
        <v>0</v>
      </c>
      <c r="K580" s="90">
        <v>0</v>
      </c>
      <c r="L580" s="90">
        <v>0</v>
      </c>
      <c r="M580" s="90">
        <v>0</v>
      </c>
      <c r="N580" s="90">
        <v>0</v>
      </c>
      <c r="O580" s="90">
        <v>0</v>
      </c>
      <c r="P580" s="90">
        <v>0</v>
      </c>
      <c r="Q580" s="90">
        <v>0</v>
      </c>
      <c r="R580" s="90">
        <v>0</v>
      </c>
      <c r="S580" s="90">
        <v>0</v>
      </c>
      <c r="T580" s="90">
        <v>0</v>
      </c>
      <c r="U580" s="90">
        <v>0</v>
      </c>
      <c r="V580" s="90">
        <v>0</v>
      </c>
      <c r="W580" s="90">
        <v>0</v>
      </c>
      <c r="X580" s="90">
        <v>0</v>
      </c>
      <c r="Y580" s="90">
        <v>0</v>
      </c>
      <c r="Z580" s="90">
        <v>0</v>
      </c>
    </row>
    <row r="581" spans="2:26" s="94" customFormat="1" ht="12.75" customHeight="1" x14ac:dyDescent="0.25">
      <c r="C581" s="94" t="s">
        <v>119</v>
      </c>
      <c r="D581" s="94" t="s">
        <v>70</v>
      </c>
      <c r="E581" s="101"/>
      <c r="F581" s="93">
        <v>0</v>
      </c>
      <c r="G581" s="93">
        <v>0</v>
      </c>
      <c r="H581" s="93">
        <v>0</v>
      </c>
      <c r="I581" s="93">
        <v>0</v>
      </c>
      <c r="J581" s="93">
        <v>0</v>
      </c>
      <c r="K581" s="93">
        <v>0</v>
      </c>
      <c r="L581" s="93">
        <v>0</v>
      </c>
      <c r="M581" s="93">
        <v>0</v>
      </c>
      <c r="N581" s="93">
        <v>0</v>
      </c>
      <c r="O581" s="93">
        <v>0</v>
      </c>
      <c r="P581" s="93">
        <v>0</v>
      </c>
      <c r="Q581" s="93">
        <v>0</v>
      </c>
      <c r="R581" s="93">
        <v>0</v>
      </c>
      <c r="S581" s="93">
        <v>0</v>
      </c>
      <c r="T581" s="93">
        <v>0</v>
      </c>
      <c r="U581" s="93">
        <v>0</v>
      </c>
      <c r="V581" s="93">
        <v>0</v>
      </c>
      <c r="W581" s="93">
        <v>0</v>
      </c>
      <c r="X581" s="94">
        <v>0</v>
      </c>
      <c r="Y581" s="94">
        <v>0</v>
      </c>
      <c r="Z581" s="94">
        <v>0</v>
      </c>
    </row>
    <row r="582" spans="2:26" s="378" customFormat="1" ht="12.75" customHeight="1" x14ac:dyDescent="0.25">
      <c r="B582" s="378" t="s">
        <v>122</v>
      </c>
      <c r="C582" s="378" t="s">
        <v>70</v>
      </c>
      <c r="E582" s="376"/>
      <c r="F582" s="377">
        <v>0</v>
      </c>
      <c r="G582" s="377">
        <v>0</v>
      </c>
      <c r="H582" s="377">
        <v>0</v>
      </c>
      <c r="I582" s="377">
        <v>0</v>
      </c>
      <c r="J582" s="377">
        <v>0</v>
      </c>
      <c r="K582" s="377">
        <v>0</v>
      </c>
      <c r="L582" s="377">
        <v>0</v>
      </c>
      <c r="M582" s="377">
        <v>0</v>
      </c>
      <c r="N582" s="377">
        <v>0</v>
      </c>
      <c r="O582" s="377">
        <v>0</v>
      </c>
      <c r="P582" s="377">
        <v>0</v>
      </c>
      <c r="Q582" s="377">
        <v>0</v>
      </c>
      <c r="R582" s="377">
        <v>0</v>
      </c>
      <c r="S582" s="377">
        <v>0</v>
      </c>
      <c r="T582" s="378">
        <v>0</v>
      </c>
      <c r="U582" s="378">
        <v>0</v>
      </c>
      <c r="V582" s="378">
        <v>0</v>
      </c>
      <c r="W582" s="378">
        <v>0</v>
      </c>
      <c r="X582" s="378">
        <v>0</v>
      </c>
      <c r="Y582" s="377">
        <v>0</v>
      </c>
      <c r="Z582" s="378">
        <v>0</v>
      </c>
    </row>
    <row r="583" spans="2:26" ht="12.75" customHeight="1" x14ac:dyDescent="0.25">
      <c r="E583" s="89" t="s">
        <v>72</v>
      </c>
      <c r="F583" s="90">
        <v>0</v>
      </c>
      <c r="G583" s="90">
        <v>0</v>
      </c>
      <c r="H583" s="90">
        <v>0</v>
      </c>
      <c r="I583" s="90">
        <v>0</v>
      </c>
      <c r="J583" s="90">
        <v>0</v>
      </c>
      <c r="K583" s="90">
        <v>0</v>
      </c>
      <c r="L583" s="90">
        <v>0</v>
      </c>
      <c r="M583" s="90">
        <v>0</v>
      </c>
      <c r="N583" s="90">
        <v>0</v>
      </c>
      <c r="O583" s="90">
        <v>0</v>
      </c>
      <c r="P583" s="90">
        <v>0</v>
      </c>
      <c r="Q583" s="90">
        <v>0</v>
      </c>
      <c r="R583" s="90">
        <v>0</v>
      </c>
      <c r="S583" s="90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 s="90">
        <v>0</v>
      </c>
      <c r="Z583">
        <v>0</v>
      </c>
    </row>
    <row r="584" spans="2:26" ht="12.75" customHeight="1" x14ac:dyDescent="0.25">
      <c r="E584" s="89" t="s">
        <v>81</v>
      </c>
      <c r="F584" s="371">
        <v>0</v>
      </c>
      <c r="G584" s="90">
        <v>0</v>
      </c>
      <c r="H584" s="90">
        <v>0</v>
      </c>
      <c r="I584" s="90">
        <v>0</v>
      </c>
      <c r="J584" s="90">
        <v>0</v>
      </c>
      <c r="K584" s="90">
        <v>0</v>
      </c>
      <c r="L584" s="90">
        <v>0</v>
      </c>
      <c r="M584" s="90">
        <v>0</v>
      </c>
      <c r="N584" s="90">
        <v>0</v>
      </c>
      <c r="O584" s="90">
        <v>0</v>
      </c>
      <c r="P584" s="90">
        <v>0</v>
      </c>
      <c r="Q584" s="90">
        <v>0</v>
      </c>
      <c r="R584" s="90">
        <v>0</v>
      </c>
      <c r="S584" s="90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 s="90">
        <v>0</v>
      </c>
      <c r="Z584">
        <v>0</v>
      </c>
    </row>
    <row r="585" spans="2:26" ht="12.75" customHeight="1" x14ac:dyDescent="0.25">
      <c r="D585" t="s">
        <v>156</v>
      </c>
      <c r="E585" s="89" t="s">
        <v>70</v>
      </c>
      <c r="F585" s="90">
        <v>0</v>
      </c>
      <c r="G585" s="90">
        <v>0</v>
      </c>
      <c r="H585" s="90">
        <v>0</v>
      </c>
      <c r="I585" s="90">
        <v>0</v>
      </c>
      <c r="J585" s="90">
        <v>0</v>
      </c>
      <c r="K585" s="90">
        <v>0</v>
      </c>
      <c r="L585" s="90">
        <v>0</v>
      </c>
      <c r="M585" s="90">
        <v>0</v>
      </c>
      <c r="N585" s="90">
        <v>0</v>
      </c>
      <c r="O585" s="90">
        <v>0</v>
      </c>
      <c r="P585" s="90">
        <v>0</v>
      </c>
      <c r="Q585" s="90">
        <v>0</v>
      </c>
      <c r="R585" s="90">
        <v>0</v>
      </c>
      <c r="S585" s="90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 s="90">
        <v>0</v>
      </c>
      <c r="Z585">
        <v>0</v>
      </c>
    </row>
    <row r="586" spans="2:26" s="656" customFormat="1" ht="12.75" customHeight="1" x14ac:dyDescent="0.25">
      <c r="C586" s="656" t="s">
        <v>155</v>
      </c>
      <c r="D586" s="657" t="s">
        <v>70</v>
      </c>
      <c r="E586" s="657"/>
      <c r="F586" s="658">
        <v>0</v>
      </c>
      <c r="G586" s="658">
        <v>0</v>
      </c>
      <c r="H586" s="658">
        <v>0</v>
      </c>
      <c r="I586" s="658">
        <v>0</v>
      </c>
      <c r="J586" s="658">
        <v>0</v>
      </c>
      <c r="K586" s="658">
        <v>0</v>
      </c>
      <c r="L586" s="658">
        <v>0</v>
      </c>
      <c r="M586" s="658">
        <v>0</v>
      </c>
      <c r="N586" s="658">
        <v>0</v>
      </c>
      <c r="O586" s="658">
        <v>0</v>
      </c>
      <c r="P586" s="658">
        <v>0</v>
      </c>
      <c r="Q586" s="658">
        <v>0</v>
      </c>
      <c r="R586" s="658">
        <v>0</v>
      </c>
      <c r="S586" s="658">
        <v>0</v>
      </c>
      <c r="T586" s="656">
        <v>0</v>
      </c>
      <c r="U586" s="656">
        <v>0</v>
      </c>
      <c r="V586" s="656">
        <v>0</v>
      </c>
      <c r="W586" s="656">
        <v>0</v>
      </c>
      <c r="X586" s="656">
        <v>0</v>
      </c>
      <c r="Y586" s="658">
        <v>0</v>
      </c>
      <c r="Z586" s="656">
        <v>0</v>
      </c>
    </row>
    <row r="587" spans="2:26" ht="12.75" customHeight="1" x14ac:dyDescent="0.25">
      <c r="D587" s="89"/>
      <c r="E587" s="89" t="s">
        <v>72</v>
      </c>
      <c r="F587" s="371">
        <v>0</v>
      </c>
      <c r="G587" s="90">
        <v>0</v>
      </c>
      <c r="H587" s="90">
        <v>0</v>
      </c>
      <c r="I587" s="90">
        <v>0</v>
      </c>
      <c r="J587" s="90">
        <v>0</v>
      </c>
      <c r="K587" s="90">
        <v>0</v>
      </c>
      <c r="L587" s="90">
        <v>0</v>
      </c>
      <c r="M587" s="90">
        <v>0</v>
      </c>
      <c r="N587" s="90">
        <v>0</v>
      </c>
      <c r="O587" s="90">
        <v>0</v>
      </c>
      <c r="P587" s="90">
        <v>0</v>
      </c>
      <c r="Q587" s="90">
        <v>0</v>
      </c>
      <c r="R587" s="90">
        <v>0</v>
      </c>
      <c r="S587" s="90">
        <v>0</v>
      </c>
      <c r="T587" s="90">
        <v>0</v>
      </c>
      <c r="U587" s="90">
        <v>0</v>
      </c>
      <c r="V587" s="90">
        <v>0</v>
      </c>
      <c r="W587" s="90">
        <v>0</v>
      </c>
      <c r="X587">
        <v>0</v>
      </c>
      <c r="Y587">
        <v>0</v>
      </c>
      <c r="Z587">
        <v>0</v>
      </c>
    </row>
    <row r="588" spans="2:26" ht="12.75" customHeight="1" x14ac:dyDescent="0.25">
      <c r="D588" s="89"/>
      <c r="E588" s="89" t="s">
        <v>81</v>
      </c>
      <c r="F588" s="371">
        <v>0</v>
      </c>
      <c r="G588" s="90">
        <v>0</v>
      </c>
      <c r="H588" s="90">
        <v>0</v>
      </c>
      <c r="I588" s="90">
        <v>0</v>
      </c>
      <c r="J588" s="90">
        <v>0</v>
      </c>
      <c r="K588" s="90">
        <v>0</v>
      </c>
      <c r="L588" s="90">
        <v>0</v>
      </c>
      <c r="M588" s="90">
        <v>0</v>
      </c>
      <c r="N588" s="90">
        <v>0</v>
      </c>
      <c r="O588" s="90">
        <v>0</v>
      </c>
      <c r="P588" s="90">
        <v>0</v>
      </c>
      <c r="Q588" s="90">
        <v>0</v>
      </c>
      <c r="R588" s="90">
        <v>0</v>
      </c>
      <c r="S588" s="90">
        <v>0</v>
      </c>
      <c r="T588" s="90">
        <v>0</v>
      </c>
      <c r="U588" s="90">
        <v>0</v>
      </c>
      <c r="V588" s="90">
        <v>0</v>
      </c>
      <c r="W588" s="90">
        <v>0</v>
      </c>
      <c r="X588">
        <v>0</v>
      </c>
      <c r="Y588">
        <v>0</v>
      </c>
      <c r="Z588">
        <v>0</v>
      </c>
    </row>
    <row r="589" spans="2:26" ht="12.75" customHeight="1" x14ac:dyDescent="0.25">
      <c r="D589" s="89" t="s">
        <v>115</v>
      </c>
      <c r="E589" s="89" t="s">
        <v>70</v>
      </c>
      <c r="F589" s="371">
        <v>0</v>
      </c>
      <c r="G589" s="90">
        <v>0</v>
      </c>
      <c r="H589" s="90">
        <v>0</v>
      </c>
      <c r="I589" s="90">
        <v>0</v>
      </c>
      <c r="J589" s="90">
        <v>0</v>
      </c>
      <c r="K589" s="90">
        <v>0</v>
      </c>
      <c r="L589" s="90">
        <v>0</v>
      </c>
      <c r="M589" s="90">
        <v>0</v>
      </c>
      <c r="N589" s="90">
        <v>0</v>
      </c>
      <c r="O589" s="90">
        <v>0</v>
      </c>
      <c r="P589" s="90">
        <v>0</v>
      </c>
      <c r="Q589" s="90">
        <v>0</v>
      </c>
      <c r="R589" s="90">
        <v>0</v>
      </c>
      <c r="S589" s="90">
        <v>0</v>
      </c>
      <c r="T589" s="90">
        <v>0</v>
      </c>
      <c r="U589" s="90">
        <v>0</v>
      </c>
      <c r="V589" s="90">
        <v>0</v>
      </c>
      <c r="W589" s="90">
        <v>0</v>
      </c>
      <c r="X589">
        <v>0</v>
      </c>
      <c r="Y589">
        <v>0</v>
      </c>
      <c r="Z589">
        <v>0</v>
      </c>
    </row>
    <row r="590" spans="2:26" ht="12.75" customHeight="1" x14ac:dyDescent="0.25">
      <c r="D590" s="89"/>
      <c r="E590" s="89" t="s">
        <v>72</v>
      </c>
      <c r="F590" s="371">
        <v>0</v>
      </c>
      <c r="G590" s="90">
        <v>0</v>
      </c>
      <c r="H590" s="90">
        <v>0</v>
      </c>
      <c r="I590" s="90">
        <v>0</v>
      </c>
      <c r="J590" s="90">
        <v>0</v>
      </c>
      <c r="K590" s="90">
        <v>0</v>
      </c>
      <c r="L590" s="90">
        <v>0</v>
      </c>
      <c r="M590" s="90">
        <v>0</v>
      </c>
      <c r="N590" s="90">
        <v>0</v>
      </c>
      <c r="O590" s="90">
        <v>0</v>
      </c>
      <c r="P590" s="90">
        <v>0</v>
      </c>
      <c r="Q590" s="90">
        <v>0</v>
      </c>
      <c r="R590" s="90">
        <v>0</v>
      </c>
      <c r="S590" s="90">
        <v>0</v>
      </c>
      <c r="T590" s="90">
        <v>0</v>
      </c>
      <c r="U590" s="90">
        <v>0</v>
      </c>
      <c r="V590" s="90">
        <v>0</v>
      </c>
      <c r="W590" s="90">
        <v>0</v>
      </c>
      <c r="X590">
        <v>0</v>
      </c>
      <c r="Y590">
        <v>0</v>
      </c>
      <c r="Z590">
        <v>0</v>
      </c>
    </row>
    <row r="591" spans="2:26" ht="12.75" customHeight="1" x14ac:dyDescent="0.25">
      <c r="D591" s="89"/>
      <c r="E591" s="89" t="s">
        <v>81</v>
      </c>
      <c r="F591" s="90">
        <v>0</v>
      </c>
      <c r="G591" s="90">
        <v>0</v>
      </c>
      <c r="H591" s="90">
        <v>0</v>
      </c>
      <c r="I591" s="90">
        <v>0</v>
      </c>
      <c r="J591" s="90">
        <v>0</v>
      </c>
      <c r="K591" s="90">
        <v>0</v>
      </c>
      <c r="L591" s="90">
        <v>0</v>
      </c>
      <c r="M591" s="90">
        <v>0</v>
      </c>
      <c r="N591" s="90">
        <v>0</v>
      </c>
      <c r="O591" s="90">
        <v>0</v>
      </c>
      <c r="P591" s="90">
        <v>0</v>
      </c>
      <c r="Q591" s="90">
        <v>0</v>
      </c>
      <c r="R591" s="90">
        <v>0</v>
      </c>
      <c r="S591" s="90">
        <v>0</v>
      </c>
      <c r="T591" s="90">
        <v>0</v>
      </c>
      <c r="U591" s="90">
        <v>0</v>
      </c>
      <c r="V591" s="90">
        <v>0</v>
      </c>
      <c r="W591" s="90">
        <v>0</v>
      </c>
      <c r="X591">
        <v>0</v>
      </c>
      <c r="Y591">
        <v>0</v>
      </c>
      <c r="Z591">
        <v>0</v>
      </c>
    </row>
    <row r="592" spans="2:26" ht="12.75" customHeight="1" x14ac:dyDescent="0.25">
      <c r="D592" t="s">
        <v>116</v>
      </c>
      <c r="E592" s="89" t="s">
        <v>70</v>
      </c>
      <c r="F592" s="90">
        <v>0</v>
      </c>
      <c r="G592" s="90">
        <v>0</v>
      </c>
      <c r="H592" s="90">
        <v>0</v>
      </c>
      <c r="I592" s="90">
        <v>0</v>
      </c>
      <c r="J592" s="90">
        <v>0</v>
      </c>
      <c r="K592" s="90">
        <v>0</v>
      </c>
      <c r="L592" s="90">
        <v>0</v>
      </c>
      <c r="M592" s="90">
        <v>0</v>
      </c>
      <c r="N592" s="90">
        <v>0</v>
      </c>
      <c r="O592" s="90">
        <v>0</v>
      </c>
      <c r="P592" s="90">
        <v>0</v>
      </c>
      <c r="Q592" s="90">
        <v>0</v>
      </c>
      <c r="R592" s="90">
        <v>0</v>
      </c>
      <c r="S592" s="90">
        <v>0</v>
      </c>
      <c r="T592" s="90">
        <v>0</v>
      </c>
      <c r="U592" s="90">
        <v>0</v>
      </c>
      <c r="V592" s="90">
        <v>0</v>
      </c>
      <c r="W592" s="90">
        <v>0</v>
      </c>
      <c r="X592">
        <v>0</v>
      </c>
      <c r="Y592">
        <v>0</v>
      </c>
      <c r="Z592">
        <v>0</v>
      </c>
    </row>
    <row r="593" spans="3:26" ht="12.75" customHeight="1" x14ac:dyDescent="0.25">
      <c r="D593" s="89"/>
      <c r="E593" s="89" t="s">
        <v>72</v>
      </c>
      <c r="F593" s="371">
        <v>0</v>
      </c>
      <c r="G593" s="90">
        <v>0</v>
      </c>
      <c r="H593" s="90">
        <v>0</v>
      </c>
      <c r="I593" s="90">
        <v>0</v>
      </c>
      <c r="J593" s="90">
        <v>0</v>
      </c>
      <c r="K593" s="90">
        <v>0</v>
      </c>
      <c r="L593" s="90">
        <v>0</v>
      </c>
      <c r="M593" s="90">
        <v>0</v>
      </c>
      <c r="N593" s="90">
        <v>0</v>
      </c>
      <c r="O593" s="90">
        <v>0</v>
      </c>
      <c r="P593" s="90">
        <v>0</v>
      </c>
      <c r="Q593" s="90">
        <v>0</v>
      </c>
      <c r="R593" s="90">
        <v>0</v>
      </c>
      <c r="S593" s="90">
        <v>0</v>
      </c>
      <c r="T593" s="90">
        <v>0</v>
      </c>
      <c r="U593" s="90">
        <v>0</v>
      </c>
      <c r="V593" s="90">
        <v>0</v>
      </c>
      <c r="W593" s="90">
        <v>0</v>
      </c>
      <c r="X593">
        <v>0</v>
      </c>
      <c r="Y593">
        <v>0</v>
      </c>
      <c r="Z593">
        <v>0</v>
      </c>
    </row>
    <row r="594" spans="3:26" ht="12.75" customHeight="1" x14ac:dyDescent="0.25">
      <c r="D594" s="89"/>
      <c r="E594" s="89" t="s">
        <v>81</v>
      </c>
      <c r="F594" s="371">
        <v>0</v>
      </c>
      <c r="G594" s="90">
        <v>0</v>
      </c>
      <c r="H594" s="90">
        <v>0</v>
      </c>
      <c r="I594" s="90">
        <v>0</v>
      </c>
      <c r="J594" s="90">
        <v>0</v>
      </c>
      <c r="K594" s="90">
        <v>0</v>
      </c>
      <c r="L594" s="90">
        <v>0</v>
      </c>
      <c r="M594" s="90">
        <v>0</v>
      </c>
      <c r="N594" s="90">
        <v>0</v>
      </c>
      <c r="O594" s="90">
        <v>0</v>
      </c>
      <c r="P594" s="90">
        <v>0</v>
      </c>
      <c r="Q594" s="90">
        <v>0</v>
      </c>
      <c r="R594" s="90">
        <v>0</v>
      </c>
      <c r="S594" s="90">
        <v>0</v>
      </c>
      <c r="T594" s="90">
        <v>0</v>
      </c>
      <c r="U594" s="90">
        <v>0</v>
      </c>
      <c r="V594" s="90">
        <v>0</v>
      </c>
      <c r="W594" s="90">
        <v>0</v>
      </c>
      <c r="X594">
        <v>0</v>
      </c>
      <c r="Y594">
        <v>0</v>
      </c>
      <c r="Z594">
        <v>0</v>
      </c>
    </row>
    <row r="595" spans="3:26" ht="12.75" customHeight="1" x14ac:dyDescent="0.25">
      <c r="D595" s="773">
        <v>3</v>
      </c>
      <c r="E595" s="89" t="s">
        <v>70</v>
      </c>
      <c r="F595" s="371">
        <v>0</v>
      </c>
      <c r="G595" s="90">
        <v>0</v>
      </c>
      <c r="H595" s="90">
        <v>0</v>
      </c>
      <c r="I595" s="90">
        <v>0</v>
      </c>
      <c r="J595" s="90">
        <v>0</v>
      </c>
      <c r="K595" s="90">
        <v>0</v>
      </c>
      <c r="L595" s="90">
        <v>0</v>
      </c>
      <c r="M595" s="90">
        <v>0</v>
      </c>
      <c r="N595" s="90">
        <v>0</v>
      </c>
      <c r="O595" s="90">
        <v>0</v>
      </c>
      <c r="P595" s="90">
        <v>0</v>
      </c>
      <c r="Q595" s="90">
        <v>0</v>
      </c>
      <c r="R595" s="90">
        <v>0</v>
      </c>
      <c r="S595" s="90">
        <v>0</v>
      </c>
      <c r="T595" s="90">
        <v>0</v>
      </c>
      <c r="U595" s="90">
        <v>0</v>
      </c>
      <c r="V595" s="90">
        <v>0</v>
      </c>
      <c r="W595" s="90">
        <v>0</v>
      </c>
      <c r="X595">
        <v>0</v>
      </c>
      <c r="Y595">
        <v>0</v>
      </c>
      <c r="Z595">
        <v>0</v>
      </c>
    </row>
    <row r="596" spans="3:26" ht="12.75" customHeight="1" x14ac:dyDescent="0.25">
      <c r="D596" s="89"/>
      <c r="E596" s="89" t="s">
        <v>72</v>
      </c>
      <c r="F596" s="371">
        <v>0</v>
      </c>
      <c r="G596" s="90">
        <v>0</v>
      </c>
      <c r="H596" s="90">
        <v>0</v>
      </c>
      <c r="I596" s="90">
        <v>0</v>
      </c>
      <c r="J596" s="90">
        <v>0</v>
      </c>
      <c r="K596" s="90">
        <v>0</v>
      </c>
      <c r="L596" s="90">
        <v>0</v>
      </c>
      <c r="M596" s="90">
        <v>0</v>
      </c>
      <c r="N596" s="90">
        <v>0</v>
      </c>
      <c r="O596" s="90">
        <v>0</v>
      </c>
      <c r="P596" s="90">
        <v>0</v>
      </c>
      <c r="Q596" s="90">
        <v>0</v>
      </c>
      <c r="R596" s="90">
        <v>0</v>
      </c>
      <c r="S596" s="90">
        <v>0</v>
      </c>
      <c r="T596" s="90">
        <v>0</v>
      </c>
      <c r="U596" s="90">
        <v>0</v>
      </c>
      <c r="V596" s="90">
        <v>0</v>
      </c>
      <c r="W596" s="90">
        <v>0</v>
      </c>
      <c r="X596">
        <v>0</v>
      </c>
      <c r="Y596">
        <v>0</v>
      </c>
      <c r="Z596">
        <v>0</v>
      </c>
    </row>
    <row r="597" spans="3:26" ht="12.75" customHeight="1" x14ac:dyDescent="0.25">
      <c r="D597" s="89"/>
      <c r="E597" s="89" t="s">
        <v>81</v>
      </c>
      <c r="F597" s="371">
        <v>0</v>
      </c>
      <c r="G597" s="90">
        <v>0</v>
      </c>
      <c r="H597" s="90">
        <v>0</v>
      </c>
      <c r="I597" s="90">
        <v>0</v>
      </c>
      <c r="J597" s="90">
        <v>0</v>
      </c>
      <c r="K597" s="90">
        <v>0</v>
      </c>
      <c r="L597" s="90">
        <v>0</v>
      </c>
      <c r="M597" s="90">
        <v>0</v>
      </c>
      <c r="N597" s="90">
        <v>0</v>
      </c>
      <c r="O597" s="90">
        <v>0</v>
      </c>
      <c r="P597" s="90">
        <v>0</v>
      </c>
      <c r="Q597" s="90">
        <v>0</v>
      </c>
      <c r="R597" s="90">
        <v>0</v>
      </c>
      <c r="S597" s="90">
        <v>0</v>
      </c>
      <c r="T597" s="90">
        <v>0</v>
      </c>
      <c r="U597" s="90">
        <v>0</v>
      </c>
      <c r="V597" s="90">
        <v>0</v>
      </c>
      <c r="W597" s="90">
        <v>0</v>
      </c>
      <c r="X597">
        <v>0</v>
      </c>
      <c r="Y597">
        <v>0</v>
      </c>
      <c r="Z597">
        <v>0</v>
      </c>
    </row>
    <row r="598" spans="3:26" ht="12.75" customHeight="1" x14ac:dyDescent="0.25">
      <c r="D598" s="773">
        <v>4</v>
      </c>
      <c r="E598" s="89" t="s">
        <v>70</v>
      </c>
      <c r="F598" s="371">
        <v>0</v>
      </c>
      <c r="G598" s="90">
        <v>0</v>
      </c>
      <c r="H598" s="90">
        <v>0</v>
      </c>
      <c r="I598" s="90">
        <v>0</v>
      </c>
      <c r="J598" s="90">
        <v>0</v>
      </c>
      <c r="K598" s="90">
        <v>0</v>
      </c>
      <c r="L598" s="90">
        <v>0</v>
      </c>
      <c r="M598" s="90">
        <v>0</v>
      </c>
      <c r="N598" s="90">
        <v>0</v>
      </c>
      <c r="O598" s="90">
        <v>0</v>
      </c>
      <c r="P598" s="90">
        <v>0</v>
      </c>
      <c r="Q598" s="90">
        <v>0</v>
      </c>
      <c r="R598" s="90">
        <v>0</v>
      </c>
      <c r="S598" s="90">
        <v>0</v>
      </c>
      <c r="T598" s="90">
        <v>0</v>
      </c>
      <c r="U598" s="90">
        <v>0</v>
      </c>
      <c r="V598" s="90">
        <v>0</v>
      </c>
      <c r="W598" s="90">
        <v>0</v>
      </c>
      <c r="X598">
        <v>0</v>
      </c>
      <c r="Y598">
        <v>0</v>
      </c>
      <c r="Z598">
        <v>0</v>
      </c>
    </row>
    <row r="599" spans="3:26" ht="12.75" customHeight="1" x14ac:dyDescent="0.25">
      <c r="D599" s="89"/>
      <c r="E599" s="89" t="s">
        <v>72</v>
      </c>
      <c r="F599" s="371">
        <v>0</v>
      </c>
      <c r="G599" s="90">
        <v>0</v>
      </c>
      <c r="H599" s="90">
        <v>0</v>
      </c>
      <c r="I599" s="90">
        <v>0</v>
      </c>
      <c r="J599" s="90">
        <v>0</v>
      </c>
      <c r="K599" s="90">
        <v>0</v>
      </c>
      <c r="L599" s="90">
        <v>0</v>
      </c>
      <c r="M599" s="90">
        <v>0</v>
      </c>
      <c r="N599" s="90">
        <v>0</v>
      </c>
      <c r="O599" s="90">
        <v>0</v>
      </c>
      <c r="P599" s="90">
        <v>0</v>
      </c>
      <c r="Q599" s="90">
        <v>0</v>
      </c>
      <c r="R599" s="90">
        <v>0</v>
      </c>
      <c r="S599" s="90">
        <v>0</v>
      </c>
      <c r="T599" s="90">
        <v>0</v>
      </c>
      <c r="U599" s="90">
        <v>0</v>
      </c>
      <c r="V599" s="90">
        <v>0</v>
      </c>
      <c r="W599" s="90">
        <v>0</v>
      </c>
      <c r="X599">
        <v>0</v>
      </c>
      <c r="Y599">
        <v>0</v>
      </c>
      <c r="Z599">
        <v>0</v>
      </c>
    </row>
    <row r="600" spans="3:26" ht="12.75" customHeight="1" x14ac:dyDescent="0.25">
      <c r="D600" s="89"/>
      <c r="E600" s="89" t="s">
        <v>81</v>
      </c>
      <c r="F600" s="90">
        <v>0</v>
      </c>
      <c r="G600" s="90">
        <v>0</v>
      </c>
      <c r="H600" s="90">
        <v>0</v>
      </c>
      <c r="I600" s="90">
        <v>0</v>
      </c>
      <c r="J600" s="90">
        <v>0</v>
      </c>
      <c r="K600" s="90">
        <v>0</v>
      </c>
      <c r="L600" s="90">
        <v>0</v>
      </c>
      <c r="M600" s="90">
        <v>0</v>
      </c>
      <c r="N600" s="90">
        <v>0</v>
      </c>
      <c r="O600" s="90">
        <v>0</v>
      </c>
      <c r="P600" s="90">
        <v>0</v>
      </c>
      <c r="Q600" s="90">
        <v>0</v>
      </c>
      <c r="R600" s="90">
        <v>0</v>
      </c>
      <c r="S600" s="90">
        <v>0</v>
      </c>
      <c r="T600" s="90">
        <v>0</v>
      </c>
      <c r="U600" s="90">
        <v>0</v>
      </c>
      <c r="V600" s="90">
        <v>0</v>
      </c>
      <c r="W600" s="90">
        <v>0</v>
      </c>
      <c r="X600">
        <v>0</v>
      </c>
      <c r="Y600">
        <v>0</v>
      </c>
      <c r="Z600">
        <v>0</v>
      </c>
    </row>
    <row r="601" spans="3:26" ht="12.75" customHeight="1" x14ac:dyDescent="0.25">
      <c r="D601" t="s">
        <v>118</v>
      </c>
      <c r="E601" s="89" t="s">
        <v>70</v>
      </c>
      <c r="F601" s="90">
        <v>0</v>
      </c>
      <c r="G601" s="90">
        <v>0</v>
      </c>
      <c r="H601" s="90">
        <v>0</v>
      </c>
      <c r="I601" s="90">
        <v>0</v>
      </c>
      <c r="J601" s="90">
        <v>0</v>
      </c>
      <c r="K601" s="90">
        <v>0</v>
      </c>
      <c r="L601" s="90">
        <v>0</v>
      </c>
      <c r="M601" s="90">
        <v>0</v>
      </c>
      <c r="N601" s="90">
        <v>0</v>
      </c>
      <c r="O601" s="90">
        <v>0</v>
      </c>
      <c r="P601" s="90">
        <v>0</v>
      </c>
      <c r="Q601" s="90">
        <v>0</v>
      </c>
      <c r="R601" s="90">
        <v>0</v>
      </c>
      <c r="S601" s="90">
        <v>0</v>
      </c>
      <c r="T601" s="90">
        <v>0</v>
      </c>
      <c r="U601" s="90">
        <v>0</v>
      </c>
      <c r="V601" s="90">
        <v>0</v>
      </c>
      <c r="W601" s="90">
        <v>0</v>
      </c>
      <c r="X601">
        <v>0</v>
      </c>
      <c r="Y601">
        <v>0</v>
      </c>
      <c r="Z601">
        <v>0</v>
      </c>
    </row>
    <row r="602" spans="3:26" ht="12.75" customHeight="1" x14ac:dyDescent="0.25">
      <c r="D602" s="89"/>
      <c r="E602" s="89" t="s">
        <v>72</v>
      </c>
      <c r="F602" s="371">
        <v>0</v>
      </c>
      <c r="G602" s="90">
        <v>0</v>
      </c>
      <c r="H602" s="90">
        <v>0</v>
      </c>
      <c r="I602" s="90">
        <v>0</v>
      </c>
      <c r="J602" s="90">
        <v>0</v>
      </c>
      <c r="K602" s="90">
        <v>0</v>
      </c>
      <c r="L602" s="90">
        <v>0</v>
      </c>
      <c r="M602" s="90">
        <v>0</v>
      </c>
      <c r="N602" s="90">
        <v>0</v>
      </c>
      <c r="O602" s="90">
        <v>0</v>
      </c>
      <c r="P602" s="90">
        <v>0</v>
      </c>
      <c r="Q602" s="90">
        <v>0</v>
      </c>
      <c r="R602" s="90">
        <v>0</v>
      </c>
      <c r="S602" s="90">
        <v>0</v>
      </c>
      <c r="T602" s="90">
        <v>0</v>
      </c>
      <c r="U602" s="90">
        <v>0</v>
      </c>
      <c r="V602" s="90">
        <v>0</v>
      </c>
      <c r="W602" s="90">
        <v>0</v>
      </c>
      <c r="X602">
        <v>0</v>
      </c>
      <c r="Y602">
        <v>0</v>
      </c>
      <c r="Z602">
        <v>0</v>
      </c>
    </row>
    <row r="603" spans="3:26" ht="12.75" customHeight="1" x14ac:dyDescent="0.25">
      <c r="D603" s="89"/>
      <c r="E603" s="89" t="s">
        <v>81</v>
      </c>
      <c r="F603" s="90">
        <v>0</v>
      </c>
      <c r="G603" s="90">
        <v>0</v>
      </c>
      <c r="H603" s="90">
        <v>0</v>
      </c>
      <c r="I603" s="90">
        <v>0</v>
      </c>
      <c r="J603" s="90">
        <v>0</v>
      </c>
      <c r="K603" s="90">
        <v>0</v>
      </c>
      <c r="L603" s="90">
        <v>0</v>
      </c>
      <c r="M603" s="90">
        <v>0</v>
      </c>
      <c r="N603" s="90">
        <v>0</v>
      </c>
      <c r="O603" s="90">
        <v>0</v>
      </c>
      <c r="P603" s="90">
        <v>0</v>
      </c>
      <c r="Q603" s="90">
        <v>0</v>
      </c>
      <c r="R603" s="90">
        <v>0</v>
      </c>
      <c r="S603" s="90">
        <v>0</v>
      </c>
      <c r="T603" s="90">
        <v>0</v>
      </c>
      <c r="U603" s="90">
        <v>0</v>
      </c>
      <c r="V603" s="90">
        <v>0</v>
      </c>
      <c r="W603" s="90">
        <v>0</v>
      </c>
      <c r="X603">
        <v>0</v>
      </c>
      <c r="Y603">
        <v>0</v>
      </c>
      <c r="Z603">
        <v>0</v>
      </c>
    </row>
    <row r="604" spans="3:26" ht="12.75" customHeight="1" x14ac:dyDescent="0.25">
      <c r="D604" s="772">
        <v>6</v>
      </c>
      <c r="E604" s="89" t="s">
        <v>70</v>
      </c>
      <c r="F604" s="90">
        <v>0</v>
      </c>
      <c r="G604" s="90">
        <v>0</v>
      </c>
      <c r="H604" s="90">
        <v>0</v>
      </c>
      <c r="I604" s="90">
        <v>0</v>
      </c>
      <c r="J604" s="90">
        <v>0</v>
      </c>
      <c r="K604" s="90">
        <v>0</v>
      </c>
      <c r="L604" s="90">
        <v>0</v>
      </c>
      <c r="M604" s="90">
        <v>0</v>
      </c>
      <c r="N604" s="90">
        <v>0</v>
      </c>
      <c r="O604" s="90">
        <v>0</v>
      </c>
      <c r="P604" s="90">
        <v>0</v>
      </c>
      <c r="Q604" s="90">
        <v>0</v>
      </c>
      <c r="R604" s="90">
        <v>0</v>
      </c>
      <c r="S604" s="90">
        <v>0</v>
      </c>
      <c r="T604" s="90">
        <v>0</v>
      </c>
      <c r="U604" s="90">
        <v>0</v>
      </c>
      <c r="V604" s="90">
        <v>0</v>
      </c>
      <c r="W604" s="90">
        <v>0</v>
      </c>
      <c r="X604">
        <v>0</v>
      </c>
      <c r="Y604">
        <v>0</v>
      </c>
      <c r="Z604">
        <v>0</v>
      </c>
    </row>
    <row r="605" spans="3:26" ht="12.75" customHeight="1" x14ac:dyDescent="0.25">
      <c r="D605" s="89"/>
      <c r="E605" s="89" t="s">
        <v>72</v>
      </c>
      <c r="F605" s="90">
        <v>0</v>
      </c>
      <c r="G605" s="90">
        <v>0</v>
      </c>
      <c r="H605" s="90">
        <v>0</v>
      </c>
      <c r="I605" s="90">
        <v>0</v>
      </c>
      <c r="J605" s="90">
        <v>0</v>
      </c>
      <c r="K605" s="90">
        <v>0</v>
      </c>
      <c r="L605" s="90">
        <v>0</v>
      </c>
      <c r="M605" s="90">
        <v>0</v>
      </c>
      <c r="N605" s="90">
        <v>0</v>
      </c>
      <c r="O605" s="90">
        <v>0</v>
      </c>
      <c r="P605" s="90">
        <v>0</v>
      </c>
      <c r="Q605" s="90">
        <v>0</v>
      </c>
      <c r="R605" s="90">
        <v>0</v>
      </c>
      <c r="S605" s="90">
        <v>0</v>
      </c>
      <c r="T605" s="90">
        <v>0</v>
      </c>
      <c r="U605" s="90">
        <v>0</v>
      </c>
      <c r="V605" s="90">
        <v>0</v>
      </c>
      <c r="W605" s="90">
        <v>0</v>
      </c>
      <c r="X605">
        <v>0</v>
      </c>
      <c r="Y605">
        <v>0</v>
      </c>
      <c r="Z605">
        <v>0</v>
      </c>
    </row>
    <row r="606" spans="3:26" ht="12.75" customHeight="1" x14ac:dyDescent="0.25">
      <c r="E606" s="89" t="s">
        <v>81</v>
      </c>
      <c r="F606" s="90">
        <v>0</v>
      </c>
      <c r="G606" s="90">
        <v>0</v>
      </c>
      <c r="H606" s="90">
        <v>0</v>
      </c>
      <c r="I606" s="90">
        <v>0</v>
      </c>
      <c r="J606" s="90">
        <v>0</v>
      </c>
      <c r="K606" s="90">
        <v>0</v>
      </c>
      <c r="L606" s="90">
        <v>0</v>
      </c>
      <c r="M606" s="90">
        <v>0</v>
      </c>
      <c r="N606" s="90">
        <v>0</v>
      </c>
      <c r="O606" s="90">
        <v>0</v>
      </c>
      <c r="P606" s="90">
        <v>0</v>
      </c>
      <c r="Q606" s="90">
        <v>0</v>
      </c>
      <c r="R606" s="90">
        <v>0</v>
      </c>
      <c r="S606" s="90">
        <v>0</v>
      </c>
      <c r="T606" s="90">
        <v>0</v>
      </c>
      <c r="U606" s="90">
        <v>0</v>
      </c>
      <c r="V606" s="90">
        <v>0</v>
      </c>
      <c r="W606" s="90">
        <v>0</v>
      </c>
      <c r="X606">
        <v>0</v>
      </c>
      <c r="Y606">
        <v>0</v>
      </c>
      <c r="Z606">
        <v>0</v>
      </c>
    </row>
    <row r="607" spans="3:26" ht="12.75" customHeight="1" x14ac:dyDescent="0.25">
      <c r="D607" s="772">
        <v>9</v>
      </c>
      <c r="E607" s="89" t="s">
        <v>70</v>
      </c>
      <c r="F607" s="90">
        <v>0</v>
      </c>
      <c r="G607" s="90">
        <v>0</v>
      </c>
      <c r="H607" s="90">
        <v>0</v>
      </c>
      <c r="I607" s="90">
        <v>0</v>
      </c>
      <c r="J607" s="90">
        <v>0</v>
      </c>
      <c r="K607" s="90">
        <v>0</v>
      </c>
      <c r="L607" s="90">
        <v>0</v>
      </c>
      <c r="M607" s="90">
        <v>0</v>
      </c>
      <c r="N607" s="90">
        <v>0</v>
      </c>
      <c r="O607" s="90">
        <v>0</v>
      </c>
      <c r="P607" s="90">
        <v>0</v>
      </c>
      <c r="Q607" s="90">
        <v>0</v>
      </c>
      <c r="R607" s="90">
        <v>0</v>
      </c>
      <c r="S607" s="90">
        <v>0</v>
      </c>
      <c r="T607" s="90">
        <v>0</v>
      </c>
      <c r="U607" s="90">
        <v>0</v>
      </c>
      <c r="V607" s="90">
        <v>0</v>
      </c>
      <c r="W607" s="90">
        <v>0</v>
      </c>
      <c r="X607">
        <v>0</v>
      </c>
      <c r="Y607">
        <v>0</v>
      </c>
      <c r="Z607">
        <v>0</v>
      </c>
    </row>
    <row r="608" spans="3:26" s="224" customFormat="1" ht="12.75" customHeight="1" x14ac:dyDescent="0.25">
      <c r="C608" s="223" t="s">
        <v>120</v>
      </c>
      <c r="D608" s="223" t="s">
        <v>70</v>
      </c>
      <c r="F608" s="225">
        <v>0</v>
      </c>
      <c r="G608" s="225">
        <v>0</v>
      </c>
      <c r="H608" s="225">
        <v>0</v>
      </c>
      <c r="I608" s="225">
        <v>0</v>
      </c>
      <c r="J608" s="225">
        <v>0</v>
      </c>
      <c r="K608" s="225">
        <v>0</v>
      </c>
      <c r="L608" s="225">
        <v>0</v>
      </c>
      <c r="M608" s="225">
        <v>0</v>
      </c>
      <c r="N608" s="225">
        <v>0</v>
      </c>
      <c r="O608" s="225">
        <v>0</v>
      </c>
      <c r="P608" s="225">
        <v>0</v>
      </c>
      <c r="Q608" s="225">
        <v>0</v>
      </c>
      <c r="R608" s="225">
        <v>0</v>
      </c>
      <c r="S608" s="225">
        <v>0</v>
      </c>
      <c r="T608" s="224">
        <v>0</v>
      </c>
      <c r="U608" s="224">
        <v>0</v>
      </c>
      <c r="V608" s="224">
        <v>0</v>
      </c>
      <c r="W608" s="224">
        <v>0</v>
      </c>
      <c r="X608" s="224">
        <v>0</v>
      </c>
      <c r="Y608" s="225">
        <v>0</v>
      </c>
      <c r="Z608" s="224">
        <v>0</v>
      </c>
    </row>
    <row r="609" spans="1:26" ht="12.75" customHeight="1" x14ac:dyDescent="0.25">
      <c r="E609" s="89" t="s">
        <v>72</v>
      </c>
      <c r="F609" s="90">
        <v>0</v>
      </c>
      <c r="G609" s="90">
        <v>0</v>
      </c>
      <c r="H609" s="90">
        <v>0</v>
      </c>
      <c r="I609" s="90">
        <v>0</v>
      </c>
      <c r="J609" s="90">
        <v>0</v>
      </c>
      <c r="K609" s="90">
        <v>0</v>
      </c>
      <c r="L609" s="90">
        <v>0</v>
      </c>
      <c r="M609" s="90">
        <v>0</v>
      </c>
      <c r="N609" s="90">
        <v>0</v>
      </c>
      <c r="O609" s="90">
        <v>0</v>
      </c>
      <c r="P609" s="90">
        <v>0</v>
      </c>
      <c r="Q609" s="90">
        <v>0</v>
      </c>
      <c r="R609" s="90">
        <v>0</v>
      </c>
      <c r="S609" s="90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 s="90">
        <v>0</v>
      </c>
      <c r="Z609">
        <v>0</v>
      </c>
    </row>
    <row r="610" spans="1:26" ht="12.75" customHeight="1" x14ac:dyDescent="0.25">
      <c r="D610" s="89"/>
      <c r="E610" s="89" t="s">
        <v>81</v>
      </c>
      <c r="F610" s="90">
        <v>0</v>
      </c>
      <c r="G610" s="90">
        <v>0</v>
      </c>
      <c r="H610" s="90">
        <v>0</v>
      </c>
      <c r="I610" s="90">
        <v>0</v>
      </c>
      <c r="J610" s="90">
        <v>0</v>
      </c>
      <c r="K610" s="90">
        <v>0</v>
      </c>
      <c r="L610" s="90">
        <v>0</v>
      </c>
      <c r="M610" s="90">
        <v>0</v>
      </c>
      <c r="N610" s="90">
        <v>0</v>
      </c>
      <c r="O610" s="90">
        <v>0</v>
      </c>
      <c r="P610" s="90">
        <v>0</v>
      </c>
      <c r="Q610" s="90">
        <v>0</v>
      </c>
      <c r="R610" s="90">
        <v>0</v>
      </c>
      <c r="S610" s="9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 s="90">
        <v>0</v>
      </c>
      <c r="Z610">
        <v>0</v>
      </c>
    </row>
    <row r="611" spans="1:26" ht="12.75" customHeight="1" x14ac:dyDescent="0.25">
      <c r="D611" t="s">
        <v>82</v>
      </c>
      <c r="E611" s="89" t="s">
        <v>70</v>
      </c>
      <c r="F611" s="90">
        <v>0</v>
      </c>
      <c r="G611" s="90">
        <v>0</v>
      </c>
      <c r="H611" s="90">
        <v>0</v>
      </c>
      <c r="I611" s="90">
        <v>0</v>
      </c>
      <c r="J611" s="90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0">
        <v>0</v>
      </c>
      <c r="S611" s="90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 s="90">
        <v>0</v>
      </c>
      <c r="Z611">
        <v>0</v>
      </c>
    </row>
    <row r="612" spans="1:26" ht="12.75" customHeight="1" x14ac:dyDescent="0.25">
      <c r="E612" s="89" t="s">
        <v>72</v>
      </c>
      <c r="F612" s="90">
        <v>0</v>
      </c>
      <c r="G612" s="90">
        <v>0</v>
      </c>
      <c r="H612" s="90">
        <v>0</v>
      </c>
      <c r="I612" s="90">
        <v>0</v>
      </c>
      <c r="J612" s="90">
        <v>0</v>
      </c>
      <c r="K612" s="90">
        <v>0</v>
      </c>
      <c r="L612" s="90">
        <v>0</v>
      </c>
      <c r="M612" s="90">
        <v>0</v>
      </c>
      <c r="N612" s="90">
        <v>0</v>
      </c>
      <c r="O612" s="90">
        <v>0</v>
      </c>
      <c r="P612" s="90">
        <v>0</v>
      </c>
      <c r="Q612" s="90">
        <v>0</v>
      </c>
      <c r="R612" s="90">
        <v>0</v>
      </c>
      <c r="S612" s="90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 s="90">
        <v>0</v>
      </c>
      <c r="Z612">
        <v>0</v>
      </c>
    </row>
    <row r="613" spans="1:26" ht="12.75" customHeight="1" x14ac:dyDescent="0.25">
      <c r="D613" s="89"/>
      <c r="E613" s="89" t="s">
        <v>81</v>
      </c>
      <c r="F613" s="90">
        <v>0</v>
      </c>
      <c r="G613" s="90">
        <v>0</v>
      </c>
      <c r="H613" s="90">
        <v>0</v>
      </c>
      <c r="I613" s="90">
        <v>0</v>
      </c>
      <c r="J613" s="90">
        <v>0</v>
      </c>
      <c r="K613" s="90">
        <v>0</v>
      </c>
      <c r="L613" s="90">
        <v>0</v>
      </c>
      <c r="M613" s="90">
        <v>0</v>
      </c>
      <c r="N613" s="90">
        <v>0</v>
      </c>
      <c r="O613" s="90">
        <v>0</v>
      </c>
      <c r="P613" s="90">
        <v>0</v>
      </c>
      <c r="Q613" s="90">
        <v>0</v>
      </c>
      <c r="R613" s="90">
        <v>0</v>
      </c>
      <c r="S613" s="90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 s="90">
        <v>0</v>
      </c>
      <c r="Z613">
        <v>0</v>
      </c>
    </row>
    <row r="614" spans="1:26" ht="12.75" customHeight="1" x14ac:dyDescent="0.25">
      <c r="C614" s="89"/>
      <c r="D614" s="89" t="s">
        <v>86</v>
      </c>
      <c r="E614" t="s">
        <v>70</v>
      </c>
      <c r="F614" s="90">
        <v>0</v>
      </c>
      <c r="G614" s="90">
        <v>0</v>
      </c>
      <c r="H614" s="90">
        <v>0</v>
      </c>
      <c r="I614" s="90">
        <v>0</v>
      </c>
      <c r="J614" s="90">
        <v>0</v>
      </c>
      <c r="K614" s="90">
        <v>0</v>
      </c>
      <c r="L614" s="90">
        <v>0</v>
      </c>
      <c r="M614" s="90">
        <v>0</v>
      </c>
      <c r="N614" s="90">
        <v>0</v>
      </c>
      <c r="O614" s="90">
        <v>0</v>
      </c>
      <c r="P614" s="90">
        <v>0</v>
      </c>
      <c r="Q614" s="90">
        <v>0</v>
      </c>
      <c r="R614" s="90">
        <v>0</v>
      </c>
      <c r="S614" s="90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 s="90">
        <v>0</v>
      </c>
      <c r="Z614">
        <v>0</v>
      </c>
    </row>
    <row r="615" spans="1:26" ht="12.75" customHeight="1" x14ac:dyDescent="0.25">
      <c r="B615" s="89"/>
      <c r="C615" s="89"/>
      <c r="E615" t="s">
        <v>72</v>
      </c>
      <c r="F615" s="90">
        <v>0</v>
      </c>
      <c r="G615" s="90">
        <v>0</v>
      </c>
      <c r="H615" s="90">
        <v>0</v>
      </c>
      <c r="I615" s="90">
        <v>0</v>
      </c>
      <c r="J615" s="90">
        <v>0</v>
      </c>
      <c r="K615" s="90">
        <v>0</v>
      </c>
      <c r="L615" s="90">
        <v>0</v>
      </c>
      <c r="M615" s="90">
        <v>0</v>
      </c>
      <c r="N615" s="90">
        <v>0</v>
      </c>
      <c r="O615" s="90">
        <v>0</v>
      </c>
      <c r="P615" s="90">
        <v>0</v>
      </c>
      <c r="Q615" s="90">
        <v>0</v>
      </c>
      <c r="R615" s="90">
        <v>0</v>
      </c>
      <c r="S615" s="90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 s="90">
        <v>0</v>
      </c>
      <c r="Z615">
        <v>0</v>
      </c>
    </row>
    <row r="616" spans="1:26" ht="12.75" customHeight="1" x14ac:dyDescent="0.25">
      <c r="A616" s="89"/>
      <c r="B616" s="89"/>
      <c r="E616" t="s">
        <v>81</v>
      </c>
      <c r="F616" s="90">
        <v>0</v>
      </c>
      <c r="G616" s="90">
        <v>0</v>
      </c>
      <c r="H616" s="90">
        <v>0</v>
      </c>
      <c r="I616" s="90">
        <v>0</v>
      </c>
      <c r="J616" s="90">
        <v>0</v>
      </c>
      <c r="K616" s="90">
        <v>0</v>
      </c>
      <c r="L616" s="90">
        <v>0</v>
      </c>
      <c r="M616" s="90">
        <v>0</v>
      </c>
      <c r="N616" s="90">
        <v>0</v>
      </c>
      <c r="O616" s="90">
        <v>0</v>
      </c>
      <c r="P616" s="90">
        <v>0</v>
      </c>
      <c r="Q616" s="90">
        <v>0</v>
      </c>
      <c r="R616" s="90">
        <v>0</v>
      </c>
      <c r="S616" s="90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 s="90">
        <v>0</v>
      </c>
      <c r="Z616">
        <v>0</v>
      </c>
    </row>
    <row r="617" spans="1:26" ht="12.75" customHeight="1" x14ac:dyDescent="0.25">
      <c r="A617" s="89"/>
      <c r="B617" s="89"/>
      <c r="D617" t="s">
        <v>87</v>
      </c>
      <c r="E617" t="s">
        <v>70</v>
      </c>
      <c r="F617" s="371">
        <v>0</v>
      </c>
      <c r="G617" s="90">
        <v>0</v>
      </c>
      <c r="H617" s="90">
        <v>0</v>
      </c>
      <c r="I617" s="90">
        <v>0</v>
      </c>
      <c r="J617" s="90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0">
        <v>0</v>
      </c>
      <c r="S617" s="90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 s="90">
        <v>0</v>
      </c>
      <c r="Z617">
        <v>0</v>
      </c>
    </row>
    <row r="618" spans="1:26" s="94" customFormat="1" ht="12.75" customHeight="1" x14ac:dyDescent="0.25">
      <c r="C618" s="101" t="s">
        <v>119</v>
      </c>
      <c r="D618" s="101" t="s">
        <v>70</v>
      </c>
      <c r="F618" s="93">
        <v>0</v>
      </c>
      <c r="G618" s="93">
        <v>0</v>
      </c>
      <c r="H618" s="93">
        <v>0</v>
      </c>
      <c r="I618" s="93">
        <v>0</v>
      </c>
      <c r="J618" s="93">
        <v>0</v>
      </c>
      <c r="K618" s="93">
        <v>0</v>
      </c>
      <c r="L618" s="93">
        <v>0</v>
      </c>
      <c r="M618" s="93">
        <v>0</v>
      </c>
      <c r="N618" s="93">
        <v>0</v>
      </c>
      <c r="O618" s="93">
        <v>0</v>
      </c>
      <c r="P618" s="93">
        <v>0</v>
      </c>
      <c r="Q618" s="93">
        <v>0</v>
      </c>
      <c r="R618" s="93">
        <v>0</v>
      </c>
      <c r="S618" s="93">
        <v>0</v>
      </c>
      <c r="T618" s="94">
        <v>0</v>
      </c>
      <c r="U618" s="94">
        <v>0</v>
      </c>
      <c r="V618" s="94">
        <v>0</v>
      </c>
      <c r="W618" s="94">
        <v>0</v>
      </c>
      <c r="X618" s="94">
        <v>0</v>
      </c>
      <c r="Y618" s="93">
        <v>0</v>
      </c>
      <c r="Z618" s="94">
        <v>0</v>
      </c>
    </row>
    <row r="619" spans="1:26" s="226" customFormat="1" ht="12.75" customHeight="1" x14ac:dyDescent="0.25">
      <c r="B619" s="98" t="s">
        <v>112</v>
      </c>
      <c r="C619" s="98" t="s">
        <v>70</v>
      </c>
      <c r="F619" s="100">
        <v>0</v>
      </c>
      <c r="G619" s="100">
        <v>0</v>
      </c>
      <c r="H619" s="100">
        <v>0</v>
      </c>
      <c r="I619" s="100">
        <v>0</v>
      </c>
      <c r="J619" s="100">
        <v>0</v>
      </c>
      <c r="K619" s="100">
        <v>0</v>
      </c>
      <c r="L619" s="100">
        <v>0</v>
      </c>
      <c r="M619" s="100">
        <v>0</v>
      </c>
      <c r="N619" s="100">
        <v>0</v>
      </c>
      <c r="O619" s="100">
        <v>0</v>
      </c>
      <c r="P619" s="100">
        <v>0</v>
      </c>
      <c r="Q619" s="100">
        <v>0</v>
      </c>
      <c r="R619" s="100">
        <v>0</v>
      </c>
      <c r="S619" s="100">
        <v>0</v>
      </c>
      <c r="T619" s="226">
        <v>0</v>
      </c>
      <c r="U619" s="226">
        <v>0</v>
      </c>
      <c r="V619" s="226">
        <v>0</v>
      </c>
      <c r="W619" s="226">
        <v>0</v>
      </c>
      <c r="X619" s="226">
        <v>0</v>
      </c>
      <c r="Y619" s="100">
        <v>0</v>
      </c>
      <c r="Z619" s="226">
        <v>0</v>
      </c>
    </row>
    <row r="620" spans="1:26" ht="12" customHeight="1" x14ac:dyDescent="0.25">
      <c r="A620" s="89" t="s">
        <v>78</v>
      </c>
      <c r="B620" s="89" t="s">
        <v>70</v>
      </c>
      <c r="F620" s="371">
        <v>0</v>
      </c>
      <c r="G620" s="90">
        <v>0</v>
      </c>
      <c r="H620" s="90">
        <v>0</v>
      </c>
      <c r="I620" s="90">
        <v>0</v>
      </c>
      <c r="J620" s="90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0</v>
      </c>
      <c r="R620" s="90">
        <v>0</v>
      </c>
      <c r="S620" s="9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 s="90">
        <v>0</v>
      </c>
      <c r="Z620">
        <v>0</v>
      </c>
    </row>
    <row r="621" spans="1:26" ht="12.75" customHeight="1" x14ac:dyDescent="0.25">
      <c r="B621" s="89"/>
      <c r="C621" s="89"/>
      <c r="E621" t="s">
        <v>73</v>
      </c>
      <c r="F621" s="90">
        <v>0</v>
      </c>
      <c r="G621" s="90">
        <v>0</v>
      </c>
      <c r="H621" s="90">
        <v>0</v>
      </c>
      <c r="I621" s="90">
        <v>0</v>
      </c>
      <c r="J621" s="90">
        <v>0</v>
      </c>
      <c r="K621" s="90">
        <v>0</v>
      </c>
      <c r="L621" s="90">
        <v>0</v>
      </c>
      <c r="M621" s="90">
        <v>0</v>
      </c>
      <c r="N621" s="90">
        <v>0</v>
      </c>
      <c r="O621" s="90">
        <v>0</v>
      </c>
      <c r="P621" s="90">
        <v>0</v>
      </c>
      <c r="Q621" s="90">
        <v>0</v>
      </c>
      <c r="R621" s="90">
        <v>0</v>
      </c>
      <c r="S621" s="90">
        <v>0</v>
      </c>
      <c r="T621" s="90">
        <v>0</v>
      </c>
      <c r="U621" s="90">
        <v>0</v>
      </c>
      <c r="V621" s="90">
        <v>0</v>
      </c>
      <c r="W621" s="90">
        <v>0</v>
      </c>
      <c r="X621">
        <v>0</v>
      </c>
      <c r="Y621">
        <v>0</v>
      </c>
      <c r="Z621">
        <v>0</v>
      </c>
    </row>
    <row r="622" spans="1:26" ht="12.75" customHeight="1" x14ac:dyDescent="0.25">
      <c r="B622" s="89"/>
      <c r="C622" s="89"/>
      <c r="D622" t="s">
        <v>156</v>
      </c>
      <c r="E622" t="s">
        <v>70</v>
      </c>
      <c r="F622" s="90">
        <v>0</v>
      </c>
      <c r="G622" s="90">
        <v>0</v>
      </c>
      <c r="H622" s="90">
        <v>0</v>
      </c>
      <c r="I622" s="90">
        <v>0</v>
      </c>
      <c r="J622" s="90">
        <v>0</v>
      </c>
      <c r="K622" s="90">
        <v>0</v>
      </c>
      <c r="L622" s="90">
        <v>0</v>
      </c>
      <c r="M622" s="90">
        <v>0</v>
      </c>
      <c r="N622" s="90">
        <v>0</v>
      </c>
      <c r="O622" s="90">
        <v>0</v>
      </c>
      <c r="P622" s="90">
        <v>0</v>
      </c>
      <c r="Q622" s="90">
        <v>0</v>
      </c>
      <c r="R622" s="90">
        <v>0</v>
      </c>
      <c r="S622" s="90">
        <v>0</v>
      </c>
      <c r="T622" s="90">
        <v>0</v>
      </c>
      <c r="U622" s="90">
        <v>0</v>
      </c>
      <c r="V622" s="90">
        <v>0</v>
      </c>
      <c r="W622" s="90">
        <v>0</v>
      </c>
      <c r="X622">
        <v>0</v>
      </c>
      <c r="Y622">
        <v>0</v>
      </c>
      <c r="Z622">
        <v>0</v>
      </c>
    </row>
    <row r="623" spans="1:26" s="656" customFormat="1" ht="12.75" customHeight="1" x14ac:dyDescent="0.25">
      <c r="C623" s="656" t="s">
        <v>155</v>
      </c>
      <c r="D623" s="657" t="s">
        <v>70</v>
      </c>
      <c r="E623" s="657"/>
      <c r="F623" s="658">
        <v>0</v>
      </c>
      <c r="G623" s="658">
        <v>0</v>
      </c>
      <c r="H623" s="658">
        <v>0</v>
      </c>
      <c r="I623" s="658">
        <v>0</v>
      </c>
      <c r="J623" s="658">
        <v>0</v>
      </c>
      <c r="K623" s="658">
        <v>0</v>
      </c>
      <c r="L623" s="658">
        <v>0</v>
      </c>
      <c r="M623" s="658">
        <v>0</v>
      </c>
      <c r="N623" s="658">
        <v>0</v>
      </c>
      <c r="O623" s="658">
        <v>0</v>
      </c>
      <c r="P623" s="658">
        <v>0</v>
      </c>
      <c r="Q623" s="658">
        <v>0</v>
      </c>
      <c r="R623" s="658">
        <v>0</v>
      </c>
      <c r="S623" s="658">
        <v>0</v>
      </c>
      <c r="T623" s="658">
        <v>0</v>
      </c>
      <c r="U623" s="658">
        <v>0</v>
      </c>
      <c r="V623" s="658">
        <v>0</v>
      </c>
      <c r="W623" s="658">
        <v>0</v>
      </c>
      <c r="X623" s="656">
        <v>0</v>
      </c>
      <c r="Y623" s="656">
        <v>0</v>
      </c>
      <c r="Z623" s="656">
        <v>0</v>
      </c>
    </row>
    <row r="624" spans="1:26" ht="12.75" customHeight="1" x14ac:dyDescent="0.25">
      <c r="E624" s="89" t="s">
        <v>73</v>
      </c>
      <c r="F624" s="90">
        <v>0</v>
      </c>
      <c r="G624" s="90">
        <v>0</v>
      </c>
      <c r="H624" s="90">
        <v>0</v>
      </c>
      <c r="I624" s="90">
        <v>0</v>
      </c>
      <c r="J624" s="90">
        <v>0</v>
      </c>
      <c r="K624" s="90">
        <v>0</v>
      </c>
      <c r="L624" s="90">
        <v>0</v>
      </c>
      <c r="M624" s="90">
        <v>0</v>
      </c>
      <c r="N624" s="90">
        <v>0</v>
      </c>
      <c r="O624" s="90">
        <v>0</v>
      </c>
      <c r="P624" s="90">
        <v>0</v>
      </c>
      <c r="Q624" s="90">
        <v>0</v>
      </c>
      <c r="R624" s="90">
        <v>0</v>
      </c>
      <c r="S624" s="90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 s="90">
        <v>0</v>
      </c>
      <c r="Z624">
        <v>0</v>
      </c>
    </row>
    <row r="625" spans="3:26" ht="12.75" customHeight="1" x14ac:dyDescent="0.25">
      <c r="D625" t="s">
        <v>115</v>
      </c>
      <c r="E625" s="89" t="s">
        <v>70</v>
      </c>
      <c r="F625" s="371">
        <v>0</v>
      </c>
      <c r="G625" s="90">
        <v>0</v>
      </c>
      <c r="H625" s="90">
        <v>0</v>
      </c>
      <c r="I625" s="90">
        <v>0</v>
      </c>
      <c r="J625" s="90">
        <v>0</v>
      </c>
      <c r="K625" s="90">
        <v>0</v>
      </c>
      <c r="L625" s="90">
        <v>0</v>
      </c>
      <c r="M625" s="90">
        <v>0</v>
      </c>
      <c r="N625" s="90">
        <v>0</v>
      </c>
      <c r="O625" s="90">
        <v>0</v>
      </c>
      <c r="P625" s="90">
        <v>0</v>
      </c>
      <c r="Q625" s="90">
        <v>0</v>
      </c>
      <c r="R625" s="90">
        <v>0</v>
      </c>
      <c r="S625" s="90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 s="90">
        <v>0</v>
      </c>
      <c r="Z625">
        <v>0</v>
      </c>
    </row>
    <row r="626" spans="3:26" ht="12.75" customHeight="1" x14ac:dyDescent="0.25">
      <c r="E626" s="89" t="s">
        <v>73</v>
      </c>
      <c r="F626" s="371">
        <v>0</v>
      </c>
      <c r="G626" s="90">
        <v>0</v>
      </c>
      <c r="H626" s="90">
        <v>0</v>
      </c>
      <c r="I626" s="90">
        <v>0</v>
      </c>
      <c r="J626" s="90">
        <v>0</v>
      </c>
      <c r="K626" s="90">
        <v>0</v>
      </c>
      <c r="L626" s="90">
        <v>0</v>
      </c>
      <c r="M626" s="90">
        <v>0</v>
      </c>
      <c r="N626" s="90">
        <v>0</v>
      </c>
      <c r="O626" s="90">
        <v>0</v>
      </c>
      <c r="P626" s="90">
        <v>0</v>
      </c>
      <c r="Q626" s="90">
        <v>0</v>
      </c>
      <c r="R626" s="90">
        <v>0</v>
      </c>
      <c r="S626" s="90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 s="90">
        <v>0</v>
      </c>
      <c r="Z626">
        <v>0</v>
      </c>
    </row>
    <row r="627" spans="3:26" ht="12.75" customHeight="1" x14ac:dyDescent="0.25">
      <c r="D627" s="772">
        <v>2</v>
      </c>
      <c r="E627" s="89" t="s">
        <v>70</v>
      </c>
      <c r="F627" s="371">
        <v>0</v>
      </c>
      <c r="G627" s="90">
        <v>0</v>
      </c>
      <c r="H627" s="90">
        <v>0</v>
      </c>
      <c r="I627" s="90">
        <v>0</v>
      </c>
      <c r="J627" s="90">
        <v>0</v>
      </c>
      <c r="K627" s="90">
        <v>0</v>
      </c>
      <c r="L627" s="90">
        <v>0</v>
      </c>
      <c r="M627" s="90">
        <v>0</v>
      </c>
      <c r="N627" s="90">
        <v>0</v>
      </c>
      <c r="O627" s="90">
        <v>0</v>
      </c>
      <c r="P627" s="90">
        <v>0</v>
      </c>
      <c r="Q627" s="90">
        <v>0</v>
      </c>
      <c r="R627" s="90">
        <v>0</v>
      </c>
      <c r="S627" s="90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 s="90">
        <v>0</v>
      </c>
      <c r="Z627">
        <v>0</v>
      </c>
    </row>
    <row r="628" spans="3:26" ht="12.75" customHeight="1" x14ac:dyDescent="0.25">
      <c r="E628" s="89" t="s">
        <v>73</v>
      </c>
      <c r="F628" s="371">
        <v>0</v>
      </c>
      <c r="G628" s="90">
        <v>0</v>
      </c>
      <c r="H628" s="90">
        <v>0</v>
      </c>
      <c r="I628" s="90">
        <v>0</v>
      </c>
      <c r="J628" s="90">
        <v>0</v>
      </c>
      <c r="K628" s="90">
        <v>0</v>
      </c>
      <c r="L628" s="90">
        <v>0</v>
      </c>
      <c r="M628" s="90">
        <v>0</v>
      </c>
      <c r="N628" s="90">
        <v>0</v>
      </c>
      <c r="O628" s="90">
        <v>0</v>
      </c>
      <c r="P628" s="90">
        <v>0</v>
      </c>
      <c r="Q628" s="90">
        <v>0</v>
      </c>
      <c r="R628" s="90">
        <v>0</v>
      </c>
      <c r="S628" s="90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 s="90">
        <v>0</v>
      </c>
      <c r="Z628">
        <v>0</v>
      </c>
    </row>
    <row r="629" spans="3:26" ht="12.75" customHeight="1" x14ac:dyDescent="0.25">
      <c r="D629" s="772">
        <v>3</v>
      </c>
      <c r="E629" s="89" t="s">
        <v>70</v>
      </c>
      <c r="F629" s="371">
        <v>0</v>
      </c>
      <c r="G629" s="90">
        <v>0</v>
      </c>
      <c r="H629" s="90">
        <v>0</v>
      </c>
      <c r="I629" s="90">
        <v>0</v>
      </c>
      <c r="J629" s="90">
        <v>0</v>
      </c>
      <c r="K629" s="90">
        <v>0</v>
      </c>
      <c r="L629" s="90">
        <v>0</v>
      </c>
      <c r="M629" s="90">
        <v>0</v>
      </c>
      <c r="N629" s="90">
        <v>0</v>
      </c>
      <c r="O629" s="90">
        <v>0</v>
      </c>
      <c r="P629" s="90">
        <v>0</v>
      </c>
      <c r="Q629" s="90">
        <v>0</v>
      </c>
      <c r="R629" s="90">
        <v>0</v>
      </c>
      <c r="S629" s="90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 s="90">
        <v>0</v>
      </c>
      <c r="Z629">
        <v>0</v>
      </c>
    </row>
    <row r="630" spans="3:26" ht="12.75" customHeight="1" x14ac:dyDescent="0.25">
      <c r="D630" s="772"/>
      <c r="E630" s="89" t="s">
        <v>73</v>
      </c>
      <c r="F630" s="90">
        <v>0</v>
      </c>
      <c r="G630" s="90">
        <v>0</v>
      </c>
      <c r="H630" s="90">
        <v>0</v>
      </c>
      <c r="I630" s="90">
        <v>0</v>
      </c>
      <c r="J630" s="90">
        <v>0</v>
      </c>
      <c r="K630" s="90">
        <v>0</v>
      </c>
      <c r="L630" s="90">
        <v>0</v>
      </c>
      <c r="M630" s="90">
        <v>0</v>
      </c>
      <c r="N630" s="90">
        <v>0</v>
      </c>
      <c r="O630" s="90">
        <v>0</v>
      </c>
      <c r="P630" s="90">
        <v>0</v>
      </c>
      <c r="Q630" s="90">
        <v>0</v>
      </c>
      <c r="R630" s="90">
        <v>0</v>
      </c>
      <c r="S630" s="9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 s="90">
        <v>0</v>
      </c>
      <c r="Z630">
        <v>0</v>
      </c>
    </row>
    <row r="631" spans="3:26" ht="12.75" customHeight="1" x14ac:dyDescent="0.25">
      <c r="D631" s="772">
        <v>4</v>
      </c>
      <c r="E631" s="89" t="s">
        <v>70</v>
      </c>
      <c r="F631" s="371">
        <v>0</v>
      </c>
      <c r="G631" s="90">
        <v>0</v>
      </c>
      <c r="H631" s="90">
        <v>0</v>
      </c>
      <c r="I631" s="90">
        <v>0</v>
      </c>
      <c r="J631" s="90">
        <v>0</v>
      </c>
      <c r="K631" s="90">
        <v>0</v>
      </c>
      <c r="L631" s="90">
        <v>0</v>
      </c>
      <c r="M631" s="90">
        <v>0</v>
      </c>
      <c r="N631" s="90">
        <v>0</v>
      </c>
      <c r="O631" s="90">
        <v>0</v>
      </c>
      <c r="P631" s="90">
        <v>0</v>
      </c>
      <c r="Q631" s="90">
        <v>0</v>
      </c>
      <c r="R631" s="90">
        <v>0</v>
      </c>
      <c r="S631" s="90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 s="90">
        <v>0</v>
      </c>
      <c r="Z631">
        <v>0</v>
      </c>
    </row>
    <row r="632" spans="3:26" ht="12.75" customHeight="1" x14ac:dyDescent="0.25">
      <c r="D632" s="772"/>
      <c r="E632" s="89" t="s">
        <v>73</v>
      </c>
      <c r="F632" s="371">
        <v>0</v>
      </c>
      <c r="G632" s="90">
        <v>0</v>
      </c>
      <c r="H632" s="90">
        <v>0</v>
      </c>
      <c r="I632" s="90">
        <v>0</v>
      </c>
      <c r="J632" s="90">
        <v>0</v>
      </c>
      <c r="K632" s="90">
        <v>0</v>
      </c>
      <c r="L632" s="90">
        <v>0</v>
      </c>
      <c r="M632" s="90">
        <v>0</v>
      </c>
      <c r="N632" s="90">
        <v>0</v>
      </c>
      <c r="O632" s="90">
        <v>0</v>
      </c>
      <c r="P632" s="90">
        <v>0</v>
      </c>
      <c r="Q632" s="90">
        <v>0</v>
      </c>
      <c r="R632" s="90">
        <v>0</v>
      </c>
      <c r="S632" s="90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 s="90">
        <v>0</v>
      </c>
      <c r="Z632">
        <v>0</v>
      </c>
    </row>
    <row r="633" spans="3:26" ht="12.75" customHeight="1" x14ac:dyDescent="0.25">
      <c r="D633" s="772" t="s">
        <v>118</v>
      </c>
      <c r="E633" s="89" t="s">
        <v>70</v>
      </c>
      <c r="F633" s="371">
        <v>0</v>
      </c>
      <c r="G633" s="90">
        <v>0</v>
      </c>
      <c r="H633" s="90">
        <v>0</v>
      </c>
      <c r="I633" s="90">
        <v>0</v>
      </c>
      <c r="J633" s="90">
        <v>0</v>
      </c>
      <c r="K633" s="90">
        <v>0</v>
      </c>
      <c r="L633" s="90">
        <v>0</v>
      </c>
      <c r="M633" s="90">
        <v>0</v>
      </c>
      <c r="N633" s="90">
        <v>0</v>
      </c>
      <c r="O633" s="90">
        <v>0</v>
      </c>
      <c r="P633" s="90">
        <v>0</v>
      </c>
      <c r="Q633" s="90">
        <v>0</v>
      </c>
      <c r="R633" s="90">
        <v>0</v>
      </c>
      <c r="S633" s="90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 s="90">
        <v>0</v>
      </c>
      <c r="Z633">
        <v>0</v>
      </c>
    </row>
    <row r="634" spans="3:26" ht="12.75" customHeight="1" x14ac:dyDescent="0.25">
      <c r="D634" s="772"/>
      <c r="E634" s="89" t="s">
        <v>73</v>
      </c>
      <c r="F634" s="371">
        <v>0</v>
      </c>
      <c r="G634" s="90">
        <v>0</v>
      </c>
      <c r="H634" s="90">
        <v>0</v>
      </c>
      <c r="I634" s="90">
        <v>0</v>
      </c>
      <c r="J634" s="90">
        <v>0</v>
      </c>
      <c r="K634" s="90">
        <v>0</v>
      </c>
      <c r="L634" s="90">
        <v>0</v>
      </c>
      <c r="M634" s="90">
        <v>0</v>
      </c>
      <c r="N634" s="90">
        <v>0</v>
      </c>
      <c r="O634" s="90">
        <v>0</v>
      </c>
      <c r="P634" s="90">
        <v>0</v>
      </c>
      <c r="Q634" s="90">
        <v>0</v>
      </c>
      <c r="R634" s="90">
        <v>0</v>
      </c>
      <c r="S634" s="90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 s="90">
        <v>0</v>
      </c>
      <c r="Z634">
        <v>0</v>
      </c>
    </row>
    <row r="635" spans="3:26" ht="12.75" customHeight="1" x14ac:dyDescent="0.25">
      <c r="D635" s="772">
        <v>6</v>
      </c>
      <c r="E635" s="89" t="s">
        <v>70</v>
      </c>
      <c r="F635" s="371">
        <v>0</v>
      </c>
      <c r="G635" s="90">
        <v>0</v>
      </c>
      <c r="H635" s="90">
        <v>0</v>
      </c>
      <c r="I635" s="90">
        <v>0</v>
      </c>
      <c r="J635" s="90">
        <v>0</v>
      </c>
      <c r="K635" s="90">
        <v>0</v>
      </c>
      <c r="L635" s="90">
        <v>0</v>
      </c>
      <c r="M635" s="90">
        <v>0</v>
      </c>
      <c r="N635" s="90">
        <v>0</v>
      </c>
      <c r="O635" s="90">
        <v>0</v>
      </c>
      <c r="P635" s="90">
        <v>0</v>
      </c>
      <c r="Q635" s="90">
        <v>0</v>
      </c>
      <c r="R635" s="90">
        <v>0</v>
      </c>
      <c r="S635" s="90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 s="90">
        <v>0</v>
      </c>
      <c r="Z635">
        <v>0</v>
      </c>
    </row>
    <row r="636" spans="3:26" ht="12.75" customHeight="1" x14ac:dyDescent="0.25">
      <c r="E636" s="89" t="s">
        <v>73</v>
      </c>
      <c r="F636" s="371">
        <v>0</v>
      </c>
      <c r="G636" s="90">
        <v>0</v>
      </c>
      <c r="H636" s="90">
        <v>0</v>
      </c>
      <c r="I636" s="90">
        <v>0</v>
      </c>
      <c r="J636" s="90">
        <v>0</v>
      </c>
      <c r="K636" s="90">
        <v>0</v>
      </c>
      <c r="L636" s="90">
        <v>0</v>
      </c>
      <c r="M636" s="90">
        <v>0</v>
      </c>
      <c r="N636" s="90">
        <v>0</v>
      </c>
      <c r="O636" s="90">
        <v>0</v>
      </c>
      <c r="P636" s="90">
        <v>0</v>
      </c>
      <c r="Q636" s="90">
        <v>0</v>
      </c>
      <c r="R636" s="90">
        <v>0</v>
      </c>
      <c r="S636" s="90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 s="90">
        <v>0</v>
      </c>
      <c r="Z636">
        <v>0</v>
      </c>
    </row>
    <row r="637" spans="3:26" ht="12.75" customHeight="1" x14ac:dyDescent="0.25">
      <c r="D637" s="772">
        <v>9</v>
      </c>
      <c r="E637" s="89" t="s">
        <v>70</v>
      </c>
      <c r="F637" s="371">
        <v>0</v>
      </c>
      <c r="G637" s="90">
        <v>0</v>
      </c>
      <c r="H637" s="90">
        <v>0</v>
      </c>
      <c r="I637" s="90">
        <v>0</v>
      </c>
      <c r="J637" s="90">
        <v>0</v>
      </c>
      <c r="K637" s="90">
        <v>0</v>
      </c>
      <c r="L637" s="90">
        <v>0</v>
      </c>
      <c r="M637" s="90">
        <v>0</v>
      </c>
      <c r="N637" s="90">
        <v>0</v>
      </c>
      <c r="O637" s="90">
        <v>0</v>
      </c>
      <c r="P637" s="90">
        <v>0</v>
      </c>
      <c r="Q637" s="90">
        <v>0</v>
      </c>
      <c r="R637" s="90">
        <v>0</v>
      </c>
      <c r="S637" s="90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 s="90">
        <v>0</v>
      </c>
      <c r="Z637">
        <v>0</v>
      </c>
    </row>
    <row r="638" spans="3:26" s="224" customFormat="1" ht="12.75" customHeight="1" x14ac:dyDescent="0.25">
      <c r="C638" s="223" t="s">
        <v>120</v>
      </c>
      <c r="D638" s="223" t="s">
        <v>70</v>
      </c>
      <c r="F638" s="225">
        <v>0</v>
      </c>
      <c r="G638" s="225">
        <v>0</v>
      </c>
      <c r="H638" s="225">
        <v>0</v>
      </c>
      <c r="I638" s="225">
        <v>0</v>
      </c>
      <c r="J638" s="225">
        <v>0</v>
      </c>
      <c r="K638" s="225">
        <v>0</v>
      </c>
      <c r="L638" s="225">
        <v>0</v>
      </c>
      <c r="M638" s="225">
        <v>0</v>
      </c>
      <c r="N638" s="225">
        <v>0</v>
      </c>
      <c r="O638" s="225">
        <v>0</v>
      </c>
      <c r="P638" s="225">
        <v>0</v>
      </c>
      <c r="Q638" s="225">
        <v>0</v>
      </c>
      <c r="R638" s="225">
        <v>0</v>
      </c>
      <c r="S638" s="225">
        <v>0</v>
      </c>
      <c r="T638" s="224">
        <v>0</v>
      </c>
      <c r="U638" s="224">
        <v>0</v>
      </c>
      <c r="V638" s="224">
        <v>0</v>
      </c>
      <c r="W638" s="224">
        <v>0</v>
      </c>
      <c r="X638" s="224">
        <v>0</v>
      </c>
      <c r="Y638" s="225">
        <v>0</v>
      </c>
      <c r="Z638" s="224">
        <v>0</v>
      </c>
    </row>
    <row r="639" spans="3:26" ht="12.75" customHeight="1" x14ac:dyDescent="0.25">
      <c r="D639" s="89"/>
      <c r="E639" s="89" t="s">
        <v>73</v>
      </c>
      <c r="F639" s="371">
        <v>0</v>
      </c>
      <c r="G639" s="90">
        <v>0</v>
      </c>
      <c r="H639" s="90">
        <v>0</v>
      </c>
      <c r="I639" s="90">
        <v>0</v>
      </c>
      <c r="J639" s="90">
        <v>0</v>
      </c>
      <c r="K639" s="90">
        <v>0</v>
      </c>
      <c r="L639" s="90">
        <v>0</v>
      </c>
      <c r="M639" s="90">
        <v>0</v>
      </c>
      <c r="N639" s="90">
        <v>0</v>
      </c>
      <c r="O639" s="90">
        <v>0</v>
      </c>
      <c r="P639" s="90">
        <v>0</v>
      </c>
      <c r="Q639" s="90">
        <v>0</v>
      </c>
      <c r="R639" s="90">
        <v>0</v>
      </c>
      <c r="S639" s="90">
        <v>0</v>
      </c>
      <c r="T639" s="90">
        <v>0</v>
      </c>
      <c r="U639" s="90">
        <v>0</v>
      </c>
      <c r="V639" s="90">
        <v>0</v>
      </c>
      <c r="W639" s="90">
        <v>0</v>
      </c>
      <c r="X639">
        <v>0</v>
      </c>
      <c r="Y639">
        <v>0</v>
      </c>
      <c r="Z639">
        <v>0</v>
      </c>
    </row>
    <row r="640" spans="3:26" ht="12.75" customHeight="1" x14ac:dyDescent="0.25">
      <c r="D640" s="89" t="s">
        <v>82</v>
      </c>
      <c r="E640" s="89" t="s">
        <v>70</v>
      </c>
      <c r="F640" s="371">
        <v>0</v>
      </c>
      <c r="G640" s="90">
        <v>0</v>
      </c>
      <c r="H640" s="90">
        <v>0</v>
      </c>
      <c r="I640" s="90">
        <v>0</v>
      </c>
      <c r="J640" s="90">
        <v>0</v>
      </c>
      <c r="K640" s="90">
        <v>0</v>
      </c>
      <c r="L640" s="90">
        <v>0</v>
      </c>
      <c r="M640" s="90">
        <v>0</v>
      </c>
      <c r="N640" s="90">
        <v>0</v>
      </c>
      <c r="O640" s="90">
        <v>0</v>
      </c>
      <c r="P640" s="90">
        <v>0</v>
      </c>
      <c r="Q640" s="90">
        <v>0</v>
      </c>
      <c r="R640" s="90">
        <v>0</v>
      </c>
      <c r="S640" s="90">
        <v>0</v>
      </c>
      <c r="T640" s="90">
        <v>0</v>
      </c>
      <c r="U640" s="90">
        <v>0</v>
      </c>
      <c r="V640" s="90">
        <v>0</v>
      </c>
      <c r="W640" s="90">
        <v>0</v>
      </c>
      <c r="X640">
        <v>0</v>
      </c>
      <c r="Y640">
        <v>0</v>
      </c>
      <c r="Z640">
        <v>0</v>
      </c>
    </row>
    <row r="641" spans="2:26" ht="12.75" customHeight="1" x14ac:dyDescent="0.25">
      <c r="D641" s="89"/>
      <c r="E641" s="89" t="s">
        <v>73</v>
      </c>
      <c r="F641" s="371">
        <v>0</v>
      </c>
      <c r="G641" s="90">
        <v>0</v>
      </c>
      <c r="H641" s="90">
        <v>0</v>
      </c>
      <c r="I641" s="90">
        <v>0</v>
      </c>
      <c r="J641" s="90">
        <v>0</v>
      </c>
      <c r="K641" s="90">
        <v>0</v>
      </c>
      <c r="L641" s="90">
        <v>0</v>
      </c>
      <c r="M641" s="90">
        <v>0</v>
      </c>
      <c r="N641" s="90">
        <v>0</v>
      </c>
      <c r="O641" s="90">
        <v>0</v>
      </c>
      <c r="P641" s="90">
        <v>0</v>
      </c>
      <c r="Q641" s="90">
        <v>0</v>
      </c>
      <c r="R641" s="90">
        <v>0</v>
      </c>
      <c r="S641" s="90">
        <v>0</v>
      </c>
      <c r="T641" s="90">
        <v>0</v>
      </c>
      <c r="U641" s="90">
        <v>0</v>
      </c>
      <c r="V641" s="90">
        <v>0</v>
      </c>
      <c r="W641" s="90">
        <v>0</v>
      </c>
      <c r="X641">
        <v>0</v>
      </c>
      <c r="Y641">
        <v>0</v>
      </c>
      <c r="Z641">
        <v>0</v>
      </c>
    </row>
    <row r="642" spans="2:26" ht="12.75" customHeight="1" x14ac:dyDescent="0.25">
      <c r="D642" s="89" t="s">
        <v>86</v>
      </c>
      <c r="E642" s="89" t="s">
        <v>70</v>
      </c>
      <c r="F642" s="371">
        <v>0</v>
      </c>
      <c r="G642" s="90">
        <v>0</v>
      </c>
      <c r="H642" s="90">
        <v>0</v>
      </c>
      <c r="I642" s="90">
        <v>0</v>
      </c>
      <c r="J642" s="90">
        <v>0</v>
      </c>
      <c r="K642" s="90">
        <v>0</v>
      </c>
      <c r="L642" s="90">
        <v>0</v>
      </c>
      <c r="M642" s="90">
        <v>0</v>
      </c>
      <c r="N642" s="90">
        <v>0</v>
      </c>
      <c r="O642" s="90">
        <v>0</v>
      </c>
      <c r="P642" s="90">
        <v>0</v>
      </c>
      <c r="Q642" s="90">
        <v>0</v>
      </c>
      <c r="R642" s="90">
        <v>0</v>
      </c>
      <c r="S642" s="90">
        <v>0</v>
      </c>
      <c r="T642" s="90">
        <v>0</v>
      </c>
      <c r="U642" s="90">
        <v>0</v>
      </c>
      <c r="V642" s="90">
        <v>0</v>
      </c>
      <c r="W642" s="90">
        <v>0</v>
      </c>
      <c r="X642">
        <v>0</v>
      </c>
      <c r="Y642">
        <v>0</v>
      </c>
      <c r="Z642">
        <v>0</v>
      </c>
    </row>
    <row r="643" spans="2:26" x14ac:dyDescent="0.25">
      <c r="E643" t="s">
        <v>73</v>
      </c>
      <c r="F643" s="90">
        <v>0</v>
      </c>
      <c r="G643" s="90">
        <v>0</v>
      </c>
      <c r="H643" s="90">
        <v>0</v>
      </c>
      <c r="I643" s="90">
        <v>0</v>
      </c>
      <c r="J643" s="90">
        <v>0</v>
      </c>
      <c r="K643" s="90">
        <v>0</v>
      </c>
      <c r="L643" s="90">
        <v>0</v>
      </c>
      <c r="M643" s="90">
        <v>0</v>
      </c>
      <c r="N643" s="90">
        <v>0</v>
      </c>
      <c r="O643" s="90">
        <v>0</v>
      </c>
      <c r="P643" s="90">
        <v>0</v>
      </c>
      <c r="Q643" s="90">
        <v>0</v>
      </c>
      <c r="R643" s="90">
        <v>0</v>
      </c>
      <c r="S643" s="90">
        <v>0</v>
      </c>
      <c r="T643" s="90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 s="90">
        <v>0</v>
      </c>
    </row>
    <row r="644" spans="2:26" x14ac:dyDescent="0.25">
      <c r="D644" t="s">
        <v>87</v>
      </c>
      <c r="E644" t="s">
        <v>70</v>
      </c>
      <c r="F644" s="90">
        <v>0</v>
      </c>
      <c r="G644" s="90">
        <v>0</v>
      </c>
      <c r="H644" s="90">
        <v>0</v>
      </c>
      <c r="I644" s="90">
        <v>0</v>
      </c>
      <c r="J644" s="90">
        <v>0</v>
      </c>
      <c r="K644" s="90">
        <v>0</v>
      </c>
      <c r="L644" s="90">
        <v>0</v>
      </c>
      <c r="M644" s="90">
        <v>0</v>
      </c>
      <c r="N644" s="90">
        <v>0</v>
      </c>
      <c r="O644" s="90">
        <v>0</v>
      </c>
      <c r="P644" s="90">
        <v>0</v>
      </c>
      <c r="Q644" s="90">
        <v>0</v>
      </c>
      <c r="R644" s="90">
        <v>0</v>
      </c>
      <c r="S644" s="90">
        <v>0</v>
      </c>
      <c r="T644" s="90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 s="90">
        <v>0</v>
      </c>
    </row>
    <row r="645" spans="2:26" s="94" customFormat="1" ht="12.75" customHeight="1" x14ac:dyDescent="0.25">
      <c r="C645" s="94" t="s">
        <v>119</v>
      </c>
      <c r="D645" s="94" t="s">
        <v>70</v>
      </c>
      <c r="E645" s="101"/>
      <c r="F645" s="93">
        <v>0</v>
      </c>
      <c r="G645" s="93">
        <v>0</v>
      </c>
      <c r="H645" s="93">
        <v>0</v>
      </c>
      <c r="I645" s="93">
        <v>0</v>
      </c>
      <c r="J645" s="93">
        <v>0</v>
      </c>
      <c r="K645" s="93">
        <v>0</v>
      </c>
      <c r="L645" s="93">
        <v>0</v>
      </c>
      <c r="M645" s="93">
        <v>0</v>
      </c>
      <c r="N645" s="93">
        <v>0</v>
      </c>
      <c r="O645" s="93">
        <v>0</v>
      </c>
      <c r="P645" s="93">
        <v>0</v>
      </c>
      <c r="Q645" s="93">
        <v>0</v>
      </c>
      <c r="R645" s="93">
        <v>0</v>
      </c>
      <c r="S645" s="93">
        <v>0</v>
      </c>
      <c r="T645" s="93">
        <v>0</v>
      </c>
      <c r="U645" s="93">
        <v>0</v>
      </c>
      <c r="V645" s="93">
        <v>0</v>
      </c>
      <c r="W645" s="93">
        <v>0</v>
      </c>
      <c r="X645" s="94">
        <v>0</v>
      </c>
      <c r="Y645" s="94">
        <v>0</v>
      </c>
      <c r="Z645" s="94">
        <v>0</v>
      </c>
    </row>
    <row r="646" spans="2:26" s="378" customFormat="1" ht="12.75" customHeight="1" x14ac:dyDescent="0.25">
      <c r="B646" s="378" t="s">
        <v>122</v>
      </c>
      <c r="C646" s="378" t="s">
        <v>70</v>
      </c>
      <c r="E646" s="376"/>
      <c r="F646" s="377">
        <v>0</v>
      </c>
      <c r="G646" s="377">
        <v>0</v>
      </c>
      <c r="H646" s="377">
        <v>0</v>
      </c>
      <c r="I646" s="377">
        <v>0</v>
      </c>
      <c r="J646" s="377">
        <v>0</v>
      </c>
      <c r="K646" s="377">
        <v>0</v>
      </c>
      <c r="L646" s="377">
        <v>0</v>
      </c>
      <c r="M646" s="377">
        <v>0</v>
      </c>
      <c r="N646" s="377">
        <v>0</v>
      </c>
      <c r="O646" s="377">
        <v>0</v>
      </c>
      <c r="P646" s="377">
        <v>0</v>
      </c>
      <c r="Q646" s="377">
        <v>0</v>
      </c>
      <c r="R646" s="377">
        <v>0</v>
      </c>
      <c r="S646" s="377">
        <v>0</v>
      </c>
      <c r="T646" s="378">
        <v>0</v>
      </c>
      <c r="U646" s="378">
        <v>0</v>
      </c>
      <c r="V646" s="378">
        <v>0</v>
      </c>
      <c r="W646" s="378">
        <v>0</v>
      </c>
      <c r="X646" s="378">
        <v>0</v>
      </c>
      <c r="Y646" s="377">
        <v>0</v>
      </c>
      <c r="Z646" s="378">
        <v>0</v>
      </c>
    </row>
    <row r="647" spans="2:26" ht="12.75" customHeight="1" x14ac:dyDescent="0.25">
      <c r="E647" s="89" t="s">
        <v>73</v>
      </c>
      <c r="F647" s="90">
        <v>0</v>
      </c>
      <c r="G647" s="90">
        <v>0</v>
      </c>
      <c r="H647" s="90">
        <v>0</v>
      </c>
      <c r="I647" s="90">
        <v>0</v>
      </c>
      <c r="J647" s="90">
        <v>0</v>
      </c>
      <c r="K647" s="90">
        <v>0</v>
      </c>
      <c r="L647" s="90">
        <v>0</v>
      </c>
      <c r="M647" s="90">
        <v>0</v>
      </c>
      <c r="N647" s="90">
        <v>0</v>
      </c>
      <c r="O647" s="90">
        <v>0</v>
      </c>
      <c r="P647" s="90">
        <v>0</v>
      </c>
      <c r="Q647" s="90">
        <v>0</v>
      </c>
      <c r="R647" s="90">
        <v>0</v>
      </c>
      <c r="S647" s="90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 s="90">
        <v>0</v>
      </c>
      <c r="Z647">
        <v>0</v>
      </c>
    </row>
    <row r="648" spans="2:26" ht="12.75" customHeight="1" x14ac:dyDescent="0.25">
      <c r="D648" s="89" t="s">
        <v>156</v>
      </c>
      <c r="E648" s="89" t="s">
        <v>70</v>
      </c>
      <c r="F648" s="90">
        <v>0</v>
      </c>
      <c r="G648" s="90">
        <v>0</v>
      </c>
      <c r="H648" s="90">
        <v>0</v>
      </c>
      <c r="I648" s="90">
        <v>0</v>
      </c>
      <c r="J648" s="90">
        <v>0</v>
      </c>
      <c r="K648" s="90">
        <v>0</v>
      </c>
      <c r="L648" s="90">
        <v>0</v>
      </c>
      <c r="M648" s="90">
        <v>0</v>
      </c>
      <c r="N648" s="90">
        <v>0</v>
      </c>
      <c r="O648" s="90">
        <v>0</v>
      </c>
      <c r="P648" s="90">
        <v>0</v>
      </c>
      <c r="Q648" s="90">
        <v>0</v>
      </c>
      <c r="R648" s="90">
        <v>0</v>
      </c>
      <c r="S648" s="90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 s="90">
        <v>0</v>
      </c>
      <c r="Z648">
        <v>0</v>
      </c>
    </row>
    <row r="649" spans="2:26" s="656" customFormat="1" ht="12.75" customHeight="1" x14ac:dyDescent="0.25">
      <c r="C649" s="656" t="s">
        <v>155</v>
      </c>
      <c r="D649" s="657" t="s">
        <v>70</v>
      </c>
      <c r="E649" s="657"/>
      <c r="F649" s="738">
        <v>0</v>
      </c>
      <c r="G649" s="658">
        <v>0</v>
      </c>
      <c r="H649" s="658">
        <v>0</v>
      </c>
      <c r="I649" s="658">
        <v>0</v>
      </c>
      <c r="J649" s="658">
        <v>0</v>
      </c>
      <c r="K649" s="658">
        <v>0</v>
      </c>
      <c r="L649" s="658">
        <v>0</v>
      </c>
      <c r="M649" s="658">
        <v>0</v>
      </c>
      <c r="N649" s="658">
        <v>0</v>
      </c>
      <c r="O649" s="658">
        <v>0</v>
      </c>
      <c r="P649" s="658">
        <v>0</v>
      </c>
      <c r="Q649" s="658">
        <v>0</v>
      </c>
      <c r="R649" s="658">
        <v>0</v>
      </c>
      <c r="S649" s="658">
        <v>0</v>
      </c>
      <c r="T649" s="656">
        <v>0</v>
      </c>
      <c r="U649" s="656">
        <v>0</v>
      </c>
      <c r="V649" s="656">
        <v>0</v>
      </c>
      <c r="W649" s="656">
        <v>0</v>
      </c>
      <c r="X649" s="656">
        <v>0</v>
      </c>
      <c r="Y649" s="658">
        <v>0</v>
      </c>
      <c r="Z649" s="656">
        <v>0</v>
      </c>
    </row>
    <row r="650" spans="2:26" ht="12.75" customHeight="1" x14ac:dyDescent="0.25">
      <c r="D650" s="89"/>
      <c r="E650" s="89" t="s">
        <v>73</v>
      </c>
      <c r="F650" s="371">
        <v>0</v>
      </c>
      <c r="G650" s="90">
        <v>0</v>
      </c>
      <c r="H650" s="90">
        <v>0</v>
      </c>
      <c r="I650" s="90">
        <v>0</v>
      </c>
      <c r="J650" s="90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0">
        <v>0</v>
      </c>
      <c r="S650" s="90">
        <v>0</v>
      </c>
      <c r="T650" s="90">
        <v>0</v>
      </c>
      <c r="U650" s="90">
        <v>0</v>
      </c>
      <c r="V650" s="90">
        <v>0</v>
      </c>
      <c r="W650" s="90">
        <v>0</v>
      </c>
      <c r="X650">
        <v>0</v>
      </c>
      <c r="Y650">
        <v>0</v>
      </c>
      <c r="Z650">
        <v>0</v>
      </c>
    </row>
    <row r="651" spans="2:26" ht="12.75" customHeight="1" x14ac:dyDescent="0.25">
      <c r="D651" s="89" t="s">
        <v>115</v>
      </c>
      <c r="E651" s="89" t="s">
        <v>70</v>
      </c>
      <c r="F651" s="371">
        <v>0</v>
      </c>
      <c r="G651" s="90">
        <v>0</v>
      </c>
      <c r="H651" s="90">
        <v>0</v>
      </c>
      <c r="I651" s="90">
        <v>0</v>
      </c>
      <c r="J651" s="90">
        <v>0</v>
      </c>
      <c r="K651" s="90">
        <v>0</v>
      </c>
      <c r="L651" s="90">
        <v>0</v>
      </c>
      <c r="M651" s="90">
        <v>0</v>
      </c>
      <c r="N651" s="90">
        <v>0</v>
      </c>
      <c r="O651" s="90">
        <v>0</v>
      </c>
      <c r="P651" s="90">
        <v>0</v>
      </c>
      <c r="Q651" s="90">
        <v>0</v>
      </c>
      <c r="R651" s="90">
        <v>0</v>
      </c>
      <c r="S651" s="90">
        <v>0</v>
      </c>
      <c r="T651" s="90">
        <v>0</v>
      </c>
      <c r="U651" s="90">
        <v>0</v>
      </c>
      <c r="V651" s="90">
        <v>0</v>
      </c>
      <c r="W651" s="90">
        <v>0</v>
      </c>
      <c r="X651">
        <v>0</v>
      </c>
      <c r="Y651">
        <v>0</v>
      </c>
      <c r="Z651">
        <v>0</v>
      </c>
    </row>
    <row r="652" spans="2:26" ht="12.75" customHeight="1" x14ac:dyDescent="0.25">
      <c r="D652" s="89"/>
      <c r="E652" s="89" t="s">
        <v>73</v>
      </c>
      <c r="F652" s="371">
        <v>0</v>
      </c>
      <c r="G652" s="90">
        <v>0</v>
      </c>
      <c r="H652" s="90">
        <v>0</v>
      </c>
      <c r="I652" s="90">
        <v>0</v>
      </c>
      <c r="J652" s="90">
        <v>0</v>
      </c>
      <c r="K652" s="90">
        <v>0</v>
      </c>
      <c r="L652" s="90">
        <v>0</v>
      </c>
      <c r="M652" s="90">
        <v>0</v>
      </c>
      <c r="N652" s="90">
        <v>0</v>
      </c>
      <c r="O652" s="90">
        <v>0</v>
      </c>
      <c r="P652" s="90">
        <v>0</v>
      </c>
      <c r="Q652" s="90">
        <v>0</v>
      </c>
      <c r="R652" s="90">
        <v>0</v>
      </c>
      <c r="S652" s="90">
        <v>0</v>
      </c>
      <c r="T652" s="90">
        <v>0</v>
      </c>
      <c r="U652" s="90">
        <v>0</v>
      </c>
      <c r="V652" s="90">
        <v>0</v>
      </c>
      <c r="W652" s="90">
        <v>0</v>
      </c>
      <c r="X652">
        <v>0</v>
      </c>
      <c r="Y652">
        <v>0</v>
      </c>
      <c r="Z652">
        <v>0</v>
      </c>
    </row>
    <row r="653" spans="2:26" ht="12.75" customHeight="1" x14ac:dyDescent="0.25">
      <c r="D653" s="89" t="s">
        <v>116</v>
      </c>
      <c r="E653" s="89" t="s">
        <v>70</v>
      </c>
      <c r="F653" s="371">
        <v>0</v>
      </c>
      <c r="G653" s="90">
        <v>0</v>
      </c>
      <c r="H653" s="90">
        <v>0</v>
      </c>
      <c r="I653" s="90">
        <v>0</v>
      </c>
      <c r="J653" s="90">
        <v>0</v>
      </c>
      <c r="K653" s="90">
        <v>0</v>
      </c>
      <c r="L653" s="90">
        <v>0</v>
      </c>
      <c r="M653" s="90">
        <v>0</v>
      </c>
      <c r="N653" s="90">
        <v>0</v>
      </c>
      <c r="O653" s="90">
        <v>0</v>
      </c>
      <c r="P653" s="90">
        <v>0</v>
      </c>
      <c r="Q653" s="90">
        <v>0</v>
      </c>
      <c r="R653" s="90">
        <v>0</v>
      </c>
      <c r="S653" s="90">
        <v>0</v>
      </c>
      <c r="T653" s="90">
        <v>0</v>
      </c>
      <c r="U653" s="90">
        <v>0</v>
      </c>
      <c r="V653" s="90">
        <v>0</v>
      </c>
      <c r="W653" s="90">
        <v>0</v>
      </c>
      <c r="X653">
        <v>0</v>
      </c>
      <c r="Y653">
        <v>0</v>
      </c>
      <c r="Z653">
        <v>0</v>
      </c>
    </row>
    <row r="654" spans="2:26" ht="12.75" customHeight="1" x14ac:dyDescent="0.25">
      <c r="D654" s="89"/>
      <c r="E654" s="89" t="s">
        <v>73</v>
      </c>
      <c r="F654" s="371">
        <v>0</v>
      </c>
      <c r="G654" s="90">
        <v>0</v>
      </c>
      <c r="H654" s="90">
        <v>0</v>
      </c>
      <c r="I654" s="90">
        <v>0</v>
      </c>
      <c r="J654" s="90">
        <v>0</v>
      </c>
      <c r="K654" s="90">
        <v>0</v>
      </c>
      <c r="L654" s="90">
        <v>0</v>
      </c>
      <c r="M654" s="90">
        <v>0</v>
      </c>
      <c r="N654" s="90">
        <v>0</v>
      </c>
      <c r="O654" s="90">
        <v>0</v>
      </c>
      <c r="P654" s="90">
        <v>0</v>
      </c>
      <c r="Q654" s="90">
        <v>0</v>
      </c>
      <c r="R654" s="90">
        <v>0</v>
      </c>
      <c r="S654" s="90">
        <v>0</v>
      </c>
      <c r="T654" s="90">
        <v>0</v>
      </c>
      <c r="U654" s="90">
        <v>0</v>
      </c>
      <c r="V654" s="90">
        <v>0</v>
      </c>
      <c r="W654" s="90">
        <v>0</v>
      </c>
      <c r="X654">
        <v>0</v>
      </c>
      <c r="Y654">
        <v>0</v>
      </c>
      <c r="Z654">
        <v>0</v>
      </c>
    </row>
    <row r="655" spans="2:26" ht="12.75" customHeight="1" x14ac:dyDescent="0.25">
      <c r="D655" s="773">
        <v>3</v>
      </c>
      <c r="E655" s="89" t="s">
        <v>70</v>
      </c>
      <c r="F655" s="371">
        <v>0</v>
      </c>
      <c r="G655" s="90">
        <v>0</v>
      </c>
      <c r="H655" s="90">
        <v>0</v>
      </c>
      <c r="I655" s="90">
        <v>0</v>
      </c>
      <c r="J655" s="90">
        <v>0</v>
      </c>
      <c r="K655" s="90">
        <v>0</v>
      </c>
      <c r="L655" s="90">
        <v>0</v>
      </c>
      <c r="M655" s="90">
        <v>0</v>
      </c>
      <c r="N655" s="90">
        <v>0</v>
      </c>
      <c r="O655" s="90">
        <v>0</v>
      </c>
      <c r="P655" s="90">
        <v>0</v>
      </c>
      <c r="Q655" s="90">
        <v>0</v>
      </c>
      <c r="R655" s="90">
        <v>0</v>
      </c>
      <c r="S655" s="90">
        <v>0</v>
      </c>
      <c r="T655" s="90">
        <v>0</v>
      </c>
      <c r="U655" s="90">
        <v>0</v>
      </c>
      <c r="V655" s="90">
        <v>0</v>
      </c>
      <c r="W655" s="90">
        <v>0</v>
      </c>
      <c r="X655">
        <v>0</v>
      </c>
      <c r="Y655">
        <v>0</v>
      </c>
      <c r="Z655">
        <v>0</v>
      </c>
    </row>
    <row r="656" spans="2:26" ht="12.75" customHeight="1" x14ac:dyDescent="0.25">
      <c r="D656" s="89"/>
      <c r="E656" s="89" t="s">
        <v>73</v>
      </c>
      <c r="F656" s="371">
        <v>0</v>
      </c>
      <c r="G656" s="90">
        <v>0</v>
      </c>
      <c r="H656" s="90">
        <v>0</v>
      </c>
      <c r="I656" s="90">
        <v>0</v>
      </c>
      <c r="J656" s="90">
        <v>0</v>
      </c>
      <c r="K656" s="90">
        <v>0</v>
      </c>
      <c r="L656" s="90">
        <v>0</v>
      </c>
      <c r="M656" s="90">
        <v>0</v>
      </c>
      <c r="N656" s="90">
        <v>0</v>
      </c>
      <c r="O656" s="90">
        <v>0</v>
      </c>
      <c r="P656" s="90">
        <v>0</v>
      </c>
      <c r="Q656" s="90">
        <v>0</v>
      </c>
      <c r="R656" s="90">
        <v>0</v>
      </c>
      <c r="S656" s="90">
        <v>0</v>
      </c>
      <c r="T656" s="90">
        <v>0</v>
      </c>
      <c r="U656" s="90">
        <v>0</v>
      </c>
      <c r="V656" s="90">
        <v>0</v>
      </c>
      <c r="W656" s="90">
        <v>0</v>
      </c>
      <c r="X656">
        <v>0</v>
      </c>
      <c r="Y656">
        <v>0</v>
      </c>
      <c r="Z656">
        <v>0</v>
      </c>
    </row>
    <row r="657" spans="2:26" ht="12.75" customHeight="1" x14ac:dyDescent="0.25">
      <c r="D657" s="773">
        <v>4</v>
      </c>
      <c r="E657" s="89" t="s">
        <v>70</v>
      </c>
      <c r="F657" s="371">
        <v>0</v>
      </c>
      <c r="G657" s="90">
        <v>0</v>
      </c>
      <c r="H657" s="90">
        <v>0</v>
      </c>
      <c r="I657" s="90">
        <v>0</v>
      </c>
      <c r="J657" s="90">
        <v>0</v>
      </c>
      <c r="K657" s="90">
        <v>0</v>
      </c>
      <c r="L657" s="90">
        <v>0</v>
      </c>
      <c r="M657" s="90">
        <v>0</v>
      </c>
      <c r="N657" s="90">
        <v>0</v>
      </c>
      <c r="O657" s="90">
        <v>0</v>
      </c>
      <c r="P657" s="90">
        <v>0</v>
      </c>
      <c r="Q657" s="90">
        <v>0</v>
      </c>
      <c r="R657" s="90">
        <v>0</v>
      </c>
      <c r="S657" s="90">
        <v>0</v>
      </c>
      <c r="T657" s="90">
        <v>0</v>
      </c>
      <c r="U657" s="90">
        <v>0</v>
      </c>
      <c r="V657" s="90">
        <v>0</v>
      </c>
      <c r="W657" s="90">
        <v>0</v>
      </c>
      <c r="X657">
        <v>0</v>
      </c>
      <c r="Y657">
        <v>0</v>
      </c>
      <c r="Z657">
        <v>0</v>
      </c>
    </row>
    <row r="658" spans="2:26" ht="12.75" customHeight="1" x14ac:dyDescent="0.25">
      <c r="D658" s="89"/>
      <c r="E658" s="89" t="s">
        <v>73</v>
      </c>
      <c r="F658" s="371">
        <v>0</v>
      </c>
      <c r="G658" s="90">
        <v>0</v>
      </c>
      <c r="H658" s="90">
        <v>0</v>
      </c>
      <c r="I658" s="90">
        <v>0</v>
      </c>
      <c r="J658" s="90">
        <v>0</v>
      </c>
      <c r="K658" s="90">
        <v>0</v>
      </c>
      <c r="L658" s="90">
        <v>0</v>
      </c>
      <c r="M658" s="90">
        <v>0</v>
      </c>
      <c r="N658" s="90">
        <v>0</v>
      </c>
      <c r="O658" s="90">
        <v>0</v>
      </c>
      <c r="P658" s="90">
        <v>0</v>
      </c>
      <c r="Q658" s="90">
        <v>0</v>
      </c>
      <c r="R658" s="90">
        <v>0</v>
      </c>
      <c r="S658" s="90">
        <v>0</v>
      </c>
      <c r="T658" s="90">
        <v>0</v>
      </c>
      <c r="U658" s="90">
        <v>0</v>
      </c>
      <c r="V658" s="90">
        <v>0</v>
      </c>
      <c r="W658" s="90">
        <v>0</v>
      </c>
      <c r="X658">
        <v>0</v>
      </c>
      <c r="Y658">
        <v>0</v>
      </c>
      <c r="Z658">
        <v>0</v>
      </c>
    </row>
    <row r="659" spans="2:26" ht="12.75" customHeight="1" x14ac:dyDescent="0.25">
      <c r="D659" s="89" t="s">
        <v>118</v>
      </c>
      <c r="E659" s="89" t="s">
        <v>70</v>
      </c>
      <c r="F659" s="371">
        <v>0</v>
      </c>
      <c r="G659" s="90">
        <v>0</v>
      </c>
      <c r="H659" s="90">
        <v>0</v>
      </c>
      <c r="I659" s="90">
        <v>0</v>
      </c>
      <c r="J659" s="90">
        <v>0</v>
      </c>
      <c r="K659" s="90">
        <v>0</v>
      </c>
      <c r="L659" s="90">
        <v>0</v>
      </c>
      <c r="M659" s="90">
        <v>0</v>
      </c>
      <c r="N659" s="90">
        <v>0</v>
      </c>
      <c r="O659" s="90">
        <v>0</v>
      </c>
      <c r="P659" s="90">
        <v>0</v>
      </c>
      <c r="Q659" s="90">
        <v>0</v>
      </c>
      <c r="R659" s="90">
        <v>0</v>
      </c>
      <c r="S659" s="90">
        <v>0</v>
      </c>
      <c r="T659" s="90">
        <v>0</v>
      </c>
      <c r="U659" s="90">
        <v>0</v>
      </c>
      <c r="V659" s="90">
        <v>0</v>
      </c>
      <c r="W659" s="90">
        <v>0</v>
      </c>
      <c r="X659">
        <v>0</v>
      </c>
      <c r="Y659">
        <v>0</v>
      </c>
      <c r="Z659">
        <v>0</v>
      </c>
    </row>
    <row r="660" spans="2:26" ht="12.75" customHeight="1" x14ac:dyDescent="0.25">
      <c r="D660" s="89"/>
      <c r="E660" s="89" t="s">
        <v>73</v>
      </c>
      <c r="F660" s="371">
        <v>0</v>
      </c>
      <c r="G660" s="90">
        <v>0</v>
      </c>
      <c r="H660" s="90">
        <v>0</v>
      </c>
      <c r="I660" s="90">
        <v>0</v>
      </c>
      <c r="J660" s="90">
        <v>0</v>
      </c>
      <c r="K660" s="90">
        <v>0</v>
      </c>
      <c r="L660" s="90">
        <v>0</v>
      </c>
      <c r="M660" s="90">
        <v>0</v>
      </c>
      <c r="N660" s="90">
        <v>0</v>
      </c>
      <c r="O660" s="90">
        <v>0</v>
      </c>
      <c r="P660" s="90">
        <v>0</v>
      </c>
      <c r="Q660" s="90">
        <v>0</v>
      </c>
      <c r="R660" s="90">
        <v>0</v>
      </c>
      <c r="S660" s="90">
        <v>0</v>
      </c>
      <c r="T660" s="90">
        <v>0</v>
      </c>
      <c r="U660" s="90">
        <v>0</v>
      </c>
      <c r="V660" s="90">
        <v>0</v>
      </c>
      <c r="W660" s="90">
        <v>0</v>
      </c>
      <c r="X660">
        <v>0</v>
      </c>
      <c r="Y660">
        <v>0</v>
      </c>
      <c r="Z660">
        <v>0</v>
      </c>
    </row>
    <row r="661" spans="2:26" ht="12.75" customHeight="1" x14ac:dyDescent="0.25">
      <c r="D661" s="773">
        <v>6</v>
      </c>
      <c r="E661" s="89" t="s">
        <v>70</v>
      </c>
      <c r="F661" s="371">
        <v>0</v>
      </c>
      <c r="G661" s="90">
        <v>0</v>
      </c>
      <c r="H661" s="90">
        <v>0</v>
      </c>
      <c r="I661" s="90">
        <v>0</v>
      </c>
      <c r="J661" s="90">
        <v>0</v>
      </c>
      <c r="K661" s="90">
        <v>0</v>
      </c>
      <c r="L661" s="90">
        <v>0</v>
      </c>
      <c r="M661" s="90">
        <v>0</v>
      </c>
      <c r="N661" s="90">
        <v>0</v>
      </c>
      <c r="O661" s="90">
        <v>0</v>
      </c>
      <c r="P661" s="90">
        <v>0</v>
      </c>
      <c r="Q661" s="90">
        <v>0</v>
      </c>
      <c r="R661" s="90">
        <v>0</v>
      </c>
      <c r="S661" s="90">
        <v>0</v>
      </c>
      <c r="T661" s="90">
        <v>0</v>
      </c>
      <c r="U661" s="90">
        <v>0</v>
      </c>
      <c r="V661" s="90">
        <v>0</v>
      </c>
      <c r="W661" s="90">
        <v>0</v>
      </c>
      <c r="X661">
        <v>0</v>
      </c>
      <c r="Y661">
        <v>0</v>
      </c>
      <c r="Z661">
        <v>0</v>
      </c>
    </row>
    <row r="662" spans="2:26" ht="12.75" customHeight="1" x14ac:dyDescent="0.25">
      <c r="D662" s="89"/>
      <c r="E662" s="89" t="s">
        <v>73</v>
      </c>
      <c r="F662" s="371">
        <v>0</v>
      </c>
      <c r="G662" s="90">
        <v>0</v>
      </c>
      <c r="H662" s="90">
        <v>0</v>
      </c>
      <c r="I662" s="90">
        <v>0</v>
      </c>
      <c r="J662" s="90">
        <v>0</v>
      </c>
      <c r="K662" s="90">
        <v>0</v>
      </c>
      <c r="L662" s="90">
        <v>0</v>
      </c>
      <c r="M662" s="90">
        <v>0</v>
      </c>
      <c r="N662" s="90">
        <v>0</v>
      </c>
      <c r="O662" s="90">
        <v>0</v>
      </c>
      <c r="P662" s="90">
        <v>0</v>
      </c>
      <c r="Q662" s="90">
        <v>0</v>
      </c>
      <c r="R662" s="90">
        <v>0</v>
      </c>
      <c r="S662" s="90">
        <v>0</v>
      </c>
      <c r="T662" s="90">
        <v>0</v>
      </c>
      <c r="U662" s="90">
        <v>0</v>
      </c>
      <c r="V662" s="90">
        <v>0</v>
      </c>
      <c r="W662" s="90">
        <v>0</v>
      </c>
      <c r="X662">
        <v>0</v>
      </c>
      <c r="Y662">
        <v>0</v>
      </c>
      <c r="Z662">
        <v>0</v>
      </c>
    </row>
    <row r="663" spans="2:26" ht="12.75" customHeight="1" x14ac:dyDescent="0.25">
      <c r="D663" s="773">
        <v>9</v>
      </c>
      <c r="E663" s="89" t="s">
        <v>70</v>
      </c>
      <c r="F663" s="371">
        <v>0</v>
      </c>
      <c r="G663" s="90">
        <v>0</v>
      </c>
      <c r="H663" s="90">
        <v>0</v>
      </c>
      <c r="I663" s="90">
        <v>0</v>
      </c>
      <c r="J663" s="90">
        <v>0</v>
      </c>
      <c r="K663" s="90">
        <v>0</v>
      </c>
      <c r="L663" s="90">
        <v>0</v>
      </c>
      <c r="M663" s="90">
        <v>0</v>
      </c>
      <c r="N663" s="90">
        <v>0</v>
      </c>
      <c r="O663" s="90">
        <v>0</v>
      </c>
      <c r="P663" s="90">
        <v>0</v>
      </c>
      <c r="Q663" s="90">
        <v>0</v>
      </c>
      <c r="R663" s="90">
        <v>0</v>
      </c>
      <c r="S663" s="90">
        <v>0</v>
      </c>
      <c r="T663" s="90">
        <v>0</v>
      </c>
      <c r="U663" s="90">
        <v>0</v>
      </c>
      <c r="V663" s="90">
        <v>0</v>
      </c>
      <c r="W663" s="90">
        <v>0</v>
      </c>
      <c r="X663">
        <v>0</v>
      </c>
      <c r="Y663">
        <v>0</v>
      </c>
      <c r="Z663">
        <v>0</v>
      </c>
    </row>
    <row r="664" spans="2:26" s="224" customFormat="1" ht="12.75" customHeight="1" x14ac:dyDescent="0.25">
      <c r="C664" s="223" t="s">
        <v>120</v>
      </c>
      <c r="D664" s="223" t="s">
        <v>70</v>
      </c>
      <c r="F664" s="225">
        <v>0</v>
      </c>
      <c r="G664" s="225">
        <v>0</v>
      </c>
      <c r="H664" s="225">
        <v>0</v>
      </c>
      <c r="I664" s="225">
        <v>0</v>
      </c>
      <c r="J664" s="225">
        <v>0</v>
      </c>
      <c r="K664" s="225">
        <v>0</v>
      </c>
      <c r="L664" s="225">
        <v>0</v>
      </c>
      <c r="M664" s="225">
        <v>0</v>
      </c>
      <c r="N664" s="225">
        <v>0</v>
      </c>
      <c r="O664" s="225">
        <v>0</v>
      </c>
      <c r="P664" s="225">
        <v>0</v>
      </c>
      <c r="Q664" s="225">
        <v>0</v>
      </c>
      <c r="R664" s="225">
        <v>0</v>
      </c>
      <c r="S664" s="225">
        <v>0</v>
      </c>
      <c r="T664" s="224">
        <v>0</v>
      </c>
      <c r="U664" s="224">
        <v>0</v>
      </c>
      <c r="V664" s="224">
        <v>0</v>
      </c>
      <c r="W664" s="224">
        <v>0</v>
      </c>
      <c r="X664" s="224">
        <v>0</v>
      </c>
      <c r="Y664" s="225">
        <v>0</v>
      </c>
      <c r="Z664" s="224">
        <v>0</v>
      </c>
    </row>
    <row r="665" spans="2:26" ht="12.75" customHeight="1" x14ac:dyDescent="0.25">
      <c r="E665" s="89" t="s">
        <v>73</v>
      </c>
      <c r="F665" s="90">
        <v>0</v>
      </c>
      <c r="G665" s="90">
        <v>0</v>
      </c>
      <c r="H665" s="90">
        <v>0</v>
      </c>
      <c r="I665" s="90">
        <v>0</v>
      </c>
      <c r="J665" s="90">
        <v>0</v>
      </c>
      <c r="K665" s="90">
        <v>0</v>
      </c>
      <c r="L665" s="90">
        <v>0</v>
      </c>
      <c r="M665" s="90">
        <v>0</v>
      </c>
      <c r="N665" s="90">
        <v>0</v>
      </c>
      <c r="O665" s="90">
        <v>0</v>
      </c>
      <c r="P665" s="90">
        <v>0</v>
      </c>
      <c r="Q665" s="90">
        <v>0</v>
      </c>
      <c r="R665" s="90">
        <v>0</v>
      </c>
      <c r="S665" s="90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 s="90">
        <v>0</v>
      </c>
      <c r="Z665">
        <v>0</v>
      </c>
    </row>
    <row r="666" spans="2:26" ht="12.75" customHeight="1" x14ac:dyDescent="0.25">
      <c r="D666" s="89" t="s">
        <v>82</v>
      </c>
      <c r="E666" s="89" t="s">
        <v>70</v>
      </c>
      <c r="F666" s="90">
        <v>0</v>
      </c>
      <c r="G666" s="90">
        <v>0</v>
      </c>
      <c r="H666" s="90">
        <v>0</v>
      </c>
      <c r="I666" s="90">
        <v>0</v>
      </c>
      <c r="J666" s="90">
        <v>0</v>
      </c>
      <c r="K666" s="90">
        <v>0</v>
      </c>
      <c r="L666" s="90">
        <v>0</v>
      </c>
      <c r="M666" s="90">
        <v>0</v>
      </c>
      <c r="N666" s="90">
        <v>0</v>
      </c>
      <c r="O666" s="90">
        <v>0</v>
      </c>
      <c r="P666" s="90">
        <v>0</v>
      </c>
      <c r="Q666" s="90">
        <v>0</v>
      </c>
      <c r="R666" s="90">
        <v>0</v>
      </c>
      <c r="S666" s="90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 s="90">
        <v>0</v>
      </c>
      <c r="Z666">
        <v>0</v>
      </c>
    </row>
    <row r="667" spans="2:26" ht="12.75" customHeight="1" x14ac:dyDescent="0.25">
      <c r="E667" s="89" t="s">
        <v>73</v>
      </c>
      <c r="F667" s="90">
        <v>0</v>
      </c>
      <c r="G667" s="90">
        <v>0</v>
      </c>
      <c r="H667" s="90">
        <v>0</v>
      </c>
      <c r="I667" s="90">
        <v>0</v>
      </c>
      <c r="J667" s="90">
        <v>0</v>
      </c>
      <c r="K667" s="90">
        <v>0</v>
      </c>
      <c r="L667" s="90">
        <v>0</v>
      </c>
      <c r="M667" s="90">
        <v>0</v>
      </c>
      <c r="N667" s="90">
        <v>0</v>
      </c>
      <c r="O667" s="90">
        <v>0</v>
      </c>
      <c r="P667" s="90">
        <v>0</v>
      </c>
      <c r="Q667" s="90">
        <v>0</v>
      </c>
      <c r="R667" s="90">
        <v>0</v>
      </c>
      <c r="S667" s="90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 s="90">
        <v>0</v>
      </c>
      <c r="Z667">
        <v>0</v>
      </c>
    </row>
    <row r="668" spans="2:26" ht="12.75" customHeight="1" x14ac:dyDescent="0.25">
      <c r="D668" s="89" t="s">
        <v>86</v>
      </c>
      <c r="E668" s="89" t="s">
        <v>70</v>
      </c>
      <c r="F668" s="90">
        <v>0</v>
      </c>
      <c r="G668" s="90">
        <v>0</v>
      </c>
      <c r="H668" s="90">
        <v>0</v>
      </c>
      <c r="I668" s="90">
        <v>0</v>
      </c>
      <c r="J668" s="90">
        <v>0</v>
      </c>
      <c r="K668" s="90">
        <v>0</v>
      </c>
      <c r="L668" s="90">
        <v>0</v>
      </c>
      <c r="M668" s="90">
        <v>0</v>
      </c>
      <c r="N668" s="90">
        <v>0</v>
      </c>
      <c r="O668" s="90">
        <v>0</v>
      </c>
      <c r="P668" s="90">
        <v>0</v>
      </c>
      <c r="Q668" s="90">
        <v>0</v>
      </c>
      <c r="R668" s="90">
        <v>0</v>
      </c>
      <c r="S668" s="90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 s="90">
        <v>0</v>
      </c>
      <c r="Z668">
        <v>0</v>
      </c>
    </row>
    <row r="669" spans="2:26" ht="12.75" customHeight="1" x14ac:dyDescent="0.25">
      <c r="E669" s="89" t="s">
        <v>73</v>
      </c>
      <c r="F669" s="90">
        <v>0</v>
      </c>
      <c r="G669" s="90">
        <v>0</v>
      </c>
      <c r="H669" s="90">
        <v>0</v>
      </c>
      <c r="I669" s="90">
        <v>0</v>
      </c>
      <c r="J669" s="90">
        <v>0</v>
      </c>
      <c r="K669" s="90">
        <v>0</v>
      </c>
      <c r="L669" s="90">
        <v>0</v>
      </c>
      <c r="M669" s="90">
        <v>0</v>
      </c>
      <c r="N669" s="90">
        <v>0</v>
      </c>
      <c r="O669" s="90">
        <v>0</v>
      </c>
      <c r="P669" s="90">
        <v>0</v>
      </c>
      <c r="Q669" s="90">
        <v>0</v>
      </c>
      <c r="R669" s="90">
        <v>0</v>
      </c>
      <c r="S669" s="90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 s="90">
        <v>0</v>
      </c>
      <c r="Z669">
        <v>0</v>
      </c>
    </row>
    <row r="670" spans="2:26" ht="12.75" customHeight="1" x14ac:dyDescent="0.25">
      <c r="D670" s="89" t="s">
        <v>87</v>
      </c>
      <c r="E670" s="89" t="s">
        <v>70</v>
      </c>
      <c r="F670" s="90">
        <v>0</v>
      </c>
      <c r="G670" s="90">
        <v>0</v>
      </c>
      <c r="H670" s="90">
        <v>0</v>
      </c>
      <c r="I670" s="90">
        <v>0</v>
      </c>
      <c r="J670" s="90">
        <v>0</v>
      </c>
      <c r="K670" s="90">
        <v>0</v>
      </c>
      <c r="L670" s="90">
        <v>0</v>
      </c>
      <c r="M670" s="90">
        <v>0</v>
      </c>
      <c r="N670" s="90">
        <v>0</v>
      </c>
      <c r="O670" s="90">
        <v>0</v>
      </c>
      <c r="P670" s="90">
        <v>0</v>
      </c>
      <c r="Q670" s="90">
        <v>0</v>
      </c>
      <c r="R670" s="90">
        <v>0</v>
      </c>
      <c r="S670" s="9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 s="90">
        <v>0</v>
      </c>
      <c r="Z670">
        <v>0</v>
      </c>
    </row>
    <row r="671" spans="2:26" s="94" customFormat="1" ht="12.75" customHeight="1" x14ac:dyDescent="0.25">
      <c r="C671" s="101" t="s">
        <v>119</v>
      </c>
      <c r="D671" s="101" t="s">
        <v>70</v>
      </c>
      <c r="F671" s="93">
        <v>0</v>
      </c>
      <c r="G671" s="93">
        <v>0</v>
      </c>
      <c r="H671" s="93">
        <v>0</v>
      </c>
      <c r="I671" s="93">
        <v>0</v>
      </c>
      <c r="J671" s="93">
        <v>0</v>
      </c>
      <c r="K671" s="93">
        <v>0</v>
      </c>
      <c r="L671" s="93">
        <v>0</v>
      </c>
      <c r="M671" s="93">
        <v>0</v>
      </c>
      <c r="N671" s="93">
        <v>0</v>
      </c>
      <c r="O671" s="93">
        <v>0</v>
      </c>
      <c r="P671" s="93">
        <v>0</v>
      </c>
      <c r="Q671" s="93">
        <v>0</v>
      </c>
      <c r="R671" s="93">
        <v>0</v>
      </c>
      <c r="S671" s="93">
        <v>0</v>
      </c>
      <c r="T671" s="94">
        <v>0</v>
      </c>
      <c r="U671" s="94">
        <v>0</v>
      </c>
      <c r="V671" s="94">
        <v>0</v>
      </c>
      <c r="W671" s="94">
        <v>0</v>
      </c>
      <c r="X671" s="94">
        <v>0</v>
      </c>
      <c r="Y671" s="93">
        <v>0</v>
      </c>
      <c r="Z671" s="94">
        <v>0</v>
      </c>
    </row>
    <row r="672" spans="2:26" s="226" customFormat="1" ht="12.75" customHeight="1" x14ac:dyDescent="0.25">
      <c r="B672" s="98" t="s">
        <v>112</v>
      </c>
      <c r="C672" s="98" t="s">
        <v>70</v>
      </c>
      <c r="F672" s="100">
        <v>0</v>
      </c>
      <c r="G672" s="100">
        <v>0</v>
      </c>
      <c r="H672" s="100">
        <v>0</v>
      </c>
      <c r="I672" s="100">
        <v>0</v>
      </c>
      <c r="J672" s="100">
        <v>0</v>
      </c>
      <c r="K672" s="100">
        <v>0</v>
      </c>
      <c r="L672" s="100">
        <v>0</v>
      </c>
      <c r="M672" s="100">
        <v>0</v>
      </c>
      <c r="N672" s="100">
        <v>0</v>
      </c>
      <c r="O672" s="100">
        <v>0</v>
      </c>
      <c r="P672" s="100">
        <v>0</v>
      </c>
      <c r="Q672" s="100">
        <v>0</v>
      </c>
      <c r="R672" s="100">
        <v>0</v>
      </c>
      <c r="S672" s="100">
        <v>0</v>
      </c>
      <c r="T672" s="226">
        <v>0</v>
      </c>
      <c r="U672" s="226">
        <v>0</v>
      </c>
      <c r="V672" s="226">
        <v>0</v>
      </c>
      <c r="W672" s="226">
        <v>0</v>
      </c>
      <c r="X672" s="226">
        <v>0</v>
      </c>
      <c r="Y672" s="100">
        <v>0</v>
      </c>
      <c r="Z672" s="226">
        <v>0</v>
      </c>
    </row>
    <row r="673" spans="1:26" ht="12.75" customHeight="1" x14ac:dyDescent="0.25">
      <c r="A673" s="89" t="s">
        <v>79</v>
      </c>
      <c r="B673" s="89" t="s">
        <v>70</v>
      </c>
      <c r="F673" s="90">
        <v>0</v>
      </c>
      <c r="G673" s="90">
        <v>0</v>
      </c>
      <c r="H673" s="90">
        <v>0</v>
      </c>
      <c r="I673" s="90">
        <v>0</v>
      </c>
      <c r="J673" s="90">
        <v>0</v>
      </c>
      <c r="K673" s="90">
        <v>0</v>
      </c>
      <c r="L673" s="90">
        <v>0</v>
      </c>
      <c r="M673" s="90">
        <v>0</v>
      </c>
      <c r="N673" s="90">
        <v>0</v>
      </c>
      <c r="O673" s="90">
        <v>0</v>
      </c>
      <c r="P673" s="90">
        <v>0</v>
      </c>
      <c r="Q673" s="90">
        <v>0</v>
      </c>
      <c r="R673" s="90">
        <v>0</v>
      </c>
      <c r="S673" s="90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 s="90">
        <v>0</v>
      </c>
      <c r="Z673">
        <v>0</v>
      </c>
    </row>
    <row r="674" spans="1:26" ht="12.75" customHeight="1" x14ac:dyDescent="0.25">
      <c r="A674" s="89" t="s">
        <v>70</v>
      </c>
      <c r="F674" s="90">
        <v>0</v>
      </c>
      <c r="G674" s="90">
        <v>0</v>
      </c>
      <c r="H674" s="90">
        <v>0</v>
      </c>
      <c r="I674" s="90">
        <v>0</v>
      </c>
      <c r="J674" s="90">
        <v>0</v>
      </c>
      <c r="K674" s="90">
        <v>0</v>
      </c>
      <c r="L674" s="90">
        <v>0</v>
      </c>
      <c r="M674" s="90">
        <v>0</v>
      </c>
      <c r="N674" s="90">
        <v>0</v>
      </c>
      <c r="O674" s="90">
        <v>0</v>
      </c>
      <c r="P674" s="90">
        <v>0</v>
      </c>
      <c r="Q674" s="90">
        <v>0</v>
      </c>
      <c r="R674" s="90">
        <v>0</v>
      </c>
      <c r="S674" s="90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 s="90">
        <v>0</v>
      </c>
      <c r="Z674">
        <v>0</v>
      </c>
    </row>
    <row r="675" spans="1:26" ht="12.75" customHeight="1" x14ac:dyDescent="0.25">
      <c r="A675" s="89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</row>
    <row r="676" spans="1:26" ht="12.75" hidden="1" customHeight="1" x14ac:dyDescent="0.25">
      <c r="A676" s="89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</row>
    <row r="677" spans="1:26" ht="12.75" hidden="1" customHeight="1" x14ac:dyDescent="0.25">
      <c r="A677" s="89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</row>
    <row r="678" spans="1:26" ht="12.75" hidden="1" customHeight="1" x14ac:dyDescent="0.25">
      <c r="A678" s="89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</row>
    <row r="679" spans="1:26" ht="12.75" hidden="1" customHeight="1" x14ac:dyDescent="0.25">
      <c r="A679" s="89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</row>
    <row r="680" spans="1:26" ht="12.75" hidden="1" customHeight="1" x14ac:dyDescent="0.25">
      <c r="A680" s="89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</row>
    <row r="681" spans="1:26" ht="12.75" hidden="1" customHeight="1" x14ac:dyDescent="0.25">
      <c r="A681" s="89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</row>
    <row r="682" spans="1:26" ht="12.75" hidden="1" customHeight="1" x14ac:dyDescent="0.25">
      <c r="A682" s="89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</row>
    <row r="683" spans="1:26" ht="12.75" hidden="1" customHeight="1" x14ac:dyDescent="0.25">
      <c r="A683" s="89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</row>
    <row r="684" spans="1:26" ht="12.75" hidden="1" customHeight="1" x14ac:dyDescent="0.25">
      <c r="A684" s="89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</row>
    <row r="685" spans="1:26" ht="12.75" hidden="1" customHeight="1" x14ac:dyDescent="0.25">
      <c r="A685" s="89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</row>
    <row r="686" spans="1:26" ht="12.75" hidden="1" customHeight="1" x14ac:dyDescent="0.25">
      <c r="A686" s="89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</row>
    <row r="687" spans="1:26" ht="12.75" hidden="1" customHeight="1" x14ac:dyDescent="0.25">
      <c r="A687" s="89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</row>
    <row r="688" spans="1:26" ht="12.75" hidden="1" customHeight="1" x14ac:dyDescent="0.25">
      <c r="A688" s="89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</row>
    <row r="689" spans="1:41" ht="12.75" hidden="1" customHeight="1" x14ac:dyDescent="0.25">
      <c r="A689" s="89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</row>
    <row r="690" spans="1:41" ht="12.75" hidden="1" customHeight="1" x14ac:dyDescent="0.25">
      <c r="A690" s="89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</row>
    <row r="691" spans="1:41" ht="12.75" customHeight="1" x14ac:dyDescent="0.25">
      <c r="A691" s="89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</row>
    <row r="692" spans="1:41" ht="12.75" customHeight="1" x14ac:dyDescent="0.25">
      <c r="C692" s="778" t="s">
        <v>2</v>
      </c>
      <c r="D692" s="775" t="s">
        <v>132</v>
      </c>
      <c r="E692" s="98" t="s">
        <v>70</v>
      </c>
      <c r="F692" s="100">
        <f>F619+F672+F544-L544-L619</f>
        <v>0</v>
      </c>
      <c r="G692" s="100">
        <f t="shared" ref="G692:AO692" si="25">G619+G544</f>
        <v>0</v>
      </c>
      <c r="H692" s="100">
        <f t="shared" si="25"/>
        <v>0</v>
      </c>
      <c r="I692" s="100">
        <f t="shared" si="25"/>
        <v>0</v>
      </c>
      <c r="J692" s="100">
        <f t="shared" si="25"/>
        <v>0</v>
      </c>
      <c r="K692" s="100">
        <f t="shared" si="25"/>
        <v>0</v>
      </c>
      <c r="L692" s="100">
        <f t="shared" si="25"/>
        <v>0</v>
      </c>
      <c r="M692" s="100">
        <f t="shared" si="25"/>
        <v>0</v>
      </c>
      <c r="N692" s="100">
        <f t="shared" si="25"/>
        <v>0</v>
      </c>
      <c r="O692" s="100">
        <f t="shared" si="25"/>
        <v>0</v>
      </c>
      <c r="P692" s="100">
        <f t="shared" si="25"/>
        <v>0</v>
      </c>
      <c r="Q692" s="100">
        <f t="shared" si="25"/>
        <v>0</v>
      </c>
      <c r="R692" s="100">
        <f t="shared" si="25"/>
        <v>0</v>
      </c>
      <c r="S692" s="100">
        <f t="shared" si="25"/>
        <v>0</v>
      </c>
      <c r="T692" s="100">
        <f t="shared" si="25"/>
        <v>0</v>
      </c>
      <c r="U692" s="100">
        <f t="shared" si="25"/>
        <v>0</v>
      </c>
      <c r="V692" s="100">
        <f t="shared" si="25"/>
        <v>0</v>
      </c>
      <c r="W692" s="100">
        <f t="shared" si="25"/>
        <v>0</v>
      </c>
      <c r="X692" s="100">
        <f t="shared" si="25"/>
        <v>0</v>
      </c>
      <c r="Y692" s="100">
        <f t="shared" si="25"/>
        <v>0</v>
      </c>
      <c r="Z692" s="100">
        <f t="shared" si="25"/>
        <v>0</v>
      </c>
      <c r="AA692" s="100">
        <f t="shared" si="25"/>
        <v>0</v>
      </c>
      <c r="AB692" s="100">
        <f t="shared" si="25"/>
        <v>0</v>
      </c>
      <c r="AC692" s="100">
        <f t="shared" si="25"/>
        <v>0</v>
      </c>
      <c r="AD692" s="100">
        <f t="shared" si="25"/>
        <v>0</v>
      </c>
      <c r="AE692" s="100">
        <f t="shared" si="25"/>
        <v>0</v>
      </c>
      <c r="AF692" s="100">
        <f t="shared" si="25"/>
        <v>0</v>
      </c>
      <c r="AG692" s="100">
        <f t="shared" si="25"/>
        <v>0</v>
      </c>
      <c r="AH692" s="100">
        <f t="shared" si="25"/>
        <v>0</v>
      </c>
      <c r="AI692" s="100">
        <f t="shared" si="25"/>
        <v>0</v>
      </c>
      <c r="AJ692" s="100">
        <f t="shared" si="25"/>
        <v>0</v>
      </c>
      <c r="AK692" s="100">
        <f t="shared" si="25"/>
        <v>0</v>
      </c>
      <c r="AL692" s="100">
        <f t="shared" si="25"/>
        <v>0</v>
      </c>
      <c r="AM692" s="100">
        <f t="shared" si="25"/>
        <v>0</v>
      </c>
      <c r="AN692" s="100">
        <f t="shared" si="25"/>
        <v>0</v>
      </c>
      <c r="AO692" s="100">
        <f t="shared" si="25"/>
        <v>0</v>
      </c>
    </row>
    <row r="693" spans="1:41" ht="12.75" customHeight="1" x14ac:dyDescent="0.25">
      <c r="C693" s="778"/>
      <c r="D693" s="775"/>
      <c r="E693" s="98" t="s">
        <v>73</v>
      </c>
      <c r="F693" s="100">
        <f>F672</f>
        <v>0</v>
      </c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</row>
    <row r="694" spans="1:41" ht="12.75" customHeight="1" x14ac:dyDescent="0.25">
      <c r="C694" s="778"/>
      <c r="D694" s="775" t="s">
        <v>133</v>
      </c>
      <c r="E694" s="233" t="s">
        <v>70</v>
      </c>
      <c r="F694" s="234">
        <f>F646+F582-L582</f>
        <v>0</v>
      </c>
      <c r="G694" s="234">
        <f t="shared" ref="G694:AA694" si="26">G582</f>
        <v>0</v>
      </c>
      <c r="H694" s="234">
        <f t="shared" si="26"/>
        <v>0</v>
      </c>
      <c r="I694" s="234">
        <f t="shared" si="26"/>
        <v>0</v>
      </c>
      <c r="J694" s="234">
        <f t="shared" si="26"/>
        <v>0</v>
      </c>
      <c r="K694" s="234">
        <f t="shared" si="26"/>
        <v>0</v>
      </c>
      <c r="L694" s="234">
        <f t="shared" si="26"/>
        <v>0</v>
      </c>
      <c r="M694" s="234">
        <f t="shared" si="26"/>
        <v>0</v>
      </c>
      <c r="N694" s="234">
        <f t="shared" si="26"/>
        <v>0</v>
      </c>
      <c r="O694" s="234">
        <f t="shared" si="26"/>
        <v>0</v>
      </c>
      <c r="P694" s="234">
        <f t="shared" si="26"/>
        <v>0</v>
      </c>
      <c r="Q694" s="234">
        <f t="shared" si="26"/>
        <v>0</v>
      </c>
      <c r="R694" s="234">
        <f t="shared" si="26"/>
        <v>0</v>
      </c>
      <c r="S694" s="234">
        <f t="shared" si="26"/>
        <v>0</v>
      </c>
      <c r="T694" s="234">
        <f t="shared" si="26"/>
        <v>0</v>
      </c>
      <c r="U694" s="234">
        <f t="shared" si="26"/>
        <v>0</v>
      </c>
      <c r="V694" s="234">
        <f t="shared" si="26"/>
        <v>0</v>
      </c>
      <c r="W694" s="234">
        <f t="shared" si="26"/>
        <v>0</v>
      </c>
      <c r="X694" s="234">
        <f t="shared" si="26"/>
        <v>0</v>
      </c>
      <c r="Y694" s="234">
        <f t="shared" si="26"/>
        <v>0</v>
      </c>
      <c r="Z694" s="234">
        <f t="shared" si="26"/>
        <v>0</v>
      </c>
      <c r="AA694" s="234">
        <f t="shared" si="26"/>
        <v>0</v>
      </c>
    </row>
    <row r="695" spans="1:41" ht="12.75" customHeight="1" x14ac:dyDescent="0.25">
      <c r="C695" s="778"/>
      <c r="D695" s="775"/>
      <c r="E695" s="233" t="s">
        <v>73</v>
      </c>
      <c r="F695" s="234">
        <f>F646</f>
        <v>0</v>
      </c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</row>
    <row r="696" spans="1:41" ht="12.75" customHeight="1" x14ac:dyDescent="0.25">
      <c r="A696" s="89"/>
      <c r="C696" s="97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</row>
    <row r="697" spans="1:41" ht="12.75" customHeight="1" x14ac:dyDescent="0.25">
      <c r="C697" s="778" t="s">
        <v>160</v>
      </c>
      <c r="D697" s="775" t="s">
        <v>132</v>
      </c>
      <c r="E697" s="223" t="s">
        <v>70</v>
      </c>
      <c r="F697" s="225">
        <f>F664+F608+F536-L536-L608</f>
        <v>0</v>
      </c>
      <c r="G697" s="225">
        <f>G608+G536</f>
        <v>0</v>
      </c>
      <c r="H697" s="225">
        <f t="shared" ref="H697:AO697" si="27">H608+H536</f>
        <v>0</v>
      </c>
      <c r="I697" s="225">
        <f t="shared" si="27"/>
        <v>0</v>
      </c>
      <c r="J697" s="225">
        <f t="shared" si="27"/>
        <v>0</v>
      </c>
      <c r="K697" s="225">
        <f t="shared" si="27"/>
        <v>0</v>
      </c>
      <c r="L697" s="225">
        <f t="shared" si="27"/>
        <v>0</v>
      </c>
      <c r="M697" s="225">
        <f t="shared" si="27"/>
        <v>0</v>
      </c>
      <c r="N697" s="225">
        <f t="shared" si="27"/>
        <v>0</v>
      </c>
      <c r="O697" s="225">
        <f t="shared" si="27"/>
        <v>0</v>
      </c>
      <c r="P697" s="225">
        <f t="shared" si="27"/>
        <v>0</v>
      </c>
      <c r="Q697" s="225">
        <f t="shared" si="27"/>
        <v>0</v>
      </c>
      <c r="R697" s="225">
        <f t="shared" si="27"/>
        <v>0</v>
      </c>
      <c r="S697" s="225">
        <f t="shared" si="27"/>
        <v>0</v>
      </c>
      <c r="T697" s="225">
        <f t="shared" si="27"/>
        <v>0</v>
      </c>
      <c r="U697" s="225">
        <f t="shared" si="27"/>
        <v>0</v>
      </c>
      <c r="V697" s="225">
        <f t="shared" si="27"/>
        <v>0</v>
      </c>
      <c r="W697" s="225">
        <f t="shared" si="27"/>
        <v>0</v>
      </c>
      <c r="X697" s="225">
        <f t="shared" si="27"/>
        <v>0</v>
      </c>
      <c r="Y697" s="225">
        <f t="shared" si="27"/>
        <v>0</v>
      </c>
      <c r="Z697" s="225">
        <f t="shared" si="27"/>
        <v>0</v>
      </c>
      <c r="AA697" s="225">
        <f t="shared" si="27"/>
        <v>0</v>
      </c>
      <c r="AB697" s="225">
        <f t="shared" si="27"/>
        <v>0</v>
      </c>
      <c r="AC697" s="225">
        <f t="shared" si="27"/>
        <v>0</v>
      </c>
      <c r="AD697" s="225">
        <f t="shared" si="27"/>
        <v>0</v>
      </c>
      <c r="AE697" s="225">
        <f t="shared" si="27"/>
        <v>0</v>
      </c>
      <c r="AF697" s="225">
        <f t="shared" si="27"/>
        <v>0</v>
      </c>
      <c r="AG697" s="225">
        <f t="shared" si="27"/>
        <v>0</v>
      </c>
      <c r="AH697" s="225">
        <f t="shared" si="27"/>
        <v>0</v>
      </c>
      <c r="AI697" s="225">
        <f t="shared" si="27"/>
        <v>0</v>
      </c>
      <c r="AJ697" s="225">
        <f t="shared" si="27"/>
        <v>0</v>
      </c>
      <c r="AK697" s="225">
        <f t="shared" si="27"/>
        <v>0</v>
      </c>
      <c r="AL697" s="225">
        <f t="shared" si="27"/>
        <v>0</v>
      </c>
      <c r="AM697" s="225">
        <f t="shared" si="27"/>
        <v>0</v>
      </c>
      <c r="AN697" s="225">
        <f t="shared" si="27"/>
        <v>0</v>
      </c>
      <c r="AO697" s="225">
        <f t="shared" si="27"/>
        <v>0</v>
      </c>
    </row>
    <row r="698" spans="1:41" ht="12.75" customHeight="1" x14ac:dyDescent="0.25">
      <c r="C698" s="778"/>
      <c r="D698" s="775"/>
      <c r="E698" s="223" t="s">
        <v>73</v>
      </c>
      <c r="F698" s="225">
        <f>F664</f>
        <v>0</v>
      </c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</row>
    <row r="699" spans="1:41" ht="12.75" customHeight="1" x14ac:dyDescent="0.25">
      <c r="C699" s="778"/>
      <c r="D699" s="775" t="s">
        <v>133</v>
      </c>
      <c r="E699" s="227" t="s">
        <v>70</v>
      </c>
      <c r="F699" s="228">
        <f>F638+F571-L571</f>
        <v>0</v>
      </c>
      <c r="G699" s="228">
        <f t="shared" ref="G699:Z699" si="28">G571</f>
        <v>0</v>
      </c>
      <c r="H699" s="228">
        <f t="shared" si="28"/>
        <v>0</v>
      </c>
      <c r="I699" s="228">
        <f t="shared" si="28"/>
        <v>0</v>
      </c>
      <c r="J699" s="228">
        <f t="shared" si="28"/>
        <v>0</v>
      </c>
      <c r="K699" s="228">
        <f t="shared" si="28"/>
        <v>0</v>
      </c>
      <c r="L699" s="228">
        <f t="shared" si="28"/>
        <v>0</v>
      </c>
      <c r="M699" s="228">
        <f t="shared" si="28"/>
        <v>0</v>
      </c>
      <c r="N699" s="228">
        <f t="shared" si="28"/>
        <v>0</v>
      </c>
      <c r="O699" s="228">
        <f t="shared" si="28"/>
        <v>0</v>
      </c>
      <c r="P699" s="228">
        <f t="shared" si="28"/>
        <v>0</v>
      </c>
      <c r="Q699" s="228">
        <f t="shared" si="28"/>
        <v>0</v>
      </c>
      <c r="R699" s="228">
        <f t="shared" si="28"/>
        <v>0</v>
      </c>
      <c r="S699" s="228">
        <f t="shared" si="28"/>
        <v>0</v>
      </c>
      <c r="T699" s="228">
        <f t="shared" si="28"/>
        <v>0</v>
      </c>
      <c r="U699" s="228">
        <f t="shared" si="28"/>
        <v>0</v>
      </c>
      <c r="V699" s="228">
        <f t="shared" si="28"/>
        <v>0</v>
      </c>
      <c r="W699" s="228">
        <f t="shared" si="28"/>
        <v>0</v>
      </c>
      <c r="X699" s="228">
        <f t="shared" si="28"/>
        <v>0</v>
      </c>
      <c r="Y699" s="228">
        <f t="shared" si="28"/>
        <v>0</v>
      </c>
      <c r="Z699" s="228">
        <f t="shared" si="28"/>
        <v>0</v>
      </c>
    </row>
    <row r="700" spans="1:41" ht="12.75" customHeight="1" x14ac:dyDescent="0.25">
      <c r="C700" s="778"/>
      <c r="D700" s="775"/>
      <c r="E700" s="227" t="s">
        <v>73</v>
      </c>
      <c r="F700" s="228">
        <f>F638</f>
        <v>0</v>
      </c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</row>
    <row r="701" spans="1:41" ht="12.75" customHeight="1" x14ac:dyDescent="0.25">
      <c r="A701" s="89"/>
      <c r="C701" s="97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</row>
    <row r="702" spans="1:41" ht="12.75" customHeight="1" x14ac:dyDescent="0.25">
      <c r="C702" s="778" t="s">
        <v>155</v>
      </c>
      <c r="D702" s="775" t="s">
        <v>132</v>
      </c>
      <c r="E702" s="221" t="s">
        <v>70</v>
      </c>
      <c r="F702" s="222">
        <f>F649+F586+F521-L521-L586</f>
        <v>0</v>
      </c>
      <c r="G702" s="222">
        <f t="shared" ref="G702:Z702" si="29">G586+G521</f>
        <v>0</v>
      </c>
      <c r="H702" s="222">
        <f t="shared" si="29"/>
        <v>0</v>
      </c>
      <c r="I702" s="222">
        <f t="shared" si="29"/>
        <v>0</v>
      </c>
      <c r="J702" s="222">
        <f t="shared" si="29"/>
        <v>0</v>
      </c>
      <c r="K702" s="222">
        <f t="shared" si="29"/>
        <v>0</v>
      </c>
      <c r="L702" s="222">
        <f t="shared" si="29"/>
        <v>0</v>
      </c>
      <c r="M702" s="222">
        <f t="shared" si="29"/>
        <v>0</v>
      </c>
      <c r="N702" s="222">
        <f t="shared" si="29"/>
        <v>0</v>
      </c>
      <c r="O702" s="222">
        <f t="shared" si="29"/>
        <v>0</v>
      </c>
      <c r="P702" s="222">
        <f t="shared" si="29"/>
        <v>0</v>
      </c>
      <c r="Q702" s="222">
        <f t="shared" si="29"/>
        <v>0</v>
      </c>
      <c r="R702" s="222">
        <f t="shared" si="29"/>
        <v>0</v>
      </c>
      <c r="S702" s="222">
        <f t="shared" si="29"/>
        <v>0</v>
      </c>
      <c r="T702" s="222">
        <f t="shared" si="29"/>
        <v>0</v>
      </c>
      <c r="U702" s="222">
        <f t="shared" si="29"/>
        <v>0</v>
      </c>
      <c r="V702" s="222">
        <f t="shared" si="29"/>
        <v>0</v>
      </c>
      <c r="W702" s="222">
        <f t="shared" si="29"/>
        <v>0</v>
      </c>
      <c r="X702" s="222">
        <f t="shared" si="29"/>
        <v>0</v>
      </c>
      <c r="Y702" s="222">
        <f t="shared" si="29"/>
        <v>0</v>
      </c>
      <c r="Z702" s="222">
        <f t="shared" si="29"/>
        <v>0</v>
      </c>
    </row>
    <row r="703" spans="1:41" ht="12.75" customHeight="1" x14ac:dyDescent="0.25">
      <c r="C703" s="778"/>
      <c r="D703" s="775"/>
      <c r="E703" s="221" t="s">
        <v>73</v>
      </c>
      <c r="F703" s="222">
        <f>F649</f>
        <v>0</v>
      </c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</row>
    <row r="704" spans="1:41" ht="12.75" customHeight="1" x14ac:dyDescent="0.25">
      <c r="C704" s="778"/>
      <c r="D704" s="775" t="s">
        <v>133</v>
      </c>
      <c r="E704" s="229" t="s">
        <v>70</v>
      </c>
      <c r="F704" s="230">
        <f>F623+F549-L549</f>
        <v>0</v>
      </c>
      <c r="G704" s="230">
        <f t="shared" ref="G704:Z704" si="30">G549</f>
        <v>0</v>
      </c>
      <c r="H704" s="230">
        <f t="shared" si="30"/>
        <v>0</v>
      </c>
      <c r="I704" s="230">
        <f t="shared" si="30"/>
        <v>0</v>
      </c>
      <c r="J704" s="230">
        <f t="shared" si="30"/>
        <v>0</v>
      </c>
      <c r="K704" s="230">
        <f t="shared" si="30"/>
        <v>0</v>
      </c>
      <c r="L704" s="230">
        <f t="shared" si="30"/>
        <v>0</v>
      </c>
      <c r="M704" s="230">
        <f t="shared" si="30"/>
        <v>0</v>
      </c>
      <c r="N704" s="230">
        <f t="shared" si="30"/>
        <v>0</v>
      </c>
      <c r="O704" s="230">
        <f t="shared" si="30"/>
        <v>0</v>
      </c>
      <c r="P704" s="230">
        <f t="shared" si="30"/>
        <v>0</v>
      </c>
      <c r="Q704" s="230">
        <f t="shared" si="30"/>
        <v>0</v>
      </c>
      <c r="R704" s="230">
        <f t="shared" si="30"/>
        <v>0</v>
      </c>
      <c r="S704" s="230">
        <f t="shared" si="30"/>
        <v>0</v>
      </c>
      <c r="T704" s="230">
        <f t="shared" si="30"/>
        <v>0</v>
      </c>
      <c r="U704" s="230">
        <f t="shared" si="30"/>
        <v>0</v>
      </c>
      <c r="V704" s="230">
        <f t="shared" si="30"/>
        <v>0</v>
      </c>
      <c r="W704" s="230">
        <f t="shared" si="30"/>
        <v>0</v>
      </c>
      <c r="X704" s="230">
        <f t="shared" si="30"/>
        <v>0</v>
      </c>
      <c r="Y704" s="230">
        <f t="shared" si="30"/>
        <v>0</v>
      </c>
      <c r="Z704" s="230">
        <f t="shared" si="30"/>
        <v>0</v>
      </c>
    </row>
    <row r="705" spans="1:41" ht="12.75" customHeight="1" x14ac:dyDescent="0.25">
      <c r="C705" s="778"/>
      <c r="D705" s="775"/>
      <c r="E705" s="229" t="s">
        <v>73</v>
      </c>
      <c r="F705" s="230">
        <f>F623</f>
        <v>0</v>
      </c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</row>
    <row r="706" spans="1:41" ht="12.75" customHeight="1" x14ac:dyDescent="0.25">
      <c r="A706" s="89"/>
      <c r="C706" s="97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</row>
    <row r="707" spans="1:41" ht="12.75" customHeight="1" x14ac:dyDescent="0.25">
      <c r="C707" s="776" t="s">
        <v>326</v>
      </c>
      <c r="D707" s="775" t="s">
        <v>132</v>
      </c>
      <c r="E707" s="373" t="s">
        <v>70</v>
      </c>
      <c r="F707" s="374">
        <v>0</v>
      </c>
      <c r="G707" s="374">
        <v>0</v>
      </c>
      <c r="H707" s="374">
        <v>0</v>
      </c>
      <c r="I707" s="374">
        <v>0</v>
      </c>
      <c r="J707" s="374">
        <v>0</v>
      </c>
      <c r="K707" s="374">
        <v>0</v>
      </c>
      <c r="L707" s="374">
        <v>0</v>
      </c>
      <c r="M707" s="374">
        <v>0</v>
      </c>
      <c r="N707" s="374">
        <v>0</v>
      </c>
      <c r="O707" s="374">
        <v>0</v>
      </c>
      <c r="P707" s="374">
        <v>0</v>
      </c>
      <c r="Q707" s="374">
        <v>0</v>
      </c>
      <c r="R707" s="374">
        <v>0</v>
      </c>
      <c r="S707" s="374">
        <v>0</v>
      </c>
      <c r="T707" s="374">
        <v>0</v>
      </c>
      <c r="U707" s="374">
        <v>0</v>
      </c>
      <c r="V707" s="374">
        <v>0</v>
      </c>
      <c r="W707" s="374">
        <v>0</v>
      </c>
      <c r="X707" s="374">
        <v>0</v>
      </c>
      <c r="Y707" s="374">
        <v>0</v>
      </c>
      <c r="Z707" s="374">
        <v>0</v>
      </c>
      <c r="AA707" s="374">
        <v>0</v>
      </c>
      <c r="AB707" s="374">
        <v>0</v>
      </c>
      <c r="AC707" s="374">
        <v>0</v>
      </c>
      <c r="AD707" s="374">
        <v>0</v>
      </c>
      <c r="AE707" s="374">
        <v>0</v>
      </c>
      <c r="AF707" s="374">
        <v>0</v>
      </c>
      <c r="AG707" s="374">
        <v>0</v>
      </c>
      <c r="AH707" s="374">
        <v>0</v>
      </c>
      <c r="AI707" s="374">
        <v>0</v>
      </c>
      <c r="AJ707" s="374">
        <v>0</v>
      </c>
      <c r="AK707" s="374">
        <v>0</v>
      </c>
      <c r="AL707" s="374">
        <v>0</v>
      </c>
      <c r="AM707" s="374">
        <v>0</v>
      </c>
      <c r="AN707" s="374">
        <v>0</v>
      </c>
      <c r="AO707" s="374">
        <v>0</v>
      </c>
    </row>
    <row r="708" spans="1:41" ht="12.75" customHeight="1" x14ac:dyDescent="0.25">
      <c r="C708" s="776"/>
      <c r="D708" s="775"/>
      <c r="E708" s="373" t="s">
        <v>73</v>
      </c>
      <c r="F708" s="374">
        <v>0</v>
      </c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</row>
    <row r="709" spans="1:41" ht="12.75" customHeight="1" x14ac:dyDescent="0.25">
      <c r="C709" s="776"/>
      <c r="D709" s="775" t="s">
        <v>133</v>
      </c>
      <c r="E709" s="242" t="s">
        <v>70</v>
      </c>
      <c r="F709" s="243">
        <v>0</v>
      </c>
      <c r="G709" s="243">
        <v>0</v>
      </c>
      <c r="H709" s="243">
        <v>0</v>
      </c>
      <c r="I709" s="243">
        <v>0</v>
      </c>
      <c r="J709" s="243">
        <v>0</v>
      </c>
      <c r="K709" s="243">
        <v>0</v>
      </c>
      <c r="L709" s="243">
        <v>0</v>
      </c>
      <c r="M709" s="243">
        <v>0</v>
      </c>
      <c r="N709" s="243">
        <v>0</v>
      </c>
      <c r="O709" s="243">
        <v>0</v>
      </c>
      <c r="P709" s="243">
        <v>0</v>
      </c>
      <c r="Q709" s="243">
        <v>0</v>
      </c>
      <c r="R709" s="243">
        <v>0</v>
      </c>
      <c r="S709" s="243">
        <v>0</v>
      </c>
      <c r="T709" s="243">
        <v>0</v>
      </c>
      <c r="U709" s="243">
        <v>0</v>
      </c>
      <c r="V709" s="243">
        <v>0</v>
      </c>
      <c r="W709" s="243">
        <v>0</v>
      </c>
      <c r="X709" s="243">
        <v>0</v>
      </c>
      <c r="Y709" s="243">
        <v>0</v>
      </c>
      <c r="Z709" s="243">
        <v>0</v>
      </c>
      <c r="AA709" s="243">
        <v>0</v>
      </c>
      <c r="AB709" s="243">
        <v>0</v>
      </c>
      <c r="AC709" s="243">
        <v>0</v>
      </c>
      <c r="AD709" s="243">
        <v>0</v>
      </c>
      <c r="AE709" s="243">
        <v>0</v>
      </c>
      <c r="AF709" s="243">
        <v>0</v>
      </c>
      <c r="AG709" s="243">
        <v>0</v>
      </c>
      <c r="AH709" s="243">
        <v>0</v>
      </c>
      <c r="AI709" s="243">
        <v>0</v>
      </c>
      <c r="AJ709" s="243">
        <v>0</v>
      </c>
      <c r="AK709" s="243">
        <v>0</v>
      </c>
      <c r="AL709" s="243">
        <v>0</v>
      </c>
      <c r="AM709" s="243">
        <v>0</v>
      </c>
      <c r="AN709" s="243">
        <v>0</v>
      </c>
      <c r="AO709" s="243">
        <v>0</v>
      </c>
    </row>
    <row r="710" spans="1:41" ht="12.75" customHeight="1" x14ac:dyDescent="0.25">
      <c r="C710" s="776"/>
      <c r="D710" s="775"/>
      <c r="E710" s="242" t="s">
        <v>73</v>
      </c>
      <c r="F710" s="243">
        <v>0</v>
      </c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</row>
    <row r="711" spans="1:41" ht="12.75" customHeight="1" x14ac:dyDescent="0.25">
      <c r="A711" s="89"/>
      <c r="C711" s="97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</row>
    <row r="712" spans="1:41" ht="12.75" customHeight="1" x14ac:dyDescent="0.25">
      <c r="C712" s="778" t="s">
        <v>119</v>
      </c>
      <c r="D712" s="775" t="s">
        <v>132</v>
      </c>
      <c r="E712" s="101" t="s">
        <v>70</v>
      </c>
      <c r="F712" s="93">
        <f>F671+F618+F543-L543-L618</f>
        <v>0</v>
      </c>
      <c r="G712" s="93">
        <f t="shared" ref="G712:AO712" si="31">G618+G543</f>
        <v>0</v>
      </c>
      <c r="H712" s="93">
        <f t="shared" si="31"/>
        <v>0</v>
      </c>
      <c r="I712" s="93">
        <f t="shared" si="31"/>
        <v>0</v>
      </c>
      <c r="J712" s="93">
        <f t="shared" si="31"/>
        <v>0</v>
      </c>
      <c r="K712" s="93">
        <f t="shared" si="31"/>
        <v>0</v>
      </c>
      <c r="L712" s="93">
        <f t="shared" si="31"/>
        <v>0</v>
      </c>
      <c r="M712" s="93">
        <f t="shared" si="31"/>
        <v>0</v>
      </c>
      <c r="N712" s="93">
        <f t="shared" si="31"/>
        <v>0</v>
      </c>
      <c r="O712" s="93">
        <f t="shared" si="31"/>
        <v>0</v>
      </c>
      <c r="P712" s="93">
        <f t="shared" si="31"/>
        <v>0</v>
      </c>
      <c r="Q712" s="93">
        <f t="shared" si="31"/>
        <v>0</v>
      </c>
      <c r="R712" s="93">
        <f t="shared" si="31"/>
        <v>0</v>
      </c>
      <c r="S712" s="93">
        <f t="shared" si="31"/>
        <v>0</v>
      </c>
      <c r="T712" s="93">
        <f t="shared" si="31"/>
        <v>0</v>
      </c>
      <c r="U712" s="93">
        <f t="shared" si="31"/>
        <v>0</v>
      </c>
      <c r="V712" s="93">
        <f t="shared" si="31"/>
        <v>0</v>
      </c>
      <c r="W712" s="93">
        <f t="shared" si="31"/>
        <v>0</v>
      </c>
      <c r="X712" s="93">
        <f t="shared" si="31"/>
        <v>0</v>
      </c>
      <c r="Y712" s="93">
        <f t="shared" si="31"/>
        <v>0</v>
      </c>
      <c r="Z712" s="93">
        <f t="shared" si="31"/>
        <v>0</v>
      </c>
      <c r="AA712" s="93">
        <f t="shared" si="31"/>
        <v>0</v>
      </c>
      <c r="AB712" s="93">
        <f t="shared" si="31"/>
        <v>0</v>
      </c>
      <c r="AC712" s="93">
        <f t="shared" si="31"/>
        <v>0</v>
      </c>
      <c r="AD712" s="93">
        <f t="shared" si="31"/>
        <v>0</v>
      </c>
      <c r="AE712" s="93">
        <f t="shared" si="31"/>
        <v>0</v>
      </c>
      <c r="AF712" s="93">
        <f t="shared" si="31"/>
        <v>0</v>
      </c>
      <c r="AG712" s="93">
        <f t="shared" si="31"/>
        <v>0</v>
      </c>
      <c r="AH712" s="93">
        <f t="shared" si="31"/>
        <v>0</v>
      </c>
      <c r="AI712" s="93">
        <f t="shared" si="31"/>
        <v>0</v>
      </c>
      <c r="AJ712" s="93">
        <f t="shared" si="31"/>
        <v>0</v>
      </c>
      <c r="AK712" s="93">
        <f t="shared" si="31"/>
        <v>0</v>
      </c>
      <c r="AL712" s="93">
        <f t="shared" si="31"/>
        <v>0</v>
      </c>
      <c r="AM712" s="93">
        <f t="shared" si="31"/>
        <v>0</v>
      </c>
      <c r="AN712" s="93">
        <f t="shared" si="31"/>
        <v>0</v>
      </c>
      <c r="AO712" s="93">
        <f t="shared" si="31"/>
        <v>0</v>
      </c>
    </row>
    <row r="713" spans="1:41" ht="12.75" customHeight="1" x14ac:dyDescent="0.25">
      <c r="C713" s="778"/>
      <c r="D713" s="775"/>
      <c r="E713" s="101" t="s">
        <v>73</v>
      </c>
      <c r="F713" s="93">
        <f>F671</f>
        <v>0</v>
      </c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</row>
    <row r="714" spans="1:41" ht="12.75" customHeight="1" x14ac:dyDescent="0.25">
      <c r="C714" s="778"/>
      <c r="D714" s="775" t="s">
        <v>133</v>
      </c>
      <c r="E714" s="235" t="s">
        <v>70</v>
      </c>
      <c r="F714" s="236">
        <f>F645+F581-L581</f>
        <v>0</v>
      </c>
      <c r="G714" s="236">
        <f t="shared" ref="G714:Z714" si="32">G581</f>
        <v>0</v>
      </c>
      <c r="H714" s="236">
        <f t="shared" si="32"/>
        <v>0</v>
      </c>
      <c r="I714" s="236">
        <f t="shared" si="32"/>
        <v>0</v>
      </c>
      <c r="J714" s="236">
        <f t="shared" si="32"/>
        <v>0</v>
      </c>
      <c r="K714" s="236">
        <f t="shared" si="32"/>
        <v>0</v>
      </c>
      <c r="L714" s="236">
        <f t="shared" si="32"/>
        <v>0</v>
      </c>
      <c r="M714" s="236">
        <f t="shared" si="32"/>
        <v>0</v>
      </c>
      <c r="N714" s="236">
        <f t="shared" si="32"/>
        <v>0</v>
      </c>
      <c r="O714" s="236">
        <f t="shared" si="32"/>
        <v>0</v>
      </c>
      <c r="P714" s="236">
        <f t="shared" si="32"/>
        <v>0</v>
      </c>
      <c r="Q714" s="236">
        <f t="shared" si="32"/>
        <v>0</v>
      </c>
      <c r="R714" s="236">
        <f t="shared" si="32"/>
        <v>0</v>
      </c>
      <c r="S714" s="236">
        <f t="shared" si="32"/>
        <v>0</v>
      </c>
      <c r="T714" s="236">
        <f t="shared" si="32"/>
        <v>0</v>
      </c>
      <c r="U714" s="236">
        <f t="shared" si="32"/>
        <v>0</v>
      </c>
      <c r="V714" s="236">
        <f t="shared" si="32"/>
        <v>0</v>
      </c>
      <c r="W714" s="236">
        <f t="shared" si="32"/>
        <v>0</v>
      </c>
      <c r="X714" s="236">
        <f t="shared" si="32"/>
        <v>0</v>
      </c>
      <c r="Y714" s="236">
        <f t="shared" si="32"/>
        <v>0</v>
      </c>
      <c r="Z714" s="236">
        <f t="shared" si="32"/>
        <v>0</v>
      </c>
    </row>
    <row r="715" spans="1:41" ht="12.75" customHeight="1" x14ac:dyDescent="0.25">
      <c r="C715" s="778"/>
      <c r="D715" s="775"/>
      <c r="E715" s="235" t="s">
        <v>73</v>
      </c>
      <c r="F715" s="236">
        <f>F645</f>
        <v>0</v>
      </c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</row>
    <row r="716" spans="1:41" ht="12.75" customHeight="1" x14ac:dyDescent="0.25">
      <c r="A716" s="89"/>
      <c r="C716" s="97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</row>
    <row r="717" spans="1:41" ht="12.75" customHeight="1" x14ac:dyDescent="0.25">
      <c r="C717" s="777" t="s">
        <v>161</v>
      </c>
      <c r="D717" s="775" t="s">
        <v>132</v>
      </c>
      <c r="E717" s="231" t="s">
        <v>70</v>
      </c>
      <c r="F717" s="232">
        <v>0</v>
      </c>
      <c r="G717" s="232">
        <v>0</v>
      </c>
      <c r="H717" s="232">
        <v>0</v>
      </c>
      <c r="I717" s="232">
        <v>0</v>
      </c>
      <c r="J717" s="232">
        <v>0</v>
      </c>
      <c r="K717" s="232">
        <v>0</v>
      </c>
      <c r="L717" s="232">
        <v>0</v>
      </c>
      <c r="M717" s="232">
        <v>0</v>
      </c>
      <c r="N717" s="232">
        <v>0</v>
      </c>
      <c r="O717" s="232">
        <v>0</v>
      </c>
      <c r="P717" s="232">
        <v>0</v>
      </c>
      <c r="Q717" s="232">
        <v>0</v>
      </c>
      <c r="R717" s="232">
        <v>0</v>
      </c>
      <c r="S717" s="232">
        <v>0</v>
      </c>
      <c r="T717" s="232">
        <v>0</v>
      </c>
      <c r="U717" s="232">
        <v>0</v>
      </c>
      <c r="V717" s="232">
        <v>0</v>
      </c>
      <c r="W717" s="232">
        <v>0</v>
      </c>
      <c r="X717" s="232">
        <v>0</v>
      </c>
      <c r="Y717" s="232">
        <v>0</v>
      </c>
      <c r="Z717" s="232">
        <v>0</v>
      </c>
      <c r="AA717" s="232">
        <v>0</v>
      </c>
      <c r="AB717" s="232">
        <v>0</v>
      </c>
      <c r="AC717" s="232">
        <v>0</v>
      </c>
      <c r="AD717" s="232">
        <v>0</v>
      </c>
      <c r="AE717" s="232">
        <v>0</v>
      </c>
      <c r="AF717" s="232">
        <v>0</v>
      </c>
      <c r="AG717" s="232">
        <v>0</v>
      </c>
      <c r="AH717" s="232">
        <v>0</v>
      </c>
      <c r="AI717" s="232">
        <v>0</v>
      </c>
      <c r="AJ717" s="232">
        <v>0</v>
      </c>
      <c r="AK717" s="232">
        <v>0</v>
      </c>
      <c r="AL717" s="232">
        <v>0</v>
      </c>
      <c r="AM717" s="232">
        <v>0</v>
      </c>
      <c r="AN717" s="232">
        <v>0</v>
      </c>
      <c r="AO717" s="232">
        <v>0</v>
      </c>
    </row>
    <row r="718" spans="1:41" ht="12.75" customHeight="1" x14ac:dyDescent="0.25">
      <c r="C718" s="777"/>
      <c r="D718" s="775"/>
      <c r="E718" s="231" t="s">
        <v>73</v>
      </c>
      <c r="F718" s="232">
        <v>0</v>
      </c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</row>
    <row r="719" spans="1:41" ht="12.75" customHeight="1" x14ac:dyDescent="0.25">
      <c r="C719" s="777"/>
      <c r="E719" s="148" t="s">
        <v>70</v>
      </c>
      <c r="F719" s="149">
        <v>0</v>
      </c>
      <c r="G719" s="149">
        <v>0</v>
      </c>
      <c r="H719" s="149">
        <v>0</v>
      </c>
      <c r="I719" s="149">
        <v>0</v>
      </c>
      <c r="J719" s="149">
        <v>0</v>
      </c>
      <c r="K719" s="149">
        <v>0</v>
      </c>
      <c r="L719" s="149">
        <v>0</v>
      </c>
      <c r="M719" s="149">
        <v>0</v>
      </c>
      <c r="N719" s="149">
        <v>0</v>
      </c>
      <c r="O719" s="149">
        <v>0</v>
      </c>
      <c r="P719" s="149">
        <v>0</v>
      </c>
      <c r="Q719" s="149">
        <v>0</v>
      </c>
      <c r="R719" s="149">
        <v>0</v>
      </c>
      <c r="S719" s="149">
        <v>0</v>
      </c>
      <c r="T719" s="149">
        <v>0</v>
      </c>
      <c r="U719" s="149">
        <v>0</v>
      </c>
      <c r="V719" s="149">
        <v>0</v>
      </c>
      <c r="W719" s="149">
        <v>0</v>
      </c>
      <c r="X719" s="149">
        <v>0</v>
      </c>
      <c r="Y719" s="149">
        <v>0</v>
      </c>
      <c r="Z719" s="149">
        <v>0</v>
      </c>
    </row>
    <row r="720" spans="1:41" ht="12.75" customHeight="1" x14ac:dyDescent="0.25">
      <c r="C720" s="777"/>
      <c r="D720" s="220" t="s">
        <v>132</v>
      </c>
      <c r="E720" s="148" t="s">
        <v>73</v>
      </c>
      <c r="F720" s="149">
        <v>0</v>
      </c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</row>
    <row r="721" spans="1:26" ht="12.75" customHeight="1" x14ac:dyDescent="0.25">
      <c r="C721" s="388"/>
      <c r="D721" s="220"/>
      <c r="E721" s="89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</row>
    <row r="722" spans="1:26" ht="12.75" customHeight="1" x14ac:dyDescent="0.25">
      <c r="D722" s="458" t="s">
        <v>186</v>
      </c>
      <c r="E722" s="459" t="s">
        <v>70</v>
      </c>
      <c r="F722" s="460">
        <f t="shared" ref="F722:Z722" si="33">F544</f>
        <v>0</v>
      </c>
      <c r="G722" s="460">
        <f t="shared" si="33"/>
        <v>0</v>
      </c>
      <c r="H722" s="460">
        <f t="shared" si="33"/>
        <v>0</v>
      </c>
      <c r="I722" s="460">
        <f t="shared" si="33"/>
        <v>0</v>
      </c>
      <c r="J722" s="460">
        <f t="shared" si="33"/>
        <v>0</v>
      </c>
      <c r="K722" s="460">
        <f t="shared" si="33"/>
        <v>0</v>
      </c>
      <c r="L722" s="460">
        <f t="shared" si="33"/>
        <v>0</v>
      </c>
      <c r="M722" s="460">
        <f t="shared" si="33"/>
        <v>0</v>
      </c>
      <c r="N722" s="460">
        <f t="shared" si="33"/>
        <v>0</v>
      </c>
      <c r="O722" s="460">
        <f t="shared" si="33"/>
        <v>0</v>
      </c>
      <c r="P722" s="460">
        <f t="shared" si="33"/>
        <v>0</v>
      </c>
      <c r="Q722" s="460">
        <f t="shared" si="33"/>
        <v>0</v>
      </c>
      <c r="R722" s="460">
        <f t="shared" si="33"/>
        <v>0</v>
      </c>
      <c r="S722" s="460">
        <f t="shared" si="33"/>
        <v>0</v>
      </c>
      <c r="T722" s="460">
        <f t="shared" si="33"/>
        <v>0</v>
      </c>
      <c r="U722" s="460">
        <f t="shared" si="33"/>
        <v>0</v>
      </c>
      <c r="V722" s="460">
        <f t="shared" si="33"/>
        <v>0</v>
      </c>
      <c r="W722" s="460">
        <f t="shared" si="33"/>
        <v>0</v>
      </c>
      <c r="X722" s="460">
        <f t="shared" si="33"/>
        <v>0</v>
      </c>
      <c r="Y722" s="460">
        <f t="shared" si="33"/>
        <v>0</v>
      </c>
      <c r="Z722" s="460">
        <f t="shared" si="33"/>
        <v>0</v>
      </c>
    </row>
    <row r="723" spans="1:26" ht="12.75" customHeight="1" x14ac:dyDescent="0.25">
      <c r="C723" s="388"/>
      <c r="D723" s="220"/>
      <c r="E723" s="89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</row>
    <row r="724" spans="1:26" s="238" customFormat="1" ht="12.75" customHeight="1" x14ac:dyDescent="0.25">
      <c r="D724" s="239"/>
      <c r="E724" s="240"/>
      <c r="F724" s="240"/>
      <c r="G724" s="240"/>
      <c r="H724" s="240"/>
      <c r="I724" s="240"/>
      <c r="J724" s="240"/>
      <c r="K724" s="240"/>
      <c r="L724" s="240"/>
      <c r="M724" s="240"/>
      <c r="N724" s="240"/>
      <c r="O724" s="240"/>
      <c r="P724" s="240"/>
      <c r="Q724" s="240"/>
    </row>
    <row r="725" spans="1:26" ht="12.6" customHeight="1" x14ac:dyDescent="0.25">
      <c r="A725" s="89"/>
      <c r="B725" s="97" t="s">
        <v>93</v>
      </c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</row>
    <row r="726" spans="1:26" ht="12.75" customHeight="1" x14ac:dyDescent="0.25">
      <c r="F726" s="89" t="s">
        <v>70</v>
      </c>
      <c r="G726" s="89" t="s">
        <v>64</v>
      </c>
      <c r="H726" s="89" t="s">
        <v>65</v>
      </c>
      <c r="I726" s="218" t="s">
        <v>164</v>
      </c>
      <c r="J726" s="89" t="s">
        <v>69</v>
      </c>
      <c r="K726" s="89" t="s">
        <v>68</v>
      </c>
      <c r="L726" s="89" t="s">
        <v>71</v>
      </c>
      <c r="M726" s="89" t="s">
        <v>66</v>
      </c>
      <c r="N726" s="89" t="s">
        <v>63</v>
      </c>
      <c r="O726" s="89" t="s">
        <v>61</v>
      </c>
      <c r="P726" s="89" t="s">
        <v>62</v>
      </c>
      <c r="Q726" s="89" t="s">
        <v>67</v>
      </c>
      <c r="R726" s="89" t="s">
        <v>77</v>
      </c>
      <c r="S726" s="89" t="s">
        <v>80</v>
      </c>
      <c r="T726" s="89" t="s">
        <v>135</v>
      </c>
      <c r="U726" s="89" t="s">
        <v>173</v>
      </c>
      <c r="V726" s="89" t="s">
        <v>222</v>
      </c>
      <c r="W726" s="89" t="s">
        <v>173</v>
      </c>
      <c r="X726" t="s">
        <v>173</v>
      </c>
      <c r="Y726" s="89" t="s">
        <v>135</v>
      </c>
      <c r="Z726" t="s">
        <v>167</v>
      </c>
    </row>
    <row r="727" spans="1:26" x14ac:dyDescent="0.25">
      <c r="E727" t="s">
        <v>72</v>
      </c>
      <c r="F727" s="90">
        <v>0</v>
      </c>
      <c r="G727" s="90">
        <v>0</v>
      </c>
      <c r="H727" s="90">
        <v>0</v>
      </c>
      <c r="I727" s="90">
        <v>0</v>
      </c>
      <c r="J727" s="90">
        <v>0</v>
      </c>
      <c r="K727" s="90">
        <v>0</v>
      </c>
      <c r="L727" s="90">
        <v>0</v>
      </c>
      <c r="M727" s="90">
        <v>0</v>
      </c>
      <c r="N727" s="90">
        <v>0</v>
      </c>
      <c r="O727" s="90">
        <v>0</v>
      </c>
      <c r="P727" s="90">
        <v>0</v>
      </c>
      <c r="Q727" s="90">
        <v>0</v>
      </c>
      <c r="R727" s="90">
        <v>0</v>
      </c>
      <c r="S727" s="90">
        <v>0</v>
      </c>
      <c r="T727" s="90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 s="90">
        <v>0</v>
      </c>
    </row>
    <row r="728" spans="1:26" x14ac:dyDescent="0.25">
      <c r="D728" t="s">
        <v>156</v>
      </c>
      <c r="E728" t="s">
        <v>70</v>
      </c>
      <c r="F728" s="90">
        <v>0</v>
      </c>
      <c r="G728" s="90">
        <v>0</v>
      </c>
      <c r="H728" s="90">
        <v>0</v>
      </c>
      <c r="I728" s="90">
        <v>0</v>
      </c>
      <c r="J728" s="90">
        <v>0</v>
      </c>
      <c r="K728" s="90">
        <v>0</v>
      </c>
      <c r="L728" s="90">
        <v>0</v>
      </c>
      <c r="M728" s="90">
        <v>0</v>
      </c>
      <c r="N728" s="90">
        <v>0</v>
      </c>
      <c r="O728" s="90">
        <v>0</v>
      </c>
      <c r="P728" s="90">
        <v>0</v>
      </c>
      <c r="Q728" s="90">
        <v>0</v>
      </c>
      <c r="R728" s="90">
        <v>0</v>
      </c>
      <c r="S728" s="90">
        <v>0</v>
      </c>
      <c r="T728" s="90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 s="90">
        <v>0</v>
      </c>
    </row>
    <row r="729" spans="1:26" s="286" customFormat="1" x14ac:dyDescent="0.25">
      <c r="C729" s="286" t="s">
        <v>155</v>
      </c>
      <c r="D729" s="286" t="s">
        <v>70</v>
      </c>
      <c r="F729" s="230">
        <v>0</v>
      </c>
      <c r="G729" s="230">
        <v>0</v>
      </c>
      <c r="H729" s="230">
        <v>0</v>
      </c>
      <c r="I729" s="230">
        <v>0</v>
      </c>
      <c r="J729" s="230">
        <v>0</v>
      </c>
      <c r="K729" s="230">
        <v>0</v>
      </c>
      <c r="L729" s="230">
        <v>0</v>
      </c>
      <c r="M729" s="230">
        <v>0</v>
      </c>
      <c r="N729" s="230">
        <v>0</v>
      </c>
      <c r="O729" s="230">
        <v>0</v>
      </c>
      <c r="P729" s="230">
        <v>0</v>
      </c>
      <c r="Q729" s="230">
        <v>0</v>
      </c>
      <c r="R729" s="230">
        <v>0</v>
      </c>
      <c r="S729" s="230">
        <v>0</v>
      </c>
      <c r="T729" s="230">
        <v>0</v>
      </c>
      <c r="U729" s="286">
        <v>0</v>
      </c>
      <c r="V729" s="286">
        <v>0</v>
      </c>
      <c r="W729" s="286">
        <v>0</v>
      </c>
      <c r="X729" s="286">
        <v>0</v>
      </c>
      <c r="Y729" s="286">
        <v>0</v>
      </c>
      <c r="Z729" s="230">
        <v>0</v>
      </c>
    </row>
    <row r="730" spans="1:26" ht="12.75" customHeight="1" x14ac:dyDescent="0.25">
      <c r="E730" s="89" t="s">
        <v>72</v>
      </c>
      <c r="F730" s="371">
        <v>0</v>
      </c>
      <c r="G730" s="90">
        <v>0</v>
      </c>
      <c r="H730" s="90">
        <v>0</v>
      </c>
      <c r="I730" s="90">
        <v>0</v>
      </c>
      <c r="J730" s="90">
        <v>0</v>
      </c>
      <c r="K730" s="90">
        <v>0</v>
      </c>
      <c r="L730" s="90">
        <v>0</v>
      </c>
      <c r="M730" s="90">
        <v>0</v>
      </c>
      <c r="N730" s="90">
        <v>0</v>
      </c>
      <c r="O730" s="90">
        <v>0</v>
      </c>
      <c r="P730" s="90">
        <v>0</v>
      </c>
      <c r="Q730" s="90">
        <v>0</v>
      </c>
      <c r="R730" s="90">
        <v>0</v>
      </c>
      <c r="S730" s="90">
        <v>0</v>
      </c>
      <c r="T730" s="90">
        <v>0</v>
      </c>
      <c r="U730" s="90">
        <v>0</v>
      </c>
      <c r="V730" s="90">
        <v>0</v>
      </c>
      <c r="W730" s="90">
        <v>0</v>
      </c>
      <c r="X730" s="90">
        <v>0</v>
      </c>
      <c r="Y730" s="90">
        <v>0</v>
      </c>
      <c r="Z730" s="90">
        <v>0</v>
      </c>
    </row>
    <row r="731" spans="1:26" ht="12.75" customHeight="1" x14ac:dyDescent="0.25">
      <c r="D731" t="s">
        <v>82</v>
      </c>
      <c r="E731" s="89" t="s">
        <v>70</v>
      </c>
      <c r="F731" s="371">
        <v>0</v>
      </c>
      <c r="G731" s="90">
        <v>0</v>
      </c>
      <c r="H731" s="90">
        <v>0</v>
      </c>
      <c r="I731" s="90">
        <v>0</v>
      </c>
      <c r="J731" s="90">
        <v>0</v>
      </c>
      <c r="K731" s="90">
        <v>0</v>
      </c>
      <c r="L731" s="90">
        <v>0</v>
      </c>
      <c r="M731" s="90">
        <v>0</v>
      </c>
      <c r="N731" s="90">
        <v>0</v>
      </c>
      <c r="O731" s="90">
        <v>0</v>
      </c>
      <c r="P731" s="90">
        <v>0</v>
      </c>
      <c r="Q731" s="90">
        <v>0</v>
      </c>
      <c r="R731" s="90">
        <v>0</v>
      </c>
      <c r="S731" s="90">
        <v>0</v>
      </c>
      <c r="T731" s="90">
        <v>0</v>
      </c>
      <c r="U731" s="90">
        <v>0</v>
      </c>
      <c r="V731" s="90">
        <v>0</v>
      </c>
      <c r="W731" s="90">
        <v>0</v>
      </c>
      <c r="X731" s="90">
        <v>0</v>
      </c>
      <c r="Y731" s="90">
        <v>0</v>
      </c>
      <c r="Z731" s="90">
        <v>0</v>
      </c>
    </row>
    <row r="732" spans="1:26" ht="12.75" customHeight="1" x14ac:dyDescent="0.25">
      <c r="E732" s="89" t="s">
        <v>72</v>
      </c>
      <c r="F732" s="371">
        <v>0</v>
      </c>
      <c r="G732" s="90">
        <v>0</v>
      </c>
      <c r="H732" s="90">
        <v>0</v>
      </c>
      <c r="I732" s="90">
        <v>0</v>
      </c>
      <c r="J732" s="90">
        <v>0</v>
      </c>
      <c r="K732" s="90">
        <v>0</v>
      </c>
      <c r="L732" s="90">
        <v>0</v>
      </c>
      <c r="M732" s="90">
        <v>0</v>
      </c>
      <c r="N732" s="90">
        <v>0</v>
      </c>
      <c r="O732" s="90">
        <v>0</v>
      </c>
      <c r="P732" s="90">
        <v>0</v>
      </c>
      <c r="Q732" s="90">
        <v>0</v>
      </c>
      <c r="R732" s="90">
        <v>0</v>
      </c>
      <c r="S732" s="90">
        <v>0</v>
      </c>
      <c r="T732" s="90">
        <v>0</v>
      </c>
      <c r="U732" s="90">
        <v>0</v>
      </c>
      <c r="V732" s="90">
        <v>0</v>
      </c>
      <c r="W732" s="90">
        <v>0</v>
      </c>
      <c r="X732" s="90">
        <v>0</v>
      </c>
      <c r="Y732" s="90">
        <v>0</v>
      </c>
      <c r="Z732" s="90">
        <v>0</v>
      </c>
    </row>
    <row r="733" spans="1:26" ht="12.75" customHeight="1" x14ac:dyDescent="0.25">
      <c r="D733" t="s">
        <v>86</v>
      </c>
      <c r="E733" s="89" t="s">
        <v>70</v>
      </c>
      <c r="F733" s="371">
        <v>0</v>
      </c>
      <c r="G733" s="90">
        <v>0</v>
      </c>
      <c r="H733" s="90">
        <v>0</v>
      </c>
      <c r="I733" s="90">
        <v>0</v>
      </c>
      <c r="J733" s="90">
        <v>0</v>
      </c>
      <c r="K733" s="90">
        <v>0</v>
      </c>
      <c r="L733" s="90">
        <v>0</v>
      </c>
      <c r="M733" s="90">
        <v>0</v>
      </c>
      <c r="N733" s="90">
        <v>0</v>
      </c>
      <c r="O733" s="90">
        <v>0</v>
      </c>
      <c r="P733" s="90">
        <v>0</v>
      </c>
      <c r="Q733" s="90">
        <v>0</v>
      </c>
      <c r="R733" s="90">
        <v>0</v>
      </c>
      <c r="S733" s="90">
        <v>0</v>
      </c>
      <c r="T733" s="90">
        <v>0</v>
      </c>
      <c r="U733" s="90">
        <v>0</v>
      </c>
      <c r="V733" s="90">
        <v>0</v>
      </c>
      <c r="W733" s="90">
        <v>0</v>
      </c>
      <c r="X733" s="90">
        <v>0</v>
      </c>
      <c r="Y733" s="90">
        <v>0</v>
      </c>
      <c r="Z733" s="90">
        <v>0</v>
      </c>
    </row>
    <row r="734" spans="1:26" ht="12.75" customHeight="1" x14ac:dyDescent="0.25">
      <c r="E734" s="89" t="s">
        <v>72</v>
      </c>
      <c r="F734" s="371">
        <v>0</v>
      </c>
      <c r="G734" s="90">
        <v>0</v>
      </c>
      <c r="H734" s="90">
        <v>0</v>
      </c>
      <c r="I734" s="90">
        <v>0</v>
      </c>
      <c r="J734" s="90">
        <v>0</v>
      </c>
      <c r="K734" s="90">
        <v>0</v>
      </c>
      <c r="L734" s="90">
        <v>0</v>
      </c>
      <c r="M734" s="90">
        <v>0</v>
      </c>
      <c r="N734" s="90">
        <v>0</v>
      </c>
      <c r="O734" s="90">
        <v>0</v>
      </c>
      <c r="P734" s="90">
        <v>0</v>
      </c>
      <c r="Q734" s="90">
        <v>0</v>
      </c>
      <c r="R734" s="90">
        <v>0</v>
      </c>
      <c r="S734" s="90">
        <v>0</v>
      </c>
      <c r="T734" s="90">
        <v>0</v>
      </c>
      <c r="U734" s="90">
        <v>0</v>
      </c>
      <c r="V734" s="90">
        <v>0</v>
      </c>
      <c r="W734" s="90">
        <v>0</v>
      </c>
      <c r="X734" s="90">
        <v>0</v>
      </c>
      <c r="Y734" s="90">
        <v>0</v>
      </c>
      <c r="Z734" s="90">
        <v>0</v>
      </c>
    </row>
    <row r="735" spans="1:26" ht="12.75" customHeight="1" x14ac:dyDescent="0.25">
      <c r="D735" t="s">
        <v>87</v>
      </c>
      <c r="E735" s="89" t="s">
        <v>70</v>
      </c>
      <c r="F735" s="371">
        <v>0</v>
      </c>
      <c r="G735" s="90">
        <v>0</v>
      </c>
      <c r="H735" s="90">
        <v>0</v>
      </c>
      <c r="I735" s="90">
        <v>0</v>
      </c>
      <c r="J735" s="90">
        <v>0</v>
      </c>
      <c r="K735" s="90">
        <v>0</v>
      </c>
      <c r="L735" s="90">
        <v>0</v>
      </c>
      <c r="M735" s="90">
        <v>0</v>
      </c>
      <c r="N735" s="90">
        <v>0</v>
      </c>
      <c r="O735" s="90">
        <v>0</v>
      </c>
      <c r="P735" s="90">
        <v>0</v>
      </c>
      <c r="Q735" s="90">
        <v>0</v>
      </c>
      <c r="R735" s="90">
        <v>0</v>
      </c>
      <c r="S735" s="90">
        <v>0</v>
      </c>
      <c r="T735" s="90">
        <v>0</v>
      </c>
      <c r="U735" s="90">
        <v>0</v>
      </c>
      <c r="V735" s="90">
        <v>0</v>
      </c>
      <c r="W735" s="90">
        <v>0</v>
      </c>
      <c r="X735" s="90">
        <v>0</v>
      </c>
      <c r="Y735" s="90">
        <v>0</v>
      </c>
      <c r="Z735" s="90">
        <v>0</v>
      </c>
    </row>
    <row r="736" spans="1:26" s="94" customFormat="1" ht="12.75" customHeight="1" x14ac:dyDescent="0.25">
      <c r="C736" s="101" t="s">
        <v>119</v>
      </c>
      <c r="D736" s="101" t="s">
        <v>70</v>
      </c>
      <c r="F736" s="93">
        <v>0</v>
      </c>
      <c r="G736" s="93">
        <v>0</v>
      </c>
      <c r="H736" s="93">
        <v>0</v>
      </c>
      <c r="I736" s="93">
        <v>0</v>
      </c>
      <c r="J736" s="93">
        <v>0</v>
      </c>
      <c r="K736" s="93">
        <v>0</v>
      </c>
      <c r="L736" s="93">
        <v>0</v>
      </c>
      <c r="M736" s="93">
        <v>0</v>
      </c>
      <c r="N736" s="93">
        <v>0</v>
      </c>
      <c r="O736" s="93">
        <v>0</v>
      </c>
      <c r="P736" s="93">
        <v>0</v>
      </c>
      <c r="Q736" s="93">
        <v>0</v>
      </c>
      <c r="R736" s="93">
        <v>0</v>
      </c>
      <c r="S736" s="93">
        <v>0</v>
      </c>
      <c r="T736" s="93">
        <v>0</v>
      </c>
      <c r="U736" s="93">
        <v>0</v>
      </c>
      <c r="V736" s="93">
        <v>0</v>
      </c>
      <c r="W736" s="93">
        <v>0</v>
      </c>
      <c r="X736" s="93">
        <v>0</v>
      </c>
      <c r="Y736" s="93">
        <v>0</v>
      </c>
      <c r="Z736" s="93">
        <v>0</v>
      </c>
    </row>
    <row r="737" spans="1:26" ht="12.75" customHeight="1" x14ac:dyDescent="0.25">
      <c r="B737" t="s">
        <v>112</v>
      </c>
      <c r="C737" t="s">
        <v>70</v>
      </c>
      <c r="E737" s="89"/>
      <c r="F737" s="371">
        <v>0</v>
      </c>
      <c r="G737" s="90">
        <v>0</v>
      </c>
      <c r="H737" s="90">
        <v>0</v>
      </c>
      <c r="I737" s="90">
        <v>0</v>
      </c>
      <c r="J737" s="90">
        <v>0</v>
      </c>
      <c r="K737" s="90">
        <v>0</v>
      </c>
      <c r="L737" s="90">
        <v>0</v>
      </c>
      <c r="M737" s="90">
        <v>0</v>
      </c>
      <c r="N737" s="90">
        <v>0</v>
      </c>
      <c r="O737" s="90">
        <v>0</v>
      </c>
      <c r="P737" s="90">
        <v>0</v>
      </c>
      <c r="Q737" s="90">
        <v>0</v>
      </c>
      <c r="R737" s="90">
        <v>0</v>
      </c>
      <c r="S737" s="90">
        <v>0</v>
      </c>
      <c r="T737" s="90">
        <v>0</v>
      </c>
      <c r="U737" s="90">
        <v>0</v>
      </c>
      <c r="V737" s="90">
        <v>0</v>
      </c>
      <c r="W737" s="90">
        <v>0</v>
      </c>
      <c r="X737" s="90">
        <v>0</v>
      </c>
      <c r="Y737" s="90">
        <v>0</v>
      </c>
      <c r="Z737" s="90">
        <v>0</v>
      </c>
    </row>
    <row r="738" spans="1:26" s="458" customFormat="1" ht="12.75" customHeight="1" x14ac:dyDescent="0.25">
      <c r="A738" s="458" t="s">
        <v>186</v>
      </c>
      <c r="B738" s="458" t="s">
        <v>70</v>
      </c>
      <c r="F738" s="458">
        <v>0</v>
      </c>
      <c r="G738" s="458">
        <v>0</v>
      </c>
      <c r="H738" s="458">
        <v>0</v>
      </c>
      <c r="I738" s="458">
        <v>0</v>
      </c>
      <c r="J738" s="458">
        <v>0</v>
      </c>
      <c r="K738" s="458">
        <v>0</v>
      </c>
      <c r="L738" s="458">
        <v>0</v>
      </c>
      <c r="M738" s="458">
        <v>0</v>
      </c>
      <c r="N738" s="458">
        <v>0</v>
      </c>
      <c r="O738" s="458">
        <v>0</v>
      </c>
      <c r="P738" s="458">
        <v>0</v>
      </c>
      <c r="Q738" s="458">
        <v>0</v>
      </c>
      <c r="R738" s="458">
        <v>0</v>
      </c>
      <c r="S738" s="458">
        <v>0</v>
      </c>
      <c r="T738" s="458">
        <v>0</v>
      </c>
      <c r="U738" s="458">
        <v>0</v>
      </c>
      <c r="V738" s="458">
        <v>0</v>
      </c>
      <c r="W738" s="458">
        <v>0</v>
      </c>
      <c r="X738" s="458">
        <v>0</v>
      </c>
      <c r="Y738" s="458">
        <v>0</v>
      </c>
      <c r="Z738" s="458">
        <v>0</v>
      </c>
    </row>
    <row r="739" spans="1:26" x14ac:dyDescent="0.25">
      <c r="E739" t="s">
        <v>72</v>
      </c>
      <c r="F739" s="90">
        <v>0</v>
      </c>
      <c r="G739" s="90">
        <v>0</v>
      </c>
      <c r="H739" s="90">
        <v>0</v>
      </c>
      <c r="I739" s="90">
        <v>0</v>
      </c>
      <c r="J739" s="90">
        <v>0</v>
      </c>
      <c r="K739" s="90">
        <v>0</v>
      </c>
      <c r="L739" s="90">
        <v>0</v>
      </c>
      <c r="M739" s="90">
        <v>0</v>
      </c>
      <c r="N739" s="90">
        <v>0</v>
      </c>
      <c r="O739" s="90">
        <v>0</v>
      </c>
      <c r="P739" s="90">
        <v>0</v>
      </c>
      <c r="Q739" s="90">
        <v>0</v>
      </c>
      <c r="R739" s="90">
        <v>0</v>
      </c>
      <c r="S739" s="90">
        <v>0</v>
      </c>
      <c r="T739" s="90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 s="90">
        <v>0</v>
      </c>
    </row>
    <row r="740" spans="1:26" x14ac:dyDescent="0.25">
      <c r="E740" t="s">
        <v>81</v>
      </c>
      <c r="F740" s="90">
        <v>0</v>
      </c>
      <c r="G740" s="90">
        <v>0</v>
      </c>
      <c r="H740" s="90">
        <v>0</v>
      </c>
      <c r="I740" s="90">
        <v>0</v>
      </c>
      <c r="J740" s="90">
        <v>0</v>
      </c>
      <c r="K740" s="90">
        <v>0</v>
      </c>
      <c r="L740" s="90">
        <v>0</v>
      </c>
      <c r="M740" s="90">
        <v>0</v>
      </c>
      <c r="N740" s="90">
        <v>0</v>
      </c>
      <c r="O740" s="90">
        <v>0</v>
      </c>
      <c r="P740" s="90">
        <v>0</v>
      </c>
      <c r="Q740" s="90">
        <v>0</v>
      </c>
      <c r="R740" s="90">
        <v>0</v>
      </c>
      <c r="S740" s="90">
        <v>0</v>
      </c>
      <c r="T740" s="9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 s="90">
        <v>0</v>
      </c>
    </row>
    <row r="741" spans="1:26" x14ac:dyDescent="0.25">
      <c r="D741" t="s">
        <v>156</v>
      </c>
      <c r="E741" t="s">
        <v>70</v>
      </c>
      <c r="F741" s="90">
        <v>0</v>
      </c>
      <c r="G741" s="90">
        <v>0</v>
      </c>
      <c r="H741" s="90">
        <v>0</v>
      </c>
      <c r="I741" s="90">
        <v>0</v>
      </c>
      <c r="J741" s="90">
        <v>0</v>
      </c>
      <c r="K741" s="90">
        <v>0</v>
      </c>
      <c r="L741" s="90">
        <v>0</v>
      </c>
      <c r="M741" s="90">
        <v>0</v>
      </c>
      <c r="N741" s="90">
        <v>0</v>
      </c>
      <c r="O741" s="90">
        <v>0</v>
      </c>
      <c r="P741" s="90">
        <v>0</v>
      </c>
      <c r="Q741" s="90">
        <v>0</v>
      </c>
      <c r="R741" s="90">
        <v>0</v>
      </c>
      <c r="S741" s="90">
        <v>0</v>
      </c>
      <c r="T741" s="90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 s="90">
        <v>0</v>
      </c>
    </row>
    <row r="742" spans="1:26" s="286" customFormat="1" x14ac:dyDescent="0.25">
      <c r="C742" s="286" t="s">
        <v>155</v>
      </c>
      <c r="D742" s="286" t="s">
        <v>70</v>
      </c>
      <c r="F742" s="230">
        <v>0</v>
      </c>
      <c r="G742" s="230">
        <v>0</v>
      </c>
      <c r="H742" s="230">
        <v>0</v>
      </c>
      <c r="I742" s="230">
        <v>0</v>
      </c>
      <c r="J742" s="230">
        <v>0</v>
      </c>
      <c r="K742" s="230">
        <v>0</v>
      </c>
      <c r="L742" s="230">
        <v>0</v>
      </c>
      <c r="M742" s="230">
        <v>0</v>
      </c>
      <c r="N742" s="230">
        <v>0</v>
      </c>
      <c r="O742" s="230">
        <v>0</v>
      </c>
      <c r="P742" s="230">
        <v>0</v>
      </c>
      <c r="Q742" s="230">
        <v>0</v>
      </c>
      <c r="R742" s="230">
        <v>0</v>
      </c>
      <c r="S742" s="230">
        <v>0</v>
      </c>
      <c r="T742" s="230">
        <v>0</v>
      </c>
      <c r="U742" s="286">
        <v>0</v>
      </c>
      <c r="V742" s="286">
        <v>0</v>
      </c>
      <c r="W742" s="286">
        <v>0</v>
      </c>
      <c r="X742" s="286">
        <v>0</v>
      </c>
      <c r="Y742" s="286">
        <v>0</v>
      </c>
      <c r="Z742" s="230">
        <v>0</v>
      </c>
    </row>
    <row r="743" spans="1:26" x14ac:dyDescent="0.25">
      <c r="E743" t="s">
        <v>72</v>
      </c>
      <c r="F743" s="90">
        <v>0</v>
      </c>
      <c r="G743" s="90">
        <v>0</v>
      </c>
      <c r="H743" s="90">
        <v>0</v>
      </c>
      <c r="I743" s="90">
        <v>0</v>
      </c>
      <c r="J743" s="90">
        <v>0</v>
      </c>
      <c r="K743" s="90">
        <v>0</v>
      </c>
      <c r="L743" s="90">
        <v>0</v>
      </c>
      <c r="M743" s="90">
        <v>0</v>
      </c>
      <c r="N743" s="90">
        <v>0</v>
      </c>
      <c r="O743" s="90">
        <v>0</v>
      </c>
      <c r="P743" s="90">
        <v>0</v>
      </c>
      <c r="Q743" s="90">
        <v>0</v>
      </c>
      <c r="R743" s="90">
        <v>0</v>
      </c>
      <c r="S743" s="90">
        <v>0</v>
      </c>
      <c r="T743" s="90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 s="90">
        <v>0</v>
      </c>
    </row>
    <row r="744" spans="1:26" x14ac:dyDescent="0.25">
      <c r="E744" t="s">
        <v>81</v>
      </c>
      <c r="F744" s="90">
        <v>0</v>
      </c>
      <c r="G744" s="90">
        <v>0</v>
      </c>
      <c r="H744" s="90">
        <v>0</v>
      </c>
      <c r="I744" s="90">
        <v>0</v>
      </c>
      <c r="J744" s="90">
        <v>0</v>
      </c>
      <c r="K744" s="90">
        <v>0</v>
      </c>
      <c r="L744" s="90">
        <v>0</v>
      </c>
      <c r="M744" s="90">
        <v>0</v>
      </c>
      <c r="N744" s="90">
        <v>0</v>
      </c>
      <c r="O744" s="90">
        <v>0</v>
      </c>
      <c r="P744" s="90">
        <v>0</v>
      </c>
      <c r="Q744" s="90">
        <v>0</v>
      </c>
      <c r="R744" s="90">
        <v>0</v>
      </c>
      <c r="S744" s="90">
        <v>0</v>
      </c>
      <c r="T744" s="90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 s="90">
        <v>0</v>
      </c>
    </row>
    <row r="745" spans="1:26" x14ac:dyDescent="0.25">
      <c r="D745" t="s">
        <v>156</v>
      </c>
      <c r="E745" t="s">
        <v>70</v>
      </c>
      <c r="F745" s="90">
        <v>0</v>
      </c>
      <c r="G745" s="90">
        <v>0</v>
      </c>
      <c r="H745" s="90">
        <v>0</v>
      </c>
      <c r="I745" s="90">
        <v>0</v>
      </c>
      <c r="J745" s="90">
        <v>0</v>
      </c>
      <c r="K745" s="90">
        <v>0</v>
      </c>
      <c r="L745" s="90">
        <v>0</v>
      </c>
      <c r="M745" s="90">
        <v>0</v>
      </c>
      <c r="N745" s="90">
        <v>0</v>
      </c>
      <c r="O745" s="90">
        <v>0</v>
      </c>
      <c r="P745" s="90">
        <v>0</v>
      </c>
      <c r="Q745" s="90">
        <v>0</v>
      </c>
      <c r="R745" s="90">
        <v>0</v>
      </c>
      <c r="S745" s="90">
        <v>0</v>
      </c>
      <c r="T745" s="90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 s="90">
        <v>0</v>
      </c>
    </row>
    <row r="746" spans="1:26" s="739" customFormat="1" ht="12.75" customHeight="1" x14ac:dyDescent="0.25">
      <c r="C746" s="739" t="s">
        <v>326</v>
      </c>
      <c r="D746" s="739" t="s">
        <v>70</v>
      </c>
      <c r="E746" s="231"/>
      <c r="F746" s="740">
        <v>0</v>
      </c>
      <c r="G746" s="232">
        <v>0</v>
      </c>
      <c r="H746" s="232">
        <v>0</v>
      </c>
      <c r="I746" s="232">
        <v>0</v>
      </c>
      <c r="J746" s="232">
        <v>0</v>
      </c>
      <c r="K746" s="232">
        <v>0</v>
      </c>
      <c r="L746" s="232">
        <v>0</v>
      </c>
      <c r="M746" s="232">
        <v>0</v>
      </c>
      <c r="N746" s="232">
        <v>0</v>
      </c>
      <c r="O746" s="232">
        <v>0</v>
      </c>
      <c r="P746" s="232">
        <v>0</v>
      </c>
      <c r="Q746" s="232">
        <v>0</v>
      </c>
      <c r="R746" s="232">
        <v>0</v>
      </c>
      <c r="S746" s="232">
        <v>0</v>
      </c>
      <c r="T746" s="739">
        <v>0</v>
      </c>
      <c r="U746" s="739">
        <v>0</v>
      </c>
      <c r="V746" s="739">
        <v>0</v>
      </c>
      <c r="W746" s="739">
        <v>0</v>
      </c>
      <c r="X746" s="739">
        <v>0</v>
      </c>
      <c r="Y746" s="739">
        <v>0</v>
      </c>
      <c r="Z746" s="739">
        <v>0</v>
      </c>
    </row>
    <row r="747" spans="1:26" x14ac:dyDescent="0.25">
      <c r="E747" t="s">
        <v>72</v>
      </c>
      <c r="F747" s="90">
        <v>0</v>
      </c>
      <c r="G747" s="90">
        <v>0</v>
      </c>
      <c r="H747" s="90">
        <v>0</v>
      </c>
      <c r="I747" s="90">
        <v>0</v>
      </c>
      <c r="J747" s="90">
        <v>0</v>
      </c>
      <c r="K747" s="90">
        <v>0</v>
      </c>
      <c r="L747" s="90">
        <v>0</v>
      </c>
      <c r="M747" s="90">
        <v>0</v>
      </c>
      <c r="N747" s="90">
        <v>0</v>
      </c>
      <c r="O747" s="90">
        <v>0</v>
      </c>
      <c r="P747" s="90">
        <v>0</v>
      </c>
      <c r="Q747" s="90">
        <v>370.08</v>
      </c>
      <c r="R747" s="90">
        <v>-1.95</v>
      </c>
      <c r="S747" s="90">
        <v>0</v>
      </c>
      <c r="T747" s="90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 s="90">
        <v>0</v>
      </c>
    </row>
    <row r="748" spans="1:26" x14ac:dyDescent="0.25">
      <c r="E748" t="s">
        <v>81</v>
      </c>
      <c r="F748" s="90">
        <v>0</v>
      </c>
      <c r="G748" s="90">
        <v>0</v>
      </c>
      <c r="H748" s="90">
        <v>0</v>
      </c>
      <c r="I748" s="90">
        <v>0</v>
      </c>
      <c r="J748" s="90">
        <v>0</v>
      </c>
      <c r="K748" s="90">
        <v>0</v>
      </c>
      <c r="L748" s="90">
        <v>0</v>
      </c>
      <c r="M748" s="90">
        <v>0</v>
      </c>
      <c r="N748" s="90">
        <v>0</v>
      </c>
      <c r="O748" s="90">
        <v>0</v>
      </c>
      <c r="P748" s="90">
        <v>0</v>
      </c>
      <c r="Q748" s="90">
        <v>7.0000000000000007E-2</v>
      </c>
      <c r="R748" s="90">
        <v>0</v>
      </c>
      <c r="S748" s="90">
        <v>0</v>
      </c>
      <c r="T748" s="90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 s="90">
        <v>0</v>
      </c>
    </row>
    <row r="749" spans="1:26" x14ac:dyDescent="0.25">
      <c r="D749" t="s">
        <v>82</v>
      </c>
      <c r="E749" t="s">
        <v>70</v>
      </c>
      <c r="F749" s="90">
        <v>0</v>
      </c>
      <c r="G749" s="90">
        <v>0</v>
      </c>
      <c r="H749" s="90">
        <v>0</v>
      </c>
      <c r="I749" s="90">
        <v>0</v>
      </c>
      <c r="J749" s="90">
        <v>0</v>
      </c>
      <c r="K749" s="90">
        <v>0</v>
      </c>
      <c r="L749" s="90">
        <v>0</v>
      </c>
      <c r="M749" s="90">
        <v>0</v>
      </c>
      <c r="N749" s="90">
        <v>0</v>
      </c>
      <c r="O749" s="90">
        <v>0</v>
      </c>
      <c r="P749" s="90">
        <v>0</v>
      </c>
      <c r="Q749" s="90">
        <v>370.15</v>
      </c>
      <c r="R749" s="90">
        <v>-1.95</v>
      </c>
      <c r="S749" s="90">
        <v>0</v>
      </c>
      <c r="T749" s="90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 s="90">
        <v>0</v>
      </c>
    </row>
    <row r="750" spans="1:26" x14ac:dyDescent="0.25">
      <c r="E750" t="s">
        <v>72</v>
      </c>
      <c r="F750" s="90">
        <v>0</v>
      </c>
      <c r="G750" s="90">
        <v>0</v>
      </c>
      <c r="H750" s="90">
        <v>0</v>
      </c>
      <c r="I750" s="90">
        <v>0</v>
      </c>
      <c r="J750" s="90">
        <v>0</v>
      </c>
      <c r="K750" s="90">
        <v>0</v>
      </c>
      <c r="L750" s="90">
        <v>0</v>
      </c>
      <c r="M750" s="90">
        <v>0</v>
      </c>
      <c r="N750" s="90">
        <v>0</v>
      </c>
      <c r="O750" s="90">
        <v>0</v>
      </c>
      <c r="P750" s="90">
        <v>0</v>
      </c>
      <c r="Q750" s="90">
        <v>370.08</v>
      </c>
      <c r="R750" s="90">
        <v>-1.95</v>
      </c>
      <c r="S750" s="90">
        <v>0</v>
      </c>
      <c r="T750" s="9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 s="90">
        <v>0</v>
      </c>
    </row>
    <row r="751" spans="1:26" x14ac:dyDescent="0.25">
      <c r="E751" t="s">
        <v>81</v>
      </c>
      <c r="F751" s="90">
        <v>0</v>
      </c>
      <c r="G751" s="90">
        <v>0</v>
      </c>
      <c r="H751" s="90">
        <v>0</v>
      </c>
      <c r="I751" s="90">
        <v>0</v>
      </c>
      <c r="J751" s="90">
        <v>0</v>
      </c>
      <c r="K751" s="90">
        <v>0</v>
      </c>
      <c r="L751" s="90">
        <v>0</v>
      </c>
      <c r="M751" s="90">
        <v>0</v>
      </c>
      <c r="N751" s="90">
        <v>0</v>
      </c>
      <c r="O751" s="90">
        <v>0</v>
      </c>
      <c r="P751" s="90">
        <v>0</v>
      </c>
      <c r="Q751" s="90">
        <v>7.0000000000000007E-2</v>
      </c>
      <c r="R751" s="90">
        <v>0</v>
      </c>
      <c r="S751" s="90">
        <v>0</v>
      </c>
      <c r="T751" s="90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 s="90">
        <v>0</v>
      </c>
    </row>
    <row r="752" spans="1:26" x14ac:dyDescent="0.25">
      <c r="D752" t="s">
        <v>86</v>
      </c>
      <c r="E752" t="s">
        <v>70</v>
      </c>
      <c r="F752" s="90">
        <v>0</v>
      </c>
      <c r="G752" s="90">
        <v>0</v>
      </c>
      <c r="H752" s="90">
        <v>0</v>
      </c>
      <c r="I752" s="90">
        <v>0</v>
      </c>
      <c r="J752" s="90">
        <v>0</v>
      </c>
      <c r="K752" s="90">
        <v>0</v>
      </c>
      <c r="L752" s="90">
        <v>0</v>
      </c>
      <c r="M752" s="90">
        <v>0</v>
      </c>
      <c r="N752" s="90">
        <v>0</v>
      </c>
      <c r="O752" s="90">
        <v>0</v>
      </c>
      <c r="P752" s="90">
        <v>0</v>
      </c>
      <c r="Q752" s="90">
        <v>370.15</v>
      </c>
      <c r="R752" s="90">
        <v>-1.95</v>
      </c>
      <c r="S752" s="90">
        <v>0</v>
      </c>
      <c r="T752" s="90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 s="90">
        <v>0</v>
      </c>
    </row>
    <row r="753" spans="1:26" ht="12.75" customHeight="1" x14ac:dyDescent="0.25">
      <c r="E753" s="89" t="s">
        <v>72</v>
      </c>
      <c r="F753" s="371">
        <v>0</v>
      </c>
      <c r="G753" s="90">
        <v>0</v>
      </c>
      <c r="H753" s="90">
        <v>0</v>
      </c>
      <c r="I753" s="90">
        <v>0</v>
      </c>
      <c r="J753" s="90">
        <v>0</v>
      </c>
      <c r="K753" s="90">
        <v>0</v>
      </c>
      <c r="L753" s="90">
        <v>0</v>
      </c>
      <c r="M753" s="90">
        <v>0</v>
      </c>
      <c r="N753" s="90">
        <v>0</v>
      </c>
      <c r="O753" s="90">
        <v>0</v>
      </c>
      <c r="P753" s="90">
        <v>0</v>
      </c>
      <c r="Q753" s="90">
        <v>0</v>
      </c>
      <c r="R753" s="90">
        <v>0</v>
      </c>
      <c r="S753" s="90">
        <v>0</v>
      </c>
      <c r="T753" s="90">
        <v>0</v>
      </c>
      <c r="U753" s="90">
        <v>0</v>
      </c>
      <c r="V753" s="90">
        <v>0</v>
      </c>
      <c r="W753" s="90">
        <v>0</v>
      </c>
      <c r="X753" s="90">
        <v>0</v>
      </c>
      <c r="Y753" s="90">
        <v>0</v>
      </c>
      <c r="Z753" s="90">
        <v>0</v>
      </c>
    </row>
    <row r="754" spans="1:26" x14ac:dyDescent="0.25">
      <c r="E754" t="s">
        <v>81</v>
      </c>
      <c r="F754" s="90">
        <v>0</v>
      </c>
      <c r="G754" s="90">
        <v>0</v>
      </c>
      <c r="H754" s="90">
        <v>0</v>
      </c>
      <c r="I754" s="90">
        <v>0</v>
      </c>
      <c r="J754" s="90">
        <v>0</v>
      </c>
      <c r="K754" s="90">
        <v>0</v>
      </c>
      <c r="L754" s="90">
        <v>0</v>
      </c>
      <c r="M754" s="90">
        <v>0</v>
      </c>
      <c r="N754" s="90">
        <v>0</v>
      </c>
      <c r="O754" s="90">
        <v>0</v>
      </c>
      <c r="P754" s="90">
        <v>0</v>
      </c>
      <c r="Q754" s="90">
        <v>0</v>
      </c>
      <c r="R754" s="90">
        <v>0</v>
      </c>
      <c r="S754" s="90">
        <v>0</v>
      </c>
      <c r="T754" s="90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 s="90">
        <v>0</v>
      </c>
    </row>
    <row r="755" spans="1:26" ht="12.75" customHeight="1" x14ac:dyDescent="0.25">
      <c r="D755" t="s">
        <v>87</v>
      </c>
      <c r="E755" s="89" t="s">
        <v>70</v>
      </c>
      <c r="F755" s="371">
        <v>0</v>
      </c>
      <c r="G755" s="90">
        <v>0</v>
      </c>
      <c r="H755" s="90">
        <v>0</v>
      </c>
      <c r="I755" s="90">
        <v>0</v>
      </c>
      <c r="J755" s="90">
        <v>0</v>
      </c>
      <c r="K755" s="90">
        <v>0</v>
      </c>
      <c r="L755" s="90">
        <v>0</v>
      </c>
      <c r="M755" s="90">
        <v>0</v>
      </c>
      <c r="N755" s="90">
        <v>0</v>
      </c>
      <c r="O755" s="90">
        <v>0</v>
      </c>
      <c r="P755" s="90">
        <v>0</v>
      </c>
      <c r="Q755" s="90">
        <v>0</v>
      </c>
      <c r="R755" s="90">
        <v>0</v>
      </c>
      <c r="S755" s="90">
        <v>0</v>
      </c>
      <c r="T755" s="90">
        <v>0</v>
      </c>
      <c r="U755" s="90">
        <v>0</v>
      </c>
      <c r="V755" s="90">
        <v>0</v>
      </c>
      <c r="W755" s="90">
        <v>0</v>
      </c>
      <c r="X755" s="90">
        <v>0</v>
      </c>
      <c r="Y755" s="90">
        <v>0</v>
      </c>
      <c r="Z755" s="90">
        <v>0</v>
      </c>
    </row>
    <row r="756" spans="1:26" s="94" customFormat="1" ht="12.75" customHeight="1" x14ac:dyDescent="0.25">
      <c r="C756" s="101" t="s">
        <v>119</v>
      </c>
      <c r="D756" s="101" t="s">
        <v>70</v>
      </c>
      <c r="F756" s="93">
        <v>0</v>
      </c>
      <c r="G756" s="93">
        <v>0</v>
      </c>
      <c r="H756" s="93">
        <v>0</v>
      </c>
      <c r="I756" s="93">
        <v>0</v>
      </c>
      <c r="J756" s="93">
        <v>0</v>
      </c>
      <c r="K756" s="93">
        <v>0</v>
      </c>
      <c r="L756" s="93">
        <v>0</v>
      </c>
      <c r="M756" s="93">
        <v>0</v>
      </c>
      <c r="N756" s="93">
        <v>0</v>
      </c>
      <c r="O756" s="93">
        <v>0</v>
      </c>
      <c r="P756" s="93">
        <v>0</v>
      </c>
      <c r="Q756" s="93">
        <v>0</v>
      </c>
      <c r="R756" s="93">
        <v>0</v>
      </c>
      <c r="S756" s="93">
        <v>0</v>
      </c>
      <c r="T756" s="93">
        <v>0</v>
      </c>
      <c r="U756" s="93">
        <v>0</v>
      </c>
      <c r="V756" s="93">
        <v>0</v>
      </c>
      <c r="W756" s="93">
        <v>0</v>
      </c>
      <c r="X756" s="93">
        <v>0</v>
      </c>
      <c r="Y756" s="93">
        <v>0</v>
      </c>
      <c r="Z756" s="93">
        <v>0</v>
      </c>
    </row>
    <row r="757" spans="1:26" s="378" customFormat="1" ht="12.75" customHeight="1" x14ac:dyDescent="0.25">
      <c r="B757" s="378" t="s">
        <v>122</v>
      </c>
      <c r="C757" s="378" t="s">
        <v>70</v>
      </c>
      <c r="E757" s="376"/>
      <c r="F757" s="710">
        <v>0</v>
      </c>
      <c r="G757" s="377">
        <v>0</v>
      </c>
      <c r="H757" s="377">
        <v>0</v>
      </c>
      <c r="I757" s="377">
        <v>0</v>
      </c>
      <c r="J757" s="377">
        <v>0</v>
      </c>
      <c r="K757" s="377">
        <v>0</v>
      </c>
      <c r="L757" s="377">
        <v>0</v>
      </c>
      <c r="M757" s="377">
        <v>0</v>
      </c>
      <c r="N757" s="377">
        <v>0</v>
      </c>
      <c r="O757" s="377">
        <v>0</v>
      </c>
      <c r="P757" s="377">
        <v>0</v>
      </c>
      <c r="Q757" s="377">
        <v>0</v>
      </c>
      <c r="R757" s="377">
        <v>0</v>
      </c>
      <c r="S757" s="377">
        <v>0</v>
      </c>
      <c r="T757" s="377">
        <v>0</v>
      </c>
      <c r="U757" s="377">
        <v>0</v>
      </c>
      <c r="V757" s="377">
        <v>0</v>
      </c>
      <c r="W757" s="377">
        <v>0</v>
      </c>
      <c r="X757" s="377">
        <v>0</v>
      </c>
      <c r="Y757" s="377">
        <v>0</v>
      </c>
      <c r="Z757" s="377">
        <v>0</v>
      </c>
    </row>
    <row r="758" spans="1:26" ht="12.75" customHeight="1" x14ac:dyDescent="0.25">
      <c r="C758" s="89"/>
      <c r="D758" s="89"/>
      <c r="E758" t="s">
        <v>72</v>
      </c>
      <c r="F758" s="371">
        <v>0</v>
      </c>
      <c r="G758" s="90">
        <v>0</v>
      </c>
      <c r="H758" s="90">
        <v>0</v>
      </c>
      <c r="I758" s="90">
        <v>0</v>
      </c>
      <c r="J758" s="90">
        <v>0</v>
      </c>
      <c r="K758" s="90">
        <v>0</v>
      </c>
      <c r="L758" s="90">
        <v>0</v>
      </c>
      <c r="M758" s="90">
        <v>0</v>
      </c>
      <c r="N758" s="90">
        <v>0</v>
      </c>
      <c r="O758" s="90">
        <v>0</v>
      </c>
      <c r="P758" s="90">
        <v>0</v>
      </c>
      <c r="Q758" s="90">
        <v>0</v>
      </c>
      <c r="R758" s="90">
        <v>0</v>
      </c>
      <c r="S758" s="90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</row>
    <row r="759" spans="1:26" ht="12.75" customHeight="1" x14ac:dyDescent="0.25">
      <c r="C759" s="89"/>
      <c r="D759" s="89"/>
      <c r="E759" t="s">
        <v>81</v>
      </c>
      <c r="F759" s="90">
        <v>0</v>
      </c>
      <c r="G759" s="90">
        <v>0</v>
      </c>
      <c r="H759" s="90">
        <v>0</v>
      </c>
      <c r="I759" s="90">
        <v>0</v>
      </c>
      <c r="J759" s="90">
        <v>0</v>
      </c>
      <c r="K759" s="90">
        <v>0</v>
      </c>
      <c r="L759" s="90">
        <v>0</v>
      </c>
      <c r="M759" s="90">
        <v>0</v>
      </c>
      <c r="N759" s="90">
        <v>0</v>
      </c>
      <c r="O759" s="90">
        <v>0</v>
      </c>
      <c r="P759" s="90">
        <v>0</v>
      </c>
      <c r="Q759" s="90">
        <v>0</v>
      </c>
      <c r="R759" s="90">
        <v>0</v>
      </c>
      <c r="S759" s="90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</row>
    <row r="760" spans="1:26" ht="12.75" customHeight="1" x14ac:dyDescent="0.25">
      <c r="D760" t="s">
        <v>156</v>
      </c>
      <c r="E760" s="89" t="s">
        <v>70</v>
      </c>
      <c r="F760" s="90">
        <v>0</v>
      </c>
      <c r="G760" s="90">
        <v>0</v>
      </c>
      <c r="H760" s="90">
        <v>0</v>
      </c>
      <c r="I760" s="90">
        <v>0</v>
      </c>
      <c r="J760" s="90">
        <v>0</v>
      </c>
      <c r="K760" s="90">
        <v>0</v>
      </c>
      <c r="L760" s="90">
        <v>0</v>
      </c>
      <c r="M760" s="90">
        <v>0</v>
      </c>
      <c r="N760" s="90">
        <v>0</v>
      </c>
      <c r="O760" s="90">
        <v>0</v>
      </c>
      <c r="P760" s="90">
        <v>0</v>
      </c>
      <c r="Q760" s="90">
        <v>0</v>
      </c>
      <c r="R760" s="90">
        <v>0</v>
      </c>
      <c r="S760" s="9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</row>
    <row r="761" spans="1:26" s="656" customFormat="1" ht="12.75" customHeight="1" x14ac:dyDescent="0.25">
      <c r="A761" s="657"/>
      <c r="B761" s="657"/>
      <c r="C761" s="656" t="s">
        <v>155</v>
      </c>
      <c r="D761" s="656" t="s">
        <v>70</v>
      </c>
      <c r="F761" s="658">
        <v>0</v>
      </c>
      <c r="G761" s="658">
        <v>0</v>
      </c>
      <c r="H761" s="658">
        <v>0</v>
      </c>
      <c r="I761" s="658">
        <v>0</v>
      </c>
      <c r="J761" s="658">
        <v>0</v>
      </c>
      <c r="K761" s="658">
        <v>0</v>
      </c>
      <c r="L761" s="658">
        <v>0</v>
      </c>
      <c r="M761" s="658">
        <v>0</v>
      </c>
      <c r="N761" s="658">
        <v>0</v>
      </c>
      <c r="O761" s="658">
        <v>0</v>
      </c>
      <c r="P761" s="658">
        <v>0</v>
      </c>
      <c r="Q761" s="658">
        <v>0</v>
      </c>
      <c r="R761" s="658">
        <v>0</v>
      </c>
      <c r="S761" s="658">
        <v>0</v>
      </c>
      <c r="T761" s="656">
        <v>0</v>
      </c>
      <c r="U761" s="656">
        <v>0</v>
      </c>
      <c r="V761" s="656">
        <v>0</v>
      </c>
      <c r="W761" s="656">
        <v>0</v>
      </c>
      <c r="X761" s="656">
        <v>0</v>
      </c>
      <c r="Y761" s="656">
        <v>0</v>
      </c>
      <c r="Z761" s="656">
        <v>0</v>
      </c>
    </row>
    <row r="762" spans="1:26" ht="12.75" customHeight="1" x14ac:dyDescent="0.25">
      <c r="E762" s="89" t="s">
        <v>72</v>
      </c>
      <c r="F762" s="90">
        <v>0</v>
      </c>
      <c r="G762" s="90">
        <v>0</v>
      </c>
      <c r="H762" s="90">
        <v>0</v>
      </c>
      <c r="I762" s="90">
        <v>0</v>
      </c>
      <c r="J762" s="90">
        <v>0</v>
      </c>
      <c r="K762" s="90">
        <v>0</v>
      </c>
      <c r="L762" s="90">
        <v>0</v>
      </c>
      <c r="M762" s="90">
        <v>0</v>
      </c>
      <c r="N762" s="90">
        <v>0</v>
      </c>
      <c r="O762" s="90">
        <v>0</v>
      </c>
      <c r="P762" s="90">
        <v>0</v>
      </c>
      <c r="Q762" s="90">
        <v>0</v>
      </c>
      <c r="R762" s="90">
        <v>0</v>
      </c>
      <c r="S762" s="90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</row>
    <row r="763" spans="1:26" ht="12.75" customHeight="1" x14ac:dyDescent="0.25">
      <c r="E763" s="89" t="s">
        <v>81</v>
      </c>
      <c r="F763" s="371">
        <v>0</v>
      </c>
      <c r="G763" s="90">
        <v>0</v>
      </c>
      <c r="H763" s="90">
        <v>0</v>
      </c>
      <c r="I763" s="90">
        <v>0</v>
      </c>
      <c r="J763" s="90">
        <v>0</v>
      </c>
      <c r="K763" s="90">
        <v>0</v>
      </c>
      <c r="L763" s="90">
        <v>0</v>
      </c>
      <c r="M763" s="90">
        <v>0</v>
      </c>
      <c r="N763" s="90">
        <v>0</v>
      </c>
      <c r="O763" s="90">
        <v>0</v>
      </c>
      <c r="P763" s="90">
        <v>0</v>
      </c>
      <c r="Q763" s="90">
        <v>0</v>
      </c>
      <c r="R763" s="90">
        <v>0</v>
      </c>
      <c r="S763" s="90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</row>
    <row r="764" spans="1:26" ht="12.75" customHeight="1" x14ac:dyDescent="0.25">
      <c r="D764" t="s">
        <v>156</v>
      </c>
      <c r="E764" s="89" t="s">
        <v>70</v>
      </c>
      <c r="F764" s="371">
        <v>0</v>
      </c>
      <c r="G764" s="90">
        <v>0</v>
      </c>
      <c r="H764" s="90">
        <v>0</v>
      </c>
      <c r="I764" s="90">
        <v>0</v>
      </c>
      <c r="J764" s="90">
        <v>0</v>
      </c>
      <c r="K764" s="90">
        <v>0</v>
      </c>
      <c r="L764" s="90">
        <v>0</v>
      </c>
      <c r="M764" s="90">
        <v>0</v>
      </c>
      <c r="N764" s="90">
        <v>0</v>
      </c>
      <c r="O764" s="90">
        <v>0</v>
      </c>
      <c r="P764" s="90">
        <v>0</v>
      </c>
      <c r="Q764" s="90">
        <v>0</v>
      </c>
      <c r="R764" s="90">
        <v>0</v>
      </c>
      <c r="S764" s="90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</row>
    <row r="765" spans="1:26" s="739" customFormat="1" ht="12.75" customHeight="1" x14ac:dyDescent="0.25">
      <c r="C765" s="739" t="s">
        <v>326</v>
      </c>
      <c r="D765" s="739" t="s">
        <v>70</v>
      </c>
      <c r="E765" s="231"/>
      <c r="F765" s="740">
        <v>0</v>
      </c>
      <c r="G765" s="232">
        <v>0</v>
      </c>
      <c r="H765" s="232">
        <v>0</v>
      </c>
      <c r="I765" s="232">
        <v>0</v>
      </c>
      <c r="J765" s="232">
        <v>0</v>
      </c>
      <c r="K765" s="232">
        <v>0</v>
      </c>
      <c r="L765" s="232">
        <v>0</v>
      </c>
      <c r="M765" s="232">
        <v>0</v>
      </c>
      <c r="N765" s="232">
        <v>0</v>
      </c>
      <c r="O765" s="232">
        <v>0</v>
      </c>
      <c r="P765" s="232">
        <v>0</v>
      </c>
      <c r="Q765" s="232">
        <v>0</v>
      </c>
      <c r="R765" s="232">
        <v>0</v>
      </c>
      <c r="S765" s="232">
        <v>0</v>
      </c>
      <c r="T765" s="739">
        <v>0</v>
      </c>
      <c r="U765" s="739">
        <v>0</v>
      </c>
      <c r="V765" s="739">
        <v>0</v>
      </c>
      <c r="W765" s="739">
        <v>0</v>
      </c>
      <c r="X765" s="739">
        <v>0</v>
      </c>
      <c r="Y765" s="739">
        <v>0</v>
      </c>
      <c r="Z765" s="739">
        <v>0</v>
      </c>
    </row>
    <row r="766" spans="1:26" ht="12.75" customHeight="1" x14ac:dyDescent="0.25">
      <c r="E766" s="89" t="s">
        <v>72</v>
      </c>
      <c r="F766" s="371">
        <v>0</v>
      </c>
      <c r="G766" s="90">
        <v>0</v>
      </c>
      <c r="H766" s="90">
        <v>0</v>
      </c>
      <c r="I766" s="90">
        <v>0</v>
      </c>
      <c r="J766" s="90">
        <v>0</v>
      </c>
      <c r="K766" s="90">
        <v>0</v>
      </c>
      <c r="L766" s="90">
        <v>0</v>
      </c>
      <c r="M766" s="90">
        <v>0</v>
      </c>
      <c r="N766" s="90">
        <v>0</v>
      </c>
      <c r="O766" s="90">
        <v>0</v>
      </c>
      <c r="P766" s="90">
        <v>0</v>
      </c>
      <c r="Q766" s="90">
        <v>0</v>
      </c>
      <c r="R766" s="90">
        <v>0</v>
      </c>
      <c r="S766" s="90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</row>
    <row r="767" spans="1:26" ht="12.75" customHeight="1" x14ac:dyDescent="0.25">
      <c r="E767" s="89" t="s">
        <v>81</v>
      </c>
      <c r="F767" s="90">
        <v>0</v>
      </c>
      <c r="G767" s="90">
        <v>0</v>
      </c>
      <c r="H767" s="90">
        <v>0</v>
      </c>
      <c r="I767" s="90">
        <v>0</v>
      </c>
      <c r="J767" s="90">
        <v>0</v>
      </c>
      <c r="K767" s="90">
        <v>0</v>
      </c>
      <c r="L767" s="90">
        <v>0</v>
      </c>
      <c r="M767" s="90">
        <v>0</v>
      </c>
      <c r="N767" s="90">
        <v>0</v>
      </c>
      <c r="O767" s="90">
        <v>0</v>
      </c>
      <c r="P767" s="90">
        <v>0</v>
      </c>
      <c r="Q767" s="90">
        <v>0</v>
      </c>
      <c r="R767" s="90">
        <v>0</v>
      </c>
      <c r="S767" s="90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</row>
    <row r="768" spans="1:26" ht="12.75" customHeight="1" x14ac:dyDescent="0.25">
      <c r="D768" s="89" t="s">
        <v>82</v>
      </c>
      <c r="E768" s="89" t="s">
        <v>70</v>
      </c>
      <c r="F768" s="90">
        <v>0</v>
      </c>
      <c r="G768" s="90">
        <v>0</v>
      </c>
      <c r="H768" s="90">
        <v>0</v>
      </c>
      <c r="I768" s="90">
        <v>0</v>
      </c>
      <c r="J768" s="90">
        <v>0</v>
      </c>
      <c r="K768" s="90">
        <v>0</v>
      </c>
      <c r="L768" s="90">
        <v>0</v>
      </c>
      <c r="M768" s="90">
        <v>0</v>
      </c>
      <c r="N768" s="90">
        <v>0</v>
      </c>
      <c r="O768" s="90">
        <v>0</v>
      </c>
      <c r="P768" s="90">
        <v>0</v>
      </c>
      <c r="Q768" s="90">
        <v>0</v>
      </c>
      <c r="R768" s="90">
        <v>0</v>
      </c>
      <c r="S768" s="90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</row>
    <row r="769" spans="1:26" ht="12.75" customHeight="1" x14ac:dyDescent="0.25">
      <c r="C769" s="89"/>
      <c r="D769" s="89"/>
      <c r="E769" t="s">
        <v>72</v>
      </c>
      <c r="F769" s="90">
        <v>0</v>
      </c>
      <c r="G769" s="90">
        <v>0</v>
      </c>
      <c r="H769" s="90">
        <v>0</v>
      </c>
      <c r="I769" s="90">
        <v>0</v>
      </c>
      <c r="J769" s="90">
        <v>0</v>
      </c>
      <c r="K769" s="90">
        <v>0</v>
      </c>
      <c r="L769" s="90">
        <v>0</v>
      </c>
      <c r="M769" s="90">
        <v>0</v>
      </c>
      <c r="N769" s="90">
        <v>0</v>
      </c>
      <c r="O769" s="90">
        <v>0</v>
      </c>
      <c r="P769" s="90">
        <v>0</v>
      </c>
      <c r="Q769" s="90">
        <v>0</v>
      </c>
      <c r="R769" s="90">
        <v>0</v>
      </c>
      <c r="S769" s="90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</row>
    <row r="770" spans="1:26" ht="12.75" customHeight="1" x14ac:dyDescent="0.25">
      <c r="B770" s="89"/>
      <c r="C770" s="89"/>
      <c r="E770" t="s">
        <v>81</v>
      </c>
      <c r="F770" s="90">
        <v>0</v>
      </c>
      <c r="G770" s="90">
        <v>0</v>
      </c>
      <c r="H770" s="90">
        <v>0</v>
      </c>
      <c r="I770" s="90">
        <v>0</v>
      </c>
      <c r="J770" s="90">
        <v>0</v>
      </c>
      <c r="K770" s="90">
        <v>0</v>
      </c>
      <c r="L770" s="90">
        <v>0</v>
      </c>
      <c r="M770" s="90">
        <v>0</v>
      </c>
      <c r="N770" s="90">
        <v>0</v>
      </c>
      <c r="O770" s="90">
        <v>0</v>
      </c>
      <c r="P770" s="90">
        <v>0</v>
      </c>
      <c r="Q770" s="90">
        <v>0</v>
      </c>
      <c r="R770" s="90">
        <v>0</v>
      </c>
      <c r="S770" s="9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</row>
    <row r="771" spans="1:26" ht="12.75" customHeight="1" x14ac:dyDescent="0.25">
      <c r="A771" s="89"/>
      <c r="B771" s="89"/>
      <c r="D771" t="s">
        <v>86</v>
      </c>
      <c r="E771" t="s">
        <v>70</v>
      </c>
      <c r="F771" s="90">
        <v>0</v>
      </c>
      <c r="G771" s="90">
        <v>0</v>
      </c>
      <c r="H771" s="90">
        <v>0</v>
      </c>
      <c r="I771" s="90">
        <v>0</v>
      </c>
      <c r="J771" s="90">
        <v>0</v>
      </c>
      <c r="K771" s="90">
        <v>0</v>
      </c>
      <c r="L771" s="90">
        <v>0</v>
      </c>
      <c r="M771" s="90">
        <v>0</v>
      </c>
      <c r="N771" s="90">
        <v>0</v>
      </c>
      <c r="O771" s="90">
        <v>0</v>
      </c>
      <c r="P771" s="90">
        <v>0</v>
      </c>
      <c r="Q771" s="90">
        <v>0</v>
      </c>
      <c r="R771" s="90">
        <v>0</v>
      </c>
      <c r="S771" s="90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</row>
    <row r="772" spans="1:26" ht="12.75" customHeight="1" x14ac:dyDescent="0.25">
      <c r="E772" s="89" t="s">
        <v>72</v>
      </c>
      <c r="F772" s="90">
        <v>0</v>
      </c>
      <c r="G772" s="90">
        <v>0</v>
      </c>
      <c r="H772" s="90">
        <v>0</v>
      </c>
      <c r="I772" s="90">
        <v>0</v>
      </c>
      <c r="J772" s="90">
        <v>0</v>
      </c>
      <c r="K772" s="90">
        <v>0</v>
      </c>
      <c r="L772" s="90">
        <v>0</v>
      </c>
      <c r="M772" s="90">
        <v>0</v>
      </c>
      <c r="N772" s="90">
        <v>0</v>
      </c>
      <c r="O772" s="90">
        <v>0</v>
      </c>
      <c r="P772" s="90">
        <v>0</v>
      </c>
      <c r="Q772" s="90">
        <v>0</v>
      </c>
      <c r="R772" s="90">
        <v>0</v>
      </c>
      <c r="S772" s="90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</row>
    <row r="773" spans="1:26" ht="12.75" customHeight="1" x14ac:dyDescent="0.25">
      <c r="A773" s="89"/>
      <c r="B773" s="89"/>
      <c r="E773" t="s">
        <v>81</v>
      </c>
      <c r="F773" s="90">
        <v>0</v>
      </c>
      <c r="G773" s="90">
        <v>0</v>
      </c>
      <c r="H773" s="90">
        <v>0</v>
      </c>
      <c r="I773" s="90">
        <v>0</v>
      </c>
      <c r="J773" s="90">
        <v>0</v>
      </c>
      <c r="K773" s="90">
        <v>0</v>
      </c>
      <c r="L773" s="90">
        <v>0</v>
      </c>
      <c r="M773" s="90">
        <v>0</v>
      </c>
      <c r="N773" s="90">
        <v>0</v>
      </c>
      <c r="O773" s="90">
        <v>0</v>
      </c>
      <c r="P773" s="90">
        <v>0</v>
      </c>
      <c r="Q773" s="90">
        <v>0</v>
      </c>
      <c r="R773" s="90">
        <v>0</v>
      </c>
      <c r="S773" s="90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</row>
    <row r="774" spans="1:26" ht="12.75" customHeight="1" x14ac:dyDescent="0.25">
      <c r="D774" t="s">
        <v>87</v>
      </c>
      <c r="E774" s="89" t="s">
        <v>70</v>
      </c>
      <c r="F774" s="90">
        <v>0</v>
      </c>
      <c r="G774" s="90">
        <v>0</v>
      </c>
      <c r="H774" s="90">
        <v>0</v>
      </c>
      <c r="I774" s="90">
        <v>0</v>
      </c>
      <c r="J774" s="90">
        <v>0</v>
      </c>
      <c r="K774" s="90">
        <v>0</v>
      </c>
      <c r="L774" s="90">
        <v>0</v>
      </c>
      <c r="M774" s="90">
        <v>0</v>
      </c>
      <c r="N774" s="90">
        <v>0</v>
      </c>
      <c r="O774" s="90">
        <v>0</v>
      </c>
      <c r="P774" s="90">
        <v>0</v>
      </c>
      <c r="Q774" s="90">
        <v>0</v>
      </c>
      <c r="R774" s="90">
        <v>0</v>
      </c>
      <c r="S774" s="90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</row>
    <row r="775" spans="1:26" s="94" customFormat="1" ht="12.75" customHeight="1" x14ac:dyDescent="0.25">
      <c r="A775" s="101"/>
      <c r="B775" s="101"/>
      <c r="C775" s="94" t="s">
        <v>119</v>
      </c>
      <c r="D775" s="94" t="s">
        <v>70</v>
      </c>
      <c r="F775" s="93">
        <v>0</v>
      </c>
      <c r="G775" s="93">
        <v>0</v>
      </c>
      <c r="H775" s="93">
        <v>0</v>
      </c>
      <c r="I775" s="93">
        <v>0</v>
      </c>
      <c r="J775" s="93">
        <v>0</v>
      </c>
      <c r="K775" s="93">
        <v>0</v>
      </c>
      <c r="L775" s="93">
        <v>0</v>
      </c>
      <c r="M775" s="93">
        <v>0</v>
      </c>
      <c r="N775" s="93">
        <v>0</v>
      </c>
      <c r="O775" s="93">
        <v>0</v>
      </c>
      <c r="P775" s="93">
        <v>0</v>
      </c>
      <c r="Q775" s="93">
        <v>0</v>
      </c>
      <c r="R775" s="93">
        <v>0</v>
      </c>
      <c r="S775" s="93">
        <v>0</v>
      </c>
      <c r="T775" s="94">
        <v>0</v>
      </c>
      <c r="U775" s="94">
        <v>0</v>
      </c>
      <c r="V775" s="94">
        <v>0</v>
      </c>
      <c r="W775" s="94">
        <v>0</v>
      </c>
      <c r="X775" s="94">
        <v>0</v>
      </c>
      <c r="Y775" s="94">
        <v>0</v>
      </c>
      <c r="Z775" s="94">
        <v>0</v>
      </c>
    </row>
    <row r="776" spans="1:26" s="226" customFormat="1" ht="12.75" customHeight="1" x14ac:dyDescent="0.25">
      <c r="B776" s="226" t="s">
        <v>112</v>
      </c>
      <c r="C776" s="226" t="s">
        <v>70</v>
      </c>
      <c r="E776" s="98"/>
      <c r="F776" s="100">
        <v>0</v>
      </c>
      <c r="G776" s="100">
        <v>0</v>
      </c>
      <c r="H776" s="100">
        <v>0</v>
      </c>
      <c r="I776" s="100">
        <v>0</v>
      </c>
      <c r="J776" s="100">
        <v>0</v>
      </c>
      <c r="K776" s="100">
        <v>0</v>
      </c>
      <c r="L776" s="100">
        <v>0</v>
      </c>
      <c r="M776" s="100">
        <v>0</v>
      </c>
      <c r="N776" s="100">
        <v>0</v>
      </c>
      <c r="O776" s="100">
        <v>0</v>
      </c>
      <c r="P776" s="100">
        <v>0</v>
      </c>
      <c r="Q776" s="100">
        <v>0</v>
      </c>
      <c r="R776" s="100">
        <v>0</v>
      </c>
      <c r="S776" s="100">
        <v>0</v>
      </c>
      <c r="T776" s="226">
        <v>0</v>
      </c>
      <c r="U776" s="226">
        <v>0</v>
      </c>
      <c r="V776" s="226">
        <v>0</v>
      </c>
      <c r="W776" s="226">
        <v>0</v>
      </c>
      <c r="X776" s="226">
        <v>0</v>
      </c>
      <c r="Y776" s="226">
        <v>0</v>
      </c>
      <c r="Z776" s="226">
        <v>0</v>
      </c>
    </row>
    <row r="777" spans="1:26" ht="13.5" customHeight="1" x14ac:dyDescent="0.25">
      <c r="A777" t="s">
        <v>78</v>
      </c>
      <c r="B777" t="s">
        <v>70</v>
      </c>
      <c r="E777" s="89"/>
      <c r="F777" s="90">
        <v>0</v>
      </c>
      <c r="G777" s="90">
        <v>0</v>
      </c>
      <c r="H777" s="90">
        <v>0</v>
      </c>
      <c r="I777" s="90">
        <v>0</v>
      </c>
      <c r="J777" s="90">
        <v>0</v>
      </c>
      <c r="K777" s="90">
        <v>0</v>
      </c>
      <c r="L777" s="90">
        <v>0</v>
      </c>
      <c r="M777" s="90">
        <v>0</v>
      </c>
      <c r="N777" s="90">
        <v>0</v>
      </c>
      <c r="O777" s="90">
        <v>0</v>
      </c>
      <c r="P777" s="90">
        <v>0</v>
      </c>
      <c r="Q777" s="90">
        <v>0</v>
      </c>
      <c r="R777" s="90">
        <v>0</v>
      </c>
      <c r="S777" s="90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</row>
    <row r="778" spans="1:26" x14ac:dyDescent="0.25">
      <c r="E778" t="s">
        <v>73</v>
      </c>
      <c r="F778" s="90">
        <v>0</v>
      </c>
      <c r="G778" s="90">
        <v>0</v>
      </c>
      <c r="H778" s="90">
        <v>0</v>
      </c>
      <c r="I778" s="90">
        <v>0</v>
      </c>
      <c r="J778" s="90">
        <v>0</v>
      </c>
      <c r="K778" s="90">
        <v>0</v>
      </c>
      <c r="L778" s="90">
        <v>0</v>
      </c>
      <c r="M778" s="90">
        <v>0</v>
      </c>
      <c r="N778" s="90">
        <v>0</v>
      </c>
      <c r="O778" s="90">
        <v>0</v>
      </c>
      <c r="P778" s="90">
        <v>0</v>
      </c>
      <c r="Q778" s="90">
        <v>0</v>
      </c>
      <c r="R778" s="90">
        <v>0</v>
      </c>
      <c r="S778" s="90">
        <v>0</v>
      </c>
      <c r="T778" s="90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 s="90">
        <v>0</v>
      </c>
    </row>
    <row r="779" spans="1:26" x14ac:dyDescent="0.25">
      <c r="D779" t="s">
        <v>156</v>
      </c>
      <c r="E779" t="s">
        <v>70</v>
      </c>
      <c r="F779" s="90">
        <v>0</v>
      </c>
      <c r="G779" s="90">
        <v>0</v>
      </c>
      <c r="H779" s="90">
        <v>0</v>
      </c>
      <c r="I779" s="90">
        <v>0</v>
      </c>
      <c r="J779" s="90">
        <v>0</v>
      </c>
      <c r="K779" s="90">
        <v>0</v>
      </c>
      <c r="L779" s="90">
        <v>0</v>
      </c>
      <c r="M779" s="90">
        <v>0</v>
      </c>
      <c r="N779" s="90">
        <v>0</v>
      </c>
      <c r="O779" s="90">
        <v>0</v>
      </c>
      <c r="P779" s="90">
        <v>0</v>
      </c>
      <c r="Q779" s="90">
        <v>0</v>
      </c>
      <c r="R779" s="90">
        <v>0</v>
      </c>
      <c r="S779" s="90">
        <v>0</v>
      </c>
      <c r="T779" s="90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 s="90">
        <v>0</v>
      </c>
    </row>
    <row r="780" spans="1:26" s="286" customFormat="1" ht="12.75" customHeight="1" x14ac:dyDescent="0.25">
      <c r="C780" s="286" t="s">
        <v>155</v>
      </c>
      <c r="D780" s="286" t="s">
        <v>70</v>
      </c>
      <c r="E780" s="229"/>
      <c r="F780" s="229">
        <v>0</v>
      </c>
      <c r="G780" s="230">
        <v>0</v>
      </c>
      <c r="H780" s="230">
        <v>0</v>
      </c>
      <c r="I780" s="230">
        <v>0</v>
      </c>
      <c r="J780" s="230">
        <v>0</v>
      </c>
      <c r="K780" s="230">
        <v>0</v>
      </c>
      <c r="L780" s="230">
        <v>0</v>
      </c>
      <c r="M780" s="230">
        <v>0</v>
      </c>
      <c r="N780" s="230">
        <v>0</v>
      </c>
      <c r="O780" s="230">
        <v>0</v>
      </c>
      <c r="P780" s="230">
        <v>0</v>
      </c>
      <c r="Q780" s="230">
        <v>0</v>
      </c>
      <c r="R780" s="230">
        <v>0</v>
      </c>
      <c r="S780" s="230">
        <v>0</v>
      </c>
      <c r="T780" s="230">
        <v>0</v>
      </c>
      <c r="U780" s="230">
        <v>0</v>
      </c>
      <c r="V780" s="230">
        <v>0</v>
      </c>
      <c r="W780" s="230">
        <v>0</v>
      </c>
      <c r="X780" s="230">
        <v>0</v>
      </c>
      <c r="Y780" s="230">
        <v>0</v>
      </c>
      <c r="Z780" s="230">
        <v>0</v>
      </c>
    </row>
    <row r="781" spans="1:26" x14ac:dyDescent="0.25">
      <c r="E781" t="s">
        <v>73</v>
      </c>
      <c r="F781" s="90">
        <v>0</v>
      </c>
      <c r="G781" s="90">
        <v>0</v>
      </c>
      <c r="H781" s="90">
        <v>0</v>
      </c>
      <c r="I781" s="90">
        <v>0</v>
      </c>
      <c r="J781" s="90">
        <v>0</v>
      </c>
      <c r="K781" s="90">
        <v>0</v>
      </c>
      <c r="L781" s="90">
        <v>0</v>
      </c>
      <c r="M781" s="90">
        <v>0</v>
      </c>
      <c r="N781" s="90">
        <v>0</v>
      </c>
      <c r="O781" s="90">
        <v>0</v>
      </c>
      <c r="P781" s="90">
        <v>0</v>
      </c>
      <c r="Q781" s="90">
        <v>0</v>
      </c>
      <c r="R781" s="90">
        <v>0</v>
      </c>
      <c r="S781" s="90">
        <v>0</v>
      </c>
      <c r="T781" s="90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 s="90">
        <v>0</v>
      </c>
    </row>
    <row r="782" spans="1:26" x14ac:dyDescent="0.25">
      <c r="D782" t="s">
        <v>156</v>
      </c>
      <c r="E782" t="s">
        <v>70</v>
      </c>
      <c r="F782" s="90">
        <v>0</v>
      </c>
      <c r="G782" s="90">
        <v>0</v>
      </c>
      <c r="H782" s="90">
        <v>0</v>
      </c>
      <c r="I782" s="90">
        <v>0</v>
      </c>
      <c r="J782" s="90">
        <v>0</v>
      </c>
      <c r="K782" s="90">
        <v>0</v>
      </c>
      <c r="L782" s="90">
        <v>0</v>
      </c>
      <c r="M782" s="90">
        <v>0</v>
      </c>
      <c r="N782" s="90">
        <v>0</v>
      </c>
      <c r="O782" s="90">
        <v>0</v>
      </c>
      <c r="P782" s="90">
        <v>0</v>
      </c>
      <c r="Q782" s="90">
        <v>0</v>
      </c>
      <c r="R782" s="90">
        <v>0</v>
      </c>
      <c r="S782" s="90">
        <v>0</v>
      </c>
      <c r="T782" s="90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 s="90">
        <v>0</v>
      </c>
    </row>
    <row r="783" spans="1:26" s="739" customFormat="1" ht="12.75" customHeight="1" x14ac:dyDescent="0.25">
      <c r="C783" s="739" t="s">
        <v>326</v>
      </c>
      <c r="D783" s="739" t="s">
        <v>70</v>
      </c>
      <c r="E783" s="231"/>
      <c r="F783" s="740">
        <v>0</v>
      </c>
      <c r="G783" s="232">
        <v>0</v>
      </c>
      <c r="H783" s="232">
        <v>0</v>
      </c>
      <c r="I783" s="232">
        <v>0</v>
      </c>
      <c r="J783" s="232">
        <v>0</v>
      </c>
      <c r="K783" s="232">
        <v>0</v>
      </c>
      <c r="L783" s="232">
        <v>0</v>
      </c>
      <c r="M783" s="232">
        <v>0</v>
      </c>
      <c r="N783" s="232">
        <v>0</v>
      </c>
      <c r="O783" s="232">
        <v>0</v>
      </c>
      <c r="P783" s="232">
        <v>0</v>
      </c>
      <c r="Q783" s="232">
        <v>0</v>
      </c>
      <c r="R783" s="232">
        <v>0</v>
      </c>
      <c r="S783" s="232">
        <v>0</v>
      </c>
      <c r="T783" s="739">
        <v>0</v>
      </c>
      <c r="U783" s="739">
        <v>0</v>
      </c>
      <c r="V783" s="739">
        <v>0</v>
      </c>
      <c r="W783" s="739">
        <v>0</v>
      </c>
      <c r="X783" s="739">
        <v>0</v>
      </c>
      <c r="Y783" s="739">
        <v>0</v>
      </c>
      <c r="Z783" s="739">
        <v>0</v>
      </c>
    </row>
    <row r="784" spans="1:26" x14ac:dyDescent="0.25">
      <c r="E784" t="s">
        <v>73</v>
      </c>
      <c r="F784" s="90">
        <v>0</v>
      </c>
      <c r="G784" s="90">
        <v>0</v>
      </c>
      <c r="H784" s="90">
        <v>0</v>
      </c>
      <c r="I784" s="90">
        <v>0</v>
      </c>
      <c r="J784" s="90">
        <v>0</v>
      </c>
      <c r="K784" s="90">
        <v>0</v>
      </c>
      <c r="L784" s="90">
        <v>0</v>
      </c>
      <c r="M784" s="90">
        <v>0</v>
      </c>
      <c r="N784" s="90">
        <v>0</v>
      </c>
      <c r="O784" s="90">
        <v>0</v>
      </c>
      <c r="P784" s="90">
        <v>0</v>
      </c>
      <c r="Q784" s="90">
        <v>0</v>
      </c>
      <c r="R784" s="90">
        <v>0</v>
      </c>
      <c r="S784" s="90">
        <v>0</v>
      </c>
      <c r="T784" s="90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 s="90">
        <v>0</v>
      </c>
    </row>
    <row r="785" spans="1:26" x14ac:dyDescent="0.25">
      <c r="D785" t="s">
        <v>82</v>
      </c>
      <c r="E785" t="s">
        <v>70</v>
      </c>
      <c r="F785" s="90">
        <v>0</v>
      </c>
      <c r="G785" s="90">
        <v>0</v>
      </c>
      <c r="H785" s="90">
        <v>0</v>
      </c>
      <c r="I785" s="90">
        <v>0</v>
      </c>
      <c r="J785" s="90">
        <v>0</v>
      </c>
      <c r="K785" s="90">
        <v>0</v>
      </c>
      <c r="L785" s="90">
        <v>0</v>
      </c>
      <c r="M785" s="90">
        <v>0</v>
      </c>
      <c r="N785" s="90">
        <v>0</v>
      </c>
      <c r="O785" s="90">
        <v>0</v>
      </c>
      <c r="P785" s="90">
        <v>0</v>
      </c>
      <c r="Q785" s="90">
        <v>0</v>
      </c>
      <c r="R785" s="90">
        <v>0</v>
      </c>
      <c r="S785" s="90">
        <v>0</v>
      </c>
      <c r="T785" s="90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 s="90">
        <v>0</v>
      </c>
    </row>
    <row r="786" spans="1:26" x14ac:dyDescent="0.25">
      <c r="E786" t="s">
        <v>73</v>
      </c>
      <c r="F786" s="90">
        <v>0</v>
      </c>
      <c r="G786" s="90">
        <v>0</v>
      </c>
      <c r="H786" s="90">
        <v>0</v>
      </c>
      <c r="I786" s="90">
        <v>0</v>
      </c>
      <c r="J786" s="90">
        <v>0</v>
      </c>
      <c r="K786" s="90">
        <v>0</v>
      </c>
      <c r="L786" s="90">
        <v>0</v>
      </c>
      <c r="M786" s="90">
        <v>0</v>
      </c>
      <c r="N786" s="90">
        <v>0</v>
      </c>
      <c r="O786" s="90">
        <v>0</v>
      </c>
      <c r="P786" s="90">
        <v>0</v>
      </c>
      <c r="Q786" s="90">
        <v>0</v>
      </c>
      <c r="R786" s="90">
        <v>0</v>
      </c>
      <c r="S786" s="90">
        <v>0</v>
      </c>
      <c r="T786" s="90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 s="90">
        <v>0</v>
      </c>
    </row>
    <row r="787" spans="1:26" x14ac:dyDescent="0.25">
      <c r="D787" t="s">
        <v>86</v>
      </c>
      <c r="E787" t="s">
        <v>70</v>
      </c>
      <c r="F787" s="90">
        <v>0</v>
      </c>
      <c r="G787" s="90">
        <v>0</v>
      </c>
      <c r="H787" s="90">
        <v>0</v>
      </c>
      <c r="I787" s="90">
        <v>0</v>
      </c>
      <c r="J787" s="90">
        <v>0</v>
      </c>
      <c r="K787" s="90">
        <v>0</v>
      </c>
      <c r="L787" s="90">
        <v>0</v>
      </c>
      <c r="M787" s="90">
        <v>0</v>
      </c>
      <c r="N787" s="90">
        <v>0</v>
      </c>
      <c r="O787" s="90">
        <v>0</v>
      </c>
      <c r="P787" s="90">
        <v>0</v>
      </c>
      <c r="Q787" s="90">
        <v>0</v>
      </c>
      <c r="R787" s="90">
        <v>0</v>
      </c>
      <c r="S787" s="90">
        <v>0</v>
      </c>
      <c r="T787" s="90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 s="90">
        <v>0</v>
      </c>
    </row>
    <row r="788" spans="1:26" x14ac:dyDescent="0.25">
      <c r="E788" t="s">
        <v>73</v>
      </c>
      <c r="F788" s="90">
        <v>0</v>
      </c>
      <c r="G788" s="90">
        <v>0</v>
      </c>
      <c r="H788" s="90">
        <v>0</v>
      </c>
      <c r="I788" s="90">
        <v>0</v>
      </c>
      <c r="J788" s="90">
        <v>0</v>
      </c>
      <c r="K788" s="90">
        <v>0</v>
      </c>
      <c r="L788" s="90">
        <v>0</v>
      </c>
      <c r="M788" s="90">
        <v>0</v>
      </c>
      <c r="N788" s="90">
        <v>0</v>
      </c>
      <c r="O788" s="90">
        <v>0</v>
      </c>
      <c r="P788" s="90">
        <v>0</v>
      </c>
      <c r="Q788" s="90">
        <v>0</v>
      </c>
      <c r="R788" s="90">
        <v>0</v>
      </c>
      <c r="S788" s="90">
        <v>0</v>
      </c>
      <c r="T788" s="90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 s="90">
        <v>0</v>
      </c>
    </row>
    <row r="789" spans="1:26" x14ac:dyDescent="0.25">
      <c r="D789" t="s">
        <v>87</v>
      </c>
      <c r="E789" t="s">
        <v>70</v>
      </c>
      <c r="F789" s="90">
        <v>0</v>
      </c>
      <c r="G789" s="90">
        <v>0</v>
      </c>
      <c r="H789" s="90">
        <v>0</v>
      </c>
      <c r="I789" s="90">
        <v>0</v>
      </c>
      <c r="J789" s="90">
        <v>0</v>
      </c>
      <c r="K789" s="90">
        <v>0</v>
      </c>
      <c r="L789" s="90">
        <v>0</v>
      </c>
      <c r="M789" s="90">
        <v>0</v>
      </c>
      <c r="N789" s="90">
        <v>0</v>
      </c>
      <c r="O789" s="90">
        <v>0</v>
      </c>
      <c r="P789" s="90">
        <v>0</v>
      </c>
      <c r="Q789" s="90">
        <v>0</v>
      </c>
      <c r="R789" s="90">
        <v>0</v>
      </c>
      <c r="S789" s="90">
        <v>0</v>
      </c>
      <c r="T789" s="90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 s="90">
        <v>0</v>
      </c>
    </row>
    <row r="790" spans="1:26" s="94" customFormat="1" ht="12.75" customHeight="1" x14ac:dyDescent="0.25">
      <c r="C790" s="101" t="s">
        <v>119</v>
      </c>
      <c r="D790" s="101" t="s">
        <v>70</v>
      </c>
      <c r="F790" s="93">
        <v>0</v>
      </c>
      <c r="G790" s="93">
        <v>0</v>
      </c>
      <c r="H790" s="93">
        <v>0</v>
      </c>
      <c r="I790" s="93">
        <v>0</v>
      </c>
      <c r="J790" s="93">
        <v>0</v>
      </c>
      <c r="K790" s="93">
        <v>0</v>
      </c>
      <c r="L790" s="93">
        <v>0</v>
      </c>
      <c r="M790" s="93">
        <v>0</v>
      </c>
      <c r="N790" s="93">
        <v>0</v>
      </c>
      <c r="O790" s="93">
        <v>0</v>
      </c>
      <c r="P790" s="93">
        <v>0</v>
      </c>
      <c r="Q790" s="93">
        <v>0</v>
      </c>
      <c r="R790" s="93">
        <v>0</v>
      </c>
      <c r="S790" s="93">
        <v>0</v>
      </c>
      <c r="T790" s="93">
        <v>0</v>
      </c>
      <c r="U790" s="93">
        <v>0</v>
      </c>
      <c r="V790" s="93">
        <v>0</v>
      </c>
      <c r="W790" s="93">
        <v>0</v>
      </c>
      <c r="X790" s="93">
        <v>0</v>
      </c>
      <c r="Y790" s="93">
        <v>0</v>
      </c>
      <c r="Z790" s="93">
        <v>0</v>
      </c>
    </row>
    <row r="791" spans="1:26" s="378" customFormat="1" ht="12.75" customHeight="1" x14ac:dyDescent="0.25">
      <c r="B791" s="378" t="s">
        <v>122</v>
      </c>
      <c r="C791" s="378" t="s">
        <v>70</v>
      </c>
      <c r="E791" s="376"/>
      <c r="F791" s="710">
        <v>0</v>
      </c>
      <c r="G791" s="377">
        <v>0</v>
      </c>
      <c r="H791" s="377">
        <v>0</v>
      </c>
      <c r="I791" s="377">
        <v>0</v>
      </c>
      <c r="J791" s="377">
        <v>0</v>
      </c>
      <c r="K791" s="377">
        <v>0</v>
      </c>
      <c r="L791" s="377">
        <v>0</v>
      </c>
      <c r="M791" s="377">
        <v>0</v>
      </c>
      <c r="N791" s="377">
        <v>0</v>
      </c>
      <c r="O791" s="377">
        <v>0</v>
      </c>
      <c r="P791" s="377">
        <v>0</v>
      </c>
      <c r="Q791" s="377">
        <v>0</v>
      </c>
      <c r="R791" s="377">
        <v>0</v>
      </c>
      <c r="S791" s="377">
        <v>0</v>
      </c>
      <c r="T791" s="377">
        <v>0</v>
      </c>
      <c r="U791" s="377">
        <v>0</v>
      </c>
      <c r="V791" s="377">
        <v>0</v>
      </c>
      <c r="W791" s="377">
        <v>0</v>
      </c>
      <c r="X791" s="377">
        <v>0</v>
      </c>
      <c r="Y791" s="377">
        <v>0</v>
      </c>
      <c r="Z791" s="377">
        <v>0</v>
      </c>
    </row>
    <row r="792" spans="1:26" ht="12.75" customHeight="1" x14ac:dyDescent="0.25">
      <c r="E792" s="89" t="s">
        <v>73</v>
      </c>
      <c r="F792" s="371">
        <v>0</v>
      </c>
      <c r="G792" s="90">
        <v>0</v>
      </c>
      <c r="H792" s="90">
        <v>0</v>
      </c>
      <c r="I792" s="90">
        <v>0</v>
      </c>
      <c r="J792" s="90">
        <v>0</v>
      </c>
      <c r="K792" s="90">
        <v>0</v>
      </c>
      <c r="L792" s="90">
        <v>0</v>
      </c>
      <c r="M792" s="90">
        <v>0</v>
      </c>
      <c r="N792" s="90">
        <v>0</v>
      </c>
      <c r="O792" s="90">
        <v>0</v>
      </c>
      <c r="P792" s="90">
        <v>0</v>
      </c>
      <c r="Q792" s="90">
        <v>0</v>
      </c>
      <c r="R792" s="90">
        <v>0</v>
      </c>
      <c r="S792" s="90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</row>
    <row r="793" spans="1:26" ht="12.75" customHeight="1" x14ac:dyDescent="0.25">
      <c r="D793" t="s">
        <v>156</v>
      </c>
      <c r="E793" s="89" t="s">
        <v>70</v>
      </c>
      <c r="F793" s="371">
        <v>0</v>
      </c>
      <c r="G793" s="90">
        <v>0</v>
      </c>
      <c r="H793" s="90">
        <v>0</v>
      </c>
      <c r="I793" s="90">
        <v>0</v>
      </c>
      <c r="J793" s="90">
        <v>0</v>
      </c>
      <c r="K793" s="90">
        <v>0</v>
      </c>
      <c r="L793" s="90">
        <v>0</v>
      </c>
      <c r="M793" s="90">
        <v>0</v>
      </c>
      <c r="N793" s="90">
        <v>0</v>
      </c>
      <c r="O793" s="90">
        <v>0</v>
      </c>
      <c r="P793" s="90">
        <v>0</v>
      </c>
      <c r="Q793" s="90">
        <v>0</v>
      </c>
      <c r="R793" s="90">
        <v>0</v>
      </c>
      <c r="S793" s="90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</row>
    <row r="794" spans="1:26" s="656" customFormat="1" ht="12.75" customHeight="1" x14ac:dyDescent="0.25">
      <c r="A794" s="657"/>
      <c r="B794" s="657"/>
      <c r="C794" s="656" t="s">
        <v>155</v>
      </c>
      <c r="D794" s="656" t="s">
        <v>70</v>
      </c>
      <c r="F794" s="658">
        <v>0</v>
      </c>
      <c r="G794" s="658">
        <v>0</v>
      </c>
      <c r="H794" s="658">
        <v>0</v>
      </c>
      <c r="I794" s="658">
        <v>0</v>
      </c>
      <c r="J794" s="658">
        <v>0</v>
      </c>
      <c r="K794" s="658">
        <v>0</v>
      </c>
      <c r="L794" s="658">
        <v>0</v>
      </c>
      <c r="M794" s="658">
        <v>0</v>
      </c>
      <c r="N794" s="658">
        <v>0</v>
      </c>
      <c r="O794" s="658">
        <v>0</v>
      </c>
      <c r="P794" s="658">
        <v>0</v>
      </c>
      <c r="Q794" s="658">
        <v>0</v>
      </c>
      <c r="R794" s="658">
        <v>0</v>
      </c>
      <c r="S794" s="658">
        <v>0</v>
      </c>
      <c r="T794" s="656">
        <v>0</v>
      </c>
      <c r="U794" s="656">
        <v>0</v>
      </c>
      <c r="V794" s="656">
        <v>0</v>
      </c>
      <c r="W794" s="656">
        <v>0</v>
      </c>
      <c r="X794" s="656">
        <v>0</v>
      </c>
      <c r="Y794" s="656">
        <v>0</v>
      </c>
      <c r="Z794" s="656">
        <v>0</v>
      </c>
    </row>
    <row r="795" spans="1:26" ht="12.75" customHeight="1" x14ac:dyDescent="0.25">
      <c r="E795" s="89" t="s">
        <v>73</v>
      </c>
      <c r="F795" s="371">
        <v>0</v>
      </c>
      <c r="G795" s="90">
        <v>0</v>
      </c>
      <c r="H795" s="90">
        <v>0</v>
      </c>
      <c r="I795" s="90">
        <v>0</v>
      </c>
      <c r="J795" s="90">
        <v>0</v>
      </c>
      <c r="K795" s="90">
        <v>0</v>
      </c>
      <c r="L795" s="90">
        <v>0</v>
      </c>
      <c r="M795" s="90">
        <v>0</v>
      </c>
      <c r="N795" s="90">
        <v>0</v>
      </c>
      <c r="O795" s="90">
        <v>0</v>
      </c>
      <c r="P795" s="90">
        <v>0</v>
      </c>
      <c r="Q795" s="90">
        <v>0</v>
      </c>
      <c r="R795" s="90">
        <v>0</v>
      </c>
      <c r="S795" s="90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</row>
    <row r="796" spans="1:26" ht="12.75" customHeight="1" x14ac:dyDescent="0.25">
      <c r="D796" t="s">
        <v>156</v>
      </c>
      <c r="E796" s="89" t="s">
        <v>70</v>
      </c>
      <c r="F796" s="371">
        <v>0</v>
      </c>
      <c r="G796" s="90">
        <v>0</v>
      </c>
      <c r="H796" s="90">
        <v>0</v>
      </c>
      <c r="I796" s="90">
        <v>0</v>
      </c>
      <c r="J796" s="90">
        <v>0</v>
      </c>
      <c r="K796" s="90">
        <v>0</v>
      </c>
      <c r="L796" s="90">
        <v>0</v>
      </c>
      <c r="M796" s="90">
        <v>0</v>
      </c>
      <c r="N796" s="90">
        <v>0</v>
      </c>
      <c r="O796" s="90">
        <v>0</v>
      </c>
      <c r="P796" s="90">
        <v>0</v>
      </c>
      <c r="Q796" s="90">
        <v>0</v>
      </c>
      <c r="R796" s="90">
        <v>0</v>
      </c>
      <c r="S796" s="90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</row>
    <row r="797" spans="1:26" s="739" customFormat="1" ht="12.75" customHeight="1" x14ac:dyDescent="0.25">
      <c r="C797" s="739" t="s">
        <v>326</v>
      </c>
      <c r="D797" s="739" t="s">
        <v>70</v>
      </c>
      <c r="E797" s="231"/>
      <c r="F797" s="740">
        <v>0</v>
      </c>
      <c r="G797" s="232">
        <v>0</v>
      </c>
      <c r="H797" s="232">
        <v>0</v>
      </c>
      <c r="I797" s="232">
        <v>0</v>
      </c>
      <c r="J797" s="232">
        <v>0</v>
      </c>
      <c r="K797" s="232">
        <v>0</v>
      </c>
      <c r="L797" s="232">
        <v>0</v>
      </c>
      <c r="M797" s="232">
        <v>0</v>
      </c>
      <c r="N797" s="232">
        <v>0</v>
      </c>
      <c r="O797" s="232">
        <v>0</v>
      </c>
      <c r="P797" s="232">
        <v>0</v>
      </c>
      <c r="Q797" s="232">
        <v>0</v>
      </c>
      <c r="R797" s="232">
        <v>0</v>
      </c>
      <c r="S797" s="232">
        <v>0</v>
      </c>
      <c r="T797" s="739">
        <v>0</v>
      </c>
      <c r="U797" s="739">
        <v>0</v>
      </c>
      <c r="V797" s="739">
        <v>0</v>
      </c>
      <c r="W797" s="739">
        <v>0</v>
      </c>
      <c r="X797" s="739">
        <v>0</v>
      </c>
      <c r="Y797" s="739">
        <v>0</v>
      </c>
      <c r="Z797" s="739">
        <v>0</v>
      </c>
    </row>
    <row r="798" spans="1:26" ht="12.75" customHeight="1" x14ac:dyDescent="0.25">
      <c r="E798" s="89" t="s">
        <v>73</v>
      </c>
      <c r="F798" s="371">
        <v>0</v>
      </c>
      <c r="G798" s="90">
        <v>0</v>
      </c>
      <c r="H798" s="90">
        <v>0</v>
      </c>
      <c r="I798" s="90">
        <v>0</v>
      </c>
      <c r="J798" s="90">
        <v>0</v>
      </c>
      <c r="K798" s="90">
        <v>0</v>
      </c>
      <c r="L798" s="90">
        <v>0</v>
      </c>
      <c r="M798" s="90">
        <v>0</v>
      </c>
      <c r="N798" s="90">
        <v>0</v>
      </c>
      <c r="O798" s="90">
        <v>0</v>
      </c>
      <c r="P798" s="90">
        <v>0</v>
      </c>
      <c r="Q798" s="90">
        <v>0</v>
      </c>
      <c r="R798" s="90">
        <v>0</v>
      </c>
      <c r="S798" s="90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</row>
    <row r="799" spans="1:26" ht="12.75" customHeight="1" x14ac:dyDescent="0.25">
      <c r="D799" s="89" t="s">
        <v>82</v>
      </c>
      <c r="E799" s="89" t="s">
        <v>70</v>
      </c>
      <c r="F799" s="90">
        <v>0</v>
      </c>
      <c r="G799" s="90">
        <v>0</v>
      </c>
      <c r="H799" s="90">
        <v>0</v>
      </c>
      <c r="I799" s="90">
        <v>0</v>
      </c>
      <c r="J799" s="90">
        <v>0</v>
      </c>
      <c r="K799" s="90">
        <v>0</v>
      </c>
      <c r="L799" s="90">
        <v>0</v>
      </c>
      <c r="M799" s="90">
        <v>0</v>
      </c>
      <c r="N799" s="90">
        <v>0</v>
      </c>
      <c r="O799" s="90">
        <v>0</v>
      </c>
      <c r="P799" s="90">
        <v>0</v>
      </c>
      <c r="Q799" s="90">
        <v>0</v>
      </c>
      <c r="R799" s="90">
        <v>0</v>
      </c>
      <c r="S799" s="90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</row>
    <row r="800" spans="1:26" ht="12.75" customHeight="1" x14ac:dyDescent="0.25">
      <c r="E800" s="89" t="s">
        <v>73</v>
      </c>
      <c r="F800" s="90">
        <v>0</v>
      </c>
      <c r="G800" s="90">
        <v>0</v>
      </c>
      <c r="H800" s="90">
        <v>0</v>
      </c>
      <c r="I800" s="90">
        <v>0</v>
      </c>
      <c r="J800" s="90">
        <v>0</v>
      </c>
      <c r="K800" s="90">
        <v>0</v>
      </c>
      <c r="L800" s="90">
        <v>0</v>
      </c>
      <c r="M800" s="90">
        <v>0</v>
      </c>
      <c r="N800" s="90">
        <v>0</v>
      </c>
      <c r="O800" s="90">
        <v>0</v>
      </c>
      <c r="P800" s="90">
        <v>0</v>
      </c>
      <c r="Q800" s="90">
        <v>0</v>
      </c>
      <c r="R800" s="90">
        <v>0</v>
      </c>
      <c r="S800" s="9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</row>
    <row r="801" spans="1:41" ht="12.75" customHeight="1" x14ac:dyDescent="0.25">
      <c r="D801" s="89" t="s">
        <v>86</v>
      </c>
      <c r="E801" s="89" t="s">
        <v>70</v>
      </c>
      <c r="F801" s="90">
        <v>0</v>
      </c>
      <c r="G801" s="90">
        <v>0</v>
      </c>
      <c r="H801" s="90">
        <v>0</v>
      </c>
      <c r="I801" s="90">
        <v>0</v>
      </c>
      <c r="J801" s="90">
        <v>0</v>
      </c>
      <c r="K801" s="90">
        <v>0</v>
      </c>
      <c r="L801" s="90">
        <v>0</v>
      </c>
      <c r="M801" s="90">
        <v>0</v>
      </c>
      <c r="N801" s="90">
        <v>0</v>
      </c>
      <c r="O801" s="90">
        <v>0</v>
      </c>
      <c r="P801" s="90">
        <v>0</v>
      </c>
      <c r="Q801" s="90">
        <v>0</v>
      </c>
      <c r="R801" s="90">
        <v>0</v>
      </c>
      <c r="S801" s="90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</row>
    <row r="802" spans="1:41" ht="12.75" customHeight="1" x14ac:dyDescent="0.25">
      <c r="E802" s="89" t="s">
        <v>73</v>
      </c>
      <c r="F802" s="90">
        <v>0</v>
      </c>
      <c r="G802" s="90">
        <v>0</v>
      </c>
      <c r="H802" s="90">
        <v>0</v>
      </c>
      <c r="I802" s="90">
        <v>0</v>
      </c>
      <c r="J802" s="90">
        <v>0</v>
      </c>
      <c r="K802" s="90">
        <v>0</v>
      </c>
      <c r="L802" s="90">
        <v>0</v>
      </c>
      <c r="M802" s="90">
        <v>0</v>
      </c>
      <c r="N802" s="90">
        <v>0</v>
      </c>
      <c r="O802" s="90">
        <v>0</v>
      </c>
      <c r="P802" s="90">
        <v>0</v>
      </c>
      <c r="Q802" s="90">
        <v>0</v>
      </c>
      <c r="R802" s="90">
        <v>0</v>
      </c>
      <c r="S802" s="90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</row>
    <row r="803" spans="1:41" ht="12.75" customHeight="1" x14ac:dyDescent="0.25">
      <c r="D803" s="89" t="s">
        <v>87</v>
      </c>
      <c r="E803" s="89" t="s">
        <v>70</v>
      </c>
      <c r="F803" s="90">
        <v>0</v>
      </c>
      <c r="G803" s="90">
        <v>0</v>
      </c>
      <c r="H803" s="90">
        <v>0</v>
      </c>
      <c r="I803" s="90">
        <v>0</v>
      </c>
      <c r="J803" s="90">
        <v>0</v>
      </c>
      <c r="K803" s="90">
        <v>0</v>
      </c>
      <c r="L803" s="90">
        <v>0</v>
      </c>
      <c r="M803" s="90">
        <v>0</v>
      </c>
      <c r="N803" s="90">
        <v>0</v>
      </c>
      <c r="O803" s="90">
        <v>0</v>
      </c>
      <c r="P803" s="90">
        <v>0</v>
      </c>
      <c r="Q803" s="90">
        <v>0</v>
      </c>
      <c r="R803" s="90">
        <v>0</v>
      </c>
      <c r="S803" s="90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</row>
    <row r="804" spans="1:41" s="94" customFormat="1" ht="12.75" customHeight="1" x14ac:dyDescent="0.25">
      <c r="C804" s="94" t="s">
        <v>119</v>
      </c>
      <c r="D804" s="94" t="s">
        <v>70</v>
      </c>
      <c r="E804" s="101"/>
      <c r="F804" s="93">
        <v>0</v>
      </c>
      <c r="G804" s="93">
        <v>0</v>
      </c>
      <c r="H804" s="93">
        <v>0</v>
      </c>
      <c r="I804" s="93">
        <v>0</v>
      </c>
      <c r="J804" s="93">
        <v>0</v>
      </c>
      <c r="K804" s="93">
        <v>0</v>
      </c>
      <c r="L804" s="93">
        <v>0</v>
      </c>
      <c r="M804" s="93">
        <v>0</v>
      </c>
      <c r="N804" s="93">
        <v>0</v>
      </c>
      <c r="O804" s="93">
        <v>0</v>
      </c>
      <c r="P804" s="93">
        <v>0</v>
      </c>
      <c r="Q804" s="93">
        <v>0</v>
      </c>
      <c r="R804" s="93">
        <v>0</v>
      </c>
      <c r="S804" s="93">
        <v>0</v>
      </c>
      <c r="T804" s="94">
        <v>0</v>
      </c>
      <c r="U804" s="94">
        <v>0</v>
      </c>
      <c r="V804" s="94">
        <v>0</v>
      </c>
      <c r="W804" s="94">
        <v>0</v>
      </c>
      <c r="X804" s="94">
        <v>0</v>
      </c>
      <c r="Y804" s="94">
        <v>0</v>
      </c>
      <c r="Z804" s="94">
        <v>0</v>
      </c>
    </row>
    <row r="805" spans="1:41" s="226" customFormat="1" ht="12.75" customHeight="1" x14ac:dyDescent="0.25">
      <c r="B805" s="98" t="s">
        <v>112</v>
      </c>
      <c r="C805" s="98" t="s">
        <v>70</v>
      </c>
      <c r="F805" s="100">
        <v>0</v>
      </c>
      <c r="G805" s="100">
        <v>0</v>
      </c>
      <c r="H805" s="100">
        <v>0</v>
      </c>
      <c r="I805" s="100">
        <v>0</v>
      </c>
      <c r="J805" s="100">
        <v>0</v>
      </c>
      <c r="K805" s="100">
        <v>0</v>
      </c>
      <c r="L805" s="100">
        <v>0</v>
      </c>
      <c r="M805" s="100">
        <v>0</v>
      </c>
      <c r="N805" s="100">
        <v>0</v>
      </c>
      <c r="O805" s="100">
        <v>0</v>
      </c>
      <c r="P805" s="100">
        <v>0</v>
      </c>
      <c r="Q805" s="100">
        <v>0</v>
      </c>
      <c r="R805" s="100">
        <v>0</v>
      </c>
      <c r="S805" s="100">
        <v>0</v>
      </c>
      <c r="T805" s="226">
        <v>0</v>
      </c>
      <c r="U805" s="226">
        <v>0</v>
      </c>
      <c r="V805" s="226">
        <v>0</v>
      </c>
      <c r="W805" s="226">
        <v>0</v>
      </c>
      <c r="X805" s="226">
        <v>0</v>
      </c>
      <c r="Y805" s="226">
        <v>0</v>
      </c>
      <c r="Z805" s="226">
        <v>0</v>
      </c>
    </row>
    <row r="806" spans="1:41" ht="12.75" customHeight="1" x14ac:dyDescent="0.25">
      <c r="A806" s="89" t="s">
        <v>79</v>
      </c>
      <c r="B806" s="89" t="s">
        <v>70</v>
      </c>
      <c r="F806" s="90">
        <v>0</v>
      </c>
      <c r="G806" s="90">
        <v>0</v>
      </c>
      <c r="H806" s="90">
        <v>0</v>
      </c>
      <c r="I806" s="90">
        <v>0</v>
      </c>
      <c r="J806" s="90">
        <v>0</v>
      </c>
      <c r="K806" s="90">
        <v>0</v>
      </c>
      <c r="L806" s="90">
        <v>0</v>
      </c>
      <c r="M806" s="90">
        <v>0</v>
      </c>
      <c r="N806" s="90">
        <v>0</v>
      </c>
      <c r="O806" s="90">
        <v>0</v>
      </c>
      <c r="P806" s="90">
        <v>0</v>
      </c>
      <c r="Q806" s="90">
        <v>0</v>
      </c>
      <c r="R806" s="90">
        <v>0</v>
      </c>
      <c r="S806" s="90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</row>
    <row r="807" spans="1:41" ht="12.75" customHeight="1" x14ac:dyDescent="0.25">
      <c r="A807" s="89" t="s">
        <v>70</v>
      </c>
      <c r="F807" s="90">
        <v>0</v>
      </c>
      <c r="G807" s="90">
        <v>0</v>
      </c>
      <c r="H807" s="90">
        <v>0</v>
      </c>
      <c r="I807" s="90">
        <v>0</v>
      </c>
      <c r="J807" s="90">
        <v>0</v>
      </c>
      <c r="K807" s="90">
        <v>0</v>
      </c>
      <c r="L807" s="90">
        <v>0</v>
      </c>
      <c r="M807" s="90">
        <v>0</v>
      </c>
      <c r="N807" s="90">
        <v>0</v>
      </c>
      <c r="O807" s="90">
        <v>0</v>
      </c>
      <c r="P807" s="90">
        <v>0</v>
      </c>
      <c r="Q807" s="90">
        <v>0</v>
      </c>
      <c r="R807" s="90">
        <v>0</v>
      </c>
      <c r="S807" s="90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</row>
    <row r="808" spans="1:41" ht="12.75" customHeight="1" x14ac:dyDescent="0.25">
      <c r="A808" s="89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150"/>
    </row>
    <row r="809" spans="1:41" ht="12.75" customHeight="1" x14ac:dyDescent="0.25">
      <c r="A809" s="89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</row>
    <row r="810" spans="1:41" ht="12.75" customHeight="1" x14ac:dyDescent="0.25">
      <c r="A810" s="89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</row>
    <row r="811" spans="1:41" ht="12.75" customHeight="1" x14ac:dyDescent="0.25">
      <c r="C811" s="778" t="s">
        <v>2</v>
      </c>
      <c r="D811" s="775" t="s">
        <v>132</v>
      </c>
      <c r="E811" s="98" t="s">
        <v>70</v>
      </c>
      <c r="F811" s="100">
        <f>F805+F776+F737-L737-L776</f>
        <v>0</v>
      </c>
      <c r="G811" s="100">
        <f>G776+G737</f>
        <v>0</v>
      </c>
      <c r="H811" s="100">
        <f t="shared" ref="H811:AO811" si="34">H776+H737</f>
        <v>0</v>
      </c>
      <c r="I811" s="100">
        <f t="shared" si="34"/>
        <v>0</v>
      </c>
      <c r="J811" s="100">
        <f t="shared" si="34"/>
        <v>0</v>
      </c>
      <c r="K811" s="100">
        <f t="shared" si="34"/>
        <v>0</v>
      </c>
      <c r="L811" s="100">
        <f t="shared" si="34"/>
        <v>0</v>
      </c>
      <c r="M811" s="100">
        <f t="shared" si="34"/>
        <v>0</v>
      </c>
      <c r="N811" s="100">
        <f t="shared" si="34"/>
        <v>0</v>
      </c>
      <c r="O811" s="100">
        <f t="shared" si="34"/>
        <v>0</v>
      </c>
      <c r="P811" s="100">
        <f t="shared" si="34"/>
        <v>0</v>
      </c>
      <c r="Q811" s="100">
        <f t="shared" si="34"/>
        <v>0</v>
      </c>
      <c r="R811" s="100">
        <f t="shared" si="34"/>
        <v>0</v>
      </c>
      <c r="S811" s="100">
        <f t="shared" si="34"/>
        <v>0</v>
      </c>
      <c r="T811" s="100">
        <f t="shared" si="34"/>
        <v>0</v>
      </c>
      <c r="U811" s="100">
        <f t="shared" si="34"/>
        <v>0</v>
      </c>
      <c r="V811" s="100">
        <f t="shared" si="34"/>
        <v>0</v>
      </c>
      <c r="W811" s="100">
        <f t="shared" si="34"/>
        <v>0</v>
      </c>
      <c r="X811" s="100">
        <f t="shared" si="34"/>
        <v>0</v>
      </c>
      <c r="Y811" s="100">
        <f t="shared" si="34"/>
        <v>0</v>
      </c>
      <c r="Z811" s="100">
        <f t="shared" si="34"/>
        <v>0</v>
      </c>
      <c r="AA811" s="100">
        <f t="shared" si="34"/>
        <v>0</v>
      </c>
      <c r="AB811" s="100">
        <f t="shared" si="34"/>
        <v>0</v>
      </c>
      <c r="AC811" s="100">
        <f t="shared" si="34"/>
        <v>0</v>
      </c>
      <c r="AD811" s="100">
        <f t="shared" si="34"/>
        <v>0</v>
      </c>
      <c r="AE811" s="100">
        <f t="shared" si="34"/>
        <v>0</v>
      </c>
      <c r="AF811" s="100">
        <f t="shared" si="34"/>
        <v>0</v>
      </c>
      <c r="AG811" s="100">
        <f t="shared" si="34"/>
        <v>0</v>
      </c>
      <c r="AH811" s="100">
        <f t="shared" si="34"/>
        <v>0</v>
      </c>
      <c r="AI811" s="100">
        <f t="shared" si="34"/>
        <v>0</v>
      </c>
      <c r="AJ811" s="100">
        <f t="shared" si="34"/>
        <v>0</v>
      </c>
      <c r="AK811" s="100">
        <f t="shared" si="34"/>
        <v>0</v>
      </c>
      <c r="AL811" s="100">
        <f t="shared" si="34"/>
        <v>0</v>
      </c>
      <c r="AM811" s="100">
        <f t="shared" si="34"/>
        <v>0</v>
      </c>
      <c r="AN811" s="100">
        <f t="shared" si="34"/>
        <v>0</v>
      </c>
      <c r="AO811" s="100">
        <f t="shared" si="34"/>
        <v>0</v>
      </c>
    </row>
    <row r="812" spans="1:41" ht="12.75" customHeight="1" x14ac:dyDescent="0.25">
      <c r="C812" s="778"/>
      <c r="D812" s="775"/>
      <c r="E812" s="98" t="s">
        <v>73</v>
      </c>
      <c r="F812" s="100">
        <f>F805</f>
        <v>0</v>
      </c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</row>
    <row r="813" spans="1:41" ht="12.75" customHeight="1" x14ac:dyDescent="0.25">
      <c r="C813" s="778"/>
      <c r="D813" s="775" t="s">
        <v>133</v>
      </c>
      <c r="E813" s="233" t="s">
        <v>70</v>
      </c>
      <c r="F813" s="234">
        <f>F791+F757-L757</f>
        <v>0</v>
      </c>
      <c r="G813" s="234">
        <f>G757</f>
        <v>0</v>
      </c>
      <c r="H813" s="234">
        <f t="shared" ref="H813:AO813" si="35">H757</f>
        <v>0</v>
      </c>
      <c r="I813" s="234">
        <f t="shared" si="35"/>
        <v>0</v>
      </c>
      <c r="J813" s="234">
        <f t="shared" si="35"/>
        <v>0</v>
      </c>
      <c r="K813" s="234">
        <f t="shared" si="35"/>
        <v>0</v>
      </c>
      <c r="L813" s="234">
        <f t="shared" si="35"/>
        <v>0</v>
      </c>
      <c r="M813" s="234">
        <f t="shared" si="35"/>
        <v>0</v>
      </c>
      <c r="N813" s="234">
        <f t="shared" si="35"/>
        <v>0</v>
      </c>
      <c r="O813" s="234">
        <f t="shared" si="35"/>
        <v>0</v>
      </c>
      <c r="P813" s="234">
        <f t="shared" si="35"/>
        <v>0</v>
      </c>
      <c r="Q813" s="234">
        <f t="shared" si="35"/>
        <v>0</v>
      </c>
      <c r="R813" s="234">
        <f t="shared" si="35"/>
        <v>0</v>
      </c>
      <c r="S813" s="234">
        <f t="shared" si="35"/>
        <v>0</v>
      </c>
      <c r="T813" s="234">
        <f t="shared" si="35"/>
        <v>0</v>
      </c>
      <c r="U813" s="234">
        <f t="shared" si="35"/>
        <v>0</v>
      </c>
      <c r="V813" s="234">
        <f t="shared" si="35"/>
        <v>0</v>
      </c>
      <c r="W813" s="234">
        <f t="shared" si="35"/>
        <v>0</v>
      </c>
      <c r="X813" s="234">
        <f t="shared" si="35"/>
        <v>0</v>
      </c>
      <c r="Y813" s="234">
        <f t="shared" si="35"/>
        <v>0</v>
      </c>
      <c r="Z813" s="234">
        <f t="shared" si="35"/>
        <v>0</v>
      </c>
      <c r="AA813" s="234">
        <f t="shared" si="35"/>
        <v>0</v>
      </c>
      <c r="AB813" s="234">
        <f t="shared" si="35"/>
        <v>0</v>
      </c>
      <c r="AC813" s="234">
        <f t="shared" si="35"/>
        <v>0</v>
      </c>
      <c r="AD813" s="234">
        <f t="shared" si="35"/>
        <v>0</v>
      </c>
      <c r="AE813" s="234">
        <f t="shared" si="35"/>
        <v>0</v>
      </c>
      <c r="AF813" s="234">
        <f t="shared" si="35"/>
        <v>0</v>
      </c>
      <c r="AG813" s="234">
        <f t="shared" si="35"/>
        <v>0</v>
      </c>
      <c r="AH813" s="234">
        <f t="shared" si="35"/>
        <v>0</v>
      </c>
      <c r="AI813" s="234">
        <f t="shared" si="35"/>
        <v>0</v>
      </c>
      <c r="AJ813" s="234">
        <f t="shared" si="35"/>
        <v>0</v>
      </c>
      <c r="AK813" s="234">
        <f t="shared" si="35"/>
        <v>0</v>
      </c>
      <c r="AL813" s="234">
        <f t="shared" si="35"/>
        <v>0</v>
      </c>
      <c r="AM813" s="234">
        <f t="shared" si="35"/>
        <v>0</v>
      </c>
      <c r="AN813" s="234">
        <f t="shared" si="35"/>
        <v>0</v>
      </c>
      <c r="AO813" s="234">
        <f t="shared" si="35"/>
        <v>0</v>
      </c>
    </row>
    <row r="814" spans="1:41" ht="12.75" customHeight="1" x14ac:dyDescent="0.25">
      <c r="C814" s="778"/>
      <c r="D814" s="775"/>
      <c r="E814" s="233" t="s">
        <v>73</v>
      </c>
      <c r="F814" s="234">
        <f>F791</f>
        <v>0</v>
      </c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</row>
    <row r="815" spans="1:41" ht="12.75" customHeight="1" x14ac:dyDescent="0.25">
      <c r="A815" s="89"/>
      <c r="C815" s="97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</row>
    <row r="816" spans="1:41" ht="12.75" customHeight="1" x14ac:dyDescent="0.25">
      <c r="C816" s="778" t="s">
        <v>160</v>
      </c>
      <c r="D816" s="775" t="s">
        <v>132</v>
      </c>
      <c r="E816" s="223" t="s">
        <v>70</v>
      </c>
      <c r="F816" s="225">
        <v>0</v>
      </c>
      <c r="G816" s="225">
        <v>0</v>
      </c>
      <c r="H816" s="225">
        <v>0</v>
      </c>
      <c r="I816" s="225">
        <v>0</v>
      </c>
      <c r="J816" s="225">
        <v>0</v>
      </c>
      <c r="K816" s="225">
        <v>0</v>
      </c>
      <c r="L816" s="225">
        <v>0</v>
      </c>
      <c r="M816" s="225">
        <v>0</v>
      </c>
      <c r="N816" s="225">
        <v>0</v>
      </c>
      <c r="O816" s="225">
        <v>0</v>
      </c>
      <c r="P816" s="225">
        <v>0</v>
      </c>
      <c r="Q816" s="225">
        <v>0</v>
      </c>
      <c r="R816" s="225">
        <v>0</v>
      </c>
      <c r="S816" s="225">
        <v>0</v>
      </c>
      <c r="T816" s="225">
        <v>0</v>
      </c>
      <c r="U816" s="225"/>
      <c r="V816" s="225"/>
      <c r="W816" s="225"/>
      <c r="X816" s="225">
        <v>0</v>
      </c>
      <c r="Y816" s="225">
        <v>0</v>
      </c>
      <c r="Z816" s="225">
        <v>0</v>
      </c>
      <c r="AA816" s="225">
        <v>0</v>
      </c>
      <c r="AB816" s="225">
        <v>0</v>
      </c>
      <c r="AC816" s="225">
        <v>0</v>
      </c>
      <c r="AD816" s="225">
        <v>0</v>
      </c>
      <c r="AE816" s="225">
        <v>0</v>
      </c>
      <c r="AF816" s="225">
        <v>0</v>
      </c>
      <c r="AG816" s="225">
        <v>0</v>
      </c>
      <c r="AH816" s="225">
        <v>0</v>
      </c>
      <c r="AI816" s="225">
        <v>0</v>
      </c>
      <c r="AJ816" s="225">
        <v>0</v>
      </c>
      <c r="AK816" s="225">
        <v>0</v>
      </c>
      <c r="AL816" s="225">
        <v>0</v>
      </c>
      <c r="AM816" s="225">
        <v>0</v>
      </c>
      <c r="AN816" s="225">
        <v>0</v>
      </c>
      <c r="AO816" s="225">
        <v>0</v>
      </c>
    </row>
    <row r="817" spans="1:41" ht="12.75" customHeight="1" x14ac:dyDescent="0.25">
      <c r="C817" s="778"/>
      <c r="D817" s="775"/>
      <c r="E817" s="223" t="s">
        <v>73</v>
      </c>
      <c r="F817" s="225">
        <v>0</v>
      </c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</row>
    <row r="818" spans="1:41" ht="12.75" customHeight="1" x14ac:dyDescent="0.25">
      <c r="C818" s="778"/>
      <c r="D818" s="775" t="s">
        <v>133</v>
      </c>
      <c r="E818" s="227" t="s">
        <v>70</v>
      </c>
      <c r="F818" s="228">
        <v>0</v>
      </c>
      <c r="G818" s="228">
        <v>0</v>
      </c>
      <c r="H818" s="228">
        <v>0</v>
      </c>
      <c r="I818" s="228">
        <v>0</v>
      </c>
      <c r="J818" s="228">
        <v>0</v>
      </c>
      <c r="K818" s="228">
        <v>0</v>
      </c>
      <c r="L818" s="228">
        <v>0</v>
      </c>
      <c r="M818" s="228">
        <v>0</v>
      </c>
      <c r="N818" s="228">
        <v>0</v>
      </c>
      <c r="O818" s="228">
        <v>0</v>
      </c>
      <c r="P818" s="228">
        <v>0</v>
      </c>
      <c r="Q818" s="228">
        <v>0</v>
      </c>
      <c r="R818" s="228">
        <v>0</v>
      </c>
      <c r="S818" s="228">
        <v>0</v>
      </c>
      <c r="T818" s="228">
        <v>0</v>
      </c>
      <c r="U818" s="228"/>
      <c r="V818" s="228"/>
      <c r="W818" s="228"/>
      <c r="X818" s="228">
        <v>0</v>
      </c>
      <c r="Y818" s="228">
        <v>0</v>
      </c>
      <c r="Z818" s="228">
        <v>0</v>
      </c>
      <c r="AA818" s="228">
        <v>0</v>
      </c>
      <c r="AB818" s="228">
        <v>0</v>
      </c>
      <c r="AC818" s="228">
        <v>0</v>
      </c>
      <c r="AD818" s="228">
        <v>0</v>
      </c>
      <c r="AE818" s="228">
        <v>0</v>
      </c>
      <c r="AF818" s="228">
        <v>0</v>
      </c>
      <c r="AG818" s="228">
        <v>0</v>
      </c>
      <c r="AH818" s="228">
        <v>0</v>
      </c>
      <c r="AI818" s="228">
        <v>0</v>
      </c>
      <c r="AJ818" s="228">
        <v>0</v>
      </c>
      <c r="AK818" s="228">
        <v>0</v>
      </c>
      <c r="AL818" s="228">
        <v>0</v>
      </c>
      <c r="AM818" s="228">
        <v>0</v>
      </c>
      <c r="AN818" s="228">
        <v>0</v>
      </c>
      <c r="AO818" s="228">
        <v>0</v>
      </c>
    </row>
    <row r="819" spans="1:41" ht="12.75" customHeight="1" x14ac:dyDescent="0.25">
      <c r="C819" s="778"/>
      <c r="D819" s="775"/>
      <c r="E819" s="227" t="s">
        <v>73</v>
      </c>
      <c r="F819" s="228">
        <v>0</v>
      </c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</row>
    <row r="820" spans="1:41" ht="12.75" customHeight="1" x14ac:dyDescent="0.25">
      <c r="A820" s="89"/>
      <c r="C820" s="97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</row>
    <row r="821" spans="1:41" ht="12.75" customHeight="1" x14ac:dyDescent="0.25">
      <c r="C821" s="778" t="s">
        <v>155</v>
      </c>
      <c r="D821" s="775" t="s">
        <v>132</v>
      </c>
      <c r="E821" s="221" t="s">
        <v>70</v>
      </c>
      <c r="F821" s="222">
        <f>F794+F761+F729-L729-L761</f>
        <v>0</v>
      </c>
      <c r="G821" s="222">
        <f>G761+G729</f>
        <v>0</v>
      </c>
      <c r="H821" s="222">
        <f t="shared" ref="H821:AO821" si="36">H761+H729</f>
        <v>0</v>
      </c>
      <c r="I821" s="222">
        <f t="shared" si="36"/>
        <v>0</v>
      </c>
      <c r="J821" s="222">
        <f t="shared" si="36"/>
        <v>0</v>
      </c>
      <c r="K821" s="222">
        <f t="shared" si="36"/>
        <v>0</v>
      </c>
      <c r="L821" s="222">
        <f t="shared" si="36"/>
        <v>0</v>
      </c>
      <c r="M821" s="222">
        <f t="shared" si="36"/>
        <v>0</v>
      </c>
      <c r="N821" s="222">
        <f t="shared" si="36"/>
        <v>0</v>
      </c>
      <c r="O821" s="222">
        <f t="shared" si="36"/>
        <v>0</v>
      </c>
      <c r="P821" s="222">
        <f t="shared" si="36"/>
        <v>0</v>
      </c>
      <c r="Q821" s="222">
        <f t="shared" si="36"/>
        <v>0</v>
      </c>
      <c r="R821" s="222">
        <f t="shared" si="36"/>
        <v>0</v>
      </c>
      <c r="S821" s="222">
        <f t="shared" si="36"/>
        <v>0</v>
      </c>
      <c r="T821" s="222">
        <f t="shared" si="36"/>
        <v>0</v>
      </c>
      <c r="U821" s="222">
        <f t="shared" si="36"/>
        <v>0</v>
      </c>
      <c r="V821" s="222">
        <f t="shared" si="36"/>
        <v>0</v>
      </c>
      <c r="W821" s="222">
        <f t="shared" si="36"/>
        <v>0</v>
      </c>
      <c r="X821" s="222">
        <f t="shared" si="36"/>
        <v>0</v>
      </c>
      <c r="Y821" s="222">
        <f t="shared" si="36"/>
        <v>0</v>
      </c>
      <c r="Z821" s="222">
        <f t="shared" si="36"/>
        <v>0</v>
      </c>
      <c r="AA821" s="222">
        <f t="shared" si="36"/>
        <v>0</v>
      </c>
      <c r="AB821" s="222">
        <f t="shared" si="36"/>
        <v>0</v>
      </c>
      <c r="AC821" s="222">
        <f t="shared" si="36"/>
        <v>0</v>
      </c>
      <c r="AD821" s="222">
        <f t="shared" si="36"/>
        <v>0</v>
      </c>
      <c r="AE821" s="222">
        <f t="shared" si="36"/>
        <v>0</v>
      </c>
      <c r="AF821" s="222">
        <f t="shared" si="36"/>
        <v>0</v>
      </c>
      <c r="AG821" s="222">
        <f t="shared" si="36"/>
        <v>0</v>
      </c>
      <c r="AH821" s="222">
        <f t="shared" si="36"/>
        <v>0</v>
      </c>
      <c r="AI821" s="222">
        <f t="shared" si="36"/>
        <v>0</v>
      </c>
      <c r="AJ821" s="222">
        <f t="shared" si="36"/>
        <v>0</v>
      </c>
      <c r="AK821" s="222">
        <f t="shared" si="36"/>
        <v>0</v>
      </c>
      <c r="AL821" s="222">
        <f t="shared" si="36"/>
        <v>0</v>
      </c>
      <c r="AM821" s="222">
        <f t="shared" si="36"/>
        <v>0</v>
      </c>
      <c r="AN821" s="222">
        <f t="shared" si="36"/>
        <v>0</v>
      </c>
      <c r="AO821" s="222">
        <f t="shared" si="36"/>
        <v>0</v>
      </c>
    </row>
    <row r="822" spans="1:41" ht="12.75" customHeight="1" x14ac:dyDescent="0.25">
      <c r="C822" s="778"/>
      <c r="D822" s="775"/>
      <c r="E822" s="221" t="s">
        <v>73</v>
      </c>
      <c r="F822" s="222">
        <f>F794</f>
        <v>0</v>
      </c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</row>
    <row r="823" spans="1:41" ht="12.75" customHeight="1" x14ac:dyDescent="0.25">
      <c r="C823" s="778"/>
      <c r="D823" s="775" t="s">
        <v>133</v>
      </c>
      <c r="E823" s="242" t="s">
        <v>70</v>
      </c>
      <c r="F823" s="243">
        <f>F780+F742-L742</f>
        <v>0</v>
      </c>
      <c r="G823" s="243">
        <f>G742</f>
        <v>0</v>
      </c>
      <c r="H823" s="243">
        <f t="shared" ref="H823:AO823" si="37">H742</f>
        <v>0</v>
      </c>
      <c r="I823" s="243">
        <f t="shared" si="37"/>
        <v>0</v>
      </c>
      <c r="J823" s="243">
        <f t="shared" si="37"/>
        <v>0</v>
      </c>
      <c r="K823" s="243">
        <f t="shared" si="37"/>
        <v>0</v>
      </c>
      <c r="L823" s="243">
        <f t="shared" si="37"/>
        <v>0</v>
      </c>
      <c r="M823" s="243">
        <f t="shared" si="37"/>
        <v>0</v>
      </c>
      <c r="N823" s="243">
        <f t="shared" si="37"/>
        <v>0</v>
      </c>
      <c r="O823" s="243">
        <f t="shared" si="37"/>
        <v>0</v>
      </c>
      <c r="P823" s="243">
        <f t="shared" si="37"/>
        <v>0</v>
      </c>
      <c r="Q823" s="243">
        <f t="shared" si="37"/>
        <v>0</v>
      </c>
      <c r="R823" s="243">
        <f t="shared" si="37"/>
        <v>0</v>
      </c>
      <c r="S823" s="243">
        <f t="shared" si="37"/>
        <v>0</v>
      </c>
      <c r="T823" s="243">
        <f t="shared" si="37"/>
        <v>0</v>
      </c>
      <c r="U823" s="243">
        <f t="shared" si="37"/>
        <v>0</v>
      </c>
      <c r="V823" s="243">
        <f t="shared" si="37"/>
        <v>0</v>
      </c>
      <c r="W823" s="243">
        <f t="shared" si="37"/>
        <v>0</v>
      </c>
      <c r="X823" s="243">
        <f t="shared" si="37"/>
        <v>0</v>
      </c>
      <c r="Y823" s="243">
        <f t="shared" si="37"/>
        <v>0</v>
      </c>
      <c r="Z823" s="243">
        <f t="shared" si="37"/>
        <v>0</v>
      </c>
      <c r="AA823" s="243">
        <f t="shared" si="37"/>
        <v>0</v>
      </c>
      <c r="AB823" s="243">
        <f t="shared" si="37"/>
        <v>0</v>
      </c>
      <c r="AC823" s="243">
        <f t="shared" si="37"/>
        <v>0</v>
      </c>
      <c r="AD823" s="243">
        <f t="shared" si="37"/>
        <v>0</v>
      </c>
      <c r="AE823" s="243">
        <f t="shared" si="37"/>
        <v>0</v>
      </c>
      <c r="AF823" s="243">
        <f t="shared" si="37"/>
        <v>0</v>
      </c>
      <c r="AG823" s="243">
        <f t="shared" si="37"/>
        <v>0</v>
      </c>
      <c r="AH823" s="243">
        <f t="shared" si="37"/>
        <v>0</v>
      </c>
      <c r="AI823" s="243">
        <f t="shared" si="37"/>
        <v>0</v>
      </c>
      <c r="AJ823" s="243">
        <f t="shared" si="37"/>
        <v>0</v>
      </c>
      <c r="AK823" s="243">
        <f t="shared" si="37"/>
        <v>0</v>
      </c>
      <c r="AL823" s="243">
        <f t="shared" si="37"/>
        <v>0</v>
      </c>
      <c r="AM823" s="243">
        <f t="shared" si="37"/>
        <v>0</v>
      </c>
      <c r="AN823" s="243">
        <f t="shared" si="37"/>
        <v>0</v>
      </c>
      <c r="AO823" s="243">
        <f t="shared" si="37"/>
        <v>0</v>
      </c>
    </row>
    <row r="824" spans="1:41" ht="12.75" customHeight="1" x14ac:dyDescent="0.25">
      <c r="C824" s="778"/>
      <c r="D824" s="775"/>
      <c r="E824" s="242" t="s">
        <v>73</v>
      </c>
      <c r="F824" s="243">
        <f>F780</f>
        <v>0</v>
      </c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</row>
    <row r="825" spans="1:41" ht="12.75" customHeight="1" x14ac:dyDescent="0.25">
      <c r="A825" s="89"/>
      <c r="C825" s="97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</row>
    <row r="826" spans="1:41" ht="12.75" customHeight="1" x14ac:dyDescent="0.25">
      <c r="C826" s="776" t="s">
        <v>326</v>
      </c>
      <c r="D826" s="775" t="s">
        <v>132</v>
      </c>
      <c r="E826" s="373" t="s">
        <v>70</v>
      </c>
      <c r="F826" s="374">
        <f>F797+F765-L765</f>
        <v>0</v>
      </c>
      <c r="G826" s="374">
        <f>G765</f>
        <v>0</v>
      </c>
      <c r="H826" s="374">
        <f t="shared" ref="H826:AO826" si="38">H765</f>
        <v>0</v>
      </c>
      <c r="I826" s="374">
        <f t="shared" si="38"/>
        <v>0</v>
      </c>
      <c r="J826" s="374">
        <f t="shared" si="38"/>
        <v>0</v>
      </c>
      <c r="K826" s="374">
        <f t="shared" si="38"/>
        <v>0</v>
      </c>
      <c r="L826" s="374">
        <f>L765</f>
        <v>0</v>
      </c>
      <c r="M826" s="374">
        <f t="shared" si="38"/>
        <v>0</v>
      </c>
      <c r="N826" s="374">
        <f t="shared" si="38"/>
        <v>0</v>
      </c>
      <c r="O826" s="374">
        <f t="shared" si="38"/>
        <v>0</v>
      </c>
      <c r="P826" s="374">
        <f t="shared" si="38"/>
        <v>0</v>
      </c>
      <c r="Q826" s="374">
        <f t="shared" si="38"/>
        <v>0</v>
      </c>
      <c r="R826" s="374">
        <f t="shared" si="38"/>
        <v>0</v>
      </c>
      <c r="S826" s="374">
        <f t="shared" si="38"/>
        <v>0</v>
      </c>
      <c r="T826" s="374">
        <f t="shared" si="38"/>
        <v>0</v>
      </c>
      <c r="U826" s="374">
        <f t="shared" si="38"/>
        <v>0</v>
      </c>
      <c r="V826" s="374">
        <f t="shared" si="38"/>
        <v>0</v>
      </c>
      <c r="W826" s="374">
        <f t="shared" si="38"/>
        <v>0</v>
      </c>
      <c r="X826" s="374">
        <f t="shared" si="38"/>
        <v>0</v>
      </c>
      <c r="Y826" s="374">
        <f t="shared" si="38"/>
        <v>0</v>
      </c>
      <c r="Z826" s="374">
        <f t="shared" si="38"/>
        <v>0</v>
      </c>
      <c r="AA826" s="374">
        <f t="shared" si="38"/>
        <v>0</v>
      </c>
      <c r="AB826" s="374">
        <f t="shared" si="38"/>
        <v>0</v>
      </c>
      <c r="AC826" s="374">
        <f t="shared" si="38"/>
        <v>0</v>
      </c>
      <c r="AD826" s="374">
        <f t="shared" si="38"/>
        <v>0</v>
      </c>
      <c r="AE826" s="374">
        <f t="shared" si="38"/>
        <v>0</v>
      </c>
      <c r="AF826" s="374">
        <f t="shared" si="38"/>
        <v>0</v>
      </c>
      <c r="AG826" s="374">
        <f t="shared" si="38"/>
        <v>0</v>
      </c>
      <c r="AH826" s="374">
        <f t="shared" si="38"/>
        <v>0</v>
      </c>
      <c r="AI826" s="374">
        <f t="shared" si="38"/>
        <v>0</v>
      </c>
      <c r="AJ826" s="374">
        <f t="shared" si="38"/>
        <v>0</v>
      </c>
      <c r="AK826" s="374">
        <f t="shared" si="38"/>
        <v>0</v>
      </c>
      <c r="AL826" s="374">
        <f t="shared" si="38"/>
        <v>0</v>
      </c>
      <c r="AM826" s="374">
        <f t="shared" si="38"/>
        <v>0</v>
      </c>
      <c r="AN826" s="374">
        <f t="shared" si="38"/>
        <v>0</v>
      </c>
      <c r="AO826" s="374">
        <f t="shared" si="38"/>
        <v>0</v>
      </c>
    </row>
    <row r="827" spans="1:41" ht="12.75" customHeight="1" x14ac:dyDescent="0.25">
      <c r="C827" s="776"/>
      <c r="D827" s="775"/>
      <c r="E827" s="373" t="s">
        <v>73</v>
      </c>
      <c r="F827" s="374">
        <f>F797</f>
        <v>0</v>
      </c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</row>
    <row r="828" spans="1:41" ht="12.75" customHeight="1" x14ac:dyDescent="0.25">
      <c r="C828" s="776"/>
      <c r="D828" s="775" t="s">
        <v>133</v>
      </c>
      <c r="E828" s="242" t="s">
        <v>70</v>
      </c>
      <c r="F828" s="243">
        <f>F783+F746-L746</f>
        <v>0</v>
      </c>
      <c r="G828" s="243">
        <f>G746</f>
        <v>0</v>
      </c>
      <c r="H828" s="243">
        <f t="shared" ref="H828:AO828" si="39">H746</f>
        <v>0</v>
      </c>
      <c r="I828" s="243">
        <f t="shared" si="39"/>
        <v>0</v>
      </c>
      <c r="J828" s="243">
        <f t="shared" si="39"/>
        <v>0</v>
      </c>
      <c r="K828" s="243">
        <f t="shared" si="39"/>
        <v>0</v>
      </c>
      <c r="L828" s="243">
        <f t="shared" si="39"/>
        <v>0</v>
      </c>
      <c r="M828" s="243">
        <f t="shared" si="39"/>
        <v>0</v>
      </c>
      <c r="N828" s="243">
        <f t="shared" si="39"/>
        <v>0</v>
      </c>
      <c r="O828" s="243">
        <f t="shared" si="39"/>
        <v>0</v>
      </c>
      <c r="P828" s="243">
        <f t="shared" si="39"/>
        <v>0</v>
      </c>
      <c r="Q828" s="243">
        <f t="shared" si="39"/>
        <v>0</v>
      </c>
      <c r="R828" s="243">
        <f t="shared" si="39"/>
        <v>0</v>
      </c>
      <c r="S828" s="243">
        <f t="shared" si="39"/>
        <v>0</v>
      </c>
      <c r="T828" s="243">
        <f t="shared" si="39"/>
        <v>0</v>
      </c>
      <c r="U828" s="243">
        <f t="shared" si="39"/>
        <v>0</v>
      </c>
      <c r="V828" s="243">
        <f t="shared" si="39"/>
        <v>0</v>
      </c>
      <c r="W828" s="243">
        <f t="shared" si="39"/>
        <v>0</v>
      </c>
      <c r="X828" s="243">
        <f t="shared" si="39"/>
        <v>0</v>
      </c>
      <c r="Y828" s="243">
        <f t="shared" si="39"/>
        <v>0</v>
      </c>
      <c r="Z828" s="243">
        <f t="shared" si="39"/>
        <v>0</v>
      </c>
      <c r="AA828" s="243">
        <f t="shared" si="39"/>
        <v>0</v>
      </c>
      <c r="AB828" s="243">
        <f t="shared" si="39"/>
        <v>0</v>
      </c>
      <c r="AC828" s="243">
        <f t="shared" si="39"/>
        <v>0</v>
      </c>
      <c r="AD828" s="243">
        <f t="shared" si="39"/>
        <v>0</v>
      </c>
      <c r="AE828" s="243">
        <f t="shared" si="39"/>
        <v>0</v>
      </c>
      <c r="AF828" s="243">
        <f t="shared" si="39"/>
        <v>0</v>
      </c>
      <c r="AG828" s="243">
        <f t="shared" si="39"/>
        <v>0</v>
      </c>
      <c r="AH828" s="243">
        <f t="shared" si="39"/>
        <v>0</v>
      </c>
      <c r="AI828" s="243">
        <f t="shared" si="39"/>
        <v>0</v>
      </c>
      <c r="AJ828" s="243">
        <f t="shared" si="39"/>
        <v>0</v>
      </c>
      <c r="AK828" s="243">
        <f t="shared" si="39"/>
        <v>0</v>
      </c>
      <c r="AL828" s="243">
        <f t="shared" si="39"/>
        <v>0</v>
      </c>
      <c r="AM828" s="243">
        <f t="shared" si="39"/>
        <v>0</v>
      </c>
      <c r="AN828" s="243">
        <f t="shared" si="39"/>
        <v>0</v>
      </c>
      <c r="AO828" s="243">
        <f t="shared" si="39"/>
        <v>0</v>
      </c>
    </row>
    <row r="829" spans="1:41" ht="12.75" customHeight="1" x14ac:dyDescent="0.25">
      <c r="C829" s="776"/>
      <c r="D829" s="775"/>
      <c r="E829" s="242" t="s">
        <v>73</v>
      </c>
      <c r="F829" s="243">
        <f>F783</f>
        <v>0</v>
      </c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</row>
    <row r="830" spans="1:41" ht="12.75" customHeight="1" x14ac:dyDescent="0.25">
      <c r="C830" s="719"/>
      <c r="D830" s="220"/>
      <c r="E830" s="89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</row>
    <row r="831" spans="1:41" ht="12.75" customHeight="1" x14ac:dyDescent="0.25">
      <c r="C831" s="778" t="s">
        <v>119</v>
      </c>
      <c r="D831" s="775" t="s">
        <v>132</v>
      </c>
      <c r="E831" s="101" t="s">
        <v>70</v>
      </c>
      <c r="F831" s="93">
        <f>F775+F804+F736-L736-L775</f>
        <v>0</v>
      </c>
      <c r="G831" s="93">
        <f>G775+G736</f>
        <v>0</v>
      </c>
      <c r="H831" s="93">
        <f t="shared" ref="H831:AO831" si="40">H775+H736</f>
        <v>0</v>
      </c>
      <c r="I831" s="93">
        <f t="shared" si="40"/>
        <v>0</v>
      </c>
      <c r="J831" s="93">
        <f t="shared" si="40"/>
        <v>0</v>
      </c>
      <c r="K831" s="93">
        <f t="shared" si="40"/>
        <v>0</v>
      </c>
      <c r="L831" s="93">
        <f t="shared" si="40"/>
        <v>0</v>
      </c>
      <c r="M831" s="93">
        <f t="shared" si="40"/>
        <v>0</v>
      </c>
      <c r="N831" s="93">
        <f t="shared" si="40"/>
        <v>0</v>
      </c>
      <c r="O831" s="93">
        <f t="shared" si="40"/>
        <v>0</v>
      </c>
      <c r="P831" s="93">
        <f t="shared" si="40"/>
        <v>0</v>
      </c>
      <c r="Q831" s="93">
        <f t="shared" si="40"/>
        <v>0</v>
      </c>
      <c r="R831" s="93">
        <f t="shared" si="40"/>
        <v>0</v>
      </c>
      <c r="S831" s="93">
        <f t="shared" si="40"/>
        <v>0</v>
      </c>
      <c r="T831" s="93">
        <f t="shared" si="40"/>
        <v>0</v>
      </c>
      <c r="U831" s="93">
        <f t="shared" si="40"/>
        <v>0</v>
      </c>
      <c r="V831" s="93">
        <f t="shared" si="40"/>
        <v>0</v>
      </c>
      <c r="W831" s="93">
        <f t="shared" si="40"/>
        <v>0</v>
      </c>
      <c r="X831" s="93">
        <f t="shared" si="40"/>
        <v>0</v>
      </c>
      <c r="Y831" s="93">
        <f t="shared" si="40"/>
        <v>0</v>
      </c>
      <c r="Z831" s="93">
        <f t="shared" si="40"/>
        <v>0</v>
      </c>
      <c r="AA831" s="93">
        <f t="shared" si="40"/>
        <v>0</v>
      </c>
      <c r="AB831" s="93">
        <f t="shared" si="40"/>
        <v>0</v>
      </c>
      <c r="AC831" s="93">
        <f t="shared" si="40"/>
        <v>0</v>
      </c>
      <c r="AD831" s="93">
        <f t="shared" si="40"/>
        <v>0</v>
      </c>
      <c r="AE831" s="93">
        <f t="shared" si="40"/>
        <v>0</v>
      </c>
      <c r="AF831" s="93">
        <f t="shared" si="40"/>
        <v>0</v>
      </c>
      <c r="AG831" s="93">
        <f t="shared" si="40"/>
        <v>0</v>
      </c>
      <c r="AH831" s="93">
        <f t="shared" si="40"/>
        <v>0</v>
      </c>
      <c r="AI831" s="93">
        <f t="shared" si="40"/>
        <v>0</v>
      </c>
      <c r="AJ831" s="93">
        <f t="shared" si="40"/>
        <v>0</v>
      </c>
      <c r="AK831" s="93">
        <f t="shared" si="40"/>
        <v>0</v>
      </c>
      <c r="AL831" s="93">
        <f t="shared" si="40"/>
        <v>0</v>
      </c>
      <c r="AM831" s="93">
        <f t="shared" si="40"/>
        <v>0</v>
      </c>
      <c r="AN831" s="93">
        <f t="shared" si="40"/>
        <v>0</v>
      </c>
      <c r="AO831" s="93">
        <f t="shared" si="40"/>
        <v>0</v>
      </c>
    </row>
    <row r="832" spans="1:41" ht="12.75" customHeight="1" x14ac:dyDescent="0.25">
      <c r="C832" s="778"/>
      <c r="D832" s="775"/>
      <c r="E832" s="101" t="s">
        <v>73</v>
      </c>
      <c r="F832" s="93">
        <f>F804</f>
        <v>0</v>
      </c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</row>
    <row r="833" spans="1:41" ht="12.75" customHeight="1" x14ac:dyDescent="0.25">
      <c r="C833" s="778"/>
      <c r="D833" s="775" t="s">
        <v>133</v>
      </c>
      <c r="E833" s="235" t="s">
        <v>70</v>
      </c>
      <c r="F833" s="236">
        <f>F790+F756-L756</f>
        <v>0</v>
      </c>
      <c r="G833" s="236">
        <f>G756</f>
        <v>0</v>
      </c>
      <c r="H833" s="236">
        <f t="shared" ref="H833:AO833" si="41">H756</f>
        <v>0</v>
      </c>
      <c r="I833" s="236">
        <f t="shared" si="41"/>
        <v>0</v>
      </c>
      <c r="J833" s="236">
        <f t="shared" si="41"/>
        <v>0</v>
      </c>
      <c r="K833" s="236">
        <f t="shared" si="41"/>
        <v>0</v>
      </c>
      <c r="L833" s="236">
        <f t="shared" si="41"/>
        <v>0</v>
      </c>
      <c r="M833" s="236">
        <f t="shared" si="41"/>
        <v>0</v>
      </c>
      <c r="N833" s="236">
        <f t="shared" si="41"/>
        <v>0</v>
      </c>
      <c r="O833" s="236">
        <f t="shared" si="41"/>
        <v>0</v>
      </c>
      <c r="P833" s="236">
        <f t="shared" si="41"/>
        <v>0</v>
      </c>
      <c r="Q833" s="236">
        <f t="shared" si="41"/>
        <v>0</v>
      </c>
      <c r="R833" s="236">
        <f t="shared" si="41"/>
        <v>0</v>
      </c>
      <c r="S833" s="236">
        <f t="shared" si="41"/>
        <v>0</v>
      </c>
      <c r="T833" s="236">
        <f t="shared" si="41"/>
        <v>0</v>
      </c>
      <c r="U833" s="236">
        <f t="shared" si="41"/>
        <v>0</v>
      </c>
      <c r="V833" s="236">
        <f t="shared" si="41"/>
        <v>0</v>
      </c>
      <c r="W833" s="236">
        <f t="shared" si="41"/>
        <v>0</v>
      </c>
      <c r="X833" s="236">
        <f t="shared" si="41"/>
        <v>0</v>
      </c>
      <c r="Y833" s="236">
        <f t="shared" si="41"/>
        <v>0</v>
      </c>
      <c r="Z833" s="236">
        <f t="shared" si="41"/>
        <v>0</v>
      </c>
      <c r="AA833" s="236">
        <f t="shared" si="41"/>
        <v>0</v>
      </c>
      <c r="AB833" s="236">
        <f t="shared" si="41"/>
        <v>0</v>
      </c>
      <c r="AC833" s="236">
        <f t="shared" si="41"/>
        <v>0</v>
      </c>
      <c r="AD833" s="236">
        <f t="shared" si="41"/>
        <v>0</v>
      </c>
      <c r="AE833" s="236">
        <f t="shared" si="41"/>
        <v>0</v>
      </c>
      <c r="AF833" s="236">
        <f t="shared" si="41"/>
        <v>0</v>
      </c>
      <c r="AG833" s="236">
        <f t="shared" si="41"/>
        <v>0</v>
      </c>
      <c r="AH833" s="236">
        <f t="shared" si="41"/>
        <v>0</v>
      </c>
      <c r="AI833" s="236">
        <f t="shared" si="41"/>
        <v>0</v>
      </c>
      <c r="AJ833" s="236">
        <f t="shared" si="41"/>
        <v>0</v>
      </c>
      <c r="AK833" s="236">
        <f t="shared" si="41"/>
        <v>0</v>
      </c>
      <c r="AL833" s="236">
        <f t="shared" si="41"/>
        <v>0</v>
      </c>
      <c r="AM833" s="236">
        <f t="shared" si="41"/>
        <v>0</v>
      </c>
      <c r="AN833" s="236">
        <f t="shared" si="41"/>
        <v>0</v>
      </c>
      <c r="AO833" s="236">
        <f t="shared" si="41"/>
        <v>0</v>
      </c>
    </row>
    <row r="834" spans="1:41" ht="12.75" customHeight="1" x14ac:dyDescent="0.25">
      <c r="C834" s="778"/>
      <c r="D834" s="775"/>
      <c r="E834" s="235" t="s">
        <v>73</v>
      </c>
      <c r="F834" s="236">
        <f>F790</f>
        <v>0</v>
      </c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</row>
    <row r="835" spans="1:41" ht="12.75" customHeight="1" x14ac:dyDescent="0.25">
      <c r="A835" s="89"/>
      <c r="C835" s="97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</row>
    <row r="836" spans="1:41" ht="12.75" customHeight="1" x14ac:dyDescent="0.25">
      <c r="C836" s="777" t="s">
        <v>161</v>
      </c>
      <c r="D836" s="775" t="s">
        <v>132</v>
      </c>
      <c r="E836" s="231" t="s">
        <v>70</v>
      </c>
      <c r="F836" s="232">
        <v>0</v>
      </c>
      <c r="G836" s="232">
        <v>0</v>
      </c>
      <c r="H836" s="232">
        <v>0</v>
      </c>
      <c r="I836" s="232">
        <v>0</v>
      </c>
      <c r="J836" s="232">
        <v>0</v>
      </c>
      <c r="K836" s="232">
        <v>0</v>
      </c>
      <c r="L836" s="232">
        <v>0</v>
      </c>
      <c r="M836" s="232">
        <v>0</v>
      </c>
      <c r="N836" s="232">
        <v>0</v>
      </c>
      <c r="O836" s="232">
        <v>0</v>
      </c>
      <c r="P836" s="232">
        <v>0</v>
      </c>
      <c r="Q836" s="232">
        <v>0</v>
      </c>
      <c r="R836" s="232">
        <v>0</v>
      </c>
      <c r="S836" s="232">
        <v>0</v>
      </c>
      <c r="T836" s="232">
        <v>0</v>
      </c>
      <c r="U836" s="232"/>
      <c r="V836" s="232"/>
      <c r="W836" s="232"/>
      <c r="X836" s="232">
        <v>0</v>
      </c>
      <c r="Y836" s="232">
        <v>0</v>
      </c>
      <c r="Z836" s="232">
        <v>0</v>
      </c>
      <c r="AA836" s="232">
        <v>0</v>
      </c>
      <c r="AB836" s="232">
        <v>0</v>
      </c>
      <c r="AC836" s="232">
        <v>0</v>
      </c>
      <c r="AD836" s="232">
        <v>0</v>
      </c>
      <c r="AE836" s="232">
        <v>0</v>
      </c>
      <c r="AF836" s="232">
        <v>0</v>
      </c>
      <c r="AG836" s="232">
        <v>0</v>
      </c>
      <c r="AH836" s="232">
        <v>0</v>
      </c>
      <c r="AI836" s="232">
        <v>0</v>
      </c>
      <c r="AJ836" s="232">
        <v>0</v>
      </c>
      <c r="AK836" s="232">
        <v>0</v>
      </c>
      <c r="AL836" s="232">
        <v>0</v>
      </c>
      <c r="AM836" s="232">
        <v>0</v>
      </c>
      <c r="AN836" s="232">
        <v>0</v>
      </c>
      <c r="AO836" s="232">
        <v>0</v>
      </c>
    </row>
    <row r="837" spans="1:41" ht="12.75" customHeight="1" x14ac:dyDescent="0.25">
      <c r="C837" s="777"/>
      <c r="D837" s="775"/>
      <c r="E837" s="231" t="s">
        <v>73</v>
      </c>
      <c r="F837" s="232">
        <v>0</v>
      </c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</row>
    <row r="838" spans="1:41" ht="12.75" customHeight="1" x14ac:dyDescent="0.25">
      <c r="C838" s="777"/>
      <c r="E838" s="148" t="s">
        <v>70</v>
      </c>
      <c r="F838" s="149">
        <v>0</v>
      </c>
      <c r="G838" s="149">
        <v>0</v>
      </c>
      <c r="H838" s="149">
        <v>0</v>
      </c>
      <c r="I838" s="149">
        <v>0</v>
      </c>
      <c r="J838" s="149">
        <v>0</v>
      </c>
      <c r="K838" s="149">
        <v>0</v>
      </c>
      <c r="L838" s="149">
        <v>0</v>
      </c>
      <c r="M838" s="149">
        <v>0</v>
      </c>
      <c r="N838" s="149">
        <v>0</v>
      </c>
      <c r="O838" s="149">
        <v>0</v>
      </c>
      <c r="P838" s="149">
        <v>0</v>
      </c>
      <c r="Q838" s="149">
        <v>0</v>
      </c>
      <c r="R838" s="149">
        <v>0</v>
      </c>
      <c r="S838" s="149">
        <v>0</v>
      </c>
      <c r="T838" s="149">
        <v>0</v>
      </c>
      <c r="U838" s="149"/>
      <c r="V838" s="149"/>
      <c r="W838" s="149"/>
      <c r="X838" s="149">
        <v>0</v>
      </c>
      <c r="Y838" s="149">
        <v>0</v>
      </c>
      <c r="Z838" s="149">
        <v>0</v>
      </c>
      <c r="AA838" s="149">
        <v>0</v>
      </c>
    </row>
    <row r="839" spans="1:41" ht="12.75" customHeight="1" x14ac:dyDescent="0.25">
      <c r="C839" s="777"/>
      <c r="D839" s="220" t="s">
        <v>132</v>
      </c>
      <c r="E839" s="148" t="s">
        <v>73</v>
      </c>
      <c r="F839" s="149">
        <v>0</v>
      </c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</row>
    <row r="840" spans="1:41" ht="12.75" customHeight="1" x14ac:dyDescent="0.25">
      <c r="C840" s="388"/>
      <c r="D840" s="220"/>
      <c r="E840" s="89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</row>
    <row r="841" spans="1:41" ht="12.75" customHeight="1" x14ac:dyDescent="0.25">
      <c r="D841" s="458" t="s">
        <v>186</v>
      </c>
      <c r="E841" s="459" t="s">
        <v>70</v>
      </c>
      <c r="F841" s="460">
        <f>F738</f>
        <v>0</v>
      </c>
      <c r="G841" s="460">
        <f t="shared" ref="G841:AA841" si="42">G738</f>
        <v>0</v>
      </c>
      <c r="H841" s="460">
        <f t="shared" si="42"/>
        <v>0</v>
      </c>
      <c r="I841" s="460">
        <f t="shared" si="42"/>
        <v>0</v>
      </c>
      <c r="J841" s="460">
        <f t="shared" si="42"/>
        <v>0</v>
      </c>
      <c r="K841" s="460">
        <f t="shared" si="42"/>
        <v>0</v>
      </c>
      <c r="L841" s="460">
        <f t="shared" si="42"/>
        <v>0</v>
      </c>
      <c r="M841" s="460">
        <f t="shared" si="42"/>
        <v>0</v>
      </c>
      <c r="N841" s="460">
        <f t="shared" si="42"/>
        <v>0</v>
      </c>
      <c r="O841" s="460">
        <f t="shared" si="42"/>
        <v>0</v>
      </c>
      <c r="P841" s="460">
        <f t="shared" si="42"/>
        <v>0</v>
      </c>
      <c r="Q841" s="460">
        <f t="shared" si="42"/>
        <v>0</v>
      </c>
      <c r="R841" s="460">
        <f t="shared" si="42"/>
        <v>0</v>
      </c>
      <c r="S841" s="460">
        <f t="shared" si="42"/>
        <v>0</v>
      </c>
      <c r="T841" s="460">
        <f t="shared" si="42"/>
        <v>0</v>
      </c>
      <c r="U841" s="460">
        <f t="shared" si="42"/>
        <v>0</v>
      </c>
      <c r="V841" s="460">
        <f t="shared" si="42"/>
        <v>0</v>
      </c>
      <c r="W841" s="460">
        <f t="shared" si="42"/>
        <v>0</v>
      </c>
      <c r="X841" s="460">
        <f t="shared" si="42"/>
        <v>0</v>
      </c>
      <c r="Y841" s="460">
        <f t="shared" si="42"/>
        <v>0</v>
      </c>
      <c r="Z841" s="460">
        <f t="shared" si="42"/>
        <v>0</v>
      </c>
      <c r="AA841" s="460">
        <f t="shared" si="42"/>
        <v>0</v>
      </c>
    </row>
    <row r="842" spans="1:41" ht="12.75" customHeight="1" x14ac:dyDescent="0.25">
      <c r="C842" s="388"/>
      <c r="D842" s="220"/>
      <c r="E842" s="89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</row>
    <row r="843" spans="1:41" s="238" customFormat="1" ht="12.75" customHeight="1" x14ac:dyDescent="0.25">
      <c r="D843" s="239"/>
      <c r="E843" s="240"/>
      <c r="F843" s="240"/>
      <c r="G843" s="240"/>
      <c r="H843" s="240"/>
      <c r="I843" s="240"/>
      <c r="J843" s="240"/>
      <c r="K843" s="240"/>
      <c r="L843" s="240"/>
      <c r="M843" s="240"/>
      <c r="N843" s="240"/>
      <c r="O843" s="240"/>
      <c r="P843" s="240"/>
      <c r="Q843" s="240"/>
    </row>
  </sheetData>
  <mergeCells count="87">
    <mergeCell ref="D828:D829"/>
    <mergeCell ref="C717:C720"/>
    <mergeCell ref="C697:C700"/>
    <mergeCell ref="D697:D698"/>
    <mergeCell ref="D699:D700"/>
    <mergeCell ref="C702:C705"/>
    <mergeCell ref="D702:D703"/>
    <mergeCell ref="D704:D705"/>
    <mergeCell ref="C712:C715"/>
    <mergeCell ref="D712:D713"/>
    <mergeCell ref="D714:D715"/>
    <mergeCell ref="D717:D718"/>
    <mergeCell ref="C707:C710"/>
    <mergeCell ref="D707:D708"/>
    <mergeCell ref="D709:D710"/>
    <mergeCell ref="C692:C695"/>
    <mergeCell ref="D692:D693"/>
    <mergeCell ref="D694:D695"/>
    <mergeCell ref="C489:C492"/>
    <mergeCell ref="D489:D490"/>
    <mergeCell ref="D491:D492"/>
    <mergeCell ref="C494:C497"/>
    <mergeCell ref="D494:D495"/>
    <mergeCell ref="D496:D497"/>
    <mergeCell ref="C504:C507"/>
    <mergeCell ref="D504:D505"/>
    <mergeCell ref="D506:D507"/>
    <mergeCell ref="C509:C512"/>
    <mergeCell ref="D509:D510"/>
    <mergeCell ref="D511:D512"/>
    <mergeCell ref="C499:C502"/>
    <mergeCell ref="D111:D112"/>
    <mergeCell ref="C94:C97"/>
    <mergeCell ref="C99:C102"/>
    <mergeCell ref="D330:D331"/>
    <mergeCell ref="C89:C92"/>
    <mergeCell ref="D89:D90"/>
    <mergeCell ref="D91:D92"/>
    <mergeCell ref="C109:C112"/>
    <mergeCell ref="D94:D95"/>
    <mergeCell ref="D96:D97"/>
    <mergeCell ref="D99:D100"/>
    <mergeCell ref="D101:D102"/>
    <mergeCell ref="D109:D110"/>
    <mergeCell ref="C104:C107"/>
    <mergeCell ref="D104:D105"/>
    <mergeCell ref="D106:D107"/>
    <mergeCell ref="D335:D336"/>
    <mergeCell ref="D345:D346"/>
    <mergeCell ref="C114:C117"/>
    <mergeCell ref="D114:D115"/>
    <mergeCell ref="D116:D117"/>
    <mergeCell ref="C323:C326"/>
    <mergeCell ref="D323:D324"/>
    <mergeCell ref="D325:D326"/>
    <mergeCell ref="C328:C331"/>
    <mergeCell ref="D328:D329"/>
    <mergeCell ref="D333:D334"/>
    <mergeCell ref="C333:C336"/>
    <mergeCell ref="C343:C346"/>
    <mergeCell ref="D343:D344"/>
    <mergeCell ref="C836:C839"/>
    <mergeCell ref="C811:C814"/>
    <mergeCell ref="D811:D812"/>
    <mergeCell ref="D813:D814"/>
    <mergeCell ref="C816:C819"/>
    <mergeCell ref="D816:D817"/>
    <mergeCell ref="D818:D819"/>
    <mergeCell ref="C821:C824"/>
    <mergeCell ref="D821:D822"/>
    <mergeCell ref="D823:D824"/>
    <mergeCell ref="C831:C834"/>
    <mergeCell ref="D831:D832"/>
    <mergeCell ref="D833:D834"/>
    <mergeCell ref="D836:D837"/>
    <mergeCell ref="C826:C829"/>
    <mergeCell ref="D826:D827"/>
    <mergeCell ref="D499:D500"/>
    <mergeCell ref="D501:D502"/>
    <mergeCell ref="C338:C341"/>
    <mergeCell ref="D338:D339"/>
    <mergeCell ref="D340:D341"/>
    <mergeCell ref="C348:C351"/>
    <mergeCell ref="D348:D349"/>
    <mergeCell ref="C484:C487"/>
    <mergeCell ref="D484:D485"/>
    <mergeCell ref="D486:D48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527"/>
  <sheetViews>
    <sheetView zoomScaleNormal="10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RowHeight="13.2" x14ac:dyDescent="0.25"/>
  <cols>
    <col min="2" max="2" width="22.44140625" bestFit="1" customWidth="1"/>
    <col min="3" max="3" width="18.88671875" customWidth="1"/>
    <col min="4" max="4" width="23.109375" bestFit="1" customWidth="1"/>
    <col min="5" max="5" width="15.109375" bestFit="1" customWidth="1"/>
    <col min="6" max="6" width="15.44140625" bestFit="1" customWidth="1"/>
    <col min="7" max="8" width="16.109375" bestFit="1" customWidth="1"/>
    <col min="9" max="9" width="15.109375" bestFit="1" customWidth="1"/>
    <col min="10" max="10" width="17" bestFit="1" customWidth="1"/>
    <col min="11" max="11" width="13.5546875" bestFit="1" customWidth="1"/>
    <col min="12" max="12" width="15.5546875" bestFit="1" customWidth="1"/>
    <col min="13" max="15" width="15.109375" bestFit="1" customWidth="1"/>
    <col min="16" max="16" width="20.44140625" bestFit="1" customWidth="1"/>
    <col min="17" max="17" width="11.5546875" customWidth="1"/>
    <col min="18" max="18" width="13.5546875" bestFit="1" customWidth="1"/>
  </cols>
  <sheetData>
    <row r="1" spans="2:19" x14ac:dyDescent="0.25">
      <c r="B1" s="97" t="s">
        <v>74</v>
      </c>
    </row>
    <row r="2" spans="2:19" ht="12.75" customHeight="1" x14ac:dyDescent="0.25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4" t="s">
        <v>225</v>
      </c>
    </row>
    <row r="3" spans="2:19" ht="12.75" customHeight="1" x14ac:dyDescent="0.25">
      <c r="D3" s="89" t="s">
        <v>72</v>
      </c>
      <c r="E3" s="371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  <c r="P3" s="90">
        <v>0</v>
      </c>
      <c r="Q3" s="90">
        <v>0</v>
      </c>
      <c r="R3">
        <v>0</v>
      </c>
    </row>
    <row r="4" spans="2:19" ht="12.75" customHeight="1" x14ac:dyDescent="0.25">
      <c r="D4" t="s">
        <v>81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2:19" ht="12.75" customHeight="1" x14ac:dyDescent="0.25">
      <c r="C5" t="s">
        <v>332</v>
      </c>
      <c r="D5" s="89" t="s">
        <v>70</v>
      </c>
      <c r="E5" s="371">
        <v>0</v>
      </c>
      <c r="F5" s="90">
        <v>0</v>
      </c>
      <c r="G5" s="90">
        <v>0</v>
      </c>
      <c r="H5" s="90">
        <v>0</v>
      </c>
      <c r="I5" s="90">
        <v>0</v>
      </c>
      <c r="J5" s="90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>
        <v>0</v>
      </c>
    </row>
    <row r="6" spans="2:19" s="378" customFormat="1" ht="12.75" customHeight="1" x14ac:dyDescent="0.25">
      <c r="B6" s="378" t="s">
        <v>85</v>
      </c>
      <c r="C6" s="378" t="s">
        <v>70</v>
      </c>
      <c r="D6" s="376"/>
      <c r="E6" s="710">
        <v>0</v>
      </c>
      <c r="F6" s="377">
        <v>0</v>
      </c>
      <c r="G6" s="377">
        <v>0</v>
      </c>
      <c r="H6" s="377">
        <v>0</v>
      </c>
      <c r="I6" s="377">
        <v>0</v>
      </c>
      <c r="J6" s="377">
        <v>0</v>
      </c>
      <c r="K6" s="377">
        <v>0</v>
      </c>
      <c r="L6" s="377">
        <v>0</v>
      </c>
      <c r="M6" s="377">
        <v>0</v>
      </c>
      <c r="N6" s="377">
        <v>0</v>
      </c>
      <c r="O6" s="377">
        <v>0</v>
      </c>
      <c r="P6" s="377">
        <v>0</v>
      </c>
      <c r="Q6" s="377">
        <v>0</v>
      </c>
      <c r="R6" s="378">
        <v>0</v>
      </c>
    </row>
    <row r="7" spans="2:19" ht="12.75" customHeight="1" x14ac:dyDescent="0.25">
      <c r="D7" t="s">
        <v>72</v>
      </c>
      <c r="E7" s="384">
        <v>0</v>
      </c>
      <c r="F7" s="89">
        <v>0</v>
      </c>
      <c r="G7" s="89">
        <v>0</v>
      </c>
      <c r="H7" s="384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>
        <v>0</v>
      </c>
    </row>
    <row r="8" spans="2:19" ht="12.75" customHeight="1" x14ac:dyDescent="0.25">
      <c r="D8" t="s">
        <v>81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2:19" ht="12.75" customHeight="1" x14ac:dyDescent="0.25">
      <c r="C9" t="s">
        <v>156</v>
      </c>
      <c r="D9" t="s">
        <v>70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2:19" s="286" customFormat="1" ht="12.75" customHeight="1" x14ac:dyDescent="0.25">
      <c r="B10" s="286" t="s">
        <v>155</v>
      </c>
      <c r="C10" s="286" t="s">
        <v>70</v>
      </c>
      <c r="E10" s="286">
        <v>0</v>
      </c>
      <c r="F10" s="286">
        <v>0</v>
      </c>
      <c r="G10" s="286">
        <v>0</v>
      </c>
      <c r="H10" s="286">
        <v>0</v>
      </c>
      <c r="I10" s="286">
        <v>0</v>
      </c>
      <c r="J10" s="286">
        <v>0</v>
      </c>
      <c r="K10" s="286">
        <v>0</v>
      </c>
      <c r="L10" s="286">
        <v>0</v>
      </c>
      <c r="M10" s="286">
        <v>0</v>
      </c>
      <c r="N10" s="286">
        <v>0</v>
      </c>
      <c r="O10" s="286">
        <v>0</v>
      </c>
      <c r="P10" s="286">
        <v>0</v>
      </c>
      <c r="Q10" s="286">
        <v>0</v>
      </c>
      <c r="R10" s="286">
        <v>0</v>
      </c>
    </row>
    <row r="11" spans="2:19" ht="12.75" customHeight="1" x14ac:dyDescent="0.25">
      <c r="D11" t="s">
        <v>72</v>
      </c>
      <c r="E11" s="142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2:19" ht="12.75" customHeight="1" x14ac:dyDescent="0.25">
      <c r="D12" t="s">
        <v>81</v>
      </c>
      <c r="E12" s="14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2:19" ht="12.75" customHeight="1" x14ac:dyDescent="0.25">
      <c r="C13" t="s">
        <v>156</v>
      </c>
      <c r="D13" t="s">
        <v>70</v>
      </c>
      <c r="E13" s="142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2:19" s="739" customFormat="1" ht="12.75" customHeight="1" x14ac:dyDescent="0.25">
      <c r="B14" s="739" t="s">
        <v>326</v>
      </c>
      <c r="C14" s="739" t="s">
        <v>70</v>
      </c>
      <c r="E14" s="231">
        <v>0</v>
      </c>
      <c r="F14" s="740">
        <v>0</v>
      </c>
      <c r="G14" s="232">
        <v>0</v>
      </c>
      <c r="H14" s="232">
        <v>0</v>
      </c>
      <c r="I14" s="232">
        <v>0</v>
      </c>
      <c r="J14" s="232">
        <v>0</v>
      </c>
      <c r="K14" s="232">
        <v>0</v>
      </c>
      <c r="L14" s="232">
        <v>0</v>
      </c>
      <c r="M14" s="232">
        <v>0</v>
      </c>
      <c r="N14" s="232">
        <v>0</v>
      </c>
      <c r="O14" s="232">
        <v>0</v>
      </c>
      <c r="P14" s="232">
        <v>0</v>
      </c>
      <c r="Q14" s="232">
        <v>0</v>
      </c>
      <c r="R14" s="232">
        <v>0</v>
      </c>
      <c r="S14" s="232"/>
    </row>
    <row r="15" spans="2:19" ht="12.75" customHeight="1" x14ac:dyDescent="0.25">
      <c r="B15" s="142"/>
      <c r="D15" t="s">
        <v>72</v>
      </c>
      <c r="E15" s="142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2:19" ht="12.75" customHeight="1" x14ac:dyDescent="0.25">
      <c r="B16" s="142"/>
      <c r="D16" t="s">
        <v>81</v>
      </c>
      <c r="E16" s="142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2.75" customHeight="1" x14ac:dyDescent="0.25">
      <c r="B17" s="142"/>
      <c r="C17" t="s">
        <v>82</v>
      </c>
      <c r="D17" t="s">
        <v>70</v>
      </c>
      <c r="E17" s="142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2.75" customHeight="1" x14ac:dyDescent="0.25">
      <c r="B18" s="142"/>
      <c r="D18" t="s">
        <v>72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2.75" customHeight="1" x14ac:dyDescent="0.25">
      <c r="B19" s="142"/>
      <c r="D19" t="s">
        <v>81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2.75" customHeight="1" x14ac:dyDescent="0.25">
      <c r="B20" s="142"/>
      <c r="C20" t="s">
        <v>86</v>
      </c>
      <c r="D20" t="s">
        <v>70</v>
      </c>
      <c r="E20" s="142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2.75" customHeight="1" x14ac:dyDescent="0.25">
      <c r="B21" s="142"/>
      <c r="D21" t="s">
        <v>72</v>
      </c>
      <c r="E21" s="142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2.75" customHeight="1" x14ac:dyDescent="0.25">
      <c r="B22" s="142"/>
      <c r="D22" t="s">
        <v>81</v>
      </c>
      <c r="E22" s="14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2.75" customHeight="1" x14ac:dyDescent="0.25">
      <c r="B23" s="142"/>
      <c r="C23" s="89" t="s">
        <v>87</v>
      </c>
      <c r="D23" s="89" t="s">
        <v>70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>
        <v>0</v>
      </c>
    </row>
    <row r="24" spans="1:18" s="94" customFormat="1" ht="12.75" customHeight="1" x14ac:dyDescent="0.25">
      <c r="B24" s="101" t="s">
        <v>119</v>
      </c>
      <c r="C24" s="101" t="s">
        <v>70</v>
      </c>
      <c r="E24" s="93">
        <v>0</v>
      </c>
      <c r="F24" s="93">
        <v>0</v>
      </c>
      <c r="G24" s="93">
        <v>0</v>
      </c>
      <c r="H24" s="93">
        <v>0</v>
      </c>
      <c r="I24" s="93">
        <v>0</v>
      </c>
      <c r="J24" s="93">
        <v>0</v>
      </c>
      <c r="K24" s="93">
        <v>0</v>
      </c>
      <c r="L24" s="93">
        <v>0</v>
      </c>
      <c r="M24" s="93">
        <v>0</v>
      </c>
      <c r="N24" s="93">
        <v>0</v>
      </c>
      <c r="O24" s="93">
        <v>0</v>
      </c>
      <c r="P24" s="93">
        <v>0</v>
      </c>
      <c r="Q24" s="93">
        <v>0</v>
      </c>
      <c r="R24" s="94">
        <v>0</v>
      </c>
    </row>
    <row r="25" spans="1:18" s="226" customFormat="1" ht="12.75" customHeight="1" x14ac:dyDescent="0.25">
      <c r="A25" s="98" t="s">
        <v>78</v>
      </c>
      <c r="B25" s="98" t="s">
        <v>70</v>
      </c>
      <c r="E25" s="100">
        <v>0</v>
      </c>
      <c r="F25" s="100">
        <v>0</v>
      </c>
      <c r="G25" s="100">
        <v>0</v>
      </c>
      <c r="H25" s="100">
        <v>0</v>
      </c>
      <c r="I25" s="100">
        <v>0</v>
      </c>
      <c r="J25" s="100">
        <v>0</v>
      </c>
      <c r="K25" s="100">
        <v>0</v>
      </c>
      <c r="L25" s="100">
        <v>0</v>
      </c>
      <c r="M25" s="100">
        <v>0</v>
      </c>
      <c r="N25" s="100">
        <v>0</v>
      </c>
      <c r="O25" s="100">
        <v>0</v>
      </c>
      <c r="P25" s="100">
        <v>0</v>
      </c>
      <c r="Q25" s="100">
        <v>0</v>
      </c>
      <c r="R25" s="226">
        <v>0</v>
      </c>
    </row>
    <row r="26" spans="1:18" ht="12.75" customHeight="1" x14ac:dyDescent="0.25">
      <c r="B26" s="89"/>
      <c r="C26" s="89"/>
      <c r="D26" t="s">
        <v>73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>
        <v>0</v>
      </c>
    </row>
    <row r="27" spans="1:18" ht="12.75" customHeight="1" x14ac:dyDescent="0.25">
      <c r="B27" s="89"/>
      <c r="C27" s="89" t="s">
        <v>332</v>
      </c>
      <c r="D27" t="s">
        <v>70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>
        <v>0</v>
      </c>
    </row>
    <row r="28" spans="1:18" s="378" customFormat="1" ht="12.75" customHeight="1" x14ac:dyDescent="0.25">
      <c r="B28" s="378" t="s">
        <v>85</v>
      </c>
      <c r="C28" s="378" t="s">
        <v>70</v>
      </c>
      <c r="E28" s="378">
        <v>0</v>
      </c>
      <c r="F28" s="378">
        <v>0</v>
      </c>
      <c r="G28" s="378">
        <v>0</v>
      </c>
      <c r="H28" s="378">
        <v>0</v>
      </c>
      <c r="I28" s="378">
        <v>0</v>
      </c>
      <c r="J28" s="378">
        <v>0</v>
      </c>
      <c r="K28" s="378">
        <v>0</v>
      </c>
      <c r="L28" s="378">
        <v>0</v>
      </c>
      <c r="M28" s="378">
        <v>0</v>
      </c>
      <c r="N28" s="378">
        <v>0</v>
      </c>
      <c r="O28" s="378">
        <v>0</v>
      </c>
      <c r="P28" s="378">
        <v>0</v>
      </c>
      <c r="Q28" s="378">
        <v>0</v>
      </c>
      <c r="R28" s="378">
        <v>0</v>
      </c>
    </row>
    <row r="29" spans="1:18" ht="12.75" customHeight="1" x14ac:dyDescent="0.25">
      <c r="D29" s="89" t="s">
        <v>73</v>
      </c>
      <c r="E29" s="371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>
        <v>0</v>
      </c>
    </row>
    <row r="30" spans="1:18" ht="12.75" customHeight="1" x14ac:dyDescent="0.25">
      <c r="C30" s="89" t="s">
        <v>156</v>
      </c>
      <c r="D30" s="89" t="s">
        <v>70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>
        <v>0</v>
      </c>
    </row>
    <row r="31" spans="1:18" s="286" customFormat="1" ht="12.75" customHeight="1" x14ac:dyDescent="0.25">
      <c r="B31" s="286" t="s">
        <v>155</v>
      </c>
      <c r="C31" s="286" t="s">
        <v>70</v>
      </c>
      <c r="E31" s="286">
        <v>0</v>
      </c>
      <c r="F31" s="286">
        <v>0</v>
      </c>
      <c r="G31" s="286">
        <v>0</v>
      </c>
      <c r="H31" s="286">
        <v>0</v>
      </c>
      <c r="I31" s="286">
        <v>0</v>
      </c>
      <c r="J31" s="286">
        <v>0</v>
      </c>
      <c r="K31" s="286">
        <v>0</v>
      </c>
      <c r="L31" s="286">
        <v>0</v>
      </c>
      <c r="M31" s="286">
        <v>0</v>
      </c>
      <c r="N31" s="286">
        <v>0</v>
      </c>
      <c r="O31" s="286">
        <v>0</v>
      </c>
      <c r="P31" s="286">
        <v>0</v>
      </c>
      <c r="Q31" s="286">
        <v>0</v>
      </c>
      <c r="R31" s="286">
        <v>0</v>
      </c>
    </row>
    <row r="32" spans="1:18" ht="12.75" customHeight="1" x14ac:dyDescent="0.25">
      <c r="B32" s="142"/>
      <c r="C32" s="89"/>
      <c r="D32" s="89" t="s">
        <v>73</v>
      </c>
      <c r="E32" s="371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>
        <v>0</v>
      </c>
    </row>
    <row r="33" spans="1:19" ht="12.75" customHeight="1" x14ac:dyDescent="0.25">
      <c r="B33" s="142"/>
      <c r="C33" s="89" t="s">
        <v>156</v>
      </c>
      <c r="D33" s="89" t="s">
        <v>70</v>
      </c>
      <c r="E33" s="371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>
        <v>0</v>
      </c>
    </row>
    <row r="34" spans="1:19" s="739" customFormat="1" ht="12.75" customHeight="1" x14ac:dyDescent="0.25">
      <c r="B34" s="739" t="s">
        <v>326</v>
      </c>
      <c r="C34" s="739" t="s">
        <v>70</v>
      </c>
      <c r="E34" s="231">
        <v>0</v>
      </c>
      <c r="F34" s="740">
        <v>0</v>
      </c>
      <c r="G34" s="232">
        <v>0</v>
      </c>
      <c r="H34" s="232">
        <v>0</v>
      </c>
      <c r="I34" s="232">
        <v>0</v>
      </c>
      <c r="J34" s="232">
        <v>0</v>
      </c>
      <c r="K34" s="232">
        <v>0</v>
      </c>
      <c r="L34" s="232">
        <v>0</v>
      </c>
      <c r="M34" s="232">
        <v>0</v>
      </c>
      <c r="N34" s="232">
        <v>0</v>
      </c>
      <c r="O34" s="232">
        <v>0</v>
      </c>
      <c r="P34" s="232">
        <v>0</v>
      </c>
      <c r="Q34" s="232">
        <v>0</v>
      </c>
      <c r="R34" s="232">
        <v>0</v>
      </c>
      <c r="S34" s="232"/>
    </row>
    <row r="35" spans="1:19" ht="12.75" customHeight="1" x14ac:dyDescent="0.25">
      <c r="D35" s="89" t="s">
        <v>73</v>
      </c>
      <c r="E35" s="371">
        <v>0</v>
      </c>
      <c r="F35" s="90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>
        <v>0</v>
      </c>
    </row>
    <row r="36" spans="1:19" ht="12.75" customHeight="1" x14ac:dyDescent="0.25">
      <c r="C36" s="89" t="s">
        <v>82</v>
      </c>
      <c r="D36" s="89" t="s">
        <v>70</v>
      </c>
      <c r="E36" s="90">
        <v>0</v>
      </c>
      <c r="F36" s="90">
        <v>0</v>
      </c>
      <c r="G36" s="90">
        <v>0</v>
      </c>
      <c r="H36" s="90">
        <v>0</v>
      </c>
      <c r="I36" s="90">
        <v>0</v>
      </c>
      <c r="J36" s="90">
        <v>0</v>
      </c>
      <c r="K36" s="90">
        <v>0</v>
      </c>
      <c r="L36" s="90">
        <v>0</v>
      </c>
      <c r="M36" s="90">
        <v>0</v>
      </c>
      <c r="N36" s="90">
        <v>0</v>
      </c>
      <c r="O36" s="90">
        <v>0</v>
      </c>
      <c r="P36" s="90">
        <v>0</v>
      </c>
      <c r="Q36" s="90">
        <v>0</v>
      </c>
      <c r="R36">
        <v>0</v>
      </c>
    </row>
    <row r="37" spans="1:19" ht="12.75" customHeight="1" x14ac:dyDescent="0.25">
      <c r="D37" s="89" t="s">
        <v>73</v>
      </c>
      <c r="E37" s="90">
        <v>0</v>
      </c>
      <c r="F37" s="90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>
        <v>0</v>
      </c>
    </row>
    <row r="38" spans="1:19" ht="12.75" customHeight="1" x14ac:dyDescent="0.25">
      <c r="C38" s="89" t="s">
        <v>86</v>
      </c>
      <c r="D38" s="89" t="s">
        <v>70</v>
      </c>
      <c r="E38" s="90">
        <v>0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>
        <v>0</v>
      </c>
    </row>
    <row r="39" spans="1:19" ht="12.75" customHeight="1" x14ac:dyDescent="0.25">
      <c r="D39" s="89" t="s">
        <v>73</v>
      </c>
      <c r="E39" s="90">
        <v>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>
        <v>0</v>
      </c>
    </row>
    <row r="40" spans="1:19" ht="12.75" customHeight="1" x14ac:dyDescent="0.25">
      <c r="C40" s="89" t="s">
        <v>87</v>
      </c>
      <c r="D40" s="89" t="s">
        <v>70</v>
      </c>
      <c r="E40" s="90">
        <v>0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>
        <v>0</v>
      </c>
    </row>
    <row r="41" spans="1:19" s="94" customFormat="1" ht="12.75" customHeight="1" x14ac:dyDescent="0.25">
      <c r="B41" s="101" t="s">
        <v>119</v>
      </c>
      <c r="C41" s="101" t="s">
        <v>70</v>
      </c>
      <c r="E41" s="93">
        <v>0</v>
      </c>
      <c r="F41" s="93">
        <v>0</v>
      </c>
      <c r="G41" s="93">
        <v>0</v>
      </c>
      <c r="H41" s="93">
        <v>0</v>
      </c>
      <c r="I41" s="93">
        <v>0</v>
      </c>
      <c r="J41" s="93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</v>
      </c>
      <c r="Q41" s="93">
        <v>0</v>
      </c>
      <c r="R41" s="94">
        <v>0</v>
      </c>
    </row>
    <row r="42" spans="1:19" s="226" customFormat="1" ht="12.75" customHeight="1" x14ac:dyDescent="0.25">
      <c r="A42" s="98" t="s">
        <v>79</v>
      </c>
      <c r="B42" s="98" t="s">
        <v>70</v>
      </c>
      <c r="E42" s="100">
        <v>0</v>
      </c>
      <c r="F42" s="100">
        <v>0</v>
      </c>
      <c r="G42" s="100">
        <v>0</v>
      </c>
      <c r="H42" s="100">
        <v>0</v>
      </c>
      <c r="I42" s="100">
        <v>0</v>
      </c>
      <c r="J42" s="100">
        <v>0</v>
      </c>
      <c r="K42" s="100">
        <v>0</v>
      </c>
      <c r="L42" s="100">
        <v>0</v>
      </c>
      <c r="M42" s="100">
        <v>0</v>
      </c>
      <c r="N42" s="100">
        <v>0</v>
      </c>
      <c r="O42" s="100">
        <v>0</v>
      </c>
      <c r="P42" s="100">
        <v>0</v>
      </c>
      <c r="Q42" s="100">
        <v>0</v>
      </c>
      <c r="R42" s="226">
        <v>0</v>
      </c>
    </row>
    <row r="43" spans="1:19" ht="12.75" customHeight="1" x14ac:dyDescent="0.25">
      <c r="A43" s="89" t="s">
        <v>70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144">
        <v>0</v>
      </c>
    </row>
    <row r="44" spans="1:19" ht="12.75" customHeight="1" x14ac:dyDescent="0.25">
      <c r="A44" s="89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</row>
    <row r="45" spans="1:19" ht="12.75" customHeight="1" x14ac:dyDescent="0.25">
      <c r="A45" s="89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</row>
    <row r="46" spans="1:19" ht="12.75" hidden="1" customHeight="1" x14ac:dyDescent="0.25">
      <c r="A46" s="89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</row>
    <row r="47" spans="1:19" ht="12.75" hidden="1" customHeight="1" x14ac:dyDescent="0.25">
      <c r="A47" s="89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</row>
    <row r="48" spans="1:19" ht="12.75" hidden="1" customHeight="1" x14ac:dyDescent="0.25">
      <c r="A48" s="89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</row>
    <row r="49" spans="1:19" ht="12.75" hidden="1" customHeight="1" x14ac:dyDescent="0.25">
      <c r="A49" s="89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</row>
    <row r="50" spans="1:19" ht="12.75" hidden="1" customHeight="1" x14ac:dyDescent="0.25">
      <c r="A50" s="89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</row>
    <row r="51" spans="1:19" ht="12.75" hidden="1" customHeight="1" x14ac:dyDescent="0.25">
      <c r="A51" s="89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</row>
    <row r="52" spans="1:19" ht="12.75" hidden="1" customHeight="1" x14ac:dyDescent="0.25">
      <c r="A52" s="89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</row>
    <row r="53" spans="1:19" ht="12.75" hidden="1" customHeight="1" x14ac:dyDescent="0.25">
      <c r="A53" s="89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</row>
    <row r="54" spans="1:19" ht="12.75" hidden="1" customHeight="1" x14ac:dyDescent="0.25">
      <c r="A54" s="89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</row>
    <row r="55" spans="1:19" ht="12.75" customHeight="1" x14ac:dyDescent="0.25">
      <c r="A55" s="89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</row>
    <row r="56" spans="1:19" ht="12.75" customHeight="1" x14ac:dyDescent="0.25">
      <c r="A56" s="89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</row>
    <row r="57" spans="1:19" ht="12.75" customHeight="1" x14ac:dyDescent="0.25">
      <c r="B57" s="778" t="s">
        <v>2</v>
      </c>
      <c r="C57" s="775" t="s">
        <v>132</v>
      </c>
      <c r="D57" s="98" t="s">
        <v>70</v>
      </c>
      <c r="E57" s="100">
        <f>E25+E42-K25</f>
        <v>0</v>
      </c>
      <c r="F57" s="100">
        <f>F25</f>
        <v>0</v>
      </c>
      <c r="G57" s="100">
        <f t="shared" ref="G57:S57" si="0">G25</f>
        <v>0</v>
      </c>
      <c r="H57" s="100">
        <f t="shared" si="0"/>
        <v>0</v>
      </c>
      <c r="I57" s="100">
        <f t="shared" si="0"/>
        <v>0</v>
      </c>
      <c r="J57" s="100">
        <f t="shared" si="0"/>
        <v>0</v>
      </c>
      <c r="K57" s="100">
        <f t="shared" si="0"/>
        <v>0</v>
      </c>
      <c r="L57" s="100">
        <f t="shared" si="0"/>
        <v>0</v>
      </c>
      <c r="M57" s="100">
        <f t="shared" si="0"/>
        <v>0</v>
      </c>
      <c r="N57" s="100">
        <f t="shared" si="0"/>
        <v>0</v>
      </c>
      <c r="O57" s="100">
        <f t="shared" si="0"/>
        <v>0</v>
      </c>
      <c r="P57" s="100">
        <f t="shared" si="0"/>
        <v>0</v>
      </c>
      <c r="Q57" s="100">
        <f t="shared" si="0"/>
        <v>0</v>
      </c>
      <c r="R57" s="100">
        <f t="shared" si="0"/>
        <v>0</v>
      </c>
      <c r="S57" s="100">
        <f t="shared" si="0"/>
        <v>0</v>
      </c>
    </row>
    <row r="58" spans="1:19" ht="12.75" customHeight="1" x14ac:dyDescent="0.25">
      <c r="B58" s="778"/>
      <c r="C58" s="775"/>
      <c r="D58" s="98" t="s">
        <v>73</v>
      </c>
      <c r="E58" s="100">
        <f>E42</f>
        <v>0</v>
      </c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19" ht="12.75" customHeight="1" x14ac:dyDescent="0.25">
      <c r="A59" s="89"/>
      <c r="B59" s="97"/>
      <c r="E59" s="371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</row>
    <row r="60" spans="1:19" ht="12.75" customHeight="1" x14ac:dyDescent="0.25">
      <c r="B60" s="778" t="s">
        <v>160</v>
      </c>
      <c r="C60" s="775" t="s">
        <v>132</v>
      </c>
      <c r="D60" s="223" t="s">
        <v>70</v>
      </c>
      <c r="E60" s="225">
        <v>0</v>
      </c>
      <c r="F60" s="225">
        <v>0</v>
      </c>
      <c r="G60" s="225">
        <v>0</v>
      </c>
      <c r="H60" s="225">
        <v>0</v>
      </c>
      <c r="I60" s="225">
        <v>0</v>
      </c>
      <c r="J60" s="225">
        <v>0</v>
      </c>
      <c r="K60" s="225">
        <v>0</v>
      </c>
      <c r="L60" s="225">
        <v>0</v>
      </c>
      <c r="M60" s="225">
        <v>0</v>
      </c>
      <c r="N60" s="225">
        <v>0</v>
      </c>
      <c r="O60" s="225">
        <v>0</v>
      </c>
      <c r="P60" s="225">
        <v>0</v>
      </c>
      <c r="Q60" s="225">
        <v>0</v>
      </c>
      <c r="R60" s="225">
        <v>0</v>
      </c>
      <c r="S60" s="225">
        <v>0</v>
      </c>
    </row>
    <row r="61" spans="1:19" ht="12.75" customHeight="1" x14ac:dyDescent="0.25">
      <c r="B61" s="778"/>
      <c r="C61" s="775"/>
      <c r="D61" s="223" t="s">
        <v>73</v>
      </c>
      <c r="E61" s="225">
        <v>0</v>
      </c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19" ht="12.75" customHeight="1" x14ac:dyDescent="0.25">
      <c r="A62" s="89"/>
      <c r="B62" s="97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</row>
    <row r="63" spans="1:19" ht="12.75" customHeight="1" x14ac:dyDescent="0.25">
      <c r="B63" s="778" t="s">
        <v>155</v>
      </c>
      <c r="C63" s="775" t="s">
        <v>132</v>
      </c>
      <c r="D63" s="221" t="s">
        <v>70</v>
      </c>
      <c r="E63" s="222">
        <f>E31+E28+E10+E6-K6-K10</f>
        <v>0</v>
      </c>
      <c r="F63" s="222">
        <f>F10+F6</f>
        <v>0</v>
      </c>
      <c r="G63" s="222">
        <f t="shared" ref="G63:S63" si="1">G10+G6</f>
        <v>0</v>
      </c>
      <c r="H63" s="222">
        <f t="shared" si="1"/>
        <v>0</v>
      </c>
      <c r="I63" s="222">
        <f t="shared" si="1"/>
        <v>0</v>
      </c>
      <c r="J63" s="222">
        <f t="shared" si="1"/>
        <v>0</v>
      </c>
      <c r="K63" s="222">
        <f t="shared" si="1"/>
        <v>0</v>
      </c>
      <c r="L63" s="222">
        <f t="shared" si="1"/>
        <v>0</v>
      </c>
      <c r="M63" s="222">
        <f t="shared" si="1"/>
        <v>0</v>
      </c>
      <c r="N63" s="222">
        <f t="shared" si="1"/>
        <v>0</v>
      </c>
      <c r="O63" s="222">
        <f t="shared" si="1"/>
        <v>0</v>
      </c>
      <c r="P63" s="222">
        <f t="shared" si="1"/>
        <v>0</v>
      </c>
      <c r="Q63" s="222">
        <f t="shared" si="1"/>
        <v>0</v>
      </c>
      <c r="R63" s="222">
        <f t="shared" si="1"/>
        <v>0</v>
      </c>
      <c r="S63" s="222">
        <f t="shared" si="1"/>
        <v>0</v>
      </c>
    </row>
    <row r="64" spans="1:19" ht="12.75" customHeight="1" x14ac:dyDescent="0.25">
      <c r="B64" s="778"/>
      <c r="C64" s="775"/>
      <c r="D64" s="221" t="s">
        <v>73</v>
      </c>
      <c r="E64" s="222">
        <f>E31+E28</f>
        <v>0</v>
      </c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</row>
    <row r="65" spans="1:19" ht="12.75" customHeight="1" x14ac:dyDescent="0.25">
      <c r="A65" s="89"/>
      <c r="B65" s="97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</row>
    <row r="66" spans="1:19" ht="12.75" customHeight="1" x14ac:dyDescent="0.25">
      <c r="B66" s="776" t="s">
        <v>326</v>
      </c>
      <c r="C66" s="775" t="s">
        <v>132</v>
      </c>
      <c r="D66" s="373" t="s">
        <v>70</v>
      </c>
      <c r="E66" s="374">
        <f>E34+E14-K14</f>
        <v>0</v>
      </c>
      <c r="F66" s="374">
        <f>F14</f>
        <v>0</v>
      </c>
      <c r="G66" s="374">
        <v>0</v>
      </c>
      <c r="H66" s="374">
        <v>0</v>
      </c>
      <c r="I66" s="374">
        <v>0</v>
      </c>
      <c r="J66" s="374">
        <v>0</v>
      </c>
      <c r="K66" s="374">
        <v>0</v>
      </c>
      <c r="L66" s="374">
        <v>0</v>
      </c>
      <c r="M66" s="374">
        <v>0</v>
      </c>
      <c r="N66" s="374">
        <v>0</v>
      </c>
      <c r="O66" s="374">
        <v>0</v>
      </c>
      <c r="P66" s="374">
        <v>0</v>
      </c>
      <c r="Q66" s="374">
        <v>0</v>
      </c>
      <c r="R66" s="374">
        <v>0</v>
      </c>
    </row>
    <row r="67" spans="1:19" ht="12.75" customHeight="1" x14ac:dyDescent="0.25">
      <c r="B67" s="776"/>
      <c r="C67" s="775"/>
      <c r="D67" s="373" t="s">
        <v>73</v>
      </c>
      <c r="E67" s="374">
        <f>E34</f>
        <v>0</v>
      </c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spans="1:19" ht="12.75" customHeight="1" x14ac:dyDescent="0.25">
      <c r="A68" s="89"/>
      <c r="B68" s="97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</row>
    <row r="69" spans="1:19" ht="12.75" customHeight="1" x14ac:dyDescent="0.25">
      <c r="B69" s="778" t="s">
        <v>119</v>
      </c>
      <c r="C69" s="775" t="s">
        <v>132</v>
      </c>
      <c r="D69" s="101" t="s">
        <v>70</v>
      </c>
      <c r="E69" s="93">
        <f>E24+E41-K24</f>
        <v>0</v>
      </c>
      <c r="F69" s="93">
        <f>F24</f>
        <v>0</v>
      </c>
      <c r="G69" s="93">
        <f t="shared" ref="G69:S69" si="2">G24</f>
        <v>0</v>
      </c>
      <c r="H69" s="93">
        <f t="shared" si="2"/>
        <v>0</v>
      </c>
      <c r="I69" s="93">
        <f t="shared" si="2"/>
        <v>0</v>
      </c>
      <c r="J69" s="93">
        <f t="shared" si="2"/>
        <v>0</v>
      </c>
      <c r="K69" s="93">
        <f t="shared" si="2"/>
        <v>0</v>
      </c>
      <c r="L69" s="93">
        <f t="shared" si="2"/>
        <v>0</v>
      </c>
      <c r="M69" s="93">
        <f t="shared" si="2"/>
        <v>0</v>
      </c>
      <c r="N69" s="93">
        <f t="shared" si="2"/>
        <v>0</v>
      </c>
      <c r="O69" s="93">
        <f t="shared" si="2"/>
        <v>0</v>
      </c>
      <c r="P69" s="93">
        <f t="shared" si="2"/>
        <v>0</v>
      </c>
      <c r="Q69" s="93">
        <f t="shared" si="2"/>
        <v>0</v>
      </c>
      <c r="R69" s="93">
        <f t="shared" si="2"/>
        <v>0</v>
      </c>
      <c r="S69" s="93">
        <f t="shared" si="2"/>
        <v>0</v>
      </c>
    </row>
    <row r="70" spans="1:19" ht="12.75" customHeight="1" x14ac:dyDescent="0.25">
      <c r="B70" s="778"/>
      <c r="C70" s="775"/>
      <c r="D70" s="101" t="s">
        <v>73</v>
      </c>
      <c r="E70" s="93">
        <f>E41</f>
        <v>0</v>
      </c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</row>
    <row r="71" spans="1:19" ht="12.75" customHeight="1" x14ac:dyDescent="0.25">
      <c r="A71" s="89"/>
      <c r="B71" s="97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</row>
    <row r="72" spans="1:19" ht="12.75" customHeight="1" x14ac:dyDescent="0.25">
      <c r="B72" s="777" t="s">
        <v>161</v>
      </c>
      <c r="C72" s="775" t="s">
        <v>132</v>
      </c>
      <c r="D72" s="231" t="s">
        <v>70</v>
      </c>
      <c r="E72" s="232">
        <v>0</v>
      </c>
      <c r="F72" s="232">
        <v>0</v>
      </c>
      <c r="G72" s="232">
        <v>0</v>
      </c>
      <c r="H72" s="232">
        <v>0</v>
      </c>
      <c r="I72" s="232">
        <v>0</v>
      </c>
      <c r="J72" s="232">
        <v>0</v>
      </c>
      <c r="K72" s="232">
        <v>0</v>
      </c>
      <c r="L72" s="232">
        <v>0</v>
      </c>
      <c r="M72" s="232">
        <v>0</v>
      </c>
      <c r="N72" s="232">
        <v>0</v>
      </c>
      <c r="O72" s="232">
        <v>0</v>
      </c>
      <c r="P72" s="232">
        <v>0</v>
      </c>
      <c r="Q72" s="232">
        <v>0</v>
      </c>
      <c r="R72" s="232">
        <v>0</v>
      </c>
      <c r="S72" s="232">
        <v>0</v>
      </c>
    </row>
    <row r="73" spans="1:19" ht="12.75" customHeight="1" x14ac:dyDescent="0.25">
      <c r="B73" s="777"/>
      <c r="C73" s="775"/>
      <c r="D73" s="231" t="s">
        <v>73</v>
      </c>
      <c r="E73" s="232">
        <v>0</v>
      </c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spans="1:19" s="238" customFormat="1" x14ac:dyDescent="0.25"/>
    <row r="75" spans="1:19" x14ac:dyDescent="0.25">
      <c r="B75" s="97" t="s">
        <v>75</v>
      </c>
    </row>
    <row r="76" spans="1:19" ht="12.75" customHeight="1" x14ac:dyDescent="0.25">
      <c r="E76" s="89" t="s">
        <v>70</v>
      </c>
      <c r="F76" s="89" t="s">
        <v>64</v>
      </c>
      <c r="G76" s="89" t="s">
        <v>65</v>
      </c>
      <c r="H76" s="219" t="s">
        <v>164</v>
      </c>
      <c r="I76" s="89" t="s">
        <v>69</v>
      </c>
      <c r="J76" s="89" t="s">
        <v>68</v>
      </c>
      <c r="K76" s="89" t="s">
        <v>83</v>
      </c>
      <c r="L76" s="89" t="s">
        <v>66</v>
      </c>
      <c r="M76" s="89" t="s">
        <v>63</v>
      </c>
      <c r="N76" s="89" t="s">
        <v>61</v>
      </c>
      <c r="O76" s="89" t="s">
        <v>62</v>
      </c>
      <c r="P76" s="89" t="s">
        <v>67</v>
      </c>
      <c r="Q76" s="89" t="s">
        <v>84</v>
      </c>
      <c r="R76" s="384" t="s">
        <v>225</v>
      </c>
    </row>
    <row r="77" spans="1:19" ht="12.75" customHeight="1" x14ac:dyDescent="0.25">
      <c r="D77" s="89" t="s">
        <v>72</v>
      </c>
      <c r="E77" s="371">
        <v>0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>
        <v>0</v>
      </c>
    </row>
    <row r="78" spans="1:19" ht="12.75" customHeight="1" x14ac:dyDescent="0.25">
      <c r="D78" t="s">
        <v>81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9" ht="12.75" customHeight="1" x14ac:dyDescent="0.25">
      <c r="C79" t="s">
        <v>332</v>
      </c>
      <c r="D79" s="89" t="s">
        <v>70</v>
      </c>
      <c r="E79" s="371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>
        <v>0</v>
      </c>
    </row>
    <row r="80" spans="1:19" s="739" customFormat="1" ht="12.75" customHeight="1" x14ac:dyDescent="0.25">
      <c r="B80" s="739" t="s">
        <v>85</v>
      </c>
      <c r="C80" s="739" t="s">
        <v>70</v>
      </c>
      <c r="D80" s="231"/>
      <c r="E80" s="740">
        <v>0</v>
      </c>
      <c r="F80" s="232">
        <v>0</v>
      </c>
      <c r="G80" s="232">
        <v>0</v>
      </c>
      <c r="H80" s="232">
        <v>0</v>
      </c>
      <c r="I80" s="232">
        <v>0</v>
      </c>
      <c r="J80" s="232">
        <v>0</v>
      </c>
      <c r="K80" s="232">
        <v>0</v>
      </c>
      <c r="L80" s="232">
        <v>0</v>
      </c>
      <c r="M80" s="232">
        <v>0</v>
      </c>
      <c r="N80" s="232">
        <v>0</v>
      </c>
      <c r="O80" s="232">
        <v>0</v>
      </c>
      <c r="P80" s="232">
        <v>0</v>
      </c>
      <c r="Q80" s="232">
        <v>0</v>
      </c>
      <c r="R80" s="739">
        <v>0</v>
      </c>
    </row>
    <row r="81" spans="2:18" ht="12.75" customHeight="1" x14ac:dyDescent="0.25">
      <c r="B81" s="142"/>
      <c r="D81" s="89" t="s">
        <v>72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>
        <v>0</v>
      </c>
    </row>
    <row r="82" spans="2:18" ht="12.75" customHeight="1" x14ac:dyDescent="0.25">
      <c r="B82" s="142"/>
      <c r="D82" s="89" t="s">
        <v>81</v>
      </c>
      <c r="E82" s="90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>
        <v>0</v>
      </c>
    </row>
    <row r="83" spans="2:18" ht="12.75" customHeight="1" x14ac:dyDescent="0.25">
      <c r="B83" s="142"/>
      <c r="C83" t="s">
        <v>156</v>
      </c>
      <c r="D83" s="89" t="s">
        <v>70</v>
      </c>
      <c r="E83" s="371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>
        <v>0</v>
      </c>
    </row>
    <row r="84" spans="2:18" s="286" customFormat="1" ht="12.75" customHeight="1" x14ac:dyDescent="0.25">
      <c r="B84" s="751" t="s">
        <v>155</v>
      </c>
      <c r="C84" s="286" t="s">
        <v>70</v>
      </c>
      <c r="D84" s="229"/>
      <c r="E84" s="752">
        <v>0</v>
      </c>
      <c r="F84" s="230">
        <v>0</v>
      </c>
      <c r="G84" s="230">
        <v>0</v>
      </c>
      <c r="H84" s="230">
        <v>0</v>
      </c>
      <c r="I84" s="230">
        <v>0</v>
      </c>
      <c r="J84" s="230">
        <v>0</v>
      </c>
      <c r="K84" s="230">
        <v>0</v>
      </c>
      <c r="L84" s="230">
        <v>0</v>
      </c>
      <c r="M84" s="230">
        <v>0</v>
      </c>
      <c r="N84" s="230">
        <v>0</v>
      </c>
      <c r="O84" s="230">
        <v>0</v>
      </c>
      <c r="P84" s="230">
        <v>0</v>
      </c>
      <c r="Q84" s="230">
        <v>0</v>
      </c>
      <c r="R84" s="286">
        <v>0</v>
      </c>
    </row>
    <row r="85" spans="2:18" ht="12.6" customHeight="1" x14ac:dyDescent="0.25">
      <c r="B85" s="142"/>
      <c r="D85" s="89" t="s">
        <v>72</v>
      </c>
      <c r="E85" s="371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>
        <v>0</v>
      </c>
    </row>
    <row r="86" spans="2:18" ht="12.75" customHeight="1" x14ac:dyDescent="0.25">
      <c r="B86" s="142"/>
      <c r="D86" s="89" t="s">
        <v>81</v>
      </c>
      <c r="E86" s="371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>
        <v>0</v>
      </c>
    </row>
    <row r="87" spans="2:18" ht="12.75" customHeight="1" x14ac:dyDescent="0.25">
      <c r="B87" s="142"/>
      <c r="C87" t="s">
        <v>115</v>
      </c>
      <c r="D87" s="89" t="s">
        <v>70</v>
      </c>
      <c r="E87" s="90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>
        <v>0</v>
      </c>
    </row>
    <row r="88" spans="2:18" ht="12.75" customHeight="1" x14ac:dyDescent="0.25">
      <c r="B88" s="142"/>
      <c r="C88" s="89"/>
      <c r="D88" s="89" t="s">
        <v>72</v>
      </c>
      <c r="E88" s="371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>
        <v>0</v>
      </c>
    </row>
    <row r="89" spans="2:18" ht="12.75" customHeight="1" x14ac:dyDescent="0.25">
      <c r="B89" s="142"/>
      <c r="D89" s="89" t="s">
        <v>81</v>
      </c>
      <c r="E89" s="371">
        <v>0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>
        <v>0</v>
      </c>
    </row>
    <row r="90" spans="2:18" ht="12.75" customHeight="1" x14ac:dyDescent="0.25">
      <c r="B90" s="142"/>
      <c r="C90" s="89" t="s">
        <v>116</v>
      </c>
      <c r="D90" s="89" t="s">
        <v>70</v>
      </c>
      <c r="E90" s="371">
        <v>0</v>
      </c>
      <c r="F90" s="90">
        <v>0</v>
      </c>
      <c r="G90" s="90">
        <v>0</v>
      </c>
      <c r="H90" s="90">
        <v>0</v>
      </c>
      <c r="I90" s="90">
        <v>0</v>
      </c>
      <c r="J90" s="90">
        <v>0</v>
      </c>
      <c r="K90" s="90">
        <v>0</v>
      </c>
      <c r="L90" s="90">
        <v>0</v>
      </c>
      <c r="M90" s="90">
        <v>0</v>
      </c>
      <c r="N90" s="90">
        <v>0</v>
      </c>
      <c r="O90" s="90">
        <v>0</v>
      </c>
      <c r="P90" s="90">
        <v>0</v>
      </c>
      <c r="Q90" s="90">
        <v>0</v>
      </c>
      <c r="R90">
        <v>0</v>
      </c>
    </row>
    <row r="91" spans="2:18" ht="12.75" customHeight="1" x14ac:dyDescent="0.25">
      <c r="B91" s="142"/>
      <c r="C91" s="89"/>
      <c r="D91" s="89" t="s">
        <v>72</v>
      </c>
      <c r="E91" s="371">
        <v>0</v>
      </c>
      <c r="F91" s="90">
        <v>0</v>
      </c>
      <c r="G91" s="90">
        <v>0</v>
      </c>
      <c r="H91" s="90">
        <v>0</v>
      </c>
      <c r="I91" s="90">
        <v>0</v>
      </c>
      <c r="J91" s="90">
        <v>0</v>
      </c>
      <c r="K91" s="90">
        <v>0</v>
      </c>
      <c r="L91" s="90">
        <v>0</v>
      </c>
      <c r="M91" s="90">
        <v>0</v>
      </c>
      <c r="N91" s="90">
        <v>0</v>
      </c>
      <c r="O91" s="90">
        <v>0</v>
      </c>
      <c r="P91" s="90">
        <v>0</v>
      </c>
      <c r="Q91" s="90">
        <v>0</v>
      </c>
      <c r="R91">
        <v>0</v>
      </c>
    </row>
    <row r="92" spans="2:18" ht="12.75" customHeight="1" x14ac:dyDescent="0.25">
      <c r="B92" s="142"/>
      <c r="C92" s="89"/>
      <c r="D92" s="89" t="s">
        <v>81</v>
      </c>
      <c r="E92" s="371">
        <v>0</v>
      </c>
      <c r="F92" s="90">
        <v>0</v>
      </c>
      <c r="G92" s="90">
        <v>0</v>
      </c>
      <c r="H92" s="90">
        <v>0</v>
      </c>
      <c r="I92" s="90">
        <v>0</v>
      </c>
      <c r="J92" s="90">
        <v>0</v>
      </c>
      <c r="K92" s="90">
        <v>0</v>
      </c>
      <c r="L92" s="90">
        <v>0</v>
      </c>
      <c r="M92" s="90">
        <v>0</v>
      </c>
      <c r="N92" s="90">
        <v>0</v>
      </c>
      <c r="O92" s="90">
        <v>0</v>
      </c>
      <c r="P92" s="90">
        <v>0</v>
      </c>
      <c r="Q92" s="90">
        <v>0</v>
      </c>
      <c r="R92">
        <v>0</v>
      </c>
    </row>
    <row r="93" spans="2:18" ht="12.75" customHeight="1" x14ac:dyDescent="0.25">
      <c r="B93" s="142"/>
      <c r="C93" s="773">
        <v>3</v>
      </c>
      <c r="D93" s="89" t="s">
        <v>70</v>
      </c>
      <c r="E93" s="371">
        <v>0</v>
      </c>
      <c r="F93" s="90">
        <v>0</v>
      </c>
      <c r="G93" s="90">
        <v>0</v>
      </c>
      <c r="H93" s="90">
        <v>0</v>
      </c>
      <c r="I93" s="90">
        <v>0</v>
      </c>
      <c r="J93" s="90">
        <v>0</v>
      </c>
      <c r="K93" s="90">
        <v>0</v>
      </c>
      <c r="L93" s="90">
        <v>0</v>
      </c>
      <c r="M93" s="90">
        <v>0</v>
      </c>
      <c r="N93" s="90">
        <v>0</v>
      </c>
      <c r="O93" s="90">
        <v>0</v>
      </c>
      <c r="P93" s="90">
        <v>0</v>
      </c>
      <c r="Q93" s="90">
        <v>0</v>
      </c>
      <c r="R93">
        <v>0</v>
      </c>
    </row>
    <row r="94" spans="2:18" ht="12.75" customHeight="1" x14ac:dyDescent="0.25">
      <c r="B94" s="142"/>
      <c r="C94" s="89"/>
      <c r="D94" s="89" t="s">
        <v>72</v>
      </c>
      <c r="E94" s="371">
        <v>0</v>
      </c>
      <c r="F94" s="90">
        <v>0</v>
      </c>
      <c r="G94" s="90">
        <v>0</v>
      </c>
      <c r="H94" s="90">
        <v>0</v>
      </c>
      <c r="I94" s="90">
        <v>0</v>
      </c>
      <c r="J94" s="90">
        <v>0</v>
      </c>
      <c r="K94" s="90">
        <v>0</v>
      </c>
      <c r="L94" s="90">
        <v>0</v>
      </c>
      <c r="M94" s="90">
        <v>0</v>
      </c>
      <c r="N94" s="90">
        <v>0</v>
      </c>
      <c r="O94" s="90">
        <v>0</v>
      </c>
      <c r="P94" s="90">
        <v>0</v>
      </c>
      <c r="Q94" s="90">
        <v>0</v>
      </c>
      <c r="R94">
        <v>0</v>
      </c>
    </row>
    <row r="95" spans="2:18" ht="12.75" customHeight="1" x14ac:dyDescent="0.25">
      <c r="B95" s="142"/>
      <c r="C95" s="89"/>
      <c r="D95" s="89" t="s">
        <v>81</v>
      </c>
      <c r="E95" s="371">
        <v>0</v>
      </c>
      <c r="F95" s="90">
        <v>0</v>
      </c>
      <c r="G95" s="90">
        <v>0</v>
      </c>
      <c r="H95" s="90">
        <v>0</v>
      </c>
      <c r="I95" s="90">
        <v>0</v>
      </c>
      <c r="J95" s="90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>
        <v>0</v>
      </c>
    </row>
    <row r="96" spans="2:18" ht="12.75" customHeight="1" x14ac:dyDescent="0.25">
      <c r="B96" s="142"/>
      <c r="C96" s="773">
        <v>4</v>
      </c>
      <c r="D96" s="89" t="s">
        <v>70</v>
      </c>
      <c r="E96" s="371">
        <v>0</v>
      </c>
      <c r="F96" s="90">
        <v>0</v>
      </c>
      <c r="G96" s="90">
        <v>0</v>
      </c>
      <c r="H96" s="90">
        <v>0</v>
      </c>
      <c r="I96" s="90">
        <v>0</v>
      </c>
      <c r="J96" s="90">
        <v>0</v>
      </c>
      <c r="K96" s="90">
        <v>0</v>
      </c>
      <c r="L96" s="90">
        <v>0</v>
      </c>
      <c r="M96" s="90">
        <v>0</v>
      </c>
      <c r="N96" s="90">
        <v>0</v>
      </c>
      <c r="O96" s="90">
        <v>0</v>
      </c>
      <c r="P96" s="90">
        <v>0</v>
      </c>
      <c r="Q96" s="90">
        <v>0</v>
      </c>
      <c r="R96">
        <v>0</v>
      </c>
    </row>
    <row r="97" spans="2:18" ht="12.75" customHeight="1" x14ac:dyDescent="0.25">
      <c r="B97" s="142"/>
      <c r="C97" s="89"/>
      <c r="D97" s="89" t="s">
        <v>72</v>
      </c>
      <c r="E97" s="371">
        <v>0</v>
      </c>
      <c r="F97" s="90">
        <v>0</v>
      </c>
      <c r="G97" s="90">
        <v>0</v>
      </c>
      <c r="H97" s="90">
        <v>0</v>
      </c>
      <c r="I97" s="90">
        <v>0</v>
      </c>
      <c r="J97" s="90">
        <v>0</v>
      </c>
      <c r="K97" s="90">
        <v>0</v>
      </c>
      <c r="L97" s="90">
        <v>0</v>
      </c>
      <c r="M97" s="90">
        <v>0</v>
      </c>
      <c r="N97" s="90">
        <v>0</v>
      </c>
      <c r="O97" s="90">
        <v>0</v>
      </c>
      <c r="P97" s="90">
        <v>0</v>
      </c>
      <c r="Q97" s="90">
        <v>0</v>
      </c>
      <c r="R97">
        <v>0</v>
      </c>
    </row>
    <row r="98" spans="2:18" ht="12.75" customHeight="1" x14ac:dyDescent="0.25">
      <c r="B98" s="142"/>
      <c r="C98" s="89"/>
      <c r="D98" s="89" t="s">
        <v>81</v>
      </c>
      <c r="E98" s="371">
        <v>0</v>
      </c>
      <c r="F98" s="90">
        <v>0</v>
      </c>
      <c r="G98" s="90">
        <v>0</v>
      </c>
      <c r="H98" s="90">
        <v>0</v>
      </c>
      <c r="I98" s="90">
        <v>0</v>
      </c>
      <c r="J98" s="90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>
        <v>0</v>
      </c>
    </row>
    <row r="99" spans="2:18" ht="12.75" customHeight="1" x14ac:dyDescent="0.25">
      <c r="B99" s="142"/>
      <c r="C99" s="89" t="s">
        <v>118</v>
      </c>
      <c r="D99" s="89" t="s">
        <v>70</v>
      </c>
      <c r="E99" s="371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>
        <v>0</v>
      </c>
    </row>
    <row r="100" spans="2:18" ht="12.75" customHeight="1" x14ac:dyDescent="0.25">
      <c r="B100" s="142"/>
      <c r="C100" s="89"/>
      <c r="D100" s="89" t="s">
        <v>72</v>
      </c>
      <c r="E100" s="371">
        <v>0</v>
      </c>
      <c r="F100" s="90">
        <v>0</v>
      </c>
      <c r="G100" s="90">
        <v>0</v>
      </c>
      <c r="H100" s="90">
        <v>0</v>
      </c>
      <c r="I100" s="90">
        <v>0</v>
      </c>
      <c r="J100" s="90">
        <v>0</v>
      </c>
      <c r="K100" s="90">
        <v>0</v>
      </c>
      <c r="L100" s="90">
        <v>0</v>
      </c>
      <c r="M100" s="90">
        <v>0</v>
      </c>
      <c r="N100" s="90">
        <v>0</v>
      </c>
      <c r="O100" s="90">
        <v>0</v>
      </c>
      <c r="P100" s="90">
        <v>0</v>
      </c>
      <c r="Q100" s="90">
        <v>0</v>
      </c>
      <c r="R100">
        <v>0</v>
      </c>
    </row>
    <row r="101" spans="2:18" ht="12.75" customHeight="1" x14ac:dyDescent="0.25">
      <c r="B101" s="142"/>
      <c r="C101" s="89"/>
      <c r="D101" s="89" t="s">
        <v>81</v>
      </c>
      <c r="E101" s="371">
        <v>0</v>
      </c>
      <c r="F101" s="90">
        <v>0</v>
      </c>
      <c r="G101" s="90">
        <v>0</v>
      </c>
      <c r="H101" s="90">
        <v>0</v>
      </c>
      <c r="I101" s="90">
        <v>0</v>
      </c>
      <c r="J101" s="90">
        <v>0</v>
      </c>
      <c r="K101" s="90">
        <v>0</v>
      </c>
      <c r="L101" s="90">
        <v>0</v>
      </c>
      <c r="M101" s="90">
        <v>0</v>
      </c>
      <c r="N101" s="90">
        <v>0</v>
      </c>
      <c r="O101" s="90">
        <v>0</v>
      </c>
      <c r="P101" s="90">
        <v>0</v>
      </c>
      <c r="Q101" s="90">
        <v>0</v>
      </c>
      <c r="R101">
        <v>0</v>
      </c>
    </row>
    <row r="102" spans="2:18" ht="12.75" customHeight="1" x14ac:dyDescent="0.25">
      <c r="B102" s="142"/>
      <c r="C102" s="773">
        <v>6</v>
      </c>
      <c r="D102" s="89" t="s">
        <v>70</v>
      </c>
      <c r="E102" s="371">
        <v>0</v>
      </c>
      <c r="F102" s="90">
        <v>0</v>
      </c>
      <c r="G102" s="90">
        <v>0</v>
      </c>
      <c r="H102" s="90">
        <v>0</v>
      </c>
      <c r="I102" s="90">
        <v>0</v>
      </c>
      <c r="J102" s="90">
        <v>0</v>
      </c>
      <c r="K102" s="90">
        <v>0</v>
      </c>
      <c r="L102" s="90">
        <v>0</v>
      </c>
      <c r="M102" s="90">
        <v>0</v>
      </c>
      <c r="N102" s="90">
        <v>0</v>
      </c>
      <c r="O102" s="90">
        <v>0</v>
      </c>
      <c r="P102" s="90">
        <v>0</v>
      </c>
      <c r="Q102" s="90">
        <v>0</v>
      </c>
      <c r="R102">
        <v>0</v>
      </c>
    </row>
    <row r="103" spans="2:18" ht="12.75" customHeight="1" x14ac:dyDescent="0.25">
      <c r="B103" s="142"/>
      <c r="C103" s="89"/>
      <c r="D103" s="89" t="s">
        <v>72</v>
      </c>
      <c r="E103" s="371">
        <v>0</v>
      </c>
      <c r="F103" s="90">
        <v>0</v>
      </c>
      <c r="G103" s="90">
        <v>0</v>
      </c>
      <c r="H103" s="90">
        <v>0</v>
      </c>
      <c r="I103" s="90">
        <v>0</v>
      </c>
      <c r="J103" s="90">
        <v>0</v>
      </c>
      <c r="K103" s="90">
        <v>0</v>
      </c>
      <c r="L103" s="90">
        <v>0</v>
      </c>
      <c r="M103" s="90">
        <v>0</v>
      </c>
      <c r="N103" s="90">
        <v>0</v>
      </c>
      <c r="O103" s="90">
        <v>0</v>
      </c>
      <c r="P103" s="90">
        <v>0</v>
      </c>
      <c r="Q103" s="90">
        <v>0</v>
      </c>
      <c r="R103">
        <v>0</v>
      </c>
    </row>
    <row r="104" spans="2:18" ht="12.75" customHeight="1" x14ac:dyDescent="0.25">
      <c r="B104" s="142"/>
      <c r="C104" s="89"/>
      <c r="D104" s="89" t="s">
        <v>81</v>
      </c>
      <c r="E104" s="371">
        <v>0</v>
      </c>
      <c r="F104" s="90">
        <v>0</v>
      </c>
      <c r="G104" s="90">
        <v>0</v>
      </c>
      <c r="H104" s="90">
        <v>0</v>
      </c>
      <c r="I104" s="90">
        <v>0</v>
      </c>
      <c r="J104" s="90">
        <v>0</v>
      </c>
      <c r="K104" s="90">
        <v>0</v>
      </c>
      <c r="L104" s="90">
        <v>0</v>
      </c>
      <c r="M104" s="90">
        <v>0</v>
      </c>
      <c r="N104" s="90">
        <v>0</v>
      </c>
      <c r="O104" s="90">
        <v>0</v>
      </c>
      <c r="P104" s="90">
        <v>0</v>
      </c>
      <c r="Q104" s="90">
        <v>0</v>
      </c>
      <c r="R104">
        <v>0</v>
      </c>
    </row>
    <row r="105" spans="2:18" ht="12.75" customHeight="1" x14ac:dyDescent="0.25">
      <c r="B105" s="142"/>
      <c r="C105" s="773">
        <v>9</v>
      </c>
      <c r="D105" s="89" t="s">
        <v>70</v>
      </c>
      <c r="E105" s="371">
        <v>0</v>
      </c>
      <c r="F105" s="90">
        <v>0</v>
      </c>
      <c r="G105" s="90">
        <v>0</v>
      </c>
      <c r="H105" s="90">
        <v>0</v>
      </c>
      <c r="I105" s="90">
        <v>0</v>
      </c>
      <c r="J105" s="90">
        <v>0</v>
      </c>
      <c r="K105" s="90">
        <v>0</v>
      </c>
      <c r="L105" s="90">
        <v>0</v>
      </c>
      <c r="M105" s="90">
        <v>0</v>
      </c>
      <c r="N105" s="90">
        <v>0</v>
      </c>
      <c r="O105" s="90">
        <v>0</v>
      </c>
      <c r="P105" s="90">
        <v>0</v>
      </c>
      <c r="Q105" s="90">
        <v>0</v>
      </c>
      <c r="R105">
        <v>0</v>
      </c>
    </row>
    <row r="106" spans="2:18" s="224" customFormat="1" ht="12.75" customHeight="1" x14ac:dyDescent="0.25">
      <c r="B106" s="224" t="s">
        <v>120</v>
      </c>
      <c r="C106" s="224" t="s">
        <v>70</v>
      </c>
      <c r="E106" s="224">
        <v>0</v>
      </c>
      <c r="F106" s="224">
        <v>0</v>
      </c>
      <c r="G106" s="224">
        <v>0</v>
      </c>
      <c r="H106" s="224">
        <v>0</v>
      </c>
      <c r="I106" s="224">
        <v>0</v>
      </c>
      <c r="J106" s="224">
        <v>0</v>
      </c>
      <c r="K106" s="224">
        <v>0</v>
      </c>
      <c r="L106" s="224">
        <v>0</v>
      </c>
      <c r="M106" s="224">
        <v>0</v>
      </c>
      <c r="N106" s="224">
        <v>0</v>
      </c>
      <c r="O106" s="224">
        <v>0</v>
      </c>
      <c r="P106" s="224">
        <v>0</v>
      </c>
      <c r="Q106" s="224">
        <v>0</v>
      </c>
      <c r="R106" s="224">
        <v>0</v>
      </c>
    </row>
    <row r="107" spans="2:18" ht="12.75" customHeight="1" x14ac:dyDescent="0.25">
      <c r="D107" t="s">
        <v>72</v>
      </c>
      <c r="E107" s="142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 ht="12.75" customHeight="1" x14ac:dyDescent="0.25">
      <c r="D108" t="s">
        <v>81</v>
      </c>
      <c r="E108" s="142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2:18" ht="12.75" customHeight="1" x14ac:dyDescent="0.25">
      <c r="C109" t="s">
        <v>82</v>
      </c>
      <c r="D109" t="s">
        <v>70</v>
      </c>
      <c r="E109" s="142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2:18" ht="12.75" customHeight="1" x14ac:dyDescent="0.25">
      <c r="D110" t="s">
        <v>72</v>
      </c>
      <c r="E110" s="142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2:18" ht="12.75" customHeight="1" x14ac:dyDescent="0.25">
      <c r="D111" t="s">
        <v>81</v>
      </c>
      <c r="E111" s="142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2:18" ht="12.75" customHeight="1" x14ac:dyDescent="0.25">
      <c r="C112" t="s">
        <v>86</v>
      </c>
      <c r="D112" t="s">
        <v>70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2.75" customHeight="1" x14ac:dyDescent="0.25">
      <c r="D113" t="s">
        <v>72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2.75" customHeight="1" x14ac:dyDescent="0.25">
      <c r="D114" t="s">
        <v>81</v>
      </c>
      <c r="E114" s="142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2.75" customHeight="1" x14ac:dyDescent="0.25">
      <c r="C115" s="89" t="s">
        <v>87</v>
      </c>
      <c r="D115" s="89" t="s">
        <v>70</v>
      </c>
      <c r="E115" s="90">
        <v>0</v>
      </c>
      <c r="F115" s="90">
        <v>0</v>
      </c>
      <c r="G115" s="90">
        <v>0</v>
      </c>
      <c r="H115" s="90">
        <v>0</v>
      </c>
      <c r="I115" s="90">
        <v>0</v>
      </c>
      <c r="J115" s="90">
        <v>0</v>
      </c>
      <c r="K115" s="90">
        <v>0</v>
      </c>
      <c r="L115" s="90">
        <v>0</v>
      </c>
      <c r="M115" s="90">
        <v>0</v>
      </c>
      <c r="N115" s="90">
        <v>0</v>
      </c>
      <c r="O115" s="90">
        <v>0</v>
      </c>
      <c r="P115" s="90">
        <v>0</v>
      </c>
      <c r="Q115" s="90">
        <v>0</v>
      </c>
      <c r="R115">
        <v>0</v>
      </c>
    </row>
    <row r="116" spans="1:18" s="94" customFormat="1" ht="12.75" customHeight="1" x14ac:dyDescent="0.25">
      <c r="B116" s="94" t="s">
        <v>119</v>
      </c>
      <c r="C116" s="101" t="s">
        <v>70</v>
      </c>
      <c r="D116" s="101"/>
      <c r="E116" s="93">
        <v>0</v>
      </c>
      <c r="F116" s="93">
        <v>0</v>
      </c>
      <c r="G116" s="93">
        <v>0</v>
      </c>
      <c r="H116" s="93">
        <v>0</v>
      </c>
      <c r="I116" s="93">
        <v>0</v>
      </c>
      <c r="J116" s="93">
        <v>0</v>
      </c>
      <c r="K116" s="93">
        <v>0</v>
      </c>
      <c r="L116" s="93">
        <v>0</v>
      </c>
      <c r="M116" s="93">
        <v>0</v>
      </c>
      <c r="N116" s="93">
        <v>0</v>
      </c>
      <c r="O116" s="93">
        <v>0</v>
      </c>
      <c r="P116" s="93">
        <v>0</v>
      </c>
      <c r="Q116" s="93">
        <v>0</v>
      </c>
      <c r="R116" s="94">
        <v>0</v>
      </c>
    </row>
    <row r="117" spans="1:18" s="226" customFormat="1" ht="12.75" customHeight="1" x14ac:dyDescent="0.25">
      <c r="A117" s="98" t="s">
        <v>78</v>
      </c>
      <c r="B117" s="98" t="s">
        <v>70</v>
      </c>
      <c r="E117" s="100">
        <v>0</v>
      </c>
      <c r="F117" s="100">
        <v>0</v>
      </c>
      <c r="G117" s="100">
        <v>0</v>
      </c>
      <c r="H117" s="100">
        <v>0</v>
      </c>
      <c r="I117" s="100">
        <v>0</v>
      </c>
      <c r="J117" s="100">
        <v>0</v>
      </c>
      <c r="K117" s="100">
        <v>0</v>
      </c>
      <c r="L117" s="100">
        <v>0</v>
      </c>
      <c r="M117" s="100">
        <v>0</v>
      </c>
      <c r="N117" s="100">
        <v>0</v>
      </c>
      <c r="O117" s="100">
        <v>0</v>
      </c>
      <c r="P117" s="100">
        <v>0</v>
      </c>
      <c r="Q117" s="100">
        <v>0</v>
      </c>
      <c r="R117" s="226">
        <v>0</v>
      </c>
    </row>
    <row r="118" spans="1:18" ht="12.75" customHeight="1" x14ac:dyDescent="0.25">
      <c r="B118" s="89"/>
      <c r="C118" s="89"/>
      <c r="D118" t="s">
        <v>73</v>
      </c>
      <c r="E118" s="90">
        <v>0</v>
      </c>
      <c r="F118" s="90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>
        <v>0</v>
      </c>
    </row>
    <row r="119" spans="1:18" ht="12.75" customHeight="1" x14ac:dyDescent="0.25">
      <c r="B119" s="89"/>
      <c r="C119" s="89" t="s">
        <v>332</v>
      </c>
      <c r="D119" t="s">
        <v>70</v>
      </c>
      <c r="E119" s="90">
        <v>0</v>
      </c>
      <c r="F119" s="90">
        <v>0</v>
      </c>
      <c r="G119" s="90">
        <v>0</v>
      </c>
      <c r="H119" s="90">
        <v>0</v>
      </c>
      <c r="I119" s="90">
        <v>0</v>
      </c>
      <c r="J119" s="90">
        <v>0</v>
      </c>
      <c r="K119" s="90">
        <v>0</v>
      </c>
      <c r="L119" s="90">
        <v>0</v>
      </c>
      <c r="M119" s="90">
        <v>0</v>
      </c>
      <c r="N119" s="90">
        <v>0</v>
      </c>
      <c r="O119" s="90">
        <v>0</v>
      </c>
      <c r="P119" s="90">
        <v>0</v>
      </c>
      <c r="Q119" s="90">
        <v>0</v>
      </c>
      <c r="R119">
        <v>0</v>
      </c>
    </row>
    <row r="120" spans="1:18" s="378" customFormat="1" ht="12.75" customHeight="1" x14ac:dyDescent="0.25">
      <c r="B120" s="378" t="s">
        <v>85</v>
      </c>
      <c r="C120" s="378" t="s">
        <v>70</v>
      </c>
      <c r="E120" s="378">
        <v>0</v>
      </c>
      <c r="F120" s="378">
        <v>0</v>
      </c>
      <c r="G120" s="378">
        <v>0</v>
      </c>
      <c r="H120" s="378">
        <v>0</v>
      </c>
      <c r="I120" s="378">
        <v>0</v>
      </c>
      <c r="J120" s="378">
        <v>0</v>
      </c>
      <c r="K120" s="378">
        <v>0</v>
      </c>
      <c r="L120" s="378">
        <v>0</v>
      </c>
      <c r="M120" s="378">
        <v>0</v>
      </c>
      <c r="N120" s="378">
        <v>0</v>
      </c>
      <c r="O120" s="378">
        <v>0</v>
      </c>
      <c r="P120" s="378">
        <v>0</v>
      </c>
      <c r="Q120" s="378">
        <v>0</v>
      </c>
      <c r="R120" s="378">
        <v>0</v>
      </c>
    </row>
    <row r="121" spans="1:18" ht="12.75" customHeight="1" x14ac:dyDescent="0.25">
      <c r="C121" s="89"/>
      <c r="D121" s="89" t="s">
        <v>73</v>
      </c>
      <c r="E121" s="90">
        <v>0</v>
      </c>
      <c r="F121" s="90">
        <v>0</v>
      </c>
      <c r="G121" s="90">
        <v>0</v>
      </c>
      <c r="H121" s="90">
        <v>0</v>
      </c>
      <c r="I121" s="90">
        <v>0</v>
      </c>
      <c r="J121" s="90">
        <v>0</v>
      </c>
      <c r="K121" s="90">
        <v>0</v>
      </c>
      <c r="L121" s="90">
        <v>0</v>
      </c>
      <c r="M121" s="90">
        <v>0</v>
      </c>
      <c r="N121" s="90">
        <v>0</v>
      </c>
      <c r="O121" s="90">
        <v>0</v>
      </c>
      <c r="P121" s="90">
        <v>0</v>
      </c>
      <c r="Q121" s="90">
        <v>0</v>
      </c>
      <c r="R121">
        <v>0</v>
      </c>
    </row>
    <row r="122" spans="1:18" ht="12.75" customHeight="1" x14ac:dyDescent="0.25">
      <c r="C122" s="89" t="s">
        <v>156</v>
      </c>
      <c r="D122" s="89" t="s">
        <v>70</v>
      </c>
      <c r="E122" s="371">
        <v>0</v>
      </c>
      <c r="F122" s="90">
        <v>0</v>
      </c>
      <c r="G122" s="90">
        <v>0</v>
      </c>
      <c r="H122" s="90">
        <v>0</v>
      </c>
      <c r="I122" s="90">
        <v>0</v>
      </c>
      <c r="J122" s="90">
        <v>0</v>
      </c>
      <c r="K122" s="90">
        <v>0</v>
      </c>
      <c r="L122" s="90">
        <v>0</v>
      </c>
      <c r="M122" s="90">
        <v>0</v>
      </c>
      <c r="N122" s="90">
        <v>0</v>
      </c>
      <c r="O122" s="90">
        <v>0</v>
      </c>
      <c r="P122" s="90">
        <v>0</v>
      </c>
      <c r="Q122" s="90">
        <v>0</v>
      </c>
      <c r="R122">
        <v>0</v>
      </c>
    </row>
    <row r="123" spans="1:18" s="286" customFormat="1" ht="12.75" customHeight="1" x14ac:dyDescent="0.25">
      <c r="B123" s="286" t="s">
        <v>155</v>
      </c>
      <c r="C123" s="229" t="s">
        <v>70</v>
      </c>
      <c r="D123" s="229"/>
      <c r="E123" s="752">
        <v>0</v>
      </c>
      <c r="F123" s="230">
        <v>0</v>
      </c>
      <c r="G123" s="230">
        <v>0</v>
      </c>
      <c r="H123" s="230">
        <v>0</v>
      </c>
      <c r="I123" s="230">
        <v>0</v>
      </c>
      <c r="J123" s="230">
        <v>0</v>
      </c>
      <c r="K123" s="230">
        <v>0</v>
      </c>
      <c r="L123" s="230">
        <v>0</v>
      </c>
      <c r="M123" s="230">
        <v>0</v>
      </c>
      <c r="N123" s="230">
        <v>0</v>
      </c>
      <c r="O123" s="230">
        <v>0</v>
      </c>
      <c r="P123" s="230">
        <v>0</v>
      </c>
      <c r="Q123" s="230">
        <v>0</v>
      </c>
      <c r="R123" s="286">
        <v>0</v>
      </c>
    </row>
    <row r="124" spans="1:18" ht="12.75" customHeight="1" x14ac:dyDescent="0.25">
      <c r="C124" s="89"/>
      <c r="D124" s="89" t="s">
        <v>73</v>
      </c>
      <c r="E124" s="371">
        <v>0</v>
      </c>
      <c r="F124" s="90">
        <v>0</v>
      </c>
      <c r="G124" s="90">
        <v>0</v>
      </c>
      <c r="H124" s="90">
        <v>0</v>
      </c>
      <c r="I124" s="90">
        <v>0</v>
      </c>
      <c r="J124" s="90">
        <v>0</v>
      </c>
      <c r="K124" s="90">
        <v>0</v>
      </c>
      <c r="L124" s="90">
        <v>0</v>
      </c>
      <c r="M124" s="90">
        <v>0</v>
      </c>
      <c r="N124" s="90">
        <v>0</v>
      </c>
      <c r="O124" s="90">
        <v>0</v>
      </c>
      <c r="P124" s="90">
        <v>0</v>
      </c>
      <c r="Q124" s="90">
        <v>0</v>
      </c>
      <c r="R124">
        <v>0</v>
      </c>
    </row>
    <row r="125" spans="1:18" ht="12.75" customHeight="1" x14ac:dyDescent="0.25">
      <c r="C125" s="89" t="s">
        <v>115</v>
      </c>
      <c r="D125" s="89" t="s">
        <v>70</v>
      </c>
      <c r="E125" s="90">
        <v>0</v>
      </c>
      <c r="F125" s="90">
        <v>0</v>
      </c>
      <c r="G125" s="90">
        <v>0</v>
      </c>
      <c r="H125" s="90">
        <v>0</v>
      </c>
      <c r="I125" s="90">
        <v>0</v>
      </c>
      <c r="J125" s="90">
        <v>0</v>
      </c>
      <c r="K125" s="90">
        <v>0</v>
      </c>
      <c r="L125" s="90">
        <v>0</v>
      </c>
      <c r="M125" s="90">
        <v>0</v>
      </c>
      <c r="N125" s="90">
        <v>0</v>
      </c>
      <c r="O125" s="90">
        <v>0</v>
      </c>
      <c r="P125" s="90">
        <v>0</v>
      </c>
      <c r="Q125" s="90">
        <v>0</v>
      </c>
      <c r="R125">
        <v>0</v>
      </c>
    </row>
    <row r="126" spans="1:18" ht="12.75" customHeight="1" x14ac:dyDescent="0.25">
      <c r="C126" s="89"/>
      <c r="D126" s="89" t="s">
        <v>73</v>
      </c>
      <c r="E126" s="371">
        <v>0</v>
      </c>
      <c r="F126" s="90">
        <v>0</v>
      </c>
      <c r="G126" s="90">
        <v>0</v>
      </c>
      <c r="H126" s="90">
        <v>0</v>
      </c>
      <c r="I126" s="90">
        <v>0</v>
      </c>
      <c r="J126" s="90">
        <v>0</v>
      </c>
      <c r="K126" s="90">
        <v>0</v>
      </c>
      <c r="L126" s="90">
        <v>0</v>
      </c>
      <c r="M126" s="90">
        <v>0</v>
      </c>
      <c r="N126" s="90">
        <v>0</v>
      </c>
      <c r="O126" s="90">
        <v>0</v>
      </c>
      <c r="P126" s="90">
        <v>0</v>
      </c>
      <c r="Q126" s="90">
        <v>0</v>
      </c>
      <c r="R126">
        <v>0</v>
      </c>
    </row>
    <row r="127" spans="1:18" ht="12.75" customHeight="1" x14ac:dyDescent="0.25">
      <c r="C127" s="89" t="s">
        <v>116</v>
      </c>
      <c r="D127" s="89" t="s">
        <v>70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>
        <v>0</v>
      </c>
    </row>
    <row r="128" spans="1:18" ht="12.75" customHeight="1" x14ac:dyDescent="0.25">
      <c r="C128" s="89"/>
      <c r="D128" s="89" t="s">
        <v>73</v>
      </c>
      <c r="E128" s="371">
        <v>0</v>
      </c>
      <c r="F128" s="90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>
        <v>0</v>
      </c>
    </row>
    <row r="129" spans="2:18" ht="12.75" customHeight="1" x14ac:dyDescent="0.25">
      <c r="C129" s="773">
        <v>3</v>
      </c>
      <c r="D129" s="89" t="s">
        <v>70</v>
      </c>
      <c r="E129" s="90">
        <v>0</v>
      </c>
      <c r="F129" s="90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>
        <v>0</v>
      </c>
    </row>
    <row r="130" spans="2:18" ht="12.75" customHeight="1" x14ac:dyDescent="0.25">
      <c r="C130" s="89"/>
      <c r="D130" s="89" t="s">
        <v>73</v>
      </c>
      <c r="E130" s="371">
        <v>0</v>
      </c>
      <c r="F130" s="90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>
        <v>0</v>
      </c>
    </row>
    <row r="131" spans="2:18" ht="12.75" customHeight="1" x14ac:dyDescent="0.25">
      <c r="C131" s="773">
        <v>4</v>
      </c>
      <c r="D131" s="89" t="s">
        <v>70</v>
      </c>
      <c r="E131" s="371">
        <v>0</v>
      </c>
      <c r="F131" s="90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>
        <v>0</v>
      </c>
    </row>
    <row r="132" spans="2:18" ht="12.75" customHeight="1" x14ac:dyDescent="0.25">
      <c r="C132" s="89"/>
      <c r="D132" s="89" t="s">
        <v>73</v>
      </c>
      <c r="E132" s="371">
        <v>0</v>
      </c>
      <c r="F132" s="90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>
        <v>0</v>
      </c>
    </row>
    <row r="133" spans="2:18" ht="12.75" customHeight="1" x14ac:dyDescent="0.25">
      <c r="C133" s="89" t="s">
        <v>118</v>
      </c>
      <c r="D133" s="89" t="s">
        <v>70</v>
      </c>
      <c r="E133" s="371">
        <v>0</v>
      </c>
      <c r="F133" s="90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>
        <v>0</v>
      </c>
    </row>
    <row r="134" spans="2:18" ht="12.75" customHeight="1" x14ac:dyDescent="0.25">
      <c r="C134" s="89"/>
      <c r="D134" s="89" t="s">
        <v>73</v>
      </c>
      <c r="E134" s="371">
        <v>0</v>
      </c>
      <c r="F134" s="90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>
        <v>0</v>
      </c>
    </row>
    <row r="135" spans="2:18" ht="12.75" customHeight="1" x14ac:dyDescent="0.25">
      <c r="C135" s="773">
        <v>6</v>
      </c>
      <c r="D135" s="89" t="s">
        <v>70</v>
      </c>
      <c r="E135" s="371">
        <v>0</v>
      </c>
      <c r="F135" s="90">
        <v>0</v>
      </c>
      <c r="G135" s="90">
        <v>0</v>
      </c>
      <c r="H135" s="90">
        <v>0</v>
      </c>
      <c r="I135" s="90">
        <v>0</v>
      </c>
      <c r="J135" s="90">
        <v>0</v>
      </c>
      <c r="K135" s="90">
        <v>0</v>
      </c>
      <c r="L135" s="90">
        <v>0</v>
      </c>
      <c r="M135" s="90">
        <v>0</v>
      </c>
      <c r="N135" s="90">
        <v>0</v>
      </c>
      <c r="O135" s="90">
        <v>0</v>
      </c>
      <c r="P135" s="90">
        <v>0</v>
      </c>
      <c r="Q135" s="90">
        <v>0</v>
      </c>
      <c r="R135">
        <v>0</v>
      </c>
    </row>
    <row r="136" spans="2:18" ht="12.75" customHeight="1" x14ac:dyDescent="0.25">
      <c r="C136" s="89"/>
      <c r="D136" s="89" t="s">
        <v>73</v>
      </c>
      <c r="E136" s="371">
        <v>0</v>
      </c>
      <c r="F136" s="90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>
        <v>0</v>
      </c>
    </row>
    <row r="137" spans="2:18" ht="12.75" customHeight="1" x14ac:dyDescent="0.25">
      <c r="C137" s="773">
        <v>9</v>
      </c>
      <c r="D137" s="89" t="s">
        <v>70</v>
      </c>
      <c r="E137" s="371">
        <v>0</v>
      </c>
      <c r="F137" s="90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>
        <v>0</v>
      </c>
    </row>
    <row r="138" spans="2:18" s="224" customFormat="1" ht="12.75" customHeight="1" x14ac:dyDescent="0.25">
      <c r="B138" s="223" t="s">
        <v>120</v>
      </c>
      <c r="C138" s="223" t="s">
        <v>70</v>
      </c>
      <c r="E138" s="225">
        <v>0</v>
      </c>
      <c r="F138" s="225">
        <v>0</v>
      </c>
      <c r="G138" s="225">
        <v>0</v>
      </c>
      <c r="H138" s="225">
        <v>0</v>
      </c>
      <c r="I138" s="225">
        <v>0</v>
      </c>
      <c r="J138" s="225">
        <v>0</v>
      </c>
      <c r="K138" s="225">
        <v>0</v>
      </c>
      <c r="L138" s="225">
        <v>0</v>
      </c>
      <c r="M138" s="225">
        <v>0</v>
      </c>
      <c r="N138" s="225">
        <v>0</v>
      </c>
      <c r="O138" s="225">
        <v>0</v>
      </c>
      <c r="P138" s="225">
        <v>0</v>
      </c>
      <c r="Q138" s="225">
        <v>0</v>
      </c>
      <c r="R138" s="224">
        <v>0</v>
      </c>
    </row>
    <row r="139" spans="2:18" ht="12.75" customHeight="1" x14ac:dyDescent="0.25">
      <c r="D139" s="89" t="s">
        <v>73</v>
      </c>
      <c r="E139" s="371">
        <v>0</v>
      </c>
      <c r="F139" s="90">
        <v>0</v>
      </c>
      <c r="G139" s="90">
        <v>0</v>
      </c>
      <c r="H139" s="90">
        <v>0</v>
      </c>
      <c r="I139" s="90">
        <v>0</v>
      </c>
      <c r="J139" s="90">
        <v>0</v>
      </c>
      <c r="K139" s="90">
        <v>0</v>
      </c>
      <c r="L139" s="90">
        <v>0</v>
      </c>
      <c r="M139" s="90">
        <v>0</v>
      </c>
      <c r="N139" s="90">
        <v>0</v>
      </c>
      <c r="O139" s="90">
        <v>0</v>
      </c>
      <c r="P139" s="90">
        <v>0</v>
      </c>
      <c r="Q139" s="90">
        <v>0</v>
      </c>
      <c r="R139">
        <v>0</v>
      </c>
    </row>
    <row r="140" spans="2:18" ht="12.75" customHeight="1" x14ac:dyDescent="0.25">
      <c r="C140" t="s">
        <v>82</v>
      </c>
      <c r="D140" s="89" t="s">
        <v>70</v>
      </c>
      <c r="E140" s="371">
        <v>0</v>
      </c>
      <c r="F140" s="90">
        <v>0</v>
      </c>
      <c r="G140" s="90">
        <v>0</v>
      </c>
      <c r="H140" s="90">
        <v>0</v>
      </c>
      <c r="I140" s="90">
        <v>0</v>
      </c>
      <c r="J140" s="90">
        <v>0</v>
      </c>
      <c r="K140" s="90">
        <v>0</v>
      </c>
      <c r="L140" s="90">
        <v>0</v>
      </c>
      <c r="M140" s="90">
        <v>0</v>
      </c>
      <c r="N140" s="90">
        <v>0</v>
      </c>
      <c r="O140" s="90">
        <v>0</v>
      </c>
      <c r="P140" s="90">
        <v>0</v>
      </c>
      <c r="Q140" s="90">
        <v>0</v>
      </c>
      <c r="R140">
        <v>0</v>
      </c>
    </row>
    <row r="141" spans="2:18" ht="12.75" customHeight="1" x14ac:dyDescent="0.25">
      <c r="D141" s="89" t="s">
        <v>73</v>
      </c>
      <c r="E141" s="371">
        <v>0</v>
      </c>
      <c r="F141" s="90">
        <v>0</v>
      </c>
      <c r="G141" s="90">
        <v>0</v>
      </c>
      <c r="H141" s="90">
        <v>0</v>
      </c>
      <c r="I141" s="90">
        <v>0</v>
      </c>
      <c r="J141" s="90">
        <v>0</v>
      </c>
      <c r="K141" s="90">
        <v>0</v>
      </c>
      <c r="L141" s="90">
        <v>0</v>
      </c>
      <c r="M141" s="90">
        <v>0</v>
      </c>
      <c r="N141" s="90">
        <v>0</v>
      </c>
      <c r="O141" s="90">
        <v>0</v>
      </c>
      <c r="P141" s="90">
        <v>0</v>
      </c>
      <c r="Q141" s="90">
        <v>0</v>
      </c>
      <c r="R141">
        <v>0</v>
      </c>
    </row>
    <row r="142" spans="2:18" ht="12.75" customHeight="1" x14ac:dyDescent="0.25">
      <c r="C142" t="s">
        <v>86</v>
      </c>
      <c r="D142" s="89" t="s">
        <v>70</v>
      </c>
      <c r="E142" s="371">
        <v>0</v>
      </c>
      <c r="F142" s="90">
        <v>0</v>
      </c>
      <c r="G142" s="90">
        <v>0</v>
      </c>
      <c r="H142" s="90">
        <v>0</v>
      </c>
      <c r="I142" s="90">
        <v>0</v>
      </c>
      <c r="J142" s="90">
        <v>0</v>
      </c>
      <c r="K142" s="90">
        <v>0</v>
      </c>
      <c r="L142" s="90">
        <v>0</v>
      </c>
      <c r="M142" s="90">
        <v>0</v>
      </c>
      <c r="N142" s="90">
        <v>0</v>
      </c>
      <c r="O142" s="90">
        <v>0</v>
      </c>
      <c r="P142" s="90">
        <v>0</v>
      </c>
      <c r="Q142" s="90">
        <v>0</v>
      </c>
      <c r="R142">
        <v>0</v>
      </c>
    </row>
    <row r="143" spans="2:18" ht="12.75" customHeight="1" x14ac:dyDescent="0.25">
      <c r="D143" s="89" t="s">
        <v>73</v>
      </c>
      <c r="E143" s="371">
        <v>0</v>
      </c>
      <c r="F143" s="90">
        <v>0</v>
      </c>
      <c r="G143" s="90">
        <v>0</v>
      </c>
      <c r="H143" s="90">
        <v>0</v>
      </c>
      <c r="I143" s="90">
        <v>0</v>
      </c>
      <c r="J143" s="90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>
        <v>0</v>
      </c>
    </row>
    <row r="144" spans="2:18" ht="12.75" customHeight="1" x14ac:dyDescent="0.25">
      <c r="C144" t="s">
        <v>87</v>
      </c>
      <c r="D144" s="89" t="s">
        <v>70</v>
      </c>
      <c r="E144" s="90">
        <v>0</v>
      </c>
      <c r="F144" s="90">
        <v>0</v>
      </c>
      <c r="G144" s="90">
        <v>0</v>
      </c>
      <c r="H144" s="90">
        <v>0</v>
      </c>
      <c r="I144" s="90">
        <v>0</v>
      </c>
      <c r="J144" s="90">
        <v>0</v>
      </c>
      <c r="K144" s="90">
        <v>0</v>
      </c>
      <c r="L144" s="90">
        <v>0</v>
      </c>
      <c r="M144" s="90">
        <v>0</v>
      </c>
      <c r="N144" s="90">
        <v>0</v>
      </c>
      <c r="O144" s="90">
        <v>0</v>
      </c>
      <c r="P144" s="90">
        <v>0</v>
      </c>
      <c r="Q144" s="90">
        <v>0</v>
      </c>
      <c r="R144">
        <v>0</v>
      </c>
    </row>
    <row r="145" spans="1:19" s="94" customFormat="1" ht="12.75" customHeight="1" x14ac:dyDescent="0.25">
      <c r="B145" s="101" t="s">
        <v>119</v>
      </c>
      <c r="C145" s="101" t="s">
        <v>70</v>
      </c>
      <c r="E145" s="93">
        <v>0</v>
      </c>
      <c r="F145" s="93">
        <v>0</v>
      </c>
      <c r="G145" s="93">
        <v>0</v>
      </c>
      <c r="H145" s="93">
        <v>0</v>
      </c>
      <c r="I145" s="93">
        <v>0</v>
      </c>
      <c r="J145" s="93">
        <v>0</v>
      </c>
      <c r="K145" s="93">
        <v>0</v>
      </c>
      <c r="L145" s="93">
        <v>0</v>
      </c>
      <c r="M145" s="93">
        <v>0</v>
      </c>
      <c r="N145" s="93">
        <v>0</v>
      </c>
      <c r="O145" s="93">
        <v>0</v>
      </c>
      <c r="P145" s="93">
        <v>0</v>
      </c>
      <c r="Q145" s="93">
        <v>0</v>
      </c>
      <c r="R145" s="94">
        <v>0</v>
      </c>
    </row>
    <row r="146" spans="1:19" s="226" customFormat="1" ht="12.75" customHeight="1" x14ac:dyDescent="0.25">
      <c r="A146" s="98" t="s">
        <v>79</v>
      </c>
      <c r="B146" s="98" t="s">
        <v>70</v>
      </c>
      <c r="E146" s="100">
        <v>0</v>
      </c>
      <c r="F146" s="100">
        <v>0</v>
      </c>
      <c r="G146" s="100">
        <v>0</v>
      </c>
      <c r="H146" s="100">
        <v>0</v>
      </c>
      <c r="I146" s="100">
        <v>0</v>
      </c>
      <c r="J146" s="100">
        <v>0</v>
      </c>
      <c r="K146" s="100">
        <v>0</v>
      </c>
      <c r="L146" s="100">
        <v>0</v>
      </c>
      <c r="M146" s="100">
        <v>0</v>
      </c>
      <c r="N146" s="100">
        <v>0</v>
      </c>
      <c r="O146" s="100">
        <v>0</v>
      </c>
      <c r="P146" s="100">
        <v>0</v>
      </c>
      <c r="Q146" s="100">
        <v>0</v>
      </c>
      <c r="R146" s="226">
        <v>0</v>
      </c>
    </row>
    <row r="147" spans="1:19" ht="12.75" customHeight="1" x14ac:dyDescent="0.25">
      <c r="A147" s="89" t="s">
        <v>70</v>
      </c>
      <c r="E147" s="90">
        <v>0</v>
      </c>
      <c r="F147" s="90">
        <v>0</v>
      </c>
      <c r="G147" s="90">
        <v>0</v>
      </c>
      <c r="H147" s="90">
        <v>0</v>
      </c>
      <c r="I147" s="90">
        <v>0</v>
      </c>
      <c r="J147" s="90">
        <v>0</v>
      </c>
      <c r="K147" s="90">
        <v>0</v>
      </c>
      <c r="L147" s="90">
        <v>0</v>
      </c>
      <c r="M147" s="90">
        <v>0</v>
      </c>
      <c r="N147" s="90">
        <v>0</v>
      </c>
      <c r="O147" s="90">
        <v>0</v>
      </c>
      <c r="P147" s="90">
        <v>0</v>
      </c>
      <c r="Q147" s="90">
        <v>0</v>
      </c>
      <c r="R147">
        <v>0</v>
      </c>
    </row>
    <row r="148" spans="1:19" ht="12.75" customHeight="1" x14ac:dyDescent="0.25">
      <c r="A148" s="89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25">
      <c r="A149" s="89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25">
      <c r="A150" s="89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25">
      <c r="A151" s="89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25">
      <c r="A152" s="89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25">
      <c r="A153" s="89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hidden="1" customHeight="1" x14ac:dyDescent="0.25">
      <c r="A154" s="89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hidden="1" customHeight="1" x14ac:dyDescent="0.25">
      <c r="A155" s="89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</row>
    <row r="156" spans="1:19" ht="12.75" hidden="1" customHeight="1" x14ac:dyDescent="0.25">
      <c r="A156" s="89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</row>
    <row r="157" spans="1:19" ht="12.75" hidden="1" customHeight="1" x14ac:dyDescent="0.25">
      <c r="A157" s="89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</row>
    <row r="158" spans="1:19" ht="12.75" hidden="1" customHeight="1" x14ac:dyDescent="0.25">
      <c r="A158" s="89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</row>
    <row r="159" spans="1:19" ht="12.75" hidden="1" customHeight="1" x14ac:dyDescent="0.25">
      <c r="A159" s="89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</row>
    <row r="160" spans="1:19" ht="12.75" hidden="1" customHeight="1" x14ac:dyDescent="0.25">
      <c r="A160" s="89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</row>
    <row r="161" spans="1:19" ht="12.75" hidden="1" customHeight="1" x14ac:dyDescent="0.25">
      <c r="A161" s="89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</row>
    <row r="162" spans="1:19" ht="12.75" hidden="1" customHeight="1" x14ac:dyDescent="0.25">
      <c r="A162" s="89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</row>
    <row r="163" spans="1:19" ht="12.75" hidden="1" customHeight="1" x14ac:dyDescent="0.25">
      <c r="A163" s="89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</row>
    <row r="164" spans="1:19" ht="12.75" hidden="1" customHeight="1" x14ac:dyDescent="0.25">
      <c r="A164" s="89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</row>
    <row r="165" spans="1:19" ht="12.75" hidden="1" customHeight="1" x14ac:dyDescent="0.25">
      <c r="A165" s="89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</row>
    <row r="166" spans="1:19" ht="12.75" hidden="1" customHeight="1" x14ac:dyDescent="0.25">
      <c r="A166" s="89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</row>
    <row r="167" spans="1:19" ht="12.75" hidden="1" customHeight="1" x14ac:dyDescent="0.25">
      <c r="A167" s="89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</row>
    <row r="168" spans="1:19" ht="12.75" hidden="1" customHeight="1" x14ac:dyDescent="0.25">
      <c r="A168" s="89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</row>
    <row r="169" spans="1:19" ht="12.75" hidden="1" customHeight="1" x14ac:dyDescent="0.25">
      <c r="A169" s="89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</row>
    <row r="170" spans="1:19" ht="12.75" hidden="1" customHeight="1" x14ac:dyDescent="0.25">
      <c r="A170" s="89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</row>
    <row r="171" spans="1:19" ht="12.75" hidden="1" customHeight="1" x14ac:dyDescent="0.25">
      <c r="A171" s="89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</row>
    <row r="172" spans="1:19" ht="12.75" hidden="1" customHeight="1" x14ac:dyDescent="0.25">
      <c r="A172" s="89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</row>
    <row r="173" spans="1:19" ht="12.75" hidden="1" customHeight="1" x14ac:dyDescent="0.25">
      <c r="A173" s="89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</row>
    <row r="174" spans="1:19" ht="12.75" hidden="1" customHeight="1" x14ac:dyDescent="0.25">
      <c r="A174" s="89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</row>
    <row r="175" spans="1:19" ht="12.75" hidden="1" customHeight="1" x14ac:dyDescent="0.25">
      <c r="A175" s="89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</row>
    <row r="176" spans="1:19" ht="12.75" hidden="1" customHeight="1" x14ac:dyDescent="0.25">
      <c r="A176" s="89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</row>
    <row r="177" spans="1:19" ht="12.75" customHeight="1" x14ac:dyDescent="0.25">
      <c r="A177" s="89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</row>
    <row r="178" spans="1:19" ht="12.75" customHeight="1" x14ac:dyDescent="0.25">
      <c r="B178" s="778" t="s">
        <v>2</v>
      </c>
      <c r="C178" s="775" t="s">
        <v>132</v>
      </c>
      <c r="D178" s="98" t="s">
        <v>70</v>
      </c>
      <c r="E178" s="100">
        <f>E117+E146-K117</f>
        <v>0</v>
      </c>
      <c r="F178" s="100">
        <f t="shared" ref="F178:R178" si="3">F117</f>
        <v>0</v>
      </c>
      <c r="G178" s="100">
        <f t="shared" si="3"/>
        <v>0</v>
      </c>
      <c r="H178" s="100">
        <f t="shared" si="3"/>
        <v>0</v>
      </c>
      <c r="I178" s="100">
        <f t="shared" si="3"/>
        <v>0</v>
      </c>
      <c r="J178" s="100">
        <f t="shared" si="3"/>
        <v>0</v>
      </c>
      <c r="K178" s="100">
        <f t="shared" si="3"/>
        <v>0</v>
      </c>
      <c r="L178" s="100">
        <f t="shared" si="3"/>
        <v>0</v>
      </c>
      <c r="M178" s="100">
        <f t="shared" si="3"/>
        <v>0</v>
      </c>
      <c r="N178" s="100">
        <f t="shared" si="3"/>
        <v>0</v>
      </c>
      <c r="O178" s="100">
        <f t="shared" si="3"/>
        <v>0</v>
      </c>
      <c r="P178" s="100">
        <f t="shared" si="3"/>
        <v>0</v>
      </c>
      <c r="Q178" s="100">
        <f t="shared" si="3"/>
        <v>0</v>
      </c>
      <c r="R178" s="100">
        <f t="shared" si="3"/>
        <v>0</v>
      </c>
    </row>
    <row r="179" spans="1:19" ht="12.75" customHeight="1" x14ac:dyDescent="0.25">
      <c r="B179" s="778"/>
      <c r="C179" s="775"/>
      <c r="D179" s="98" t="s">
        <v>73</v>
      </c>
      <c r="E179" s="100">
        <f>E146</f>
        <v>0</v>
      </c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spans="1:19" ht="12.75" customHeight="1" x14ac:dyDescent="0.25">
      <c r="A180" s="89"/>
      <c r="B180" s="97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spans="1:19" ht="12.75" customHeight="1" x14ac:dyDescent="0.25">
      <c r="B181" s="778" t="s">
        <v>160</v>
      </c>
      <c r="C181" s="775" t="s">
        <v>132</v>
      </c>
      <c r="D181" s="223" t="s">
        <v>70</v>
      </c>
      <c r="E181" s="225">
        <f>E138+E120+E106+E80-K80-K106</f>
        <v>0</v>
      </c>
      <c r="F181" s="225">
        <f>F106+F80</f>
        <v>0</v>
      </c>
      <c r="G181" s="225">
        <f t="shared" ref="G181:R181" si="4">G106+G80</f>
        <v>0</v>
      </c>
      <c r="H181" s="225">
        <f t="shared" si="4"/>
        <v>0</v>
      </c>
      <c r="I181" s="225">
        <f t="shared" si="4"/>
        <v>0</v>
      </c>
      <c r="J181" s="225">
        <f t="shared" si="4"/>
        <v>0</v>
      </c>
      <c r="K181" s="225">
        <f t="shared" si="4"/>
        <v>0</v>
      </c>
      <c r="L181" s="225">
        <f t="shared" si="4"/>
        <v>0</v>
      </c>
      <c r="M181" s="225">
        <f t="shared" si="4"/>
        <v>0</v>
      </c>
      <c r="N181" s="225">
        <f t="shared" si="4"/>
        <v>0</v>
      </c>
      <c r="O181" s="225">
        <f t="shared" si="4"/>
        <v>0</v>
      </c>
      <c r="P181" s="225">
        <f t="shared" si="4"/>
        <v>0</v>
      </c>
      <c r="Q181" s="225">
        <f t="shared" si="4"/>
        <v>0</v>
      </c>
      <c r="R181" s="225">
        <f t="shared" si="4"/>
        <v>0</v>
      </c>
    </row>
    <row r="182" spans="1:19" ht="12.75" customHeight="1" x14ac:dyDescent="0.25">
      <c r="B182" s="778"/>
      <c r="C182" s="775"/>
      <c r="D182" s="223" t="s">
        <v>73</v>
      </c>
      <c r="E182" s="225">
        <f>E138+E120</f>
        <v>0</v>
      </c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spans="1:19" ht="12.6" customHeight="1" x14ac:dyDescent="0.25">
      <c r="A183" s="89"/>
      <c r="B183" s="97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spans="1:19" ht="12.75" customHeight="1" x14ac:dyDescent="0.25">
      <c r="B184" s="778" t="s">
        <v>155</v>
      </c>
      <c r="C184" s="775" t="s">
        <v>132</v>
      </c>
      <c r="D184" s="221" t="s">
        <v>70</v>
      </c>
      <c r="E184" s="222">
        <f>E123+E84-K84</f>
        <v>0</v>
      </c>
      <c r="F184" s="222">
        <f>F84</f>
        <v>0</v>
      </c>
      <c r="G184" s="222">
        <f t="shared" ref="G184:R184" si="5">G84</f>
        <v>0</v>
      </c>
      <c r="H184" s="222">
        <f t="shared" si="5"/>
        <v>0</v>
      </c>
      <c r="I184" s="222">
        <f t="shared" si="5"/>
        <v>0</v>
      </c>
      <c r="J184" s="222">
        <f t="shared" si="5"/>
        <v>0</v>
      </c>
      <c r="K184" s="222">
        <f t="shared" si="5"/>
        <v>0</v>
      </c>
      <c r="L184" s="222">
        <f t="shared" si="5"/>
        <v>0</v>
      </c>
      <c r="M184" s="222">
        <f t="shared" si="5"/>
        <v>0</v>
      </c>
      <c r="N184" s="222">
        <f t="shared" si="5"/>
        <v>0</v>
      </c>
      <c r="O184" s="222">
        <f t="shared" si="5"/>
        <v>0</v>
      </c>
      <c r="P184" s="222">
        <f t="shared" si="5"/>
        <v>0</v>
      </c>
      <c r="Q184" s="222">
        <f t="shared" si="5"/>
        <v>0</v>
      </c>
      <c r="R184" s="222">
        <f t="shared" si="5"/>
        <v>0</v>
      </c>
    </row>
    <row r="185" spans="1:19" ht="12.75" customHeight="1" x14ac:dyDescent="0.25">
      <c r="B185" s="778"/>
      <c r="C185" s="775"/>
      <c r="D185" s="221" t="s">
        <v>73</v>
      </c>
      <c r="E185" s="222">
        <f>E123</f>
        <v>0</v>
      </c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spans="1:19" ht="12.75" customHeight="1" x14ac:dyDescent="0.25">
      <c r="A186" s="89"/>
      <c r="B186" s="97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spans="1:19" ht="12.75" customHeight="1" x14ac:dyDescent="0.25">
      <c r="B187" s="776" t="s">
        <v>326</v>
      </c>
      <c r="C187" s="775" t="s">
        <v>132</v>
      </c>
      <c r="D187" s="373" t="s">
        <v>70</v>
      </c>
      <c r="E187" s="374">
        <v>0</v>
      </c>
      <c r="F187" s="374">
        <v>0</v>
      </c>
      <c r="G187" s="374">
        <v>0</v>
      </c>
      <c r="H187" s="374">
        <v>0</v>
      </c>
      <c r="I187" s="374">
        <v>0</v>
      </c>
      <c r="J187" s="374">
        <v>0</v>
      </c>
      <c r="K187" s="374">
        <v>0</v>
      </c>
      <c r="L187" s="374">
        <v>0</v>
      </c>
      <c r="M187" s="374">
        <v>0</v>
      </c>
      <c r="N187" s="374">
        <v>0</v>
      </c>
      <c r="O187" s="374">
        <v>0</v>
      </c>
      <c r="P187" s="374">
        <v>0</v>
      </c>
      <c r="Q187" s="374">
        <v>0</v>
      </c>
      <c r="R187" s="374">
        <v>0</v>
      </c>
    </row>
    <row r="188" spans="1:19" ht="12.75" customHeight="1" x14ac:dyDescent="0.25">
      <c r="B188" s="776"/>
      <c r="C188" s="775"/>
      <c r="D188" s="373" t="s">
        <v>73</v>
      </c>
      <c r="E188" s="374">
        <v>0</v>
      </c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spans="1:19" ht="12.75" customHeight="1" x14ac:dyDescent="0.25">
      <c r="A189" s="89"/>
      <c r="B189" s="97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spans="1:19" ht="12.75" customHeight="1" x14ac:dyDescent="0.25">
      <c r="B190" s="778" t="s">
        <v>119</v>
      </c>
      <c r="C190" s="775" t="s">
        <v>132</v>
      </c>
      <c r="D190" s="101" t="s">
        <v>70</v>
      </c>
      <c r="E190" s="93">
        <f>E116+E145-K116</f>
        <v>0</v>
      </c>
      <c r="F190" s="93">
        <f t="shared" ref="F190:R190" si="6">F116</f>
        <v>0</v>
      </c>
      <c r="G190" s="93">
        <f t="shared" si="6"/>
        <v>0</v>
      </c>
      <c r="H190" s="93">
        <f t="shared" si="6"/>
        <v>0</v>
      </c>
      <c r="I190" s="93">
        <f t="shared" si="6"/>
        <v>0</v>
      </c>
      <c r="J190" s="93">
        <f t="shared" si="6"/>
        <v>0</v>
      </c>
      <c r="K190" s="93">
        <f t="shared" si="6"/>
        <v>0</v>
      </c>
      <c r="L190" s="93">
        <f t="shared" si="6"/>
        <v>0</v>
      </c>
      <c r="M190" s="93">
        <f t="shared" si="6"/>
        <v>0</v>
      </c>
      <c r="N190" s="93">
        <f t="shared" si="6"/>
        <v>0</v>
      </c>
      <c r="O190" s="93">
        <f t="shared" si="6"/>
        <v>0</v>
      </c>
      <c r="P190" s="93">
        <f t="shared" si="6"/>
        <v>0</v>
      </c>
      <c r="Q190" s="93">
        <f t="shared" si="6"/>
        <v>0</v>
      </c>
      <c r="R190" s="93">
        <f t="shared" si="6"/>
        <v>0</v>
      </c>
    </row>
    <row r="191" spans="1:19" ht="12.75" customHeight="1" x14ac:dyDescent="0.25">
      <c r="B191" s="778"/>
      <c r="C191" s="775"/>
      <c r="D191" s="101" t="s">
        <v>73</v>
      </c>
      <c r="E191" s="93">
        <f>E145</f>
        <v>0</v>
      </c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spans="1:19" ht="12.75" customHeight="1" x14ac:dyDescent="0.25">
      <c r="A192" s="89"/>
      <c r="B192" s="97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spans="2:18" ht="12.75" customHeight="1" x14ac:dyDescent="0.25">
      <c r="B193" s="777" t="s">
        <v>161</v>
      </c>
      <c r="C193" s="775" t="s">
        <v>132</v>
      </c>
      <c r="D193" s="231" t="s">
        <v>70</v>
      </c>
      <c r="E193" s="232">
        <v>0</v>
      </c>
      <c r="F193" s="232">
        <v>0</v>
      </c>
      <c r="G193" s="232">
        <v>0</v>
      </c>
      <c r="H193" s="232">
        <v>0</v>
      </c>
      <c r="I193" s="232">
        <v>0</v>
      </c>
      <c r="J193" s="232">
        <v>0</v>
      </c>
      <c r="K193" s="232">
        <v>0</v>
      </c>
      <c r="L193" s="232">
        <v>0</v>
      </c>
      <c r="M193" s="232">
        <v>0</v>
      </c>
      <c r="N193" s="232">
        <v>0</v>
      </c>
      <c r="O193" s="232">
        <v>0</v>
      </c>
      <c r="P193" s="232">
        <v>0</v>
      </c>
      <c r="Q193" s="232">
        <v>0</v>
      </c>
      <c r="R193" s="232">
        <v>0</v>
      </c>
    </row>
    <row r="194" spans="2:18" ht="12.75" customHeight="1" x14ac:dyDescent="0.25">
      <c r="B194" s="777"/>
      <c r="C194" s="775"/>
      <c r="D194" s="231" t="s">
        <v>73</v>
      </c>
      <c r="E194" s="232">
        <v>0</v>
      </c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spans="2:18" s="238" customFormat="1" x14ac:dyDescent="0.25"/>
    <row r="196" spans="2:18" x14ac:dyDescent="0.25">
      <c r="B196" s="97" t="s">
        <v>76</v>
      </c>
    </row>
    <row r="197" spans="2:18" ht="12.6" customHeight="1" x14ac:dyDescent="0.25">
      <c r="E197" s="89" t="s">
        <v>70</v>
      </c>
      <c r="F197" s="89" t="s">
        <v>64</v>
      </c>
      <c r="G197" s="89" t="s">
        <v>65</v>
      </c>
      <c r="H197" s="219" t="s">
        <v>164</v>
      </c>
      <c r="I197" s="89" t="s">
        <v>69</v>
      </c>
      <c r="J197" s="89" t="s">
        <v>68</v>
      </c>
      <c r="K197" s="89" t="s">
        <v>83</v>
      </c>
      <c r="L197" s="89" t="s">
        <v>66</v>
      </c>
      <c r="M197" s="89" t="s">
        <v>63</v>
      </c>
      <c r="N197" s="89" t="s">
        <v>61</v>
      </c>
      <c r="O197" s="89" t="s">
        <v>62</v>
      </c>
      <c r="P197" s="89" t="s">
        <v>67</v>
      </c>
      <c r="Q197" s="89" t="s">
        <v>84</v>
      </c>
      <c r="R197" s="384" t="s">
        <v>225</v>
      </c>
    </row>
    <row r="198" spans="2:18" ht="12.75" customHeight="1" x14ac:dyDescent="0.25">
      <c r="D198" s="89" t="s">
        <v>72</v>
      </c>
      <c r="E198" s="371">
        <v>0</v>
      </c>
      <c r="F198" s="90">
        <v>0</v>
      </c>
      <c r="G198" s="90">
        <v>0</v>
      </c>
      <c r="H198" s="90">
        <v>0</v>
      </c>
      <c r="I198" s="90">
        <v>0</v>
      </c>
      <c r="J198" s="90">
        <v>0</v>
      </c>
      <c r="K198" s="90">
        <v>0</v>
      </c>
      <c r="L198" s="90">
        <v>0</v>
      </c>
      <c r="M198" s="90">
        <v>0</v>
      </c>
      <c r="N198" s="90">
        <v>0</v>
      </c>
      <c r="O198" s="90">
        <v>0</v>
      </c>
      <c r="P198" s="90">
        <v>0</v>
      </c>
      <c r="Q198" s="90">
        <v>0</v>
      </c>
      <c r="R198">
        <v>0</v>
      </c>
    </row>
    <row r="199" spans="2:18" ht="12.75" customHeight="1" x14ac:dyDescent="0.25">
      <c r="D199" t="s">
        <v>81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2:18" ht="12.75" customHeight="1" x14ac:dyDescent="0.25">
      <c r="C200" t="s">
        <v>332</v>
      </c>
      <c r="D200" s="89" t="s">
        <v>70</v>
      </c>
      <c r="E200" s="371">
        <v>0</v>
      </c>
      <c r="F200" s="90">
        <v>0</v>
      </c>
      <c r="G200" s="90">
        <v>0</v>
      </c>
      <c r="H200" s="90">
        <v>0</v>
      </c>
      <c r="I200" s="90">
        <v>0</v>
      </c>
      <c r="J200" s="90">
        <v>0</v>
      </c>
      <c r="K200" s="90">
        <v>0</v>
      </c>
      <c r="L200" s="90">
        <v>0</v>
      </c>
      <c r="M200" s="90">
        <v>0</v>
      </c>
      <c r="N200" s="90">
        <v>0</v>
      </c>
      <c r="O200" s="90">
        <v>0</v>
      </c>
      <c r="P200" s="90">
        <v>0</v>
      </c>
      <c r="Q200" s="90">
        <v>0</v>
      </c>
      <c r="R200">
        <v>0</v>
      </c>
    </row>
    <row r="201" spans="2:18" s="739" customFormat="1" ht="12.75" customHeight="1" x14ac:dyDescent="0.25">
      <c r="B201" s="739" t="s">
        <v>85</v>
      </c>
      <c r="C201" s="739" t="s">
        <v>70</v>
      </c>
      <c r="D201" s="231"/>
      <c r="E201" s="740">
        <v>0</v>
      </c>
      <c r="F201" s="232">
        <v>0</v>
      </c>
      <c r="G201" s="232">
        <v>0</v>
      </c>
      <c r="H201" s="232">
        <v>0</v>
      </c>
      <c r="I201" s="232">
        <v>0</v>
      </c>
      <c r="J201" s="232">
        <v>0</v>
      </c>
      <c r="K201" s="232">
        <v>0</v>
      </c>
      <c r="L201" s="232">
        <v>0</v>
      </c>
      <c r="M201" s="232">
        <v>0</v>
      </c>
      <c r="N201" s="232">
        <v>0</v>
      </c>
      <c r="O201" s="232">
        <v>0</v>
      </c>
      <c r="P201" s="232">
        <v>0</v>
      </c>
      <c r="Q201" s="232">
        <v>0</v>
      </c>
      <c r="R201" s="739">
        <v>0</v>
      </c>
    </row>
    <row r="202" spans="2:18" ht="12.6" customHeight="1" x14ac:dyDescent="0.25">
      <c r="D202" t="s">
        <v>72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2:18" ht="12.75" customHeight="1" x14ac:dyDescent="0.25">
      <c r="D203" t="s">
        <v>81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2:18" ht="12.75" customHeight="1" x14ac:dyDescent="0.25">
      <c r="C204" t="s">
        <v>156</v>
      </c>
      <c r="D204" s="89" t="s">
        <v>70</v>
      </c>
      <c r="E204" s="371">
        <v>0</v>
      </c>
      <c r="F204" s="90">
        <v>0</v>
      </c>
      <c r="G204" s="90">
        <v>0</v>
      </c>
      <c r="H204" s="90">
        <v>0</v>
      </c>
      <c r="I204" s="90">
        <v>0</v>
      </c>
      <c r="J204" s="90">
        <v>0</v>
      </c>
      <c r="K204" s="90">
        <v>0</v>
      </c>
      <c r="L204" s="90">
        <v>0</v>
      </c>
      <c r="M204" s="90">
        <v>0</v>
      </c>
      <c r="N204" s="90">
        <v>0</v>
      </c>
      <c r="O204" s="90">
        <v>0</v>
      </c>
      <c r="P204" s="90">
        <v>0</v>
      </c>
      <c r="Q204" s="90">
        <v>0</v>
      </c>
      <c r="R204">
        <v>0</v>
      </c>
    </row>
    <row r="205" spans="2:18" s="656" customFormat="1" ht="12.75" customHeight="1" x14ac:dyDescent="0.25">
      <c r="B205" s="656" t="s">
        <v>155</v>
      </c>
      <c r="C205" s="656" t="s">
        <v>70</v>
      </c>
      <c r="E205" s="741">
        <v>0</v>
      </c>
      <c r="F205" s="656">
        <v>0</v>
      </c>
      <c r="G205" s="656">
        <v>0</v>
      </c>
      <c r="H205" s="656">
        <v>0</v>
      </c>
      <c r="I205" s="656">
        <v>0</v>
      </c>
      <c r="J205" s="656">
        <v>0</v>
      </c>
      <c r="K205" s="656">
        <v>0</v>
      </c>
      <c r="L205" s="656">
        <v>0</v>
      </c>
      <c r="M205" s="656">
        <v>0</v>
      </c>
      <c r="N205" s="656">
        <v>0</v>
      </c>
      <c r="O205" s="656">
        <v>0</v>
      </c>
      <c r="P205" s="656">
        <v>0</v>
      </c>
      <c r="Q205" s="656">
        <v>0</v>
      </c>
      <c r="R205" s="656">
        <v>0</v>
      </c>
    </row>
    <row r="206" spans="2:18" ht="12.75" customHeight="1" x14ac:dyDescent="0.25">
      <c r="D206" t="s">
        <v>72</v>
      </c>
      <c r="E206" s="142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2:18" ht="12.75" customHeight="1" x14ac:dyDescent="0.25">
      <c r="D207" t="s">
        <v>81</v>
      </c>
      <c r="E207" s="142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2:18" ht="12.75" customHeight="1" x14ac:dyDescent="0.25">
      <c r="C208" t="s">
        <v>82</v>
      </c>
      <c r="D208" t="s">
        <v>70</v>
      </c>
      <c r="E208" s="142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ht="12.75" customHeight="1" x14ac:dyDescent="0.25">
      <c r="D209" t="s">
        <v>72</v>
      </c>
      <c r="E209" s="142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ht="12.75" customHeight="1" x14ac:dyDescent="0.25">
      <c r="D210" t="s">
        <v>81</v>
      </c>
      <c r="E210" s="142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2.75" customHeight="1" x14ac:dyDescent="0.25">
      <c r="C211" t="s">
        <v>86</v>
      </c>
      <c r="D211" t="s">
        <v>70</v>
      </c>
      <c r="E211" s="142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2.75" customHeight="1" x14ac:dyDescent="0.25">
      <c r="D212" t="s">
        <v>72</v>
      </c>
      <c r="E212" s="14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2.75" customHeight="1" x14ac:dyDescent="0.25">
      <c r="D213" t="s">
        <v>81</v>
      </c>
      <c r="E213" s="142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ht="12.75" customHeight="1" x14ac:dyDescent="0.25">
      <c r="A214" s="89"/>
      <c r="B214" s="89"/>
      <c r="C214" t="s">
        <v>87</v>
      </c>
      <c r="D214" t="s">
        <v>70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>
        <v>0</v>
      </c>
    </row>
    <row r="215" spans="1:18" s="94" customFormat="1" ht="12.75" customHeight="1" x14ac:dyDescent="0.25">
      <c r="A215" s="101"/>
      <c r="B215" s="101" t="s">
        <v>119</v>
      </c>
      <c r="C215" s="94" t="s">
        <v>70</v>
      </c>
      <c r="E215" s="93">
        <v>0</v>
      </c>
      <c r="F215" s="93">
        <v>0</v>
      </c>
      <c r="G215" s="93">
        <v>0</v>
      </c>
      <c r="H215" s="93">
        <v>0</v>
      </c>
      <c r="I215" s="93">
        <v>0</v>
      </c>
      <c r="J215" s="93">
        <v>0</v>
      </c>
      <c r="K215" s="93">
        <v>0</v>
      </c>
      <c r="L215" s="93">
        <v>0</v>
      </c>
      <c r="M215" s="93">
        <v>0</v>
      </c>
      <c r="N215" s="93">
        <v>0</v>
      </c>
      <c r="O215" s="93">
        <v>0</v>
      </c>
      <c r="P215" s="93">
        <v>0</v>
      </c>
      <c r="Q215" s="93">
        <v>0</v>
      </c>
      <c r="R215" s="94">
        <v>0</v>
      </c>
    </row>
    <row r="216" spans="1:18" s="226" customFormat="1" ht="12.75" customHeight="1" x14ac:dyDescent="0.25">
      <c r="A216" s="226" t="s">
        <v>78</v>
      </c>
      <c r="B216" s="226" t="s">
        <v>70</v>
      </c>
      <c r="D216" s="98"/>
      <c r="E216" s="100">
        <v>0</v>
      </c>
      <c r="F216" s="100">
        <v>0</v>
      </c>
      <c r="G216" s="100">
        <v>0</v>
      </c>
      <c r="H216" s="100">
        <v>0</v>
      </c>
      <c r="I216" s="100">
        <v>0</v>
      </c>
      <c r="J216" s="100">
        <v>0</v>
      </c>
      <c r="K216" s="100">
        <v>0</v>
      </c>
      <c r="L216" s="100">
        <v>0</v>
      </c>
      <c r="M216" s="100">
        <v>0</v>
      </c>
      <c r="N216" s="100">
        <v>0</v>
      </c>
      <c r="O216" s="100">
        <v>0</v>
      </c>
      <c r="P216" s="100">
        <v>0</v>
      </c>
      <c r="Q216" s="100">
        <v>0</v>
      </c>
      <c r="R216" s="226">
        <v>0</v>
      </c>
    </row>
    <row r="217" spans="1:18" ht="12.75" customHeight="1" x14ac:dyDescent="0.25">
      <c r="B217" s="89"/>
      <c r="C217" s="89"/>
      <c r="D217" t="s">
        <v>73</v>
      </c>
      <c r="E217" s="90">
        <v>0</v>
      </c>
      <c r="F217" s="90">
        <v>0</v>
      </c>
      <c r="G217" s="90">
        <v>0</v>
      </c>
      <c r="H217" s="90">
        <v>0</v>
      </c>
      <c r="I217" s="90">
        <v>0</v>
      </c>
      <c r="J217" s="90">
        <v>0</v>
      </c>
      <c r="K217" s="90">
        <v>0</v>
      </c>
      <c r="L217" s="90">
        <v>0</v>
      </c>
      <c r="M217" s="90">
        <v>0</v>
      </c>
      <c r="N217" s="90">
        <v>0</v>
      </c>
      <c r="O217" s="90">
        <v>0</v>
      </c>
      <c r="P217" s="90">
        <v>0</v>
      </c>
      <c r="Q217" s="90">
        <v>0</v>
      </c>
      <c r="R217">
        <v>0</v>
      </c>
    </row>
    <row r="218" spans="1:18" ht="12.75" customHeight="1" x14ac:dyDescent="0.25">
      <c r="B218" s="89"/>
      <c r="C218" s="89" t="s">
        <v>332</v>
      </c>
      <c r="D218" t="s">
        <v>70</v>
      </c>
      <c r="E218" s="90">
        <v>0</v>
      </c>
      <c r="F218" s="90">
        <v>0</v>
      </c>
      <c r="G218" s="90">
        <v>0</v>
      </c>
      <c r="H218" s="90">
        <v>0</v>
      </c>
      <c r="I218" s="90">
        <v>0</v>
      </c>
      <c r="J218" s="90">
        <v>0</v>
      </c>
      <c r="K218" s="90">
        <v>0</v>
      </c>
      <c r="L218" s="90">
        <v>0</v>
      </c>
      <c r="M218" s="90">
        <v>0</v>
      </c>
      <c r="N218" s="90">
        <v>0</v>
      </c>
      <c r="O218" s="90">
        <v>0</v>
      </c>
      <c r="P218" s="90">
        <v>0</v>
      </c>
      <c r="Q218" s="90">
        <v>0</v>
      </c>
      <c r="R218">
        <v>0</v>
      </c>
    </row>
    <row r="219" spans="1:18" s="378" customFormat="1" ht="12.75" customHeight="1" x14ac:dyDescent="0.25">
      <c r="B219" s="378" t="s">
        <v>85</v>
      </c>
      <c r="C219" s="378" t="s">
        <v>70</v>
      </c>
      <c r="E219" s="378">
        <v>0</v>
      </c>
      <c r="F219" s="378">
        <v>0</v>
      </c>
      <c r="G219" s="378">
        <v>0</v>
      </c>
      <c r="H219" s="378">
        <v>0</v>
      </c>
      <c r="I219" s="378">
        <v>0</v>
      </c>
      <c r="J219" s="378">
        <v>0</v>
      </c>
      <c r="K219" s="378">
        <v>0</v>
      </c>
      <c r="L219" s="378">
        <v>0</v>
      </c>
      <c r="M219" s="378">
        <v>0</v>
      </c>
      <c r="N219" s="378">
        <v>0</v>
      </c>
      <c r="O219" s="378">
        <v>0</v>
      </c>
      <c r="P219" s="378">
        <v>0</v>
      </c>
      <c r="Q219" s="378">
        <v>0</v>
      </c>
      <c r="R219" s="378">
        <v>0</v>
      </c>
    </row>
    <row r="220" spans="1:18" ht="12.75" customHeight="1" x14ac:dyDescent="0.25">
      <c r="C220" s="89"/>
      <c r="D220" s="89" t="s">
        <v>73</v>
      </c>
      <c r="E220" s="371">
        <v>0</v>
      </c>
      <c r="F220" s="90">
        <v>0</v>
      </c>
      <c r="G220" s="90">
        <v>0</v>
      </c>
      <c r="H220" s="90">
        <v>0</v>
      </c>
      <c r="I220" s="90">
        <v>0</v>
      </c>
      <c r="J220" s="90">
        <v>0</v>
      </c>
      <c r="K220" s="90">
        <v>0</v>
      </c>
      <c r="L220" s="90">
        <v>0</v>
      </c>
      <c r="M220" s="90">
        <v>0</v>
      </c>
      <c r="N220" s="90">
        <v>0</v>
      </c>
      <c r="O220" s="90">
        <v>0</v>
      </c>
      <c r="P220" s="90">
        <v>0</v>
      </c>
      <c r="Q220" s="90">
        <v>0</v>
      </c>
      <c r="R220">
        <v>0</v>
      </c>
    </row>
    <row r="221" spans="1:18" ht="12.75" customHeight="1" x14ac:dyDescent="0.25">
      <c r="C221" s="89" t="s">
        <v>156</v>
      </c>
      <c r="D221" s="89" t="s">
        <v>70</v>
      </c>
      <c r="E221" s="371">
        <v>0</v>
      </c>
      <c r="F221" s="90">
        <v>0</v>
      </c>
      <c r="G221" s="90">
        <v>0</v>
      </c>
      <c r="H221" s="90">
        <v>0</v>
      </c>
      <c r="I221" s="90">
        <v>0</v>
      </c>
      <c r="J221" s="90">
        <v>0</v>
      </c>
      <c r="K221" s="90">
        <v>0</v>
      </c>
      <c r="L221" s="90">
        <v>0</v>
      </c>
      <c r="M221" s="90">
        <v>0</v>
      </c>
      <c r="N221" s="90">
        <v>0</v>
      </c>
      <c r="O221" s="90">
        <v>0</v>
      </c>
      <c r="P221" s="90">
        <v>0</v>
      </c>
      <c r="Q221" s="90">
        <v>0</v>
      </c>
      <c r="R221">
        <v>0</v>
      </c>
    </row>
    <row r="222" spans="1:18" s="237" customFormat="1" ht="12.75" customHeight="1" x14ac:dyDescent="0.25">
      <c r="B222" s="237" t="s">
        <v>155</v>
      </c>
      <c r="C222" s="221" t="s">
        <v>70</v>
      </c>
      <c r="D222" s="221"/>
      <c r="E222" s="566">
        <v>0</v>
      </c>
      <c r="F222" s="222">
        <v>0</v>
      </c>
      <c r="G222" s="222">
        <v>0</v>
      </c>
      <c r="H222" s="222">
        <v>0</v>
      </c>
      <c r="I222" s="222">
        <v>0</v>
      </c>
      <c r="J222" s="222">
        <v>0</v>
      </c>
      <c r="K222" s="222">
        <v>0</v>
      </c>
      <c r="L222" s="222">
        <v>0</v>
      </c>
      <c r="M222" s="222">
        <v>0</v>
      </c>
      <c r="N222" s="222">
        <v>0</v>
      </c>
      <c r="O222" s="222">
        <v>0</v>
      </c>
      <c r="P222" s="222">
        <v>0</v>
      </c>
      <c r="Q222" s="222">
        <v>0</v>
      </c>
      <c r="R222" s="237">
        <v>0</v>
      </c>
    </row>
    <row r="223" spans="1:18" ht="12.75" customHeight="1" x14ac:dyDescent="0.25">
      <c r="C223" s="89"/>
      <c r="D223" s="89" t="s">
        <v>73</v>
      </c>
      <c r="E223" s="371">
        <v>0</v>
      </c>
      <c r="F223" s="90">
        <v>0</v>
      </c>
      <c r="G223" s="90">
        <v>0</v>
      </c>
      <c r="H223" s="90">
        <v>0</v>
      </c>
      <c r="I223" s="90">
        <v>0</v>
      </c>
      <c r="J223" s="90">
        <v>0</v>
      </c>
      <c r="K223" s="90">
        <v>0</v>
      </c>
      <c r="L223" s="90">
        <v>0</v>
      </c>
      <c r="M223" s="90">
        <v>0</v>
      </c>
      <c r="N223" s="90">
        <v>0</v>
      </c>
      <c r="O223" s="90">
        <v>0</v>
      </c>
      <c r="P223" s="90">
        <v>0</v>
      </c>
      <c r="Q223" s="90">
        <v>0</v>
      </c>
      <c r="R223">
        <v>0</v>
      </c>
    </row>
    <row r="224" spans="1:18" ht="12.75" customHeight="1" x14ac:dyDescent="0.25">
      <c r="C224" t="s">
        <v>82</v>
      </c>
      <c r="D224" t="s">
        <v>70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2.75" customHeight="1" x14ac:dyDescent="0.25">
      <c r="D225" t="s">
        <v>73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2.75" customHeight="1" x14ac:dyDescent="0.25">
      <c r="C226" t="s">
        <v>86</v>
      </c>
      <c r="D226" t="s">
        <v>70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2.75" customHeight="1" x14ac:dyDescent="0.25">
      <c r="D227" s="89" t="s">
        <v>73</v>
      </c>
      <c r="E227" s="90">
        <v>0</v>
      </c>
      <c r="F227" s="90">
        <v>0</v>
      </c>
      <c r="G227" s="90">
        <v>0</v>
      </c>
      <c r="H227" s="90">
        <v>0</v>
      </c>
      <c r="I227" s="90">
        <v>0</v>
      </c>
      <c r="J227" s="90">
        <v>0</v>
      </c>
      <c r="K227" s="90">
        <v>0</v>
      </c>
      <c r="L227" s="90">
        <v>0</v>
      </c>
      <c r="M227" s="90">
        <v>0</v>
      </c>
      <c r="N227" s="90">
        <v>0</v>
      </c>
      <c r="O227" s="90">
        <v>0</v>
      </c>
      <c r="P227" s="90">
        <v>0</v>
      </c>
      <c r="Q227" s="90">
        <v>0</v>
      </c>
      <c r="R227">
        <v>0</v>
      </c>
    </row>
    <row r="228" spans="1:18" ht="12.75" customHeight="1" x14ac:dyDescent="0.25">
      <c r="C228" t="s">
        <v>87</v>
      </c>
      <c r="D228" s="89" t="s">
        <v>70</v>
      </c>
      <c r="E228" s="90">
        <v>0</v>
      </c>
      <c r="F228" s="90">
        <v>0</v>
      </c>
      <c r="G228" s="90">
        <v>0</v>
      </c>
      <c r="H228" s="90">
        <v>0</v>
      </c>
      <c r="I228" s="90">
        <v>0</v>
      </c>
      <c r="J228" s="90">
        <v>0</v>
      </c>
      <c r="K228" s="90">
        <v>0</v>
      </c>
      <c r="L228" s="90">
        <v>0</v>
      </c>
      <c r="M228" s="90">
        <v>0</v>
      </c>
      <c r="N228" s="90">
        <v>0</v>
      </c>
      <c r="O228" s="90">
        <v>0</v>
      </c>
      <c r="P228" s="90">
        <v>0</v>
      </c>
      <c r="Q228" s="90">
        <v>0</v>
      </c>
      <c r="R228">
        <v>0</v>
      </c>
    </row>
    <row r="229" spans="1:18" s="94" customFormat="1" ht="12.75" customHeight="1" x14ac:dyDescent="0.25">
      <c r="B229" s="101" t="s">
        <v>119</v>
      </c>
      <c r="C229" s="101" t="s">
        <v>70</v>
      </c>
      <c r="E229" s="93">
        <v>0</v>
      </c>
      <c r="F229" s="93">
        <v>0</v>
      </c>
      <c r="G229" s="93">
        <v>0</v>
      </c>
      <c r="H229" s="93">
        <v>0</v>
      </c>
      <c r="I229" s="93">
        <v>0</v>
      </c>
      <c r="J229" s="93">
        <v>0</v>
      </c>
      <c r="K229" s="93">
        <v>0</v>
      </c>
      <c r="L229" s="93">
        <v>0</v>
      </c>
      <c r="M229" s="93">
        <v>0</v>
      </c>
      <c r="N229" s="93">
        <v>0</v>
      </c>
      <c r="O229" s="93">
        <v>0</v>
      </c>
      <c r="P229" s="93">
        <v>0</v>
      </c>
      <c r="Q229" s="93">
        <v>0</v>
      </c>
      <c r="R229" s="94">
        <v>0</v>
      </c>
    </row>
    <row r="230" spans="1:18" s="226" customFormat="1" ht="12.75" customHeight="1" x14ac:dyDescent="0.25">
      <c r="A230" s="98" t="s">
        <v>79</v>
      </c>
      <c r="B230" s="98" t="s">
        <v>70</v>
      </c>
      <c r="E230" s="100">
        <v>0</v>
      </c>
      <c r="F230" s="100">
        <v>0</v>
      </c>
      <c r="G230" s="100">
        <v>0</v>
      </c>
      <c r="H230" s="100">
        <v>0</v>
      </c>
      <c r="I230" s="100">
        <v>0</v>
      </c>
      <c r="J230" s="100">
        <v>0</v>
      </c>
      <c r="K230" s="100">
        <v>0</v>
      </c>
      <c r="L230" s="100">
        <v>0</v>
      </c>
      <c r="M230" s="100">
        <v>0</v>
      </c>
      <c r="N230" s="100">
        <v>0</v>
      </c>
      <c r="O230" s="100">
        <v>0</v>
      </c>
      <c r="P230" s="100">
        <v>0</v>
      </c>
      <c r="Q230" s="100">
        <v>0</v>
      </c>
      <c r="R230" s="226">
        <v>0</v>
      </c>
    </row>
    <row r="231" spans="1:18" ht="12.75" customHeight="1" x14ac:dyDescent="0.25">
      <c r="A231" s="89" t="s">
        <v>70</v>
      </c>
      <c r="E231" s="90">
        <v>0</v>
      </c>
      <c r="F231" s="90">
        <v>0</v>
      </c>
      <c r="G231" s="90">
        <v>0</v>
      </c>
      <c r="H231" s="90">
        <v>0</v>
      </c>
      <c r="I231" s="90">
        <v>0</v>
      </c>
      <c r="J231" s="90">
        <v>0</v>
      </c>
      <c r="K231" s="90">
        <v>0</v>
      </c>
      <c r="L231" s="90">
        <v>0</v>
      </c>
      <c r="M231" s="90">
        <v>0</v>
      </c>
      <c r="N231" s="90">
        <v>0</v>
      </c>
      <c r="O231" s="90">
        <v>0</v>
      </c>
      <c r="P231" s="90">
        <v>0</v>
      </c>
      <c r="Q231" s="90">
        <v>0</v>
      </c>
      <c r="R231">
        <v>0</v>
      </c>
    </row>
    <row r="232" spans="1:18" ht="12.75" customHeight="1" x14ac:dyDescent="0.25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25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25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25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25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hidden="1" customHeight="1" x14ac:dyDescent="0.25">
      <c r="A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</row>
    <row r="238" spans="1:18" ht="12.75" hidden="1" customHeight="1" x14ac:dyDescent="0.25">
      <c r="A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</row>
    <row r="239" spans="1:18" ht="12.75" hidden="1" customHeight="1" x14ac:dyDescent="0.25">
      <c r="A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</row>
    <row r="240" spans="1:18" ht="12.75" hidden="1" customHeight="1" x14ac:dyDescent="0.25">
      <c r="A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</row>
    <row r="241" spans="1:17" ht="12.75" hidden="1" customHeight="1" x14ac:dyDescent="0.25">
      <c r="A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</row>
    <row r="242" spans="1:17" ht="12.75" hidden="1" customHeight="1" x14ac:dyDescent="0.25">
      <c r="A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</row>
    <row r="243" spans="1:17" ht="12.75" hidden="1" customHeight="1" x14ac:dyDescent="0.25">
      <c r="A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</row>
    <row r="244" spans="1:17" ht="12.75" hidden="1" customHeight="1" x14ac:dyDescent="0.25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</row>
    <row r="245" spans="1:17" ht="12.75" hidden="1" customHeight="1" x14ac:dyDescent="0.25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7" ht="12.75" hidden="1" customHeight="1" x14ac:dyDescent="0.25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7" ht="12.75" hidden="1" customHeight="1" x14ac:dyDescent="0.25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7" ht="12.75" hidden="1" customHeight="1" x14ac:dyDescent="0.25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7" ht="12.75" hidden="1" customHeight="1" x14ac:dyDescent="0.25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7" ht="12.75" hidden="1" customHeight="1" x14ac:dyDescent="0.25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7" ht="12.75" hidden="1" customHeight="1" x14ac:dyDescent="0.25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7" ht="12.75" hidden="1" customHeight="1" x14ac:dyDescent="0.25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7" ht="12.75" hidden="1" customHeight="1" x14ac:dyDescent="0.25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7" ht="12.75" hidden="1" customHeight="1" x14ac:dyDescent="0.25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7" ht="12.75" hidden="1" customHeight="1" x14ac:dyDescent="0.25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7" ht="12.75" hidden="1" customHeight="1" x14ac:dyDescent="0.25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8" ht="12.75" hidden="1" customHeight="1" x14ac:dyDescent="0.25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8" ht="12.75" hidden="1" customHeight="1" x14ac:dyDescent="0.25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8" ht="12.75" hidden="1" customHeight="1" x14ac:dyDescent="0.25">
      <c r="A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</row>
    <row r="260" spans="1:18" ht="12.75" hidden="1" customHeight="1" x14ac:dyDescent="0.25">
      <c r="A260" s="89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</row>
    <row r="261" spans="1:18" ht="12.75" hidden="1" customHeight="1" x14ac:dyDescent="0.25">
      <c r="A261" s="89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</row>
    <row r="262" spans="1:18" ht="12.75" hidden="1" customHeight="1" x14ac:dyDescent="0.25">
      <c r="A262" s="89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</row>
    <row r="263" spans="1:18" ht="12.75" customHeight="1" x14ac:dyDescent="0.25">
      <c r="C263" s="89"/>
      <c r="D263" s="89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</row>
    <row r="264" spans="1:18" ht="12.75" hidden="1" customHeight="1" x14ac:dyDescent="0.25">
      <c r="D264" s="89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</row>
    <row r="265" spans="1:18" ht="12.75" hidden="1" customHeight="1" x14ac:dyDescent="0.25">
      <c r="C265" s="89"/>
      <c r="D265" s="89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</row>
    <row r="266" spans="1:18" ht="12.75" hidden="1" customHeight="1" x14ac:dyDescent="0.25">
      <c r="D266" s="89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</row>
    <row r="267" spans="1:18" ht="12.75" hidden="1" customHeight="1" x14ac:dyDescent="0.25">
      <c r="C267" s="89"/>
      <c r="D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18" ht="12.75" hidden="1" customHeight="1" x14ac:dyDescent="0.25">
      <c r="B268" s="89"/>
      <c r="C268" s="89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</row>
    <row r="269" spans="1:18" ht="12.75" hidden="1" customHeight="1" x14ac:dyDescent="0.25">
      <c r="A269" s="89"/>
      <c r="B269" s="89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</row>
    <row r="270" spans="1:18" ht="12.75" hidden="1" customHeight="1" x14ac:dyDescent="0.25">
      <c r="A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</row>
    <row r="271" spans="1:18" ht="12.75" hidden="1" customHeight="1" x14ac:dyDescent="0.25">
      <c r="A271" s="89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</row>
    <row r="272" spans="1:18" ht="12.75" hidden="1" customHeight="1" x14ac:dyDescent="0.25">
      <c r="A272" s="89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</row>
    <row r="273" spans="1:17" ht="12.75" hidden="1" customHeight="1" x14ac:dyDescent="0.25">
      <c r="A273" s="89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</row>
    <row r="274" spans="1:17" ht="12.75" hidden="1" customHeight="1" x14ac:dyDescent="0.25">
      <c r="A274" s="89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</row>
    <row r="275" spans="1:17" ht="12.75" hidden="1" customHeight="1" x14ac:dyDescent="0.25">
      <c r="A275" s="89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</row>
    <row r="276" spans="1:17" ht="12.75" hidden="1" customHeight="1" x14ac:dyDescent="0.25">
      <c r="A276" s="89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</row>
    <row r="277" spans="1:17" ht="12.75" hidden="1" customHeight="1" x14ac:dyDescent="0.25">
      <c r="A277" s="89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</row>
    <row r="278" spans="1:17" ht="12.75" hidden="1" customHeight="1" x14ac:dyDescent="0.25">
      <c r="A278" s="89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</row>
    <row r="279" spans="1:17" ht="12.75" hidden="1" customHeight="1" x14ac:dyDescent="0.25">
      <c r="A279" s="89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</row>
    <row r="280" spans="1:17" ht="12.75" hidden="1" customHeight="1" x14ac:dyDescent="0.25">
      <c r="A280" s="89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</row>
    <row r="281" spans="1:17" ht="12.75" hidden="1" customHeight="1" x14ac:dyDescent="0.25">
      <c r="A281" s="89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</row>
    <row r="282" spans="1:17" ht="12.75" hidden="1" customHeight="1" x14ac:dyDescent="0.25">
      <c r="A282" s="89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</row>
    <row r="283" spans="1:17" ht="12.75" hidden="1" customHeight="1" x14ac:dyDescent="0.25">
      <c r="A283" s="89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</row>
    <row r="284" spans="1:17" ht="12.75" hidden="1" customHeight="1" x14ac:dyDescent="0.25">
      <c r="A284" s="89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</row>
    <row r="285" spans="1:17" ht="12.75" hidden="1" customHeight="1" x14ac:dyDescent="0.25">
      <c r="A285" s="89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</row>
    <row r="286" spans="1:17" ht="12.75" hidden="1" customHeight="1" x14ac:dyDescent="0.25">
      <c r="A286" s="89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</row>
    <row r="287" spans="1:17" ht="12.75" hidden="1" customHeight="1" x14ac:dyDescent="0.25">
      <c r="A287" s="89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</row>
    <row r="288" spans="1:17" ht="12.75" hidden="1" customHeight="1" x14ac:dyDescent="0.25">
      <c r="A288" s="89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</row>
    <row r="289" spans="1:18" ht="12.75" hidden="1" customHeight="1" x14ac:dyDescent="0.25">
      <c r="A289" s="89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</row>
    <row r="290" spans="1:18" ht="12.75" hidden="1" customHeight="1" x14ac:dyDescent="0.25">
      <c r="A290" s="89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</row>
    <row r="291" spans="1:18" ht="12.75" hidden="1" customHeight="1" x14ac:dyDescent="0.25">
      <c r="A291" s="89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</row>
    <row r="292" spans="1:18" ht="12.75" hidden="1" customHeight="1" x14ac:dyDescent="0.25">
      <c r="A292" s="89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</row>
    <row r="293" spans="1:18" ht="12.75" hidden="1" customHeight="1" x14ac:dyDescent="0.25">
      <c r="A293" s="89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</row>
    <row r="294" spans="1:18" ht="12.75" hidden="1" customHeight="1" x14ac:dyDescent="0.25">
      <c r="A294" s="89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</row>
    <row r="295" spans="1:18" ht="12.75" hidden="1" customHeight="1" x14ac:dyDescent="0.25">
      <c r="A295" s="89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</row>
    <row r="296" spans="1:18" ht="12.75" hidden="1" customHeight="1" x14ac:dyDescent="0.25">
      <c r="A296" s="89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</row>
    <row r="297" spans="1:18" ht="12.75" hidden="1" customHeight="1" x14ac:dyDescent="0.25">
      <c r="A297" s="89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</row>
    <row r="298" spans="1:18" ht="12.75" customHeight="1" x14ac:dyDescent="0.25">
      <c r="A298" s="89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</row>
    <row r="299" spans="1:18" ht="12.75" customHeight="1" x14ac:dyDescent="0.25">
      <c r="B299" s="778" t="s">
        <v>2</v>
      </c>
      <c r="C299" s="775" t="s">
        <v>132</v>
      </c>
      <c r="D299" s="98" t="s">
        <v>70</v>
      </c>
      <c r="E299" s="100">
        <f>E216+E230-K216</f>
        <v>0</v>
      </c>
      <c r="F299" s="100">
        <f>F216</f>
        <v>0</v>
      </c>
      <c r="G299" s="100">
        <f t="shared" ref="G299:R299" si="7">G216</f>
        <v>0</v>
      </c>
      <c r="H299" s="100">
        <f t="shared" si="7"/>
        <v>0</v>
      </c>
      <c r="I299" s="100">
        <f t="shared" si="7"/>
        <v>0</v>
      </c>
      <c r="J299" s="100">
        <f t="shared" si="7"/>
        <v>0</v>
      </c>
      <c r="K299" s="100">
        <f t="shared" si="7"/>
        <v>0</v>
      </c>
      <c r="L299" s="100">
        <f t="shared" si="7"/>
        <v>0</v>
      </c>
      <c r="M299" s="100">
        <f t="shared" si="7"/>
        <v>0</v>
      </c>
      <c r="N299" s="100">
        <f t="shared" si="7"/>
        <v>0</v>
      </c>
      <c r="O299" s="100">
        <f t="shared" si="7"/>
        <v>0</v>
      </c>
      <c r="P299" s="100">
        <f t="shared" si="7"/>
        <v>0</v>
      </c>
      <c r="Q299" s="100">
        <f t="shared" si="7"/>
        <v>0</v>
      </c>
      <c r="R299" s="100">
        <f t="shared" si="7"/>
        <v>0</v>
      </c>
    </row>
    <row r="300" spans="1:18" ht="12.75" customHeight="1" x14ac:dyDescent="0.25">
      <c r="B300" s="778"/>
      <c r="C300" s="775"/>
      <c r="D300" s="98" t="s">
        <v>73</v>
      </c>
      <c r="E300" s="100">
        <f>E230</f>
        <v>0</v>
      </c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</row>
    <row r="301" spans="1:18" ht="12.75" customHeight="1" x14ac:dyDescent="0.25">
      <c r="A301" s="89"/>
      <c r="B301" s="97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</row>
    <row r="302" spans="1:18" ht="12.75" customHeight="1" x14ac:dyDescent="0.25">
      <c r="B302" s="778" t="s">
        <v>160</v>
      </c>
      <c r="C302" s="775" t="s">
        <v>132</v>
      </c>
      <c r="D302" s="223" t="s">
        <v>70</v>
      </c>
      <c r="E302" s="225">
        <v>0</v>
      </c>
      <c r="F302" s="225">
        <v>0</v>
      </c>
      <c r="G302" s="225">
        <v>0</v>
      </c>
      <c r="H302" s="225">
        <v>0</v>
      </c>
      <c r="I302" s="225">
        <v>0</v>
      </c>
      <c r="J302" s="225">
        <v>0</v>
      </c>
      <c r="K302" s="225">
        <v>0</v>
      </c>
      <c r="L302" s="225">
        <v>0</v>
      </c>
      <c r="M302" s="225">
        <v>0</v>
      </c>
      <c r="N302" s="225">
        <v>0</v>
      </c>
      <c r="O302" s="225">
        <v>0</v>
      </c>
      <c r="P302" s="225">
        <v>0</v>
      </c>
      <c r="Q302" s="225">
        <v>0</v>
      </c>
      <c r="R302" s="225">
        <v>0</v>
      </c>
    </row>
    <row r="303" spans="1:18" ht="12.75" customHeight="1" x14ac:dyDescent="0.25">
      <c r="B303" s="778"/>
      <c r="C303" s="775"/>
      <c r="D303" s="223" t="s">
        <v>73</v>
      </c>
      <c r="E303" s="225">
        <v>0</v>
      </c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</row>
    <row r="304" spans="1:18" ht="12.75" customHeight="1" x14ac:dyDescent="0.25">
      <c r="A304" s="89"/>
      <c r="B304" s="97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</row>
    <row r="305" spans="1:18" ht="12.75" customHeight="1" x14ac:dyDescent="0.25">
      <c r="B305" s="778" t="s">
        <v>155</v>
      </c>
      <c r="C305" s="775" t="s">
        <v>132</v>
      </c>
      <c r="D305" s="221" t="s">
        <v>70</v>
      </c>
      <c r="E305" s="222">
        <f>E222+E219+E205+E201-K205-K201</f>
        <v>0</v>
      </c>
      <c r="F305" s="222">
        <f>F201+F205</f>
        <v>0</v>
      </c>
      <c r="G305" s="222">
        <f t="shared" ref="G305:R305" si="8">G201+G205</f>
        <v>0</v>
      </c>
      <c r="H305" s="222">
        <f t="shared" si="8"/>
        <v>0</v>
      </c>
      <c r="I305" s="222">
        <f t="shared" si="8"/>
        <v>0</v>
      </c>
      <c r="J305" s="222">
        <f t="shared" si="8"/>
        <v>0</v>
      </c>
      <c r="K305" s="222">
        <f t="shared" si="8"/>
        <v>0</v>
      </c>
      <c r="L305" s="222">
        <f t="shared" si="8"/>
        <v>0</v>
      </c>
      <c r="M305" s="222">
        <f t="shared" si="8"/>
        <v>0</v>
      </c>
      <c r="N305" s="222">
        <f t="shared" si="8"/>
        <v>0</v>
      </c>
      <c r="O305" s="222">
        <f t="shared" si="8"/>
        <v>0</v>
      </c>
      <c r="P305" s="222">
        <f t="shared" si="8"/>
        <v>0</v>
      </c>
      <c r="Q305" s="222">
        <f t="shared" si="8"/>
        <v>0</v>
      </c>
      <c r="R305" s="222">
        <f t="shared" si="8"/>
        <v>0</v>
      </c>
    </row>
    <row r="306" spans="1:18" ht="12.75" customHeight="1" x14ac:dyDescent="0.25">
      <c r="B306" s="778"/>
      <c r="C306" s="775"/>
      <c r="D306" s="221" t="s">
        <v>73</v>
      </c>
      <c r="E306" s="222">
        <f>E222+E219</f>
        <v>0</v>
      </c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</row>
    <row r="307" spans="1:18" ht="12.75" customHeight="1" x14ac:dyDescent="0.25">
      <c r="B307" s="719"/>
      <c r="C307" s="220"/>
      <c r="D307" s="89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</row>
    <row r="308" spans="1:18" ht="12.75" customHeight="1" x14ac:dyDescent="0.25">
      <c r="B308" s="776" t="s">
        <v>326</v>
      </c>
      <c r="C308" s="775" t="s">
        <v>132</v>
      </c>
      <c r="D308" s="373" t="s">
        <v>70</v>
      </c>
      <c r="E308" s="374">
        <v>0</v>
      </c>
      <c r="F308" s="374">
        <v>0</v>
      </c>
      <c r="G308" s="374">
        <v>0</v>
      </c>
      <c r="H308" s="374">
        <v>0</v>
      </c>
      <c r="I308" s="374">
        <v>0</v>
      </c>
      <c r="J308" s="374">
        <v>0</v>
      </c>
      <c r="K308" s="374">
        <v>0</v>
      </c>
      <c r="L308" s="374">
        <v>0</v>
      </c>
      <c r="M308" s="374">
        <v>0</v>
      </c>
      <c r="N308" s="374">
        <v>0</v>
      </c>
      <c r="O308" s="374">
        <v>0</v>
      </c>
      <c r="P308" s="374">
        <v>0</v>
      </c>
      <c r="Q308" s="374">
        <v>0</v>
      </c>
      <c r="R308" s="374">
        <v>0</v>
      </c>
    </row>
    <row r="309" spans="1:18" ht="12.75" customHeight="1" x14ac:dyDescent="0.25">
      <c r="B309" s="776"/>
      <c r="C309" s="775"/>
      <c r="D309" s="373" t="s">
        <v>73</v>
      </c>
      <c r="E309" s="374">
        <v>0</v>
      </c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</row>
    <row r="310" spans="1:18" ht="12.75" customHeight="1" x14ac:dyDescent="0.25">
      <c r="B310" s="719"/>
      <c r="C310" s="220"/>
      <c r="D310" s="89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</row>
    <row r="311" spans="1:18" ht="12.75" customHeight="1" x14ac:dyDescent="0.25">
      <c r="B311" s="778" t="s">
        <v>119</v>
      </c>
      <c r="C311" s="775" t="s">
        <v>132</v>
      </c>
      <c r="D311" s="101" t="s">
        <v>70</v>
      </c>
      <c r="E311" s="93">
        <f>E215+E229-K215</f>
        <v>0</v>
      </c>
      <c r="F311" s="93">
        <f>F215</f>
        <v>0</v>
      </c>
      <c r="G311" s="93">
        <f t="shared" ref="G311:R311" si="9">G215</f>
        <v>0</v>
      </c>
      <c r="H311" s="93">
        <f t="shared" si="9"/>
        <v>0</v>
      </c>
      <c r="I311" s="93">
        <f t="shared" si="9"/>
        <v>0</v>
      </c>
      <c r="J311" s="93">
        <f t="shared" si="9"/>
        <v>0</v>
      </c>
      <c r="K311" s="93">
        <f t="shared" si="9"/>
        <v>0</v>
      </c>
      <c r="L311" s="93">
        <f t="shared" si="9"/>
        <v>0</v>
      </c>
      <c r="M311" s="93">
        <f t="shared" si="9"/>
        <v>0</v>
      </c>
      <c r="N311" s="93">
        <f t="shared" si="9"/>
        <v>0</v>
      </c>
      <c r="O311" s="93">
        <f t="shared" si="9"/>
        <v>0</v>
      </c>
      <c r="P311" s="93">
        <f t="shared" si="9"/>
        <v>0</v>
      </c>
      <c r="Q311" s="93">
        <f t="shared" si="9"/>
        <v>0</v>
      </c>
      <c r="R311" s="93">
        <f t="shared" si="9"/>
        <v>0</v>
      </c>
    </row>
    <row r="312" spans="1:18" ht="12.75" customHeight="1" x14ac:dyDescent="0.25">
      <c r="B312" s="778"/>
      <c r="C312" s="775"/>
      <c r="D312" s="101" t="s">
        <v>73</v>
      </c>
      <c r="E312" s="93">
        <f>E229</f>
        <v>0</v>
      </c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</row>
    <row r="313" spans="1:18" ht="12.75" customHeight="1" x14ac:dyDescent="0.25">
      <c r="A313" s="89"/>
      <c r="B313" s="97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</row>
    <row r="314" spans="1:18" ht="12.75" customHeight="1" x14ac:dyDescent="0.25">
      <c r="B314" s="777" t="s">
        <v>161</v>
      </c>
      <c r="C314" s="775" t="s">
        <v>132</v>
      </c>
      <c r="D314" s="231" t="s">
        <v>70</v>
      </c>
      <c r="E314" s="232">
        <v>0</v>
      </c>
      <c r="F314" s="232">
        <v>0</v>
      </c>
      <c r="G314" s="232">
        <v>0</v>
      </c>
      <c r="H314" s="232">
        <v>0</v>
      </c>
      <c r="I314" s="232">
        <v>0</v>
      </c>
      <c r="J314" s="232">
        <v>0</v>
      </c>
      <c r="K314" s="232">
        <v>0</v>
      </c>
      <c r="L314" s="232">
        <v>0</v>
      </c>
      <c r="M314" s="232">
        <v>0</v>
      </c>
      <c r="N314" s="232">
        <v>0</v>
      </c>
      <c r="O314" s="232">
        <v>0</v>
      </c>
      <c r="P314" s="232">
        <v>0</v>
      </c>
      <c r="Q314" s="232">
        <v>0</v>
      </c>
      <c r="R314" s="232">
        <v>0</v>
      </c>
    </row>
    <row r="315" spans="1:18" ht="12.75" customHeight="1" x14ac:dyDescent="0.25">
      <c r="B315" s="777"/>
      <c r="C315" s="775"/>
      <c r="D315" s="231" t="s">
        <v>73</v>
      </c>
      <c r="E315" s="232">
        <v>0</v>
      </c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</row>
    <row r="316" spans="1:18" s="238" customFormat="1" x14ac:dyDescent="0.25"/>
    <row r="317" spans="1:18" ht="15" customHeight="1" x14ac:dyDescent="0.25">
      <c r="B317" s="97" t="s">
        <v>88</v>
      </c>
    </row>
    <row r="318" spans="1:18" ht="11.4" customHeight="1" x14ac:dyDescent="0.25">
      <c r="E318" s="89" t="s">
        <v>70</v>
      </c>
      <c r="F318" s="89" t="s">
        <v>64</v>
      </c>
      <c r="G318" s="89" t="s">
        <v>65</v>
      </c>
      <c r="H318" s="219" t="s">
        <v>164</v>
      </c>
      <c r="I318" s="89" t="s">
        <v>69</v>
      </c>
      <c r="J318" s="89" t="s">
        <v>68</v>
      </c>
      <c r="K318" s="89" t="s">
        <v>83</v>
      </c>
      <c r="L318" s="89" t="s">
        <v>66</v>
      </c>
      <c r="M318" s="89" t="s">
        <v>63</v>
      </c>
      <c r="N318" s="89" t="s">
        <v>61</v>
      </c>
      <c r="O318" s="89" t="s">
        <v>62</v>
      </c>
      <c r="P318" s="89" t="s">
        <v>67</v>
      </c>
      <c r="Q318" s="89" t="s">
        <v>84</v>
      </c>
      <c r="R318" s="384" t="s">
        <v>225</v>
      </c>
    </row>
    <row r="319" spans="1:18" ht="11.4" customHeight="1" x14ac:dyDescent="0.25">
      <c r="D319" t="s">
        <v>72</v>
      </c>
      <c r="E319" s="89">
        <v>0</v>
      </c>
      <c r="F319" s="89">
        <v>0</v>
      </c>
      <c r="G319" s="89">
        <v>0</v>
      </c>
      <c r="H319" s="384">
        <v>0</v>
      </c>
      <c r="I319" s="89">
        <v>0</v>
      </c>
      <c r="J319" s="89">
        <v>0</v>
      </c>
      <c r="K319" s="89">
        <v>0</v>
      </c>
      <c r="L319" s="89">
        <v>0</v>
      </c>
      <c r="M319" s="89">
        <v>0</v>
      </c>
      <c r="N319" s="89">
        <v>0</v>
      </c>
      <c r="O319" s="89">
        <v>0</v>
      </c>
      <c r="P319" s="89">
        <v>0</v>
      </c>
      <c r="Q319" s="89">
        <v>0</v>
      </c>
      <c r="R319" s="384">
        <v>0</v>
      </c>
    </row>
    <row r="320" spans="1:18" ht="12.75" customHeight="1" x14ac:dyDescent="0.25">
      <c r="D320" t="s">
        <v>81</v>
      </c>
      <c r="E320" s="384">
        <v>0</v>
      </c>
      <c r="F320" s="89">
        <v>0</v>
      </c>
      <c r="G320" s="89">
        <v>0</v>
      </c>
      <c r="H320" s="384">
        <v>0</v>
      </c>
      <c r="I320" s="89">
        <v>0</v>
      </c>
      <c r="J320" s="89">
        <v>0</v>
      </c>
      <c r="K320" s="89">
        <v>0</v>
      </c>
      <c r="L320" s="89">
        <v>0</v>
      </c>
      <c r="M320" s="89">
        <v>0</v>
      </c>
      <c r="N320" s="89">
        <v>0</v>
      </c>
      <c r="O320" s="89">
        <v>0</v>
      </c>
      <c r="P320" s="89">
        <v>0</v>
      </c>
      <c r="Q320" s="89">
        <v>0</v>
      </c>
      <c r="R320" s="384">
        <v>0</v>
      </c>
    </row>
    <row r="321" spans="2:18" ht="11.4" customHeight="1" x14ac:dyDescent="0.25">
      <c r="C321" t="s">
        <v>332</v>
      </c>
      <c r="D321" t="s">
        <v>70</v>
      </c>
      <c r="E321" s="384">
        <v>0</v>
      </c>
      <c r="F321" s="89">
        <v>0</v>
      </c>
      <c r="G321" s="89">
        <v>0</v>
      </c>
      <c r="H321" s="384">
        <v>0</v>
      </c>
      <c r="I321" s="89">
        <v>0</v>
      </c>
      <c r="J321" s="89">
        <v>0</v>
      </c>
      <c r="K321" s="89">
        <v>0</v>
      </c>
      <c r="L321" s="89">
        <v>0</v>
      </c>
      <c r="M321" s="89">
        <v>0</v>
      </c>
      <c r="N321" s="89">
        <v>0</v>
      </c>
      <c r="O321" s="89">
        <v>0</v>
      </c>
      <c r="P321" s="89">
        <v>0</v>
      </c>
      <c r="Q321" s="89">
        <v>0</v>
      </c>
      <c r="R321" s="384">
        <v>0</v>
      </c>
    </row>
    <row r="322" spans="2:18" s="739" customFormat="1" ht="11.4" customHeight="1" x14ac:dyDescent="0.25">
      <c r="B322" s="739" t="s">
        <v>85</v>
      </c>
      <c r="C322" s="739" t="s">
        <v>70</v>
      </c>
      <c r="E322" s="769">
        <v>0</v>
      </c>
      <c r="F322" s="231">
        <v>0</v>
      </c>
      <c r="G322" s="231">
        <v>0</v>
      </c>
      <c r="H322" s="769">
        <v>0</v>
      </c>
      <c r="I322" s="231">
        <v>0</v>
      </c>
      <c r="J322" s="231">
        <v>0</v>
      </c>
      <c r="K322" s="231">
        <v>0</v>
      </c>
      <c r="L322" s="231">
        <v>0</v>
      </c>
      <c r="M322" s="231">
        <v>0</v>
      </c>
      <c r="N322" s="231">
        <v>0</v>
      </c>
      <c r="O322" s="231">
        <v>0</v>
      </c>
      <c r="P322" s="231">
        <v>0</v>
      </c>
      <c r="Q322" s="231">
        <v>0</v>
      </c>
      <c r="R322" s="769">
        <v>0</v>
      </c>
    </row>
    <row r="323" spans="2:18" ht="11.4" customHeight="1" x14ac:dyDescent="0.25">
      <c r="D323" t="s">
        <v>72</v>
      </c>
      <c r="E323" s="384">
        <v>0</v>
      </c>
      <c r="F323" s="89">
        <v>0</v>
      </c>
      <c r="G323" s="89">
        <v>0</v>
      </c>
      <c r="H323" s="384">
        <v>0</v>
      </c>
      <c r="I323" s="89">
        <v>0</v>
      </c>
      <c r="J323" s="89">
        <v>0</v>
      </c>
      <c r="K323" s="89">
        <v>0</v>
      </c>
      <c r="L323" s="89">
        <v>0</v>
      </c>
      <c r="M323" s="89">
        <v>0</v>
      </c>
      <c r="N323" s="89">
        <v>0</v>
      </c>
      <c r="O323" s="89">
        <v>0</v>
      </c>
      <c r="P323" s="89">
        <v>0</v>
      </c>
      <c r="Q323" s="89">
        <v>0</v>
      </c>
      <c r="R323" s="384">
        <v>0</v>
      </c>
    </row>
    <row r="324" spans="2:18" ht="12.75" customHeight="1" x14ac:dyDescent="0.25">
      <c r="D324" t="s">
        <v>81</v>
      </c>
      <c r="E324" s="384">
        <v>0</v>
      </c>
      <c r="F324" s="89">
        <v>0</v>
      </c>
      <c r="G324" s="89">
        <v>0</v>
      </c>
      <c r="H324" s="384">
        <v>0</v>
      </c>
      <c r="I324" s="89">
        <v>0</v>
      </c>
      <c r="J324" s="89">
        <v>0</v>
      </c>
      <c r="K324" s="89">
        <v>0</v>
      </c>
      <c r="L324" s="89">
        <v>0</v>
      </c>
      <c r="M324" s="89">
        <v>0</v>
      </c>
      <c r="N324" s="89">
        <v>0</v>
      </c>
      <c r="O324" s="89">
        <v>0</v>
      </c>
      <c r="P324" s="89">
        <v>0</v>
      </c>
      <c r="Q324" s="89">
        <v>0</v>
      </c>
      <c r="R324" s="384">
        <v>0</v>
      </c>
    </row>
    <row r="325" spans="2:18" ht="12.75" customHeight="1" x14ac:dyDescent="0.25">
      <c r="C325" t="s">
        <v>156</v>
      </c>
      <c r="D325" t="s">
        <v>70</v>
      </c>
      <c r="E325" s="384">
        <v>0</v>
      </c>
      <c r="F325" s="89">
        <v>0</v>
      </c>
      <c r="G325" s="89">
        <v>0</v>
      </c>
      <c r="H325" s="384">
        <v>0</v>
      </c>
      <c r="I325" s="89">
        <v>0</v>
      </c>
      <c r="J325" s="89">
        <v>0</v>
      </c>
      <c r="K325" s="89">
        <v>0</v>
      </c>
      <c r="L325" s="89">
        <v>0</v>
      </c>
      <c r="M325" s="89">
        <v>0</v>
      </c>
      <c r="N325" s="89">
        <v>0</v>
      </c>
      <c r="O325" s="89">
        <v>0</v>
      </c>
      <c r="P325" s="89">
        <v>0</v>
      </c>
      <c r="Q325" s="89">
        <v>0</v>
      </c>
      <c r="R325">
        <v>0</v>
      </c>
    </row>
    <row r="326" spans="2:18" s="286" customFormat="1" ht="12.75" customHeight="1" x14ac:dyDescent="0.25">
      <c r="B326" s="286" t="s">
        <v>155</v>
      </c>
      <c r="C326" s="286" t="s">
        <v>70</v>
      </c>
      <c r="E326" s="753">
        <v>0</v>
      </c>
      <c r="F326" s="229">
        <v>0</v>
      </c>
      <c r="G326" s="229">
        <v>0</v>
      </c>
      <c r="H326" s="753">
        <v>0</v>
      </c>
      <c r="I326" s="229">
        <v>0</v>
      </c>
      <c r="J326" s="229">
        <v>0</v>
      </c>
      <c r="K326" s="229">
        <v>0</v>
      </c>
      <c r="L326" s="229">
        <v>0</v>
      </c>
      <c r="M326" s="229">
        <v>0</v>
      </c>
      <c r="N326" s="229">
        <v>0</v>
      </c>
      <c r="O326" s="229">
        <v>0</v>
      </c>
      <c r="P326" s="229">
        <v>0</v>
      </c>
      <c r="Q326" s="229">
        <v>0</v>
      </c>
      <c r="R326" s="286">
        <v>0</v>
      </c>
    </row>
    <row r="327" spans="2:18" ht="12.75" customHeight="1" x14ac:dyDescent="0.25">
      <c r="D327" t="s">
        <v>72</v>
      </c>
      <c r="E327" s="371">
        <v>0</v>
      </c>
      <c r="F327" s="90">
        <v>0</v>
      </c>
      <c r="G327" s="90">
        <v>0</v>
      </c>
      <c r="H327" s="90">
        <v>0</v>
      </c>
      <c r="I327" s="90">
        <v>0</v>
      </c>
      <c r="J327" s="90">
        <v>0</v>
      </c>
      <c r="K327" s="90">
        <v>0</v>
      </c>
      <c r="L327" s="90">
        <v>0</v>
      </c>
      <c r="M327" s="90">
        <v>0</v>
      </c>
      <c r="N327" s="90">
        <v>0</v>
      </c>
      <c r="O327" s="90">
        <v>0</v>
      </c>
      <c r="P327" s="90">
        <v>0</v>
      </c>
      <c r="Q327" s="90">
        <v>0</v>
      </c>
      <c r="R327">
        <v>0</v>
      </c>
    </row>
    <row r="328" spans="2:18" ht="12.75" customHeight="1" x14ac:dyDescent="0.25">
      <c r="D328" t="s">
        <v>81</v>
      </c>
      <c r="E328" s="371">
        <v>0</v>
      </c>
      <c r="F328" s="90">
        <v>0</v>
      </c>
      <c r="G328" s="90">
        <v>0</v>
      </c>
      <c r="H328" s="90">
        <v>0</v>
      </c>
      <c r="I328" s="90">
        <v>0</v>
      </c>
      <c r="J328" s="90">
        <v>0</v>
      </c>
      <c r="K328" s="90">
        <v>0</v>
      </c>
      <c r="L328" s="90">
        <v>0</v>
      </c>
      <c r="M328" s="90">
        <v>0</v>
      </c>
      <c r="N328" s="90">
        <v>0</v>
      </c>
      <c r="O328" s="90">
        <v>0</v>
      </c>
      <c r="P328" s="90">
        <v>0</v>
      </c>
      <c r="Q328" s="90">
        <v>0</v>
      </c>
      <c r="R328">
        <v>0</v>
      </c>
    </row>
    <row r="329" spans="2:18" ht="12.75" customHeight="1" x14ac:dyDescent="0.25">
      <c r="C329" t="s">
        <v>115</v>
      </c>
      <c r="D329" t="s">
        <v>70</v>
      </c>
      <c r="E329" s="371">
        <v>0</v>
      </c>
      <c r="F329" s="90">
        <v>0</v>
      </c>
      <c r="G329" s="90">
        <v>0</v>
      </c>
      <c r="H329" s="90">
        <v>0</v>
      </c>
      <c r="I329" s="90">
        <v>0</v>
      </c>
      <c r="J329" s="90">
        <v>0</v>
      </c>
      <c r="K329" s="90">
        <v>0</v>
      </c>
      <c r="L329" s="90">
        <v>0</v>
      </c>
      <c r="M329" s="90">
        <v>0</v>
      </c>
      <c r="N329" s="90">
        <v>0</v>
      </c>
      <c r="O329" s="90">
        <v>0</v>
      </c>
      <c r="P329" s="90">
        <v>0</v>
      </c>
      <c r="Q329" s="90">
        <v>0</v>
      </c>
      <c r="R329">
        <v>0</v>
      </c>
    </row>
    <row r="330" spans="2:18" ht="12.75" customHeight="1" x14ac:dyDescent="0.25">
      <c r="D330" t="s">
        <v>72</v>
      </c>
      <c r="E330" s="371">
        <v>0</v>
      </c>
      <c r="F330" s="90">
        <v>0</v>
      </c>
      <c r="G330" s="90">
        <v>0</v>
      </c>
      <c r="H330" s="90">
        <v>0</v>
      </c>
      <c r="I330" s="90">
        <v>0</v>
      </c>
      <c r="J330" s="90">
        <v>0</v>
      </c>
      <c r="K330" s="90">
        <v>0</v>
      </c>
      <c r="L330" s="90">
        <v>0</v>
      </c>
      <c r="M330" s="90">
        <v>0</v>
      </c>
      <c r="N330" s="90">
        <v>0</v>
      </c>
      <c r="O330" s="90">
        <v>0</v>
      </c>
      <c r="P330" s="90">
        <v>0</v>
      </c>
      <c r="Q330" s="90">
        <v>0</v>
      </c>
      <c r="R330">
        <v>0</v>
      </c>
    </row>
    <row r="331" spans="2:18" ht="12.75" customHeight="1" x14ac:dyDescent="0.25">
      <c r="D331" t="s">
        <v>81</v>
      </c>
      <c r="E331" s="371">
        <v>0</v>
      </c>
      <c r="F331" s="90">
        <v>0</v>
      </c>
      <c r="G331" s="90">
        <v>0</v>
      </c>
      <c r="H331" s="90">
        <v>0</v>
      </c>
      <c r="I331" s="90">
        <v>0</v>
      </c>
      <c r="J331" s="90">
        <v>0</v>
      </c>
      <c r="K331" s="90">
        <v>0</v>
      </c>
      <c r="L331" s="90">
        <v>0</v>
      </c>
      <c r="M331" s="90">
        <v>0</v>
      </c>
      <c r="N331" s="90">
        <v>0</v>
      </c>
      <c r="O331" s="90">
        <v>0</v>
      </c>
      <c r="P331" s="90">
        <v>0</v>
      </c>
      <c r="Q331" s="90">
        <v>0</v>
      </c>
      <c r="R331">
        <v>0</v>
      </c>
    </row>
    <row r="332" spans="2:18" ht="12.75" customHeight="1" x14ac:dyDescent="0.25">
      <c r="C332" t="s">
        <v>116</v>
      </c>
      <c r="D332" t="s">
        <v>70</v>
      </c>
      <c r="E332" s="371">
        <v>0</v>
      </c>
      <c r="F332" s="90">
        <v>0</v>
      </c>
      <c r="G332" s="90">
        <v>0</v>
      </c>
      <c r="H332" s="90">
        <v>0</v>
      </c>
      <c r="I332" s="90">
        <v>0</v>
      </c>
      <c r="J332" s="90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>
        <v>0</v>
      </c>
    </row>
    <row r="333" spans="2:18" ht="12.75" customHeight="1" x14ac:dyDescent="0.25">
      <c r="D333" t="s">
        <v>72</v>
      </c>
      <c r="E333" s="371">
        <v>0</v>
      </c>
      <c r="F333" s="90">
        <v>0</v>
      </c>
      <c r="G333" s="90">
        <v>0</v>
      </c>
      <c r="H333" s="90">
        <v>0</v>
      </c>
      <c r="I333" s="90">
        <v>0</v>
      </c>
      <c r="J333" s="90">
        <v>0</v>
      </c>
      <c r="K333" s="90">
        <v>0</v>
      </c>
      <c r="L333" s="90">
        <v>0</v>
      </c>
      <c r="M333" s="90">
        <v>0</v>
      </c>
      <c r="N333" s="90">
        <v>0</v>
      </c>
      <c r="O333" s="90">
        <v>0</v>
      </c>
      <c r="P333" s="90">
        <v>0</v>
      </c>
      <c r="Q333" s="90">
        <v>0</v>
      </c>
      <c r="R333">
        <v>0</v>
      </c>
    </row>
    <row r="334" spans="2:18" ht="12.75" customHeight="1" x14ac:dyDescent="0.25">
      <c r="D334" t="s">
        <v>81</v>
      </c>
      <c r="E334" s="371">
        <v>0</v>
      </c>
      <c r="F334" s="90">
        <v>0</v>
      </c>
      <c r="G334" s="90">
        <v>0</v>
      </c>
      <c r="H334" s="90">
        <v>0</v>
      </c>
      <c r="I334" s="90">
        <v>0</v>
      </c>
      <c r="J334" s="90">
        <v>0</v>
      </c>
      <c r="K334" s="90">
        <v>0</v>
      </c>
      <c r="L334" s="90">
        <v>0</v>
      </c>
      <c r="M334" s="90">
        <v>0</v>
      </c>
      <c r="N334" s="90">
        <v>0</v>
      </c>
      <c r="O334" s="90">
        <v>0</v>
      </c>
      <c r="P334" s="90">
        <v>0</v>
      </c>
      <c r="Q334" s="90">
        <v>0</v>
      </c>
      <c r="R334">
        <v>0</v>
      </c>
    </row>
    <row r="335" spans="2:18" ht="12.75" customHeight="1" x14ac:dyDescent="0.25">
      <c r="C335" s="772">
        <v>3</v>
      </c>
      <c r="D335" t="s">
        <v>70</v>
      </c>
      <c r="E335" s="371">
        <v>0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>
        <v>0</v>
      </c>
    </row>
    <row r="336" spans="2:18" ht="12.75" customHeight="1" x14ac:dyDescent="0.25">
      <c r="B336" s="89"/>
      <c r="C336" s="89"/>
      <c r="D336" t="s">
        <v>72</v>
      </c>
      <c r="E336" s="371">
        <v>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>
        <v>0</v>
      </c>
    </row>
    <row r="337" spans="2:18" ht="12.75" customHeight="1" x14ac:dyDescent="0.25">
      <c r="B337" s="89"/>
      <c r="C337" s="89"/>
      <c r="D337" t="s">
        <v>81</v>
      </c>
      <c r="E337" s="371">
        <v>0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>
        <v>0</v>
      </c>
    </row>
    <row r="338" spans="2:18" ht="12.75" customHeight="1" x14ac:dyDescent="0.25">
      <c r="B338" s="89"/>
      <c r="C338" s="773">
        <v>4</v>
      </c>
      <c r="D338" t="s">
        <v>70</v>
      </c>
      <c r="E338" s="371">
        <v>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>
        <v>0</v>
      </c>
    </row>
    <row r="339" spans="2:18" ht="12.75" customHeight="1" x14ac:dyDescent="0.25">
      <c r="B339" s="89"/>
      <c r="C339" s="89"/>
      <c r="D339" t="s">
        <v>72</v>
      </c>
      <c r="E339" s="371">
        <v>0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>
        <v>0</v>
      </c>
    </row>
    <row r="340" spans="2:18" ht="12.75" customHeight="1" x14ac:dyDescent="0.25">
      <c r="B340" s="89"/>
      <c r="C340" s="89"/>
      <c r="D340" t="s">
        <v>81</v>
      </c>
      <c r="E340" s="371">
        <v>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>
        <v>0</v>
      </c>
    </row>
    <row r="341" spans="2:18" ht="12.75" customHeight="1" x14ac:dyDescent="0.25">
      <c r="B341" s="89"/>
      <c r="C341" s="89" t="s">
        <v>118</v>
      </c>
      <c r="D341" t="s">
        <v>70</v>
      </c>
      <c r="E341" s="371">
        <v>0</v>
      </c>
      <c r="F341" s="90">
        <v>0</v>
      </c>
      <c r="G341" s="90">
        <v>0</v>
      </c>
      <c r="H341" s="90">
        <v>0</v>
      </c>
      <c r="I341" s="90">
        <v>0</v>
      </c>
      <c r="J341" s="90">
        <v>0</v>
      </c>
      <c r="K341" s="90">
        <v>0</v>
      </c>
      <c r="L341" s="90">
        <v>0</v>
      </c>
      <c r="M341" s="90">
        <v>0</v>
      </c>
      <c r="N341" s="90">
        <v>0</v>
      </c>
      <c r="O341" s="90">
        <v>0</v>
      </c>
      <c r="P341" s="90">
        <v>0</v>
      </c>
      <c r="Q341" s="90">
        <v>0</v>
      </c>
      <c r="R341">
        <v>0</v>
      </c>
    </row>
    <row r="342" spans="2:18" ht="12.75" customHeight="1" x14ac:dyDescent="0.25">
      <c r="B342" s="89"/>
      <c r="C342" s="89"/>
      <c r="D342" t="s">
        <v>72</v>
      </c>
      <c r="E342" s="371">
        <v>0</v>
      </c>
      <c r="F342" s="90">
        <v>0</v>
      </c>
      <c r="G342" s="90">
        <v>0</v>
      </c>
      <c r="H342" s="90">
        <v>0</v>
      </c>
      <c r="I342" s="90">
        <v>0</v>
      </c>
      <c r="J342" s="90">
        <v>0</v>
      </c>
      <c r="K342" s="90">
        <v>0</v>
      </c>
      <c r="L342" s="90">
        <v>0</v>
      </c>
      <c r="M342" s="90">
        <v>0</v>
      </c>
      <c r="N342" s="90">
        <v>0</v>
      </c>
      <c r="O342" s="90">
        <v>0</v>
      </c>
      <c r="P342" s="90">
        <v>0</v>
      </c>
      <c r="Q342" s="90">
        <v>0</v>
      </c>
      <c r="R342">
        <v>0</v>
      </c>
    </row>
    <row r="343" spans="2:18" ht="12.75" customHeight="1" x14ac:dyDescent="0.25">
      <c r="B343" s="89"/>
      <c r="C343" s="89"/>
      <c r="D343" t="s">
        <v>81</v>
      </c>
      <c r="E343" s="371">
        <v>0</v>
      </c>
      <c r="F343" s="90">
        <v>0</v>
      </c>
      <c r="G343" s="90">
        <v>0</v>
      </c>
      <c r="H343" s="90">
        <v>0</v>
      </c>
      <c r="I343" s="90">
        <v>0</v>
      </c>
      <c r="J343" s="90">
        <v>0</v>
      </c>
      <c r="K343" s="90">
        <v>0</v>
      </c>
      <c r="L343" s="90">
        <v>0</v>
      </c>
      <c r="M343" s="90">
        <v>0</v>
      </c>
      <c r="N343" s="90">
        <v>0</v>
      </c>
      <c r="O343" s="90">
        <v>0</v>
      </c>
      <c r="P343" s="90">
        <v>0</v>
      </c>
      <c r="Q343" s="90">
        <v>0</v>
      </c>
      <c r="R343">
        <v>0</v>
      </c>
    </row>
    <row r="344" spans="2:18" ht="12.75" customHeight="1" x14ac:dyDescent="0.25">
      <c r="B344" s="89"/>
      <c r="C344" s="773">
        <v>6</v>
      </c>
      <c r="D344" t="s">
        <v>70</v>
      </c>
      <c r="E344" s="371">
        <v>0</v>
      </c>
      <c r="F344" s="90">
        <v>0</v>
      </c>
      <c r="G344" s="90">
        <v>0</v>
      </c>
      <c r="H344" s="90">
        <v>0</v>
      </c>
      <c r="I344" s="90">
        <v>0</v>
      </c>
      <c r="J344" s="90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>
        <v>0</v>
      </c>
    </row>
    <row r="345" spans="2:18" ht="12.75" customHeight="1" x14ac:dyDescent="0.25">
      <c r="B345" s="89"/>
      <c r="C345" s="89"/>
      <c r="D345" t="s">
        <v>72</v>
      </c>
      <c r="E345" s="371">
        <v>0</v>
      </c>
      <c r="F345" s="90">
        <v>0</v>
      </c>
      <c r="G345" s="90">
        <v>0</v>
      </c>
      <c r="H345" s="90">
        <v>0</v>
      </c>
      <c r="I345" s="90">
        <v>0</v>
      </c>
      <c r="J345" s="90">
        <v>0</v>
      </c>
      <c r="K345" s="90">
        <v>0</v>
      </c>
      <c r="L345" s="90">
        <v>0</v>
      </c>
      <c r="M345" s="90">
        <v>0</v>
      </c>
      <c r="N345" s="90">
        <v>0</v>
      </c>
      <c r="O345" s="90">
        <v>0</v>
      </c>
      <c r="P345" s="90">
        <v>0</v>
      </c>
      <c r="Q345" s="90">
        <v>0</v>
      </c>
      <c r="R345">
        <v>0</v>
      </c>
    </row>
    <row r="346" spans="2:18" ht="12.75" customHeight="1" x14ac:dyDescent="0.25">
      <c r="B346" s="89"/>
      <c r="C346" s="89"/>
      <c r="D346" t="s">
        <v>81</v>
      </c>
      <c r="E346" s="371">
        <v>0</v>
      </c>
      <c r="F346" s="90">
        <v>0</v>
      </c>
      <c r="G346" s="90">
        <v>0</v>
      </c>
      <c r="H346" s="90">
        <v>0</v>
      </c>
      <c r="I346" s="90">
        <v>0</v>
      </c>
      <c r="J346" s="90">
        <v>0</v>
      </c>
      <c r="K346" s="90">
        <v>0</v>
      </c>
      <c r="L346" s="90">
        <v>0</v>
      </c>
      <c r="M346" s="90">
        <v>0</v>
      </c>
      <c r="N346" s="90">
        <v>0</v>
      </c>
      <c r="O346" s="90">
        <v>0</v>
      </c>
      <c r="P346" s="90">
        <v>0</v>
      </c>
      <c r="Q346" s="90">
        <v>0</v>
      </c>
      <c r="R346">
        <v>0</v>
      </c>
    </row>
    <row r="347" spans="2:18" ht="12.75" customHeight="1" x14ac:dyDescent="0.25">
      <c r="B347" s="89"/>
      <c r="C347" s="773">
        <v>9</v>
      </c>
      <c r="D347" t="s">
        <v>70</v>
      </c>
      <c r="E347" s="371">
        <v>0</v>
      </c>
      <c r="F347" s="90">
        <v>0</v>
      </c>
      <c r="G347" s="90">
        <v>0</v>
      </c>
      <c r="H347" s="90">
        <v>0</v>
      </c>
      <c r="I347" s="90">
        <v>0</v>
      </c>
      <c r="J347" s="90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>
        <v>0</v>
      </c>
    </row>
    <row r="348" spans="2:18" s="224" customFormat="1" ht="12.75" customHeight="1" x14ac:dyDescent="0.25">
      <c r="B348" s="224" t="s">
        <v>120</v>
      </c>
      <c r="C348" s="223" t="s">
        <v>70</v>
      </c>
      <c r="D348" s="223"/>
      <c r="E348" s="225">
        <v>0</v>
      </c>
      <c r="F348" s="225">
        <v>0</v>
      </c>
      <c r="G348" s="225">
        <v>0</v>
      </c>
      <c r="H348" s="225">
        <v>0</v>
      </c>
      <c r="I348" s="225">
        <v>0</v>
      </c>
      <c r="J348" s="225">
        <v>0</v>
      </c>
      <c r="K348" s="225">
        <v>0</v>
      </c>
      <c r="L348" s="225">
        <v>0</v>
      </c>
      <c r="M348" s="225">
        <v>0</v>
      </c>
      <c r="N348" s="225">
        <v>0</v>
      </c>
      <c r="O348" s="225">
        <v>0</v>
      </c>
      <c r="P348" s="225">
        <v>0</v>
      </c>
      <c r="Q348" s="225">
        <v>0</v>
      </c>
      <c r="R348" s="224">
        <v>0</v>
      </c>
    </row>
    <row r="349" spans="2:18" ht="12.75" customHeight="1" x14ac:dyDescent="0.25">
      <c r="C349" s="89"/>
      <c r="D349" s="89" t="s">
        <v>72</v>
      </c>
      <c r="E349" s="371">
        <v>0</v>
      </c>
      <c r="F349" s="90">
        <v>0</v>
      </c>
      <c r="G349" s="90">
        <v>0</v>
      </c>
      <c r="H349" s="90">
        <v>0</v>
      </c>
      <c r="I349" s="90">
        <v>0</v>
      </c>
      <c r="J349" s="90">
        <v>0</v>
      </c>
      <c r="K349" s="90">
        <v>0</v>
      </c>
      <c r="L349" s="90">
        <v>0</v>
      </c>
      <c r="M349" s="90">
        <v>0</v>
      </c>
      <c r="N349" s="90">
        <v>0</v>
      </c>
      <c r="O349" s="90">
        <v>0</v>
      </c>
      <c r="P349" s="90">
        <v>0</v>
      </c>
      <c r="Q349" s="90">
        <v>0</v>
      </c>
      <c r="R349">
        <v>0</v>
      </c>
    </row>
    <row r="350" spans="2:18" ht="12.75" customHeight="1" x14ac:dyDescent="0.25">
      <c r="C350" s="89"/>
      <c r="D350" s="89" t="s">
        <v>81</v>
      </c>
      <c r="E350" s="371">
        <v>0</v>
      </c>
      <c r="F350" s="90">
        <v>0</v>
      </c>
      <c r="G350" s="90">
        <v>0</v>
      </c>
      <c r="H350" s="90">
        <v>0</v>
      </c>
      <c r="I350" s="90">
        <v>0</v>
      </c>
      <c r="J350" s="90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>
        <v>0</v>
      </c>
    </row>
    <row r="351" spans="2:18" ht="12.75" customHeight="1" x14ac:dyDescent="0.25">
      <c r="C351" s="89" t="s">
        <v>82</v>
      </c>
      <c r="D351" s="89" t="s">
        <v>70</v>
      </c>
      <c r="E351" s="371">
        <v>0</v>
      </c>
      <c r="F351" s="90">
        <v>0</v>
      </c>
      <c r="G351" s="90">
        <v>0</v>
      </c>
      <c r="H351" s="90">
        <v>0</v>
      </c>
      <c r="I351" s="90">
        <v>0</v>
      </c>
      <c r="J351" s="90">
        <v>0</v>
      </c>
      <c r="K351" s="90">
        <v>0</v>
      </c>
      <c r="L351" s="90">
        <v>0</v>
      </c>
      <c r="M351" s="90">
        <v>0</v>
      </c>
      <c r="N351" s="90">
        <v>0</v>
      </c>
      <c r="O351" s="90">
        <v>0</v>
      </c>
      <c r="P351" s="90">
        <v>0</v>
      </c>
      <c r="Q351" s="90">
        <v>0</v>
      </c>
      <c r="R351">
        <v>0</v>
      </c>
    </row>
    <row r="352" spans="2:18" ht="12.75" customHeight="1" x14ac:dyDescent="0.25">
      <c r="C352" s="89"/>
      <c r="D352" s="89" t="s">
        <v>72</v>
      </c>
      <c r="E352" s="371">
        <v>0</v>
      </c>
      <c r="F352" s="90">
        <v>0</v>
      </c>
      <c r="G352" s="90">
        <v>0</v>
      </c>
      <c r="H352" s="90">
        <v>0</v>
      </c>
      <c r="I352" s="90">
        <v>0</v>
      </c>
      <c r="J352" s="90">
        <v>0</v>
      </c>
      <c r="K352" s="90">
        <v>0</v>
      </c>
      <c r="L352" s="90">
        <v>0</v>
      </c>
      <c r="M352" s="90">
        <v>0</v>
      </c>
      <c r="N352" s="90">
        <v>0</v>
      </c>
      <c r="O352" s="90">
        <v>0</v>
      </c>
      <c r="P352" s="90">
        <v>0</v>
      </c>
      <c r="Q352" s="90">
        <v>0</v>
      </c>
      <c r="R352">
        <v>0</v>
      </c>
    </row>
    <row r="353" spans="1:18" ht="12.75" customHeight="1" x14ac:dyDescent="0.25">
      <c r="C353" s="89"/>
      <c r="D353" s="89" t="s">
        <v>81</v>
      </c>
      <c r="E353" s="371">
        <v>0</v>
      </c>
      <c r="F353" s="90">
        <v>0</v>
      </c>
      <c r="G353" s="90">
        <v>0</v>
      </c>
      <c r="H353" s="90">
        <v>0</v>
      </c>
      <c r="I353" s="90">
        <v>0</v>
      </c>
      <c r="J353" s="90">
        <v>0</v>
      </c>
      <c r="K353" s="90">
        <v>0</v>
      </c>
      <c r="L353" s="90">
        <v>0</v>
      </c>
      <c r="M353" s="90">
        <v>0</v>
      </c>
      <c r="N353" s="90">
        <v>0</v>
      </c>
      <c r="O353" s="90">
        <v>0</v>
      </c>
      <c r="P353" s="90">
        <v>0</v>
      </c>
      <c r="Q353" s="90">
        <v>0</v>
      </c>
      <c r="R353">
        <v>0</v>
      </c>
    </row>
    <row r="354" spans="1:18" ht="12.75" customHeight="1" x14ac:dyDescent="0.25">
      <c r="C354" s="89" t="s">
        <v>86</v>
      </c>
      <c r="D354" s="89" t="s">
        <v>70</v>
      </c>
      <c r="E354" s="371">
        <v>0</v>
      </c>
      <c r="F354" s="90">
        <v>0</v>
      </c>
      <c r="G354" s="90">
        <v>0</v>
      </c>
      <c r="H354" s="90">
        <v>0</v>
      </c>
      <c r="I354" s="90">
        <v>0</v>
      </c>
      <c r="J354" s="90">
        <v>0</v>
      </c>
      <c r="K354" s="90">
        <v>0</v>
      </c>
      <c r="L354" s="90">
        <v>0</v>
      </c>
      <c r="M354" s="90">
        <v>0</v>
      </c>
      <c r="N354" s="90">
        <v>0</v>
      </c>
      <c r="O354" s="90">
        <v>0</v>
      </c>
      <c r="P354" s="90">
        <v>0</v>
      </c>
      <c r="Q354" s="90">
        <v>0</v>
      </c>
      <c r="R354">
        <v>0</v>
      </c>
    </row>
    <row r="355" spans="1:18" ht="12.75" customHeight="1" x14ac:dyDescent="0.25">
      <c r="C355" s="89"/>
      <c r="D355" s="89" t="s">
        <v>72</v>
      </c>
      <c r="E355" s="371">
        <v>0</v>
      </c>
      <c r="F355" s="90">
        <v>0</v>
      </c>
      <c r="G355" s="90">
        <v>0</v>
      </c>
      <c r="H355" s="90">
        <v>0</v>
      </c>
      <c r="I355" s="90">
        <v>0</v>
      </c>
      <c r="J355" s="90">
        <v>0</v>
      </c>
      <c r="K355" s="90">
        <v>0</v>
      </c>
      <c r="L355" s="90">
        <v>0</v>
      </c>
      <c r="M355" s="90">
        <v>0</v>
      </c>
      <c r="N355" s="90">
        <v>0</v>
      </c>
      <c r="O355" s="90">
        <v>0</v>
      </c>
      <c r="P355" s="90">
        <v>0</v>
      </c>
      <c r="Q355" s="90">
        <v>0</v>
      </c>
      <c r="R355">
        <v>0</v>
      </c>
    </row>
    <row r="356" spans="1:18" ht="12.75" customHeight="1" x14ac:dyDescent="0.25">
      <c r="C356" s="89"/>
      <c r="D356" s="89" t="s">
        <v>81</v>
      </c>
      <c r="E356" s="371">
        <v>0</v>
      </c>
      <c r="F356" s="90">
        <v>0</v>
      </c>
      <c r="G356" s="90">
        <v>0</v>
      </c>
      <c r="H356" s="90">
        <v>0</v>
      </c>
      <c r="I356" s="90">
        <v>0</v>
      </c>
      <c r="J356" s="90">
        <v>0</v>
      </c>
      <c r="K356" s="90">
        <v>0</v>
      </c>
      <c r="L356" s="90">
        <v>0</v>
      </c>
      <c r="M356" s="90">
        <v>0</v>
      </c>
      <c r="N356" s="90">
        <v>0</v>
      </c>
      <c r="O356" s="90">
        <v>0</v>
      </c>
      <c r="P356" s="90">
        <v>0</v>
      </c>
      <c r="Q356" s="90">
        <v>0</v>
      </c>
      <c r="R356">
        <v>0</v>
      </c>
    </row>
    <row r="357" spans="1:18" ht="12.75" customHeight="1" x14ac:dyDescent="0.25">
      <c r="A357" s="89"/>
      <c r="B357" s="89"/>
      <c r="C357" t="s">
        <v>87</v>
      </c>
      <c r="D357" t="s">
        <v>70</v>
      </c>
      <c r="E357" s="90">
        <v>0</v>
      </c>
      <c r="F357" s="90">
        <v>0</v>
      </c>
      <c r="G357" s="90">
        <v>0</v>
      </c>
      <c r="H357" s="90">
        <v>0</v>
      </c>
      <c r="I357" s="90">
        <v>0</v>
      </c>
      <c r="J357" s="90">
        <v>0</v>
      </c>
      <c r="K357" s="90">
        <v>0</v>
      </c>
      <c r="L357" s="90">
        <v>0</v>
      </c>
      <c r="M357" s="90">
        <v>0</v>
      </c>
      <c r="N357" s="90">
        <v>0</v>
      </c>
      <c r="O357" s="90">
        <v>0</v>
      </c>
      <c r="P357" s="90">
        <v>0</v>
      </c>
      <c r="Q357" s="90">
        <v>0</v>
      </c>
      <c r="R357">
        <v>0</v>
      </c>
    </row>
    <row r="358" spans="1:18" s="94" customFormat="1" ht="12.75" customHeight="1" x14ac:dyDescent="0.25">
      <c r="B358" s="101" t="s">
        <v>119</v>
      </c>
      <c r="C358" s="101" t="s">
        <v>70</v>
      </c>
      <c r="E358" s="93">
        <v>0</v>
      </c>
      <c r="F358" s="93">
        <v>0</v>
      </c>
      <c r="G358" s="93">
        <v>0</v>
      </c>
      <c r="H358" s="93">
        <v>0</v>
      </c>
      <c r="I358" s="93">
        <v>0</v>
      </c>
      <c r="J358" s="93">
        <v>0</v>
      </c>
      <c r="K358" s="93">
        <v>0</v>
      </c>
      <c r="L358" s="93">
        <v>0</v>
      </c>
      <c r="M358" s="93">
        <v>0</v>
      </c>
      <c r="N358" s="93">
        <v>0</v>
      </c>
      <c r="O358" s="93">
        <v>0</v>
      </c>
      <c r="P358" s="93">
        <v>0</v>
      </c>
      <c r="Q358" s="93">
        <v>0</v>
      </c>
      <c r="R358" s="94">
        <v>0</v>
      </c>
    </row>
    <row r="359" spans="1:18" s="226" customFormat="1" ht="12.75" customHeight="1" x14ac:dyDescent="0.25">
      <c r="A359" s="98" t="s">
        <v>78</v>
      </c>
      <c r="B359" s="98" t="s">
        <v>70</v>
      </c>
      <c r="E359" s="100">
        <v>0</v>
      </c>
      <c r="F359" s="100">
        <v>0</v>
      </c>
      <c r="G359" s="100">
        <v>0</v>
      </c>
      <c r="H359" s="100">
        <v>0</v>
      </c>
      <c r="I359" s="100">
        <v>0</v>
      </c>
      <c r="J359" s="100">
        <v>0</v>
      </c>
      <c r="K359" s="100">
        <v>0</v>
      </c>
      <c r="L359" s="100">
        <v>0</v>
      </c>
      <c r="M359" s="100">
        <v>0</v>
      </c>
      <c r="N359" s="100">
        <v>0</v>
      </c>
      <c r="O359" s="100">
        <v>0</v>
      </c>
      <c r="P359" s="100">
        <v>0</v>
      </c>
      <c r="Q359" s="100">
        <v>0</v>
      </c>
      <c r="R359" s="226">
        <v>0</v>
      </c>
    </row>
    <row r="360" spans="1:18" ht="12.75" customHeight="1" x14ac:dyDescent="0.25">
      <c r="B360" s="89"/>
      <c r="C360" s="89"/>
      <c r="D360" t="s">
        <v>73</v>
      </c>
      <c r="E360" s="90">
        <v>0</v>
      </c>
      <c r="F360" s="90">
        <v>0</v>
      </c>
      <c r="G360" s="90">
        <v>0</v>
      </c>
      <c r="H360" s="90">
        <v>0</v>
      </c>
      <c r="I360" s="90">
        <v>0</v>
      </c>
      <c r="J360" s="90">
        <v>0</v>
      </c>
      <c r="K360" s="90">
        <v>0</v>
      </c>
      <c r="L360" s="90">
        <v>0</v>
      </c>
      <c r="M360" s="90">
        <v>0</v>
      </c>
      <c r="N360" s="90">
        <v>0</v>
      </c>
      <c r="O360" s="90">
        <v>0</v>
      </c>
      <c r="P360" s="90">
        <v>0</v>
      </c>
      <c r="Q360" s="90">
        <v>0</v>
      </c>
      <c r="R360">
        <v>0</v>
      </c>
    </row>
    <row r="361" spans="1:18" ht="12.75" customHeight="1" x14ac:dyDescent="0.25">
      <c r="B361" s="89"/>
      <c r="C361" s="89" t="s">
        <v>332</v>
      </c>
      <c r="D361" t="s">
        <v>70</v>
      </c>
      <c r="E361" s="90">
        <v>0</v>
      </c>
      <c r="F361" s="90">
        <v>0</v>
      </c>
      <c r="G361" s="90">
        <v>0</v>
      </c>
      <c r="H361" s="90">
        <v>0</v>
      </c>
      <c r="I361" s="90">
        <v>0</v>
      </c>
      <c r="J361" s="90">
        <v>0</v>
      </c>
      <c r="K361" s="90">
        <v>0</v>
      </c>
      <c r="L361" s="90">
        <v>0</v>
      </c>
      <c r="M361" s="90">
        <v>0</v>
      </c>
      <c r="N361" s="90">
        <v>0</v>
      </c>
      <c r="O361" s="90">
        <v>0</v>
      </c>
      <c r="P361" s="90">
        <v>0</v>
      </c>
      <c r="Q361" s="90">
        <v>0</v>
      </c>
      <c r="R361">
        <v>0</v>
      </c>
    </row>
    <row r="362" spans="1:18" s="378" customFormat="1" ht="12.75" customHeight="1" x14ac:dyDescent="0.25">
      <c r="B362" s="378" t="s">
        <v>85</v>
      </c>
      <c r="C362" s="378" t="s">
        <v>70</v>
      </c>
      <c r="E362" s="378">
        <v>0</v>
      </c>
      <c r="F362" s="378">
        <v>0</v>
      </c>
      <c r="G362" s="378">
        <v>0</v>
      </c>
      <c r="H362" s="378">
        <v>0</v>
      </c>
      <c r="I362" s="378">
        <v>0</v>
      </c>
      <c r="J362" s="378">
        <v>0</v>
      </c>
      <c r="K362" s="378">
        <v>0</v>
      </c>
      <c r="L362" s="378">
        <v>0</v>
      </c>
      <c r="M362" s="378">
        <v>0</v>
      </c>
      <c r="N362" s="378">
        <v>0</v>
      </c>
      <c r="O362" s="378">
        <v>0</v>
      </c>
      <c r="P362" s="378">
        <v>0</v>
      </c>
      <c r="Q362" s="378">
        <v>0</v>
      </c>
      <c r="R362" s="378">
        <v>0</v>
      </c>
    </row>
    <row r="363" spans="1:18" ht="12.75" customHeight="1" x14ac:dyDescent="0.25">
      <c r="B363" s="89"/>
      <c r="C363" s="89"/>
      <c r="D363" t="s">
        <v>73</v>
      </c>
      <c r="E363" s="371">
        <v>0</v>
      </c>
      <c r="F363" s="90">
        <v>0</v>
      </c>
      <c r="G363" s="90">
        <v>0</v>
      </c>
      <c r="H363" s="90">
        <v>0</v>
      </c>
      <c r="I363" s="90">
        <v>0</v>
      </c>
      <c r="J363" s="90">
        <v>0</v>
      </c>
      <c r="K363" s="90">
        <v>0</v>
      </c>
      <c r="L363" s="90">
        <v>0</v>
      </c>
      <c r="M363" s="90">
        <v>0</v>
      </c>
      <c r="N363" s="90">
        <v>0</v>
      </c>
      <c r="O363" s="90">
        <v>0</v>
      </c>
      <c r="P363" s="90">
        <v>0</v>
      </c>
      <c r="Q363" s="90">
        <v>0</v>
      </c>
      <c r="R363">
        <v>0</v>
      </c>
    </row>
    <row r="364" spans="1:18" ht="12.75" customHeight="1" x14ac:dyDescent="0.25">
      <c r="B364" s="89"/>
      <c r="C364" s="89" t="s">
        <v>156</v>
      </c>
      <c r="D364" t="s">
        <v>70</v>
      </c>
      <c r="E364" s="371">
        <v>0</v>
      </c>
      <c r="F364" s="90">
        <v>0</v>
      </c>
      <c r="G364" s="90">
        <v>0</v>
      </c>
      <c r="H364" s="90">
        <v>0</v>
      </c>
      <c r="I364" s="90">
        <v>0</v>
      </c>
      <c r="J364" s="90">
        <v>0</v>
      </c>
      <c r="K364" s="90">
        <v>0</v>
      </c>
      <c r="L364" s="90">
        <v>0</v>
      </c>
      <c r="M364" s="90">
        <v>0</v>
      </c>
      <c r="N364" s="90">
        <v>0</v>
      </c>
      <c r="O364" s="90">
        <v>0</v>
      </c>
      <c r="P364" s="90">
        <v>0</v>
      </c>
      <c r="Q364" s="90">
        <v>0</v>
      </c>
      <c r="R364">
        <v>0</v>
      </c>
    </row>
    <row r="365" spans="1:18" s="286" customFormat="1" ht="12.75" customHeight="1" x14ac:dyDescent="0.25">
      <c r="B365" s="229" t="s">
        <v>155</v>
      </c>
      <c r="C365" s="229" t="s">
        <v>70</v>
      </c>
      <c r="E365" s="752">
        <v>0</v>
      </c>
      <c r="F365" s="230">
        <v>0</v>
      </c>
      <c r="G365" s="230">
        <v>0</v>
      </c>
      <c r="H365" s="230">
        <v>0</v>
      </c>
      <c r="I365" s="230">
        <v>0</v>
      </c>
      <c r="J365" s="230">
        <v>0</v>
      </c>
      <c r="K365" s="230">
        <v>0</v>
      </c>
      <c r="L365" s="230">
        <v>0</v>
      </c>
      <c r="M365" s="230">
        <v>0</v>
      </c>
      <c r="N365" s="230">
        <v>0</v>
      </c>
      <c r="O365" s="230">
        <v>0</v>
      </c>
      <c r="P365" s="230">
        <v>0</v>
      </c>
      <c r="Q365" s="230">
        <v>0</v>
      </c>
      <c r="R365" s="286">
        <v>0</v>
      </c>
    </row>
    <row r="366" spans="1:18" ht="12.75" customHeight="1" x14ac:dyDescent="0.25">
      <c r="B366" s="89"/>
      <c r="C366" s="89"/>
      <c r="D366" t="s">
        <v>73</v>
      </c>
      <c r="E366" s="371">
        <v>0</v>
      </c>
      <c r="F366" s="90">
        <v>0</v>
      </c>
      <c r="G366" s="90">
        <v>0</v>
      </c>
      <c r="H366" s="90">
        <v>0</v>
      </c>
      <c r="I366" s="90">
        <v>0</v>
      </c>
      <c r="J366" s="90">
        <v>0</v>
      </c>
      <c r="K366" s="90">
        <v>0</v>
      </c>
      <c r="L366" s="90">
        <v>0</v>
      </c>
      <c r="M366" s="90">
        <v>0</v>
      </c>
      <c r="N366" s="90">
        <v>0</v>
      </c>
      <c r="O366" s="90">
        <v>0</v>
      </c>
      <c r="P366" s="90">
        <v>0</v>
      </c>
      <c r="Q366" s="90">
        <v>0</v>
      </c>
      <c r="R366">
        <v>0</v>
      </c>
    </row>
    <row r="367" spans="1:18" ht="12.75" customHeight="1" x14ac:dyDescent="0.25">
      <c r="B367" s="89"/>
      <c r="C367" s="89" t="s">
        <v>115</v>
      </c>
      <c r="D367" t="s">
        <v>70</v>
      </c>
      <c r="E367" s="371">
        <v>0</v>
      </c>
      <c r="F367" s="90">
        <v>0</v>
      </c>
      <c r="G367" s="90">
        <v>0</v>
      </c>
      <c r="H367" s="90">
        <v>0</v>
      </c>
      <c r="I367" s="90">
        <v>0</v>
      </c>
      <c r="J367" s="90">
        <v>0</v>
      </c>
      <c r="K367" s="90">
        <v>0</v>
      </c>
      <c r="L367" s="90">
        <v>0</v>
      </c>
      <c r="M367" s="90">
        <v>0</v>
      </c>
      <c r="N367" s="90">
        <v>0</v>
      </c>
      <c r="O367" s="90">
        <v>0</v>
      </c>
      <c r="P367" s="90">
        <v>0</v>
      </c>
      <c r="Q367" s="90">
        <v>0</v>
      </c>
      <c r="R367">
        <v>0</v>
      </c>
    </row>
    <row r="368" spans="1:18" ht="12.75" customHeight="1" x14ac:dyDescent="0.25">
      <c r="B368" s="89"/>
      <c r="C368" s="89"/>
      <c r="D368" t="s">
        <v>73</v>
      </c>
      <c r="E368" s="371">
        <v>0</v>
      </c>
      <c r="F368" s="90">
        <v>0</v>
      </c>
      <c r="G368" s="90">
        <v>0</v>
      </c>
      <c r="H368" s="90">
        <v>0</v>
      </c>
      <c r="I368" s="90">
        <v>0</v>
      </c>
      <c r="J368" s="90">
        <v>0</v>
      </c>
      <c r="K368" s="90">
        <v>0</v>
      </c>
      <c r="L368" s="90">
        <v>0</v>
      </c>
      <c r="M368" s="90">
        <v>0</v>
      </c>
      <c r="N368" s="90">
        <v>0</v>
      </c>
      <c r="O368" s="90">
        <v>0</v>
      </c>
      <c r="P368" s="90">
        <v>0</v>
      </c>
      <c r="Q368" s="90">
        <v>0</v>
      </c>
      <c r="R368">
        <v>0</v>
      </c>
    </row>
    <row r="369" spans="2:18" ht="12.75" customHeight="1" x14ac:dyDescent="0.25">
      <c r="B369" s="89"/>
      <c r="C369" s="89" t="s">
        <v>116</v>
      </c>
      <c r="D369" t="s">
        <v>70</v>
      </c>
      <c r="E369" s="371">
        <v>0</v>
      </c>
      <c r="F369" s="90">
        <v>0</v>
      </c>
      <c r="G369" s="90">
        <v>0</v>
      </c>
      <c r="H369" s="90">
        <v>0</v>
      </c>
      <c r="I369" s="90">
        <v>0</v>
      </c>
      <c r="J369" s="90">
        <v>0</v>
      </c>
      <c r="K369" s="90">
        <v>0</v>
      </c>
      <c r="L369" s="90">
        <v>0</v>
      </c>
      <c r="M369" s="90">
        <v>0</v>
      </c>
      <c r="N369" s="90">
        <v>0</v>
      </c>
      <c r="O369" s="90">
        <v>0</v>
      </c>
      <c r="P369" s="90">
        <v>0</v>
      </c>
      <c r="Q369" s="90">
        <v>0</v>
      </c>
      <c r="R369">
        <v>0</v>
      </c>
    </row>
    <row r="370" spans="2:18" ht="12.75" customHeight="1" x14ac:dyDescent="0.25">
      <c r="B370" s="89"/>
      <c r="C370" s="89"/>
      <c r="D370" t="s">
        <v>73</v>
      </c>
      <c r="E370" s="371">
        <v>0</v>
      </c>
      <c r="F370" s="90">
        <v>0</v>
      </c>
      <c r="G370" s="90">
        <v>0</v>
      </c>
      <c r="H370" s="90">
        <v>0</v>
      </c>
      <c r="I370" s="90">
        <v>0</v>
      </c>
      <c r="J370" s="90">
        <v>0</v>
      </c>
      <c r="K370" s="90">
        <v>0</v>
      </c>
      <c r="L370" s="90">
        <v>0</v>
      </c>
      <c r="M370" s="90">
        <v>0</v>
      </c>
      <c r="N370" s="90">
        <v>0</v>
      </c>
      <c r="O370" s="90">
        <v>0</v>
      </c>
      <c r="P370" s="90">
        <v>0</v>
      </c>
      <c r="Q370" s="90">
        <v>0</v>
      </c>
      <c r="R370">
        <v>0</v>
      </c>
    </row>
    <row r="371" spans="2:18" ht="12.75" customHeight="1" x14ac:dyDescent="0.25">
      <c r="B371" s="89"/>
      <c r="C371" s="773">
        <v>3</v>
      </c>
      <c r="D371" t="s">
        <v>70</v>
      </c>
      <c r="E371" s="371">
        <v>0</v>
      </c>
      <c r="F371" s="90">
        <v>0</v>
      </c>
      <c r="G371" s="90">
        <v>0</v>
      </c>
      <c r="H371" s="90">
        <v>0</v>
      </c>
      <c r="I371" s="90">
        <v>0</v>
      </c>
      <c r="J371" s="90">
        <v>0</v>
      </c>
      <c r="K371" s="90">
        <v>0</v>
      </c>
      <c r="L371" s="90">
        <v>0</v>
      </c>
      <c r="M371" s="90">
        <v>0</v>
      </c>
      <c r="N371" s="90">
        <v>0</v>
      </c>
      <c r="O371" s="90">
        <v>0</v>
      </c>
      <c r="P371" s="90">
        <v>0</v>
      </c>
      <c r="Q371" s="90">
        <v>0</v>
      </c>
      <c r="R371">
        <v>0</v>
      </c>
    </row>
    <row r="372" spans="2:18" ht="12.75" customHeight="1" x14ac:dyDescent="0.25">
      <c r="B372" s="89"/>
      <c r="C372" s="89"/>
      <c r="D372" t="s">
        <v>73</v>
      </c>
      <c r="E372" s="371">
        <v>0</v>
      </c>
      <c r="F372" s="90">
        <v>0</v>
      </c>
      <c r="G372" s="90">
        <v>0</v>
      </c>
      <c r="H372" s="90">
        <v>0</v>
      </c>
      <c r="I372" s="90">
        <v>0</v>
      </c>
      <c r="J372" s="90">
        <v>0</v>
      </c>
      <c r="K372" s="90">
        <v>0</v>
      </c>
      <c r="L372" s="90">
        <v>0</v>
      </c>
      <c r="M372" s="90">
        <v>0</v>
      </c>
      <c r="N372" s="90">
        <v>0</v>
      </c>
      <c r="O372" s="90">
        <v>0</v>
      </c>
      <c r="P372" s="90">
        <v>0</v>
      </c>
      <c r="Q372" s="90">
        <v>0</v>
      </c>
      <c r="R372">
        <v>0</v>
      </c>
    </row>
    <row r="373" spans="2:18" ht="12.75" customHeight="1" x14ac:dyDescent="0.25">
      <c r="B373" s="89"/>
      <c r="C373" s="773">
        <v>4</v>
      </c>
      <c r="D373" t="s">
        <v>70</v>
      </c>
      <c r="E373" s="371">
        <v>0</v>
      </c>
      <c r="F373" s="90">
        <v>0</v>
      </c>
      <c r="G373" s="90">
        <v>0</v>
      </c>
      <c r="H373" s="90">
        <v>0</v>
      </c>
      <c r="I373" s="90">
        <v>0</v>
      </c>
      <c r="J373" s="90">
        <v>0</v>
      </c>
      <c r="K373" s="90">
        <v>0</v>
      </c>
      <c r="L373" s="90">
        <v>0</v>
      </c>
      <c r="M373" s="90">
        <v>0</v>
      </c>
      <c r="N373" s="90">
        <v>0</v>
      </c>
      <c r="O373" s="90">
        <v>0</v>
      </c>
      <c r="P373" s="90">
        <v>0</v>
      </c>
      <c r="Q373" s="90">
        <v>0</v>
      </c>
      <c r="R373">
        <v>0</v>
      </c>
    </row>
    <row r="374" spans="2:18" ht="12.75" customHeight="1" x14ac:dyDescent="0.25">
      <c r="B374" s="89"/>
      <c r="C374" s="89"/>
      <c r="D374" t="s">
        <v>73</v>
      </c>
      <c r="E374" s="371">
        <v>0</v>
      </c>
      <c r="F374" s="90">
        <v>0</v>
      </c>
      <c r="G374" s="90">
        <v>0</v>
      </c>
      <c r="H374" s="90">
        <v>0</v>
      </c>
      <c r="I374" s="90">
        <v>0</v>
      </c>
      <c r="J374" s="90">
        <v>0</v>
      </c>
      <c r="K374" s="90">
        <v>0</v>
      </c>
      <c r="L374" s="90">
        <v>0</v>
      </c>
      <c r="M374" s="90">
        <v>0</v>
      </c>
      <c r="N374" s="90">
        <v>0</v>
      </c>
      <c r="O374" s="90">
        <v>0</v>
      </c>
      <c r="P374" s="90">
        <v>0</v>
      </c>
      <c r="Q374" s="90">
        <v>0</v>
      </c>
      <c r="R374">
        <v>0</v>
      </c>
    </row>
    <row r="375" spans="2:18" ht="12.75" customHeight="1" x14ac:dyDescent="0.25">
      <c r="B375" s="89"/>
      <c r="C375" s="89" t="s">
        <v>118</v>
      </c>
      <c r="D375" t="s">
        <v>70</v>
      </c>
      <c r="E375" s="371">
        <v>0</v>
      </c>
      <c r="F375" s="90">
        <v>0</v>
      </c>
      <c r="G375" s="90">
        <v>0</v>
      </c>
      <c r="H375" s="90">
        <v>0</v>
      </c>
      <c r="I375" s="90">
        <v>0</v>
      </c>
      <c r="J375" s="90">
        <v>0</v>
      </c>
      <c r="K375" s="90">
        <v>0</v>
      </c>
      <c r="L375" s="90">
        <v>0</v>
      </c>
      <c r="M375" s="90">
        <v>0</v>
      </c>
      <c r="N375" s="90">
        <v>0</v>
      </c>
      <c r="O375" s="90">
        <v>0</v>
      </c>
      <c r="P375" s="90">
        <v>0</v>
      </c>
      <c r="Q375" s="90">
        <v>0</v>
      </c>
      <c r="R375">
        <v>0</v>
      </c>
    </row>
    <row r="376" spans="2:18" ht="12.75" customHeight="1" x14ac:dyDescent="0.25">
      <c r="B376" s="89"/>
      <c r="C376" s="89"/>
      <c r="D376" t="s">
        <v>73</v>
      </c>
      <c r="E376" s="371">
        <v>0</v>
      </c>
      <c r="F376" s="90">
        <v>0</v>
      </c>
      <c r="G376" s="90">
        <v>0</v>
      </c>
      <c r="H376" s="90">
        <v>0</v>
      </c>
      <c r="I376" s="90">
        <v>0</v>
      </c>
      <c r="J376" s="90">
        <v>0</v>
      </c>
      <c r="K376" s="90">
        <v>0</v>
      </c>
      <c r="L376" s="90">
        <v>0</v>
      </c>
      <c r="M376" s="90">
        <v>0</v>
      </c>
      <c r="N376" s="90">
        <v>0</v>
      </c>
      <c r="O376" s="90">
        <v>0</v>
      </c>
      <c r="P376" s="90">
        <v>0</v>
      </c>
      <c r="Q376" s="90">
        <v>0</v>
      </c>
      <c r="R376">
        <v>0</v>
      </c>
    </row>
    <row r="377" spans="2:18" ht="12.75" customHeight="1" x14ac:dyDescent="0.25">
      <c r="B377" s="89"/>
      <c r="C377" s="773">
        <v>6</v>
      </c>
      <c r="D377" t="s">
        <v>70</v>
      </c>
      <c r="E377" s="371">
        <v>0</v>
      </c>
      <c r="F377" s="90">
        <v>0</v>
      </c>
      <c r="G377" s="90">
        <v>0</v>
      </c>
      <c r="H377" s="90">
        <v>0</v>
      </c>
      <c r="I377" s="90">
        <v>0</v>
      </c>
      <c r="J377" s="90">
        <v>0</v>
      </c>
      <c r="K377" s="90">
        <v>0</v>
      </c>
      <c r="L377" s="90">
        <v>0</v>
      </c>
      <c r="M377" s="90">
        <v>0</v>
      </c>
      <c r="N377" s="90">
        <v>0</v>
      </c>
      <c r="O377" s="90">
        <v>0</v>
      </c>
      <c r="P377" s="90">
        <v>0</v>
      </c>
      <c r="Q377" s="90">
        <v>0</v>
      </c>
      <c r="R377">
        <v>0</v>
      </c>
    </row>
    <row r="378" spans="2:18" ht="12.75" customHeight="1" x14ac:dyDescent="0.25">
      <c r="B378" s="89"/>
      <c r="C378" s="89"/>
      <c r="D378" t="s">
        <v>73</v>
      </c>
      <c r="E378" s="371">
        <v>0</v>
      </c>
      <c r="F378" s="90">
        <v>0</v>
      </c>
      <c r="G378" s="90">
        <v>0</v>
      </c>
      <c r="H378" s="90">
        <v>0</v>
      </c>
      <c r="I378" s="90">
        <v>0</v>
      </c>
      <c r="J378" s="90">
        <v>0</v>
      </c>
      <c r="K378" s="90">
        <v>0</v>
      </c>
      <c r="L378" s="90">
        <v>0</v>
      </c>
      <c r="M378" s="90">
        <v>0</v>
      </c>
      <c r="N378" s="90">
        <v>0</v>
      </c>
      <c r="O378" s="90">
        <v>0</v>
      </c>
      <c r="P378" s="90">
        <v>0</v>
      </c>
      <c r="Q378" s="90">
        <v>0</v>
      </c>
      <c r="R378">
        <v>0</v>
      </c>
    </row>
    <row r="379" spans="2:18" ht="12.75" customHeight="1" x14ac:dyDescent="0.25">
      <c r="B379" s="89"/>
      <c r="C379" s="773">
        <v>9</v>
      </c>
      <c r="D379" t="s">
        <v>70</v>
      </c>
      <c r="E379" s="371">
        <v>0</v>
      </c>
      <c r="F379" s="90">
        <v>0</v>
      </c>
      <c r="G379" s="90">
        <v>0</v>
      </c>
      <c r="H379" s="90">
        <v>0</v>
      </c>
      <c r="I379" s="90">
        <v>0</v>
      </c>
      <c r="J379" s="90">
        <v>0</v>
      </c>
      <c r="K379" s="90">
        <v>0</v>
      </c>
      <c r="L379" s="90">
        <v>0</v>
      </c>
      <c r="M379" s="90">
        <v>0</v>
      </c>
      <c r="N379" s="90">
        <v>0</v>
      </c>
      <c r="O379" s="90">
        <v>0</v>
      </c>
      <c r="P379" s="90">
        <v>0</v>
      </c>
      <c r="Q379" s="90">
        <v>0</v>
      </c>
      <c r="R379">
        <v>0</v>
      </c>
    </row>
    <row r="380" spans="2:18" s="224" customFormat="1" ht="12.75" customHeight="1" x14ac:dyDescent="0.25">
      <c r="B380" s="224" t="s">
        <v>120</v>
      </c>
      <c r="C380" s="224" t="s">
        <v>70</v>
      </c>
      <c r="D380" s="223"/>
      <c r="E380" s="225">
        <v>0</v>
      </c>
      <c r="F380" s="225">
        <v>0</v>
      </c>
      <c r="G380" s="225">
        <v>0</v>
      </c>
      <c r="H380" s="225">
        <v>0</v>
      </c>
      <c r="I380" s="225">
        <v>0</v>
      </c>
      <c r="J380" s="225">
        <v>0</v>
      </c>
      <c r="K380" s="225">
        <v>0</v>
      </c>
      <c r="L380" s="225">
        <v>0</v>
      </c>
      <c r="M380" s="225">
        <v>0</v>
      </c>
      <c r="N380" s="225">
        <v>0</v>
      </c>
      <c r="O380" s="225">
        <v>0</v>
      </c>
      <c r="P380" s="225">
        <v>0</v>
      </c>
      <c r="Q380" s="225">
        <v>0</v>
      </c>
      <c r="R380" s="224">
        <v>0</v>
      </c>
    </row>
    <row r="381" spans="2:18" ht="12.75" customHeight="1" x14ac:dyDescent="0.25">
      <c r="D381" s="89" t="s">
        <v>73</v>
      </c>
      <c r="E381" s="371">
        <v>0</v>
      </c>
      <c r="F381" s="90">
        <v>0</v>
      </c>
      <c r="G381" s="90">
        <v>0</v>
      </c>
      <c r="H381" s="90">
        <v>0</v>
      </c>
      <c r="I381" s="90">
        <v>0</v>
      </c>
      <c r="J381" s="90">
        <v>0</v>
      </c>
      <c r="K381" s="90">
        <v>0</v>
      </c>
      <c r="L381" s="90">
        <v>0</v>
      </c>
      <c r="M381" s="90">
        <v>0</v>
      </c>
      <c r="N381" s="90">
        <v>0</v>
      </c>
      <c r="O381" s="90">
        <v>0</v>
      </c>
      <c r="P381" s="90">
        <v>0</v>
      </c>
      <c r="Q381" s="90">
        <v>0</v>
      </c>
      <c r="R381">
        <v>0</v>
      </c>
    </row>
    <row r="382" spans="2:18" ht="12.75" customHeight="1" x14ac:dyDescent="0.25">
      <c r="C382" t="s">
        <v>82</v>
      </c>
      <c r="D382" s="89" t="s">
        <v>70</v>
      </c>
      <c r="E382" s="371">
        <v>0</v>
      </c>
      <c r="F382" s="90">
        <v>0</v>
      </c>
      <c r="G382" s="90">
        <v>0</v>
      </c>
      <c r="H382" s="90">
        <v>0</v>
      </c>
      <c r="I382" s="90">
        <v>0</v>
      </c>
      <c r="J382" s="90">
        <v>0</v>
      </c>
      <c r="K382" s="90">
        <v>0</v>
      </c>
      <c r="L382" s="90">
        <v>0</v>
      </c>
      <c r="M382" s="90">
        <v>0</v>
      </c>
      <c r="N382" s="90">
        <v>0</v>
      </c>
      <c r="O382" s="90">
        <v>0</v>
      </c>
      <c r="P382" s="90">
        <v>0</v>
      </c>
      <c r="Q382" s="90">
        <v>0</v>
      </c>
      <c r="R382">
        <v>0</v>
      </c>
    </row>
    <row r="383" spans="2:18" ht="12.75" customHeight="1" x14ac:dyDescent="0.25">
      <c r="D383" s="89" t="s">
        <v>73</v>
      </c>
      <c r="E383" s="371">
        <v>0</v>
      </c>
      <c r="F383" s="90">
        <v>0</v>
      </c>
      <c r="G383" s="90">
        <v>0</v>
      </c>
      <c r="H383" s="90">
        <v>0</v>
      </c>
      <c r="I383" s="90">
        <v>0</v>
      </c>
      <c r="J383" s="90">
        <v>0</v>
      </c>
      <c r="K383" s="90">
        <v>0</v>
      </c>
      <c r="L383" s="90">
        <v>0</v>
      </c>
      <c r="M383" s="90">
        <v>0</v>
      </c>
      <c r="N383" s="90">
        <v>0</v>
      </c>
      <c r="O383" s="90">
        <v>0</v>
      </c>
      <c r="P383" s="90">
        <v>0</v>
      </c>
      <c r="Q383" s="90">
        <v>0</v>
      </c>
      <c r="R383">
        <v>0</v>
      </c>
    </row>
    <row r="384" spans="2:18" ht="12.75" customHeight="1" x14ac:dyDescent="0.25">
      <c r="C384" t="s">
        <v>86</v>
      </c>
      <c r="D384" s="89" t="s">
        <v>70</v>
      </c>
      <c r="E384" s="371">
        <v>0</v>
      </c>
      <c r="F384" s="90">
        <v>0</v>
      </c>
      <c r="G384" s="90">
        <v>0</v>
      </c>
      <c r="H384" s="90">
        <v>0</v>
      </c>
      <c r="I384" s="90">
        <v>0</v>
      </c>
      <c r="J384" s="90">
        <v>0</v>
      </c>
      <c r="K384" s="90">
        <v>0</v>
      </c>
      <c r="L384" s="90">
        <v>0</v>
      </c>
      <c r="M384" s="90">
        <v>0</v>
      </c>
      <c r="N384" s="90">
        <v>0</v>
      </c>
      <c r="O384" s="90">
        <v>0</v>
      </c>
      <c r="P384" s="90">
        <v>0</v>
      </c>
      <c r="Q384" s="90">
        <v>0</v>
      </c>
      <c r="R384">
        <v>0</v>
      </c>
    </row>
    <row r="385" spans="1:18" ht="12.75" customHeight="1" x14ac:dyDescent="0.25">
      <c r="C385" s="89"/>
      <c r="D385" s="89" t="s">
        <v>73</v>
      </c>
      <c r="E385" s="90">
        <v>0</v>
      </c>
      <c r="F385" s="90">
        <v>0</v>
      </c>
      <c r="G385" s="90">
        <v>0</v>
      </c>
      <c r="H385" s="90">
        <v>0</v>
      </c>
      <c r="I385" s="90">
        <v>0</v>
      </c>
      <c r="J385" s="90">
        <v>0</v>
      </c>
      <c r="K385" s="90">
        <v>0</v>
      </c>
      <c r="L385" s="90">
        <v>0</v>
      </c>
      <c r="M385" s="90">
        <v>0</v>
      </c>
      <c r="N385" s="90">
        <v>0</v>
      </c>
      <c r="O385" s="90">
        <v>0</v>
      </c>
      <c r="P385" s="90">
        <v>0</v>
      </c>
      <c r="Q385" s="90">
        <v>0</v>
      </c>
      <c r="R385">
        <v>0</v>
      </c>
    </row>
    <row r="386" spans="1:18" ht="12.75" customHeight="1" x14ac:dyDescent="0.25">
      <c r="B386" s="89"/>
      <c r="C386" s="89" t="s">
        <v>87</v>
      </c>
      <c r="D386" t="s">
        <v>70</v>
      </c>
      <c r="E386" s="90">
        <v>0</v>
      </c>
      <c r="F386" s="90">
        <v>0</v>
      </c>
      <c r="G386" s="90">
        <v>0</v>
      </c>
      <c r="H386" s="90">
        <v>0</v>
      </c>
      <c r="I386" s="90">
        <v>0</v>
      </c>
      <c r="J386" s="90">
        <v>0</v>
      </c>
      <c r="K386" s="90">
        <v>0</v>
      </c>
      <c r="L386" s="90">
        <v>0</v>
      </c>
      <c r="M386" s="90">
        <v>0</v>
      </c>
      <c r="N386" s="90">
        <v>0</v>
      </c>
      <c r="O386" s="90">
        <v>0</v>
      </c>
      <c r="P386" s="90">
        <v>0</v>
      </c>
      <c r="Q386" s="90">
        <v>0</v>
      </c>
      <c r="R386">
        <v>0</v>
      </c>
    </row>
    <row r="387" spans="1:18" s="94" customFormat="1" ht="12.75" customHeight="1" x14ac:dyDescent="0.25">
      <c r="B387" s="101" t="s">
        <v>119</v>
      </c>
      <c r="C387" s="101" t="s">
        <v>70</v>
      </c>
      <c r="E387" s="93">
        <v>0</v>
      </c>
      <c r="F387" s="93">
        <v>0</v>
      </c>
      <c r="G387" s="93">
        <v>0</v>
      </c>
      <c r="H387" s="93">
        <v>0</v>
      </c>
      <c r="I387" s="93">
        <v>0</v>
      </c>
      <c r="J387" s="93">
        <v>0</v>
      </c>
      <c r="K387" s="93">
        <v>0</v>
      </c>
      <c r="L387" s="93">
        <v>0</v>
      </c>
      <c r="M387" s="93">
        <v>0</v>
      </c>
      <c r="N387" s="93">
        <v>0</v>
      </c>
      <c r="O387" s="93">
        <v>0</v>
      </c>
      <c r="P387" s="93">
        <v>0</v>
      </c>
      <c r="Q387" s="93">
        <v>0</v>
      </c>
      <c r="R387" s="94">
        <v>0</v>
      </c>
    </row>
    <row r="388" spans="1:18" s="226" customFormat="1" ht="12.75" customHeight="1" x14ac:dyDescent="0.25">
      <c r="A388" s="98" t="s">
        <v>79</v>
      </c>
      <c r="B388" s="98" t="s">
        <v>70</v>
      </c>
      <c r="E388" s="100">
        <v>0</v>
      </c>
      <c r="F388" s="100">
        <v>0</v>
      </c>
      <c r="G388" s="100">
        <v>0</v>
      </c>
      <c r="H388" s="100">
        <v>0</v>
      </c>
      <c r="I388" s="100">
        <v>0</v>
      </c>
      <c r="J388" s="100">
        <v>0</v>
      </c>
      <c r="K388" s="100">
        <v>0</v>
      </c>
      <c r="L388" s="100">
        <v>0</v>
      </c>
      <c r="M388" s="100">
        <v>0</v>
      </c>
      <c r="N388" s="100">
        <v>0</v>
      </c>
      <c r="O388" s="100">
        <v>0</v>
      </c>
      <c r="P388" s="100">
        <v>0</v>
      </c>
      <c r="Q388" s="100">
        <v>0</v>
      </c>
      <c r="R388" s="226">
        <v>0</v>
      </c>
    </row>
    <row r="389" spans="1:18" ht="12.75" customHeight="1" x14ac:dyDescent="0.25">
      <c r="A389" s="89" t="s">
        <v>70</v>
      </c>
      <c r="E389" s="90">
        <v>0</v>
      </c>
      <c r="F389" s="90">
        <v>0</v>
      </c>
      <c r="G389" s="90">
        <v>0</v>
      </c>
      <c r="H389" s="90">
        <v>0</v>
      </c>
      <c r="I389" s="90">
        <v>0</v>
      </c>
      <c r="J389" s="90">
        <v>0</v>
      </c>
      <c r="K389" s="90">
        <v>0</v>
      </c>
      <c r="L389" s="90">
        <v>0</v>
      </c>
      <c r="M389" s="90">
        <v>0</v>
      </c>
      <c r="N389" s="90">
        <v>0</v>
      </c>
      <c r="O389" s="90">
        <v>0</v>
      </c>
      <c r="P389" s="90">
        <v>0</v>
      </c>
      <c r="Q389" s="90">
        <v>0</v>
      </c>
      <c r="R389">
        <v>0</v>
      </c>
    </row>
    <row r="390" spans="1:18" ht="12.75" customHeight="1" x14ac:dyDescent="0.25">
      <c r="C390" s="89"/>
      <c r="D390" s="89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</row>
    <row r="391" spans="1:18" ht="12.75" customHeight="1" x14ac:dyDescent="0.25">
      <c r="C391" s="89"/>
      <c r="D391" s="89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</row>
    <row r="392" spans="1:18" ht="12.75" hidden="1" customHeight="1" x14ac:dyDescent="0.25">
      <c r="C392" s="89"/>
      <c r="D392" s="89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</row>
    <row r="393" spans="1:18" ht="12.75" hidden="1" customHeight="1" x14ac:dyDescent="0.25">
      <c r="C393" s="89"/>
      <c r="D393" s="89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</row>
    <row r="394" spans="1:18" ht="12.75" hidden="1" customHeight="1" x14ac:dyDescent="0.25">
      <c r="C394" s="89"/>
      <c r="D394" s="89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</row>
    <row r="395" spans="1:18" ht="12.75" hidden="1" customHeight="1" x14ac:dyDescent="0.25">
      <c r="C395" s="89"/>
      <c r="D395" s="89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</row>
    <row r="396" spans="1:18" ht="12.75" hidden="1" customHeight="1" x14ac:dyDescent="0.25">
      <c r="C396" s="89"/>
      <c r="D396" s="89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</row>
    <row r="397" spans="1:18" ht="12.75" hidden="1" customHeight="1" x14ac:dyDescent="0.25">
      <c r="C397" s="89"/>
      <c r="D397" s="89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</row>
    <row r="398" spans="1:18" ht="12.75" hidden="1" customHeight="1" x14ac:dyDescent="0.25">
      <c r="C398" s="89"/>
      <c r="D398" s="89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</row>
    <row r="399" spans="1:18" ht="12.75" hidden="1" customHeight="1" x14ac:dyDescent="0.25">
      <c r="C399" s="89"/>
      <c r="D399" s="89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</row>
    <row r="400" spans="1:18" ht="12.75" hidden="1" customHeight="1" x14ac:dyDescent="0.25">
      <c r="C400" s="89"/>
      <c r="D400" s="89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</row>
    <row r="401" spans="3:17" ht="12.75" hidden="1" customHeight="1" x14ac:dyDescent="0.25">
      <c r="C401" s="89"/>
      <c r="D401" s="89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</row>
    <row r="402" spans="3:17" ht="12.75" hidden="1" customHeight="1" x14ac:dyDescent="0.25">
      <c r="C402" s="89"/>
      <c r="D402" s="89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</row>
    <row r="403" spans="3:17" ht="12.75" hidden="1" customHeight="1" x14ac:dyDescent="0.25">
      <c r="C403" s="89"/>
      <c r="D403" s="89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</row>
    <row r="404" spans="3:17" ht="12.75" hidden="1" customHeight="1" x14ac:dyDescent="0.25">
      <c r="C404" s="89"/>
      <c r="D404" s="89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</row>
    <row r="405" spans="3:17" ht="12.75" hidden="1" customHeight="1" x14ac:dyDescent="0.25">
      <c r="C405" s="89"/>
      <c r="D405" s="89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</row>
    <row r="406" spans="3:17" ht="12.75" hidden="1" customHeight="1" x14ac:dyDescent="0.25">
      <c r="C406" s="89"/>
      <c r="D406" s="89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</row>
    <row r="407" spans="3:17" ht="12.75" hidden="1" customHeight="1" x14ac:dyDescent="0.25">
      <c r="C407" s="89"/>
      <c r="D407" s="89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</row>
    <row r="408" spans="3:17" ht="12.75" hidden="1" customHeight="1" x14ac:dyDescent="0.25">
      <c r="C408" s="89"/>
      <c r="D408" s="89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</row>
    <row r="409" spans="3:17" ht="12.75" hidden="1" customHeight="1" x14ac:dyDescent="0.25">
      <c r="C409" s="89"/>
      <c r="D409" s="89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</row>
    <row r="410" spans="3:17" ht="12.75" hidden="1" customHeight="1" x14ac:dyDescent="0.25">
      <c r="C410" s="89"/>
      <c r="D410" s="89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</row>
    <row r="411" spans="3:17" ht="12.75" hidden="1" customHeight="1" x14ac:dyDescent="0.25">
      <c r="C411" s="89"/>
      <c r="D411" s="89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</row>
    <row r="412" spans="3:17" ht="12.75" hidden="1" customHeight="1" x14ac:dyDescent="0.25">
      <c r="C412" s="89"/>
      <c r="D412" s="89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</row>
    <row r="413" spans="3:17" ht="12.75" hidden="1" customHeight="1" x14ac:dyDescent="0.25">
      <c r="C413" s="89"/>
      <c r="D413" s="89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</row>
    <row r="414" spans="3:17" ht="12.75" hidden="1" customHeight="1" x14ac:dyDescent="0.25">
      <c r="C414" s="89"/>
      <c r="D414" s="89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</row>
    <row r="415" spans="3:17" ht="12.75" hidden="1" customHeight="1" x14ac:dyDescent="0.25">
      <c r="C415" s="89"/>
      <c r="D415" s="89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</row>
    <row r="416" spans="3:17" ht="12.75" hidden="1" customHeight="1" x14ac:dyDescent="0.25">
      <c r="C416" s="89"/>
      <c r="D416" s="89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</row>
    <row r="417" spans="1:18" ht="12.75" hidden="1" customHeight="1" x14ac:dyDescent="0.25">
      <c r="C417" s="89"/>
      <c r="D417" s="89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</row>
    <row r="418" spans="1:18" ht="12.75" hidden="1" customHeight="1" x14ac:dyDescent="0.25">
      <c r="C418" s="89"/>
      <c r="D418" s="89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</row>
    <row r="419" spans="1:18" ht="12.75" hidden="1" customHeight="1" x14ac:dyDescent="0.25">
      <c r="C419" s="89"/>
      <c r="D419" s="89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</row>
    <row r="420" spans="1:18" ht="12.75" hidden="1" customHeight="1" x14ac:dyDescent="0.25">
      <c r="C420" s="89"/>
      <c r="D420" s="89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</row>
    <row r="421" spans="1:18" ht="12.75" hidden="1" customHeight="1" x14ac:dyDescent="0.25">
      <c r="C421" s="89"/>
      <c r="D421" s="89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</row>
    <row r="422" spans="1:18" ht="12.75" customHeight="1" x14ac:dyDescent="0.25">
      <c r="C422" s="89"/>
      <c r="D422" s="89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</row>
    <row r="423" spans="1:18" ht="12.75" customHeight="1" x14ac:dyDescent="0.25">
      <c r="B423" s="778" t="s">
        <v>2</v>
      </c>
      <c r="C423" s="775" t="s">
        <v>132</v>
      </c>
      <c r="D423" s="98" t="s">
        <v>70</v>
      </c>
      <c r="E423" s="100">
        <f>E359+E388-K359</f>
        <v>0</v>
      </c>
      <c r="F423" s="100">
        <f>F359</f>
        <v>0</v>
      </c>
      <c r="G423" s="100">
        <f t="shared" ref="G423:R423" si="10">G359</f>
        <v>0</v>
      </c>
      <c r="H423" s="100">
        <f t="shared" si="10"/>
        <v>0</v>
      </c>
      <c r="I423" s="100">
        <f t="shared" si="10"/>
        <v>0</v>
      </c>
      <c r="J423" s="100">
        <f t="shared" si="10"/>
        <v>0</v>
      </c>
      <c r="K423" s="100">
        <f t="shared" si="10"/>
        <v>0</v>
      </c>
      <c r="L423" s="100">
        <f t="shared" si="10"/>
        <v>0</v>
      </c>
      <c r="M423" s="100">
        <f t="shared" si="10"/>
        <v>0</v>
      </c>
      <c r="N423" s="100">
        <f t="shared" si="10"/>
        <v>0</v>
      </c>
      <c r="O423" s="100">
        <f t="shared" si="10"/>
        <v>0</v>
      </c>
      <c r="P423" s="100">
        <f t="shared" si="10"/>
        <v>0</v>
      </c>
      <c r="Q423" s="100">
        <f t="shared" si="10"/>
        <v>0</v>
      </c>
      <c r="R423" s="100">
        <f t="shared" si="10"/>
        <v>0</v>
      </c>
    </row>
    <row r="424" spans="1:18" ht="12.75" customHeight="1" x14ac:dyDescent="0.25">
      <c r="B424" s="778"/>
      <c r="C424" s="775"/>
      <c r="D424" s="98" t="s">
        <v>73</v>
      </c>
      <c r="E424" s="100">
        <f>E388</f>
        <v>0</v>
      </c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</row>
    <row r="425" spans="1:18" ht="12.75" customHeight="1" x14ac:dyDescent="0.25">
      <c r="A425" s="89"/>
      <c r="B425" s="97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</row>
    <row r="426" spans="1:18" ht="12.75" customHeight="1" x14ac:dyDescent="0.25">
      <c r="B426" s="778" t="s">
        <v>160</v>
      </c>
      <c r="C426" s="775" t="s">
        <v>132</v>
      </c>
      <c r="D426" s="223" t="s">
        <v>70</v>
      </c>
      <c r="E426" s="225">
        <f>E380+E362+E348+E322-K322-K348</f>
        <v>0</v>
      </c>
      <c r="F426" s="225">
        <f>F348+F322</f>
        <v>0</v>
      </c>
      <c r="G426" s="225">
        <f t="shared" ref="G426:R426" si="11">G348+G322</f>
        <v>0</v>
      </c>
      <c r="H426" s="225">
        <f t="shared" si="11"/>
        <v>0</v>
      </c>
      <c r="I426" s="225">
        <f t="shared" si="11"/>
        <v>0</v>
      </c>
      <c r="J426" s="225">
        <f t="shared" si="11"/>
        <v>0</v>
      </c>
      <c r="K426" s="225">
        <f t="shared" si="11"/>
        <v>0</v>
      </c>
      <c r="L426" s="225">
        <f t="shared" si="11"/>
        <v>0</v>
      </c>
      <c r="M426" s="225">
        <f t="shared" si="11"/>
        <v>0</v>
      </c>
      <c r="N426" s="225">
        <f t="shared" si="11"/>
        <v>0</v>
      </c>
      <c r="O426" s="225">
        <f t="shared" si="11"/>
        <v>0</v>
      </c>
      <c r="P426" s="225">
        <f t="shared" si="11"/>
        <v>0</v>
      </c>
      <c r="Q426" s="225">
        <f t="shared" si="11"/>
        <v>0</v>
      </c>
      <c r="R426" s="225">
        <f t="shared" si="11"/>
        <v>0</v>
      </c>
    </row>
    <row r="427" spans="1:18" ht="12.75" customHeight="1" x14ac:dyDescent="0.25">
      <c r="B427" s="778"/>
      <c r="C427" s="775"/>
      <c r="D427" s="223" t="s">
        <v>73</v>
      </c>
      <c r="E427" s="225">
        <f>E380+E362</f>
        <v>0</v>
      </c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</row>
    <row r="428" spans="1:18" ht="12.75" customHeight="1" x14ac:dyDescent="0.25">
      <c r="A428" s="89"/>
      <c r="B428" s="97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18" ht="12.75" customHeight="1" x14ac:dyDescent="0.25">
      <c r="B429" s="778" t="s">
        <v>155</v>
      </c>
      <c r="C429" s="775" t="s">
        <v>132</v>
      </c>
      <c r="D429" s="221" t="s">
        <v>70</v>
      </c>
      <c r="E429" s="222">
        <f>E365+E326-K326</f>
        <v>0</v>
      </c>
      <c r="F429" s="222">
        <f t="shared" ref="F429:R429" si="12">F326</f>
        <v>0</v>
      </c>
      <c r="G429" s="222">
        <f t="shared" si="12"/>
        <v>0</v>
      </c>
      <c r="H429" s="222">
        <f t="shared" si="12"/>
        <v>0</v>
      </c>
      <c r="I429" s="222">
        <f t="shared" si="12"/>
        <v>0</v>
      </c>
      <c r="J429" s="222">
        <f t="shared" si="12"/>
        <v>0</v>
      </c>
      <c r="K429" s="222">
        <f t="shared" si="12"/>
        <v>0</v>
      </c>
      <c r="L429" s="222">
        <f t="shared" si="12"/>
        <v>0</v>
      </c>
      <c r="M429" s="222">
        <f t="shared" si="12"/>
        <v>0</v>
      </c>
      <c r="N429" s="222">
        <f t="shared" si="12"/>
        <v>0</v>
      </c>
      <c r="O429" s="222">
        <f t="shared" si="12"/>
        <v>0</v>
      </c>
      <c r="P429" s="222">
        <f t="shared" si="12"/>
        <v>0</v>
      </c>
      <c r="Q429" s="222">
        <f t="shared" si="12"/>
        <v>0</v>
      </c>
      <c r="R429" s="222">
        <f t="shared" si="12"/>
        <v>0</v>
      </c>
    </row>
    <row r="430" spans="1:18" ht="12.75" customHeight="1" x14ac:dyDescent="0.25">
      <c r="B430" s="778"/>
      <c r="C430" s="775"/>
      <c r="D430" s="221" t="s">
        <v>73</v>
      </c>
      <c r="E430" s="222">
        <f>E365</f>
        <v>0</v>
      </c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</row>
    <row r="431" spans="1:18" ht="12.75" customHeight="1" x14ac:dyDescent="0.25">
      <c r="A431" s="89"/>
      <c r="B431" s="97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</row>
    <row r="432" spans="1:18" ht="12.75" customHeight="1" x14ac:dyDescent="0.25">
      <c r="B432" s="776" t="s">
        <v>326</v>
      </c>
      <c r="C432" s="775" t="s">
        <v>132</v>
      </c>
      <c r="D432" s="373" t="s">
        <v>70</v>
      </c>
      <c r="E432" s="374">
        <v>0</v>
      </c>
      <c r="F432" s="374">
        <v>0</v>
      </c>
      <c r="G432" s="374">
        <v>0</v>
      </c>
      <c r="H432" s="374">
        <v>0</v>
      </c>
      <c r="I432" s="374">
        <v>0</v>
      </c>
      <c r="J432" s="374">
        <v>0</v>
      </c>
      <c r="K432" s="374">
        <v>0</v>
      </c>
      <c r="L432" s="374">
        <v>0</v>
      </c>
      <c r="M432" s="374">
        <v>0</v>
      </c>
      <c r="N432" s="374">
        <v>0</v>
      </c>
      <c r="O432" s="374">
        <v>0</v>
      </c>
      <c r="P432" s="374">
        <v>0</v>
      </c>
      <c r="Q432" s="374">
        <v>0</v>
      </c>
      <c r="R432" s="374">
        <v>0</v>
      </c>
    </row>
    <row r="433" spans="1:18" ht="12.75" customHeight="1" x14ac:dyDescent="0.25">
      <c r="B433" s="776"/>
      <c r="C433" s="775"/>
      <c r="D433" s="373" t="s">
        <v>73</v>
      </c>
      <c r="E433" s="374">
        <v>0</v>
      </c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18" ht="12.75" customHeight="1" x14ac:dyDescent="0.25">
      <c r="A434" s="89"/>
      <c r="B434" s="97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</row>
    <row r="435" spans="1:18" ht="12.75" customHeight="1" x14ac:dyDescent="0.25">
      <c r="A435" s="142" t="s">
        <v>226</v>
      </c>
      <c r="B435" s="778" t="s">
        <v>119</v>
      </c>
      <c r="C435" s="775" t="s">
        <v>132</v>
      </c>
      <c r="D435" s="101" t="s">
        <v>70</v>
      </c>
      <c r="E435" s="93">
        <f>E358+E387-K358</f>
        <v>0</v>
      </c>
      <c r="F435" s="93">
        <f t="shared" ref="F435:R435" si="13">F358</f>
        <v>0</v>
      </c>
      <c r="G435" s="93">
        <f t="shared" si="13"/>
        <v>0</v>
      </c>
      <c r="H435" s="93">
        <f t="shared" si="13"/>
        <v>0</v>
      </c>
      <c r="I435" s="93">
        <f t="shared" si="13"/>
        <v>0</v>
      </c>
      <c r="J435" s="93">
        <f t="shared" si="13"/>
        <v>0</v>
      </c>
      <c r="K435" s="93">
        <f t="shared" si="13"/>
        <v>0</v>
      </c>
      <c r="L435" s="93">
        <f t="shared" si="13"/>
        <v>0</v>
      </c>
      <c r="M435" s="93">
        <f t="shared" si="13"/>
        <v>0</v>
      </c>
      <c r="N435" s="93">
        <f t="shared" si="13"/>
        <v>0</v>
      </c>
      <c r="O435" s="93">
        <f t="shared" si="13"/>
        <v>0</v>
      </c>
      <c r="P435" s="93">
        <f t="shared" si="13"/>
        <v>0</v>
      </c>
      <c r="Q435" s="93">
        <f t="shared" si="13"/>
        <v>0</v>
      </c>
      <c r="R435" s="93">
        <f t="shared" si="13"/>
        <v>0</v>
      </c>
    </row>
    <row r="436" spans="1:18" ht="12.75" customHeight="1" x14ac:dyDescent="0.25">
      <c r="B436" s="778"/>
      <c r="C436" s="775"/>
      <c r="D436" s="101" t="s">
        <v>73</v>
      </c>
      <c r="E436" s="93">
        <f>E387</f>
        <v>0</v>
      </c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</row>
    <row r="437" spans="1:18" ht="12.75" customHeight="1" x14ac:dyDescent="0.25">
      <c r="A437" s="89"/>
      <c r="B437" s="97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</row>
    <row r="438" spans="1:18" ht="12.75" customHeight="1" x14ac:dyDescent="0.25">
      <c r="B438" s="777" t="s">
        <v>161</v>
      </c>
      <c r="C438" s="775" t="s">
        <v>132</v>
      </c>
      <c r="D438" s="231" t="s">
        <v>70</v>
      </c>
      <c r="E438" s="232">
        <v>0</v>
      </c>
      <c r="F438" s="232">
        <v>0</v>
      </c>
      <c r="G438" s="232">
        <v>0</v>
      </c>
      <c r="H438" s="232">
        <v>0</v>
      </c>
      <c r="I438" s="232">
        <v>0</v>
      </c>
      <c r="J438" s="232">
        <v>0</v>
      </c>
      <c r="K438" s="232">
        <v>0</v>
      </c>
      <c r="L438" s="232">
        <v>0</v>
      </c>
      <c r="M438" s="232">
        <v>0</v>
      </c>
      <c r="N438" s="232">
        <v>0</v>
      </c>
      <c r="O438" s="232">
        <v>0</v>
      </c>
      <c r="P438" s="232">
        <v>0</v>
      </c>
      <c r="Q438" s="232">
        <v>0</v>
      </c>
      <c r="R438" s="232">
        <v>0</v>
      </c>
    </row>
    <row r="439" spans="1:18" ht="12.75" customHeight="1" x14ac:dyDescent="0.25">
      <c r="B439" s="777"/>
      <c r="C439" s="775"/>
      <c r="D439" s="231" t="s">
        <v>73</v>
      </c>
      <c r="E439" s="232">
        <v>0</v>
      </c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</row>
    <row r="440" spans="1:18" s="238" customFormat="1" x14ac:dyDescent="0.25"/>
    <row r="441" spans="1:18" x14ac:dyDescent="0.25">
      <c r="B441" s="97" t="s">
        <v>93</v>
      </c>
    </row>
    <row r="442" spans="1:18" x14ac:dyDescent="0.25">
      <c r="E442" s="89" t="s">
        <v>70</v>
      </c>
      <c r="F442" s="89" t="s">
        <v>64</v>
      </c>
      <c r="G442" s="89" t="s">
        <v>65</v>
      </c>
      <c r="H442" s="219" t="s">
        <v>164</v>
      </c>
      <c r="I442" s="89" t="s">
        <v>69</v>
      </c>
      <c r="J442" s="89" t="s">
        <v>68</v>
      </c>
      <c r="K442" s="89" t="s">
        <v>83</v>
      </c>
      <c r="L442" s="89" t="s">
        <v>66</v>
      </c>
      <c r="M442" s="89" t="s">
        <v>63</v>
      </c>
      <c r="N442" s="89" t="s">
        <v>61</v>
      </c>
      <c r="O442" s="89" t="s">
        <v>62</v>
      </c>
      <c r="P442" s="89" t="s">
        <v>67</v>
      </c>
      <c r="Q442" s="89" t="s">
        <v>84</v>
      </c>
      <c r="R442" s="384" t="s">
        <v>225</v>
      </c>
    </row>
    <row r="443" spans="1:18" ht="11.4" customHeight="1" x14ac:dyDescent="0.25">
      <c r="D443" t="s">
        <v>72</v>
      </c>
      <c r="E443" s="89">
        <v>0</v>
      </c>
      <c r="F443" s="89">
        <v>0</v>
      </c>
      <c r="G443" s="89">
        <v>0</v>
      </c>
      <c r="H443" s="384">
        <v>0</v>
      </c>
      <c r="I443" s="89">
        <v>0</v>
      </c>
      <c r="J443" s="89">
        <v>0</v>
      </c>
      <c r="K443" s="89">
        <v>0</v>
      </c>
      <c r="L443" s="89">
        <v>0</v>
      </c>
      <c r="M443" s="89">
        <v>0</v>
      </c>
      <c r="N443" s="89">
        <v>0</v>
      </c>
      <c r="O443" s="89">
        <v>0</v>
      </c>
      <c r="P443" s="89">
        <v>0</v>
      </c>
      <c r="Q443" s="89">
        <v>0</v>
      </c>
      <c r="R443" s="384">
        <v>0</v>
      </c>
    </row>
    <row r="444" spans="1:18" ht="12.75" customHeight="1" x14ac:dyDescent="0.25">
      <c r="D444" t="s">
        <v>81</v>
      </c>
      <c r="E444" s="384">
        <v>0</v>
      </c>
      <c r="F444" s="89">
        <v>0</v>
      </c>
      <c r="G444" s="89">
        <v>0</v>
      </c>
      <c r="H444" s="384">
        <v>0</v>
      </c>
      <c r="I444" s="89">
        <v>0</v>
      </c>
      <c r="J444" s="89">
        <v>0</v>
      </c>
      <c r="K444" s="89">
        <v>0</v>
      </c>
      <c r="L444" s="89">
        <v>0</v>
      </c>
      <c r="M444" s="89">
        <v>0</v>
      </c>
      <c r="N444" s="89">
        <v>0</v>
      </c>
      <c r="O444" s="89">
        <v>0</v>
      </c>
      <c r="P444" s="89">
        <v>0</v>
      </c>
      <c r="Q444" s="89">
        <v>0</v>
      </c>
      <c r="R444" s="384">
        <v>0</v>
      </c>
    </row>
    <row r="445" spans="1:18" ht="11.4" customHeight="1" x14ac:dyDescent="0.25">
      <c r="C445" t="s">
        <v>332</v>
      </c>
      <c r="D445" t="s">
        <v>70</v>
      </c>
      <c r="E445" s="384">
        <v>0</v>
      </c>
      <c r="F445" s="89">
        <v>0</v>
      </c>
      <c r="G445" s="89">
        <v>0</v>
      </c>
      <c r="H445" s="384">
        <v>0</v>
      </c>
      <c r="I445" s="89">
        <v>0</v>
      </c>
      <c r="J445" s="89">
        <v>0</v>
      </c>
      <c r="K445" s="89">
        <v>0</v>
      </c>
      <c r="L445" s="89">
        <v>0</v>
      </c>
      <c r="M445" s="89">
        <v>0</v>
      </c>
      <c r="N445" s="89">
        <v>0</v>
      </c>
      <c r="O445" s="89">
        <v>0</v>
      </c>
      <c r="P445" s="89">
        <v>0</v>
      </c>
      <c r="Q445" s="89">
        <v>0</v>
      </c>
      <c r="R445" s="384">
        <v>0</v>
      </c>
    </row>
    <row r="446" spans="1:18" s="378" customFormat="1" ht="11.4" customHeight="1" x14ac:dyDescent="0.25">
      <c r="B446" s="378" t="s">
        <v>85</v>
      </c>
      <c r="C446" s="378" t="s">
        <v>70</v>
      </c>
      <c r="E446" s="774">
        <v>0</v>
      </c>
      <c r="F446" s="376">
        <v>0</v>
      </c>
      <c r="G446" s="376">
        <v>0</v>
      </c>
      <c r="H446" s="774">
        <v>0</v>
      </c>
      <c r="I446" s="376">
        <v>0</v>
      </c>
      <c r="J446" s="376">
        <v>0</v>
      </c>
      <c r="K446" s="376">
        <v>0</v>
      </c>
      <c r="L446" s="376">
        <v>0</v>
      </c>
      <c r="M446" s="376">
        <v>0</v>
      </c>
      <c r="N446" s="376">
        <v>0</v>
      </c>
      <c r="O446" s="376">
        <v>0</v>
      </c>
      <c r="P446" s="376">
        <v>0</v>
      </c>
      <c r="Q446" s="376">
        <v>0</v>
      </c>
      <c r="R446" s="774">
        <v>0</v>
      </c>
    </row>
    <row r="447" spans="1:18" ht="12.75" customHeight="1" x14ac:dyDescent="0.25">
      <c r="D447" s="89" t="s">
        <v>72</v>
      </c>
      <c r="E447" s="90">
        <v>0</v>
      </c>
      <c r="F447" s="90">
        <v>0</v>
      </c>
      <c r="G447" s="90">
        <v>0</v>
      </c>
      <c r="H447" s="90">
        <v>0</v>
      </c>
      <c r="I447" s="90">
        <v>0</v>
      </c>
      <c r="J447" s="90">
        <v>0</v>
      </c>
      <c r="K447" s="90">
        <v>0</v>
      </c>
      <c r="L447" s="90">
        <v>0</v>
      </c>
      <c r="M447" s="90">
        <v>0</v>
      </c>
      <c r="N447" s="90">
        <v>0</v>
      </c>
      <c r="O447" s="90">
        <v>0</v>
      </c>
      <c r="P447" s="90">
        <v>0</v>
      </c>
      <c r="Q447" s="90">
        <v>0</v>
      </c>
      <c r="R447">
        <v>0</v>
      </c>
    </row>
    <row r="448" spans="1:18" ht="12.75" customHeight="1" x14ac:dyDescent="0.25">
      <c r="D448" s="89" t="s">
        <v>81</v>
      </c>
      <c r="E448" s="90">
        <v>0</v>
      </c>
      <c r="F448" s="90">
        <v>0</v>
      </c>
      <c r="G448" s="90">
        <v>0</v>
      </c>
      <c r="H448" s="90">
        <v>0</v>
      </c>
      <c r="I448" s="90">
        <v>0</v>
      </c>
      <c r="J448" s="90">
        <v>0</v>
      </c>
      <c r="K448" s="90">
        <v>0</v>
      </c>
      <c r="L448" s="90">
        <v>0</v>
      </c>
      <c r="M448" s="90">
        <v>0</v>
      </c>
      <c r="N448" s="90">
        <v>0</v>
      </c>
      <c r="O448" s="90">
        <v>0</v>
      </c>
      <c r="P448" s="90">
        <v>0</v>
      </c>
      <c r="Q448" s="90">
        <v>0</v>
      </c>
      <c r="R448">
        <v>0</v>
      </c>
    </row>
    <row r="449" spans="2:19" ht="12.75" customHeight="1" x14ac:dyDescent="0.25">
      <c r="B449" s="89"/>
      <c r="C449" s="89" t="s">
        <v>156</v>
      </c>
      <c r="D449" t="s">
        <v>70</v>
      </c>
      <c r="E449" s="90">
        <v>0</v>
      </c>
      <c r="F449" s="90">
        <v>0</v>
      </c>
      <c r="G449" s="90">
        <v>0</v>
      </c>
      <c r="H449" s="90">
        <v>0</v>
      </c>
      <c r="I449" s="90">
        <v>0</v>
      </c>
      <c r="J449" s="90">
        <v>0</v>
      </c>
      <c r="K449" s="90">
        <v>0</v>
      </c>
      <c r="L449" s="90">
        <v>0</v>
      </c>
      <c r="M449" s="90">
        <v>0</v>
      </c>
      <c r="N449" s="90">
        <v>0</v>
      </c>
      <c r="O449" s="90">
        <v>0</v>
      </c>
      <c r="P449" s="90">
        <v>0</v>
      </c>
      <c r="Q449" s="90">
        <v>0</v>
      </c>
      <c r="R449">
        <v>0</v>
      </c>
    </row>
    <row r="450" spans="2:19" s="237" customFormat="1" ht="12.75" customHeight="1" x14ac:dyDescent="0.25">
      <c r="B450" s="221" t="s">
        <v>155</v>
      </c>
      <c r="C450" s="221" t="s">
        <v>70</v>
      </c>
      <c r="E450" s="222">
        <v>0</v>
      </c>
      <c r="F450" s="222">
        <v>0</v>
      </c>
      <c r="G450" s="222">
        <v>0</v>
      </c>
      <c r="H450" s="222">
        <v>0</v>
      </c>
      <c r="I450" s="222">
        <v>0</v>
      </c>
      <c r="J450" s="222">
        <v>0</v>
      </c>
      <c r="K450" s="222">
        <v>0</v>
      </c>
      <c r="L450" s="222">
        <v>0</v>
      </c>
      <c r="M450" s="222">
        <v>0</v>
      </c>
      <c r="N450" s="222">
        <v>0</v>
      </c>
      <c r="O450" s="222">
        <v>0</v>
      </c>
      <c r="P450" s="222">
        <v>0</v>
      </c>
      <c r="Q450" s="222">
        <v>0</v>
      </c>
      <c r="R450" s="237">
        <v>0</v>
      </c>
    </row>
    <row r="451" spans="2:19" ht="12.75" customHeight="1" x14ac:dyDescent="0.25">
      <c r="D451" t="s">
        <v>72</v>
      </c>
      <c r="E451" s="142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2:19" ht="12.75" customHeight="1" x14ac:dyDescent="0.25">
      <c r="D452" t="s">
        <v>81</v>
      </c>
      <c r="E452" s="14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2:19" ht="12.75" customHeight="1" x14ac:dyDescent="0.25">
      <c r="C453" t="s">
        <v>156</v>
      </c>
      <c r="D453" t="s">
        <v>70</v>
      </c>
      <c r="E453" s="142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2:19" s="739" customFormat="1" ht="12.75" customHeight="1" x14ac:dyDescent="0.25">
      <c r="B454" s="739" t="s">
        <v>326</v>
      </c>
      <c r="C454" s="739" t="s">
        <v>70</v>
      </c>
      <c r="E454" s="231">
        <v>0</v>
      </c>
      <c r="F454" s="740">
        <v>0</v>
      </c>
      <c r="G454" s="232">
        <v>0</v>
      </c>
      <c r="H454" s="232">
        <v>0</v>
      </c>
      <c r="I454" s="232">
        <v>0</v>
      </c>
      <c r="J454" s="232">
        <v>0</v>
      </c>
      <c r="K454" s="232">
        <v>0</v>
      </c>
      <c r="L454" s="232">
        <v>0</v>
      </c>
      <c r="M454" s="232">
        <v>0</v>
      </c>
      <c r="N454" s="232">
        <v>0</v>
      </c>
      <c r="O454" s="232">
        <v>0</v>
      </c>
      <c r="P454" s="232">
        <v>0</v>
      </c>
      <c r="Q454" s="232">
        <v>0</v>
      </c>
      <c r="R454" s="232">
        <v>0</v>
      </c>
      <c r="S454" s="232"/>
    </row>
    <row r="455" spans="2:19" ht="12.75" customHeight="1" x14ac:dyDescent="0.25">
      <c r="D455" t="s">
        <v>72</v>
      </c>
      <c r="E455" s="142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2:19" ht="12.75" customHeight="1" x14ac:dyDescent="0.25">
      <c r="D456" t="s">
        <v>81</v>
      </c>
      <c r="E456" s="142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2:19" ht="12.75" customHeight="1" x14ac:dyDescent="0.25">
      <c r="C457" t="s">
        <v>82</v>
      </c>
      <c r="D457" t="s">
        <v>70</v>
      </c>
      <c r="E457" s="142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2:19" ht="12.75" customHeight="1" x14ac:dyDescent="0.25">
      <c r="D458" t="s">
        <v>72</v>
      </c>
      <c r="E458" s="142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2:19" ht="12.75" customHeight="1" x14ac:dyDescent="0.25">
      <c r="D459" t="s">
        <v>81</v>
      </c>
      <c r="E459" s="142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2:19" ht="12.75" customHeight="1" x14ac:dyDescent="0.25">
      <c r="C460" t="s">
        <v>86</v>
      </c>
      <c r="D460" t="s">
        <v>70</v>
      </c>
      <c r="E460" s="142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2:19" ht="12.75" customHeight="1" x14ac:dyDescent="0.25">
      <c r="D461" t="s">
        <v>72</v>
      </c>
      <c r="E461" s="142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2:19" ht="12.75" customHeight="1" x14ac:dyDescent="0.25">
      <c r="B462" s="142"/>
      <c r="D462" t="s">
        <v>81</v>
      </c>
      <c r="E462" s="14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2:19" ht="12.75" customHeight="1" x14ac:dyDescent="0.25">
      <c r="B463" s="142"/>
      <c r="C463" t="s">
        <v>87</v>
      </c>
      <c r="D463" t="s">
        <v>70</v>
      </c>
      <c r="E463" s="142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2:19" s="94" customFormat="1" ht="12.75" customHeight="1" x14ac:dyDescent="0.25">
      <c r="B464" s="101" t="s">
        <v>119</v>
      </c>
      <c r="C464" s="101" t="s">
        <v>70</v>
      </c>
      <c r="E464" s="93">
        <v>0</v>
      </c>
      <c r="F464" s="93">
        <v>0</v>
      </c>
      <c r="G464" s="93">
        <v>0</v>
      </c>
      <c r="H464" s="93">
        <v>0</v>
      </c>
      <c r="I464" s="93">
        <v>0</v>
      </c>
      <c r="J464" s="93">
        <v>0</v>
      </c>
      <c r="K464" s="93">
        <v>0</v>
      </c>
      <c r="L464" s="93">
        <v>0</v>
      </c>
      <c r="M464" s="93">
        <v>0</v>
      </c>
      <c r="N464" s="93">
        <v>0</v>
      </c>
      <c r="O464" s="93">
        <v>0</v>
      </c>
      <c r="P464" s="93">
        <v>0</v>
      </c>
      <c r="Q464" s="93">
        <v>0</v>
      </c>
      <c r="R464" s="94">
        <v>0</v>
      </c>
    </row>
    <row r="465" spans="1:19" s="226" customFormat="1" ht="12.75" customHeight="1" x14ac:dyDescent="0.25">
      <c r="A465" s="98" t="s">
        <v>78</v>
      </c>
      <c r="B465" s="98" t="s">
        <v>70</v>
      </c>
      <c r="E465" s="100">
        <v>0</v>
      </c>
      <c r="F465" s="100">
        <v>0</v>
      </c>
      <c r="G465" s="100">
        <v>0</v>
      </c>
      <c r="H465" s="100">
        <v>0</v>
      </c>
      <c r="I465" s="100">
        <v>0</v>
      </c>
      <c r="J465" s="100">
        <v>0</v>
      </c>
      <c r="K465" s="100">
        <v>0</v>
      </c>
      <c r="L465" s="100">
        <v>0</v>
      </c>
      <c r="M465" s="100">
        <v>0</v>
      </c>
      <c r="N465" s="100">
        <v>0</v>
      </c>
      <c r="O465" s="100">
        <v>0</v>
      </c>
      <c r="P465" s="100">
        <v>0</v>
      </c>
      <c r="Q465" s="100">
        <v>0</v>
      </c>
      <c r="R465" s="226">
        <v>0</v>
      </c>
    </row>
    <row r="466" spans="1:19" ht="12.75" customHeight="1" x14ac:dyDescent="0.25">
      <c r="B466" s="89"/>
      <c r="C466" s="89"/>
      <c r="D466" t="s">
        <v>73</v>
      </c>
      <c r="E466" s="90">
        <v>0</v>
      </c>
      <c r="F466" s="90">
        <v>0</v>
      </c>
      <c r="G466" s="90">
        <v>0</v>
      </c>
      <c r="H466" s="90">
        <v>0</v>
      </c>
      <c r="I466" s="90">
        <v>0</v>
      </c>
      <c r="J466" s="90">
        <v>0</v>
      </c>
      <c r="K466" s="90">
        <v>0</v>
      </c>
      <c r="L466" s="90">
        <v>0</v>
      </c>
      <c r="M466" s="90">
        <v>0</v>
      </c>
      <c r="N466" s="90">
        <v>0</v>
      </c>
      <c r="O466" s="90">
        <v>0</v>
      </c>
      <c r="P466" s="90">
        <v>0</v>
      </c>
      <c r="Q466" s="90">
        <v>0</v>
      </c>
      <c r="R466">
        <v>0</v>
      </c>
    </row>
    <row r="467" spans="1:19" ht="12.75" customHeight="1" x14ac:dyDescent="0.25">
      <c r="B467" s="89"/>
      <c r="C467" s="89" t="s">
        <v>332</v>
      </c>
      <c r="D467" t="s">
        <v>70</v>
      </c>
      <c r="E467" s="90">
        <v>0</v>
      </c>
      <c r="F467" s="90">
        <v>0</v>
      </c>
      <c r="G467" s="90">
        <v>0</v>
      </c>
      <c r="H467" s="90">
        <v>0</v>
      </c>
      <c r="I467" s="90">
        <v>0</v>
      </c>
      <c r="J467" s="90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>
        <v>0</v>
      </c>
    </row>
    <row r="468" spans="1:19" s="378" customFormat="1" ht="12.75" customHeight="1" x14ac:dyDescent="0.25">
      <c r="B468" s="378" t="s">
        <v>85</v>
      </c>
      <c r="C468" s="378" t="s">
        <v>70</v>
      </c>
      <c r="E468" s="378">
        <v>0</v>
      </c>
      <c r="F468" s="378">
        <v>0</v>
      </c>
      <c r="G468" s="378">
        <v>0</v>
      </c>
      <c r="H468" s="378">
        <v>0</v>
      </c>
      <c r="I468" s="378">
        <v>0</v>
      </c>
      <c r="J468" s="378">
        <v>0</v>
      </c>
      <c r="K468" s="378">
        <v>0</v>
      </c>
      <c r="L468" s="378">
        <v>0</v>
      </c>
      <c r="M468" s="378">
        <v>0</v>
      </c>
      <c r="N468" s="378">
        <v>0</v>
      </c>
      <c r="O468" s="378">
        <v>0</v>
      </c>
      <c r="P468" s="378">
        <v>0</v>
      </c>
      <c r="Q468" s="378">
        <v>0</v>
      </c>
      <c r="R468" s="378">
        <v>0</v>
      </c>
    </row>
    <row r="469" spans="1:19" ht="12.75" customHeight="1" x14ac:dyDescent="0.25">
      <c r="C469" s="89"/>
      <c r="D469" s="89" t="s">
        <v>73</v>
      </c>
      <c r="E469" s="90">
        <v>0</v>
      </c>
      <c r="F469" s="90">
        <v>0</v>
      </c>
      <c r="G469" s="90">
        <v>0</v>
      </c>
      <c r="H469" s="90">
        <v>0</v>
      </c>
      <c r="I469" s="90">
        <v>0</v>
      </c>
      <c r="J469" s="90">
        <v>0</v>
      </c>
      <c r="K469" s="90">
        <v>0</v>
      </c>
      <c r="L469" s="90">
        <v>0</v>
      </c>
      <c r="M469" s="90">
        <v>0</v>
      </c>
      <c r="N469" s="90">
        <v>0</v>
      </c>
      <c r="O469" s="90">
        <v>0</v>
      </c>
      <c r="P469" s="90">
        <v>0</v>
      </c>
      <c r="Q469" s="90">
        <v>0</v>
      </c>
      <c r="R469">
        <v>0</v>
      </c>
    </row>
    <row r="470" spans="1:19" ht="12.75" customHeight="1" x14ac:dyDescent="0.25">
      <c r="B470" s="89"/>
      <c r="C470" s="89" t="s">
        <v>156</v>
      </c>
      <c r="D470" t="s">
        <v>70</v>
      </c>
      <c r="E470" s="90">
        <v>0</v>
      </c>
      <c r="F470" s="90">
        <v>0</v>
      </c>
      <c r="G470" s="90">
        <v>0</v>
      </c>
      <c r="H470" s="90">
        <v>0</v>
      </c>
      <c r="I470" s="90">
        <v>0</v>
      </c>
      <c r="J470" s="90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>
        <v>0</v>
      </c>
    </row>
    <row r="471" spans="1:19" s="237" customFormat="1" ht="12.75" customHeight="1" x14ac:dyDescent="0.25">
      <c r="B471" s="221" t="s">
        <v>155</v>
      </c>
      <c r="C471" s="221" t="s">
        <v>70</v>
      </c>
      <c r="E471" s="222">
        <v>0</v>
      </c>
      <c r="F471" s="222">
        <v>0</v>
      </c>
      <c r="G471" s="222">
        <v>0</v>
      </c>
      <c r="H471" s="222">
        <v>0</v>
      </c>
      <c r="I471" s="222">
        <v>0</v>
      </c>
      <c r="J471" s="222">
        <v>0</v>
      </c>
      <c r="K471" s="222">
        <v>0</v>
      </c>
      <c r="L471" s="222">
        <v>0</v>
      </c>
      <c r="M471" s="222">
        <v>0</v>
      </c>
      <c r="N471" s="222">
        <v>0</v>
      </c>
      <c r="O471" s="222">
        <v>0</v>
      </c>
      <c r="P471" s="222">
        <v>0</v>
      </c>
      <c r="Q471" s="222">
        <v>0</v>
      </c>
      <c r="R471" s="237">
        <v>0</v>
      </c>
    </row>
    <row r="472" spans="1:19" ht="12.75" customHeight="1" x14ac:dyDescent="0.25">
      <c r="B472" s="142"/>
      <c r="C472" s="89"/>
      <c r="D472" s="89" t="s">
        <v>73</v>
      </c>
      <c r="E472" s="371">
        <v>0</v>
      </c>
      <c r="F472" s="90">
        <v>0</v>
      </c>
      <c r="G472" s="90">
        <v>0</v>
      </c>
      <c r="H472" s="90">
        <v>0</v>
      </c>
      <c r="I472" s="90">
        <v>0</v>
      </c>
      <c r="J472" s="90">
        <v>0</v>
      </c>
      <c r="K472" s="90">
        <v>0</v>
      </c>
      <c r="L472" s="90">
        <v>0</v>
      </c>
      <c r="M472" s="90">
        <v>0</v>
      </c>
      <c r="N472" s="90">
        <v>0</v>
      </c>
      <c r="O472" s="90">
        <v>0</v>
      </c>
      <c r="P472" s="90">
        <v>0</v>
      </c>
      <c r="Q472" s="90">
        <v>0</v>
      </c>
      <c r="R472">
        <v>0</v>
      </c>
    </row>
    <row r="473" spans="1:19" ht="12.75" customHeight="1" x14ac:dyDescent="0.25">
      <c r="B473" s="142"/>
      <c r="C473" s="89" t="s">
        <v>156</v>
      </c>
      <c r="D473" s="89" t="s">
        <v>70</v>
      </c>
      <c r="E473" s="371">
        <v>0</v>
      </c>
      <c r="F473" s="90">
        <v>0</v>
      </c>
      <c r="G473" s="90">
        <v>0</v>
      </c>
      <c r="H473" s="90">
        <v>0</v>
      </c>
      <c r="I473" s="90">
        <v>0</v>
      </c>
      <c r="J473" s="90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>
        <v>0</v>
      </c>
    </row>
    <row r="474" spans="1:19" s="739" customFormat="1" ht="12.75" customHeight="1" x14ac:dyDescent="0.25">
      <c r="B474" s="739" t="s">
        <v>326</v>
      </c>
      <c r="C474" s="739" t="s">
        <v>70</v>
      </c>
      <c r="E474" s="231">
        <v>0</v>
      </c>
      <c r="F474" s="740">
        <v>0</v>
      </c>
      <c r="G474" s="232">
        <v>0</v>
      </c>
      <c r="H474" s="232">
        <v>0</v>
      </c>
      <c r="I474" s="232">
        <v>0</v>
      </c>
      <c r="J474" s="232">
        <v>0</v>
      </c>
      <c r="K474" s="232">
        <v>0</v>
      </c>
      <c r="L474" s="232">
        <v>0</v>
      </c>
      <c r="M474" s="232">
        <v>0</v>
      </c>
      <c r="N474" s="232">
        <v>0</v>
      </c>
      <c r="O474" s="232">
        <v>0</v>
      </c>
      <c r="P474" s="232">
        <v>0</v>
      </c>
      <c r="Q474" s="232">
        <v>0</v>
      </c>
      <c r="R474" s="232">
        <v>0</v>
      </c>
      <c r="S474" s="232"/>
    </row>
    <row r="475" spans="1:19" ht="12.75" customHeight="1" x14ac:dyDescent="0.25">
      <c r="B475" s="142"/>
      <c r="C475" s="89"/>
      <c r="D475" s="89" t="s">
        <v>73</v>
      </c>
      <c r="E475" s="371">
        <v>0</v>
      </c>
      <c r="F475" s="90">
        <v>0</v>
      </c>
      <c r="G475" s="90">
        <v>0</v>
      </c>
      <c r="H475" s="90">
        <v>0</v>
      </c>
      <c r="I475" s="90">
        <v>0</v>
      </c>
      <c r="J475" s="90">
        <v>0</v>
      </c>
      <c r="K475" s="90">
        <v>0</v>
      </c>
      <c r="L475" s="90">
        <v>0</v>
      </c>
      <c r="M475" s="90">
        <v>0</v>
      </c>
      <c r="N475" s="90">
        <v>0</v>
      </c>
      <c r="O475" s="90">
        <v>0</v>
      </c>
      <c r="P475" s="90">
        <v>0</v>
      </c>
      <c r="Q475" s="90">
        <v>0</v>
      </c>
      <c r="R475">
        <v>0</v>
      </c>
    </row>
    <row r="476" spans="1:19" ht="12.75" customHeight="1" x14ac:dyDescent="0.25">
      <c r="B476" s="142"/>
      <c r="C476" s="89" t="s">
        <v>82</v>
      </c>
      <c r="D476" s="89" t="s">
        <v>70</v>
      </c>
      <c r="E476" s="371">
        <v>0</v>
      </c>
      <c r="F476" s="90">
        <v>0</v>
      </c>
      <c r="G476" s="90">
        <v>0</v>
      </c>
      <c r="H476" s="90">
        <v>0</v>
      </c>
      <c r="I476" s="90">
        <v>0</v>
      </c>
      <c r="J476" s="90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>
        <v>0</v>
      </c>
    </row>
    <row r="477" spans="1:19" ht="12.75" customHeight="1" x14ac:dyDescent="0.25">
      <c r="B477" s="142"/>
      <c r="C477" s="89"/>
      <c r="D477" s="89" t="s">
        <v>73</v>
      </c>
      <c r="E477" s="371">
        <v>0</v>
      </c>
      <c r="F477" s="90">
        <v>0</v>
      </c>
      <c r="G477" s="90">
        <v>0</v>
      </c>
      <c r="H477" s="90">
        <v>0</v>
      </c>
      <c r="I477" s="90">
        <v>0</v>
      </c>
      <c r="J477" s="90">
        <v>0</v>
      </c>
      <c r="K477" s="90">
        <v>0</v>
      </c>
      <c r="L477" s="90">
        <v>0</v>
      </c>
      <c r="M477" s="90">
        <v>0</v>
      </c>
      <c r="N477" s="90">
        <v>0</v>
      </c>
      <c r="O477" s="90">
        <v>0</v>
      </c>
      <c r="P477" s="90">
        <v>0</v>
      </c>
      <c r="Q477" s="90">
        <v>0</v>
      </c>
      <c r="R477">
        <v>0</v>
      </c>
    </row>
    <row r="478" spans="1:19" ht="12.75" customHeight="1" x14ac:dyDescent="0.25">
      <c r="B478" s="142"/>
      <c r="C478" s="89" t="s">
        <v>86</v>
      </c>
      <c r="D478" s="89" t="s">
        <v>70</v>
      </c>
      <c r="E478" s="371">
        <v>0</v>
      </c>
      <c r="F478" s="90">
        <v>0</v>
      </c>
      <c r="G478" s="90">
        <v>0</v>
      </c>
      <c r="H478" s="90">
        <v>0</v>
      </c>
      <c r="I478" s="90">
        <v>0</v>
      </c>
      <c r="J478" s="90">
        <v>0</v>
      </c>
      <c r="K478" s="90">
        <v>0</v>
      </c>
      <c r="L478" s="90">
        <v>0</v>
      </c>
      <c r="M478" s="90">
        <v>0</v>
      </c>
      <c r="N478" s="90">
        <v>0</v>
      </c>
      <c r="O478" s="90">
        <v>0</v>
      </c>
      <c r="P478" s="90">
        <v>0</v>
      </c>
      <c r="Q478" s="90">
        <v>0</v>
      </c>
      <c r="R478">
        <v>0</v>
      </c>
    </row>
    <row r="479" spans="1:19" ht="12.75" customHeight="1" x14ac:dyDescent="0.25">
      <c r="B479" s="142"/>
      <c r="C479" s="89"/>
      <c r="D479" s="89" t="s">
        <v>73</v>
      </c>
      <c r="E479" s="371">
        <v>0</v>
      </c>
      <c r="F479" s="90">
        <v>0</v>
      </c>
      <c r="G479" s="90">
        <v>0</v>
      </c>
      <c r="H479" s="90">
        <v>0</v>
      </c>
      <c r="I479" s="90">
        <v>0</v>
      </c>
      <c r="J479" s="90">
        <v>0</v>
      </c>
      <c r="K479" s="90">
        <v>0</v>
      </c>
      <c r="L479" s="90">
        <v>0</v>
      </c>
      <c r="M479" s="90">
        <v>0</v>
      </c>
      <c r="N479" s="90">
        <v>0</v>
      </c>
      <c r="O479" s="90">
        <v>0</v>
      </c>
      <c r="P479" s="90">
        <v>0</v>
      </c>
      <c r="Q479" s="90">
        <v>0</v>
      </c>
      <c r="R479">
        <v>0</v>
      </c>
    </row>
    <row r="480" spans="1:19" ht="12.75" customHeight="1" x14ac:dyDescent="0.25">
      <c r="B480" s="142"/>
      <c r="C480" s="89" t="s">
        <v>87</v>
      </c>
      <c r="D480" s="89" t="s">
        <v>70</v>
      </c>
      <c r="E480" s="371">
        <v>0</v>
      </c>
      <c r="F480" s="90">
        <v>0</v>
      </c>
      <c r="G480" s="90">
        <v>0</v>
      </c>
      <c r="H480" s="90">
        <v>0</v>
      </c>
      <c r="I480" s="90">
        <v>0</v>
      </c>
      <c r="J480" s="90">
        <v>0</v>
      </c>
      <c r="K480" s="90">
        <v>0</v>
      </c>
      <c r="L480" s="90">
        <v>0</v>
      </c>
      <c r="M480" s="90">
        <v>0</v>
      </c>
      <c r="N480" s="90">
        <v>0</v>
      </c>
      <c r="O480" s="90">
        <v>0</v>
      </c>
      <c r="P480" s="90">
        <v>0</v>
      </c>
      <c r="Q480" s="90">
        <v>0</v>
      </c>
      <c r="R480">
        <v>0</v>
      </c>
    </row>
    <row r="481" spans="1:18" s="94" customFormat="1" ht="12.75" customHeight="1" x14ac:dyDescent="0.25">
      <c r="B481" s="101" t="s">
        <v>119</v>
      </c>
      <c r="C481" s="101" t="s">
        <v>70</v>
      </c>
      <c r="E481" s="93">
        <v>0</v>
      </c>
      <c r="F481" s="93">
        <v>0</v>
      </c>
      <c r="G481" s="93">
        <v>0</v>
      </c>
      <c r="H481" s="93">
        <v>0</v>
      </c>
      <c r="I481" s="93">
        <v>0</v>
      </c>
      <c r="J481" s="93">
        <v>0</v>
      </c>
      <c r="K481" s="93">
        <v>0</v>
      </c>
      <c r="L481" s="93">
        <v>0</v>
      </c>
      <c r="M481" s="93">
        <v>0</v>
      </c>
      <c r="N481" s="93">
        <v>0</v>
      </c>
      <c r="O481" s="93">
        <v>0</v>
      </c>
      <c r="P481" s="93">
        <v>0</v>
      </c>
      <c r="Q481" s="93">
        <v>0</v>
      </c>
      <c r="R481" s="94">
        <v>0</v>
      </c>
    </row>
    <row r="482" spans="1:18" s="226" customFormat="1" ht="12.75" customHeight="1" x14ac:dyDescent="0.25">
      <c r="A482" s="98" t="s">
        <v>79</v>
      </c>
      <c r="B482" s="98" t="s">
        <v>70</v>
      </c>
      <c r="E482" s="100">
        <v>0</v>
      </c>
      <c r="F482" s="100">
        <v>0</v>
      </c>
      <c r="G482" s="100">
        <v>0</v>
      </c>
      <c r="H482" s="100">
        <v>0</v>
      </c>
      <c r="I482" s="100">
        <v>0</v>
      </c>
      <c r="J482" s="100">
        <v>0</v>
      </c>
      <c r="K482" s="100">
        <v>0</v>
      </c>
      <c r="L482" s="100">
        <v>0</v>
      </c>
      <c r="M482" s="100">
        <v>0</v>
      </c>
      <c r="N482" s="100">
        <v>0</v>
      </c>
      <c r="O482" s="100">
        <v>0</v>
      </c>
      <c r="P482" s="100">
        <v>0</v>
      </c>
      <c r="Q482" s="100">
        <v>0</v>
      </c>
      <c r="R482" s="226">
        <v>0</v>
      </c>
    </row>
    <row r="483" spans="1:18" ht="12.75" customHeight="1" x14ac:dyDescent="0.25">
      <c r="A483" s="89" t="s">
        <v>70</v>
      </c>
      <c r="E483" s="90">
        <v>0</v>
      </c>
      <c r="F483" s="90">
        <v>0</v>
      </c>
      <c r="G483" s="90">
        <v>0</v>
      </c>
      <c r="H483" s="90">
        <v>0</v>
      </c>
      <c r="I483" s="90">
        <v>0</v>
      </c>
      <c r="J483" s="90">
        <v>0</v>
      </c>
      <c r="K483" s="90">
        <v>0</v>
      </c>
      <c r="L483" s="90">
        <v>0</v>
      </c>
      <c r="M483" s="90">
        <v>0</v>
      </c>
      <c r="N483" s="90">
        <v>0</v>
      </c>
      <c r="O483" s="90">
        <v>0</v>
      </c>
      <c r="P483" s="90">
        <v>0</v>
      </c>
      <c r="Q483" s="90">
        <v>0</v>
      </c>
      <c r="R483" s="90">
        <v>0</v>
      </c>
    </row>
    <row r="484" spans="1:18" ht="12.75" hidden="1" customHeight="1" x14ac:dyDescent="0.25">
      <c r="A484" s="89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</row>
    <row r="485" spans="1:18" ht="12.75" hidden="1" customHeight="1" x14ac:dyDescent="0.25">
      <c r="A485" s="89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</row>
    <row r="486" spans="1:18" ht="12.75" hidden="1" customHeight="1" x14ac:dyDescent="0.25">
      <c r="A486" s="89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</row>
    <row r="487" spans="1:18" ht="12.75" hidden="1" customHeight="1" x14ac:dyDescent="0.25">
      <c r="A487" s="89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</row>
    <row r="488" spans="1:18" ht="12.75" hidden="1" customHeight="1" x14ac:dyDescent="0.25">
      <c r="A488" s="89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</row>
    <row r="489" spans="1:18" ht="12.75" hidden="1" customHeight="1" x14ac:dyDescent="0.25">
      <c r="A489" s="89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</row>
    <row r="490" spans="1:18" ht="12.75" hidden="1" customHeight="1" x14ac:dyDescent="0.25">
      <c r="A490" s="89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</row>
    <row r="491" spans="1:18" ht="12.75" hidden="1" customHeight="1" x14ac:dyDescent="0.25">
      <c r="A491" s="89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</row>
    <row r="492" spans="1:18" ht="12.75" hidden="1" customHeight="1" x14ac:dyDescent="0.25">
      <c r="A492" s="89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</row>
    <row r="493" spans="1:18" ht="12.75" hidden="1" customHeight="1" x14ac:dyDescent="0.25">
      <c r="A493" s="89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</row>
    <row r="494" spans="1:18" ht="12.75" hidden="1" customHeight="1" x14ac:dyDescent="0.25">
      <c r="A494" s="89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</row>
    <row r="495" spans="1:18" ht="12.75" hidden="1" customHeight="1" x14ac:dyDescent="0.25">
      <c r="A495" s="89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</row>
    <row r="496" spans="1:18" ht="12.75" hidden="1" customHeight="1" x14ac:dyDescent="0.25">
      <c r="A496" s="89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</row>
    <row r="497" spans="1:18" ht="12.75" hidden="1" customHeight="1" x14ac:dyDescent="0.25">
      <c r="A497" s="89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</row>
    <row r="498" spans="1:18" ht="12.75" hidden="1" customHeight="1" x14ac:dyDescent="0.25">
      <c r="A498" s="89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</row>
    <row r="499" spans="1:18" ht="12.75" hidden="1" customHeight="1" x14ac:dyDescent="0.25">
      <c r="A499" s="89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</row>
    <row r="500" spans="1:18" ht="12.75" hidden="1" customHeight="1" x14ac:dyDescent="0.25">
      <c r="A500" s="89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</row>
    <row r="501" spans="1:18" ht="12.75" hidden="1" customHeight="1" x14ac:dyDescent="0.25">
      <c r="A501" s="89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</row>
    <row r="502" spans="1:18" ht="12.75" hidden="1" customHeight="1" x14ac:dyDescent="0.25">
      <c r="A502" s="89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</row>
    <row r="503" spans="1:18" ht="12.75" hidden="1" customHeight="1" x14ac:dyDescent="0.25">
      <c r="A503" s="89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</row>
    <row r="504" spans="1:18" ht="12.75" hidden="1" customHeight="1" x14ac:dyDescent="0.25">
      <c r="A504" s="89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</row>
    <row r="505" spans="1:18" ht="12.75" hidden="1" customHeight="1" x14ac:dyDescent="0.25">
      <c r="A505" s="89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</row>
    <row r="506" spans="1:18" ht="12.75" hidden="1" customHeight="1" x14ac:dyDescent="0.25">
      <c r="A506" s="89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</row>
    <row r="507" spans="1:18" ht="12.75" hidden="1" customHeight="1" x14ac:dyDescent="0.25">
      <c r="A507" s="89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</row>
    <row r="508" spans="1:18" ht="12.75" customHeight="1" x14ac:dyDescent="0.25">
      <c r="A508" s="89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</row>
    <row r="509" spans="1:18" ht="12.75" customHeight="1" x14ac:dyDescent="0.25">
      <c r="A509" s="89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</row>
    <row r="510" spans="1:18" ht="12.75" customHeight="1" x14ac:dyDescent="0.25">
      <c r="B510" s="778" t="s">
        <v>2</v>
      </c>
      <c r="C510" s="775" t="s">
        <v>132</v>
      </c>
      <c r="D510" s="98" t="s">
        <v>70</v>
      </c>
      <c r="E510" s="100">
        <f>E482+E465-K465</f>
        <v>0</v>
      </c>
      <c r="F510" s="100">
        <f>F465</f>
        <v>0</v>
      </c>
      <c r="G510" s="100">
        <f t="shared" ref="G510:R510" si="14">G465</f>
        <v>0</v>
      </c>
      <c r="H510" s="100">
        <f t="shared" si="14"/>
        <v>0</v>
      </c>
      <c r="I510" s="100">
        <f t="shared" si="14"/>
        <v>0</v>
      </c>
      <c r="J510" s="100">
        <f t="shared" si="14"/>
        <v>0</v>
      </c>
      <c r="K510" s="100">
        <f t="shared" si="14"/>
        <v>0</v>
      </c>
      <c r="L510" s="100">
        <f t="shared" si="14"/>
        <v>0</v>
      </c>
      <c r="M510" s="100">
        <f t="shared" si="14"/>
        <v>0</v>
      </c>
      <c r="N510" s="100">
        <f t="shared" si="14"/>
        <v>0</v>
      </c>
      <c r="O510" s="100">
        <f t="shared" si="14"/>
        <v>0</v>
      </c>
      <c r="P510" s="100">
        <f>P465</f>
        <v>0</v>
      </c>
      <c r="Q510" s="100">
        <f t="shared" si="14"/>
        <v>0</v>
      </c>
      <c r="R510" s="100">
        <f t="shared" si="14"/>
        <v>0</v>
      </c>
    </row>
    <row r="511" spans="1:18" ht="12.75" customHeight="1" x14ac:dyDescent="0.25">
      <c r="B511" s="778"/>
      <c r="C511" s="775"/>
      <c r="D511" s="98" t="s">
        <v>73</v>
      </c>
      <c r="E511" s="100">
        <f>E482</f>
        <v>0</v>
      </c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</row>
    <row r="512" spans="1:18" ht="12.75" customHeight="1" x14ac:dyDescent="0.25">
      <c r="A512" s="89"/>
      <c r="B512" s="97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</row>
    <row r="513" spans="1:18" ht="12.75" customHeight="1" x14ac:dyDescent="0.25">
      <c r="B513" s="778" t="s">
        <v>160</v>
      </c>
      <c r="C513" s="775" t="s">
        <v>132</v>
      </c>
      <c r="D513" s="223" t="s">
        <v>70</v>
      </c>
      <c r="E513" s="225">
        <v>0</v>
      </c>
      <c r="F513" s="225">
        <v>0</v>
      </c>
      <c r="G513" s="225">
        <v>0</v>
      </c>
      <c r="H513" s="225">
        <v>0</v>
      </c>
      <c r="I513" s="225">
        <v>0</v>
      </c>
      <c r="J513" s="225">
        <v>0</v>
      </c>
      <c r="K513" s="225">
        <v>0</v>
      </c>
      <c r="L513" s="225">
        <v>0</v>
      </c>
      <c r="M513" s="225">
        <v>0</v>
      </c>
      <c r="N513" s="225">
        <v>0</v>
      </c>
      <c r="O513" s="225">
        <v>0</v>
      </c>
      <c r="P513" s="225">
        <v>0</v>
      </c>
      <c r="Q513" s="225">
        <v>0</v>
      </c>
      <c r="R513" s="225">
        <v>0</v>
      </c>
    </row>
    <row r="514" spans="1:18" ht="12.75" customHeight="1" x14ac:dyDescent="0.25">
      <c r="B514" s="778"/>
      <c r="C514" s="775"/>
      <c r="D514" s="223" t="s">
        <v>73</v>
      </c>
      <c r="E514" s="225">
        <v>0</v>
      </c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</row>
    <row r="515" spans="1:18" ht="12.75" customHeight="1" x14ac:dyDescent="0.25">
      <c r="A515" s="89"/>
      <c r="B515" s="97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</row>
    <row r="516" spans="1:18" ht="12.75" customHeight="1" x14ac:dyDescent="0.25">
      <c r="B516" s="778" t="s">
        <v>155</v>
      </c>
      <c r="C516" s="775" t="s">
        <v>132</v>
      </c>
      <c r="D516" s="221" t="s">
        <v>70</v>
      </c>
      <c r="E516" s="222">
        <f>E471+E468+E450+E446-K446-K450</f>
        <v>0</v>
      </c>
      <c r="F516" s="222">
        <f>F450+F446</f>
        <v>0</v>
      </c>
      <c r="G516" s="222">
        <f t="shared" ref="G516:R516" si="15">G450+G446</f>
        <v>0</v>
      </c>
      <c r="H516" s="222">
        <f t="shared" si="15"/>
        <v>0</v>
      </c>
      <c r="I516" s="222">
        <f t="shared" si="15"/>
        <v>0</v>
      </c>
      <c r="J516" s="222">
        <f t="shared" si="15"/>
        <v>0</v>
      </c>
      <c r="K516" s="222">
        <f t="shared" si="15"/>
        <v>0</v>
      </c>
      <c r="L516" s="222">
        <f t="shared" si="15"/>
        <v>0</v>
      </c>
      <c r="M516" s="222">
        <f t="shared" si="15"/>
        <v>0</v>
      </c>
      <c r="N516" s="222">
        <f t="shared" si="15"/>
        <v>0</v>
      </c>
      <c r="O516" s="222">
        <f t="shared" si="15"/>
        <v>0</v>
      </c>
      <c r="P516" s="222">
        <f t="shared" si="15"/>
        <v>0</v>
      </c>
      <c r="Q516" s="222">
        <f t="shared" si="15"/>
        <v>0</v>
      </c>
      <c r="R516" s="222">
        <f t="shared" si="15"/>
        <v>0</v>
      </c>
    </row>
    <row r="517" spans="1:18" ht="12.75" customHeight="1" x14ac:dyDescent="0.25">
      <c r="B517" s="778"/>
      <c r="C517" s="775"/>
      <c r="D517" s="221" t="s">
        <v>73</v>
      </c>
      <c r="E517" s="222">
        <f>E471+E468</f>
        <v>0</v>
      </c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</row>
    <row r="518" spans="1:18" ht="12.75" customHeight="1" x14ac:dyDescent="0.25">
      <c r="A518" s="89"/>
      <c r="B518" s="97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</row>
    <row r="519" spans="1:18" ht="12.75" customHeight="1" x14ac:dyDescent="0.25">
      <c r="B519" s="776" t="s">
        <v>326</v>
      </c>
      <c r="C519" s="775" t="s">
        <v>132</v>
      </c>
      <c r="D519" s="373" t="s">
        <v>70</v>
      </c>
      <c r="E519" s="374">
        <f>E474+E454-K454</f>
        <v>0</v>
      </c>
      <c r="F519" s="374">
        <f>F454</f>
        <v>0</v>
      </c>
      <c r="G519" s="374">
        <f t="shared" ref="G519:R519" si="16">G454</f>
        <v>0</v>
      </c>
      <c r="H519" s="374">
        <f t="shared" si="16"/>
        <v>0</v>
      </c>
      <c r="I519" s="374">
        <f t="shared" si="16"/>
        <v>0</v>
      </c>
      <c r="J519" s="374">
        <f t="shared" si="16"/>
        <v>0</v>
      </c>
      <c r="K519" s="374">
        <f t="shared" si="16"/>
        <v>0</v>
      </c>
      <c r="L519" s="374">
        <f t="shared" si="16"/>
        <v>0</v>
      </c>
      <c r="M519" s="374">
        <f t="shared" si="16"/>
        <v>0</v>
      </c>
      <c r="N519" s="374">
        <f t="shared" si="16"/>
        <v>0</v>
      </c>
      <c r="O519" s="374">
        <f t="shared" si="16"/>
        <v>0</v>
      </c>
      <c r="P519" s="374">
        <f t="shared" si="16"/>
        <v>0</v>
      </c>
      <c r="Q519" s="374">
        <f t="shared" si="16"/>
        <v>0</v>
      </c>
      <c r="R519" s="374">
        <f t="shared" si="16"/>
        <v>0</v>
      </c>
    </row>
    <row r="520" spans="1:18" ht="12.75" customHeight="1" x14ac:dyDescent="0.25">
      <c r="B520" s="776"/>
      <c r="C520" s="775"/>
      <c r="D520" s="373" t="s">
        <v>73</v>
      </c>
      <c r="E520" s="374">
        <f>E474</f>
        <v>0</v>
      </c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</row>
    <row r="521" spans="1:18" ht="12.75" customHeight="1" x14ac:dyDescent="0.25">
      <c r="B521" s="719"/>
      <c r="C521" s="220"/>
      <c r="D521" s="89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</row>
    <row r="522" spans="1:18" ht="12.75" customHeight="1" x14ac:dyDescent="0.25">
      <c r="B522" s="778" t="s">
        <v>119</v>
      </c>
      <c r="C522" s="775" t="s">
        <v>132</v>
      </c>
      <c r="D522" s="101" t="s">
        <v>70</v>
      </c>
      <c r="E522" s="93">
        <f>E464+E481-K464</f>
        <v>0</v>
      </c>
      <c r="F522" s="93">
        <f>F464</f>
        <v>0</v>
      </c>
      <c r="G522" s="93">
        <f t="shared" ref="G522:R522" si="17">G464</f>
        <v>0</v>
      </c>
      <c r="H522" s="93">
        <f t="shared" si="17"/>
        <v>0</v>
      </c>
      <c r="I522" s="93">
        <f t="shared" si="17"/>
        <v>0</v>
      </c>
      <c r="J522" s="93">
        <f t="shared" si="17"/>
        <v>0</v>
      </c>
      <c r="K522" s="93">
        <f t="shared" si="17"/>
        <v>0</v>
      </c>
      <c r="L522" s="93">
        <f t="shared" si="17"/>
        <v>0</v>
      </c>
      <c r="M522" s="93">
        <f t="shared" si="17"/>
        <v>0</v>
      </c>
      <c r="N522" s="93">
        <f t="shared" si="17"/>
        <v>0</v>
      </c>
      <c r="O522" s="93">
        <f t="shared" si="17"/>
        <v>0</v>
      </c>
      <c r="P522" s="93">
        <f t="shared" si="17"/>
        <v>0</v>
      </c>
      <c r="Q522" s="93">
        <f t="shared" si="17"/>
        <v>0</v>
      </c>
      <c r="R522" s="93">
        <f t="shared" si="17"/>
        <v>0</v>
      </c>
    </row>
    <row r="523" spans="1:18" ht="12.75" customHeight="1" x14ac:dyDescent="0.25">
      <c r="B523" s="778"/>
      <c r="C523" s="775"/>
      <c r="D523" s="101" t="s">
        <v>73</v>
      </c>
      <c r="E523" s="93">
        <f>E481</f>
        <v>0</v>
      </c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</row>
    <row r="524" spans="1:18" ht="12.75" customHeight="1" x14ac:dyDescent="0.25">
      <c r="A524" s="89"/>
      <c r="B524" s="97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</row>
    <row r="525" spans="1:18" ht="12.75" customHeight="1" x14ac:dyDescent="0.25">
      <c r="B525" s="777" t="s">
        <v>161</v>
      </c>
      <c r="C525" s="775" t="s">
        <v>132</v>
      </c>
      <c r="D525" s="231" t="s">
        <v>70</v>
      </c>
      <c r="E525" s="232">
        <v>0</v>
      </c>
      <c r="F525" s="232">
        <v>0</v>
      </c>
      <c r="G525" s="232">
        <v>0</v>
      </c>
      <c r="H525" s="232">
        <v>0</v>
      </c>
      <c r="I525" s="232">
        <v>0</v>
      </c>
      <c r="J525" s="232">
        <v>0</v>
      </c>
      <c r="K525" s="232">
        <v>0</v>
      </c>
      <c r="L525" s="232">
        <v>0</v>
      </c>
      <c r="M525" s="232">
        <v>0</v>
      </c>
      <c r="N525" s="232">
        <v>0</v>
      </c>
      <c r="O525" s="232">
        <v>0</v>
      </c>
      <c r="P525" s="232">
        <v>0</v>
      </c>
      <c r="Q525" s="232">
        <v>0</v>
      </c>
      <c r="R525" s="232">
        <v>0</v>
      </c>
    </row>
    <row r="526" spans="1:18" ht="12.75" customHeight="1" x14ac:dyDescent="0.25">
      <c r="B526" s="777"/>
      <c r="C526" s="775"/>
      <c r="D526" s="231" t="s">
        <v>73</v>
      </c>
      <c r="E526" s="232">
        <v>0</v>
      </c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</row>
    <row r="527" spans="1:18" s="238" customFormat="1" x14ac:dyDescent="0.25"/>
  </sheetData>
  <mergeCells count="60">
    <mergeCell ref="B69:B70"/>
    <mergeCell ref="C69:C70"/>
    <mergeCell ref="B193:B194"/>
    <mergeCell ref="C193:C194"/>
    <mergeCell ref="B72:B73"/>
    <mergeCell ref="C72:C73"/>
    <mergeCell ref="B178:B179"/>
    <mergeCell ref="C178:C179"/>
    <mergeCell ref="B181:B182"/>
    <mergeCell ref="C181:C182"/>
    <mergeCell ref="B184:B185"/>
    <mergeCell ref="C184:C185"/>
    <mergeCell ref="B190:B191"/>
    <mergeCell ref="C190:C191"/>
    <mergeCell ref="B187:B188"/>
    <mergeCell ref="C187:C188"/>
    <mergeCell ref="B57:B58"/>
    <mergeCell ref="C57:C58"/>
    <mergeCell ref="B60:B61"/>
    <mergeCell ref="C60:C61"/>
    <mergeCell ref="B66:B67"/>
    <mergeCell ref="C66:C67"/>
    <mergeCell ref="B63:B64"/>
    <mergeCell ref="C63:C64"/>
    <mergeCell ref="B299:B300"/>
    <mergeCell ref="C299:C300"/>
    <mergeCell ref="B302:B303"/>
    <mergeCell ref="C302:C303"/>
    <mergeCell ref="B305:B306"/>
    <mergeCell ref="C305:C306"/>
    <mergeCell ref="B311:B312"/>
    <mergeCell ref="C311:C312"/>
    <mergeCell ref="B308:B309"/>
    <mergeCell ref="C308:C309"/>
    <mergeCell ref="B314:B315"/>
    <mergeCell ref="C314:C315"/>
    <mergeCell ref="B423:B424"/>
    <mergeCell ref="C423:C424"/>
    <mergeCell ref="B426:B427"/>
    <mergeCell ref="C426:C427"/>
    <mergeCell ref="B429:B430"/>
    <mergeCell ref="C429:C430"/>
    <mergeCell ref="B435:B436"/>
    <mergeCell ref="C435:C436"/>
    <mergeCell ref="B438:B439"/>
    <mergeCell ref="C438:C439"/>
    <mergeCell ref="B432:B433"/>
    <mergeCell ref="C432:C433"/>
    <mergeCell ref="B510:B511"/>
    <mergeCell ref="C510:C511"/>
    <mergeCell ref="B513:B514"/>
    <mergeCell ref="C513:C514"/>
    <mergeCell ref="B516:B517"/>
    <mergeCell ref="C516:C517"/>
    <mergeCell ref="B522:B523"/>
    <mergeCell ref="C522:C523"/>
    <mergeCell ref="B525:B526"/>
    <mergeCell ref="C525:C526"/>
    <mergeCell ref="B519:B520"/>
    <mergeCell ref="C519:C52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94"/>
  <sheetViews>
    <sheetView zoomScale="90" zoomScaleNormal="9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ColWidth="11.44140625" defaultRowHeight="13.2" x14ac:dyDescent="0.25"/>
  <cols>
    <col min="1" max="1" width="21.109375" style="616" customWidth="1"/>
    <col min="2" max="2" width="19.88671875" style="616" bestFit="1" customWidth="1"/>
    <col min="3" max="3" width="24.88671875" style="616" bestFit="1" customWidth="1"/>
    <col min="4" max="4" width="23.109375" style="616" bestFit="1" customWidth="1"/>
    <col min="5" max="5" width="15.88671875" style="616" bestFit="1" customWidth="1"/>
    <col min="6" max="6" width="15.44140625" style="616" bestFit="1" customWidth="1"/>
    <col min="7" max="7" width="15.44140625" style="616" customWidth="1"/>
    <col min="8" max="8" width="16.44140625" style="616" bestFit="1" customWidth="1"/>
    <col min="9" max="9" width="18" style="616" bestFit="1" customWidth="1"/>
    <col min="10" max="10" width="17" style="616" bestFit="1" customWidth="1"/>
    <col min="11" max="11" width="15.5546875" style="616" bestFit="1" customWidth="1"/>
    <col min="12" max="13" width="15.88671875" style="616" bestFit="1" customWidth="1"/>
    <col min="14" max="14" width="21.44140625" style="616" bestFit="1" customWidth="1"/>
    <col min="15" max="16" width="20.44140625" style="616" bestFit="1" customWidth="1"/>
    <col min="17" max="17" width="20" style="616" bestFit="1" customWidth="1"/>
    <col min="18" max="16384" width="11.44140625" style="616"/>
  </cols>
  <sheetData>
    <row r="1" spans="1:18" x14ac:dyDescent="0.25">
      <c r="B1" s="617" t="s">
        <v>74</v>
      </c>
    </row>
    <row r="2" spans="1:18" ht="12.75" customHeight="1" x14ac:dyDescent="0.25">
      <c r="D2" s="618" t="s">
        <v>70</v>
      </c>
      <c r="E2" s="618" t="s">
        <v>64</v>
      </c>
      <c r="F2" s="618" t="s">
        <v>65</v>
      </c>
      <c r="G2" s="619" t="s">
        <v>164</v>
      </c>
      <c r="H2" s="618" t="s">
        <v>69</v>
      </c>
      <c r="I2" s="618" t="s">
        <v>68</v>
      </c>
      <c r="J2" s="618" t="s">
        <v>66</v>
      </c>
      <c r="K2" s="618" t="s">
        <v>63</v>
      </c>
      <c r="L2" s="618" t="s">
        <v>61</v>
      </c>
      <c r="M2" s="618" t="s">
        <v>62</v>
      </c>
      <c r="N2" s="618" t="s">
        <v>67</v>
      </c>
      <c r="O2" s="618" t="s">
        <v>77</v>
      </c>
      <c r="P2" s="616" t="s">
        <v>71</v>
      </c>
      <c r="Q2" s="618" t="s">
        <v>80</v>
      </c>
      <c r="R2" s="616" t="s">
        <v>168</v>
      </c>
    </row>
    <row r="3" spans="1:18" ht="12.6" customHeight="1" x14ac:dyDescent="0.25">
      <c r="C3" s="616" t="s">
        <v>72</v>
      </c>
      <c r="D3" s="618">
        <v>0</v>
      </c>
      <c r="E3" s="618">
        <v>0</v>
      </c>
      <c r="F3" s="618">
        <v>0</v>
      </c>
      <c r="G3" s="620">
        <v>0</v>
      </c>
      <c r="H3" s="618">
        <v>0</v>
      </c>
      <c r="I3" s="618">
        <v>0</v>
      </c>
      <c r="J3" s="618">
        <v>0</v>
      </c>
      <c r="K3" s="618">
        <v>0</v>
      </c>
      <c r="L3" s="618">
        <v>0</v>
      </c>
      <c r="M3" s="618">
        <v>0</v>
      </c>
      <c r="N3" s="618">
        <v>0</v>
      </c>
      <c r="O3" s="618">
        <v>0</v>
      </c>
      <c r="P3" s="618">
        <v>0</v>
      </c>
      <c r="Q3" s="618">
        <v>0</v>
      </c>
      <c r="R3" s="616">
        <v>0</v>
      </c>
    </row>
    <row r="4" spans="1:18" ht="12.6" customHeight="1" x14ac:dyDescent="0.25">
      <c r="C4" s="616" t="s">
        <v>81</v>
      </c>
      <c r="D4" s="618">
        <v>0</v>
      </c>
      <c r="E4" s="618">
        <v>0</v>
      </c>
      <c r="F4" s="618">
        <v>0</v>
      </c>
      <c r="G4" s="620">
        <v>0</v>
      </c>
      <c r="H4" s="618">
        <v>0</v>
      </c>
      <c r="I4" s="618">
        <v>0</v>
      </c>
      <c r="J4" s="618">
        <v>0</v>
      </c>
      <c r="K4" s="618">
        <v>0</v>
      </c>
      <c r="L4" s="618">
        <v>0</v>
      </c>
      <c r="M4" s="618">
        <v>0</v>
      </c>
      <c r="N4" s="618">
        <v>0</v>
      </c>
      <c r="O4" s="618">
        <v>0</v>
      </c>
      <c r="P4" s="618">
        <v>0</v>
      </c>
      <c r="Q4" s="618">
        <v>0</v>
      </c>
      <c r="R4" s="616">
        <v>0</v>
      </c>
    </row>
    <row r="5" spans="1:18" s="621" customFormat="1" ht="12.75" customHeight="1" x14ac:dyDescent="0.25">
      <c r="B5" s="622" t="s">
        <v>78</v>
      </c>
      <c r="C5" s="622" t="s">
        <v>70</v>
      </c>
      <c r="D5" s="622">
        <v>0</v>
      </c>
      <c r="E5" s="622">
        <v>0</v>
      </c>
      <c r="F5" s="622">
        <v>0</v>
      </c>
      <c r="G5" s="622">
        <v>0</v>
      </c>
      <c r="H5" s="622">
        <v>0</v>
      </c>
      <c r="I5" s="622">
        <v>0</v>
      </c>
      <c r="J5" s="622">
        <v>0</v>
      </c>
      <c r="K5" s="622">
        <v>0</v>
      </c>
      <c r="L5" s="622">
        <v>0</v>
      </c>
      <c r="M5" s="622">
        <v>0</v>
      </c>
      <c r="N5" s="622">
        <v>0</v>
      </c>
      <c r="O5" s="622">
        <v>0</v>
      </c>
      <c r="P5" s="621">
        <v>0</v>
      </c>
      <c r="Q5" s="622">
        <v>0</v>
      </c>
      <c r="R5" s="622">
        <v>0</v>
      </c>
    </row>
    <row r="6" spans="1:18" ht="12.75" customHeight="1" x14ac:dyDescent="0.25">
      <c r="C6" s="616" t="s">
        <v>73</v>
      </c>
      <c r="D6" s="618">
        <v>0</v>
      </c>
      <c r="E6" s="618">
        <v>0</v>
      </c>
      <c r="F6" s="618">
        <v>0</v>
      </c>
      <c r="G6" s="620">
        <v>0</v>
      </c>
      <c r="H6" s="618">
        <v>0</v>
      </c>
      <c r="I6" s="618">
        <v>0</v>
      </c>
      <c r="J6" s="618">
        <v>0</v>
      </c>
      <c r="K6" s="618">
        <v>0</v>
      </c>
      <c r="L6" s="618">
        <v>0</v>
      </c>
      <c r="M6" s="618">
        <v>0</v>
      </c>
      <c r="N6" s="618">
        <v>0</v>
      </c>
      <c r="O6" s="618">
        <v>0</v>
      </c>
      <c r="P6" s="618">
        <v>0</v>
      </c>
      <c r="Q6" s="618">
        <v>0</v>
      </c>
      <c r="R6" s="616">
        <v>0</v>
      </c>
    </row>
    <row r="7" spans="1:18" s="623" customFormat="1" ht="12.75" customHeight="1" x14ac:dyDescent="0.25">
      <c r="B7" s="624" t="s">
        <v>79</v>
      </c>
      <c r="C7" s="624" t="s">
        <v>70</v>
      </c>
      <c r="D7" s="624">
        <v>0</v>
      </c>
      <c r="E7" s="624">
        <v>0</v>
      </c>
      <c r="F7" s="624">
        <v>0</v>
      </c>
      <c r="G7" s="624">
        <v>0</v>
      </c>
      <c r="H7" s="624">
        <v>0</v>
      </c>
      <c r="I7" s="624">
        <v>0</v>
      </c>
      <c r="J7" s="624">
        <v>0</v>
      </c>
      <c r="K7" s="624">
        <v>0</v>
      </c>
      <c r="L7" s="624">
        <v>0</v>
      </c>
      <c r="M7" s="624">
        <v>0</v>
      </c>
      <c r="N7" s="624">
        <v>0</v>
      </c>
      <c r="O7" s="624">
        <v>0</v>
      </c>
      <c r="P7" s="623">
        <v>0</v>
      </c>
      <c r="Q7" s="624">
        <v>0</v>
      </c>
      <c r="R7" s="624">
        <v>0</v>
      </c>
    </row>
    <row r="8" spans="1:18" s="625" customFormat="1" ht="12.75" customHeight="1" x14ac:dyDescent="0.25">
      <c r="A8" s="625" t="s">
        <v>155</v>
      </c>
      <c r="B8" s="625" t="s">
        <v>70</v>
      </c>
      <c r="D8" s="626">
        <v>0</v>
      </c>
      <c r="E8" s="626">
        <v>0</v>
      </c>
      <c r="F8" s="626">
        <v>0</v>
      </c>
      <c r="G8" s="627">
        <v>0</v>
      </c>
      <c r="H8" s="626">
        <v>0</v>
      </c>
      <c r="I8" s="626">
        <v>0</v>
      </c>
      <c r="J8" s="626">
        <v>0</v>
      </c>
      <c r="K8" s="626">
        <v>0</v>
      </c>
      <c r="L8" s="626">
        <v>0</v>
      </c>
      <c r="M8" s="626">
        <v>0</v>
      </c>
      <c r="N8" s="626">
        <v>0</v>
      </c>
      <c r="O8" s="626">
        <v>0</v>
      </c>
      <c r="P8" s="626">
        <v>0</v>
      </c>
      <c r="Q8" s="626">
        <v>0</v>
      </c>
      <c r="R8" s="625">
        <v>0</v>
      </c>
    </row>
    <row r="9" spans="1:18" ht="12.75" customHeight="1" x14ac:dyDescent="0.25">
      <c r="C9" s="616" t="s">
        <v>72</v>
      </c>
      <c r="D9" s="618">
        <v>0</v>
      </c>
      <c r="E9" s="618">
        <v>0</v>
      </c>
      <c r="F9" s="618">
        <v>0</v>
      </c>
      <c r="G9" s="620">
        <v>0</v>
      </c>
      <c r="H9" s="618">
        <v>0</v>
      </c>
      <c r="I9" s="618">
        <v>0</v>
      </c>
      <c r="J9" s="618">
        <v>0</v>
      </c>
      <c r="K9" s="618">
        <v>0</v>
      </c>
      <c r="L9" s="618">
        <v>0</v>
      </c>
      <c r="M9" s="618">
        <v>0</v>
      </c>
      <c r="N9" s="618">
        <v>0</v>
      </c>
      <c r="O9" s="618">
        <v>0</v>
      </c>
      <c r="P9" s="618">
        <v>0</v>
      </c>
      <c r="Q9" s="618">
        <v>0</v>
      </c>
      <c r="R9" s="616">
        <v>0</v>
      </c>
    </row>
    <row r="10" spans="1:18" ht="12.6" customHeight="1" x14ac:dyDescent="0.25">
      <c r="C10" s="616" t="s">
        <v>81</v>
      </c>
      <c r="D10" s="618">
        <v>0</v>
      </c>
      <c r="E10" s="618">
        <v>0</v>
      </c>
      <c r="F10" s="618">
        <v>0</v>
      </c>
      <c r="G10" s="620">
        <v>0</v>
      </c>
      <c r="H10" s="618">
        <v>0</v>
      </c>
      <c r="I10" s="618">
        <v>0</v>
      </c>
      <c r="J10" s="618">
        <v>0</v>
      </c>
      <c r="K10" s="618">
        <v>0</v>
      </c>
      <c r="L10" s="618">
        <v>0</v>
      </c>
      <c r="M10" s="618">
        <v>0</v>
      </c>
      <c r="N10" s="618">
        <v>0</v>
      </c>
      <c r="O10" s="618">
        <v>0</v>
      </c>
      <c r="P10" s="618">
        <v>0</v>
      </c>
      <c r="Q10" s="618">
        <v>0</v>
      </c>
      <c r="R10" s="616">
        <v>0</v>
      </c>
    </row>
    <row r="11" spans="1:18" s="621" customFormat="1" ht="12.75" customHeight="1" x14ac:dyDescent="0.25">
      <c r="B11" s="622" t="s">
        <v>78</v>
      </c>
      <c r="C11" s="622" t="s">
        <v>70</v>
      </c>
      <c r="D11" s="622">
        <v>0</v>
      </c>
      <c r="E11" s="622">
        <v>0</v>
      </c>
      <c r="F11" s="622">
        <v>0</v>
      </c>
      <c r="G11" s="622">
        <v>0</v>
      </c>
      <c r="H11" s="622">
        <v>0</v>
      </c>
      <c r="I11" s="622">
        <v>0</v>
      </c>
      <c r="J11" s="622">
        <v>0</v>
      </c>
      <c r="K11" s="622">
        <v>0</v>
      </c>
      <c r="L11" s="622">
        <v>0</v>
      </c>
      <c r="M11" s="622">
        <v>0</v>
      </c>
      <c r="N11" s="622">
        <v>0</v>
      </c>
      <c r="O11" s="622">
        <v>0</v>
      </c>
      <c r="P11" s="621">
        <v>0</v>
      </c>
      <c r="Q11" s="622">
        <v>0</v>
      </c>
      <c r="R11" s="622">
        <v>0</v>
      </c>
    </row>
    <row r="12" spans="1:18" ht="12.75" customHeight="1" x14ac:dyDescent="0.25">
      <c r="C12" s="616" t="s">
        <v>73</v>
      </c>
      <c r="D12" s="618">
        <v>0</v>
      </c>
      <c r="E12" s="618">
        <v>0</v>
      </c>
      <c r="F12" s="618">
        <v>0</v>
      </c>
      <c r="G12" s="620">
        <v>0</v>
      </c>
      <c r="H12" s="618">
        <v>0</v>
      </c>
      <c r="I12" s="618">
        <v>0</v>
      </c>
      <c r="J12" s="618">
        <v>0</v>
      </c>
      <c r="K12" s="618">
        <v>0</v>
      </c>
      <c r="L12" s="618">
        <v>0</v>
      </c>
      <c r="M12" s="618">
        <v>0</v>
      </c>
      <c r="N12" s="618">
        <v>0</v>
      </c>
      <c r="O12" s="618">
        <v>0</v>
      </c>
      <c r="P12" s="618">
        <v>0</v>
      </c>
      <c r="Q12" s="618">
        <v>0</v>
      </c>
      <c r="R12" s="616">
        <v>0</v>
      </c>
    </row>
    <row r="13" spans="1:18" s="623" customFormat="1" ht="12.75" customHeight="1" x14ac:dyDescent="0.25">
      <c r="B13" s="624" t="s">
        <v>79</v>
      </c>
      <c r="C13" s="624" t="s">
        <v>70</v>
      </c>
      <c r="D13" s="624">
        <v>0</v>
      </c>
      <c r="E13" s="624">
        <v>0</v>
      </c>
      <c r="F13" s="624">
        <v>0</v>
      </c>
      <c r="G13" s="624">
        <v>0</v>
      </c>
      <c r="H13" s="624">
        <v>0</v>
      </c>
      <c r="I13" s="624">
        <v>0</v>
      </c>
      <c r="J13" s="624">
        <v>0</v>
      </c>
      <c r="K13" s="624">
        <v>0</v>
      </c>
      <c r="L13" s="624">
        <v>0</v>
      </c>
      <c r="M13" s="624">
        <v>0</v>
      </c>
      <c r="N13" s="624">
        <v>0</v>
      </c>
      <c r="O13" s="624">
        <v>0</v>
      </c>
      <c r="P13" s="623">
        <v>0</v>
      </c>
      <c r="Q13" s="624">
        <v>0</v>
      </c>
      <c r="R13" s="624">
        <v>0</v>
      </c>
    </row>
    <row r="14" spans="1:18" s="739" customFormat="1" ht="12.75" customHeight="1" x14ac:dyDescent="0.25">
      <c r="A14" s="739" t="s">
        <v>326</v>
      </c>
      <c r="B14" s="739" t="s">
        <v>70</v>
      </c>
      <c r="D14" s="739">
        <v>0</v>
      </c>
      <c r="E14" s="739">
        <v>0</v>
      </c>
      <c r="F14" s="739">
        <v>0</v>
      </c>
      <c r="G14" s="739">
        <v>0</v>
      </c>
      <c r="H14" s="739">
        <v>0</v>
      </c>
      <c r="I14" s="739">
        <v>0</v>
      </c>
      <c r="J14" s="739">
        <v>0</v>
      </c>
      <c r="K14" s="739">
        <v>0</v>
      </c>
      <c r="L14" s="739">
        <v>0</v>
      </c>
      <c r="M14" s="739">
        <v>0</v>
      </c>
      <c r="N14" s="739">
        <v>0</v>
      </c>
      <c r="O14" s="739">
        <v>0</v>
      </c>
      <c r="P14" s="739">
        <v>0</v>
      </c>
      <c r="Q14" s="739">
        <v>0</v>
      </c>
      <c r="R14" s="739">
        <v>0</v>
      </c>
    </row>
    <row r="15" spans="1:18" ht="12.75" customHeight="1" x14ac:dyDescent="0.25">
      <c r="C15" s="616" t="s">
        <v>72</v>
      </c>
      <c r="D15" s="618">
        <v>0</v>
      </c>
      <c r="E15" s="618">
        <v>0</v>
      </c>
      <c r="F15" s="618">
        <v>0</v>
      </c>
      <c r="G15" s="620">
        <v>0</v>
      </c>
      <c r="H15" s="618">
        <v>0</v>
      </c>
      <c r="I15" s="618">
        <v>0</v>
      </c>
      <c r="J15" s="618">
        <v>0</v>
      </c>
      <c r="K15" s="618">
        <v>0</v>
      </c>
      <c r="L15" s="618">
        <v>0</v>
      </c>
      <c r="M15" s="618">
        <v>0</v>
      </c>
      <c r="N15" s="618">
        <v>0</v>
      </c>
      <c r="O15" s="618">
        <v>0</v>
      </c>
      <c r="P15" s="618">
        <v>0</v>
      </c>
      <c r="Q15" s="618">
        <v>0</v>
      </c>
      <c r="R15" s="616">
        <v>0</v>
      </c>
    </row>
    <row r="16" spans="1:18" ht="12.6" customHeight="1" x14ac:dyDescent="0.25">
      <c r="C16" s="616" t="s">
        <v>81</v>
      </c>
      <c r="D16" s="618">
        <v>0</v>
      </c>
      <c r="E16" s="618">
        <v>0</v>
      </c>
      <c r="F16" s="618">
        <v>0</v>
      </c>
      <c r="G16" s="620">
        <v>0</v>
      </c>
      <c r="H16" s="618">
        <v>0</v>
      </c>
      <c r="I16" s="618">
        <v>0</v>
      </c>
      <c r="J16" s="618">
        <v>0</v>
      </c>
      <c r="K16" s="618">
        <v>0</v>
      </c>
      <c r="L16" s="618">
        <v>0</v>
      </c>
      <c r="M16" s="618">
        <v>0</v>
      </c>
      <c r="N16" s="618">
        <v>0</v>
      </c>
      <c r="O16" s="618">
        <v>0</v>
      </c>
      <c r="P16" s="618">
        <v>0</v>
      </c>
      <c r="Q16" s="618">
        <v>0</v>
      </c>
      <c r="R16" s="616">
        <v>0</v>
      </c>
    </row>
    <row r="17" spans="1:18" s="621" customFormat="1" ht="12.75" customHeight="1" x14ac:dyDescent="0.25">
      <c r="B17" s="622" t="s">
        <v>78</v>
      </c>
      <c r="C17" s="622" t="s">
        <v>70</v>
      </c>
      <c r="D17" s="622">
        <v>0</v>
      </c>
      <c r="E17" s="622">
        <v>0</v>
      </c>
      <c r="F17" s="622">
        <v>0</v>
      </c>
      <c r="G17" s="622">
        <v>0</v>
      </c>
      <c r="H17" s="622">
        <v>0</v>
      </c>
      <c r="I17" s="622">
        <v>0</v>
      </c>
      <c r="J17" s="622">
        <v>0</v>
      </c>
      <c r="K17" s="622">
        <v>0</v>
      </c>
      <c r="L17" s="622">
        <v>0</v>
      </c>
      <c r="M17" s="622">
        <v>0</v>
      </c>
      <c r="N17" s="622">
        <v>0</v>
      </c>
      <c r="O17" s="622">
        <v>0</v>
      </c>
      <c r="P17" s="621">
        <v>0</v>
      </c>
      <c r="Q17" s="622">
        <v>0</v>
      </c>
      <c r="R17" s="622">
        <v>0</v>
      </c>
    </row>
    <row r="18" spans="1:18" ht="12.75" customHeight="1" x14ac:dyDescent="0.25">
      <c r="C18" s="616" t="s">
        <v>73</v>
      </c>
      <c r="D18" s="618">
        <v>0</v>
      </c>
      <c r="E18" s="618">
        <v>0</v>
      </c>
      <c r="F18" s="618">
        <v>0</v>
      </c>
      <c r="G18" s="620">
        <v>0</v>
      </c>
      <c r="H18" s="618">
        <v>0</v>
      </c>
      <c r="I18" s="618">
        <v>0</v>
      </c>
      <c r="J18" s="618">
        <v>0</v>
      </c>
      <c r="K18" s="618">
        <v>0</v>
      </c>
      <c r="L18" s="618">
        <v>0</v>
      </c>
      <c r="M18" s="618">
        <v>0</v>
      </c>
      <c r="N18" s="618">
        <v>0</v>
      </c>
      <c r="O18" s="618">
        <v>0</v>
      </c>
      <c r="P18" s="618">
        <v>0</v>
      </c>
      <c r="Q18" s="618">
        <v>0</v>
      </c>
      <c r="R18" s="616">
        <v>0</v>
      </c>
    </row>
    <row r="19" spans="1:18" s="623" customFormat="1" ht="12.75" customHeight="1" x14ac:dyDescent="0.25">
      <c r="B19" s="624" t="s">
        <v>79</v>
      </c>
      <c r="C19" s="624" t="s">
        <v>70</v>
      </c>
      <c r="D19" s="624">
        <v>0</v>
      </c>
      <c r="E19" s="624">
        <v>0</v>
      </c>
      <c r="F19" s="624">
        <v>0</v>
      </c>
      <c r="G19" s="624">
        <v>0</v>
      </c>
      <c r="H19" s="624">
        <v>0</v>
      </c>
      <c r="I19" s="624">
        <v>0</v>
      </c>
      <c r="J19" s="624">
        <v>0</v>
      </c>
      <c r="K19" s="624">
        <v>0</v>
      </c>
      <c r="L19" s="624">
        <v>0</v>
      </c>
      <c r="M19" s="624">
        <v>0</v>
      </c>
      <c r="N19" s="624">
        <v>0</v>
      </c>
      <c r="O19" s="624">
        <v>0</v>
      </c>
      <c r="P19" s="623">
        <v>0</v>
      </c>
      <c r="Q19" s="624">
        <v>0</v>
      </c>
      <c r="R19" s="624">
        <v>0</v>
      </c>
    </row>
    <row r="20" spans="1:18" s="628" customFormat="1" ht="12.75" customHeight="1" x14ac:dyDescent="0.25">
      <c r="A20" s="628" t="s">
        <v>119</v>
      </c>
      <c r="B20" s="628" t="s">
        <v>70</v>
      </c>
      <c r="D20" s="628">
        <v>0</v>
      </c>
      <c r="E20" s="628">
        <v>0</v>
      </c>
      <c r="F20" s="628">
        <v>0</v>
      </c>
      <c r="G20" s="628">
        <v>0</v>
      </c>
      <c r="H20" s="628">
        <v>0</v>
      </c>
      <c r="I20" s="628">
        <v>0</v>
      </c>
      <c r="J20" s="628">
        <v>0</v>
      </c>
      <c r="K20" s="628">
        <v>0</v>
      </c>
      <c r="L20" s="628">
        <v>0</v>
      </c>
      <c r="M20" s="628">
        <v>0</v>
      </c>
      <c r="N20" s="628">
        <v>0</v>
      </c>
      <c r="O20" s="628">
        <v>0</v>
      </c>
      <c r="P20" s="628">
        <v>0</v>
      </c>
      <c r="Q20" s="628">
        <v>0</v>
      </c>
      <c r="R20" s="628">
        <v>0</v>
      </c>
    </row>
    <row r="21" spans="1:18" s="631" customFormat="1" ht="12.75" customHeight="1" x14ac:dyDescent="0.25">
      <c r="A21" s="630" t="s">
        <v>70</v>
      </c>
      <c r="D21" s="630">
        <v>0</v>
      </c>
      <c r="E21" s="630">
        <v>0</v>
      </c>
      <c r="F21" s="630">
        <v>0</v>
      </c>
      <c r="G21" s="630">
        <v>0</v>
      </c>
      <c r="H21" s="630">
        <v>0</v>
      </c>
      <c r="I21" s="630">
        <v>0</v>
      </c>
      <c r="J21" s="630">
        <v>0</v>
      </c>
      <c r="K21" s="630">
        <v>0</v>
      </c>
      <c r="L21" s="630">
        <v>0</v>
      </c>
      <c r="M21" s="630">
        <v>0</v>
      </c>
      <c r="N21" s="630">
        <v>0</v>
      </c>
      <c r="O21" s="630">
        <v>0</v>
      </c>
      <c r="P21" s="631">
        <v>0</v>
      </c>
      <c r="Q21" s="630">
        <v>0</v>
      </c>
      <c r="R21" s="630">
        <v>0</v>
      </c>
    </row>
    <row r="22" spans="1:18" ht="12.75" customHeight="1" x14ac:dyDescent="0.25">
      <c r="A22" s="618"/>
      <c r="D22" s="618"/>
      <c r="E22" s="618"/>
      <c r="F22" s="618"/>
      <c r="G22" s="618"/>
      <c r="H22" s="618"/>
      <c r="I22" s="618"/>
      <c r="J22" s="618"/>
      <c r="K22" s="618"/>
      <c r="L22" s="618"/>
      <c r="M22" s="618"/>
      <c r="N22" s="618"/>
      <c r="O22" s="618"/>
    </row>
    <row r="23" spans="1:18" ht="12.75" customHeight="1" x14ac:dyDescent="0.25">
      <c r="A23" s="618"/>
      <c r="D23" s="618"/>
      <c r="E23" s="618"/>
      <c r="F23" s="618"/>
      <c r="G23" s="618"/>
      <c r="H23" s="618"/>
      <c r="I23" s="618"/>
      <c r="J23" s="618"/>
      <c r="K23" s="618"/>
      <c r="L23" s="618"/>
      <c r="M23" s="618"/>
      <c r="N23" s="618"/>
      <c r="O23" s="618"/>
    </row>
    <row r="24" spans="1:18" ht="12.75" hidden="1" customHeight="1" x14ac:dyDescent="0.25">
      <c r="A24" s="618"/>
      <c r="D24" s="618"/>
      <c r="E24" s="618"/>
      <c r="F24" s="618"/>
      <c r="G24" s="618"/>
      <c r="H24" s="618"/>
      <c r="I24" s="618"/>
      <c r="J24" s="618"/>
      <c r="K24" s="618"/>
      <c r="L24" s="618"/>
      <c r="M24" s="618"/>
      <c r="N24" s="618"/>
      <c r="O24" s="618"/>
    </row>
    <row r="25" spans="1:18" ht="12.75" hidden="1" customHeight="1" x14ac:dyDescent="0.25">
      <c r="A25" s="618"/>
      <c r="D25" s="618"/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</row>
    <row r="26" spans="1:18" ht="12.75" hidden="1" customHeight="1" x14ac:dyDescent="0.25">
      <c r="A26" s="618"/>
      <c r="D26" s="618"/>
      <c r="E26" s="618"/>
      <c r="F26" s="618"/>
      <c r="G26" s="618"/>
      <c r="H26" s="618"/>
      <c r="I26" s="618"/>
      <c r="J26" s="618"/>
      <c r="K26" s="618"/>
      <c r="L26" s="618"/>
      <c r="M26" s="618"/>
      <c r="N26" s="618"/>
      <c r="O26" s="618"/>
    </row>
    <row r="27" spans="1:18" ht="12.75" hidden="1" customHeight="1" x14ac:dyDescent="0.25">
      <c r="A27" s="618"/>
      <c r="D27" s="618"/>
      <c r="E27" s="618"/>
      <c r="F27" s="618"/>
      <c r="G27" s="618"/>
      <c r="H27" s="618"/>
      <c r="I27" s="618"/>
      <c r="J27" s="618"/>
      <c r="K27" s="618"/>
      <c r="L27" s="618"/>
      <c r="M27" s="618"/>
      <c r="N27" s="618"/>
      <c r="O27" s="618"/>
    </row>
    <row r="28" spans="1:18" ht="12.75" hidden="1" customHeight="1" x14ac:dyDescent="0.25">
      <c r="A28" s="618"/>
      <c r="D28" s="618"/>
      <c r="E28" s="618"/>
      <c r="F28" s="618"/>
      <c r="G28" s="618"/>
      <c r="H28" s="618"/>
      <c r="I28" s="618"/>
      <c r="J28" s="618"/>
      <c r="K28" s="618"/>
      <c r="L28" s="618"/>
      <c r="M28" s="618"/>
      <c r="N28" s="618"/>
      <c r="O28" s="618"/>
    </row>
    <row r="29" spans="1:18" ht="12.75" hidden="1" customHeight="1" x14ac:dyDescent="0.25">
      <c r="A29" s="618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</row>
    <row r="30" spans="1:18" ht="12.75" hidden="1" customHeight="1" x14ac:dyDescent="0.25">
      <c r="A30" s="618"/>
      <c r="D30" s="618"/>
      <c r="E30" s="618"/>
      <c r="F30" s="618"/>
      <c r="G30" s="618"/>
      <c r="H30" s="618"/>
      <c r="I30" s="618"/>
      <c r="J30" s="618"/>
      <c r="K30" s="618"/>
      <c r="L30" s="618"/>
      <c r="M30" s="618"/>
      <c r="N30" s="618"/>
      <c r="O30" s="618"/>
    </row>
    <row r="31" spans="1:18" ht="12.75" hidden="1" customHeight="1" x14ac:dyDescent="0.25">
      <c r="A31" s="618"/>
      <c r="D31" s="618"/>
      <c r="E31" s="618"/>
      <c r="F31" s="618"/>
      <c r="G31" s="618"/>
      <c r="H31" s="618"/>
      <c r="I31" s="618"/>
      <c r="J31" s="618"/>
      <c r="K31" s="618"/>
      <c r="L31" s="618"/>
      <c r="M31" s="618"/>
      <c r="N31" s="618"/>
      <c r="O31" s="618"/>
    </row>
    <row r="32" spans="1:18" ht="12.75" hidden="1" customHeight="1" x14ac:dyDescent="0.25">
      <c r="A32" s="618"/>
      <c r="D32" s="618"/>
      <c r="E32" s="618"/>
      <c r="F32" s="618"/>
      <c r="G32" s="618"/>
      <c r="H32" s="618"/>
      <c r="I32" s="618"/>
      <c r="J32" s="618"/>
      <c r="K32" s="618"/>
      <c r="L32" s="618"/>
      <c r="M32" s="618"/>
      <c r="N32" s="618"/>
      <c r="O32" s="618"/>
    </row>
    <row r="33" spans="1:15" ht="12.75" hidden="1" customHeight="1" x14ac:dyDescent="0.25">
      <c r="A33" s="618"/>
      <c r="D33" s="618"/>
      <c r="E33" s="618"/>
      <c r="F33" s="618"/>
      <c r="G33" s="618"/>
      <c r="H33" s="618"/>
      <c r="I33" s="618"/>
      <c r="J33" s="618"/>
      <c r="K33" s="618"/>
      <c r="L33" s="618"/>
      <c r="M33" s="618"/>
      <c r="N33" s="618"/>
      <c r="O33" s="618"/>
    </row>
    <row r="34" spans="1:15" ht="12.75" hidden="1" customHeight="1" x14ac:dyDescent="0.25">
      <c r="A34" s="618"/>
      <c r="D34" s="618"/>
      <c r="E34" s="618"/>
      <c r="F34" s="618"/>
      <c r="G34" s="618"/>
      <c r="H34" s="618"/>
      <c r="I34" s="618"/>
      <c r="J34" s="618"/>
      <c r="K34" s="618"/>
      <c r="L34" s="618"/>
      <c r="M34" s="618"/>
      <c r="N34" s="618"/>
      <c r="O34" s="618"/>
    </row>
    <row r="35" spans="1:15" ht="12.75" hidden="1" customHeight="1" x14ac:dyDescent="0.25">
      <c r="A35" s="618"/>
      <c r="D35" s="618"/>
      <c r="E35" s="618"/>
      <c r="F35" s="618"/>
      <c r="G35" s="618"/>
      <c r="H35" s="618"/>
      <c r="I35" s="618"/>
      <c r="J35" s="618"/>
      <c r="K35" s="618"/>
      <c r="L35" s="618"/>
      <c r="M35" s="618"/>
      <c r="N35" s="618"/>
      <c r="O35" s="618"/>
    </row>
    <row r="36" spans="1:15" ht="12.75" hidden="1" customHeight="1" x14ac:dyDescent="0.25">
      <c r="A36" s="618"/>
      <c r="D36" s="618"/>
      <c r="E36" s="618"/>
      <c r="F36" s="618"/>
      <c r="G36" s="618"/>
      <c r="H36" s="618"/>
      <c r="I36" s="618"/>
      <c r="J36" s="618"/>
      <c r="K36" s="618"/>
      <c r="L36" s="618"/>
      <c r="M36" s="618"/>
      <c r="N36" s="618"/>
      <c r="O36" s="618"/>
    </row>
    <row r="37" spans="1:15" ht="12.75" hidden="1" customHeight="1" x14ac:dyDescent="0.25">
      <c r="A37" s="618"/>
      <c r="D37" s="618"/>
      <c r="E37" s="618"/>
      <c r="F37" s="618"/>
      <c r="G37" s="618"/>
      <c r="H37" s="618"/>
      <c r="I37" s="618"/>
      <c r="J37" s="618"/>
      <c r="K37" s="618"/>
      <c r="L37" s="618"/>
      <c r="M37" s="618"/>
      <c r="N37" s="618"/>
      <c r="O37" s="618"/>
    </row>
    <row r="38" spans="1:15" ht="12.75" hidden="1" customHeight="1" x14ac:dyDescent="0.25">
      <c r="A38" s="618"/>
      <c r="D38" s="618"/>
      <c r="E38" s="618"/>
      <c r="F38" s="618"/>
      <c r="G38" s="618"/>
      <c r="H38" s="618"/>
      <c r="I38" s="618"/>
      <c r="J38" s="618"/>
      <c r="K38" s="618"/>
      <c r="L38" s="618"/>
      <c r="M38" s="618"/>
      <c r="N38" s="618"/>
      <c r="O38" s="618"/>
    </row>
    <row r="39" spans="1:15" ht="12.75" hidden="1" customHeight="1" x14ac:dyDescent="0.25">
      <c r="A39" s="618"/>
      <c r="D39" s="618"/>
      <c r="E39" s="618"/>
      <c r="F39" s="618"/>
      <c r="G39" s="618"/>
      <c r="H39" s="618"/>
      <c r="I39" s="618"/>
      <c r="J39" s="618"/>
      <c r="K39" s="618"/>
      <c r="L39" s="618"/>
      <c r="M39" s="618"/>
      <c r="N39" s="618"/>
      <c r="O39" s="618"/>
    </row>
    <row r="40" spans="1:15" ht="12.75" hidden="1" customHeight="1" x14ac:dyDescent="0.25">
      <c r="A40" s="618"/>
      <c r="D40" s="618"/>
      <c r="E40" s="618"/>
      <c r="F40" s="618"/>
      <c r="G40" s="618"/>
      <c r="H40" s="618"/>
      <c r="I40" s="618"/>
      <c r="J40" s="618"/>
      <c r="K40" s="618"/>
      <c r="L40" s="618"/>
      <c r="M40" s="618"/>
      <c r="N40" s="618"/>
      <c r="O40" s="618"/>
    </row>
    <row r="41" spans="1:15" ht="12.75" hidden="1" customHeight="1" x14ac:dyDescent="0.25">
      <c r="A41" s="618"/>
      <c r="D41" s="618"/>
      <c r="E41" s="618"/>
      <c r="F41" s="618"/>
      <c r="G41" s="618"/>
      <c r="H41" s="618"/>
      <c r="I41" s="618"/>
      <c r="J41" s="618"/>
      <c r="K41" s="618"/>
      <c r="L41" s="618"/>
      <c r="M41" s="618"/>
      <c r="N41" s="618"/>
      <c r="O41" s="618"/>
    </row>
    <row r="42" spans="1:15" ht="12.75" hidden="1" customHeight="1" x14ac:dyDescent="0.25">
      <c r="A42" s="618"/>
      <c r="D42" s="618"/>
      <c r="E42" s="618"/>
      <c r="F42" s="618"/>
      <c r="G42" s="618"/>
      <c r="H42" s="618"/>
      <c r="I42" s="618"/>
      <c r="J42" s="618"/>
      <c r="K42" s="618"/>
      <c r="L42" s="618"/>
      <c r="M42" s="618"/>
      <c r="N42" s="618"/>
      <c r="O42" s="618"/>
    </row>
    <row r="43" spans="1:15" ht="12.75" hidden="1" customHeight="1" x14ac:dyDescent="0.25">
      <c r="A43" s="618"/>
      <c r="D43" s="618"/>
      <c r="E43" s="618"/>
      <c r="F43" s="618"/>
      <c r="G43" s="618"/>
      <c r="H43" s="618"/>
      <c r="I43" s="618"/>
      <c r="J43" s="618"/>
      <c r="K43" s="618"/>
      <c r="L43" s="618"/>
      <c r="M43" s="618"/>
      <c r="N43" s="618"/>
      <c r="O43" s="618"/>
    </row>
    <row r="44" spans="1:15" ht="12.75" hidden="1" customHeight="1" x14ac:dyDescent="0.25">
      <c r="A44" s="618"/>
      <c r="D44" s="618"/>
      <c r="E44" s="618"/>
      <c r="F44" s="618"/>
      <c r="G44" s="618"/>
      <c r="H44" s="618"/>
      <c r="I44" s="618"/>
      <c r="J44" s="618"/>
      <c r="K44" s="618"/>
      <c r="L44" s="618"/>
      <c r="M44" s="618"/>
      <c r="N44" s="618"/>
      <c r="O44" s="618"/>
    </row>
    <row r="45" spans="1:15" ht="12.75" hidden="1" customHeight="1" x14ac:dyDescent="0.25">
      <c r="A45" s="618"/>
      <c r="D45" s="618"/>
      <c r="E45" s="618"/>
      <c r="F45" s="618"/>
      <c r="G45" s="618"/>
      <c r="H45" s="618"/>
      <c r="I45" s="618"/>
      <c r="J45" s="618"/>
      <c r="K45" s="618"/>
      <c r="L45" s="618"/>
      <c r="M45" s="618"/>
      <c r="N45" s="618"/>
      <c r="O45" s="618"/>
    </row>
    <row r="46" spans="1:15" ht="12.75" hidden="1" customHeight="1" x14ac:dyDescent="0.25">
      <c r="A46" s="618"/>
      <c r="D46" s="618"/>
      <c r="E46" s="618"/>
      <c r="F46" s="618"/>
      <c r="G46" s="618"/>
      <c r="H46" s="618"/>
      <c r="I46" s="618"/>
      <c r="J46" s="618"/>
      <c r="K46" s="618"/>
      <c r="L46" s="618"/>
      <c r="M46" s="618"/>
      <c r="N46" s="618"/>
      <c r="O46" s="618"/>
    </row>
    <row r="47" spans="1:15" ht="12.75" hidden="1" customHeight="1" x14ac:dyDescent="0.25">
      <c r="A47" s="618"/>
      <c r="D47" s="618"/>
      <c r="E47" s="618"/>
      <c r="F47" s="618"/>
      <c r="G47" s="618"/>
      <c r="H47" s="618"/>
      <c r="I47" s="618"/>
      <c r="J47" s="618"/>
      <c r="K47" s="618"/>
      <c r="L47" s="618"/>
      <c r="M47" s="618"/>
      <c r="N47" s="618"/>
      <c r="O47" s="618"/>
    </row>
    <row r="48" spans="1:15" ht="12.75" hidden="1" customHeight="1" x14ac:dyDescent="0.25">
      <c r="A48" s="618"/>
      <c r="D48" s="618"/>
      <c r="E48" s="618"/>
      <c r="F48" s="618"/>
      <c r="G48" s="618"/>
      <c r="H48" s="618"/>
      <c r="I48" s="618"/>
      <c r="J48" s="618"/>
      <c r="K48" s="618"/>
      <c r="L48" s="618"/>
      <c r="M48" s="618"/>
      <c r="N48" s="618"/>
      <c r="O48" s="618"/>
    </row>
    <row r="49" spans="1:15" ht="12.75" hidden="1" customHeight="1" x14ac:dyDescent="0.25">
      <c r="A49" s="618"/>
      <c r="D49" s="618"/>
      <c r="E49" s="618"/>
      <c r="F49" s="618"/>
      <c r="G49" s="618"/>
      <c r="H49" s="618"/>
      <c r="I49" s="618"/>
      <c r="J49" s="618"/>
      <c r="K49" s="618"/>
      <c r="L49" s="618"/>
      <c r="M49" s="618"/>
      <c r="N49" s="618"/>
      <c r="O49" s="618"/>
    </row>
    <row r="50" spans="1:15" ht="12.75" hidden="1" customHeight="1" x14ac:dyDescent="0.25">
      <c r="A50" s="618"/>
      <c r="D50" s="618"/>
      <c r="E50" s="618"/>
      <c r="F50" s="618"/>
      <c r="G50" s="618"/>
      <c r="H50" s="618"/>
      <c r="I50" s="618"/>
      <c r="J50" s="618"/>
      <c r="K50" s="618"/>
      <c r="L50" s="618"/>
      <c r="M50" s="618"/>
      <c r="N50" s="618"/>
      <c r="O50" s="618"/>
    </row>
    <row r="51" spans="1:15" ht="12.75" hidden="1" customHeight="1" x14ac:dyDescent="0.25">
      <c r="A51" s="618"/>
      <c r="D51" s="618"/>
      <c r="E51" s="618"/>
      <c r="F51" s="618"/>
      <c r="G51" s="618"/>
      <c r="H51" s="618"/>
      <c r="I51" s="618"/>
      <c r="J51" s="618"/>
      <c r="K51" s="618"/>
      <c r="L51" s="618"/>
      <c r="M51" s="618"/>
      <c r="N51" s="618"/>
      <c r="O51" s="618"/>
    </row>
    <row r="52" spans="1:15" ht="12.75" hidden="1" customHeight="1" x14ac:dyDescent="0.25">
      <c r="A52" s="618"/>
      <c r="D52" s="618"/>
      <c r="E52" s="618"/>
      <c r="F52" s="618"/>
      <c r="G52" s="618"/>
      <c r="H52" s="618"/>
      <c r="I52" s="618"/>
      <c r="J52" s="618"/>
      <c r="K52" s="618"/>
      <c r="L52" s="618"/>
      <c r="M52" s="618"/>
      <c r="N52" s="618"/>
      <c r="O52" s="618"/>
    </row>
    <row r="53" spans="1:15" ht="12.75" hidden="1" customHeight="1" x14ac:dyDescent="0.25">
      <c r="A53" s="618"/>
      <c r="D53" s="618"/>
      <c r="E53" s="618"/>
      <c r="F53" s="618"/>
      <c r="G53" s="618"/>
      <c r="H53" s="618"/>
      <c r="I53" s="618"/>
      <c r="J53" s="618"/>
      <c r="K53" s="618"/>
      <c r="L53" s="618"/>
      <c r="M53" s="618"/>
      <c r="N53" s="618"/>
      <c r="O53" s="618"/>
    </row>
    <row r="54" spans="1:15" ht="12.75" hidden="1" customHeight="1" x14ac:dyDescent="0.25">
      <c r="A54" s="618"/>
      <c r="D54" s="618"/>
      <c r="E54" s="618"/>
      <c r="F54" s="618"/>
      <c r="G54" s="618"/>
      <c r="H54" s="618"/>
      <c r="I54" s="618"/>
      <c r="J54" s="618"/>
      <c r="K54" s="618"/>
      <c r="L54" s="618"/>
      <c r="M54" s="618"/>
      <c r="N54" s="618"/>
      <c r="O54" s="618"/>
    </row>
    <row r="55" spans="1:15" ht="12.75" hidden="1" customHeight="1" x14ac:dyDescent="0.25">
      <c r="A55" s="618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</row>
    <row r="56" spans="1:15" ht="12.75" hidden="1" customHeight="1" x14ac:dyDescent="0.25">
      <c r="A56" s="618"/>
      <c r="D56" s="618"/>
      <c r="E56" s="618"/>
      <c r="F56" s="618"/>
      <c r="G56" s="618"/>
      <c r="H56" s="618"/>
      <c r="I56" s="618"/>
      <c r="J56" s="618"/>
      <c r="K56" s="618"/>
      <c r="L56" s="618"/>
      <c r="M56" s="618"/>
      <c r="N56" s="618"/>
      <c r="O56" s="618"/>
    </row>
    <row r="57" spans="1:15" ht="12.75" hidden="1" customHeight="1" x14ac:dyDescent="0.25">
      <c r="A57" s="618"/>
      <c r="D57" s="618"/>
      <c r="E57" s="618"/>
      <c r="F57" s="618"/>
      <c r="G57" s="618"/>
      <c r="H57" s="618"/>
      <c r="I57" s="618"/>
      <c r="J57" s="618"/>
      <c r="K57" s="618"/>
      <c r="L57" s="618"/>
      <c r="M57" s="618"/>
      <c r="N57" s="618"/>
      <c r="O57" s="618"/>
    </row>
    <row r="58" spans="1:15" ht="12.75" hidden="1" customHeight="1" x14ac:dyDescent="0.25">
      <c r="A58" s="618"/>
      <c r="D58" s="618"/>
      <c r="E58" s="618"/>
      <c r="F58" s="618"/>
      <c r="G58" s="618"/>
      <c r="H58" s="618"/>
      <c r="I58" s="618"/>
      <c r="J58" s="618"/>
      <c r="K58" s="618"/>
      <c r="L58" s="618"/>
      <c r="M58" s="618"/>
      <c r="N58" s="618"/>
      <c r="O58" s="618"/>
    </row>
    <row r="59" spans="1:15" ht="12.75" hidden="1" customHeight="1" x14ac:dyDescent="0.25">
      <c r="A59" s="618"/>
      <c r="D59" s="618"/>
      <c r="E59" s="618"/>
      <c r="F59" s="618"/>
      <c r="G59" s="618"/>
      <c r="H59" s="618"/>
      <c r="I59" s="618"/>
      <c r="J59" s="618"/>
      <c r="K59" s="618"/>
      <c r="L59" s="618"/>
      <c r="M59" s="618"/>
      <c r="N59" s="618"/>
      <c r="O59" s="618"/>
    </row>
    <row r="60" spans="1:15" ht="12.75" hidden="1" customHeight="1" x14ac:dyDescent="0.25">
      <c r="A60" s="618"/>
      <c r="D60" s="618"/>
      <c r="E60" s="618"/>
      <c r="F60" s="618"/>
      <c r="G60" s="618"/>
      <c r="H60" s="618"/>
      <c r="I60" s="618"/>
      <c r="J60" s="618"/>
      <c r="K60" s="618"/>
      <c r="L60" s="618"/>
      <c r="M60" s="618"/>
      <c r="N60" s="618"/>
      <c r="O60" s="618"/>
    </row>
    <row r="61" spans="1:15" ht="12.75" hidden="1" customHeight="1" x14ac:dyDescent="0.25">
      <c r="A61" s="618"/>
      <c r="D61" s="618"/>
      <c r="E61" s="618"/>
      <c r="F61" s="618"/>
      <c r="G61" s="618"/>
      <c r="H61" s="618"/>
      <c r="I61" s="618"/>
      <c r="J61" s="618"/>
      <c r="K61" s="618"/>
      <c r="L61" s="618"/>
      <c r="M61" s="618"/>
      <c r="N61" s="618"/>
      <c r="O61" s="618"/>
    </row>
    <row r="62" spans="1:15" ht="12.75" hidden="1" customHeight="1" x14ac:dyDescent="0.25">
      <c r="A62" s="618"/>
      <c r="D62" s="618"/>
      <c r="E62" s="618"/>
      <c r="F62" s="618"/>
      <c r="G62" s="618"/>
      <c r="H62" s="618"/>
      <c r="I62" s="618"/>
      <c r="J62" s="618"/>
      <c r="K62" s="618"/>
      <c r="L62" s="618"/>
      <c r="M62" s="618"/>
      <c r="N62" s="618"/>
      <c r="O62" s="618"/>
    </row>
    <row r="63" spans="1:15" ht="12.75" hidden="1" customHeight="1" x14ac:dyDescent="0.25">
      <c r="A63" s="618"/>
      <c r="D63" s="618"/>
      <c r="E63" s="618"/>
      <c r="F63" s="618"/>
      <c r="G63" s="618"/>
      <c r="H63" s="618"/>
      <c r="I63" s="618"/>
      <c r="J63" s="618"/>
      <c r="K63" s="618"/>
      <c r="L63" s="618"/>
      <c r="M63" s="618"/>
      <c r="N63" s="618"/>
      <c r="O63" s="618"/>
    </row>
    <row r="64" spans="1:15" ht="12.75" hidden="1" customHeight="1" x14ac:dyDescent="0.25">
      <c r="A64" s="618"/>
      <c r="D64" s="618"/>
      <c r="E64" s="618"/>
      <c r="F64" s="618"/>
      <c r="G64" s="618"/>
      <c r="H64" s="618"/>
      <c r="I64" s="618"/>
      <c r="J64" s="618"/>
      <c r="K64" s="618"/>
      <c r="L64" s="618"/>
      <c r="M64" s="618"/>
      <c r="N64" s="618"/>
      <c r="O64" s="618"/>
    </row>
    <row r="65" spans="1:18" ht="12.75" hidden="1" customHeight="1" x14ac:dyDescent="0.25">
      <c r="A65" s="618"/>
      <c r="D65" s="618"/>
      <c r="E65" s="618"/>
      <c r="F65" s="618"/>
      <c r="G65" s="618"/>
      <c r="H65" s="618"/>
      <c r="I65" s="618"/>
      <c r="J65" s="618"/>
      <c r="K65" s="618"/>
      <c r="L65" s="618"/>
      <c r="M65" s="618"/>
      <c r="N65" s="618"/>
      <c r="O65" s="618"/>
    </row>
    <row r="66" spans="1:18" ht="12.75" hidden="1" customHeight="1" x14ac:dyDescent="0.25">
      <c r="A66" s="618"/>
      <c r="D66" s="618"/>
      <c r="E66" s="618"/>
      <c r="F66" s="618"/>
      <c r="G66" s="618"/>
      <c r="H66" s="618"/>
      <c r="I66" s="618"/>
      <c r="J66" s="618"/>
      <c r="K66" s="618"/>
      <c r="L66" s="618"/>
      <c r="M66" s="618"/>
      <c r="N66" s="618"/>
      <c r="O66" s="618"/>
    </row>
    <row r="67" spans="1:18" ht="12.75" hidden="1" customHeight="1" x14ac:dyDescent="0.25">
      <c r="A67" s="618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</row>
    <row r="68" spans="1:18" ht="12.75" hidden="1" customHeight="1" x14ac:dyDescent="0.25">
      <c r="A68" s="618"/>
      <c r="D68" s="618"/>
      <c r="E68" s="618"/>
      <c r="F68" s="618"/>
      <c r="G68" s="618"/>
      <c r="H68" s="618"/>
      <c r="I68" s="618"/>
      <c r="J68" s="618"/>
      <c r="K68" s="618"/>
      <c r="L68" s="618"/>
      <c r="M68" s="618"/>
      <c r="N68" s="618"/>
      <c r="O68" s="618"/>
    </row>
    <row r="69" spans="1:18" ht="12.75" hidden="1" customHeight="1" x14ac:dyDescent="0.25">
      <c r="A69" s="618"/>
      <c r="D69" s="618"/>
      <c r="E69" s="618"/>
      <c r="F69" s="618"/>
      <c r="G69" s="618"/>
      <c r="H69" s="618"/>
      <c r="I69" s="618"/>
      <c r="J69" s="618"/>
      <c r="K69" s="618"/>
      <c r="L69" s="618"/>
      <c r="M69" s="618"/>
      <c r="N69" s="618"/>
      <c r="O69" s="618"/>
    </row>
    <row r="70" spans="1:18" ht="12.75" hidden="1" customHeight="1" x14ac:dyDescent="0.25">
      <c r="A70" s="618"/>
      <c r="D70" s="618"/>
      <c r="E70" s="618"/>
      <c r="F70" s="618"/>
      <c r="G70" s="618"/>
      <c r="H70" s="618"/>
      <c r="I70" s="618"/>
      <c r="J70" s="618"/>
      <c r="K70" s="618"/>
      <c r="L70" s="618"/>
      <c r="M70" s="618"/>
      <c r="N70" s="618"/>
      <c r="O70" s="618"/>
    </row>
    <row r="71" spans="1:18" ht="12.75" hidden="1" customHeight="1" x14ac:dyDescent="0.25">
      <c r="A71" s="618"/>
      <c r="D71" s="618"/>
      <c r="E71" s="618"/>
      <c r="F71" s="618"/>
      <c r="G71" s="618"/>
      <c r="H71" s="618"/>
      <c r="I71" s="618"/>
      <c r="J71" s="618"/>
      <c r="K71" s="618"/>
      <c r="L71" s="618"/>
      <c r="M71" s="618"/>
      <c r="N71" s="618"/>
      <c r="O71" s="618"/>
    </row>
    <row r="72" spans="1:18" ht="12.75" hidden="1" customHeight="1" x14ac:dyDescent="0.25">
      <c r="A72" s="618"/>
      <c r="D72" s="618"/>
      <c r="E72" s="618"/>
      <c r="F72" s="618"/>
      <c r="G72" s="618"/>
      <c r="H72" s="618"/>
      <c r="I72" s="618"/>
      <c r="J72" s="618"/>
      <c r="K72" s="618"/>
      <c r="L72" s="618"/>
      <c r="M72" s="618"/>
      <c r="N72" s="618"/>
      <c r="O72" s="618"/>
    </row>
    <row r="73" spans="1:18" ht="12.75" hidden="1" customHeight="1" x14ac:dyDescent="0.25">
      <c r="A73" s="618"/>
      <c r="D73" s="618"/>
      <c r="E73" s="618"/>
      <c r="F73" s="618"/>
      <c r="G73" s="618"/>
      <c r="H73" s="618"/>
      <c r="I73" s="618"/>
      <c r="J73" s="618"/>
      <c r="K73" s="618"/>
      <c r="L73" s="618"/>
      <c r="M73" s="618"/>
      <c r="N73" s="618"/>
      <c r="O73" s="618"/>
    </row>
    <row r="74" spans="1:18" ht="12.75" hidden="1" customHeight="1" x14ac:dyDescent="0.25">
      <c r="A74" s="618"/>
      <c r="D74" s="618"/>
      <c r="E74" s="618"/>
      <c r="F74" s="618"/>
      <c r="G74" s="618"/>
      <c r="H74" s="618"/>
      <c r="I74" s="618"/>
      <c r="J74" s="618"/>
      <c r="K74" s="618"/>
      <c r="L74" s="618"/>
      <c r="M74" s="618"/>
      <c r="N74" s="618"/>
      <c r="O74" s="618"/>
    </row>
    <row r="75" spans="1:18" ht="12.75" hidden="1" customHeight="1" x14ac:dyDescent="0.25">
      <c r="A75" s="618"/>
      <c r="D75" s="618"/>
      <c r="E75" s="618"/>
      <c r="F75" s="618"/>
      <c r="G75" s="618"/>
      <c r="H75" s="618"/>
      <c r="I75" s="618"/>
      <c r="J75" s="618"/>
      <c r="K75" s="618"/>
      <c r="L75" s="618"/>
      <c r="M75" s="618"/>
      <c r="N75" s="618"/>
      <c r="O75" s="618"/>
    </row>
    <row r="76" spans="1:18" ht="12.75" hidden="1" customHeight="1" x14ac:dyDescent="0.25">
      <c r="A76" s="618"/>
      <c r="D76" s="618"/>
      <c r="E76" s="618"/>
      <c r="F76" s="618"/>
      <c r="G76" s="618"/>
      <c r="H76" s="618"/>
      <c r="I76" s="618"/>
      <c r="J76" s="618"/>
      <c r="K76" s="618"/>
      <c r="L76" s="618"/>
      <c r="M76" s="618"/>
      <c r="N76" s="618"/>
      <c r="O76" s="618"/>
    </row>
    <row r="77" spans="1:18" ht="12.75" hidden="1" customHeight="1" x14ac:dyDescent="0.25">
      <c r="A77" s="618"/>
      <c r="D77" s="618"/>
      <c r="E77" s="618"/>
      <c r="F77" s="618"/>
      <c r="G77" s="618"/>
      <c r="H77" s="618"/>
      <c r="I77" s="618"/>
      <c r="J77" s="618"/>
      <c r="K77" s="618"/>
      <c r="L77" s="618"/>
      <c r="M77" s="618"/>
      <c r="N77" s="618"/>
      <c r="O77" s="618"/>
    </row>
    <row r="78" spans="1:18" x14ac:dyDescent="0.25">
      <c r="A78" s="618"/>
      <c r="D78" s="618"/>
      <c r="E78" s="618"/>
      <c r="F78" s="618"/>
      <c r="G78" s="618"/>
      <c r="H78" s="618"/>
      <c r="I78" s="618"/>
      <c r="J78" s="618"/>
      <c r="K78" s="618"/>
      <c r="L78" s="618"/>
      <c r="M78" s="618"/>
      <c r="N78" s="618"/>
      <c r="O78" s="618"/>
    </row>
    <row r="79" spans="1:18" x14ac:dyDescent="0.25">
      <c r="A79" s="782" t="s">
        <v>2</v>
      </c>
      <c r="B79" s="781" t="s">
        <v>132</v>
      </c>
      <c r="C79" s="766" t="s">
        <v>70</v>
      </c>
      <c r="D79" s="766">
        <f>D21-P21</f>
        <v>0</v>
      </c>
      <c r="E79" s="766">
        <f>E5+E17</f>
        <v>0</v>
      </c>
      <c r="F79" s="766">
        <f t="shared" ref="F79:R79" si="0">F5+F17</f>
        <v>0</v>
      </c>
      <c r="G79" s="766">
        <f t="shared" si="0"/>
        <v>0</v>
      </c>
      <c r="H79" s="766">
        <f t="shared" si="0"/>
        <v>0</v>
      </c>
      <c r="I79" s="766">
        <f t="shared" si="0"/>
        <v>0</v>
      </c>
      <c r="J79" s="766">
        <f t="shared" si="0"/>
        <v>0</v>
      </c>
      <c r="K79" s="766">
        <f t="shared" si="0"/>
        <v>0</v>
      </c>
      <c r="L79" s="766">
        <f t="shared" si="0"/>
        <v>0</v>
      </c>
      <c r="M79" s="766">
        <f t="shared" si="0"/>
        <v>0</v>
      </c>
      <c r="N79" s="766">
        <f t="shared" si="0"/>
        <v>0</v>
      </c>
      <c r="O79" s="766">
        <f t="shared" si="0"/>
        <v>0</v>
      </c>
      <c r="P79" s="766">
        <f t="shared" si="0"/>
        <v>0</v>
      </c>
      <c r="Q79" s="766">
        <f t="shared" si="0"/>
        <v>0</v>
      </c>
      <c r="R79" s="766">
        <f t="shared" si="0"/>
        <v>0</v>
      </c>
    </row>
    <row r="80" spans="1:18" x14ac:dyDescent="0.25">
      <c r="A80" s="782"/>
      <c r="B80" s="781"/>
      <c r="C80" s="766" t="s">
        <v>73</v>
      </c>
      <c r="D80" s="766">
        <f>D7+D19</f>
        <v>0</v>
      </c>
      <c r="E80" s="618"/>
      <c r="F80" s="618"/>
      <c r="G80" s="618"/>
      <c r="H80" s="618"/>
      <c r="I80" s="618"/>
      <c r="J80" s="618"/>
      <c r="K80" s="618"/>
      <c r="L80" s="618"/>
      <c r="M80" s="618"/>
      <c r="N80" s="618"/>
      <c r="O80" s="618"/>
      <c r="P80" s="618"/>
      <c r="Q80" s="618"/>
      <c r="R80" s="618"/>
    </row>
    <row r="81" spans="1:18" x14ac:dyDescent="0.25">
      <c r="A81" s="617"/>
      <c r="D81" s="618"/>
      <c r="E81" s="618"/>
      <c r="F81" s="618"/>
      <c r="G81" s="618"/>
      <c r="H81" s="618"/>
      <c r="I81" s="618"/>
      <c r="J81" s="618"/>
      <c r="K81" s="618"/>
      <c r="L81" s="618"/>
      <c r="M81" s="618"/>
      <c r="N81" s="618"/>
      <c r="O81" s="618"/>
      <c r="P81" s="618"/>
      <c r="Q81" s="618"/>
      <c r="R81" s="618"/>
    </row>
    <row r="82" spans="1:18" x14ac:dyDescent="0.25">
      <c r="A82" s="782" t="s">
        <v>160</v>
      </c>
      <c r="B82" s="781" t="s">
        <v>132</v>
      </c>
      <c r="C82" s="632" t="s">
        <v>70</v>
      </c>
      <c r="D82" s="632">
        <v>0</v>
      </c>
      <c r="E82" s="632">
        <v>0</v>
      </c>
      <c r="F82" s="632">
        <v>0</v>
      </c>
      <c r="G82" s="632">
        <v>0</v>
      </c>
      <c r="H82" s="632">
        <v>0</v>
      </c>
      <c r="I82" s="632">
        <v>0</v>
      </c>
      <c r="J82" s="632">
        <v>0</v>
      </c>
      <c r="K82" s="632">
        <v>0</v>
      </c>
      <c r="L82" s="632">
        <v>0</v>
      </c>
      <c r="M82" s="632">
        <v>0</v>
      </c>
      <c r="N82" s="632">
        <v>0</v>
      </c>
      <c r="O82" s="632">
        <v>0</v>
      </c>
      <c r="P82" s="632">
        <v>0</v>
      </c>
      <c r="Q82" s="632">
        <v>0</v>
      </c>
      <c r="R82" s="632">
        <v>0</v>
      </c>
    </row>
    <row r="83" spans="1:18" x14ac:dyDescent="0.25">
      <c r="A83" s="782"/>
      <c r="B83" s="781"/>
      <c r="C83" s="632" t="s">
        <v>73</v>
      </c>
      <c r="D83" s="632">
        <v>0</v>
      </c>
      <c r="E83" s="618"/>
      <c r="F83" s="618"/>
      <c r="G83" s="618"/>
      <c r="H83" s="618"/>
      <c r="I83" s="618"/>
      <c r="J83" s="618"/>
      <c r="K83" s="618"/>
      <c r="L83" s="618"/>
      <c r="M83" s="618"/>
      <c r="N83" s="618"/>
      <c r="O83" s="618"/>
      <c r="P83" s="618"/>
      <c r="Q83" s="618"/>
      <c r="R83" s="618"/>
    </row>
    <row r="84" spans="1:18" x14ac:dyDescent="0.25">
      <c r="A84" s="617"/>
      <c r="D84" s="618"/>
      <c r="E84" s="618"/>
      <c r="F84" s="618"/>
      <c r="G84" s="618"/>
      <c r="H84" s="618"/>
      <c r="I84" s="618"/>
      <c r="J84" s="618"/>
      <c r="K84" s="618"/>
      <c r="L84" s="618"/>
      <c r="M84" s="618"/>
      <c r="N84" s="618"/>
      <c r="O84" s="618"/>
      <c r="P84" s="618"/>
      <c r="Q84" s="618"/>
      <c r="R84" s="618"/>
    </row>
    <row r="85" spans="1:18" x14ac:dyDescent="0.25">
      <c r="A85" s="782" t="s">
        <v>155</v>
      </c>
      <c r="B85" s="781" t="s">
        <v>132</v>
      </c>
      <c r="C85" s="633" t="s">
        <v>70</v>
      </c>
      <c r="D85" s="633">
        <f>D8-P8</f>
        <v>0</v>
      </c>
      <c r="E85" s="633">
        <f>E5</f>
        <v>0</v>
      </c>
      <c r="F85" s="633">
        <f t="shared" ref="F85:R85" si="1">F5</f>
        <v>0</v>
      </c>
      <c r="G85" s="633">
        <f t="shared" si="1"/>
        <v>0</v>
      </c>
      <c r="H85" s="633">
        <f t="shared" si="1"/>
        <v>0</v>
      </c>
      <c r="I85" s="633">
        <f t="shared" si="1"/>
        <v>0</v>
      </c>
      <c r="J85" s="633">
        <f t="shared" si="1"/>
        <v>0</v>
      </c>
      <c r="K85" s="633">
        <f t="shared" si="1"/>
        <v>0</v>
      </c>
      <c r="L85" s="633">
        <f t="shared" si="1"/>
        <v>0</v>
      </c>
      <c r="M85" s="633">
        <f t="shared" si="1"/>
        <v>0</v>
      </c>
      <c r="N85" s="633">
        <f t="shared" si="1"/>
        <v>0</v>
      </c>
      <c r="O85" s="633">
        <f t="shared" si="1"/>
        <v>0</v>
      </c>
      <c r="P85" s="633">
        <f t="shared" si="1"/>
        <v>0</v>
      </c>
      <c r="Q85" s="633">
        <f t="shared" si="1"/>
        <v>0</v>
      </c>
      <c r="R85" s="633">
        <f t="shared" si="1"/>
        <v>0</v>
      </c>
    </row>
    <row r="86" spans="1:18" x14ac:dyDescent="0.25">
      <c r="A86" s="782"/>
      <c r="B86" s="781"/>
      <c r="C86" s="633" t="s">
        <v>73</v>
      </c>
      <c r="D86" s="633">
        <f>D7</f>
        <v>0</v>
      </c>
      <c r="E86" s="618"/>
      <c r="F86" s="618"/>
      <c r="G86" s="618"/>
      <c r="H86" s="618"/>
      <c r="I86" s="618"/>
      <c r="J86" s="618"/>
      <c r="K86" s="618"/>
      <c r="L86" s="618"/>
      <c r="M86" s="618"/>
      <c r="N86" s="618"/>
      <c r="O86" s="618"/>
      <c r="P86" s="618"/>
      <c r="Q86" s="618"/>
      <c r="R86" s="618"/>
    </row>
    <row r="87" spans="1:18" x14ac:dyDescent="0.25">
      <c r="A87" s="722"/>
      <c r="B87" s="721"/>
      <c r="C87" s="618"/>
      <c r="D87" s="618"/>
      <c r="E87" s="618"/>
      <c r="F87" s="618"/>
      <c r="G87" s="618"/>
      <c r="H87" s="618"/>
      <c r="I87" s="618"/>
      <c r="J87" s="618"/>
      <c r="K87" s="618"/>
      <c r="L87" s="618"/>
      <c r="M87" s="618"/>
      <c r="N87" s="618"/>
      <c r="O87" s="618"/>
      <c r="P87" s="618"/>
      <c r="Q87" s="618"/>
      <c r="R87" s="618"/>
    </row>
    <row r="88" spans="1:18" ht="12.75" customHeight="1" x14ac:dyDescent="0.25">
      <c r="A88" s="780" t="s">
        <v>326</v>
      </c>
      <c r="B88" s="781" t="s">
        <v>132</v>
      </c>
      <c r="C88" s="633" t="s">
        <v>70</v>
      </c>
      <c r="D88" s="720">
        <f>D14-P14</f>
        <v>0</v>
      </c>
      <c r="E88" s="720">
        <f>E11</f>
        <v>0</v>
      </c>
      <c r="F88" s="720">
        <f t="shared" ref="F88:R88" si="2">F11</f>
        <v>0</v>
      </c>
      <c r="G88" s="720">
        <f t="shared" si="2"/>
        <v>0</v>
      </c>
      <c r="H88" s="720">
        <f t="shared" si="2"/>
        <v>0</v>
      </c>
      <c r="I88" s="720">
        <f t="shared" si="2"/>
        <v>0</v>
      </c>
      <c r="J88" s="720">
        <f t="shared" si="2"/>
        <v>0</v>
      </c>
      <c r="K88" s="720">
        <f t="shared" si="2"/>
        <v>0</v>
      </c>
      <c r="L88" s="720">
        <f t="shared" si="2"/>
        <v>0</v>
      </c>
      <c r="M88" s="720">
        <f t="shared" si="2"/>
        <v>0</v>
      </c>
      <c r="N88" s="720">
        <f t="shared" si="2"/>
        <v>0</v>
      </c>
      <c r="O88" s="720">
        <f t="shared" si="2"/>
        <v>0</v>
      </c>
      <c r="P88" s="720">
        <f t="shared" si="2"/>
        <v>0</v>
      </c>
      <c r="Q88" s="720">
        <f t="shared" si="2"/>
        <v>0</v>
      </c>
      <c r="R88" s="720">
        <f t="shared" si="2"/>
        <v>0</v>
      </c>
    </row>
    <row r="89" spans="1:18" ht="12.75" customHeight="1" x14ac:dyDescent="0.25">
      <c r="A89" s="780"/>
      <c r="B89" s="781"/>
      <c r="C89" s="633" t="s">
        <v>73</v>
      </c>
      <c r="D89" s="720">
        <f>D13</f>
        <v>0</v>
      </c>
      <c r="E89" s="618"/>
      <c r="F89" s="618"/>
      <c r="G89" s="618"/>
      <c r="H89" s="618"/>
      <c r="I89" s="618"/>
      <c r="J89" s="618"/>
      <c r="K89" s="618"/>
      <c r="L89" s="618"/>
      <c r="M89" s="618"/>
      <c r="N89" s="618"/>
      <c r="O89" s="618"/>
      <c r="P89" s="618"/>
      <c r="Q89" s="618"/>
    </row>
    <row r="90" spans="1:18" x14ac:dyDescent="0.25">
      <c r="A90" s="617"/>
      <c r="D90" s="618"/>
      <c r="E90" s="618"/>
      <c r="F90" s="618"/>
      <c r="G90" s="618"/>
      <c r="H90" s="618"/>
      <c r="I90" s="618"/>
      <c r="J90" s="618"/>
      <c r="K90" s="618"/>
      <c r="L90" s="618"/>
      <c r="M90" s="618"/>
      <c r="N90" s="618"/>
      <c r="O90" s="618"/>
      <c r="P90" s="618"/>
      <c r="Q90" s="618"/>
      <c r="R90" s="618"/>
    </row>
    <row r="91" spans="1:18" x14ac:dyDescent="0.25">
      <c r="A91" s="782" t="s">
        <v>119</v>
      </c>
      <c r="B91" s="781" t="s">
        <v>132</v>
      </c>
      <c r="C91" s="628" t="s">
        <v>70</v>
      </c>
      <c r="D91" s="628">
        <f>D20-P20</f>
        <v>0</v>
      </c>
      <c r="E91" s="628">
        <f>E17</f>
        <v>0</v>
      </c>
      <c r="F91" s="628">
        <f t="shared" ref="F91:R91" si="3">F17</f>
        <v>0</v>
      </c>
      <c r="G91" s="628">
        <f t="shared" si="3"/>
        <v>0</v>
      </c>
      <c r="H91" s="628">
        <f t="shared" si="3"/>
        <v>0</v>
      </c>
      <c r="I91" s="628">
        <f t="shared" si="3"/>
        <v>0</v>
      </c>
      <c r="J91" s="628">
        <f t="shared" si="3"/>
        <v>0</v>
      </c>
      <c r="K91" s="628">
        <f t="shared" si="3"/>
        <v>0</v>
      </c>
      <c r="L91" s="628">
        <f t="shared" si="3"/>
        <v>0</v>
      </c>
      <c r="M91" s="628">
        <f t="shared" si="3"/>
        <v>0</v>
      </c>
      <c r="N91" s="628">
        <f t="shared" si="3"/>
        <v>0</v>
      </c>
      <c r="O91" s="628">
        <f t="shared" si="3"/>
        <v>0</v>
      </c>
      <c r="P91" s="628">
        <f t="shared" si="3"/>
        <v>0</v>
      </c>
      <c r="Q91" s="628">
        <f t="shared" si="3"/>
        <v>0</v>
      </c>
      <c r="R91" s="628">
        <f t="shared" si="3"/>
        <v>0</v>
      </c>
    </row>
    <row r="92" spans="1:18" ht="12.75" customHeight="1" x14ac:dyDescent="0.25">
      <c r="A92" s="782"/>
      <c r="B92" s="781"/>
      <c r="C92" s="628" t="s">
        <v>73</v>
      </c>
      <c r="D92" s="628">
        <f>D19</f>
        <v>0</v>
      </c>
      <c r="E92" s="618"/>
      <c r="F92" s="618"/>
      <c r="G92" s="618"/>
      <c r="H92" s="618"/>
      <c r="I92" s="618"/>
      <c r="J92" s="618"/>
      <c r="K92" s="618"/>
      <c r="L92" s="618"/>
      <c r="M92" s="618"/>
      <c r="N92" s="618"/>
      <c r="O92" s="618"/>
      <c r="P92" s="618"/>
      <c r="Q92" s="618"/>
      <c r="R92" s="618"/>
    </row>
    <row r="93" spans="1:18" ht="12.75" customHeight="1" x14ac:dyDescent="0.25">
      <c r="A93" s="617"/>
      <c r="D93" s="618"/>
      <c r="E93" s="618"/>
      <c r="F93" s="618"/>
      <c r="G93" s="618"/>
      <c r="H93" s="618"/>
      <c r="I93" s="618"/>
      <c r="J93" s="618"/>
      <c r="K93" s="618"/>
      <c r="L93" s="618"/>
      <c r="M93" s="618"/>
      <c r="N93" s="618"/>
      <c r="O93" s="618"/>
      <c r="P93" s="618"/>
      <c r="Q93" s="618"/>
      <c r="R93" s="618"/>
    </row>
    <row r="94" spans="1:18" ht="12.75" customHeight="1" x14ac:dyDescent="0.25">
      <c r="A94" s="783" t="s">
        <v>161</v>
      </c>
      <c r="B94" s="781" t="s">
        <v>132</v>
      </c>
      <c r="C94" s="634" t="s">
        <v>70</v>
      </c>
      <c r="D94" s="634">
        <v>0</v>
      </c>
      <c r="E94" s="634">
        <v>0</v>
      </c>
      <c r="F94" s="634">
        <v>0</v>
      </c>
      <c r="G94" s="634">
        <v>0</v>
      </c>
      <c r="H94" s="634">
        <v>0</v>
      </c>
      <c r="I94" s="634">
        <v>0</v>
      </c>
      <c r="J94" s="634">
        <v>0</v>
      </c>
      <c r="K94" s="634">
        <v>0</v>
      </c>
      <c r="L94" s="634">
        <v>0</v>
      </c>
      <c r="M94" s="634">
        <v>0</v>
      </c>
      <c r="N94" s="634">
        <v>0</v>
      </c>
      <c r="O94" s="634">
        <v>0</v>
      </c>
      <c r="P94" s="634">
        <v>0</v>
      </c>
      <c r="Q94" s="634">
        <v>0</v>
      </c>
      <c r="R94" s="634">
        <v>0</v>
      </c>
    </row>
    <row r="95" spans="1:18" ht="12.75" customHeight="1" x14ac:dyDescent="0.25">
      <c r="A95" s="783"/>
      <c r="B95" s="781"/>
      <c r="C95" s="634" t="s">
        <v>73</v>
      </c>
      <c r="D95" s="634">
        <v>0</v>
      </c>
      <c r="E95" s="618"/>
      <c r="F95" s="618"/>
      <c r="G95" s="618"/>
      <c r="H95" s="618"/>
      <c r="I95" s="618"/>
      <c r="J95" s="618"/>
      <c r="K95" s="618"/>
      <c r="L95" s="618"/>
      <c r="M95" s="618"/>
      <c r="N95" s="618"/>
      <c r="O95" s="618"/>
      <c r="P95" s="618"/>
      <c r="Q95" s="618"/>
    </row>
    <row r="96" spans="1:18" s="635" customFormat="1" x14ac:dyDescent="0.25"/>
    <row r="97" spans="1:18" x14ac:dyDescent="0.25">
      <c r="B97" s="617" t="s">
        <v>75</v>
      </c>
    </row>
    <row r="98" spans="1:18" ht="12.6" customHeight="1" x14ac:dyDescent="0.25">
      <c r="D98" s="618" t="s">
        <v>70</v>
      </c>
      <c r="E98" s="618" t="s">
        <v>64</v>
      </c>
      <c r="F98" s="618" t="s">
        <v>65</v>
      </c>
      <c r="G98" s="619" t="s">
        <v>164</v>
      </c>
      <c r="H98" s="618" t="s">
        <v>69</v>
      </c>
      <c r="I98" s="618" t="s">
        <v>68</v>
      </c>
      <c r="J98" s="618" t="s">
        <v>66</v>
      </c>
      <c r="K98" s="618" t="s">
        <v>63</v>
      </c>
      <c r="L98" s="618" t="s">
        <v>61</v>
      </c>
      <c r="M98" s="618" t="s">
        <v>62</v>
      </c>
      <c r="N98" s="618" t="s">
        <v>67</v>
      </c>
      <c r="O98" s="618" t="s">
        <v>77</v>
      </c>
      <c r="P98" s="616" t="s">
        <v>71</v>
      </c>
      <c r="Q98" s="618" t="s">
        <v>80</v>
      </c>
      <c r="R98" s="616" t="s">
        <v>168</v>
      </c>
    </row>
    <row r="99" spans="1:18" ht="12.75" customHeight="1" x14ac:dyDescent="0.25">
      <c r="C99" s="616" t="s">
        <v>72</v>
      </c>
      <c r="D99" s="618">
        <v>0</v>
      </c>
      <c r="E99" s="618">
        <v>0</v>
      </c>
      <c r="F99" s="618">
        <v>0</v>
      </c>
      <c r="G99" s="620">
        <v>0</v>
      </c>
      <c r="H99" s="618">
        <v>0</v>
      </c>
      <c r="I99" s="618">
        <v>0</v>
      </c>
      <c r="J99" s="618">
        <v>0</v>
      </c>
      <c r="K99" s="618">
        <v>0</v>
      </c>
      <c r="L99" s="618">
        <v>0</v>
      </c>
      <c r="M99" s="618">
        <v>0</v>
      </c>
      <c r="N99" s="618">
        <v>0</v>
      </c>
      <c r="O99" s="618">
        <v>0</v>
      </c>
      <c r="P99" s="616">
        <v>0</v>
      </c>
      <c r="Q99" s="618">
        <v>0</v>
      </c>
      <c r="R99" s="616">
        <v>0</v>
      </c>
    </row>
    <row r="100" spans="1:18" ht="12.75" customHeight="1" x14ac:dyDescent="0.25">
      <c r="C100" s="616" t="s">
        <v>81</v>
      </c>
      <c r="D100" s="618">
        <v>0</v>
      </c>
      <c r="E100" s="618">
        <v>0</v>
      </c>
      <c r="F100" s="618">
        <v>0</v>
      </c>
      <c r="G100" s="620">
        <v>0</v>
      </c>
      <c r="H100" s="618">
        <v>0</v>
      </c>
      <c r="I100" s="618">
        <v>0</v>
      </c>
      <c r="J100" s="618">
        <v>0</v>
      </c>
      <c r="K100" s="618">
        <v>0</v>
      </c>
      <c r="L100" s="618">
        <v>0</v>
      </c>
      <c r="M100" s="618">
        <v>0</v>
      </c>
      <c r="N100" s="618">
        <v>0</v>
      </c>
      <c r="O100" s="618">
        <v>0</v>
      </c>
      <c r="P100" s="616">
        <v>0</v>
      </c>
      <c r="Q100" s="618">
        <v>0</v>
      </c>
      <c r="R100" s="616">
        <v>0</v>
      </c>
    </row>
    <row r="101" spans="1:18" s="621" customFormat="1" ht="12.75" customHeight="1" x14ac:dyDescent="0.25">
      <c r="B101" s="622" t="s">
        <v>78</v>
      </c>
      <c r="C101" s="622" t="s">
        <v>70</v>
      </c>
      <c r="D101" s="622">
        <v>0</v>
      </c>
      <c r="E101" s="622">
        <v>0</v>
      </c>
      <c r="F101" s="622">
        <v>0</v>
      </c>
      <c r="G101" s="622">
        <v>0</v>
      </c>
      <c r="H101" s="622">
        <v>0</v>
      </c>
      <c r="I101" s="622">
        <v>0</v>
      </c>
      <c r="J101" s="622">
        <v>0</v>
      </c>
      <c r="K101" s="622">
        <v>0</v>
      </c>
      <c r="L101" s="622">
        <v>0</v>
      </c>
      <c r="M101" s="622">
        <v>0</v>
      </c>
      <c r="N101" s="622">
        <v>0</v>
      </c>
      <c r="O101" s="622">
        <v>0</v>
      </c>
      <c r="P101" s="621">
        <v>0</v>
      </c>
      <c r="Q101" s="622">
        <v>0</v>
      </c>
      <c r="R101" s="622">
        <v>0</v>
      </c>
    </row>
    <row r="102" spans="1:18" ht="12.75" customHeight="1" x14ac:dyDescent="0.25">
      <c r="C102" s="616" t="s">
        <v>73</v>
      </c>
      <c r="D102" s="618">
        <v>0</v>
      </c>
      <c r="E102" s="618">
        <v>0</v>
      </c>
      <c r="F102" s="618">
        <v>0</v>
      </c>
      <c r="G102" s="620">
        <v>0</v>
      </c>
      <c r="H102" s="618">
        <v>0</v>
      </c>
      <c r="I102" s="618">
        <v>0</v>
      </c>
      <c r="J102" s="618">
        <v>0</v>
      </c>
      <c r="K102" s="618">
        <v>0</v>
      </c>
      <c r="L102" s="618">
        <v>0</v>
      </c>
      <c r="M102" s="618">
        <v>0</v>
      </c>
      <c r="N102" s="618">
        <v>0</v>
      </c>
      <c r="O102" s="618">
        <v>0</v>
      </c>
      <c r="P102" s="616">
        <v>0</v>
      </c>
      <c r="Q102" s="618">
        <v>0</v>
      </c>
      <c r="R102" s="616">
        <v>0</v>
      </c>
    </row>
    <row r="103" spans="1:18" s="623" customFormat="1" ht="12.75" customHeight="1" x14ac:dyDescent="0.25">
      <c r="B103" s="623" t="s">
        <v>79</v>
      </c>
      <c r="C103" s="623" t="s">
        <v>70</v>
      </c>
      <c r="D103" s="636">
        <v>0</v>
      </c>
      <c r="E103" s="624">
        <v>0</v>
      </c>
      <c r="F103" s="624">
        <v>0</v>
      </c>
      <c r="G103" s="636">
        <v>0</v>
      </c>
      <c r="H103" s="624">
        <v>0</v>
      </c>
      <c r="I103" s="624">
        <v>0</v>
      </c>
      <c r="J103" s="624">
        <v>0</v>
      </c>
      <c r="K103" s="624">
        <v>0</v>
      </c>
      <c r="L103" s="624">
        <v>0</v>
      </c>
      <c r="M103" s="624">
        <v>0</v>
      </c>
      <c r="N103" s="624">
        <v>0</v>
      </c>
      <c r="O103" s="624">
        <v>0</v>
      </c>
      <c r="P103" s="623">
        <v>0</v>
      </c>
      <c r="Q103" s="624">
        <v>0</v>
      </c>
      <c r="R103" s="623">
        <v>0</v>
      </c>
    </row>
    <row r="104" spans="1:18" s="625" customFormat="1" ht="12.75" customHeight="1" x14ac:dyDescent="0.25">
      <c r="A104" s="625" t="s">
        <v>155</v>
      </c>
      <c r="B104" s="625" t="s">
        <v>70</v>
      </c>
      <c r="D104" s="626">
        <v>0</v>
      </c>
      <c r="E104" s="626">
        <v>0</v>
      </c>
      <c r="F104" s="626">
        <v>0</v>
      </c>
      <c r="G104" s="627">
        <v>0</v>
      </c>
      <c r="H104" s="626">
        <v>0</v>
      </c>
      <c r="I104" s="626">
        <v>0</v>
      </c>
      <c r="J104" s="626">
        <v>0</v>
      </c>
      <c r="K104" s="626">
        <v>0</v>
      </c>
      <c r="L104" s="626">
        <v>0</v>
      </c>
      <c r="M104" s="626">
        <v>0</v>
      </c>
      <c r="N104" s="626">
        <v>0</v>
      </c>
      <c r="O104" s="626">
        <v>0</v>
      </c>
      <c r="P104" s="625">
        <v>0</v>
      </c>
      <c r="Q104" s="626">
        <v>0</v>
      </c>
      <c r="R104" s="625">
        <v>0</v>
      </c>
    </row>
    <row r="105" spans="1:18" ht="12.75" customHeight="1" x14ac:dyDescent="0.25">
      <c r="C105" s="616" t="s">
        <v>72</v>
      </c>
      <c r="D105" s="620">
        <v>0</v>
      </c>
      <c r="E105" s="618">
        <v>0</v>
      </c>
      <c r="F105" s="618">
        <v>0</v>
      </c>
      <c r="G105" s="620">
        <v>0</v>
      </c>
      <c r="H105" s="618">
        <v>0</v>
      </c>
      <c r="I105" s="618">
        <v>0</v>
      </c>
      <c r="J105" s="618">
        <v>0</v>
      </c>
      <c r="K105" s="618">
        <v>0</v>
      </c>
      <c r="L105" s="618">
        <v>0</v>
      </c>
      <c r="M105" s="618">
        <v>0</v>
      </c>
      <c r="N105" s="618">
        <v>0</v>
      </c>
      <c r="O105" s="618">
        <v>0</v>
      </c>
      <c r="P105" s="616">
        <v>0</v>
      </c>
      <c r="Q105" s="618">
        <v>0</v>
      </c>
      <c r="R105" s="616">
        <v>0</v>
      </c>
    </row>
    <row r="106" spans="1:18" ht="12.75" customHeight="1" x14ac:dyDescent="0.25">
      <c r="C106" s="616" t="s">
        <v>81</v>
      </c>
      <c r="D106" s="618">
        <v>0</v>
      </c>
      <c r="E106" s="618">
        <v>0</v>
      </c>
      <c r="F106" s="618">
        <v>0</v>
      </c>
      <c r="G106" s="620">
        <v>0</v>
      </c>
      <c r="H106" s="618">
        <v>0</v>
      </c>
      <c r="I106" s="618">
        <v>0</v>
      </c>
      <c r="J106" s="618">
        <v>0</v>
      </c>
      <c r="K106" s="618">
        <v>0</v>
      </c>
      <c r="L106" s="618">
        <v>0</v>
      </c>
      <c r="M106" s="618">
        <v>0</v>
      </c>
      <c r="N106" s="618">
        <v>0</v>
      </c>
      <c r="O106" s="618">
        <v>0</v>
      </c>
      <c r="P106" s="616">
        <v>0</v>
      </c>
      <c r="Q106" s="618">
        <v>0</v>
      </c>
      <c r="R106" s="616">
        <v>0</v>
      </c>
    </row>
    <row r="107" spans="1:18" s="621" customFormat="1" ht="12.75" customHeight="1" x14ac:dyDescent="0.25">
      <c r="B107" s="622" t="s">
        <v>78</v>
      </c>
      <c r="C107" s="622" t="s">
        <v>70</v>
      </c>
      <c r="D107" s="622">
        <v>0</v>
      </c>
      <c r="E107" s="622">
        <v>0</v>
      </c>
      <c r="F107" s="622">
        <v>0</v>
      </c>
      <c r="G107" s="622">
        <v>0</v>
      </c>
      <c r="H107" s="622">
        <v>0</v>
      </c>
      <c r="I107" s="622">
        <v>0</v>
      </c>
      <c r="J107" s="622">
        <v>0</v>
      </c>
      <c r="K107" s="622">
        <v>0</v>
      </c>
      <c r="L107" s="622">
        <v>0</v>
      </c>
      <c r="M107" s="622">
        <v>0</v>
      </c>
      <c r="N107" s="622">
        <v>0</v>
      </c>
      <c r="O107" s="622">
        <v>0</v>
      </c>
      <c r="P107" s="621">
        <v>0</v>
      </c>
      <c r="Q107" s="622">
        <v>0</v>
      </c>
      <c r="R107" s="622">
        <v>0</v>
      </c>
    </row>
    <row r="108" spans="1:18" ht="12.75" customHeight="1" x14ac:dyDescent="0.25">
      <c r="C108" s="616" t="s">
        <v>73</v>
      </c>
      <c r="D108" s="620">
        <v>0</v>
      </c>
      <c r="E108" s="618">
        <v>0</v>
      </c>
      <c r="F108" s="618">
        <v>0</v>
      </c>
      <c r="G108" s="620">
        <v>0</v>
      </c>
      <c r="H108" s="618">
        <v>0</v>
      </c>
      <c r="I108" s="618">
        <v>0</v>
      </c>
      <c r="J108" s="618">
        <v>0</v>
      </c>
      <c r="K108" s="618">
        <v>0</v>
      </c>
      <c r="L108" s="618">
        <v>0</v>
      </c>
      <c r="M108" s="618">
        <v>0</v>
      </c>
      <c r="N108" s="618">
        <v>0</v>
      </c>
      <c r="O108" s="618">
        <v>0</v>
      </c>
      <c r="P108" s="616">
        <v>0</v>
      </c>
      <c r="Q108" s="618">
        <v>0</v>
      </c>
      <c r="R108" s="616">
        <v>0</v>
      </c>
    </row>
    <row r="109" spans="1:18" s="623" customFormat="1" ht="12.75" customHeight="1" x14ac:dyDescent="0.25">
      <c r="B109" s="623" t="s">
        <v>79</v>
      </c>
      <c r="C109" s="623" t="s">
        <v>70</v>
      </c>
      <c r="D109" s="636">
        <v>0</v>
      </c>
      <c r="E109" s="624">
        <v>0</v>
      </c>
      <c r="F109" s="624">
        <v>0</v>
      </c>
      <c r="G109" s="636">
        <v>0</v>
      </c>
      <c r="H109" s="624">
        <v>0</v>
      </c>
      <c r="I109" s="624">
        <v>0</v>
      </c>
      <c r="J109" s="624">
        <v>0</v>
      </c>
      <c r="K109" s="624">
        <v>0</v>
      </c>
      <c r="L109" s="624">
        <v>0</v>
      </c>
      <c r="M109" s="624">
        <v>0</v>
      </c>
      <c r="N109" s="624">
        <v>0</v>
      </c>
      <c r="O109" s="624">
        <v>0</v>
      </c>
      <c r="P109" s="623">
        <v>0</v>
      </c>
      <c r="Q109" s="624">
        <v>0</v>
      </c>
      <c r="R109" s="623">
        <v>0</v>
      </c>
    </row>
    <row r="110" spans="1:18" s="632" customFormat="1" ht="12.75" customHeight="1" x14ac:dyDescent="0.25">
      <c r="A110" s="632" t="s">
        <v>120</v>
      </c>
      <c r="B110" s="632" t="s">
        <v>70</v>
      </c>
      <c r="D110" s="632">
        <v>0</v>
      </c>
      <c r="E110" s="632">
        <v>0</v>
      </c>
      <c r="F110" s="632">
        <v>0</v>
      </c>
      <c r="G110" s="632">
        <v>0</v>
      </c>
      <c r="H110" s="632">
        <v>0</v>
      </c>
      <c r="I110" s="632">
        <v>0</v>
      </c>
      <c r="J110" s="632">
        <v>0</v>
      </c>
      <c r="K110" s="632">
        <v>0</v>
      </c>
      <c r="L110" s="632">
        <v>0</v>
      </c>
      <c r="M110" s="632">
        <v>0</v>
      </c>
      <c r="N110" s="632">
        <v>0</v>
      </c>
      <c r="O110" s="632">
        <v>0</v>
      </c>
      <c r="P110" s="632">
        <v>0</v>
      </c>
      <c r="Q110" s="632">
        <v>0</v>
      </c>
      <c r="R110" s="632">
        <v>0</v>
      </c>
    </row>
    <row r="111" spans="1:18" ht="12.6" customHeight="1" x14ac:dyDescent="0.25">
      <c r="C111" s="616" t="s">
        <v>72</v>
      </c>
      <c r="D111" s="618">
        <v>0</v>
      </c>
      <c r="E111" s="618">
        <v>0</v>
      </c>
      <c r="F111" s="618">
        <v>0</v>
      </c>
      <c r="G111" s="620">
        <v>0</v>
      </c>
      <c r="H111" s="618">
        <v>0</v>
      </c>
      <c r="I111" s="618">
        <v>0</v>
      </c>
      <c r="J111" s="618">
        <v>0</v>
      </c>
      <c r="K111" s="618">
        <v>0</v>
      </c>
      <c r="L111" s="618">
        <v>0</v>
      </c>
      <c r="M111" s="618">
        <v>0</v>
      </c>
      <c r="N111" s="618">
        <v>0</v>
      </c>
      <c r="O111" s="618">
        <v>0</v>
      </c>
      <c r="P111" s="616">
        <v>0</v>
      </c>
      <c r="Q111" s="618">
        <v>0</v>
      </c>
      <c r="R111" s="616">
        <v>0</v>
      </c>
    </row>
    <row r="112" spans="1:18" ht="12.75" customHeight="1" x14ac:dyDescent="0.25">
      <c r="C112" s="616" t="s">
        <v>81</v>
      </c>
      <c r="D112" s="618">
        <v>0</v>
      </c>
      <c r="E112" s="618">
        <v>0</v>
      </c>
      <c r="F112" s="618">
        <v>0</v>
      </c>
      <c r="G112" s="620">
        <v>0</v>
      </c>
      <c r="H112" s="618">
        <v>0</v>
      </c>
      <c r="I112" s="618">
        <v>0</v>
      </c>
      <c r="J112" s="618">
        <v>0</v>
      </c>
      <c r="K112" s="618">
        <v>0</v>
      </c>
      <c r="L112" s="618">
        <v>0</v>
      </c>
      <c r="M112" s="618">
        <v>0</v>
      </c>
      <c r="N112" s="618">
        <v>0</v>
      </c>
      <c r="O112" s="618">
        <v>0</v>
      </c>
      <c r="P112" s="616">
        <v>0</v>
      </c>
      <c r="Q112" s="618">
        <v>0</v>
      </c>
      <c r="R112" s="616">
        <v>0</v>
      </c>
    </row>
    <row r="113" spans="1:18" s="621" customFormat="1" ht="12.75" customHeight="1" x14ac:dyDescent="0.25">
      <c r="B113" s="622" t="s">
        <v>78</v>
      </c>
      <c r="C113" s="622" t="s">
        <v>70</v>
      </c>
      <c r="D113" s="622">
        <v>0</v>
      </c>
      <c r="E113" s="622">
        <v>0</v>
      </c>
      <c r="F113" s="622">
        <v>0</v>
      </c>
      <c r="G113" s="622">
        <v>0</v>
      </c>
      <c r="H113" s="622">
        <v>0</v>
      </c>
      <c r="I113" s="622">
        <v>0</v>
      </c>
      <c r="J113" s="622">
        <v>0</v>
      </c>
      <c r="K113" s="622">
        <v>0</v>
      </c>
      <c r="L113" s="622">
        <v>0</v>
      </c>
      <c r="M113" s="622">
        <v>0</v>
      </c>
      <c r="N113" s="622">
        <v>0</v>
      </c>
      <c r="O113" s="622">
        <v>0</v>
      </c>
      <c r="P113" s="621">
        <v>0</v>
      </c>
      <c r="Q113" s="622">
        <v>0</v>
      </c>
      <c r="R113" s="622">
        <v>0</v>
      </c>
    </row>
    <row r="114" spans="1:18" ht="12.75" customHeight="1" x14ac:dyDescent="0.25">
      <c r="C114" s="616" t="s">
        <v>73</v>
      </c>
      <c r="D114" s="620">
        <v>0</v>
      </c>
      <c r="E114" s="618">
        <v>0</v>
      </c>
      <c r="F114" s="618">
        <v>0</v>
      </c>
      <c r="G114" s="620">
        <v>0</v>
      </c>
      <c r="H114" s="618">
        <v>0</v>
      </c>
      <c r="I114" s="618">
        <v>0</v>
      </c>
      <c r="J114" s="618">
        <v>0</v>
      </c>
      <c r="K114" s="618">
        <v>0</v>
      </c>
      <c r="L114" s="618">
        <v>0</v>
      </c>
      <c r="M114" s="618">
        <v>0</v>
      </c>
      <c r="N114" s="618">
        <v>0</v>
      </c>
      <c r="O114" s="618">
        <v>0</v>
      </c>
      <c r="P114" s="616">
        <v>0</v>
      </c>
      <c r="Q114" s="618">
        <v>0</v>
      </c>
      <c r="R114" s="616">
        <v>0</v>
      </c>
    </row>
    <row r="115" spans="1:18" s="623" customFormat="1" ht="12.75" customHeight="1" x14ac:dyDescent="0.25">
      <c r="B115" s="623" t="s">
        <v>79</v>
      </c>
      <c r="C115" s="623" t="s">
        <v>70</v>
      </c>
      <c r="D115" s="636">
        <v>0</v>
      </c>
      <c r="E115" s="624">
        <v>0</v>
      </c>
      <c r="F115" s="624">
        <v>0</v>
      </c>
      <c r="G115" s="636">
        <v>0</v>
      </c>
      <c r="H115" s="624">
        <v>0</v>
      </c>
      <c r="I115" s="624">
        <v>0</v>
      </c>
      <c r="J115" s="624">
        <v>0</v>
      </c>
      <c r="K115" s="624">
        <v>0</v>
      </c>
      <c r="L115" s="624">
        <v>0</v>
      </c>
      <c r="M115" s="624">
        <v>0</v>
      </c>
      <c r="N115" s="624">
        <v>0</v>
      </c>
      <c r="O115" s="624">
        <v>0</v>
      </c>
      <c r="P115" s="623">
        <v>0</v>
      </c>
      <c r="Q115" s="624">
        <v>0</v>
      </c>
      <c r="R115" s="623">
        <v>0</v>
      </c>
    </row>
    <row r="116" spans="1:18" s="628" customFormat="1" ht="12.75" customHeight="1" x14ac:dyDescent="0.25">
      <c r="A116" s="628" t="s">
        <v>119</v>
      </c>
      <c r="B116" s="628" t="s">
        <v>70</v>
      </c>
      <c r="D116" s="628">
        <v>0</v>
      </c>
      <c r="E116" s="628">
        <v>0</v>
      </c>
      <c r="F116" s="628">
        <v>0</v>
      </c>
      <c r="G116" s="628">
        <v>0</v>
      </c>
      <c r="H116" s="628">
        <v>0</v>
      </c>
      <c r="I116" s="628">
        <v>0</v>
      </c>
      <c r="J116" s="628">
        <v>0</v>
      </c>
      <c r="K116" s="628">
        <v>0</v>
      </c>
      <c r="L116" s="628">
        <v>0</v>
      </c>
      <c r="M116" s="628">
        <v>0</v>
      </c>
      <c r="N116" s="628">
        <v>0</v>
      </c>
      <c r="O116" s="628">
        <v>0</v>
      </c>
      <c r="P116" s="628">
        <v>0</v>
      </c>
      <c r="Q116" s="628">
        <v>0</v>
      </c>
      <c r="R116" s="628">
        <v>0</v>
      </c>
    </row>
    <row r="117" spans="1:18" s="631" customFormat="1" ht="12.75" customHeight="1" x14ac:dyDescent="0.25">
      <c r="A117" s="630" t="s">
        <v>70</v>
      </c>
      <c r="D117" s="630">
        <v>0</v>
      </c>
      <c r="E117" s="630">
        <v>0</v>
      </c>
      <c r="F117" s="630">
        <v>0</v>
      </c>
      <c r="G117" s="630">
        <v>0</v>
      </c>
      <c r="H117" s="630">
        <v>0</v>
      </c>
      <c r="I117" s="630">
        <v>0</v>
      </c>
      <c r="J117" s="630">
        <v>0</v>
      </c>
      <c r="K117" s="630">
        <v>0</v>
      </c>
      <c r="L117" s="630">
        <v>0</v>
      </c>
      <c r="M117" s="630">
        <v>0</v>
      </c>
      <c r="N117" s="630">
        <v>0</v>
      </c>
      <c r="O117" s="630">
        <v>0</v>
      </c>
      <c r="P117" s="631">
        <v>0</v>
      </c>
      <c r="Q117" s="630">
        <v>0</v>
      </c>
      <c r="R117" s="630">
        <v>0</v>
      </c>
    </row>
    <row r="118" spans="1:18" ht="12.75" customHeight="1" x14ac:dyDescent="0.25">
      <c r="A118" s="618"/>
      <c r="D118" s="618"/>
      <c r="E118" s="618"/>
      <c r="F118" s="618"/>
      <c r="G118" s="618"/>
      <c r="H118" s="618"/>
      <c r="I118" s="618"/>
      <c r="J118" s="618"/>
      <c r="K118" s="618"/>
      <c r="L118" s="618"/>
      <c r="M118" s="618"/>
      <c r="N118" s="618"/>
      <c r="O118" s="618"/>
      <c r="P118" s="618"/>
    </row>
    <row r="119" spans="1:18" ht="12.75" hidden="1" customHeight="1" x14ac:dyDescent="0.25">
      <c r="A119" s="618"/>
      <c r="D119" s="618"/>
      <c r="E119" s="618"/>
      <c r="F119" s="618"/>
      <c r="G119" s="618"/>
      <c r="H119" s="618"/>
      <c r="I119" s="618"/>
      <c r="J119" s="618"/>
      <c r="K119" s="618"/>
      <c r="L119" s="618"/>
      <c r="M119" s="618"/>
      <c r="N119" s="618"/>
      <c r="O119" s="618"/>
      <c r="P119" s="618"/>
    </row>
    <row r="120" spans="1:18" ht="12.75" hidden="1" customHeight="1" x14ac:dyDescent="0.25">
      <c r="A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N120" s="618"/>
      <c r="O120" s="618"/>
      <c r="P120" s="618"/>
    </row>
    <row r="121" spans="1:18" ht="12.75" hidden="1" customHeight="1" x14ac:dyDescent="0.25">
      <c r="A121" s="618"/>
      <c r="D121" s="618"/>
      <c r="E121" s="618"/>
      <c r="F121" s="618"/>
      <c r="G121" s="618"/>
      <c r="H121" s="618"/>
      <c r="I121" s="618"/>
      <c r="J121" s="618"/>
      <c r="K121" s="618"/>
      <c r="L121" s="618"/>
      <c r="M121" s="618"/>
      <c r="N121" s="618"/>
      <c r="O121" s="618"/>
      <c r="P121" s="618"/>
    </row>
    <row r="122" spans="1:18" ht="12.75" hidden="1" customHeight="1" x14ac:dyDescent="0.25">
      <c r="A122" s="618"/>
      <c r="D122" s="618"/>
      <c r="E122" s="618"/>
      <c r="F122" s="618"/>
      <c r="G122" s="618"/>
      <c r="H122" s="618"/>
      <c r="I122" s="618"/>
      <c r="J122" s="618"/>
      <c r="K122" s="618"/>
      <c r="L122" s="618"/>
      <c r="M122" s="618"/>
      <c r="N122" s="618"/>
      <c r="O122" s="618"/>
      <c r="P122" s="618"/>
    </row>
    <row r="123" spans="1:18" ht="12.75" hidden="1" customHeight="1" x14ac:dyDescent="0.25">
      <c r="A123" s="618"/>
      <c r="D123" s="618"/>
      <c r="E123" s="618"/>
      <c r="F123" s="618"/>
      <c r="G123" s="618"/>
      <c r="H123" s="618"/>
      <c r="I123" s="618"/>
      <c r="J123" s="618"/>
      <c r="K123" s="618"/>
      <c r="L123" s="618"/>
      <c r="M123" s="618"/>
      <c r="N123" s="618"/>
      <c r="O123" s="618"/>
      <c r="P123" s="618"/>
    </row>
    <row r="124" spans="1:18" ht="12.75" hidden="1" customHeight="1" x14ac:dyDescent="0.25">
      <c r="A124" s="618"/>
      <c r="D124" s="618"/>
      <c r="E124" s="618"/>
      <c r="F124" s="618"/>
      <c r="G124" s="618"/>
      <c r="H124" s="618"/>
      <c r="I124" s="618"/>
      <c r="J124" s="618"/>
      <c r="K124" s="618"/>
      <c r="L124" s="618"/>
      <c r="M124" s="618"/>
      <c r="N124" s="618"/>
      <c r="O124" s="618"/>
      <c r="P124" s="618"/>
    </row>
    <row r="125" spans="1:18" ht="12.75" hidden="1" customHeight="1" x14ac:dyDescent="0.25">
      <c r="A125" s="618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</row>
    <row r="126" spans="1:18" ht="12.75" hidden="1" customHeight="1" x14ac:dyDescent="0.25">
      <c r="A126" s="618"/>
      <c r="D126" s="618"/>
      <c r="E126" s="618"/>
      <c r="F126" s="618"/>
      <c r="G126" s="618"/>
      <c r="H126" s="618"/>
      <c r="I126" s="618"/>
      <c r="J126" s="618"/>
      <c r="K126" s="618"/>
      <c r="L126" s="618"/>
      <c r="M126" s="618"/>
      <c r="N126" s="618"/>
      <c r="O126" s="618"/>
      <c r="P126" s="618"/>
    </row>
    <row r="127" spans="1:18" ht="12.75" hidden="1" customHeight="1" x14ac:dyDescent="0.25">
      <c r="A127" s="618"/>
      <c r="D127" s="618"/>
      <c r="E127" s="618"/>
      <c r="F127" s="618"/>
      <c r="G127" s="618"/>
      <c r="H127" s="618"/>
      <c r="I127" s="618"/>
      <c r="J127" s="618"/>
      <c r="K127" s="618"/>
      <c r="L127" s="618"/>
      <c r="M127" s="618"/>
      <c r="N127" s="618"/>
      <c r="O127" s="618"/>
      <c r="P127" s="618"/>
    </row>
    <row r="128" spans="1:18" ht="12.75" hidden="1" customHeight="1" x14ac:dyDescent="0.25">
      <c r="A128" s="618"/>
      <c r="D128" s="618"/>
      <c r="E128" s="618"/>
      <c r="F128" s="618"/>
      <c r="G128" s="618"/>
      <c r="H128" s="618"/>
      <c r="I128" s="618"/>
      <c r="J128" s="618"/>
      <c r="K128" s="618"/>
      <c r="L128" s="618"/>
      <c r="M128" s="618"/>
      <c r="N128" s="618"/>
      <c r="O128" s="618"/>
      <c r="P128" s="618"/>
    </row>
    <row r="129" spans="1:16" ht="12.75" hidden="1" customHeight="1" x14ac:dyDescent="0.25">
      <c r="A129" s="618"/>
      <c r="D129" s="618"/>
      <c r="E129" s="618"/>
      <c r="F129" s="618"/>
      <c r="G129" s="618"/>
      <c r="H129" s="618"/>
      <c r="I129" s="618"/>
      <c r="J129" s="618"/>
      <c r="K129" s="618"/>
      <c r="L129" s="618"/>
      <c r="M129" s="618"/>
      <c r="N129" s="618"/>
      <c r="O129" s="618"/>
      <c r="P129" s="618"/>
    </row>
    <row r="130" spans="1:16" ht="12.75" hidden="1" customHeight="1" x14ac:dyDescent="0.25">
      <c r="A130" s="618"/>
      <c r="D130" s="618"/>
      <c r="E130" s="618"/>
      <c r="F130" s="618"/>
      <c r="G130" s="618"/>
      <c r="H130" s="618"/>
      <c r="I130" s="618"/>
      <c r="J130" s="618"/>
      <c r="K130" s="618"/>
      <c r="L130" s="618"/>
      <c r="M130" s="618"/>
      <c r="N130" s="618"/>
      <c r="O130" s="618"/>
      <c r="P130" s="618"/>
    </row>
    <row r="131" spans="1:16" ht="12.75" hidden="1" customHeight="1" x14ac:dyDescent="0.25">
      <c r="A131" s="618"/>
      <c r="D131" s="618"/>
      <c r="E131" s="618"/>
      <c r="F131" s="618"/>
      <c r="G131" s="618"/>
      <c r="H131" s="618"/>
      <c r="I131" s="618"/>
      <c r="J131" s="618"/>
      <c r="K131" s="618"/>
      <c r="L131" s="618"/>
      <c r="M131" s="618"/>
      <c r="N131" s="618"/>
      <c r="O131" s="618"/>
      <c r="P131" s="618"/>
    </row>
    <row r="132" spans="1:16" ht="12.75" hidden="1" customHeight="1" x14ac:dyDescent="0.25">
      <c r="A132" s="618"/>
      <c r="D132" s="618"/>
      <c r="E132" s="618"/>
      <c r="F132" s="618"/>
      <c r="G132" s="618"/>
      <c r="H132" s="618"/>
      <c r="I132" s="618"/>
      <c r="J132" s="618"/>
      <c r="K132" s="618"/>
      <c r="L132" s="618"/>
      <c r="M132" s="618"/>
      <c r="N132" s="618"/>
      <c r="O132" s="618"/>
      <c r="P132" s="618"/>
    </row>
    <row r="133" spans="1:16" ht="12.75" hidden="1" customHeight="1" x14ac:dyDescent="0.25">
      <c r="A133" s="618"/>
      <c r="D133" s="618"/>
      <c r="E133" s="618"/>
      <c r="F133" s="618"/>
      <c r="G133" s="618"/>
      <c r="H133" s="618"/>
      <c r="I133" s="618"/>
      <c r="J133" s="618"/>
      <c r="K133" s="618"/>
      <c r="L133" s="618"/>
      <c r="M133" s="618"/>
      <c r="N133" s="618"/>
      <c r="O133" s="618"/>
      <c r="P133" s="618"/>
    </row>
    <row r="134" spans="1:16" ht="12.75" hidden="1" customHeight="1" x14ac:dyDescent="0.25">
      <c r="A134" s="618"/>
      <c r="D134" s="618"/>
      <c r="E134" s="618"/>
      <c r="F134" s="618"/>
      <c r="G134" s="618"/>
      <c r="H134" s="618"/>
      <c r="I134" s="618"/>
      <c r="J134" s="618"/>
      <c r="K134" s="618"/>
      <c r="L134" s="618"/>
      <c r="M134" s="618"/>
      <c r="N134" s="618"/>
      <c r="O134" s="618"/>
      <c r="P134" s="618"/>
    </row>
    <row r="135" spans="1:16" ht="12.75" hidden="1" customHeight="1" x14ac:dyDescent="0.25">
      <c r="A135" s="618"/>
      <c r="D135" s="618"/>
      <c r="E135" s="618"/>
      <c r="F135" s="618"/>
      <c r="G135" s="618"/>
      <c r="H135" s="618"/>
      <c r="I135" s="618"/>
      <c r="J135" s="618"/>
      <c r="K135" s="618"/>
      <c r="L135" s="618"/>
      <c r="M135" s="618"/>
      <c r="N135" s="618"/>
      <c r="O135" s="618"/>
      <c r="P135" s="618"/>
    </row>
    <row r="136" spans="1:16" ht="12.75" hidden="1" customHeight="1" x14ac:dyDescent="0.25">
      <c r="A136" s="618"/>
      <c r="D136" s="618"/>
      <c r="E136" s="618"/>
      <c r="F136" s="618"/>
      <c r="G136" s="618"/>
      <c r="H136" s="618"/>
      <c r="I136" s="618"/>
      <c r="J136" s="618"/>
      <c r="K136" s="618"/>
      <c r="L136" s="618"/>
      <c r="M136" s="618"/>
      <c r="N136" s="618"/>
      <c r="O136" s="618"/>
      <c r="P136" s="618"/>
    </row>
    <row r="137" spans="1:16" ht="12.75" hidden="1" customHeight="1" x14ac:dyDescent="0.25">
      <c r="A137" s="618"/>
      <c r="D137" s="618"/>
      <c r="E137" s="618"/>
      <c r="F137" s="618"/>
      <c r="G137" s="618"/>
      <c r="H137" s="618"/>
      <c r="I137" s="618"/>
      <c r="J137" s="618"/>
      <c r="K137" s="618"/>
      <c r="L137" s="618"/>
      <c r="M137" s="618"/>
      <c r="N137" s="618"/>
      <c r="O137" s="618"/>
      <c r="P137" s="618"/>
    </row>
    <row r="138" spans="1:16" ht="12.75" hidden="1" customHeight="1" x14ac:dyDescent="0.25">
      <c r="A138" s="618"/>
      <c r="D138" s="618"/>
      <c r="E138" s="618"/>
      <c r="F138" s="618"/>
      <c r="G138" s="618"/>
      <c r="H138" s="618"/>
      <c r="I138" s="618"/>
      <c r="J138" s="618"/>
      <c r="K138" s="618"/>
      <c r="L138" s="618"/>
      <c r="M138" s="618"/>
      <c r="N138" s="618"/>
      <c r="O138" s="618"/>
      <c r="P138" s="618"/>
    </row>
    <row r="139" spans="1:16" ht="12.75" hidden="1" customHeight="1" x14ac:dyDescent="0.25">
      <c r="A139" s="618"/>
      <c r="D139" s="618"/>
      <c r="E139" s="618"/>
      <c r="F139" s="618"/>
      <c r="G139" s="618"/>
      <c r="H139" s="618"/>
      <c r="I139" s="618"/>
      <c r="J139" s="618"/>
      <c r="K139" s="618"/>
      <c r="L139" s="618"/>
      <c r="M139" s="618"/>
      <c r="N139" s="618"/>
      <c r="O139" s="618"/>
      <c r="P139" s="618"/>
    </row>
    <row r="140" spans="1:16" ht="12.75" hidden="1" customHeight="1" x14ac:dyDescent="0.25">
      <c r="A140" s="618"/>
      <c r="D140" s="618"/>
      <c r="E140" s="618"/>
      <c r="F140" s="618"/>
      <c r="G140" s="618"/>
      <c r="H140" s="618"/>
      <c r="I140" s="618"/>
      <c r="J140" s="618"/>
      <c r="K140" s="618"/>
      <c r="L140" s="618"/>
      <c r="M140" s="618"/>
      <c r="N140" s="618"/>
      <c r="O140" s="618"/>
      <c r="P140" s="618"/>
    </row>
    <row r="141" spans="1:16" ht="12.75" hidden="1" customHeight="1" x14ac:dyDescent="0.25">
      <c r="A141" s="618"/>
      <c r="D141" s="618"/>
      <c r="E141" s="618"/>
      <c r="F141" s="618"/>
      <c r="G141" s="618"/>
      <c r="H141" s="618"/>
      <c r="I141" s="618"/>
      <c r="J141" s="618"/>
      <c r="K141" s="618"/>
      <c r="L141" s="618"/>
      <c r="M141" s="618"/>
      <c r="N141" s="618"/>
      <c r="O141" s="618"/>
      <c r="P141" s="618"/>
    </row>
    <row r="142" spans="1:16" ht="12.75" hidden="1" customHeight="1" x14ac:dyDescent="0.25">
      <c r="A142" s="618"/>
      <c r="D142" s="618"/>
      <c r="E142" s="618"/>
      <c r="F142" s="618"/>
      <c r="G142" s="618"/>
      <c r="H142" s="618"/>
      <c r="I142" s="618"/>
      <c r="J142" s="618"/>
      <c r="K142" s="618"/>
      <c r="L142" s="618"/>
      <c r="M142" s="618"/>
      <c r="N142" s="618"/>
      <c r="O142" s="618"/>
      <c r="P142" s="618"/>
    </row>
    <row r="143" spans="1:16" ht="12.75" hidden="1" customHeight="1" x14ac:dyDescent="0.25">
      <c r="A143" s="618"/>
      <c r="D143" s="618"/>
      <c r="E143" s="618"/>
      <c r="F143" s="618"/>
      <c r="G143" s="618"/>
      <c r="H143" s="618"/>
      <c r="I143" s="618"/>
      <c r="J143" s="618"/>
      <c r="K143" s="618"/>
      <c r="L143" s="618"/>
      <c r="M143" s="618"/>
      <c r="N143" s="618"/>
      <c r="O143" s="618"/>
      <c r="P143" s="618"/>
    </row>
    <row r="144" spans="1:16" ht="12.75" hidden="1" customHeight="1" x14ac:dyDescent="0.25">
      <c r="A144" s="618"/>
      <c r="D144" s="618"/>
      <c r="E144" s="618"/>
      <c r="F144" s="618"/>
      <c r="G144" s="618"/>
      <c r="H144" s="618"/>
      <c r="I144" s="618"/>
      <c r="J144" s="618"/>
      <c r="K144" s="618"/>
      <c r="L144" s="618"/>
      <c r="M144" s="618"/>
      <c r="N144" s="618"/>
      <c r="O144" s="618"/>
      <c r="P144" s="618"/>
    </row>
    <row r="145" spans="1:16" ht="12.75" hidden="1" customHeight="1" x14ac:dyDescent="0.25">
      <c r="A145" s="618"/>
      <c r="D145" s="618"/>
      <c r="E145" s="618"/>
      <c r="F145" s="618"/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</row>
    <row r="146" spans="1:16" ht="12.75" hidden="1" customHeight="1" x14ac:dyDescent="0.25">
      <c r="A146" s="618"/>
      <c r="D146" s="618"/>
      <c r="E146" s="618"/>
      <c r="F146" s="618"/>
      <c r="G146" s="618"/>
      <c r="H146" s="618"/>
      <c r="I146" s="618"/>
      <c r="J146" s="618"/>
      <c r="K146" s="618"/>
      <c r="L146" s="618"/>
      <c r="M146" s="618"/>
      <c r="N146" s="618"/>
      <c r="O146" s="618"/>
      <c r="P146" s="618"/>
    </row>
    <row r="147" spans="1:16" ht="12.75" hidden="1" customHeight="1" x14ac:dyDescent="0.25">
      <c r="A147" s="618"/>
      <c r="D147" s="618"/>
      <c r="E147" s="618"/>
      <c r="F147" s="618"/>
      <c r="G147" s="618"/>
      <c r="H147" s="618"/>
      <c r="I147" s="618"/>
      <c r="J147" s="618"/>
      <c r="K147" s="618"/>
      <c r="L147" s="618"/>
      <c r="M147" s="618"/>
      <c r="N147" s="618"/>
      <c r="O147" s="618"/>
      <c r="P147" s="618"/>
    </row>
    <row r="148" spans="1:16" ht="12.75" hidden="1" customHeight="1" x14ac:dyDescent="0.25">
      <c r="A148" s="618"/>
      <c r="D148" s="618"/>
      <c r="E148" s="618"/>
      <c r="F148" s="618"/>
      <c r="G148" s="618"/>
      <c r="H148" s="618"/>
      <c r="I148" s="618"/>
      <c r="J148" s="618"/>
      <c r="K148" s="618"/>
      <c r="L148" s="618"/>
      <c r="M148" s="618"/>
      <c r="N148" s="618"/>
      <c r="O148" s="618"/>
      <c r="P148" s="618"/>
    </row>
    <row r="149" spans="1:16" ht="12.75" hidden="1" customHeight="1" x14ac:dyDescent="0.25">
      <c r="A149" s="618"/>
      <c r="D149" s="618"/>
      <c r="E149" s="618"/>
      <c r="F149" s="618"/>
      <c r="G149" s="618"/>
      <c r="H149" s="618"/>
      <c r="I149" s="618"/>
      <c r="J149" s="618"/>
      <c r="K149" s="618"/>
      <c r="L149" s="618"/>
      <c r="M149" s="618"/>
      <c r="N149" s="618"/>
      <c r="O149" s="618"/>
      <c r="P149" s="618"/>
    </row>
    <row r="150" spans="1:16" ht="12.75" hidden="1" customHeight="1" x14ac:dyDescent="0.25">
      <c r="A150" s="618"/>
      <c r="D150" s="618"/>
      <c r="E150" s="618"/>
      <c r="F150" s="618"/>
      <c r="G150" s="618"/>
      <c r="H150" s="618"/>
      <c r="I150" s="618"/>
      <c r="J150" s="618"/>
      <c r="K150" s="618"/>
      <c r="L150" s="618"/>
      <c r="M150" s="618"/>
      <c r="N150" s="618"/>
      <c r="O150" s="618"/>
      <c r="P150" s="618"/>
    </row>
    <row r="151" spans="1:16" ht="12.75" hidden="1" customHeight="1" x14ac:dyDescent="0.25">
      <c r="A151" s="618"/>
      <c r="D151" s="618"/>
      <c r="E151" s="618"/>
      <c r="F151" s="618"/>
      <c r="G151" s="618"/>
      <c r="H151" s="618"/>
      <c r="I151" s="618"/>
      <c r="J151" s="618"/>
      <c r="K151" s="618"/>
      <c r="L151" s="618"/>
      <c r="M151" s="618"/>
      <c r="N151" s="618"/>
      <c r="O151" s="618"/>
      <c r="P151" s="618"/>
    </row>
    <row r="152" spans="1:16" ht="12.75" hidden="1" customHeight="1" x14ac:dyDescent="0.25">
      <c r="A152" s="618"/>
      <c r="D152" s="618"/>
      <c r="E152" s="618"/>
      <c r="F152" s="618"/>
      <c r="G152" s="618"/>
      <c r="H152" s="618"/>
      <c r="I152" s="618"/>
      <c r="J152" s="618"/>
      <c r="K152" s="618"/>
      <c r="L152" s="618"/>
      <c r="M152" s="618"/>
      <c r="N152" s="618"/>
      <c r="O152" s="618"/>
      <c r="P152" s="618"/>
    </row>
    <row r="153" spans="1:16" ht="12.75" hidden="1" customHeight="1" x14ac:dyDescent="0.25">
      <c r="A153" s="618"/>
      <c r="D153" s="618"/>
      <c r="E153" s="618"/>
      <c r="F153" s="618"/>
      <c r="G153" s="618"/>
      <c r="H153" s="618"/>
      <c r="I153" s="618"/>
      <c r="J153" s="618"/>
      <c r="K153" s="618"/>
      <c r="L153" s="618"/>
      <c r="M153" s="618"/>
      <c r="N153" s="618"/>
      <c r="O153" s="618"/>
      <c r="P153" s="618"/>
    </row>
    <row r="154" spans="1:16" ht="12.75" hidden="1" customHeight="1" x14ac:dyDescent="0.25">
      <c r="A154" s="618"/>
      <c r="D154" s="618"/>
      <c r="E154" s="618"/>
      <c r="F154" s="618"/>
      <c r="G154" s="618"/>
      <c r="H154" s="618"/>
      <c r="I154" s="618"/>
      <c r="J154" s="618"/>
      <c r="K154" s="618"/>
      <c r="L154" s="618"/>
      <c r="M154" s="618"/>
      <c r="N154" s="618"/>
      <c r="O154" s="618"/>
      <c r="P154" s="618"/>
    </row>
    <row r="155" spans="1:16" ht="12.75" hidden="1" customHeight="1" x14ac:dyDescent="0.25">
      <c r="A155" s="618"/>
      <c r="D155" s="618"/>
      <c r="E155" s="618"/>
      <c r="F155" s="618"/>
      <c r="G155" s="618"/>
      <c r="H155" s="618"/>
      <c r="I155" s="618"/>
      <c r="J155" s="618"/>
      <c r="K155" s="618"/>
      <c r="L155" s="618"/>
      <c r="M155" s="618"/>
      <c r="N155" s="618"/>
      <c r="O155" s="618"/>
      <c r="P155" s="618"/>
    </row>
    <row r="156" spans="1:16" ht="12.75" hidden="1" customHeight="1" x14ac:dyDescent="0.25">
      <c r="A156" s="618"/>
      <c r="D156" s="618"/>
      <c r="E156" s="618"/>
      <c r="F156" s="618"/>
      <c r="G156" s="618"/>
      <c r="H156" s="618"/>
      <c r="I156" s="618"/>
      <c r="J156" s="618"/>
      <c r="K156" s="618"/>
      <c r="L156" s="618"/>
      <c r="M156" s="618"/>
      <c r="N156" s="618"/>
      <c r="O156" s="618"/>
      <c r="P156" s="618"/>
    </row>
    <row r="157" spans="1:16" ht="12.75" hidden="1" customHeight="1" x14ac:dyDescent="0.25">
      <c r="A157" s="618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</row>
    <row r="158" spans="1:16" ht="12.75" hidden="1" customHeight="1" x14ac:dyDescent="0.25">
      <c r="A158" s="618"/>
      <c r="D158" s="618"/>
      <c r="E158" s="618"/>
      <c r="F158" s="618"/>
      <c r="G158" s="618"/>
      <c r="H158" s="618"/>
      <c r="I158" s="618"/>
      <c r="J158" s="618"/>
      <c r="K158" s="618"/>
      <c r="L158" s="618"/>
      <c r="M158" s="618"/>
      <c r="N158" s="618"/>
      <c r="O158" s="618"/>
      <c r="P158" s="618"/>
    </row>
    <row r="159" spans="1:16" ht="12.75" hidden="1" customHeight="1" x14ac:dyDescent="0.25">
      <c r="A159" s="618"/>
      <c r="D159" s="618"/>
      <c r="E159" s="618"/>
      <c r="F159" s="618"/>
      <c r="G159" s="618"/>
      <c r="H159" s="618"/>
      <c r="I159" s="618"/>
      <c r="J159" s="618"/>
      <c r="K159" s="618"/>
      <c r="L159" s="618"/>
      <c r="M159" s="618"/>
      <c r="N159" s="618"/>
      <c r="O159" s="618"/>
      <c r="P159" s="618"/>
    </row>
    <row r="160" spans="1:16" ht="12.75" hidden="1" customHeight="1" x14ac:dyDescent="0.25">
      <c r="A160" s="618"/>
      <c r="D160" s="618"/>
      <c r="E160" s="618"/>
      <c r="F160" s="618"/>
      <c r="G160" s="618"/>
      <c r="H160" s="618"/>
      <c r="I160" s="618"/>
      <c r="J160" s="618"/>
      <c r="K160" s="618"/>
      <c r="L160" s="618"/>
      <c r="M160" s="618"/>
      <c r="N160" s="618"/>
      <c r="O160" s="618"/>
      <c r="P160" s="618"/>
    </row>
    <row r="161" spans="1:16" ht="12.75" hidden="1" customHeight="1" x14ac:dyDescent="0.25">
      <c r="A161" s="618"/>
      <c r="D161" s="618"/>
      <c r="E161" s="618"/>
      <c r="F161" s="618"/>
      <c r="G161" s="618"/>
      <c r="H161" s="618"/>
      <c r="I161" s="618"/>
      <c r="J161" s="618"/>
      <c r="K161" s="618"/>
      <c r="L161" s="618"/>
      <c r="M161" s="618"/>
      <c r="N161" s="618"/>
      <c r="O161" s="618"/>
      <c r="P161" s="618"/>
    </row>
    <row r="162" spans="1:16" ht="12.75" hidden="1" customHeight="1" x14ac:dyDescent="0.25">
      <c r="A162" s="618"/>
      <c r="D162" s="618"/>
      <c r="E162" s="618"/>
      <c r="F162" s="618"/>
      <c r="G162" s="618"/>
      <c r="H162" s="618"/>
      <c r="I162" s="618"/>
      <c r="J162" s="618"/>
      <c r="K162" s="618"/>
      <c r="L162" s="618"/>
      <c r="M162" s="618"/>
      <c r="N162" s="618"/>
      <c r="O162" s="618"/>
      <c r="P162" s="618"/>
    </row>
    <row r="163" spans="1:16" ht="12.75" hidden="1" customHeight="1" x14ac:dyDescent="0.25">
      <c r="A163" s="618"/>
      <c r="D163" s="618"/>
      <c r="E163" s="618"/>
      <c r="F163" s="618"/>
      <c r="G163" s="618"/>
      <c r="H163" s="618"/>
      <c r="I163" s="618"/>
      <c r="J163" s="618"/>
      <c r="K163" s="618"/>
      <c r="L163" s="618"/>
      <c r="M163" s="618"/>
      <c r="N163" s="618"/>
      <c r="O163" s="618"/>
      <c r="P163" s="618"/>
    </row>
    <row r="164" spans="1:16" ht="12.75" hidden="1" customHeight="1" x14ac:dyDescent="0.25">
      <c r="A164" s="618"/>
      <c r="D164" s="618"/>
      <c r="E164" s="618"/>
      <c r="F164" s="618"/>
      <c r="G164" s="618"/>
      <c r="H164" s="618"/>
      <c r="I164" s="618"/>
      <c r="J164" s="618"/>
      <c r="K164" s="618"/>
      <c r="L164" s="618"/>
      <c r="M164" s="618"/>
      <c r="N164" s="618"/>
      <c r="O164" s="618"/>
      <c r="P164" s="618"/>
    </row>
    <row r="165" spans="1:16" ht="12.75" hidden="1" customHeight="1" x14ac:dyDescent="0.25">
      <c r="A165" s="618"/>
      <c r="D165" s="618"/>
      <c r="E165" s="618"/>
      <c r="F165" s="618"/>
      <c r="G165" s="618"/>
      <c r="H165" s="618"/>
      <c r="I165" s="618"/>
      <c r="J165" s="618"/>
      <c r="K165" s="618"/>
      <c r="L165" s="618"/>
      <c r="M165" s="618"/>
      <c r="N165" s="618"/>
      <c r="O165" s="618"/>
      <c r="P165" s="618"/>
    </row>
    <row r="166" spans="1:16" ht="12.75" hidden="1" customHeight="1" x14ac:dyDescent="0.25">
      <c r="A166" s="618"/>
      <c r="D166" s="618"/>
      <c r="E166" s="618"/>
      <c r="F166" s="618"/>
      <c r="G166" s="618"/>
      <c r="H166" s="618"/>
      <c r="I166" s="618"/>
      <c r="J166" s="618"/>
      <c r="K166" s="618"/>
      <c r="L166" s="618"/>
      <c r="M166" s="618"/>
      <c r="N166" s="618"/>
      <c r="O166" s="618"/>
      <c r="P166" s="618"/>
    </row>
    <row r="167" spans="1:16" ht="12.75" hidden="1" customHeight="1" x14ac:dyDescent="0.25">
      <c r="A167" s="618"/>
      <c r="D167" s="618"/>
      <c r="E167" s="618"/>
      <c r="F167" s="618"/>
      <c r="G167" s="618"/>
      <c r="H167" s="618"/>
      <c r="I167" s="618"/>
      <c r="J167" s="618"/>
      <c r="K167" s="618"/>
      <c r="L167" s="618"/>
      <c r="M167" s="618"/>
      <c r="N167" s="618"/>
      <c r="O167" s="618"/>
      <c r="P167" s="618"/>
    </row>
    <row r="168" spans="1:16" ht="12.75" hidden="1" customHeight="1" x14ac:dyDescent="0.25">
      <c r="A168" s="618"/>
      <c r="D168" s="618"/>
      <c r="E168" s="618"/>
      <c r="F168" s="618"/>
      <c r="G168" s="618"/>
      <c r="H168" s="618"/>
      <c r="I168" s="618"/>
      <c r="J168" s="618"/>
      <c r="K168" s="618"/>
      <c r="L168" s="618"/>
      <c r="M168" s="618"/>
      <c r="N168" s="618"/>
      <c r="O168" s="618"/>
      <c r="P168" s="618"/>
    </row>
    <row r="169" spans="1:16" ht="12.75" hidden="1" customHeight="1" x14ac:dyDescent="0.25">
      <c r="A169" s="618"/>
      <c r="D169" s="618"/>
      <c r="E169" s="618"/>
      <c r="F169" s="618"/>
      <c r="G169" s="618"/>
      <c r="H169" s="618"/>
      <c r="I169" s="618"/>
      <c r="J169" s="618"/>
      <c r="K169" s="618"/>
      <c r="L169" s="618"/>
      <c r="M169" s="618"/>
      <c r="N169" s="618"/>
      <c r="O169" s="618"/>
      <c r="P169" s="618"/>
    </row>
    <row r="170" spans="1:16" ht="12.75" hidden="1" customHeight="1" x14ac:dyDescent="0.25">
      <c r="A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N170" s="618"/>
      <c r="O170" s="618"/>
      <c r="P170" s="618"/>
    </row>
    <row r="171" spans="1:16" ht="12.75" hidden="1" customHeight="1" x14ac:dyDescent="0.25">
      <c r="A171" s="618"/>
      <c r="D171" s="618"/>
      <c r="E171" s="618"/>
      <c r="F171" s="618"/>
      <c r="G171" s="618"/>
      <c r="H171" s="618"/>
      <c r="I171" s="618"/>
      <c r="J171" s="618"/>
      <c r="K171" s="618"/>
      <c r="L171" s="618"/>
      <c r="M171" s="618"/>
      <c r="N171" s="618"/>
      <c r="O171" s="618"/>
      <c r="P171" s="618"/>
    </row>
    <row r="172" spans="1:16" ht="12.75" hidden="1" customHeight="1" x14ac:dyDescent="0.25">
      <c r="A172" s="618"/>
      <c r="D172" s="618"/>
      <c r="E172" s="618"/>
      <c r="F172" s="618"/>
      <c r="G172" s="618"/>
      <c r="H172" s="618"/>
      <c r="I172" s="618"/>
      <c r="J172" s="618"/>
      <c r="K172" s="618"/>
      <c r="L172" s="618"/>
      <c r="M172" s="618"/>
      <c r="N172" s="618"/>
      <c r="O172" s="618"/>
      <c r="P172" s="618"/>
    </row>
    <row r="173" spans="1:16" ht="12.75" hidden="1" customHeight="1" x14ac:dyDescent="0.25">
      <c r="A173" s="618"/>
      <c r="D173" s="618"/>
      <c r="E173" s="618"/>
      <c r="F173" s="618"/>
      <c r="G173" s="618"/>
      <c r="H173" s="618"/>
      <c r="I173" s="618"/>
      <c r="J173" s="618"/>
      <c r="K173" s="618"/>
      <c r="L173" s="618"/>
      <c r="M173" s="618"/>
      <c r="N173" s="618"/>
      <c r="O173" s="618"/>
      <c r="P173" s="618"/>
    </row>
    <row r="174" spans="1:16" ht="12.75" hidden="1" customHeight="1" x14ac:dyDescent="0.25">
      <c r="A174" s="618"/>
      <c r="D174" s="618"/>
      <c r="E174" s="618"/>
      <c r="F174" s="618"/>
      <c r="G174" s="618"/>
      <c r="H174" s="618"/>
      <c r="I174" s="618"/>
      <c r="J174" s="618"/>
      <c r="K174" s="618"/>
      <c r="L174" s="618"/>
      <c r="M174" s="618"/>
      <c r="N174" s="618"/>
      <c r="O174" s="618"/>
      <c r="P174" s="618"/>
    </row>
    <row r="175" spans="1:16" ht="12.75" hidden="1" customHeight="1" x14ac:dyDescent="0.25">
      <c r="A175" s="618"/>
      <c r="D175" s="618"/>
      <c r="E175" s="618"/>
      <c r="F175" s="618"/>
      <c r="G175" s="618"/>
      <c r="H175" s="618"/>
      <c r="I175" s="618"/>
      <c r="J175" s="618"/>
      <c r="K175" s="618"/>
      <c r="L175" s="618"/>
      <c r="M175" s="618"/>
      <c r="N175" s="618"/>
      <c r="O175" s="618"/>
      <c r="P175" s="618"/>
    </row>
    <row r="176" spans="1:16" ht="12.75" hidden="1" customHeight="1" x14ac:dyDescent="0.25">
      <c r="A176" s="618"/>
      <c r="D176" s="618"/>
      <c r="E176" s="618"/>
      <c r="F176" s="618"/>
      <c r="G176" s="618"/>
      <c r="H176" s="618"/>
      <c r="I176" s="618"/>
      <c r="J176" s="618"/>
      <c r="K176" s="618"/>
      <c r="L176" s="618"/>
      <c r="M176" s="618"/>
      <c r="N176" s="618"/>
      <c r="O176" s="618"/>
      <c r="P176" s="618"/>
    </row>
    <row r="177" spans="1:18" ht="12.75" hidden="1" customHeight="1" x14ac:dyDescent="0.25">
      <c r="A177" s="618"/>
      <c r="D177" s="618"/>
      <c r="E177" s="618"/>
      <c r="F177" s="618"/>
      <c r="G177" s="618"/>
      <c r="H177" s="618"/>
      <c r="I177" s="618"/>
      <c r="J177" s="618"/>
      <c r="K177" s="618"/>
      <c r="L177" s="618"/>
      <c r="M177" s="618"/>
      <c r="N177" s="618"/>
      <c r="O177" s="618"/>
      <c r="P177" s="618"/>
    </row>
    <row r="178" spans="1:18" ht="12.75" hidden="1" customHeight="1" x14ac:dyDescent="0.25">
      <c r="A178" s="618"/>
      <c r="D178" s="618"/>
      <c r="E178" s="618"/>
      <c r="F178" s="618"/>
      <c r="G178" s="618"/>
      <c r="H178" s="618"/>
      <c r="I178" s="618"/>
      <c r="J178" s="618"/>
      <c r="K178" s="618"/>
      <c r="L178" s="618"/>
      <c r="M178" s="618"/>
      <c r="N178" s="618"/>
      <c r="O178" s="618"/>
      <c r="P178" s="618"/>
    </row>
    <row r="179" spans="1:18" ht="12.75" customHeight="1" x14ac:dyDescent="0.25">
      <c r="A179" s="618"/>
      <c r="D179" s="618"/>
      <c r="E179" s="618"/>
      <c r="F179" s="618"/>
      <c r="G179" s="618"/>
      <c r="H179" s="618"/>
      <c r="I179" s="618"/>
      <c r="J179" s="618"/>
      <c r="K179" s="618"/>
      <c r="L179" s="618"/>
      <c r="M179" s="618"/>
      <c r="N179" s="618"/>
      <c r="O179" s="618"/>
      <c r="P179" s="618"/>
    </row>
    <row r="180" spans="1:18" ht="12.75" customHeight="1" x14ac:dyDescent="0.25">
      <c r="A180" s="782" t="s">
        <v>2</v>
      </c>
      <c r="B180" s="781" t="s">
        <v>132</v>
      </c>
      <c r="C180" s="766" t="s">
        <v>70</v>
      </c>
      <c r="D180" s="766">
        <f>D117-P117</f>
        <v>0</v>
      </c>
      <c r="E180" s="766">
        <f>E101+E107+E113</f>
        <v>0</v>
      </c>
      <c r="F180" s="766">
        <f t="shared" ref="F180:R180" si="4">F101+F107+F113</f>
        <v>0</v>
      </c>
      <c r="G180" s="766">
        <f t="shared" si="4"/>
        <v>0</v>
      </c>
      <c r="H180" s="766">
        <f t="shared" si="4"/>
        <v>0</v>
      </c>
      <c r="I180" s="766">
        <f t="shared" si="4"/>
        <v>0</v>
      </c>
      <c r="J180" s="766">
        <f t="shared" si="4"/>
        <v>0</v>
      </c>
      <c r="K180" s="766">
        <f t="shared" si="4"/>
        <v>0</v>
      </c>
      <c r="L180" s="766">
        <f t="shared" si="4"/>
        <v>0</v>
      </c>
      <c r="M180" s="766">
        <f t="shared" si="4"/>
        <v>0</v>
      </c>
      <c r="N180" s="766">
        <f t="shared" si="4"/>
        <v>0</v>
      </c>
      <c r="O180" s="766">
        <f t="shared" si="4"/>
        <v>0</v>
      </c>
      <c r="P180" s="766">
        <f t="shared" si="4"/>
        <v>0</v>
      </c>
      <c r="Q180" s="766">
        <f t="shared" si="4"/>
        <v>0</v>
      </c>
      <c r="R180" s="766">
        <f t="shared" si="4"/>
        <v>0</v>
      </c>
    </row>
    <row r="181" spans="1:18" ht="12.75" customHeight="1" x14ac:dyDescent="0.25">
      <c r="A181" s="782"/>
      <c r="B181" s="781"/>
      <c r="C181" s="766" t="s">
        <v>73</v>
      </c>
      <c r="D181" s="766">
        <f>D103+D109+D115</f>
        <v>0</v>
      </c>
      <c r="E181" s="618"/>
      <c r="F181" s="618"/>
      <c r="G181" s="618"/>
      <c r="H181" s="618"/>
      <c r="I181" s="618"/>
      <c r="J181" s="618"/>
      <c r="K181" s="618"/>
      <c r="L181" s="618"/>
      <c r="M181" s="618"/>
      <c r="N181" s="618"/>
      <c r="O181" s="618"/>
      <c r="P181" s="618"/>
      <c r="Q181" s="618"/>
    </row>
    <row r="182" spans="1:18" ht="12.75" customHeight="1" x14ac:dyDescent="0.25">
      <c r="A182" s="617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</row>
    <row r="183" spans="1:18" ht="12.75" customHeight="1" x14ac:dyDescent="0.25">
      <c r="A183" s="782" t="s">
        <v>160</v>
      </c>
      <c r="B183" s="781" t="s">
        <v>132</v>
      </c>
      <c r="C183" s="632" t="s">
        <v>70</v>
      </c>
      <c r="D183" s="632">
        <f>D110-P110</f>
        <v>0</v>
      </c>
      <c r="E183" s="632">
        <f>E107</f>
        <v>0</v>
      </c>
      <c r="F183" s="632">
        <f t="shared" ref="F183:R183" si="5">F107</f>
        <v>0</v>
      </c>
      <c r="G183" s="632">
        <f t="shared" si="5"/>
        <v>0</v>
      </c>
      <c r="H183" s="632">
        <f t="shared" si="5"/>
        <v>0</v>
      </c>
      <c r="I183" s="632">
        <f t="shared" si="5"/>
        <v>0</v>
      </c>
      <c r="J183" s="632">
        <f t="shared" si="5"/>
        <v>0</v>
      </c>
      <c r="K183" s="632">
        <f t="shared" si="5"/>
        <v>0</v>
      </c>
      <c r="L183" s="632">
        <f t="shared" si="5"/>
        <v>0</v>
      </c>
      <c r="M183" s="632">
        <f t="shared" si="5"/>
        <v>0</v>
      </c>
      <c r="N183" s="632">
        <f t="shared" si="5"/>
        <v>0</v>
      </c>
      <c r="O183" s="632">
        <f t="shared" si="5"/>
        <v>0</v>
      </c>
      <c r="P183" s="632">
        <f t="shared" si="5"/>
        <v>0</v>
      </c>
      <c r="Q183" s="632">
        <f t="shared" si="5"/>
        <v>0</v>
      </c>
      <c r="R183" s="632">
        <f t="shared" si="5"/>
        <v>0</v>
      </c>
    </row>
    <row r="184" spans="1:18" ht="12.75" customHeight="1" x14ac:dyDescent="0.25">
      <c r="A184" s="782"/>
      <c r="B184" s="781"/>
      <c r="C184" s="632" t="s">
        <v>73</v>
      </c>
      <c r="D184" s="632">
        <f>D109</f>
        <v>0</v>
      </c>
      <c r="E184" s="618"/>
      <c r="F184" s="618"/>
      <c r="G184" s="618"/>
      <c r="H184" s="618"/>
      <c r="I184" s="618"/>
      <c r="J184" s="618"/>
      <c r="K184" s="618"/>
      <c r="L184" s="618"/>
      <c r="M184" s="618"/>
      <c r="N184" s="618"/>
      <c r="O184" s="618"/>
      <c r="P184" s="618"/>
      <c r="Q184" s="618"/>
    </row>
    <row r="185" spans="1:18" ht="12.75" customHeight="1" x14ac:dyDescent="0.25">
      <c r="A185" s="617"/>
      <c r="D185" s="618"/>
      <c r="E185" s="618"/>
      <c r="F185" s="618"/>
      <c r="G185" s="618"/>
      <c r="H185" s="618"/>
      <c r="I185" s="618"/>
      <c r="J185" s="618"/>
      <c r="K185" s="618"/>
      <c r="L185" s="618"/>
      <c r="M185" s="618"/>
      <c r="N185" s="618"/>
      <c r="O185" s="618"/>
      <c r="P185" s="618"/>
      <c r="Q185" s="618"/>
    </row>
    <row r="186" spans="1:18" ht="12.75" customHeight="1" x14ac:dyDescent="0.25">
      <c r="A186" s="782" t="s">
        <v>155</v>
      </c>
      <c r="B186" s="781" t="s">
        <v>132</v>
      </c>
      <c r="C186" s="633" t="s">
        <v>70</v>
      </c>
      <c r="D186" s="633">
        <f>D104-P104</f>
        <v>0</v>
      </c>
      <c r="E186" s="633">
        <f>E101</f>
        <v>0</v>
      </c>
      <c r="F186" s="633">
        <f t="shared" ref="F186:R186" si="6">F101</f>
        <v>0</v>
      </c>
      <c r="G186" s="633">
        <f t="shared" si="6"/>
        <v>0</v>
      </c>
      <c r="H186" s="633">
        <f t="shared" si="6"/>
        <v>0</v>
      </c>
      <c r="I186" s="633">
        <f t="shared" si="6"/>
        <v>0</v>
      </c>
      <c r="J186" s="633">
        <f t="shared" si="6"/>
        <v>0</v>
      </c>
      <c r="K186" s="633">
        <f t="shared" si="6"/>
        <v>0</v>
      </c>
      <c r="L186" s="633">
        <f t="shared" si="6"/>
        <v>0</v>
      </c>
      <c r="M186" s="633">
        <f t="shared" si="6"/>
        <v>0</v>
      </c>
      <c r="N186" s="633">
        <f t="shared" si="6"/>
        <v>0</v>
      </c>
      <c r="O186" s="633">
        <f t="shared" si="6"/>
        <v>0</v>
      </c>
      <c r="P186" s="633">
        <f t="shared" si="6"/>
        <v>0</v>
      </c>
      <c r="Q186" s="633">
        <f t="shared" si="6"/>
        <v>0</v>
      </c>
      <c r="R186" s="633">
        <f t="shared" si="6"/>
        <v>0</v>
      </c>
    </row>
    <row r="187" spans="1:18" ht="12.75" customHeight="1" x14ac:dyDescent="0.25">
      <c r="A187" s="782"/>
      <c r="B187" s="781"/>
      <c r="C187" s="633" t="s">
        <v>73</v>
      </c>
      <c r="D187" s="633">
        <f>D103</f>
        <v>0</v>
      </c>
      <c r="E187" s="618"/>
      <c r="F187" s="618"/>
      <c r="G187" s="618"/>
      <c r="H187" s="618"/>
      <c r="I187" s="618"/>
      <c r="J187" s="618"/>
      <c r="K187" s="618"/>
      <c r="L187" s="618"/>
      <c r="M187" s="618"/>
      <c r="N187" s="618"/>
      <c r="O187" s="618"/>
      <c r="P187" s="618"/>
      <c r="Q187" s="618"/>
    </row>
    <row r="188" spans="1:18" ht="12.75" customHeight="1" x14ac:dyDescent="0.25">
      <c r="A188" s="722"/>
      <c r="B188" s="721"/>
      <c r="C188" s="618"/>
      <c r="D188" s="618"/>
      <c r="E188" s="618"/>
      <c r="F188" s="618"/>
      <c r="G188" s="618"/>
      <c r="H188" s="618"/>
      <c r="I188" s="618"/>
      <c r="J188" s="618"/>
      <c r="K188" s="618"/>
      <c r="L188" s="618"/>
      <c r="M188" s="618"/>
      <c r="N188" s="618"/>
      <c r="O188" s="618"/>
      <c r="P188" s="618"/>
      <c r="Q188" s="618"/>
    </row>
    <row r="189" spans="1:18" ht="12.75" customHeight="1" x14ac:dyDescent="0.25">
      <c r="A189" s="780" t="s">
        <v>326</v>
      </c>
      <c r="B189" s="781" t="s">
        <v>132</v>
      </c>
      <c r="C189" s="633" t="s">
        <v>70</v>
      </c>
      <c r="D189" s="720">
        <v>0</v>
      </c>
      <c r="E189" s="720">
        <v>0</v>
      </c>
      <c r="F189" s="720">
        <v>0</v>
      </c>
      <c r="G189" s="720">
        <v>0</v>
      </c>
      <c r="H189" s="720">
        <v>0</v>
      </c>
      <c r="I189" s="720">
        <v>0</v>
      </c>
      <c r="J189" s="720">
        <v>0</v>
      </c>
      <c r="K189" s="720">
        <v>0</v>
      </c>
      <c r="L189" s="720">
        <v>0</v>
      </c>
      <c r="M189" s="720">
        <v>0</v>
      </c>
      <c r="N189" s="720">
        <v>0</v>
      </c>
      <c r="O189" s="720">
        <v>0</v>
      </c>
      <c r="P189" s="720">
        <v>0</v>
      </c>
      <c r="Q189" s="720">
        <v>0</v>
      </c>
      <c r="R189" s="720">
        <v>0</v>
      </c>
    </row>
    <row r="190" spans="1:18" ht="12.75" customHeight="1" x14ac:dyDescent="0.25">
      <c r="A190" s="780"/>
      <c r="B190" s="781"/>
      <c r="C190" s="633" t="s">
        <v>73</v>
      </c>
      <c r="D190" s="720">
        <v>0</v>
      </c>
      <c r="E190" s="618"/>
      <c r="F190" s="618"/>
      <c r="G190" s="618"/>
      <c r="H190" s="618"/>
      <c r="I190" s="618"/>
      <c r="J190" s="618"/>
      <c r="K190" s="618"/>
      <c r="L190" s="618"/>
      <c r="M190" s="618"/>
      <c r="N190" s="618"/>
      <c r="O190" s="618"/>
      <c r="P190" s="618"/>
      <c r="Q190" s="618"/>
    </row>
    <row r="191" spans="1:18" ht="12.75" customHeight="1" x14ac:dyDescent="0.25">
      <c r="A191" s="617"/>
      <c r="D191" s="618"/>
      <c r="E191" s="618"/>
      <c r="F191" s="618"/>
      <c r="G191" s="618"/>
      <c r="H191" s="618"/>
      <c r="I191" s="618"/>
      <c r="J191" s="618"/>
      <c r="K191" s="618"/>
      <c r="L191" s="618"/>
      <c r="M191" s="618"/>
      <c r="N191" s="618"/>
      <c r="O191" s="618"/>
      <c r="P191" s="618"/>
      <c r="Q191" s="618"/>
    </row>
    <row r="192" spans="1:18" ht="12.75" customHeight="1" x14ac:dyDescent="0.25">
      <c r="A192" s="782" t="s">
        <v>119</v>
      </c>
      <c r="B192" s="781" t="s">
        <v>132</v>
      </c>
      <c r="C192" s="628" t="s">
        <v>70</v>
      </c>
      <c r="D192" s="628">
        <f>D116-P116</f>
        <v>0</v>
      </c>
      <c r="E192" s="628">
        <f>E113</f>
        <v>0</v>
      </c>
      <c r="F192" s="628">
        <f t="shared" ref="F192:R192" si="7">F113</f>
        <v>0</v>
      </c>
      <c r="G192" s="628">
        <f t="shared" si="7"/>
        <v>0</v>
      </c>
      <c r="H192" s="628">
        <f t="shared" si="7"/>
        <v>0</v>
      </c>
      <c r="I192" s="628">
        <f t="shared" si="7"/>
        <v>0</v>
      </c>
      <c r="J192" s="628">
        <f t="shared" si="7"/>
        <v>0</v>
      </c>
      <c r="K192" s="628">
        <f t="shared" si="7"/>
        <v>0</v>
      </c>
      <c r="L192" s="628">
        <f t="shared" si="7"/>
        <v>0</v>
      </c>
      <c r="M192" s="628">
        <f t="shared" si="7"/>
        <v>0</v>
      </c>
      <c r="N192" s="628">
        <f t="shared" si="7"/>
        <v>0</v>
      </c>
      <c r="O192" s="628">
        <f t="shared" si="7"/>
        <v>0</v>
      </c>
      <c r="P192" s="628">
        <f t="shared" si="7"/>
        <v>0</v>
      </c>
      <c r="Q192" s="628">
        <f t="shared" si="7"/>
        <v>0</v>
      </c>
      <c r="R192" s="628">
        <f t="shared" si="7"/>
        <v>0</v>
      </c>
    </row>
    <row r="193" spans="1:18" ht="12.75" customHeight="1" x14ac:dyDescent="0.25">
      <c r="A193" s="782"/>
      <c r="B193" s="781"/>
      <c r="C193" s="628" t="s">
        <v>73</v>
      </c>
      <c r="D193" s="628">
        <f>D115</f>
        <v>0</v>
      </c>
      <c r="E193" s="618"/>
      <c r="F193" s="618"/>
      <c r="G193" s="618"/>
      <c r="H193" s="618"/>
      <c r="I193" s="618"/>
      <c r="J193" s="618"/>
      <c r="K193" s="618"/>
      <c r="L193" s="618"/>
      <c r="M193" s="618"/>
      <c r="N193" s="618"/>
      <c r="O193" s="618"/>
      <c r="P193" s="618"/>
      <c r="Q193" s="618"/>
      <c r="R193" s="618"/>
    </row>
    <row r="194" spans="1:18" ht="12.75" customHeight="1" x14ac:dyDescent="0.25">
      <c r="A194" s="617"/>
      <c r="D194" s="618"/>
      <c r="E194" s="618"/>
      <c r="F194" s="618"/>
      <c r="G194" s="618"/>
      <c r="H194" s="618"/>
      <c r="I194" s="618"/>
      <c r="J194" s="618"/>
      <c r="K194" s="618"/>
      <c r="L194" s="618"/>
      <c r="M194" s="618"/>
      <c r="N194" s="618"/>
      <c r="O194" s="618"/>
      <c r="P194" s="618"/>
      <c r="Q194" s="618"/>
      <c r="R194" s="618"/>
    </row>
    <row r="195" spans="1:18" ht="12.75" customHeight="1" x14ac:dyDescent="0.25">
      <c r="A195" s="783" t="s">
        <v>161</v>
      </c>
      <c r="B195" s="781" t="s">
        <v>132</v>
      </c>
      <c r="C195" s="634" t="s">
        <v>70</v>
      </c>
      <c r="D195" s="634">
        <v>0</v>
      </c>
      <c r="E195" s="634">
        <v>0</v>
      </c>
      <c r="F195" s="634">
        <v>0</v>
      </c>
      <c r="G195" s="634">
        <v>0</v>
      </c>
      <c r="H195" s="634">
        <v>0</v>
      </c>
      <c r="I195" s="634">
        <v>0</v>
      </c>
      <c r="J195" s="634">
        <v>0</v>
      </c>
      <c r="K195" s="634">
        <v>0</v>
      </c>
      <c r="L195" s="634">
        <v>0</v>
      </c>
      <c r="M195" s="634">
        <v>0</v>
      </c>
      <c r="N195" s="634">
        <v>0</v>
      </c>
      <c r="O195" s="634">
        <v>0</v>
      </c>
      <c r="P195" s="634">
        <v>0</v>
      </c>
      <c r="Q195" s="634">
        <v>0</v>
      </c>
      <c r="R195" s="634">
        <v>0</v>
      </c>
    </row>
    <row r="196" spans="1:18" ht="12.75" customHeight="1" x14ac:dyDescent="0.25">
      <c r="A196" s="783"/>
      <c r="B196" s="781"/>
      <c r="C196" s="634" t="s">
        <v>73</v>
      </c>
      <c r="D196" s="634">
        <v>0</v>
      </c>
      <c r="E196" s="618"/>
      <c r="F196" s="618"/>
      <c r="G196" s="618"/>
      <c r="H196" s="618"/>
      <c r="I196" s="618"/>
      <c r="J196" s="618"/>
      <c r="K196" s="618"/>
      <c r="L196" s="618"/>
      <c r="M196" s="618"/>
      <c r="N196" s="618"/>
      <c r="O196" s="618"/>
      <c r="P196" s="618"/>
      <c r="Q196" s="618"/>
    </row>
    <row r="197" spans="1:18" s="635" customFormat="1" x14ac:dyDescent="0.25"/>
    <row r="198" spans="1:18" x14ac:dyDescent="0.25">
      <c r="B198" s="617" t="s">
        <v>76</v>
      </c>
    </row>
    <row r="199" spans="1:18" x14ac:dyDescent="0.25">
      <c r="D199" s="618" t="s">
        <v>70</v>
      </c>
      <c r="E199" s="618" t="s">
        <v>64</v>
      </c>
      <c r="F199" s="618" t="s">
        <v>65</v>
      </c>
      <c r="G199" s="619" t="s">
        <v>164</v>
      </c>
      <c r="H199" s="618" t="s">
        <v>69</v>
      </c>
      <c r="I199" s="618" t="s">
        <v>68</v>
      </c>
      <c r="J199" s="618" t="s">
        <v>66</v>
      </c>
      <c r="K199" s="618" t="s">
        <v>63</v>
      </c>
      <c r="L199" s="618" t="s">
        <v>61</v>
      </c>
      <c r="M199" s="618" t="s">
        <v>62</v>
      </c>
      <c r="N199" s="618" t="s">
        <v>67</v>
      </c>
      <c r="O199" s="618" t="s">
        <v>77</v>
      </c>
      <c r="P199" s="616" t="s">
        <v>71</v>
      </c>
      <c r="Q199" s="618" t="s">
        <v>80</v>
      </c>
      <c r="R199" s="616" t="s">
        <v>168</v>
      </c>
    </row>
    <row r="200" spans="1:18" ht="12.75" customHeight="1" x14ac:dyDescent="0.25">
      <c r="B200" s="618"/>
      <c r="C200" s="618" t="s">
        <v>72</v>
      </c>
      <c r="D200" s="618">
        <v>0</v>
      </c>
      <c r="E200" s="618">
        <v>0</v>
      </c>
      <c r="F200" s="618">
        <v>0</v>
      </c>
      <c r="G200" s="618">
        <v>0</v>
      </c>
      <c r="H200" s="618">
        <v>0</v>
      </c>
      <c r="I200" s="618">
        <v>0</v>
      </c>
      <c r="J200" s="618">
        <v>0</v>
      </c>
      <c r="K200" s="618">
        <v>0</v>
      </c>
      <c r="L200" s="618">
        <v>0</v>
      </c>
      <c r="M200" s="618">
        <v>0</v>
      </c>
      <c r="N200" s="618">
        <v>0</v>
      </c>
      <c r="O200" s="618">
        <v>0</v>
      </c>
      <c r="P200" s="616">
        <v>0</v>
      </c>
      <c r="Q200" s="618">
        <v>0</v>
      </c>
      <c r="R200" s="618">
        <v>0</v>
      </c>
    </row>
    <row r="201" spans="1:18" ht="12.75" customHeight="1" x14ac:dyDescent="0.25">
      <c r="B201" s="618"/>
      <c r="C201" s="618" t="s">
        <v>81</v>
      </c>
      <c r="D201" s="618">
        <v>0</v>
      </c>
      <c r="E201" s="618">
        <v>0</v>
      </c>
      <c r="F201" s="618">
        <v>0</v>
      </c>
      <c r="G201" s="618">
        <v>0</v>
      </c>
      <c r="H201" s="618">
        <v>0</v>
      </c>
      <c r="I201" s="618">
        <v>0</v>
      </c>
      <c r="J201" s="618">
        <v>0</v>
      </c>
      <c r="K201" s="618">
        <v>0</v>
      </c>
      <c r="L201" s="618">
        <v>0</v>
      </c>
      <c r="M201" s="618">
        <v>0</v>
      </c>
      <c r="N201" s="618">
        <v>0</v>
      </c>
      <c r="O201" s="618">
        <v>0</v>
      </c>
      <c r="P201" s="616">
        <v>0</v>
      </c>
      <c r="Q201" s="618">
        <v>0</v>
      </c>
      <c r="R201" s="618">
        <v>0</v>
      </c>
    </row>
    <row r="202" spans="1:18" s="621" customFormat="1" ht="12.75" customHeight="1" x14ac:dyDescent="0.25">
      <c r="B202" s="622" t="s">
        <v>78</v>
      </c>
      <c r="C202" s="622" t="s">
        <v>70</v>
      </c>
      <c r="D202" s="622">
        <v>0</v>
      </c>
      <c r="E202" s="622">
        <v>0</v>
      </c>
      <c r="F202" s="622">
        <v>0</v>
      </c>
      <c r="G202" s="622">
        <v>0</v>
      </c>
      <c r="H202" s="622">
        <v>0</v>
      </c>
      <c r="I202" s="622">
        <v>0</v>
      </c>
      <c r="J202" s="622">
        <v>0</v>
      </c>
      <c r="K202" s="622">
        <v>0</v>
      </c>
      <c r="L202" s="622">
        <v>0</v>
      </c>
      <c r="M202" s="622">
        <v>0</v>
      </c>
      <c r="N202" s="622">
        <v>0</v>
      </c>
      <c r="O202" s="622">
        <v>0</v>
      </c>
      <c r="P202" s="621">
        <v>0</v>
      </c>
      <c r="Q202" s="622">
        <v>0</v>
      </c>
      <c r="R202" s="622">
        <v>0</v>
      </c>
    </row>
    <row r="203" spans="1:18" ht="12.75" customHeight="1" x14ac:dyDescent="0.25">
      <c r="B203" s="618"/>
      <c r="C203" s="618" t="s">
        <v>73</v>
      </c>
      <c r="D203" s="618">
        <v>0</v>
      </c>
      <c r="E203" s="618">
        <v>0</v>
      </c>
      <c r="F203" s="618">
        <v>0</v>
      </c>
      <c r="G203" s="618">
        <v>0</v>
      </c>
      <c r="H203" s="618">
        <v>0</v>
      </c>
      <c r="I203" s="618">
        <v>0</v>
      </c>
      <c r="J203" s="618">
        <v>0</v>
      </c>
      <c r="K203" s="618">
        <v>0</v>
      </c>
      <c r="L203" s="618">
        <v>0</v>
      </c>
      <c r="M203" s="618">
        <v>0</v>
      </c>
      <c r="N203" s="618">
        <v>0</v>
      </c>
      <c r="O203" s="618">
        <v>0</v>
      </c>
      <c r="P203" s="616">
        <v>0</v>
      </c>
      <c r="Q203" s="618">
        <v>0</v>
      </c>
      <c r="R203" s="618">
        <v>0</v>
      </c>
    </row>
    <row r="204" spans="1:18" s="623" customFormat="1" ht="12.75" customHeight="1" x14ac:dyDescent="0.25">
      <c r="B204" s="623" t="s">
        <v>79</v>
      </c>
      <c r="C204" s="623" t="s">
        <v>70</v>
      </c>
      <c r="D204" s="624">
        <v>0</v>
      </c>
      <c r="E204" s="624">
        <v>0</v>
      </c>
      <c r="F204" s="624">
        <v>0</v>
      </c>
      <c r="G204" s="636">
        <v>0</v>
      </c>
      <c r="H204" s="624">
        <v>0</v>
      </c>
      <c r="I204" s="624">
        <v>0</v>
      </c>
      <c r="J204" s="624">
        <v>0</v>
      </c>
      <c r="K204" s="624">
        <v>0</v>
      </c>
      <c r="L204" s="624">
        <v>0</v>
      </c>
      <c r="M204" s="624">
        <v>0</v>
      </c>
      <c r="N204" s="624">
        <v>0</v>
      </c>
      <c r="O204" s="624">
        <v>0</v>
      </c>
      <c r="P204" s="624">
        <v>0</v>
      </c>
      <c r="Q204" s="624">
        <v>0</v>
      </c>
      <c r="R204" s="623">
        <v>0</v>
      </c>
    </row>
    <row r="205" spans="1:18" s="637" customFormat="1" ht="12.75" customHeight="1" x14ac:dyDescent="0.25">
      <c r="A205" s="637" t="s">
        <v>155</v>
      </c>
      <c r="B205" s="633" t="s">
        <v>70</v>
      </c>
      <c r="C205" s="633"/>
      <c r="D205" s="633">
        <v>0</v>
      </c>
      <c r="E205" s="633">
        <v>0</v>
      </c>
      <c r="F205" s="633">
        <v>0</v>
      </c>
      <c r="G205" s="633">
        <v>0</v>
      </c>
      <c r="H205" s="633">
        <v>0</v>
      </c>
      <c r="I205" s="633">
        <v>0</v>
      </c>
      <c r="J205" s="633">
        <v>0</v>
      </c>
      <c r="K205" s="633">
        <v>0</v>
      </c>
      <c r="L205" s="633">
        <v>0</v>
      </c>
      <c r="M205" s="633">
        <v>0</v>
      </c>
      <c r="N205" s="633">
        <v>0</v>
      </c>
      <c r="O205" s="633">
        <v>0</v>
      </c>
      <c r="P205" s="637">
        <v>0</v>
      </c>
      <c r="Q205" s="633">
        <v>0</v>
      </c>
      <c r="R205" s="633">
        <v>0</v>
      </c>
    </row>
    <row r="206" spans="1:18" ht="12.75" customHeight="1" x14ac:dyDescent="0.25">
      <c r="C206" s="616" t="s">
        <v>72</v>
      </c>
      <c r="D206" s="618">
        <v>0</v>
      </c>
      <c r="E206" s="618">
        <v>0</v>
      </c>
      <c r="F206" s="618">
        <v>0</v>
      </c>
      <c r="G206" s="620">
        <v>0</v>
      </c>
      <c r="H206" s="618">
        <v>0</v>
      </c>
      <c r="I206" s="618">
        <v>0</v>
      </c>
      <c r="J206" s="618">
        <v>0</v>
      </c>
      <c r="K206" s="618">
        <v>0</v>
      </c>
      <c r="L206" s="618">
        <v>0</v>
      </c>
      <c r="M206" s="618">
        <v>0</v>
      </c>
      <c r="N206" s="618">
        <v>0</v>
      </c>
      <c r="O206" s="618">
        <v>0</v>
      </c>
      <c r="P206" s="618">
        <v>0</v>
      </c>
      <c r="Q206" s="618">
        <v>0</v>
      </c>
      <c r="R206" s="616">
        <v>0</v>
      </c>
    </row>
    <row r="207" spans="1:18" ht="12.6" customHeight="1" x14ac:dyDescent="0.25">
      <c r="C207" s="616" t="s">
        <v>81</v>
      </c>
      <c r="D207" s="618">
        <v>0</v>
      </c>
      <c r="E207" s="618">
        <v>0</v>
      </c>
      <c r="F207" s="618">
        <v>0</v>
      </c>
      <c r="G207" s="620">
        <v>0</v>
      </c>
      <c r="H207" s="618">
        <v>0</v>
      </c>
      <c r="I207" s="618">
        <v>0</v>
      </c>
      <c r="J207" s="618">
        <v>0</v>
      </c>
      <c r="K207" s="618">
        <v>0</v>
      </c>
      <c r="L207" s="618">
        <v>0</v>
      </c>
      <c r="M207" s="618">
        <v>0</v>
      </c>
      <c r="N207" s="618">
        <v>0</v>
      </c>
      <c r="O207" s="618">
        <v>0</v>
      </c>
      <c r="P207" s="618">
        <v>0</v>
      </c>
      <c r="Q207" s="618">
        <v>0</v>
      </c>
      <c r="R207" s="616">
        <v>0</v>
      </c>
    </row>
    <row r="208" spans="1:18" s="621" customFormat="1" ht="12.75" customHeight="1" x14ac:dyDescent="0.25">
      <c r="B208" s="622" t="s">
        <v>78</v>
      </c>
      <c r="C208" s="622" t="s">
        <v>70</v>
      </c>
      <c r="D208" s="622">
        <v>0</v>
      </c>
      <c r="E208" s="622">
        <v>0</v>
      </c>
      <c r="F208" s="622">
        <v>0</v>
      </c>
      <c r="G208" s="622">
        <v>0</v>
      </c>
      <c r="H208" s="622">
        <v>0</v>
      </c>
      <c r="I208" s="622">
        <v>0</v>
      </c>
      <c r="J208" s="622">
        <v>0</v>
      </c>
      <c r="K208" s="622">
        <v>0</v>
      </c>
      <c r="L208" s="622">
        <v>0</v>
      </c>
      <c r="M208" s="622">
        <v>0</v>
      </c>
      <c r="N208" s="622">
        <v>0</v>
      </c>
      <c r="O208" s="622">
        <v>0</v>
      </c>
      <c r="P208" s="621">
        <v>0</v>
      </c>
      <c r="Q208" s="622">
        <v>0</v>
      </c>
      <c r="R208" s="622">
        <v>0</v>
      </c>
    </row>
    <row r="209" spans="1:18" ht="12.75" customHeight="1" x14ac:dyDescent="0.25">
      <c r="C209" s="616" t="s">
        <v>73</v>
      </c>
      <c r="D209" s="618">
        <v>0</v>
      </c>
      <c r="E209" s="618">
        <v>0</v>
      </c>
      <c r="F209" s="618">
        <v>0</v>
      </c>
      <c r="G209" s="620">
        <v>0</v>
      </c>
      <c r="H209" s="618">
        <v>0</v>
      </c>
      <c r="I209" s="618">
        <v>0</v>
      </c>
      <c r="J209" s="618">
        <v>0</v>
      </c>
      <c r="K209" s="618">
        <v>0</v>
      </c>
      <c r="L209" s="618">
        <v>0</v>
      </c>
      <c r="M209" s="618">
        <v>0</v>
      </c>
      <c r="N209" s="618">
        <v>0</v>
      </c>
      <c r="O209" s="618">
        <v>0</v>
      </c>
      <c r="P209" s="618">
        <v>0</v>
      </c>
      <c r="Q209" s="618">
        <v>0</v>
      </c>
      <c r="R209" s="616">
        <v>0</v>
      </c>
    </row>
    <row r="210" spans="1:18" s="623" customFormat="1" ht="12.75" customHeight="1" x14ac:dyDescent="0.25">
      <c r="B210" s="624" t="s">
        <v>79</v>
      </c>
      <c r="C210" s="624" t="s">
        <v>70</v>
      </c>
      <c r="D210" s="624">
        <v>0</v>
      </c>
      <c r="E210" s="624">
        <v>0</v>
      </c>
      <c r="F210" s="624">
        <v>0</v>
      </c>
      <c r="G210" s="624">
        <v>0</v>
      </c>
      <c r="H210" s="624">
        <v>0</v>
      </c>
      <c r="I210" s="624">
        <v>0</v>
      </c>
      <c r="J210" s="624">
        <v>0</v>
      </c>
      <c r="K210" s="624">
        <v>0</v>
      </c>
      <c r="L210" s="624">
        <v>0</v>
      </c>
      <c r="M210" s="624">
        <v>0</v>
      </c>
      <c r="N210" s="624">
        <v>0</v>
      </c>
      <c r="O210" s="624">
        <v>0</v>
      </c>
      <c r="P210" s="623">
        <v>0</v>
      </c>
      <c r="Q210" s="624">
        <v>0</v>
      </c>
      <c r="R210" s="624">
        <v>0</v>
      </c>
    </row>
    <row r="211" spans="1:18" s="628" customFormat="1" ht="12.75" customHeight="1" x14ac:dyDescent="0.25">
      <c r="A211" s="628" t="s">
        <v>119</v>
      </c>
      <c r="B211" s="628" t="s">
        <v>70</v>
      </c>
      <c r="D211" s="628">
        <v>0</v>
      </c>
      <c r="E211" s="628">
        <v>0</v>
      </c>
      <c r="F211" s="628">
        <v>0</v>
      </c>
      <c r="G211" s="628">
        <v>0</v>
      </c>
      <c r="H211" s="628">
        <v>0</v>
      </c>
      <c r="I211" s="628">
        <v>0</v>
      </c>
      <c r="J211" s="628">
        <v>0</v>
      </c>
      <c r="K211" s="628">
        <v>0</v>
      </c>
      <c r="L211" s="628">
        <v>0</v>
      </c>
      <c r="M211" s="628">
        <v>0</v>
      </c>
      <c r="N211" s="628">
        <v>0</v>
      </c>
      <c r="O211" s="628">
        <v>0</v>
      </c>
      <c r="P211" s="628">
        <v>0</v>
      </c>
      <c r="Q211" s="628">
        <v>0</v>
      </c>
      <c r="R211" s="628">
        <v>0</v>
      </c>
    </row>
    <row r="212" spans="1:18" s="631" customFormat="1" ht="12.75" customHeight="1" x14ac:dyDescent="0.25">
      <c r="A212" s="630" t="s">
        <v>70</v>
      </c>
      <c r="D212" s="630">
        <v>0</v>
      </c>
      <c r="E212" s="630">
        <v>0</v>
      </c>
      <c r="F212" s="630">
        <v>0</v>
      </c>
      <c r="G212" s="630">
        <v>0</v>
      </c>
      <c r="H212" s="630">
        <v>0</v>
      </c>
      <c r="I212" s="630">
        <v>0</v>
      </c>
      <c r="J212" s="630">
        <v>0</v>
      </c>
      <c r="K212" s="630">
        <v>0</v>
      </c>
      <c r="L212" s="630">
        <v>0</v>
      </c>
      <c r="M212" s="630">
        <v>0</v>
      </c>
      <c r="N212" s="630">
        <v>0</v>
      </c>
      <c r="O212" s="630">
        <v>0</v>
      </c>
      <c r="P212" s="631">
        <v>0</v>
      </c>
      <c r="Q212" s="631">
        <v>0</v>
      </c>
      <c r="R212" s="631">
        <v>0</v>
      </c>
    </row>
    <row r="213" spans="1:18" ht="12.75" customHeight="1" x14ac:dyDescent="0.25">
      <c r="A213" s="618"/>
      <c r="D213" s="618"/>
      <c r="E213" s="618"/>
      <c r="F213" s="618"/>
      <c r="G213" s="618"/>
      <c r="H213" s="618"/>
      <c r="I213" s="618"/>
      <c r="J213" s="618"/>
      <c r="K213" s="618"/>
      <c r="L213" s="618"/>
      <c r="M213" s="618"/>
      <c r="N213" s="618"/>
      <c r="O213" s="618"/>
    </row>
    <row r="214" spans="1:18" ht="12.75" customHeight="1" x14ac:dyDescent="0.25">
      <c r="A214" s="618"/>
      <c r="D214" s="618"/>
      <c r="E214" s="618"/>
      <c r="F214" s="618"/>
      <c r="G214" s="618"/>
      <c r="H214" s="618"/>
      <c r="I214" s="618"/>
      <c r="J214" s="618"/>
      <c r="K214" s="618"/>
      <c r="L214" s="618"/>
      <c r="M214" s="618"/>
      <c r="N214" s="618"/>
      <c r="O214" s="618"/>
    </row>
    <row r="215" spans="1:18" ht="12.75" customHeight="1" x14ac:dyDescent="0.25">
      <c r="A215" s="618"/>
      <c r="D215" s="618"/>
      <c r="E215" s="618"/>
      <c r="F215" s="618"/>
      <c r="G215" s="618"/>
      <c r="H215" s="618"/>
      <c r="I215" s="618"/>
      <c r="J215" s="618"/>
      <c r="K215" s="618"/>
      <c r="L215" s="618"/>
      <c r="M215" s="618"/>
      <c r="N215" s="618"/>
      <c r="O215" s="618"/>
    </row>
    <row r="216" spans="1:18" ht="12.75" customHeight="1" x14ac:dyDescent="0.25">
      <c r="A216" s="618"/>
      <c r="D216" s="618"/>
      <c r="E216" s="618"/>
      <c r="F216" s="618"/>
      <c r="G216" s="618"/>
      <c r="H216" s="618"/>
      <c r="I216" s="618"/>
      <c r="J216" s="618"/>
      <c r="K216" s="618"/>
      <c r="L216" s="618"/>
      <c r="M216" s="618"/>
      <c r="N216" s="618"/>
      <c r="O216" s="618"/>
    </row>
    <row r="217" spans="1:18" ht="12.75" customHeight="1" x14ac:dyDescent="0.25">
      <c r="A217" s="782" t="s">
        <v>2</v>
      </c>
      <c r="B217" s="781" t="s">
        <v>132</v>
      </c>
      <c r="C217" s="766" t="s">
        <v>70</v>
      </c>
      <c r="D217" s="766">
        <f>D212-P212</f>
        <v>0</v>
      </c>
      <c r="E217" s="766">
        <f>E202+E208</f>
        <v>0</v>
      </c>
      <c r="F217" s="766">
        <f t="shared" ref="F217:R217" si="8">F202+F208</f>
        <v>0</v>
      </c>
      <c r="G217" s="766">
        <f t="shared" si="8"/>
        <v>0</v>
      </c>
      <c r="H217" s="766">
        <f t="shared" si="8"/>
        <v>0</v>
      </c>
      <c r="I217" s="766">
        <f t="shared" si="8"/>
        <v>0</v>
      </c>
      <c r="J217" s="766">
        <f t="shared" si="8"/>
        <v>0</v>
      </c>
      <c r="K217" s="766">
        <f t="shared" si="8"/>
        <v>0</v>
      </c>
      <c r="L217" s="766">
        <f t="shared" si="8"/>
        <v>0</v>
      </c>
      <c r="M217" s="766">
        <f t="shared" si="8"/>
        <v>0</v>
      </c>
      <c r="N217" s="766">
        <f t="shared" si="8"/>
        <v>0</v>
      </c>
      <c r="O217" s="766">
        <f t="shared" si="8"/>
        <v>0</v>
      </c>
      <c r="P217" s="766">
        <f t="shared" si="8"/>
        <v>0</v>
      </c>
      <c r="Q217" s="766">
        <f t="shared" si="8"/>
        <v>0</v>
      </c>
      <c r="R217" s="766">
        <f t="shared" si="8"/>
        <v>0</v>
      </c>
    </row>
    <row r="218" spans="1:18" ht="12.75" customHeight="1" x14ac:dyDescent="0.25">
      <c r="A218" s="782"/>
      <c r="B218" s="781"/>
      <c r="C218" s="766" t="s">
        <v>73</v>
      </c>
      <c r="D218" s="766">
        <f>D204+D210</f>
        <v>0</v>
      </c>
      <c r="E218" s="618"/>
      <c r="F218" s="618"/>
      <c r="G218" s="618"/>
      <c r="H218" s="618"/>
      <c r="I218" s="618"/>
      <c r="J218" s="618"/>
      <c r="K218" s="618"/>
      <c r="L218" s="618"/>
      <c r="M218" s="618"/>
      <c r="N218" s="618"/>
      <c r="O218" s="618"/>
      <c r="P218" s="618"/>
      <c r="Q218" s="618"/>
      <c r="R218" s="618"/>
    </row>
    <row r="219" spans="1:18" ht="12.75" customHeight="1" x14ac:dyDescent="0.25">
      <c r="A219" s="617"/>
      <c r="D219" s="618"/>
      <c r="E219" s="618"/>
      <c r="F219" s="618"/>
      <c r="G219" s="618"/>
      <c r="H219" s="618"/>
      <c r="I219" s="618"/>
      <c r="J219" s="618"/>
      <c r="K219" s="618"/>
      <c r="L219" s="618"/>
      <c r="M219" s="618"/>
      <c r="N219" s="618"/>
      <c r="O219" s="618"/>
      <c r="P219" s="618"/>
      <c r="Q219" s="618"/>
      <c r="R219" s="618"/>
    </row>
    <row r="220" spans="1:18" ht="12.75" customHeight="1" x14ac:dyDescent="0.25">
      <c r="A220" s="782" t="s">
        <v>160</v>
      </c>
      <c r="B220" s="781" t="s">
        <v>132</v>
      </c>
      <c r="C220" s="632" t="s">
        <v>70</v>
      </c>
      <c r="D220" s="632">
        <v>0</v>
      </c>
      <c r="E220" s="632">
        <v>0</v>
      </c>
      <c r="F220" s="632">
        <v>0</v>
      </c>
      <c r="G220" s="632">
        <v>0</v>
      </c>
      <c r="H220" s="632">
        <v>0</v>
      </c>
      <c r="I220" s="632">
        <v>0</v>
      </c>
      <c r="J220" s="632">
        <v>0</v>
      </c>
      <c r="K220" s="632">
        <v>0</v>
      </c>
      <c r="L220" s="632">
        <v>0</v>
      </c>
      <c r="M220" s="632">
        <v>0</v>
      </c>
      <c r="N220" s="632">
        <v>0</v>
      </c>
      <c r="O220" s="632">
        <v>0</v>
      </c>
      <c r="P220" s="632">
        <v>0</v>
      </c>
      <c r="Q220" s="632">
        <v>0</v>
      </c>
      <c r="R220" s="632">
        <v>0</v>
      </c>
    </row>
    <row r="221" spans="1:18" ht="12.75" customHeight="1" x14ac:dyDescent="0.25">
      <c r="A221" s="782"/>
      <c r="B221" s="781"/>
      <c r="C221" s="632" t="s">
        <v>73</v>
      </c>
      <c r="D221" s="632">
        <v>0</v>
      </c>
      <c r="E221" s="618"/>
      <c r="F221" s="618"/>
      <c r="G221" s="618"/>
      <c r="H221" s="618"/>
      <c r="I221" s="618"/>
      <c r="J221" s="618"/>
      <c r="K221" s="618"/>
      <c r="L221" s="618"/>
      <c r="M221" s="618"/>
      <c r="N221" s="618"/>
      <c r="O221" s="618"/>
      <c r="P221" s="618"/>
      <c r="Q221" s="618"/>
      <c r="R221" s="618"/>
    </row>
    <row r="222" spans="1:18" ht="12.75" customHeight="1" x14ac:dyDescent="0.25">
      <c r="A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</row>
    <row r="223" spans="1:18" ht="12.75" customHeight="1" x14ac:dyDescent="0.25">
      <c r="A223" s="782" t="s">
        <v>155</v>
      </c>
      <c r="B223" s="781" t="s">
        <v>132</v>
      </c>
      <c r="C223" s="633" t="s">
        <v>70</v>
      </c>
      <c r="D223" s="633">
        <f>D205-P205</f>
        <v>0</v>
      </c>
      <c r="E223" s="633">
        <f>E202</f>
        <v>0</v>
      </c>
      <c r="F223" s="633">
        <f t="shared" ref="F223:R223" si="9">F202</f>
        <v>0</v>
      </c>
      <c r="G223" s="633">
        <f t="shared" si="9"/>
        <v>0</v>
      </c>
      <c r="H223" s="633">
        <f t="shared" si="9"/>
        <v>0</v>
      </c>
      <c r="I223" s="633">
        <f t="shared" si="9"/>
        <v>0</v>
      </c>
      <c r="J223" s="633">
        <f t="shared" si="9"/>
        <v>0</v>
      </c>
      <c r="K223" s="633">
        <f t="shared" si="9"/>
        <v>0</v>
      </c>
      <c r="L223" s="633">
        <f t="shared" si="9"/>
        <v>0</v>
      </c>
      <c r="M223" s="633">
        <f t="shared" si="9"/>
        <v>0</v>
      </c>
      <c r="N223" s="633">
        <f t="shared" si="9"/>
        <v>0</v>
      </c>
      <c r="O223" s="633">
        <f t="shared" si="9"/>
        <v>0</v>
      </c>
      <c r="P223" s="633">
        <f t="shared" si="9"/>
        <v>0</v>
      </c>
      <c r="Q223" s="633">
        <f t="shared" si="9"/>
        <v>0</v>
      </c>
      <c r="R223" s="633">
        <f t="shared" si="9"/>
        <v>0</v>
      </c>
    </row>
    <row r="224" spans="1:18" ht="12.75" customHeight="1" x14ac:dyDescent="0.25">
      <c r="A224" s="782"/>
      <c r="B224" s="781"/>
      <c r="C224" s="633" t="s">
        <v>73</v>
      </c>
      <c r="D224" s="633">
        <f>D204</f>
        <v>0</v>
      </c>
      <c r="E224" s="618"/>
      <c r="F224" s="618"/>
      <c r="G224" s="618"/>
      <c r="H224" s="618"/>
      <c r="I224" s="618"/>
      <c r="J224" s="618"/>
      <c r="K224" s="618"/>
      <c r="L224" s="618"/>
      <c r="M224" s="618"/>
      <c r="N224" s="618"/>
      <c r="O224" s="618"/>
      <c r="P224" s="618"/>
      <c r="Q224" s="618"/>
      <c r="R224" s="618"/>
    </row>
    <row r="225" spans="1:18" ht="12.75" customHeight="1" x14ac:dyDescent="0.25">
      <c r="A225" s="722"/>
      <c r="B225" s="721"/>
      <c r="C225" s="618"/>
      <c r="D225" s="618"/>
      <c r="E225" s="618"/>
      <c r="F225" s="618"/>
      <c r="G225" s="618"/>
      <c r="H225" s="618"/>
      <c r="I225" s="618"/>
      <c r="J225" s="618"/>
      <c r="K225" s="618"/>
      <c r="L225" s="618"/>
      <c r="M225" s="618"/>
      <c r="N225" s="618"/>
      <c r="O225" s="618"/>
      <c r="P225" s="618"/>
      <c r="Q225" s="618"/>
      <c r="R225" s="618"/>
    </row>
    <row r="226" spans="1:18" ht="12.75" customHeight="1" x14ac:dyDescent="0.25">
      <c r="A226" s="780" t="s">
        <v>326</v>
      </c>
      <c r="B226" s="781" t="s">
        <v>132</v>
      </c>
      <c r="C226" s="633" t="s">
        <v>70</v>
      </c>
      <c r="D226" s="720">
        <v>0</v>
      </c>
      <c r="E226" s="720">
        <v>0</v>
      </c>
      <c r="F226" s="720">
        <v>0</v>
      </c>
      <c r="G226" s="720">
        <v>0</v>
      </c>
      <c r="H226" s="720">
        <v>0</v>
      </c>
      <c r="I226" s="720">
        <v>0</v>
      </c>
      <c r="J226" s="720">
        <v>0</v>
      </c>
      <c r="K226" s="720">
        <v>0</v>
      </c>
      <c r="L226" s="720">
        <v>0</v>
      </c>
      <c r="M226" s="720">
        <v>0</v>
      </c>
      <c r="N226" s="720">
        <v>0</v>
      </c>
      <c r="O226" s="720">
        <v>0</v>
      </c>
      <c r="P226" s="720">
        <v>0</v>
      </c>
      <c r="Q226" s="720">
        <v>0</v>
      </c>
      <c r="R226" s="720">
        <v>0</v>
      </c>
    </row>
    <row r="227" spans="1:18" ht="12.75" customHeight="1" x14ac:dyDescent="0.25">
      <c r="A227" s="780"/>
      <c r="B227" s="781"/>
      <c r="C227" s="633" t="s">
        <v>73</v>
      </c>
      <c r="D227" s="720">
        <v>0</v>
      </c>
      <c r="E227" s="618"/>
      <c r="F227" s="618"/>
      <c r="G227" s="618"/>
      <c r="H227" s="618"/>
      <c r="I227" s="618"/>
      <c r="J227" s="618"/>
      <c r="K227" s="618"/>
      <c r="L227" s="618"/>
      <c r="M227" s="618"/>
      <c r="N227" s="618"/>
      <c r="O227" s="618"/>
      <c r="P227" s="618"/>
      <c r="Q227" s="618"/>
    </row>
    <row r="228" spans="1:18" ht="12.75" customHeight="1" x14ac:dyDescent="0.25">
      <c r="A228" s="617"/>
      <c r="D228" s="618"/>
      <c r="E228" s="618"/>
      <c r="F228" s="618"/>
      <c r="G228" s="618"/>
      <c r="H228" s="618"/>
      <c r="I228" s="618"/>
      <c r="J228" s="618"/>
      <c r="K228" s="618"/>
      <c r="L228" s="618"/>
      <c r="M228" s="618"/>
      <c r="N228" s="618"/>
      <c r="O228" s="618"/>
      <c r="P228" s="618"/>
      <c r="Q228" s="618"/>
      <c r="R228" s="618"/>
    </row>
    <row r="229" spans="1:18" ht="12.75" customHeight="1" x14ac:dyDescent="0.25">
      <c r="A229" s="782" t="s">
        <v>119</v>
      </c>
      <c r="B229" s="781" t="s">
        <v>132</v>
      </c>
      <c r="C229" s="628" t="s">
        <v>70</v>
      </c>
      <c r="D229" s="628">
        <f>D211-P211</f>
        <v>0</v>
      </c>
      <c r="E229" s="628">
        <f>E208</f>
        <v>0</v>
      </c>
      <c r="F229" s="628">
        <f t="shared" ref="F229:R229" si="10">F208</f>
        <v>0</v>
      </c>
      <c r="G229" s="628">
        <f t="shared" si="10"/>
        <v>0</v>
      </c>
      <c r="H229" s="628">
        <f t="shared" si="10"/>
        <v>0</v>
      </c>
      <c r="I229" s="628">
        <f t="shared" si="10"/>
        <v>0</v>
      </c>
      <c r="J229" s="628">
        <f t="shared" si="10"/>
        <v>0</v>
      </c>
      <c r="K229" s="628">
        <f t="shared" si="10"/>
        <v>0</v>
      </c>
      <c r="L229" s="628">
        <f t="shared" si="10"/>
        <v>0</v>
      </c>
      <c r="M229" s="628">
        <f t="shared" si="10"/>
        <v>0</v>
      </c>
      <c r="N229" s="628">
        <f t="shared" si="10"/>
        <v>0</v>
      </c>
      <c r="O229" s="628">
        <f t="shared" si="10"/>
        <v>0</v>
      </c>
      <c r="P229" s="628">
        <f t="shared" si="10"/>
        <v>0</v>
      </c>
      <c r="Q229" s="628">
        <f t="shared" si="10"/>
        <v>0</v>
      </c>
      <c r="R229" s="628">
        <f t="shared" si="10"/>
        <v>0</v>
      </c>
    </row>
    <row r="230" spans="1:18" ht="12.75" customHeight="1" x14ac:dyDescent="0.25">
      <c r="A230" s="782"/>
      <c r="B230" s="781"/>
      <c r="C230" s="628" t="s">
        <v>73</v>
      </c>
      <c r="D230" s="628">
        <f>D210</f>
        <v>0</v>
      </c>
      <c r="E230" s="618"/>
      <c r="F230" s="618"/>
      <c r="G230" s="618"/>
      <c r="H230" s="618"/>
      <c r="I230" s="618"/>
      <c r="J230" s="618"/>
      <c r="K230" s="618"/>
      <c r="L230" s="618"/>
      <c r="M230" s="618"/>
      <c r="N230" s="618"/>
      <c r="O230" s="618"/>
      <c r="P230" s="618"/>
      <c r="Q230" s="618"/>
      <c r="R230" s="618"/>
    </row>
    <row r="231" spans="1:18" ht="12.75" customHeight="1" x14ac:dyDescent="0.25">
      <c r="A231" s="617"/>
      <c r="D231" s="618"/>
      <c r="E231" s="618"/>
      <c r="F231" s="618"/>
      <c r="G231" s="618"/>
      <c r="H231" s="618"/>
      <c r="I231" s="618"/>
      <c r="J231" s="618"/>
      <c r="K231" s="618"/>
      <c r="L231" s="618"/>
      <c r="M231" s="618"/>
      <c r="N231" s="618"/>
      <c r="O231" s="618"/>
      <c r="P231" s="618"/>
      <c r="Q231" s="618"/>
      <c r="R231" s="618"/>
    </row>
    <row r="232" spans="1:18" ht="12.75" customHeight="1" x14ac:dyDescent="0.25">
      <c r="A232" s="783" t="s">
        <v>161</v>
      </c>
      <c r="B232" s="781" t="s">
        <v>132</v>
      </c>
      <c r="C232" s="634" t="s">
        <v>70</v>
      </c>
      <c r="D232" s="634">
        <v>0</v>
      </c>
      <c r="E232" s="634">
        <v>0</v>
      </c>
      <c r="F232" s="634">
        <v>0</v>
      </c>
      <c r="G232" s="634">
        <v>0</v>
      </c>
      <c r="H232" s="634">
        <v>0</v>
      </c>
      <c r="I232" s="634">
        <v>0</v>
      </c>
      <c r="J232" s="634">
        <v>0</v>
      </c>
      <c r="K232" s="634">
        <v>0</v>
      </c>
      <c r="L232" s="634">
        <v>0</v>
      </c>
      <c r="M232" s="634">
        <v>0</v>
      </c>
      <c r="N232" s="634">
        <v>0</v>
      </c>
      <c r="O232" s="634">
        <v>0</v>
      </c>
      <c r="P232" s="634">
        <v>0</v>
      </c>
      <c r="Q232" s="634">
        <v>0</v>
      </c>
      <c r="R232" s="634">
        <v>0</v>
      </c>
    </row>
    <row r="233" spans="1:18" ht="12.75" customHeight="1" x14ac:dyDescent="0.25">
      <c r="A233" s="783"/>
      <c r="B233" s="781"/>
      <c r="C233" s="634" t="s">
        <v>73</v>
      </c>
      <c r="D233" s="634">
        <v>0</v>
      </c>
      <c r="E233" s="618"/>
      <c r="F233" s="618"/>
      <c r="G233" s="618"/>
      <c r="H233" s="618"/>
      <c r="I233" s="618"/>
      <c r="J233" s="618"/>
      <c r="K233" s="618"/>
      <c r="L233" s="618"/>
      <c r="M233" s="618"/>
      <c r="N233" s="618"/>
      <c r="O233" s="618"/>
      <c r="P233" s="618"/>
      <c r="Q233" s="618"/>
    </row>
    <row r="234" spans="1:18" s="635" customFormat="1" x14ac:dyDescent="0.25"/>
    <row r="235" spans="1:18" x14ac:dyDescent="0.25">
      <c r="B235" s="617" t="s">
        <v>88</v>
      </c>
    </row>
    <row r="236" spans="1:18" ht="12.75" customHeight="1" x14ac:dyDescent="0.25">
      <c r="D236" s="618" t="s">
        <v>70</v>
      </c>
      <c r="E236" s="618" t="s">
        <v>64</v>
      </c>
      <c r="F236" s="618" t="s">
        <v>65</v>
      </c>
      <c r="G236" s="619" t="s">
        <v>164</v>
      </c>
      <c r="H236" s="618" t="s">
        <v>69</v>
      </c>
      <c r="I236" s="618" t="s">
        <v>68</v>
      </c>
      <c r="J236" s="618" t="s">
        <v>66</v>
      </c>
      <c r="K236" s="618" t="s">
        <v>63</v>
      </c>
      <c r="L236" s="618" t="s">
        <v>61</v>
      </c>
      <c r="M236" s="618" t="s">
        <v>62</v>
      </c>
      <c r="N236" s="618" t="s">
        <v>67</v>
      </c>
      <c r="O236" s="618" t="s">
        <v>77</v>
      </c>
      <c r="P236" s="618" t="s">
        <v>71</v>
      </c>
      <c r="Q236" s="618" t="s">
        <v>80</v>
      </c>
      <c r="R236" s="616" t="s">
        <v>168</v>
      </c>
    </row>
    <row r="237" spans="1:18" ht="12.75" customHeight="1" x14ac:dyDescent="0.25">
      <c r="C237" s="616" t="s">
        <v>72</v>
      </c>
      <c r="D237" s="620">
        <v>0</v>
      </c>
      <c r="E237" s="618">
        <v>0</v>
      </c>
      <c r="F237" s="618">
        <v>0</v>
      </c>
      <c r="G237" s="620">
        <v>0</v>
      </c>
      <c r="H237" s="618">
        <v>0</v>
      </c>
      <c r="I237" s="618">
        <v>0</v>
      </c>
      <c r="J237" s="618">
        <v>0</v>
      </c>
      <c r="K237" s="618">
        <v>0</v>
      </c>
      <c r="L237" s="618">
        <v>0</v>
      </c>
      <c r="M237" s="618">
        <v>0</v>
      </c>
      <c r="N237" s="618">
        <v>0</v>
      </c>
      <c r="O237" s="618">
        <v>0</v>
      </c>
      <c r="P237" s="618">
        <v>0</v>
      </c>
      <c r="Q237" s="618">
        <v>0</v>
      </c>
      <c r="R237" s="616">
        <v>0</v>
      </c>
    </row>
    <row r="238" spans="1:18" ht="12.75" customHeight="1" x14ac:dyDescent="0.25">
      <c r="C238" s="616" t="s">
        <v>81</v>
      </c>
      <c r="D238" s="620">
        <v>0</v>
      </c>
      <c r="E238" s="618">
        <v>0</v>
      </c>
      <c r="F238" s="618">
        <v>0</v>
      </c>
      <c r="G238" s="620">
        <v>0</v>
      </c>
      <c r="H238" s="618">
        <v>0</v>
      </c>
      <c r="I238" s="618">
        <v>0</v>
      </c>
      <c r="J238" s="618">
        <v>0</v>
      </c>
      <c r="K238" s="618">
        <v>0</v>
      </c>
      <c r="L238" s="618">
        <v>0</v>
      </c>
      <c r="M238" s="618">
        <v>0</v>
      </c>
      <c r="N238" s="618">
        <v>0</v>
      </c>
      <c r="O238" s="618">
        <v>0</v>
      </c>
      <c r="P238" s="618">
        <v>0</v>
      </c>
      <c r="Q238" s="618">
        <v>0</v>
      </c>
      <c r="R238" s="616">
        <v>0</v>
      </c>
    </row>
    <row r="239" spans="1:18" s="621" customFormat="1" ht="12.75" customHeight="1" x14ac:dyDescent="0.25">
      <c r="B239" s="622" t="s">
        <v>78</v>
      </c>
      <c r="C239" s="622" t="s">
        <v>70</v>
      </c>
      <c r="D239" s="622">
        <v>0</v>
      </c>
      <c r="E239" s="622">
        <v>0</v>
      </c>
      <c r="F239" s="622">
        <v>0</v>
      </c>
      <c r="G239" s="622">
        <v>0</v>
      </c>
      <c r="H239" s="622">
        <v>0</v>
      </c>
      <c r="I239" s="622">
        <v>0</v>
      </c>
      <c r="J239" s="622">
        <v>0</v>
      </c>
      <c r="K239" s="622">
        <v>0</v>
      </c>
      <c r="L239" s="622">
        <v>0</v>
      </c>
      <c r="M239" s="622">
        <v>0</v>
      </c>
      <c r="N239" s="622">
        <v>0</v>
      </c>
      <c r="O239" s="622">
        <v>0</v>
      </c>
      <c r="P239" s="621">
        <v>0</v>
      </c>
      <c r="Q239" s="622">
        <v>0</v>
      </c>
      <c r="R239" s="622">
        <v>0</v>
      </c>
    </row>
    <row r="240" spans="1:18" ht="12.75" customHeight="1" x14ac:dyDescent="0.25">
      <c r="C240" s="616" t="s">
        <v>73</v>
      </c>
      <c r="D240" s="620">
        <v>0</v>
      </c>
      <c r="E240" s="618">
        <v>0</v>
      </c>
      <c r="F240" s="618">
        <v>0</v>
      </c>
      <c r="G240" s="620">
        <v>0</v>
      </c>
      <c r="H240" s="618">
        <v>0</v>
      </c>
      <c r="I240" s="618">
        <v>0</v>
      </c>
      <c r="J240" s="618">
        <v>0</v>
      </c>
      <c r="K240" s="618">
        <v>0</v>
      </c>
      <c r="L240" s="618">
        <v>0</v>
      </c>
      <c r="M240" s="618">
        <v>0</v>
      </c>
      <c r="N240" s="618">
        <v>0</v>
      </c>
      <c r="O240" s="618">
        <v>0</v>
      </c>
      <c r="P240" s="618">
        <v>0</v>
      </c>
      <c r="Q240" s="618">
        <v>0</v>
      </c>
      <c r="R240" s="616">
        <v>0</v>
      </c>
    </row>
    <row r="241" spans="1:18" s="623" customFormat="1" ht="12.75" customHeight="1" x14ac:dyDescent="0.25">
      <c r="B241" s="624" t="s">
        <v>79</v>
      </c>
      <c r="C241" s="624" t="s">
        <v>70</v>
      </c>
      <c r="D241" s="624">
        <v>0</v>
      </c>
      <c r="E241" s="624">
        <v>0</v>
      </c>
      <c r="F241" s="624">
        <v>0</v>
      </c>
      <c r="G241" s="624">
        <v>0</v>
      </c>
      <c r="H241" s="624">
        <v>0</v>
      </c>
      <c r="I241" s="624">
        <v>0</v>
      </c>
      <c r="J241" s="624">
        <v>0</v>
      </c>
      <c r="K241" s="624">
        <v>0</v>
      </c>
      <c r="L241" s="624">
        <v>0</v>
      </c>
      <c r="M241" s="624">
        <v>0</v>
      </c>
      <c r="N241" s="624">
        <v>0</v>
      </c>
      <c r="O241" s="624">
        <v>0</v>
      </c>
      <c r="P241" s="623">
        <v>0</v>
      </c>
      <c r="Q241" s="624">
        <v>0</v>
      </c>
      <c r="R241" s="624">
        <v>0</v>
      </c>
    </row>
    <row r="242" spans="1:18" s="755" customFormat="1" ht="12.75" customHeight="1" x14ac:dyDescent="0.25">
      <c r="A242" s="755" t="s">
        <v>155</v>
      </c>
      <c r="B242" s="755" t="s">
        <v>70</v>
      </c>
      <c r="D242" s="756">
        <v>0</v>
      </c>
      <c r="E242" s="757">
        <v>0</v>
      </c>
      <c r="F242" s="757">
        <v>0</v>
      </c>
      <c r="G242" s="756">
        <v>0</v>
      </c>
      <c r="H242" s="757">
        <v>0</v>
      </c>
      <c r="I242" s="757">
        <v>0</v>
      </c>
      <c r="J242" s="757">
        <v>0</v>
      </c>
      <c r="K242" s="757">
        <v>0</v>
      </c>
      <c r="L242" s="757">
        <v>0</v>
      </c>
      <c r="M242" s="757">
        <v>0</v>
      </c>
      <c r="N242" s="757">
        <v>0</v>
      </c>
      <c r="O242" s="757">
        <v>0</v>
      </c>
      <c r="P242" s="757">
        <v>0</v>
      </c>
      <c r="Q242" s="757">
        <v>0</v>
      </c>
      <c r="R242" s="755">
        <v>0</v>
      </c>
    </row>
    <row r="243" spans="1:18" ht="12.75" customHeight="1" x14ac:dyDescent="0.25">
      <c r="C243" s="616" t="s">
        <v>72</v>
      </c>
      <c r="D243" s="620">
        <v>0</v>
      </c>
      <c r="E243" s="618">
        <v>0</v>
      </c>
      <c r="F243" s="618">
        <v>0</v>
      </c>
      <c r="G243" s="620">
        <v>0</v>
      </c>
      <c r="H243" s="618">
        <v>0</v>
      </c>
      <c r="I243" s="618">
        <v>0</v>
      </c>
      <c r="J243" s="618">
        <v>0</v>
      </c>
      <c r="K243" s="618">
        <v>0</v>
      </c>
      <c r="L243" s="618">
        <v>0</v>
      </c>
      <c r="M243" s="618">
        <v>0</v>
      </c>
      <c r="N243" s="618">
        <v>0</v>
      </c>
      <c r="O243" s="618">
        <v>0</v>
      </c>
      <c r="P243" s="618">
        <v>0</v>
      </c>
      <c r="Q243" s="618">
        <v>0</v>
      </c>
      <c r="R243" s="616">
        <v>0</v>
      </c>
    </row>
    <row r="244" spans="1:18" ht="12.75" customHeight="1" x14ac:dyDescent="0.25">
      <c r="C244" s="616" t="s">
        <v>81</v>
      </c>
      <c r="D244" s="620">
        <v>0</v>
      </c>
      <c r="E244" s="618">
        <v>0</v>
      </c>
      <c r="F244" s="618">
        <v>0</v>
      </c>
      <c r="G244" s="620">
        <v>0</v>
      </c>
      <c r="H244" s="618">
        <v>0</v>
      </c>
      <c r="I244" s="618">
        <v>0</v>
      </c>
      <c r="J244" s="618">
        <v>0</v>
      </c>
      <c r="K244" s="618">
        <v>0</v>
      </c>
      <c r="L244" s="618">
        <v>0</v>
      </c>
      <c r="M244" s="618">
        <v>0</v>
      </c>
      <c r="N244" s="618">
        <v>0</v>
      </c>
      <c r="O244" s="618">
        <v>0</v>
      </c>
      <c r="P244" s="618">
        <v>0</v>
      </c>
      <c r="Q244" s="618">
        <v>0</v>
      </c>
      <c r="R244" s="616">
        <v>0</v>
      </c>
    </row>
    <row r="245" spans="1:18" s="621" customFormat="1" ht="12.75" customHeight="1" x14ac:dyDescent="0.25">
      <c r="B245" s="622" t="s">
        <v>78</v>
      </c>
      <c r="C245" s="622" t="s">
        <v>70</v>
      </c>
      <c r="D245" s="622">
        <v>0</v>
      </c>
      <c r="E245" s="622">
        <v>0</v>
      </c>
      <c r="F245" s="622">
        <v>0</v>
      </c>
      <c r="G245" s="622">
        <v>0</v>
      </c>
      <c r="H245" s="622">
        <v>0</v>
      </c>
      <c r="I245" s="622">
        <v>0</v>
      </c>
      <c r="J245" s="622">
        <v>0</v>
      </c>
      <c r="K245" s="622">
        <v>0</v>
      </c>
      <c r="L245" s="622">
        <v>0</v>
      </c>
      <c r="M245" s="622">
        <v>0</v>
      </c>
      <c r="N245" s="622">
        <v>0</v>
      </c>
      <c r="O245" s="622">
        <v>0</v>
      </c>
      <c r="P245" s="621">
        <v>0</v>
      </c>
      <c r="Q245" s="622">
        <v>0</v>
      </c>
      <c r="R245" s="622">
        <v>0</v>
      </c>
    </row>
    <row r="246" spans="1:18" ht="12.75" customHeight="1" x14ac:dyDescent="0.25">
      <c r="C246" s="616" t="s">
        <v>73</v>
      </c>
      <c r="D246" s="620">
        <v>0</v>
      </c>
      <c r="E246" s="618">
        <v>0</v>
      </c>
      <c r="F246" s="618">
        <v>0</v>
      </c>
      <c r="G246" s="620">
        <v>0</v>
      </c>
      <c r="H246" s="618">
        <v>0</v>
      </c>
      <c r="I246" s="618">
        <v>0</v>
      </c>
      <c r="J246" s="618">
        <v>0</v>
      </c>
      <c r="K246" s="618">
        <v>0</v>
      </c>
      <c r="L246" s="618">
        <v>0</v>
      </c>
      <c r="M246" s="618">
        <v>0</v>
      </c>
      <c r="N246" s="618">
        <v>0</v>
      </c>
      <c r="O246" s="618">
        <v>0</v>
      </c>
      <c r="P246" s="618">
        <v>0</v>
      </c>
      <c r="Q246" s="618">
        <v>0</v>
      </c>
      <c r="R246" s="616">
        <v>0</v>
      </c>
    </row>
    <row r="247" spans="1:18" s="623" customFormat="1" ht="12.75" customHeight="1" x14ac:dyDescent="0.25">
      <c r="B247" s="624" t="s">
        <v>79</v>
      </c>
      <c r="C247" s="624" t="s">
        <v>70</v>
      </c>
      <c r="D247" s="624">
        <v>0</v>
      </c>
      <c r="E247" s="624">
        <v>0</v>
      </c>
      <c r="F247" s="624">
        <v>0</v>
      </c>
      <c r="G247" s="624">
        <v>0</v>
      </c>
      <c r="H247" s="624">
        <v>0</v>
      </c>
      <c r="I247" s="624">
        <v>0</v>
      </c>
      <c r="J247" s="624">
        <v>0</v>
      </c>
      <c r="K247" s="624">
        <v>0</v>
      </c>
      <c r="L247" s="624">
        <v>0</v>
      </c>
      <c r="M247" s="624">
        <v>0</v>
      </c>
      <c r="N247" s="624">
        <v>0</v>
      </c>
      <c r="O247" s="624">
        <v>0</v>
      </c>
      <c r="P247" s="623">
        <v>0</v>
      </c>
      <c r="Q247" s="624">
        <v>0</v>
      </c>
      <c r="R247" s="624">
        <v>0</v>
      </c>
    </row>
    <row r="248" spans="1:18" s="763" customFormat="1" ht="12.75" customHeight="1" x14ac:dyDescent="0.25">
      <c r="A248" s="763" t="s">
        <v>120</v>
      </c>
      <c r="B248" s="763" t="s">
        <v>70</v>
      </c>
      <c r="D248" s="765">
        <v>0</v>
      </c>
      <c r="E248" s="764">
        <v>0</v>
      </c>
      <c r="F248" s="764">
        <v>0</v>
      </c>
      <c r="G248" s="765">
        <v>0</v>
      </c>
      <c r="H248" s="764">
        <v>0</v>
      </c>
      <c r="I248" s="764">
        <v>0</v>
      </c>
      <c r="J248" s="764">
        <v>0</v>
      </c>
      <c r="K248" s="764">
        <v>0</v>
      </c>
      <c r="L248" s="764">
        <v>0</v>
      </c>
      <c r="M248" s="764">
        <v>0</v>
      </c>
      <c r="N248" s="764">
        <v>0</v>
      </c>
      <c r="O248" s="764">
        <v>0</v>
      </c>
      <c r="P248" s="764">
        <v>0</v>
      </c>
      <c r="Q248" s="764">
        <v>0</v>
      </c>
      <c r="R248" s="763">
        <v>0</v>
      </c>
    </row>
    <row r="249" spans="1:18" ht="12.75" customHeight="1" x14ac:dyDescent="0.25">
      <c r="C249" s="616" t="s">
        <v>72</v>
      </c>
      <c r="D249" s="620">
        <v>0</v>
      </c>
      <c r="E249" s="618">
        <v>0</v>
      </c>
      <c r="F249" s="618">
        <v>0</v>
      </c>
      <c r="G249" s="620">
        <v>0</v>
      </c>
      <c r="H249" s="618">
        <v>0</v>
      </c>
      <c r="I249" s="618">
        <v>0</v>
      </c>
      <c r="J249" s="618">
        <v>0</v>
      </c>
      <c r="K249" s="618">
        <v>0</v>
      </c>
      <c r="L249" s="618">
        <v>0</v>
      </c>
      <c r="M249" s="618">
        <v>0</v>
      </c>
      <c r="N249" s="618">
        <v>0</v>
      </c>
      <c r="O249" s="618">
        <v>0</v>
      </c>
      <c r="P249" s="618">
        <v>0</v>
      </c>
      <c r="Q249" s="618">
        <v>0</v>
      </c>
      <c r="R249" s="616">
        <v>0</v>
      </c>
    </row>
    <row r="250" spans="1:18" ht="12.75" customHeight="1" x14ac:dyDescent="0.25">
      <c r="C250" s="616" t="s">
        <v>81</v>
      </c>
      <c r="D250" s="620">
        <v>0</v>
      </c>
      <c r="E250" s="618">
        <v>0</v>
      </c>
      <c r="F250" s="618">
        <v>0</v>
      </c>
      <c r="G250" s="620">
        <v>0</v>
      </c>
      <c r="H250" s="618">
        <v>0</v>
      </c>
      <c r="I250" s="618">
        <v>0</v>
      </c>
      <c r="J250" s="618">
        <v>0</v>
      </c>
      <c r="K250" s="618">
        <v>0</v>
      </c>
      <c r="L250" s="618">
        <v>0</v>
      </c>
      <c r="M250" s="618">
        <v>0</v>
      </c>
      <c r="N250" s="618">
        <v>0</v>
      </c>
      <c r="O250" s="618">
        <v>0</v>
      </c>
      <c r="P250" s="618">
        <v>0</v>
      </c>
      <c r="Q250" s="618">
        <v>0</v>
      </c>
      <c r="R250" s="616">
        <v>0</v>
      </c>
    </row>
    <row r="251" spans="1:18" s="621" customFormat="1" ht="12.75" customHeight="1" x14ac:dyDescent="0.25">
      <c r="B251" s="622" t="s">
        <v>78</v>
      </c>
      <c r="C251" s="622" t="s">
        <v>70</v>
      </c>
      <c r="D251" s="622">
        <v>0</v>
      </c>
      <c r="E251" s="622">
        <v>0</v>
      </c>
      <c r="F251" s="622">
        <v>0</v>
      </c>
      <c r="G251" s="622">
        <v>0</v>
      </c>
      <c r="H251" s="622">
        <v>0</v>
      </c>
      <c r="I251" s="622">
        <v>0</v>
      </c>
      <c r="J251" s="622">
        <v>0</v>
      </c>
      <c r="K251" s="622">
        <v>0</v>
      </c>
      <c r="L251" s="622">
        <v>0</v>
      </c>
      <c r="M251" s="622">
        <v>0</v>
      </c>
      <c r="N251" s="622">
        <v>0</v>
      </c>
      <c r="O251" s="622">
        <v>0</v>
      </c>
      <c r="P251" s="621">
        <v>0</v>
      </c>
      <c r="Q251" s="622">
        <v>0</v>
      </c>
      <c r="R251" s="622">
        <v>0</v>
      </c>
    </row>
    <row r="252" spans="1:18" ht="12.75" customHeight="1" x14ac:dyDescent="0.25">
      <c r="C252" s="616" t="s">
        <v>73</v>
      </c>
      <c r="D252" s="618">
        <v>0</v>
      </c>
      <c r="E252" s="618">
        <v>0</v>
      </c>
      <c r="F252" s="618">
        <v>0</v>
      </c>
      <c r="G252" s="620">
        <v>0</v>
      </c>
      <c r="H252" s="618">
        <v>0</v>
      </c>
      <c r="I252" s="618">
        <v>0</v>
      </c>
      <c r="J252" s="618">
        <v>0</v>
      </c>
      <c r="K252" s="618">
        <v>0</v>
      </c>
      <c r="L252" s="618">
        <v>0</v>
      </c>
      <c r="M252" s="618">
        <v>0</v>
      </c>
      <c r="N252" s="618">
        <v>0</v>
      </c>
      <c r="O252" s="618">
        <v>0</v>
      </c>
      <c r="P252" s="618">
        <v>0</v>
      </c>
      <c r="Q252" s="618">
        <v>0</v>
      </c>
      <c r="R252" s="616">
        <v>0</v>
      </c>
    </row>
    <row r="253" spans="1:18" s="623" customFormat="1" ht="12.75" customHeight="1" x14ac:dyDescent="0.25">
      <c r="B253" s="624" t="s">
        <v>79</v>
      </c>
      <c r="C253" s="624" t="s">
        <v>70</v>
      </c>
      <c r="D253" s="624">
        <v>0</v>
      </c>
      <c r="E253" s="624">
        <v>0</v>
      </c>
      <c r="F253" s="624">
        <v>0</v>
      </c>
      <c r="G253" s="624">
        <v>0</v>
      </c>
      <c r="H253" s="624">
        <v>0</v>
      </c>
      <c r="I253" s="624">
        <v>0</v>
      </c>
      <c r="J253" s="624">
        <v>0</v>
      </c>
      <c r="K253" s="624">
        <v>0</v>
      </c>
      <c r="L253" s="624">
        <v>0</v>
      </c>
      <c r="M253" s="624">
        <v>0</v>
      </c>
      <c r="N253" s="624">
        <v>0</v>
      </c>
      <c r="O253" s="624">
        <v>0</v>
      </c>
      <c r="P253" s="623">
        <v>0</v>
      </c>
      <c r="Q253" s="624">
        <v>0</v>
      </c>
      <c r="R253" s="624">
        <v>0</v>
      </c>
    </row>
    <row r="254" spans="1:18" s="754" customFormat="1" ht="12.75" customHeight="1" x14ac:dyDescent="0.25">
      <c r="A254" s="754" t="s">
        <v>119</v>
      </c>
      <c r="B254" s="628" t="s">
        <v>70</v>
      </c>
      <c r="C254" s="628"/>
      <c r="D254" s="628">
        <v>0</v>
      </c>
      <c r="E254" s="628">
        <v>0</v>
      </c>
      <c r="F254" s="628">
        <v>0</v>
      </c>
      <c r="G254" s="628">
        <v>0</v>
      </c>
      <c r="H254" s="628">
        <v>0</v>
      </c>
      <c r="I254" s="628">
        <v>0</v>
      </c>
      <c r="J254" s="628">
        <v>0</v>
      </c>
      <c r="K254" s="628">
        <v>0</v>
      </c>
      <c r="L254" s="628">
        <v>0</v>
      </c>
      <c r="M254" s="628">
        <v>0</v>
      </c>
      <c r="N254" s="628">
        <v>0</v>
      </c>
      <c r="O254" s="628">
        <v>0</v>
      </c>
      <c r="P254" s="754">
        <v>0</v>
      </c>
      <c r="Q254" s="628">
        <v>0</v>
      </c>
      <c r="R254" s="628">
        <v>0</v>
      </c>
    </row>
    <row r="255" spans="1:18" s="631" customFormat="1" ht="12.75" customHeight="1" x14ac:dyDescent="0.25">
      <c r="A255" s="630" t="s">
        <v>70</v>
      </c>
      <c r="D255" s="630">
        <v>0</v>
      </c>
      <c r="E255" s="630">
        <v>0</v>
      </c>
      <c r="F255" s="630">
        <v>0</v>
      </c>
      <c r="G255" s="630">
        <v>0</v>
      </c>
      <c r="H255" s="630">
        <v>0</v>
      </c>
      <c r="I255" s="630">
        <v>0</v>
      </c>
      <c r="J255" s="630">
        <v>0</v>
      </c>
      <c r="K255" s="630">
        <v>0</v>
      </c>
      <c r="L255" s="630">
        <v>0</v>
      </c>
      <c r="M255" s="630">
        <v>0</v>
      </c>
      <c r="N255" s="630">
        <v>0</v>
      </c>
      <c r="O255" s="630">
        <v>0</v>
      </c>
      <c r="P255" s="631">
        <v>0</v>
      </c>
      <c r="Q255" s="631">
        <v>0</v>
      </c>
      <c r="R255" s="631">
        <v>0</v>
      </c>
    </row>
    <row r="256" spans="1:18" ht="12.75" customHeight="1" x14ac:dyDescent="0.25">
      <c r="A256" s="618"/>
      <c r="B256" s="618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</row>
    <row r="257" spans="1:15" ht="12.75" customHeight="1" x14ac:dyDescent="0.25">
      <c r="A257" s="618"/>
      <c r="D257" s="618"/>
      <c r="E257" s="618"/>
      <c r="F257" s="618"/>
      <c r="G257" s="618"/>
      <c r="H257" s="618"/>
      <c r="I257" s="618"/>
      <c r="J257" s="618"/>
      <c r="K257" s="618"/>
      <c r="L257" s="618"/>
      <c r="M257" s="618"/>
      <c r="N257" s="618"/>
      <c r="O257" s="618"/>
    </row>
    <row r="258" spans="1:15" ht="12.75" customHeight="1" x14ac:dyDescent="0.25">
      <c r="B258" s="618"/>
      <c r="C258" s="618"/>
      <c r="D258" s="618"/>
      <c r="E258" s="618"/>
      <c r="F258" s="618"/>
      <c r="G258" s="618"/>
      <c r="H258" s="618"/>
      <c r="I258" s="618"/>
      <c r="J258" s="618"/>
      <c r="K258" s="618"/>
      <c r="L258" s="618"/>
      <c r="M258" s="618"/>
      <c r="N258" s="618"/>
      <c r="O258" s="618"/>
    </row>
    <row r="259" spans="1:15" ht="12.75" hidden="1" customHeight="1" x14ac:dyDescent="0.25">
      <c r="B259" s="618"/>
      <c r="C259" s="618"/>
      <c r="D259" s="618"/>
      <c r="E259" s="618"/>
      <c r="F259" s="618"/>
      <c r="G259" s="618"/>
      <c r="H259" s="618"/>
      <c r="I259" s="618"/>
      <c r="J259" s="618"/>
      <c r="K259" s="618"/>
      <c r="L259" s="618"/>
      <c r="M259" s="618"/>
      <c r="N259" s="618"/>
      <c r="O259" s="618"/>
    </row>
    <row r="260" spans="1:15" ht="12.75" hidden="1" customHeight="1" x14ac:dyDescent="0.25">
      <c r="B260" s="618"/>
      <c r="C260" s="618"/>
      <c r="D260" s="618"/>
      <c r="E260" s="618"/>
      <c r="F260" s="618"/>
      <c r="G260" s="618"/>
      <c r="H260" s="618"/>
      <c r="I260" s="618"/>
      <c r="J260" s="618"/>
      <c r="K260" s="618"/>
      <c r="L260" s="618"/>
      <c r="M260" s="618"/>
      <c r="N260" s="618"/>
      <c r="O260" s="618"/>
    </row>
    <row r="261" spans="1:15" ht="12.75" hidden="1" customHeight="1" x14ac:dyDescent="0.25">
      <c r="B261" s="618"/>
      <c r="C261" s="618"/>
      <c r="D261" s="618"/>
      <c r="E261" s="618"/>
      <c r="F261" s="618"/>
      <c r="G261" s="618"/>
      <c r="H261" s="618"/>
      <c r="I261" s="618"/>
      <c r="J261" s="618"/>
      <c r="K261" s="618"/>
      <c r="L261" s="618"/>
      <c r="M261" s="618"/>
      <c r="N261" s="618"/>
      <c r="O261" s="618"/>
    </row>
    <row r="262" spans="1:15" ht="12.75" hidden="1" customHeight="1" x14ac:dyDescent="0.25">
      <c r="B262" s="618"/>
      <c r="C262" s="618"/>
      <c r="D262" s="618"/>
      <c r="E262" s="618"/>
      <c r="F262" s="618"/>
      <c r="G262" s="618"/>
      <c r="H262" s="618"/>
      <c r="I262" s="618"/>
      <c r="J262" s="618"/>
      <c r="K262" s="618"/>
      <c r="L262" s="618"/>
      <c r="M262" s="618"/>
      <c r="N262" s="618"/>
      <c r="O262" s="618"/>
    </row>
    <row r="263" spans="1:15" ht="12.75" hidden="1" customHeight="1" x14ac:dyDescent="0.25">
      <c r="B263" s="618"/>
      <c r="C263" s="618"/>
      <c r="D263" s="618"/>
      <c r="E263" s="618"/>
      <c r="F263" s="618"/>
      <c r="G263" s="618"/>
      <c r="H263" s="618"/>
      <c r="I263" s="618"/>
      <c r="J263" s="618"/>
      <c r="K263" s="618"/>
      <c r="L263" s="618"/>
      <c r="M263" s="618"/>
      <c r="N263" s="618"/>
      <c r="O263" s="618"/>
    </row>
    <row r="264" spans="1:15" ht="12.75" hidden="1" customHeight="1" x14ac:dyDescent="0.25">
      <c r="B264" s="618"/>
      <c r="C264" s="618"/>
      <c r="D264" s="618"/>
      <c r="E264" s="618"/>
      <c r="F264" s="618"/>
      <c r="G264" s="618"/>
      <c r="H264" s="618"/>
      <c r="I264" s="618"/>
      <c r="J264" s="618"/>
      <c r="K264" s="618"/>
      <c r="L264" s="618"/>
      <c r="M264" s="618"/>
      <c r="N264" s="618"/>
      <c r="O264" s="618"/>
    </row>
    <row r="265" spans="1:15" ht="12.75" hidden="1" customHeight="1" x14ac:dyDescent="0.25">
      <c r="B265" s="618"/>
      <c r="C265" s="618"/>
      <c r="D265" s="618"/>
      <c r="E265" s="618"/>
      <c r="F265" s="618"/>
      <c r="G265" s="618"/>
      <c r="H265" s="618"/>
      <c r="I265" s="618"/>
      <c r="J265" s="618"/>
      <c r="K265" s="618"/>
      <c r="L265" s="618"/>
      <c r="M265" s="618"/>
      <c r="N265" s="618"/>
      <c r="O265" s="618"/>
    </row>
    <row r="266" spans="1:15" ht="12.75" hidden="1" customHeight="1" x14ac:dyDescent="0.25">
      <c r="B266" s="618"/>
      <c r="C266" s="618"/>
      <c r="D266" s="618"/>
      <c r="E266" s="618"/>
      <c r="F266" s="618"/>
      <c r="G266" s="618"/>
      <c r="H266" s="618"/>
      <c r="I266" s="618"/>
      <c r="J266" s="618"/>
      <c r="K266" s="618"/>
      <c r="L266" s="618"/>
      <c r="M266" s="618"/>
      <c r="N266" s="618"/>
      <c r="O266" s="618"/>
    </row>
    <row r="267" spans="1:15" ht="12.75" hidden="1" customHeight="1" x14ac:dyDescent="0.25">
      <c r="B267" s="618"/>
      <c r="C267" s="618"/>
      <c r="D267" s="618"/>
      <c r="E267" s="618"/>
      <c r="F267" s="618"/>
      <c r="G267" s="618"/>
      <c r="H267" s="618"/>
      <c r="I267" s="618"/>
      <c r="J267" s="618"/>
      <c r="K267" s="618"/>
      <c r="L267" s="618"/>
      <c r="M267" s="618"/>
      <c r="N267" s="618"/>
      <c r="O267" s="618"/>
    </row>
    <row r="268" spans="1:15" ht="12.75" hidden="1" customHeight="1" x14ac:dyDescent="0.25">
      <c r="B268" s="618"/>
      <c r="C268" s="618"/>
      <c r="D268" s="618"/>
      <c r="E268" s="618"/>
      <c r="F268" s="618"/>
      <c r="G268" s="618"/>
      <c r="H268" s="618"/>
      <c r="I268" s="618"/>
      <c r="J268" s="618"/>
      <c r="K268" s="618"/>
      <c r="L268" s="618"/>
      <c r="M268" s="618"/>
      <c r="N268" s="618"/>
      <c r="O268" s="618"/>
    </row>
    <row r="269" spans="1:15" ht="12.75" hidden="1" customHeight="1" x14ac:dyDescent="0.25">
      <c r="B269" s="618"/>
      <c r="C269" s="618"/>
      <c r="D269" s="618"/>
      <c r="E269" s="618"/>
      <c r="F269" s="618"/>
      <c r="G269" s="618"/>
      <c r="H269" s="618"/>
      <c r="I269" s="618"/>
      <c r="J269" s="618"/>
      <c r="K269" s="618"/>
      <c r="L269" s="618"/>
      <c r="M269" s="618"/>
      <c r="N269" s="618"/>
      <c r="O269" s="618"/>
    </row>
    <row r="270" spans="1:15" ht="12.75" hidden="1" customHeight="1" x14ac:dyDescent="0.25">
      <c r="B270" s="618"/>
      <c r="C270" s="618"/>
      <c r="D270" s="618"/>
      <c r="E270" s="618"/>
      <c r="F270" s="618"/>
      <c r="G270" s="618"/>
      <c r="H270" s="618"/>
      <c r="I270" s="618"/>
      <c r="J270" s="618"/>
      <c r="K270" s="618"/>
      <c r="L270" s="618"/>
      <c r="M270" s="618"/>
      <c r="N270" s="618"/>
      <c r="O270" s="618"/>
    </row>
    <row r="271" spans="1:15" ht="12.75" hidden="1" customHeight="1" x14ac:dyDescent="0.25">
      <c r="B271" s="618"/>
      <c r="C271" s="618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</row>
    <row r="272" spans="1:15" ht="12.75" hidden="1" customHeight="1" x14ac:dyDescent="0.25">
      <c r="B272" s="618"/>
      <c r="C272" s="618"/>
      <c r="D272" s="618"/>
      <c r="E272" s="618"/>
      <c r="F272" s="618"/>
      <c r="G272" s="618"/>
      <c r="H272" s="618"/>
      <c r="I272" s="618"/>
      <c r="J272" s="618"/>
      <c r="K272" s="618"/>
      <c r="L272" s="618"/>
      <c r="M272" s="618"/>
      <c r="N272" s="618"/>
      <c r="O272" s="618"/>
    </row>
    <row r="273" spans="2:15" ht="12.75" hidden="1" customHeight="1" x14ac:dyDescent="0.25">
      <c r="B273" s="618"/>
      <c r="C273" s="618"/>
      <c r="D273" s="618"/>
      <c r="E273" s="618"/>
      <c r="F273" s="618"/>
      <c r="G273" s="618"/>
      <c r="H273" s="618"/>
      <c r="I273" s="618"/>
      <c r="J273" s="618"/>
      <c r="K273" s="618"/>
      <c r="L273" s="618"/>
      <c r="M273" s="618"/>
      <c r="N273" s="618"/>
      <c r="O273" s="618"/>
    </row>
    <row r="274" spans="2:15" ht="12.75" hidden="1" customHeight="1" x14ac:dyDescent="0.25">
      <c r="B274" s="618"/>
      <c r="C274" s="618"/>
      <c r="D274" s="618"/>
      <c r="E274" s="618"/>
      <c r="F274" s="618"/>
      <c r="G274" s="618"/>
      <c r="H274" s="618"/>
      <c r="I274" s="618"/>
      <c r="J274" s="618"/>
      <c r="K274" s="618"/>
      <c r="L274" s="618"/>
      <c r="M274" s="618"/>
      <c r="N274" s="618"/>
      <c r="O274" s="618"/>
    </row>
    <row r="275" spans="2:15" ht="12.75" hidden="1" customHeight="1" x14ac:dyDescent="0.25">
      <c r="B275" s="618"/>
      <c r="C275" s="618"/>
      <c r="D275" s="618"/>
      <c r="E275" s="618"/>
      <c r="F275" s="618"/>
      <c r="G275" s="618"/>
      <c r="H275" s="618"/>
      <c r="I275" s="618"/>
      <c r="J275" s="618"/>
      <c r="K275" s="618"/>
      <c r="L275" s="618"/>
      <c r="M275" s="618"/>
      <c r="N275" s="618"/>
      <c r="O275" s="618"/>
    </row>
    <row r="276" spans="2:15" ht="12.75" hidden="1" customHeight="1" x14ac:dyDescent="0.25">
      <c r="B276" s="618"/>
      <c r="C276" s="618"/>
      <c r="D276" s="618"/>
      <c r="E276" s="618"/>
      <c r="F276" s="618"/>
      <c r="G276" s="618"/>
      <c r="H276" s="618"/>
      <c r="I276" s="618"/>
      <c r="J276" s="618"/>
      <c r="K276" s="618"/>
      <c r="L276" s="618"/>
      <c r="M276" s="618"/>
      <c r="N276" s="618"/>
      <c r="O276" s="618"/>
    </row>
    <row r="277" spans="2:15" ht="12.75" hidden="1" customHeight="1" x14ac:dyDescent="0.25">
      <c r="B277" s="618"/>
      <c r="C277" s="618"/>
      <c r="D277" s="618"/>
      <c r="E277" s="618"/>
      <c r="F277" s="618"/>
      <c r="G277" s="618"/>
      <c r="H277" s="618"/>
      <c r="I277" s="618"/>
      <c r="J277" s="618"/>
      <c r="K277" s="618"/>
      <c r="L277" s="618"/>
      <c r="M277" s="618"/>
      <c r="N277" s="618"/>
      <c r="O277" s="618"/>
    </row>
    <row r="278" spans="2:15" ht="12.75" hidden="1" customHeight="1" x14ac:dyDescent="0.25">
      <c r="B278" s="618"/>
      <c r="C278" s="618"/>
      <c r="D278" s="618"/>
      <c r="E278" s="618"/>
      <c r="F278" s="618"/>
      <c r="G278" s="618"/>
      <c r="H278" s="618"/>
      <c r="I278" s="618"/>
      <c r="J278" s="618"/>
      <c r="K278" s="618"/>
      <c r="L278" s="618"/>
      <c r="M278" s="618"/>
      <c r="N278" s="618"/>
      <c r="O278" s="618"/>
    </row>
    <row r="279" spans="2:15" ht="12.75" hidden="1" customHeight="1" x14ac:dyDescent="0.25">
      <c r="B279" s="618"/>
      <c r="C279" s="618"/>
      <c r="D279" s="618"/>
      <c r="E279" s="618"/>
      <c r="F279" s="618"/>
      <c r="G279" s="618"/>
      <c r="H279" s="618"/>
      <c r="I279" s="618"/>
      <c r="J279" s="618"/>
      <c r="K279" s="618"/>
      <c r="L279" s="618"/>
      <c r="M279" s="618"/>
      <c r="N279" s="618"/>
      <c r="O279" s="618"/>
    </row>
    <row r="280" spans="2:15" ht="12.75" hidden="1" customHeight="1" x14ac:dyDescent="0.25">
      <c r="B280" s="618"/>
      <c r="C280" s="618"/>
      <c r="D280" s="618"/>
      <c r="E280" s="618"/>
      <c r="F280" s="618"/>
      <c r="G280" s="618"/>
      <c r="H280" s="618"/>
      <c r="I280" s="618"/>
      <c r="J280" s="618"/>
      <c r="K280" s="618"/>
      <c r="L280" s="618"/>
      <c r="M280" s="618"/>
      <c r="N280" s="618"/>
      <c r="O280" s="618"/>
    </row>
    <row r="281" spans="2:15" ht="12.75" hidden="1" customHeight="1" x14ac:dyDescent="0.25">
      <c r="B281" s="618"/>
      <c r="C281" s="618"/>
      <c r="D281" s="618"/>
      <c r="E281" s="618"/>
      <c r="F281" s="618"/>
      <c r="G281" s="618"/>
      <c r="H281" s="618"/>
      <c r="I281" s="618"/>
      <c r="J281" s="618"/>
      <c r="K281" s="618"/>
      <c r="L281" s="618"/>
      <c r="M281" s="618"/>
      <c r="N281" s="618"/>
      <c r="O281" s="618"/>
    </row>
    <row r="282" spans="2:15" ht="12.75" hidden="1" customHeight="1" x14ac:dyDescent="0.25">
      <c r="B282" s="618"/>
      <c r="C282" s="618"/>
      <c r="D282" s="618"/>
      <c r="E282" s="618"/>
      <c r="F282" s="618"/>
      <c r="G282" s="618"/>
      <c r="H282" s="618"/>
      <c r="I282" s="618"/>
      <c r="J282" s="618"/>
      <c r="K282" s="618"/>
      <c r="L282" s="618"/>
      <c r="M282" s="618"/>
      <c r="N282" s="618"/>
      <c r="O282" s="618"/>
    </row>
    <row r="283" spans="2:15" ht="12.75" hidden="1" customHeight="1" x14ac:dyDescent="0.25">
      <c r="B283" s="618"/>
      <c r="C283" s="618"/>
      <c r="D283" s="618"/>
      <c r="E283" s="618"/>
      <c r="F283" s="618"/>
      <c r="G283" s="618"/>
      <c r="H283" s="618"/>
      <c r="I283" s="618"/>
      <c r="J283" s="618"/>
      <c r="K283" s="618"/>
      <c r="L283" s="618"/>
      <c r="M283" s="618"/>
      <c r="N283" s="618"/>
      <c r="O283" s="618"/>
    </row>
    <row r="284" spans="2:15" ht="12.75" hidden="1" customHeight="1" x14ac:dyDescent="0.25">
      <c r="B284" s="618"/>
      <c r="C284" s="618"/>
      <c r="D284" s="618"/>
      <c r="E284" s="618"/>
      <c r="F284" s="618"/>
      <c r="G284" s="618"/>
      <c r="H284" s="618"/>
      <c r="I284" s="618"/>
      <c r="J284" s="618"/>
      <c r="K284" s="618"/>
      <c r="L284" s="618"/>
      <c r="M284" s="618"/>
      <c r="N284" s="618"/>
      <c r="O284" s="618"/>
    </row>
    <row r="285" spans="2:15" ht="12.75" hidden="1" customHeight="1" x14ac:dyDescent="0.25">
      <c r="B285" s="618"/>
      <c r="C285" s="618"/>
      <c r="D285" s="618"/>
      <c r="E285" s="618"/>
      <c r="F285" s="618"/>
      <c r="G285" s="618"/>
      <c r="H285" s="618"/>
      <c r="I285" s="618"/>
      <c r="J285" s="618"/>
      <c r="K285" s="618"/>
      <c r="L285" s="618"/>
      <c r="M285" s="618"/>
      <c r="N285" s="618"/>
      <c r="O285" s="618"/>
    </row>
    <row r="286" spans="2:15" ht="12.75" hidden="1" customHeight="1" x14ac:dyDescent="0.25">
      <c r="B286" s="618"/>
      <c r="C286" s="618"/>
      <c r="D286" s="618"/>
      <c r="E286" s="618"/>
      <c r="F286" s="618"/>
      <c r="G286" s="618"/>
      <c r="H286" s="618"/>
      <c r="I286" s="618"/>
      <c r="J286" s="618"/>
      <c r="K286" s="618"/>
      <c r="L286" s="618"/>
      <c r="M286" s="618"/>
      <c r="N286" s="618"/>
      <c r="O286" s="618"/>
    </row>
    <row r="287" spans="2:15" ht="12.75" hidden="1" customHeight="1" x14ac:dyDescent="0.25">
      <c r="B287" s="618"/>
      <c r="C287" s="618"/>
      <c r="D287" s="618"/>
      <c r="E287" s="618"/>
      <c r="F287" s="618"/>
      <c r="G287" s="618"/>
      <c r="H287" s="618"/>
      <c r="I287" s="618"/>
      <c r="J287" s="618"/>
      <c r="K287" s="618"/>
      <c r="L287" s="618"/>
      <c r="M287" s="618"/>
      <c r="N287" s="618"/>
      <c r="O287" s="618"/>
    </row>
    <row r="288" spans="2:15" ht="12.75" hidden="1" customHeight="1" x14ac:dyDescent="0.25">
      <c r="B288" s="618"/>
      <c r="C288" s="618"/>
      <c r="D288" s="618"/>
      <c r="E288" s="618"/>
      <c r="F288" s="618"/>
      <c r="G288" s="618"/>
      <c r="H288" s="618"/>
      <c r="I288" s="618"/>
      <c r="J288" s="618"/>
      <c r="K288" s="618"/>
      <c r="L288" s="618"/>
      <c r="M288" s="618"/>
      <c r="N288" s="618"/>
      <c r="O288" s="618"/>
    </row>
    <row r="289" spans="2:15" ht="12.75" hidden="1" customHeight="1" x14ac:dyDescent="0.25">
      <c r="B289" s="618"/>
      <c r="C289" s="618"/>
      <c r="D289" s="618"/>
      <c r="E289" s="618"/>
      <c r="F289" s="618"/>
      <c r="G289" s="618"/>
      <c r="H289" s="618"/>
      <c r="I289" s="618"/>
      <c r="J289" s="618"/>
      <c r="K289" s="618"/>
      <c r="L289" s="618"/>
      <c r="M289" s="618"/>
      <c r="N289" s="618"/>
      <c r="O289" s="618"/>
    </row>
    <row r="290" spans="2:15" ht="12.75" hidden="1" customHeight="1" x14ac:dyDescent="0.25">
      <c r="B290" s="618"/>
      <c r="C290" s="618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</row>
    <row r="291" spans="2:15" ht="12.75" hidden="1" customHeight="1" x14ac:dyDescent="0.25">
      <c r="B291" s="618"/>
      <c r="C291" s="618"/>
      <c r="D291" s="618"/>
      <c r="E291" s="618"/>
      <c r="F291" s="618"/>
      <c r="G291" s="618"/>
      <c r="H291" s="618"/>
      <c r="I291" s="618"/>
      <c r="J291" s="618"/>
      <c r="K291" s="618"/>
      <c r="L291" s="618"/>
      <c r="M291" s="618"/>
      <c r="N291" s="618"/>
      <c r="O291" s="618"/>
    </row>
    <row r="292" spans="2:15" ht="12.75" hidden="1" customHeight="1" x14ac:dyDescent="0.25">
      <c r="B292" s="618"/>
      <c r="C292" s="618"/>
      <c r="D292" s="618"/>
      <c r="E292" s="618"/>
      <c r="F292" s="618"/>
      <c r="G292" s="618"/>
      <c r="H292" s="618"/>
      <c r="I292" s="618"/>
      <c r="J292" s="618"/>
      <c r="K292" s="618"/>
      <c r="L292" s="618"/>
      <c r="M292" s="618"/>
      <c r="N292" s="618"/>
      <c r="O292" s="618"/>
    </row>
    <row r="293" spans="2:15" ht="12.75" hidden="1" customHeight="1" x14ac:dyDescent="0.25">
      <c r="B293" s="618"/>
      <c r="C293" s="618"/>
      <c r="D293" s="618"/>
      <c r="E293" s="618"/>
      <c r="F293" s="618"/>
      <c r="G293" s="618"/>
      <c r="H293" s="618"/>
      <c r="I293" s="618"/>
      <c r="J293" s="618"/>
      <c r="K293" s="618"/>
      <c r="L293" s="618"/>
      <c r="M293" s="618"/>
      <c r="N293" s="618"/>
      <c r="O293" s="618"/>
    </row>
    <row r="294" spans="2:15" ht="12.75" hidden="1" customHeight="1" x14ac:dyDescent="0.25">
      <c r="B294" s="618"/>
      <c r="C294" s="618"/>
      <c r="D294" s="618"/>
      <c r="E294" s="618"/>
      <c r="F294" s="618"/>
      <c r="G294" s="618"/>
      <c r="H294" s="618"/>
      <c r="I294" s="618"/>
      <c r="J294" s="618"/>
      <c r="K294" s="618"/>
      <c r="L294" s="618"/>
      <c r="M294" s="618"/>
      <c r="N294" s="618"/>
      <c r="O294" s="618"/>
    </row>
    <row r="295" spans="2:15" ht="12.75" hidden="1" customHeight="1" x14ac:dyDescent="0.25">
      <c r="B295" s="618"/>
      <c r="C295" s="618"/>
      <c r="D295" s="618"/>
      <c r="E295" s="618"/>
      <c r="F295" s="618"/>
      <c r="G295" s="618"/>
      <c r="H295" s="618"/>
      <c r="I295" s="618"/>
      <c r="J295" s="618"/>
      <c r="K295" s="618"/>
      <c r="L295" s="618"/>
      <c r="M295" s="618"/>
      <c r="N295" s="618"/>
      <c r="O295" s="618"/>
    </row>
    <row r="296" spans="2:15" ht="12.75" hidden="1" customHeight="1" x14ac:dyDescent="0.25">
      <c r="B296" s="618"/>
      <c r="C296" s="618"/>
      <c r="D296" s="618"/>
      <c r="E296" s="618"/>
      <c r="F296" s="618"/>
      <c r="G296" s="618"/>
      <c r="H296" s="618"/>
      <c r="I296" s="618"/>
      <c r="J296" s="618"/>
      <c r="K296" s="618"/>
      <c r="L296" s="618"/>
      <c r="M296" s="618"/>
      <c r="N296" s="618"/>
      <c r="O296" s="618"/>
    </row>
    <row r="297" spans="2:15" ht="12.75" hidden="1" customHeight="1" x14ac:dyDescent="0.25">
      <c r="B297" s="618"/>
      <c r="C297" s="618"/>
      <c r="D297" s="618"/>
      <c r="E297" s="618"/>
      <c r="F297" s="618"/>
      <c r="G297" s="618"/>
      <c r="H297" s="618"/>
      <c r="I297" s="618"/>
      <c r="J297" s="618"/>
      <c r="K297" s="618"/>
      <c r="L297" s="618"/>
      <c r="M297" s="618"/>
      <c r="N297" s="618"/>
      <c r="O297" s="618"/>
    </row>
    <row r="298" spans="2:15" ht="12.75" hidden="1" customHeight="1" x14ac:dyDescent="0.25">
      <c r="B298" s="618"/>
      <c r="C298" s="618"/>
      <c r="D298" s="618"/>
      <c r="E298" s="618"/>
      <c r="F298" s="618"/>
      <c r="G298" s="618"/>
      <c r="H298" s="618"/>
      <c r="I298" s="618"/>
      <c r="J298" s="618"/>
      <c r="K298" s="618"/>
      <c r="L298" s="618"/>
      <c r="M298" s="618"/>
      <c r="N298" s="618"/>
      <c r="O298" s="618"/>
    </row>
    <row r="299" spans="2:15" ht="12.75" hidden="1" customHeight="1" x14ac:dyDescent="0.25">
      <c r="B299" s="618"/>
      <c r="C299" s="618"/>
      <c r="D299" s="618"/>
      <c r="E299" s="618"/>
      <c r="F299" s="618"/>
      <c r="G299" s="618"/>
      <c r="H299" s="618"/>
      <c r="I299" s="618"/>
      <c r="J299" s="618"/>
      <c r="K299" s="618"/>
      <c r="L299" s="618"/>
      <c r="M299" s="618"/>
      <c r="N299" s="618"/>
      <c r="O299" s="618"/>
    </row>
    <row r="300" spans="2:15" ht="12.75" hidden="1" customHeight="1" x14ac:dyDescent="0.25">
      <c r="B300" s="618"/>
      <c r="C300" s="618"/>
      <c r="D300" s="618"/>
      <c r="E300" s="618"/>
      <c r="F300" s="618"/>
      <c r="G300" s="618"/>
      <c r="H300" s="618"/>
      <c r="I300" s="618"/>
      <c r="J300" s="618"/>
      <c r="K300" s="618"/>
      <c r="L300" s="618"/>
      <c r="M300" s="618"/>
      <c r="N300" s="618"/>
      <c r="O300" s="618"/>
    </row>
    <row r="301" spans="2:15" ht="12.75" hidden="1" customHeight="1" x14ac:dyDescent="0.25">
      <c r="B301" s="618"/>
      <c r="C301" s="618"/>
      <c r="D301" s="618"/>
      <c r="E301" s="618"/>
      <c r="F301" s="618"/>
      <c r="G301" s="618"/>
      <c r="H301" s="618"/>
      <c r="I301" s="618"/>
      <c r="J301" s="618"/>
      <c r="K301" s="618"/>
      <c r="L301" s="618"/>
      <c r="M301" s="618"/>
      <c r="N301" s="618"/>
      <c r="O301" s="618"/>
    </row>
    <row r="302" spans="2:15" ht="12.75" hidden="1" customHeight="1" x14ac:dyDescent="0.25">
      <c r="B302" s="618"/>
      <c r="C302" s="618"/>
      <c r="D302" s="618"/>
      <c r="E302" s="618"/>
      <c r="F302" s="618"/>
      <c r="G302" s="618"/>
      <c r="H302" s="618"/>
      <c r="I302" s="618"/>
      <c r="J302" s="618"/>
      <c r="K302" s="618"/>
      <c r="L302" s="618"/>
      <c r="M302" s="618"/>
      <c r="N302" s="618"/>
      <c r="O302" s="618"/>
    </row>
    <row r="303" spans="2:15" ht="12.75" hidden="1" customHeight="1" x14ac:dyDescent="0.25">
      <c r="B303" s="618"/>
      <c r="C303" s="618"/>
      <c r="D303" s="618"/>
      <c r="E303" s="618"/>
      <c r="F303" s="618"/>
      <c r="G303" s="618"/>
      <c r="H303" s="618"/>
      <c r="I303" s="618"/>
      <c r="J303" s="618"/>
      <c r="K303" s="618"/>
      <c r="L303" s="618"/>
      <c r="M303" s="618"/>
      <c r="N303" s="618"/>
      <c r="O303" s="618"/>
    </row>
    <row r="304" spans="2:15" ht="12.75" hidden="1" customHeight="1" x14ac:dyDescent="0.25">
      <c r="B304" s="618"/>
      <c r="C304" s="618"/>
      <c r="D304" s="618"/>
      <c r="E304" s="618"/>
      <c r="F304" s="618"/>
      <c r="G304" s="618"/>
      <c r="H304" s="618"/>
      <c r="I304" s="618"/>
      <c r="J304" s="618"/>
      <c r="K304" s="618"/>
      <c r="L304" s="618"/>
      <c r="M304" s="618"/>
      <c r="N304" s="618"/>
      <c r="O304" s="618"/>
    </row>
    <row r="305" spans="2:15" ht="12.75" hidden="1" customHeight="1" x14ac:dyDescent="0.25">
      <c r="B305" s="618"/>
      <c r="C305" s="618"/>
      <c r="D305" s="618"/>
      <c r="E305" s="618"/>
      <c r="F305" s="618"/>
      <c r="G305" s="618"/>
      <c r="H305" s="618"/>
      <c r="I305" s="618"/>
      <c r="J305" s="618"/>
      <c r="K305" s="618"/>
      <c r="L305" s="618"/>
      <c r="M305" s="618"/>
      <c r="N305" s="618"/>
      <c r="O305" s="618"/>
    </row>
    <row r="306" spans="2:15" ht="12.75" hidden="1" customHeight="1" x14ac:dyDescent="0.25">
      <c r="B306" s="618"/>
      <c r="C306" s="618"/>
      <c r="D306" s="618"/>
      <c r="E306" s="618"/>
      <c r="F306" s="618"/>
      <c r="G306" s="618"/>
      <c r="H306" s="618"/>
      <c r="I306" s="618"/>
      <c r="J306" s="618"/>
      <c r="K306" s="618"/>
      <c r="L306" s="618"/>
      <c r="M306" s="618"/>
      <c r="N306" s="618"/>
      <c r="O306" s="618"/>
    </row>
    <row r="307" spans="2:15" ht="12.75" hidden="1" customHeight="1" x14ac:dyDescent="0.25">
      <c r="B307" s="618"/>
      <c r="C307" s="618"/>
      <c r="D307" s="618"/>
      <c r="E307" s="618"/>
      <c r="F307" s="618"/>
      <c r="G307" s="618"/>
      <c r="H307" s="618"/>
      <c r="I307" s="618"/>
      <c r="J307" s="618"/>
      <c r="K307" s="618"/>
      <c r="L307" s="618"/>
      <c r="M307" s="618"/>
      <c r="N307" s="618"/>
      <c r="O307" s="618"/>
    </row>
    <row r="308" spans="2:15" ht="12.75" hidden="1" customHeight="1" x14ac:dyDescent="0.25">
      <c r="B308" s="618"/>
      <c r="C308" s="618"/>
      <c r="D308" s="618"/>
      <c r="E308" s="618"/>
      <c r="F308" s="618"/>
      <c r="G308" s="618"/>
      <c r="H308" s="618"/>
      <c r="I308" s="618"/>
      <c r="J308" s="618"/>
      <c r="K308" s="618"/>
      <c r="L308" s="618"/>
      <c r="M308" s="618"/>
      <c r="N308" s="618"/>
      <c r="O308" s="618"/>
    </row>
    <row r="309" spans="2:15" ht="12.75" hidden="1" customHeight="1" x14ac:dyDescent="0.25">
      <c r="B309" s="618"/>
      <c r="C309" s="618"/>
      <c r="D309" s="618"/>
      <c r="E309" s="618"/>
      <c r="F309" s="618"/>
      <c r="G309" s="618"/>
      <c r="H309" s="618"/>
      <c r="I309" s="618"/>
      <c r="J309" s="618"/>
      <c r="K309" s="618"/>
      <c r="L309" s="618"/>
      <c r="M309" s="618"/>
      <c r="N309" s="618"/>
      <c r="O309" s="618"/>
    </row>
    <row r="310" spans="2:15" ht="12.75" hidden="1" customHeight="1" x14ac:dyDescent="0.25">
      <c r="B310" s="618"/>
      <c r="C310" s="618"/>
      <c r="D310" s="618"/>
      <c r="E310" s="618"/>
      <c r="F310" s="618"/>
      <c r="G310" s="618"/>
      <c r="H310" s="618"/>
      <c r="I310" s="618"/>
      <c r="J310" s="618"/>
      <c r="K310" s="618"/>
      <c r="L310" s="618"/>
      <c r="M310" s="618"/>
      <c r="N310" s="618"/>
      <c r="O310" s="618"/>
    </row>
    <row r="311" spans="2:15" ht="12.75" hidden="1" customHeight="1" x14ac:dyDescent="0.25">
      <c r="B311" s="618"/>
      <c r="C311" s="618"/>
      <c r="D311" s="618"/>
      <c r="E311" s="618"/>
      <c r="F311" s="618"/>
      <c r="G311" s="618"/>
      <c r="H311" s="618"/>
      <c r="I311" s="618"/>
      <c r="J311" s="618"/>
      <c r="K311" s="618"/>
      <c r="L311" s="618"/>
      <c r="M311" s="618"/>
      <c r="N311" s="618"/>
      <c r="O311" s="618"/>
    </row>
    <row r="312" spans="2:15" ht="12.75" hidden="1" customHeight="1" x14ac:dyDescent="0.25">
      <c r="B312" s="618"/>
      <c r="C312" s="618"/>
      <c r="D312" s="618"/>
      <c r="E312" s="618"/>
      <c r="F312" s="618"/>
      <c r="G312" s="618"/>
      <c r="H312" s="618"/>
      <c r="I312" s="618"/>
      <c r="J312" s="618"/>
      <c r="K312" s="618"/>
      <c r="L312" s="618"/>
      <c r="M312" s="618"/>
      <c r="N312" s="618"/>
      <c r="O312" s="618"/>
    </row>
    <row r="313" spans="2:15" ht="12.75" hidden="1" customHeight="1" x14ac:dyDescent="0.25">
      <c r="B313" s="618"/>
      <c r="C313" s="618"/>
      <c r="D313" s="618"/>
      <c r="E313" s="618"/>
      <c r="F313" s="618"/>
      <c r="G313" s="618"/>
      <c r="H313" s="618"/>
      <c r="I313" s="618"/>
      <c r="J313" s="618"/>
      <c r="K313" s="618"/>
      <c r="L313" s="618"/>
      <c r="M313" s="618"/>
      <c r="N313" s="618"/>
      <c r="O313" s="618"/>
    </row>
    <row r="314" spans="2:15" ht="12.75" hidden="1" customHeight="1" x14ac:dyDescent="0.25">
      <c r="B314" s="618"/>
      <c r="C314" s="618"/>
      <c r="D314" s="618"/>
      <c r="E314" s="618"/>
      <c r="F314" s="618"/>
      <c r="G314" s="618"/>
      <c r="H314" s="618"/>
      <c r="I314" s="618"/>
      <c r="J314" s="618"/>
      <c r="K314" s="618"/>
      <c r="L314" s="618"/>
      <c r="M314" s="618"/>
      <c r="N314" s="618"/>
      <c r="O314" s="618"/>
    </row>
    <row r="315" spans="2:15" ht="12.75" hidden="1" customHeight="1" x14ac:dyDescent="0.25">
      <c r="B315" s="618"/>
      <c r="C315" s="618"/>
      <c r="D315" s="618"/>
      <c r="E315" s="618"/>
      <c r="F315" s="618"/>
      <c r="G315" s="618"/>
      <c r="H315" s="618"/>
      <c r="I315" s="618"/>
      <c r="J315" s="618"/>
      <c r="K315" s="618"/>
      <c r="L315" s="618"/>
      <c r="M315" s="618"/>
      <c r="N315" s="618"/>
      <c r="O315" s="618"/>
    </row>
    <row r="316" spans="2:15" ht="12.75" hidden="1" customHeight="1" x14ac:dyDescent="0.25">
      <c r="B316" s="618"/>
      <c r="C316" s="618"/>
      <c r="D316" s="618"/>
      <c r="E316" s="618"/>
      <c r="F316" s="618"/>
      <c r="G316" s="618"/>
      <c r="H316" s="618"/>
      <c r="I316" s="618"/>
      <c r="J316" s="618"/>
      <c r="K316" s="618"/>
      <c r="L316" s="618"/>
      <c r="M316" s="618"/>
      <c r="N316" s="618"/>
      <c r="O316" s="618"/>
    </row>
    <row r="317" spans="2:15" ht="12.75" hidden="1" customHeight="1" x14ac:dyDescent="0.25">
      <c r="B317" s="618"/>
      <c r="C317" s="618"/>
      <c r="D317" s="618"/>
      <c r="E317" s="618"/>
      <c r="F317" s="618"/>
      <c r="G317" s="618"/>
      <c r="H317" s="618"/>
      <c r="I317" s="618"/>
      <c r="J317" s="618"/>
      <c r="K317" s="618"/>
      <c r="L317" s="618"/>
      <c r="M317" s="618"/>
      <c r="N317" s="618"/>
      <c r="O317" s="618"/>
    </row>
    <row r="318" spans="2:15" ht="12.75" hidden="1" customHeight="1" x14ac:dyDescent="0.25">
      <c r="B318" s="618"/>
      <c r="C318" s="618"/>
      <c r="D318" s="618"/>
      <c r="E318" s="618"/>
      <c r="F318" s="618"/>
      <c r="G318" s="618"/>
      <c r="H318" s="618"/>
      <c r="I318" s="618"/>
      <c r="J318" s="618"/>
      <c r="K318" s="618"/>
      <c r="L318" s="618"/>
      <c r="M318" s="618"/>
      <c r="N318" s="618"/>
      <c r="O318" s="618"/>
    </row>
    <row r="319" spans="2:15" ht="12.75" hidden="1" customHeight="1" x14ac:dyDescent="0.25">
      <c r="B319" s="618"/>
      <c r="C319" s="618"/>
      <c r="D319" s="618"/>
      <c r="E319" s="618"/>
      <c r="F319" s="618"/>
      <c r="G319" s="618"/>
      <c r="H319" s="618"/>
      <c r="I319" s="618"/>
      <c r="J319" s="618"/>
      <c r="K319" s="618"/>
      <c r="L319" s="618"/>
      <c r="M319" s="618"/>
      <c r="N319" s="618"/>
      <c r="O319" s="618"/>
    </row>
    <row r="320" spans="2:15" ht="12.75" hidden="1" customHeight="1" x14ac:dyDescent="0.25">
      <c r="B320" s="618"/>
      <c r="C320" s="618"/>
      <c r="D320" s="618"/>
      <c r="E320" s="618"/>
      <c r="F320" s="618"/>
      <c r="G320" s="618"/>
      <c r="H320" s="618"/>
      <c r="I320" s="618"/>
      <c r="J320" s="618"/>
      <c r="K320" s="618"/>
      <c r="L320" s="618"/>
      <c r="M320" s="618"/>
      <c r="N320" s="618"/>
      <c r="O320" s="618"/>
    </row>
    <row r="321" spans="1:18" ht="12.75" hidden="1" customHeight="1" x14ac:dyDescent="0.25">
      <c r="B321" s="618"/>
      <c r="C321" s="618"/>
      <c r="D321" s="618"/>
      <c r="E321" s="618"/>
      <c r="F321" s="618"/>
      <c r="G321" s="618"/>
      <c r="H321" s="618"/>
      <c r="I321" s="618"/>
      <c r="J321" s="618"/>
      <c r="K321" s="618"/>
      <c r="L321" s="618"/>
      <c r="M321" s="618"/>
      <c r="N321" s="618"/>
      <c r="O321" s="618"/>
    </row>
    <row r="322" spans="1:18" ht="12.75" hidden="1" customHeight="1" x14ac:dyDescent="0.25">
      <c r="B322" s="618"/>
      <c r="C322" s="618"/>
      <c r="D322" s="618"/>
      <c r="E322" s="618"/>
      <c r="F322" s="618"/>
      <c r="G322" s="618"/>
      <c r="H322" s="618"/>
      <c r="I322" s="618"/>
      <c r="J322" s="618"/>
      <c r="K322" s="618"/>
      <c r="L322" s="618"/>
      <c r="M322" s="618"/>
      <c r="N322" s="618"/>
      <c r="O322" s="618"/>
    </row>
    <row r="323" spans="1:18" ht="12.75" hidden="1" customHeight="1" x14ac:dyDescent="0.25">
      <c r="B323" s="618"/>
      <c r="C323" s="618"/>
      <c r="D323" s="618"/>
      <c r="E323" s="618"/>
      <c r="F323" s="618"/>
      <c r="G323" s="618"/>
      <c r="H323" s="618"/>
      <c r="I323" s="618"/>
      <c r="J323" s="618"/>
      <c r="K323" s="618"/>
      <c r="L323" s="618"/>
      <c r="M323" s="618"/>
      <c r="N323" s="618"/>
      <c r="O323" s="618"/>
    </row>
    <row r="324" spans="1:18" ht="12.75" hidden="1" customHeight="1" x14ac:dyDescent="0.25">
      <c r="B324" s="618"/>
      <c r="C324" s="618"/>
      <c r="D324" s="618"/>
      <c r="E324" s="618"/>
      <c r="F324" s="618"/>
      <c r="G324" s="618"/>
      <c r="H324" s="618"/>
      <c r="I324" s="618"/>
      <c r="J324" s="618"/>
      <c r="K324" s="618"/>
      <c r="L324" s="618"/>
      <c r="M324" s="618"/>
      <c r="N324" s="618"/>
      <c r="O324" s="618"/>
    </row>
    <row r="325" spans="1:18" ht="12.75" hidden="1" customHeight="1" x14ac:dyDescent="0.25">
      <c r="B325" s="618"/>
      <c r="C325" s="618"/>
      <c r="D325" s="618"/>
      <c r="E325" s="618"/>
      <c r="F325" s="618"/>
      <c r="G325" s="618"/>
      <c r="H325" s="618"/>
      <c r="I325" s="618"/>
      <c r="J325" s="618"/>
      <c r="K325" s="618"/>
      <c r="L325" s="618"/>
      <c r="M325" s="618"/>
      <c r="N325" s="618"/>
      <c r="O325" s="618"/>
    </row>
    <row r="326" spans="1:18" ht="12.75" hidden="1" customHeight="1" x14ac:dyDescent="0.25">
      <c r="B326" s="618"/>
      <c r="C326" s="618"/>
      <c r="D326" s="618"/>
      <c r="E326" s="618"/>
      <c r="F326" s="618"/>
      <c r="G326" s="618"/>
      <c r="H326" s="618"/>
      <c r="I326" s="618"/>
      <c r="J326" s="618"/>
      <c r="K326" s="618"/>
      <c r="L326" s="618"/>
      <c r="M326" s="618"/>
      <c r="N326" s="618"/>
      <c r="O326" s="618"/>
    </row>
    <row r="327" spans="1:18" ht="12.75" hidden="1" customHeight="1" x14ac:dyDescent="0.25">
      <c r="B327" s="618"/>
      <c r="C327" s="618"/>
      <c r="D327" s="618"/>
      <c r="E327" s="618"/>
      <c r="F327" s="618"/>
      <c r="G327" s="618"/>
      <c r="H327" s="618"/>
      <c r="I327" s="618"/>
      <c r="J327" s="618"/>
      <c r="K327" s="618"/>
      <c r="L327" s="618"/>
      <c r="M327" s="618"/>
      <c r="N327" s="618"/>
      <c r="O327" s="618"/>
    </row>
    <row r="328" spans="1:18" ht="12.75" hidden="1" customHeight="1" x14ac:dyDescent="0.25">
      <c r="B328" s="618"/>
      <c r="C328" s="618"/>
      <c r="D328" s="618"/>
      <c r="E328" s="618"/>
      <c r="F328" s="618"/>
      <c r="G328" s="618"/>
      <c r="H328" s="618"/>
      <c r="I328" s="618"/>
      <c r="J328" s="618"/>
      <c r="K328" s="618"/>
      <c r="L328" s="618"/>
      <c r="M328" s="618"/>
      <c r="N328" s="618"/>
      <c r="O328" s="618"/>
    </row>
    <row r="329" spans="1:18" ht="12.75" hidden="1" customHeight="1" x14ac:dyDescent="0.25">
      <c r="B329" s="618"/>
      <c r="C329" s="618"/>
      <c r="D329" s="618"/>
      <c r="E329" s="618"/>
      <c r="F329" s="618"/>
      <c r="G329" s="618"/>
      <c r="H329" s="618"/>
      <c r="I329" s="618"/>
      <c r="J329" s="618"/>
      <c r="K329" s="618"/>
      <c r="L329" s="618"/>
      <c r="M329" s="618"/>
      <c r="N329" s="618"/>
      <c r="O329" s="618"/>
    </row>
    <row r="330" spans="1:18" ht="12.75" hidden="1" customHeight="1" x14ac:dyDescent="0.25">
      <c r="B330" s="618"/>
      <c r="C330" s="618"/>
      <c r="D330" s="618"/>
      <c r="E330" s="618"/>
      <c r="F330" s="618"/>
      <c r="G330" s="618"/>
      <c r="H330" s="618"/>
      <c r="I330" s="618"/>
      <c r="J330" s="618"/>
      <c r="K330" s="618"/>
      <c r="L330" s="618"/>
      <c r="M330" s="618"/>
      <c r="N330" s="618"/>
      <c r="O330" s="618"/>
    </row>
    <row r="331" spans="1:18" ht="12.75" customHeight="1" x14ac:dyDescent="0.25">
      <c r="B331" s="618"/>
      <c r="C331" s="618"/>
      <c r="D331" s="618"/>
      <c r="E331" s="618"/>
      <c r="F331" s="618"/>
      <c r="G331" s="618"/>
      <c r="H331" s="618"/>
      <c r="I331" s="618"/>
      <c r="J331" s="618"/>
      <c r="K331" s="618"/>
      <c r="L331" s="618"/>
      <c r="M331" s="618"/>
      <c r="N331" s="618"/>
      <c r="O331" s="618"/>
    </row>
    <row r="332" spans="1:18" ht="12.75" customHeight="1" x14ac:dyDescent="0.25">
      <c r="A332" s="782" t="s">
        <v>2</v>
      </c>
      <c r="B332" s="781" t="s">
        <v>132</v>
      </c>
      <c r="C332" s="766" t="s">
        <v>70</v>
      </c>
      <c r="D332" s="766">
        <f>D255-P255</f>
        <v>0</v>
      </c>
      <c r="E332" s="766">
        <f>E251+E245+E239</f>
        <v>0</v>
      </c>
      <c r="F332" s="766">
        <f t="shared" ref="F332:R332" si="11">F251+F245+F239</f>
        <v>0</v>
      </c>
      <c r="G332" s="766">
        <f t="shared" si="11"/>
        <v>0</v>
      </c>
      <c r="H332" s="766">
        <f t="shared" si="11"/>
        <v>0</v>
      </c>
      <c r="I332" s="766">
        <f t="shared" si="11"/>
        <v>0</v>
      </c>
      <c r="J332" s="766">
        <f t="shared" si="11"/>
        <v>0</v>
      </c>
      <c r="K332" s="766">
        <f t="shared" si="11"/>
        <v>0</v>
      </c>
      <c r="L332" s="766">
        <f t="shared" si="11"/>
        <v>0</v>
      </c>
      <c r="M332" s="766">
        <f t="shared" si="11"/>
        <v>0</v>
      </c>
      <c r="N332" s="766">
        <f t="shared" si="11"/>
        <v>0</v>
      </c>
      <c r="O332" s="766">
        <f t="shared" si="11"/>
        <v>0</v>
      </c>
      <c r="P332" s="766">
        <f t="shared" si="11"/>
        <v>0</v>
      </c>
      <c r="Q332" s="766">
        <f t="shared" si="11"/>
        <v>0</v>
      </c>
      <c r="R332" s="766">
        <f t="shared" si="11"/>
        <v>0</v>
      </c>
    </row>
    <row r="333" spans="1:18" ht="12.75" customHeight="1" x14ac:dyDescent="0.25">
      <c r="A333" s="782"/>
      <c r="B333" s="781"/>
      <c r="C333" s="766" t="s">
        <v>73</v>
      </c>
      <c r="D333" s="766">
        <f>D253+D247+D241</f>
        <v>0</v>
      </c>
      <c r="E333" s="618"/>
      <c r="F333" s="618"/>
      <c r="G333" s="618"/>
      <c r="H333" s="618"/>
      <c r="I333" s="618"/>
      <c r="J333" s="618"/>
      <c r="K333" s="618"/>
      <c r="L333" s="618"/>
      <c r="M333" s="618"/>
      <c r="N333" s="618"/>
      <c r="O333" s="618"/>
      <c r="P333" s="618"/>
      <c r="Q333" s="618"/>
      <c r="R333" s="618"/>
    </row>
    <row r="334" spans="1:18" ht="12.75" customHeight="1" x14ac:dyDescent="0.25">
      <c r="A334" s="617"/>
      <c r="D334" s="618"/>
      <c r="E334" s="618"/>
      <c r="F334" s="618"/>
      <c r="G334" s="618"/>
      <c r="H334" s="618"/>
      <c r="I334" s="618"/>
      <c r="J334" s="618"/>
      <c r="K334" s="618"/>
      <c r="L334" s="618"/>
      <c r="M334" s="618"/>
      <c r="N334" s="618"/>
      <c r="O334" s="618"/>
      <c r="P334" s="618"/>
      <c r="Q334" s="618"/>
      <c r="R334" s="618"/>
    </row>
    <row r="335" spans="1:18" ht="12.75" customHeight="1" x14ac:dyDescent="0.25">
      <c r="A335" s="782" t="s">
        <v>160</v>
      </c>
      <c r="B335" s="781" t="s">
        <v>132</v>
      </c>
      <c r="C335" s="632" t="s">
        <v>70</v>
      </c>
      <c r="D335" s="632">
        <f>D248-P248</f>
        <v>0</v>
      </c>
      <c r="E335" s="632">
        <f>E245</f>
        <v>0</v>
      </c>
      <c r="F335" s="632">
        <f t="shared" ref="F335:R335" si="12">F245</f>
        <v>0</v>
      </c>
      <c r="G335" s="632">
        <f t="shared" si="12"/>
        <v>0</v>
      </c>
      <c r="H335" s="632">
        <f t="shared" si="12"/>
        <v>0</v>
      </c>
      <c r="I335" s="632">
        <f t="shared" si="12"/>
        <v>0</v>
      </c>
      <c r="J335" s="632">
        <f t="shared" si="12"/>
        <v>0</v>
      </c>
      <c r="K335" s="632">
        <f t="shared" si="12"/>
        <v>0</v>
      </c>
      <c r="L335" s="632">
        <f t="shared" si="12"/>
        <v>0</v>
      </c>
      <c r="M335" s="632">
        <f t="shared" si="12"/>
        <v>0</v>
      </c>
      <c r="N335" s="632">
        <f t="shared" si="12"/>
        <v>0</v>
      </c>
      <c r="O335" s="632">
        <f t="shared" si="12"/>
        <v>0</v>
      </c>
      <c r="P335" s="632">
        <f t="shared" si="12"/>
        <v>0</v>
      </c>
      <c r="Q335" s="632">
        <f t="shared" si="12"/>
        <v>0</v>
      </c>
      <c r="R335" s="632">
        <f t="shared" si="12"/>
        <v>0</v>
      </c>
    </row>
    <row r="336" spans="1:18" ht="12.75" customHeight="1" x14ac:dyDescent="0.25">
      <c r="A336" s="782"/>
      <c r="B336" s="781"/>
      <c r="C336" s="632" t="s">
        <v>73</v>
      </c>
      <c r="D336" s="714">
        <f>D247</f>
        <v>0</v>
      </c>
      <c r="E336" s="618"/>
      <c r="F336" s="618"/>
      <c r="G336" s="618"/>
      <c r="H336" s="618"/>
      <c r="I336" s="618"/>
      <c r="J336" s="618"/>
      <c r="K336" s="618"/>
      <c r="L336" s="618"/>
      <c r="M336" s="618"/>
      <c r="N336" s="618"/>
      <c r="O336" s="618"/>
      <c r="P336" s="618"/>
      <c r="Q336" s="618"/>
      <c r="R336" s="618"/>
    </row>
    <row r="337" spans="1:18" ht="12.75" customHeight="1" x14ac:dyDescent="0.25">
      <c r="A337" s="617"/>
      <c r="D337" s="618"/>
      <c r="E337" s="618"/>
      <c r="F337" s="618"/>
      <c r="G337" s="618"/>
      <c r="H337" s="618"/>
      <c r="I337" s="618"/>
      <c r="J337" s="618"/>
      <c r="K337" s="618"/>
      <c r="L337" s="618"/>
      <c r="M337" s="618"/>
      <c r="N337" s="618"/>
      <c r="O337" s="618"/>
      <c r="P337" s="618"/>
      <c r="Q337" s="618"/>
      <c r="R337" s="618"/>
    </row>
    <row r="338" spans="1:18" ht="12.75" customHeight="1" x14ac:dyDescent="0.25">
      <c r="A338" s="782" t="s">
        <v>155</v>
      </c>
      <c r="B338" s="781" t="s">
        <v>132</v>
      </c>
      <c r="C338" s="633" t="s">
        <v>70</v>
      </c>
      <c r="D338" s="633">
        <f>D242-P242</f>
        <v>0</v>
      </c>
      <c r="E338" s="633">
        <f>E239</f>
        <v>0</v>
      </c>
      <c r="F338" s="633">
        <f t="shared" ref="F338:R338" si="13">F239</f>
        <v>0</v>
      </c>
      <c r="G338" s="633">
        <f t="shared" si="13"/>
        <v>0</v>
      </c>
      <c r="H338" s="633">
        <f t="shared" si="13"/>
        <v>0</v>
      </c>
      <c r="I338" s="633">
        <f t="shared" si="13"/>
        <v>0</v>
      </c>
      <c r="J338" s="633">
        <f t="shared" si="13"/>
        <v>0</v>
      </c>
      <c r="K338" s="633">
        <f t="shared" si="13"/>
        <v>0</v>
      </c>
      <c r="L338" s="633">
        <f t="shared" si="13"/>
        <v>0</v>
      </c>
      <c r="M338" s="633">
        <f t="shared" si="13"/>
        <v>0</v>
      </c>
      <c r="N338" s="633">
        <f t="shared" si="13"/>
        <v>0</v>
      </c>
      <c r="O338" s="633">
        <f t="shared" si="13"/>
        <v>0</v>
      </c>
      <c r="P338" s="633">
        <f t="shared" si="13"/>
        <v>0</v>
      </c>
      <c r="Q338" s="633">
        <f t="shared" si="13"/>
        <v>0</v>
      </c>
      <c r="R338" s="633">
        <f t="shared" si="13"/>
        <v>0</v>
      </c>
    </row>
    <row r="339" spans="1:18" ht="12.75" customHeight="1" x14ac:dyDescent="0.25">
      <c r="A339" s="782"/>
      <c r="B339" s="781"/>
      <c r="C339" s="633" t="s">
        <v>73</v>
      </c>
      <c r="D339" s="633">
        <f>D241</f>
        <v>0</v>
      </c>
      <c r="E339" s="618"/>
      <c r="F339" s="618"/>
      <c r="G339" s="618"/>
      <c r="H339" s="618"/>
      <c r="I339" s="618"/>
      <c r="J339" s="618"/>
      <c r="K339" s="618"/>
      <c r="L339" s="618"/>
      <c r="M339" s="618"/>
      <c r="N339" s="618"/>
      <c r="O339" s="618"/>
      <c r="P339" s="618"/>
      <c r="Q339" s="618"/>
      <c r="R339" s="618"/>
    </row>
    <row r="340" spans="1:18" ht="12.75" customHeight="1" x14ac:dyDescent="0.25">
      <c r="A340" s="722"/>
      <c r="B340" s="721"/>
      <c r="C340" s="618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</row>
    <row r="341" spans="1:18" ht="12.75" customHeight="1" x14ac:dyDescent="0.25">
      <c r="A341" s="780" t="s">
        <v>326</v>
      </c>
      <c r="B341" s="781" t="s">
        <v>132</v>
      </c>
      <c r="C341" s="633" t="s">
        <v>70</v>
      </c>
      <c r="D341" s="720">
        <v>0</v>
      </c>
      <c r="E341" s="720">
        <v>0</v>
      </c>
      <c r="F341" s="720">
        <v>0</v>
      </c>
      <c r="G341" s="720">
        <v>0</v>
      </c>
      <c r="H341" s="720">
        <v>0</v>
      </c>
      <c r="I341" s="720">
        <v>0</v>
      </c>
      <c r="J341" s="720">
        <v>0</v>
      </c>
      <c r="K341" s="720">
        <v>0</v>
      </c>
      <c r="L341" s="720">
        <v>0</v>
      </c>
      <c r="M341" s="720">
        <v>0</v>
      </c>
      <c r="N341" s="720">
        <v>0</v>
      </c>
      <c r="O341" s="720">
        <v>0</v>
      </c>
      <c r="P341" s="720">
        <v>0</v>
      </c>
      <c r="Q341" s="720">
        <v>0</v>
      </c>
      <c r="R341" s="720">
        <v>0</v>
      </c>
    </row>
    <row r="342" spans="1:18" ht="12.75" customHeight="1" x14ac:dyDescent="0.25">
      <c r="A342" s="780"/>
      <c r="B342" s="781"/>
      <c r="C342" s="633" t="s">
        <v>73</v>
      </c>
      <c r="D342" s="720">
        <v>0</v>
      </c>
      <c r="E342" s="618"/>
      <c r="F342" s="618"/>
      <c r="G342" s="618"/>
      <c r="H342" s="618"/>
      <c r="I342" s="618"/>
      <c r="J342" s="618"/>
      <c r="K342" s="618"/>
      <c r="L342" s="618"/>
      <c r="M342" s="618"/>
      <c r="N342" s="618"/>
      <c r="O342" s="618"/>
      <c r="P342" s="618"/>
      <c r="Q342" s="618"/>
    </row>
    <row r="343" spans="1:18" ht="12.75" customHeight="1" x14ac:dyDescent="0.25">
      <c r="A343" s="617"/>
      <c r="D343" s="618"/>
      <c r="E343" s="618"/>
      <c r="F343" s="618"/>
      <c r="G343" s="618"/>
      <c r="H343" s="618"/>
      <c r="I343" s="618"/>
      <c r="J343" s="618"/>
      <c r="K343" s="618"/>
      <c r="L343" s="618"/>
      <c r="M343" s="618"/>
      <c r="N343" s="618"/>
      <c r="O343" s="618"/>
      <c r="P343" s="618"/>
      <c r="Q343" s="618"/>
      <c r="R343" s="618"/>
    </row>
    <row r="344" spans="1:18" ht="12.75" customHeight="1" x14ac:dyDescent="0.25">
      <c r="A344" s="782" t="s">
        <v>119</v>
      </c>
      <c r="B344" s="781" t="s">
        <v>132</v>
      </c>
      <c r="C344" s="628" t="s">
        <v>70</v>
      </c>
      <c r="D344" s="628">
        <f>D254-P254</f>
        <v>0</v>
      </c>
      <c r="E344" s="628">
        <f>E251</f>
        <v>0</v>
      </c>
      <c r="F344" s="628">
        <f t="shared" ref="F344:R344" si="14">F251</f>
        <v>0</v>
      </c>
      <c r="G344" s="628">
        <f t="shared" si="14"/>
        <v>0</v>
      </c>
      <c r="H344" s="628">
        <f t="shared" si="14"/>
        <v>0</v>
      </c>
      <c r="I344" s="628">
        <f t="shared" si="14"/>
        <v>0</v>
      </c>
      <c r="J344" s="628">
        <f t="shared" si="14"/>
        <v>0</v>
      </c>
      <c r="K344" s="628">
        <f t="shared" si="14"/>
        <v>0</v>
      </c>
      <c r="L344" s="628">
        <f t="shared" si="14"/>
        <v>0</v>
      </c>
      <c r="M344" s="628">
        <f t="shared" si="14"/>
        <v>0</v>
      </c>
      <c r="N344" s="628">
        <f t="shared" si="14"/>
        <v>0</v>
      </c>
      <c r="O344" s="628">
        <f t="shared" si="14"/>
        <v>0</v>
      </c>
      <c r="P344" s="628">
        <f t="shared" si="14"/>
        <v>0</v>
      </c>
      <c r="Q344" s="628">
        <f t="shared" si="14"/>
        <v>0</v>
      </c>
      <c r="R344" s="628">
        <f t="shared" si="14"/>
        <v>0</v>
      </c>
    </row>
    <row r="345" spans="1:18" ht="12.75" customHeight="1" x14ac:dyDescent="0.25">
      <c r="A345" s="782"/>
      <c r="B345" s="781"/>
      <c r="C345" s="628" t="s">
        <v>73</v>
      </c>
      <c r="D345" s="628">
        <f>D253</f>
        <v>0</v>
      </c>
      <c r="E345" s="618"/>
      <c r="F345" s="618"/>
      <c r="G345" s="618"/>
      <c r="H345" s="618"/>
      <c r="I345" s="618"/>
      <c r="J345" s="618"/>
      <c r="K345" s="618"/>
      <c r="L345" s="618"/>
      <c r="M345" s="618"/>
      <c r="N345" s="618"/>
      <c r="O345" s="618"/>
      <c r="P345" s="618"/>
      <c r="Q345" s="618"/>
      <c r="R345" s="618"/>
    </row>
    <row r="346" spans="1:18" ht="12.75" customHeight="1" x14ac:dyDescent="0.25">
      <c r="A346" s="617"/>
      <c r="D346" s="618"/>
      <c r="E346" s="618"/>
      <c r="F346" s="618"/>
      <c r="G346" s="618"/>
      <c r="H346" s="618"/>
      <c r="I346" s="618"/>
      <c r="J346" s="618"/>
      <c r="K346" s="618"/>
      <c r="L346" s="618"/>
      <c r="M346" s="618"/>
      <c r="N346" s="618"/>
      <c r="O346" s="618"/>
      <c r="P346" s="618"/>
      <c r="Q346" s="618"/>
      <c r="R346" s="618"/>
    </row>
    <row r="347" spans="1:18" ht="12.75" customHeight="1" x14ac:dyDescent="0.25">
      <c r="A347" s="783" t="s">
        <v>161</v>
      </c>
      <c r="B347" s="781" t="s">
        <v>132</v>
      </c>
      <c r="C347" s="634" t="s">
        <v>70</v>
      </c>
      <c r="D347" s="634">
        <v>0</v>
      </c>
      <c r="E347" s="634">
        <v>0</v>
      </c>
      <c r="F347" s="634">
        <v>0</v>
      </c>
      <c r="G347" s="634">
        <v>0</v>
      </c>
      <c r="H347" s="634">
        <v>0</v>
      </c>
      <c r="I347" s="634">
        <v>0</v>
      </c>
      <c r="J347" s="634">
        <v>0</v>
      </c>
      <c r="K347" s="634">
        <v>0</v>
      </c>
      <c r="L347" s="634">
        <v>0</v>
      </c>
      <c r="M347" s="634">
        <v>0</v>
      </c>
      <c r="N347" s="634">
        <v>0</v>
      </c>
      <c r="O347" s="634">
        <v>0</v>
      </c>
      <c r="P347" s="634">
        <v>0</v>
      </c>
      <c r="Q347" s="634">
        <v>0</v>
      </c>
      <c r="R347" s="634">
        <v>0</v>
      </c>
    </row>
    <row r="348" spans="1:18" ht="12.75" customHeight="1" x14ac:dyDescent="0.25">
      <c r="A348" s="783"/>
      <c r="B348" s="781"/>
      <c r="C348" s="634" t="s">
        <v>73</v>
      </c>
      <c r="D348" s="634">
        <v>0</v>
      </c>
      <c r="E348" s="618"/>
      <c r="F348" s="618"/>
      <c r="G348" s="618"/>
      <c r="H348" s="618"/>
      <c r="I348" s="618"/>
      <c r="J348" s="618"/>
      <c r="K348" s="618"/>
      <c r="L348" s="618"/>
      <c r="M348" s="618"/>
      <c r="N348" s="618"/>
      <c r="O348" s="618"/>
      <c r="P348" s="618"/>
      <c r="Q348" s="618"/>
    </row>
    <row r="349" spans="1:18" s="635" customFormat="1" x14ac:dyDescent="0.25"/>
    <row r="350" spans="1:18" x14ac:dyDescent="0.25">
      <c r="B350" s="617" t="s">
        <v>93</v>
      </c>
    </row>
    <row r="351" spans="1:18" ht="12.75" customHeight="1" x14ac:dyDescent="0.25">
      <c r="D351" s="618" t="s">
        <v>70</v>
      </c>
      <c r="E351" s="618" t="s">
        <v>64</v>
      </c>
      <c r="F351" s="618" t="s">
        <v>65</v>
      </c>
      <c r="G351" s="619" t="s">
        <v>164</v>
      </c>
      <c r="H351" s="618" t="s">
        <v>69</v>
      </c>
      <c r="I351" s="618" t="s">
        <v>68</v>
      </c>
      <c r="J351" s="618" t="s">
        <v>66</v>
      </c>
      <c r="K351" s="618" t="s">
        <v>63</v>
      </c>
      <c r="L351" s="618" t="s">
        <v>61</v>
      </c>
      <c r="M351" s="618" t="s">
        <v>62</v>
      </c>
      <c r="N351" s="618" t="s">
        <v>67</v>
      </c>
      <c r="O351" s="618" t="s">
        <v>77</v>
      </c>
      <c r="P351" s="616" t="s">
        <v>71</v>
      </c>
      <c r="Q351" s="618" t="s">
        <v>80</v>
      </c>
      <c r="R351" s="616" t="s">
        <v>168</v>
      </c>
    </row>
    <row r="352" spans="1:18" ht="12" customHeight="1" x14ac:dyDescent="0.25">
      <c r="C352" s="618" t="s">
        <v>72</v>
      </c>
      <c r="D352" s="618">
        <v>0</v>
      </c>
      <c r="E352" s="618">
        <v>0</v>
      </c>
      <c r="F352" s="618">
        <v>0</v>
      </c>
      <c r="G352" s="618">
        <v>0</v>
      </c>
      <c r="H352" s="618">
        <v>0</v>
      </c>
      <c r="I352" s="618">
        <v>0</v>
      </c>
      <c r="J352" s="618">
        <v>0</v>
      </c>
      <c r="K352" s="618">
        <v>0</v>
      </c>
      <c r="L352" s="618">
        <v>0</v>
      </c>
      <c r="M352" s="618">
        <v>0</v>
      </c>
      <c r="N352" s="618">
        <v>0</v>
      </c>
      <c r="O352" s="618">
        <v>0</v>
      </c>
      <c r="P352" s="616">
        <v>0</v>
      </c>
      <c r="Q352" s="618">
        <v>0</v>
      </c>
      <c r="R352" s="616">
        <v>0</v>
      </c>
    </row>
    <row r="353" spans="1:18" ht="12" customHeight="1" x14ac:dyDescent="0.25">
      <c r="C353" s="618" t="s">
        <v>81</v>
      </c>
      <c r="D353" s="618">
        <v>0</v>
      </c>
      <c r="E353" s="618">
        <v>0</v>
      </c>
      <c r="F353" s="618">
        <v>0</v>
      </c>
      <c r="G353" s="618">
        <v>0</v>
      </c>
      <c r="H353" s="618">
        <v>0</v>
      </c>
      <c r="I353" s="618">
        <v>0</v>
      </c>
      <c r="J353" s="618">
        <v>0</v>
      </c>
      <c r="K353" s="618">
        <v>0</v>
      </c>
      <c r="L353" s="618">
        <v>0</v>
      </c>
      <c r="M353" s="618">
        <v>0</v>
      </c>
      <c r="N353" s="618">
        <v>0</v>
      </c>
      <c r="O353" s="618">
        <v>0</v>
      </c>
      <c r="P353" s="616">
        <v>0</v>
      </c>
      <c r="Q353" s="618">
        <v>0</v>
      </c>
      <c r="R353" s="616">
        <v>0</v>
      </c>
    </row>
    <row r="354" spans="1:18" s="621" customFormat="1" ht="12.75" customHeight="1" x14ac:dyDescent="0.25">
      <c r="A354" s="622"/>
      <c r="B354" s="621" t="s">
        <v>78</v>
      </c>
      <c r="C354" s="621" t="s">
        <v>70</v>
      </c>
      <c r="D354" s="622">
        <v>0</v>
      </c>
      <c r="E354" s="622">
        <v>0</v>
      </c>
      <c r="F354" s="622">
        <v>0</v>
      </c>
      <c r="G354" s="622">
        <v>0</v>
      </c>
      <c r="H354" s="622">
        <v>0</v>
      </c>
      <c r="I354" s="622">
        <v>0</v>
      </c>
      <c r="J354" s="622">
        <v>0</v>
      </c>
      <c r="K354" s="622">
        <v>0</v>
      </c>
      <c r="L354" s="622">
        <v>0</v>
      </c>
      <c r="M354" s="622">
        <v>0</v>
      </c>
      <c r="N354" s="622">
        <v>0</v>
      </c>
      <c r="O354" s="622">
        <v>0</v>
      </c>
      <c r="P354" s="621">
        <v>0</v>
      </c>
      <c r="Q354" s="621">
        <v>0</v>
      </c>
      <c r="R354" s="621">
        <v>0</v>
      </c>
    </row>
    <row r="355" spans="1:18" ht="12" customHeight="1" x14ac:dyDescent="0.25">
      <c r="C355" s="618" t="s">
        <v>73</v>
      </c>
      <c r="D355" s="618">
        <v>0</v>
      </c>
      <c r="E355" s="618">
        <v>0</v>
      </c>
      <c r="F355" s="618">
        <v>0</v>
      </c>
      <c r="G355" s="618">
        <v>0</v>
      </c>
      <c r="H355" s="618">
        <v>0</v>
      </c>
      <c r="I355" s="618">
        <v>0</v>
      </c>
      <c r="J355" s="618">
        <v>0</v>
      </c>
      <c r="K355" s="618">
        <v>0</v>
      </c>
      <c r="L355" s="618">
        <v>0</v>
      </c>
      <c r="M355" s="618">
        <v>0</v>
      </c>
      <c r="N355" s="618">
        <v>0</v>
      </c>
      <c r="O355" s="618">
        <v>0</v>
      </c>
      <c r="P355" s="616">
        <v>0</v>
      </c>
      <c r="Q355" s="618">
        <v>0</v>
      </c>
      <c r="R355" s="616">
        <v>0</v>
      </c>
    </row>
    <row r="356" spans="1:18" s="623" customFormat="1" ht="12.75" customHeight="1" x14ac:dyDescent="0.25">
      <c r="A356" s="624"/>
      <c r="B356" s="624" t="s">
        <v>79</v>
      </c>
      <c r="C356" s="623" t="s">
        <v>70</v>
      </c>
      <c r="D356" s="624">
        <v>0</v>
      </c>
      <c r="E356" s="624">
        <v>0</v>
      </c>
      <c r="F356" s="624">
        <v>0</v>
      </c>
      <c r="G356" s="624">
        <v>0</v>
      </c>
      <c r="H356" s="624">
        <v>0</v>
      </c>
      <c r="I356" s="624">
        <v>0</v>
      </c>
      <c r="J356" s="624">
        <v>0</v>
      </c>
      <c r="K356" s="624">
        <v>0</v>
      </c>
      <c r="L356" s="624">
        <v>0</v>
      </c>
      <c r="M356" s="624">
        <v>0</v>
      </c>
      <c r="N356" s="624">
        <v>0</v>
      </c>
      <c r="O356" s="624">
        <v>0</v>
      </c>
      <c r="P356" s="623">
        <v>0</v>
      </c>
      <c r="Q356" s="623">
        <v>0</v>
      </c>
      <c r="R356" s="623">
        <v>0</v>
      </c>
    </row>
    <row r="357" spans="1:18" s="625" customFormat="1" ht="12.75" customHeight="1" x14ac:dyDescent="0.25">
      <c r="A357" s="625" t="s">
        <v>155</v>
      </c>
      <c r="B357" s="625" t="s">
        <v>70</v>
      </c>
      <c r="D357" s="626">
        <v>0</v>
      </c>
      <c r="E357" s="626">
        <v>0</v>
      </c>
      <c r="F357" s="626">
        <v>0</v>
      </c>
      <c r="G357" s="627">
        <v>0</v>
      </c>
      <c r="H357" s="626">
        <v>0</v>
      </c>
      <c r="I357" s="626">
        <v>0</v>
      </c>
      <c r="J357" s="626">
        <v>0</v>
      </c>
      <c r="K357" s="626">
        <v>0</v>
      </c>
      <c r="L357" s="626">
        <v>0</v>
      </c>
      <c r="M357" s="626">
        <v>0</v>
      </c>
      <c r="N357" s="626">
        <v>0</v>
      </c>
      <c r="O357" s="626">
        <v>0</v>
      </c>
      <c r="P357" s="626">
        <v>0</v>
      </c>
      <c r="Q357" s="626">
        <v>0</v>
      </c>
      <c r="R357" s="625">
        <v>0</v>
      </c>
    </row>
    <row r="358" spans="1:18" ht="12.75" customHeight="1" x14ac:dyDescent="0.25">
      <c r="C358" s="616" t="s">
        <v>72</v>
      </c>
      <c r="D358" s="618">
        <v>0</v>
      </c>
      <c r="E358" s="618">
        <v>0</v>
      </c>
      <c r="F358" s="618">
        <v>0</v>
      </c>
      <c r="G358" s="620">
        <v>0</v>
      </c>
      <c r="H358" s="618">
        <v>0</v>
      </c>
      <c r="I358" s="618">
        <v>0</v>
      </c>
      <c r="J358" s="618">
        <v>0</v>
      </c>
      <c r="K358" s="618">
        <v>0</v>
      </c>
      <c r="L358" s="618">
        <v>0</v>
      </c>
      <c r="M358" s="618">
        <v>0</v>
      </c>
      <c r="N358" s="618">
        <v>0</v>
      </c>
      <c r="O358" s="618">
        <v>0</v>
      </c>
      <c r="P358" s="618">
        <v>0</v>
      </c>
      <c r="Q358" s="618">
        <v>0</v>
      </c>
      <c r="R358" s="616">
        <v>0</v>
      </c>
    </row>
    <row r="359" spans="1:18" ht="12.6" customHeight="1" x14ac:dyDescent="0.25">
      <c r="C359" s="616" t="s">
        <v>81</v>
      </c>
      <c r="D359" s="618">
        <v>0</v>
      </c>
      <c r="E359" s="618">
        <v>0</v>
      </c>
      <c r="F359" s="618">
        <v>0</v>
      </c>
      <c r="G359" s="620">
        <v>0</v>
      </c>
      <c r="H359" s="618">
        <v>0</v>
      </c>
      <c r="I359" s="618">
        <v>0</v>
      </c>
      <c r="J359" s="618">
        <v>0</v>
      </c>
      <c r="K359" s="618">
        <v>0</v>
      </c>
      <c r="L359" s="618">
        <v>0</v>
      </c>
      <c r="M359" s="618">
        <v>0</v>
      </c>
      <c r="N359" s="618">
        <v>0</v>
      </c>
      <c r="O359" s="618">
        <v>0</v>
      </c>
      <c r="P359" s="618">
        <v>0</v>
      </c>
      <c r="Q359" s="618">
        <v>0</v>
      </c>
      <c r="R359" s="616">
        <v>0</v>
      </c>
    </row>
    <row r="360" spans="1:18" s="621" customFormat="1" ht="12.75" customHeight="1" x14ac:dyDescent="0.25">
      <c r="B360" s="622" t="s">
        <v>78</v>
      </c>
      <c r="C360" s="622" t="s">
        <v>70</v>
      </c>
      <c r="D360" s="622">
        <v>0</v>
      </c>
      <c r="E360" s="622">
        <v>0</v>
      </c>
      <c r="F360" s="622">
        <v>0</v>
      </c>
      <c r="G360" s="622">
        <v>0</v>
      </c>
      <c r="H360" s="622">
        <v>0</v>
      </c>
      <c r="I360" s="622">
        <v>0</v>
      </c>
      <c r="J360" s="622">
        <v>0</v>
      </c>
      <c r="K360" s="622">
        <v>0</v>
      </c>
      <c r="L360" s="622">
        <v>0</v>
      </c>
      <c r="M360" s="622">
        <v>0</v>
      </c>
      <c r="N360" s="622">
        <v>0</v>
      </c>
      <c r="O360" s="622">
        <v>0</v>
      </c>
      <c r="P360" s="621">
        <v>0</v>
      </c>
      <c r="Q360" s="622">
        <v>0</v>
      </c>
      <c r="R360" s="622">
        <v>0</v>
      </c>
    </row>
    <row r="361" spans="1:18" ht="12.75" customHeight="1" x14ac:dyDescent="0.25">
      <c r="C361" s="616" t="s">
        <v>73</v>
      </c>
      <c r="D361" s="618">
        <v>0</v>
      </c>
      <c r="E361" s="618">
        <v>0</v>
      </c>
      <c r="F361" s="618">
        <v>0</v>
      </c>
      <c r="G361" s="620">
        <v>0</v>
      </c>
      <c r="H361" s="618">
        <v>0</v>
      </c>
      <c r="I361" s="618">
        <v>0</v>
      </c>
      <c r="J361" s="618">
        <v>0</v>
      </c>
      <c r="K361" s="618">
        <v>0</v>
      </c>
      <c r="L361" s="618">
        <v>0</v>
      </c>
      <c r="M361" s="618">
        <v>0</v>
      </c>
      <c r="N361" s="618">
        <v>0</v>
      </c>
      <c r="O361" s="618">
        <v>0</v>
      </c>
      <c r="P361" s="618">
        <v>0</v>
      </c>
      <c r="Q361" s="618">
        <v>0</v>
      </c>
      <c r="R361" s="616">
        <v>0</v>
      </c>
    </row>
    <row r="362" spans="1:18" s="623" customFormat="1" ht="12.75" customHeight="1" x14ac:dyDescent="0.25">
      <c r="B362" s="624" t="s">
        <v>79</v>
      </c>
      <c r="C362" s="624" t="s">
        <v>70</v>
      </c>
      <c r="D362" s="624">
        <v>0</v>
      </c>
      <c r="E362" s="624">
        <v>0</v>
      </c>
      <c r="F362" s="624">
        <v>0</v>
      </c>
      <c r="G362" s="624">
        <v>0</v>
      </c>
      <c r="H362" s="624">
        <v>0</v>
      </c>
      <c r="I362" s="624">
        <v>0</v>
      </c>
      <c r="J362" s="624">
        <v>0</v>
      </c>
      <c r="K362" s="624">
        <v>0</v>
      </c>
      <c r="L362" s="624">
        <v>0</v>
      </c>
      <c r="M362" s="624">
        <v>0</v>
      </c>
      <c r="N362" s="624">
        <v>0</v>
      </c>
      <c r="O362" s="624">
        <v>0</v>
      </c>
      <c r="P362" s="623">
        <v>0</v>
      </c>
      <c r="Q362" s="624">
        <v>0</v>
      </c>
      <c r="R362" s="624">
        <v>0</v>
      </c>
    </row>
    <row r="363" spans="1:18" s="739" customFormat="1" ht="12.75" customHeight="1" x14ac:dyDescent="0.25">
      <c r="A363" s="739" t="s">
        <v>326</v>
      </c>
      <c r="B363" s="739" t="s">
        <v>70</v>
      </c>
      <c r="D363" s="739">
        <v>0</v>
      </c>
      <c r="E363" s="739">
        <v>0</v>
      </c>
      <c r="F363" s="739">
        <v>0</v>
      </c>
      <c r="G363" s="739">
        <v>0</v>
      </c>
      <c r="H363" s="739">
        <v>0</v>
      </c>
      <c r="I363" s="739">
        <v>0</v>
      </c>
      <c r="J363" s="739">
        <v>0</v>
      </c>
      <c r="K363" s="739">
        <v>0</v>
      </c>
      <c r="L363" s="739">
        <v>0</v>
      </c>
      <c r="M363" s="739">
        <v>0</v>
      </c>
      <c r="N363" s="739">
        <v>0</v>
      </c>
      <c r="O363" s="739">
        <v>0</v>
      </c>
      <c r="P363" s="739">
        <v>0</v>
      </c>
      <c r="Q363" s="739">
        <v>0</v>
      </c>
      <c r="R363" s="739">
        <v>0</v>
      </c>
    </row>
    <row r="364" spans="1:18" ht="12.75" customHeight="1" x14ac:dyDescent="0.25">
      <c r="C364" s="616" t="s">
        <v>72</v>
      </c>
      <c r="D364" s="618">
        <v>0</v>
      </c>
      <c r="E364" s="618">
        <v>0</v>
      </c>
      <c r="F364" s="618">
        <v>0</v>
      </c>
      <c r="G364" s="620">
        <v>0</v>
      </c>
      <c r="H364" s="618">
        <v>0</v>
      </c>
      <c r="I364" s="618">
        <v>0</v>
      </c>
      <c r="J364" s="618">
        <v>0</v>
      </c>
      <c r="K364" s="618">
        <v>0</v>
      </c>
      <c r="L364" s="618">
        <v>0</v>
      </c>
      <c r="M364" s="618">
        <v>0</v>
      </c>
      <c r="N364" s="618">
        <v>0</v>
      </c>
      <c r="O364" s="618">
        <v>0</v>
      </c>
      <c r="P364" s="618">
        <v>0</v>
      </c>
      <c r="Q364" s="618">
        <v>0</v>
      </c>
      <c r="R364" s="616">
        <v>0</v>
      </c>
    </row>
    <row r="365" spans="1:18" ht="12.6" customHeight="1" x14ac:dyDescent="0.25">
      <c r="C365" s="616" t="s">
        <v>81</v>
      </c>
      <c r="D365" s="618">
        <v>0</v>
      </c>
      <c r="E365" s="618">
        <v>0</v>
      </c>
      <c r="F365" s="618">
        <v>0</v>
      </c>
      <c r="G365" s="620">
        <v>0</v>
      </c>
      <c r="H365" s="618">
        <v>0</v>
      </c>
      <c r="I365" s="618">
        <v>0</v>
      </c>
      <c r="J365" s="618">
        <v>0</v>
      </c>
      <c r="K365" s="618">
        <v>0</v>
      </c>
      <c r="L365" s="618">
        <v>0</v>
      </c>
      <c r="M365" s="618">
        <v>0</v>
      </c>
      <c r="N365" s="618">
        <v>0</v>
      </c>
      <c r="O365" s="618">
        <v>0</v>
      </c>
      <c r="P365" s="618">
        <v>0</v>
      </c>
      <c r="Q365" s="618">
        <v>0</v>
      </c>
      <c r="R365" s="616">
        <v>0</v>
      </c>
    </row>
    <row r="366" spans="1:18" s="621" customFormat="1" ht="12.75" customHeight="1" x14ac:dyDescent="0.25">
      <c r="B366" s="622" t="s">
        <v>78</v>
      </c>
      <c r="C366" s="622" t="s">
        <v>70</v>
      </c>
      <c r="D366" s="622">
        <v>0</v>
      </c>
      <c r="E366" s="622">
        <v>0</v>
      </c>
      <c r="F366" s="622">
        <v>0</v>
      </c>
      <c r="G366" s="622">
        <v>0</v>
      </c>
      <c r="H366" s="622">
        <v>0</v>
      </c>
      <c r="I366" s="622">
        <v>0</v>
      </c>
      <c r="J366" s="622">
        <v>0</v>
      </c>
      <c r="K366" s="622">
        <v>0</v>
      </c>
      <c r="L366" s="622">
        <v>0</v>
      </c>
      <c r="M366" s="622">
        <v>0</v>
      </c>
      <c r="N366" s="622">
        <v>0</v>
      </c>
      <c r="O366" s="622">
        <v>0</v>
      </c>
      <c r="P366" s="621">
        <v>0</v>
      </c>
      <c r="Q366" s="622">
        <v>0</v>
      </c>
      <c r="R366" s="622">
        <v>0</v>
      </c>
    </row>
    <row r="367" spans="1:18" ht="12.75" customHeight="1" x14ac:dyDescent="0.25">
      <c r="C367" s="616" t="s">
        <v>73</v>
      </c>
      <c r="D367" s="618">
        <v>0</v>
      </c>
      <c r="E367" s="618">
        <v>0</v>
      </c>
      <c r="F367" s="618">
        <v>0</v>
      </c>
      <c r="G367" s="620">
        <v>0</v>
      </c>
      <c r="H367" s="618">
        <v>0</v>
      </c>
      <c r="I367" s="618">
        <v>0</v>
      </c>
      <c r="J367" s="618">
        <v>0</v>
      </c>
      <c r="K367" s="618">
        <v>0</v>
      </c>
      <c r="L367" s="618">
        <v>0</v>
      </c>
      <c r="M367" s="618">
        <v>0</v>
      </c>
      <c r="N367" s="618">
        <v>0</v>
      </c>
      <c r="O367" s="618">
        <v>0</v>
      </c>
      <c r="P367" s="618">
        <v>0</v>
      </c>
      <c r="Q367" s="618">
        <v>0</v>
      </c>
      <c r="R367" s="616">
        <v>0</v>
      </c>
    </row>
    <row r="368" spans="1:18" s="623" customFormat="1" ht="12.75" customHeight="1" x14ac:dyDescent="0.25">
      <c r="B368" s="624" t="s">
        <v>79</v>
      </c>
      <c r="C368" s="624" t="s">
        <v>70</v>
      </c>
      <c r="D368" s="624">
        <v>0</v>
      </c>
      <c r="E368" s="624">
        <v>0</v>
      </c>
      <c r="F368" s="624">
        <v>0</v>
      </c>
      <c r="G368" s="624">
        <v>0</v>
      </c>
      <c r="H368" s="624">
        <v>0</v>
      </c>
      <c r="I368" s="624">
        <v>0</v>
      </c>
      <c r="J368" s="624">
        <v>0</v>
      </c>
      <c r="K368" s="624">
        <v>0</v>
      </c>
      <c r="L368" s="624">
        <v>0</v>
      </c>
      <c r="M368" s="624">
        <v>0</v>
      </c>
      <c r="N368" s="624">
        <v>0</v>
      </c>
      <c r="O368" s="624">
        <v>0</v>
      </c>
      <c r="P368" s="623">
        <v>0</v>
      </c>
      <c r="Q368" s="624">
        <v>0</v>
      </c>
      <c r="R368" s="624">
        <v>0</v>
      </c>
    </row>
    <row r="369" spans="1:18" s="628" customFormat="1" ht="12.75" customHeight="1" x14ac:dyDescent="0.25">
      <c r="A369" s="628" t="s">
        <v>119</v>
      </c>
      <c r="B369" s="628" t="s">
        <v>70</v>
      </c>
      <c r="D369" s="628">
        <v>0</v>
      </c>
      <c r="E369" s="628">
        <v>0</v>
      </c>
      <c r="F369" s="628">
        <v>0</v>
      </c>
      <c r="G369" s="628">
        <v>0</v>
      </c>
      <c r="H369" s="628">
        <v>0</v>
      </c>
      <c r="I369" s="628">
        <v>0</v>
      </c>
      <c r="J369" s="628">
        <v>0</v>
      </c>
      <c r="K369" s="628">
        <v>0</v>
      </c>
      <c r="L369" s="628">
        <v>0</v>
      </c>
      <c r="M369" s="628">
        <v>0</v>
      </c>
      <c r="N369" s="628">
        <v>0</v>
      </c>
      <c r="O369" s="628">
        <v>0</v>
      </c>
      <c r="P369" s="628">
        <v>0</v>
      </c>
      <c r="Q369" s="628">
        <v>0</v>
      </c>
      <c r="R369" s="628">
        <v>0</v>
      </c>
    </row>
    <row r="370" spans="1:18" s="631" customFormat="1" ht="12.75" customHeight="1" x14ac:dyDescent="0.25">
      <c r="A370" s="630" t="s">
        <v>70</v>
      </c>
      <c r="D370" s="630">
        <v>0</v>
      </c>
      <c r="E370" s="630">
        <v>0</v>
      </c>
      <c r="F370" s="630">
        <v>0</v>
      </c>
      <c r="G370" s="630">
        <v>0</v>
      </c>
      <c r="H370" s="630">
        <v>0</v>
      </c>
      <c r="I370" s="630">
        <v>0</v>
      </c>
      <c r="J370" s="630">
        <v>0</v>
      </c>
      <c r="K370" s="630">
        <v>0</v>
      </c>
      <c r="L370" s="630">
        <v>0</v>
      </c>
      <c r="M370" s="630">
        <v>0</v>
      </c>
      <c r="N370" s="630">
        <v>0</v>
      </c>
      <c r="O370" s="630">
        <v>0</v>
      </c>
      <c r="P370" s="631">
        <v>0</v>
      </c>
      <c r="Q370" s="631">
        <v>0</v>
      </c>
      <c r="R370" s="631">
        <v>0</v>
      </c>
    </row>
    <row r="371" spans="1:18" ht="12.75" customHeight="1" x14ac:dyDescent="0.25">
      <c r="C371" s="618"/>
      <c r="D371" s="618"/>
      <c r="E371" s="618"/>
      <c r="F371" s="618"/>
      <c r="G371" s="618"/>
      <c r="H371" s="618"/>
      <c r="I371" s="618"/>
      <c r="J371" s="618"/>
      <c r="K371" s="618"/>
      <c r="L371" s="618"/>
      <c r="M371" s="618"/>
      <c r="N371" s="618"/>
      <c r="O371" s="618"/>
      <c r="Q371" s="618"/>
    </row>
    <row r="372" spans="1:18" ht="12.75" customHeight="1" x14ac:dyDescent="0.25">
      <c r="C372" s="618"/>
      <c r="D372" s="618"/>
      <c r="E372" s="618"/>
      <c r="F372" s="618"/>
      <c r="G372" s="618"/>
      <c r="H372" s="618"/>
      <c r="I372" s="618"/>
      <c r="J372" s="618"/>
      <c r="K372" s="618"/>
      <c r="L372" s="618"/>
      <c r="M372" s="618"/>
      <c r="N372" s="618"/>
      <c r="O372" s="618"/>
      <c r="Q372" s="618"/>
    </row>
    <row r="373" spans="1:18" ht="12.75" customHeight="1" x14ac:dyDescent="0.25">
      <c r="A373" s="782" t="s">
        <v>2</v>
      </c>
      <c r="B373" s="781" t="s">
        <v>132</v>
      </c>
      <c r="C373" s="766" t="s">
        <v>70</v>
      </c>
      <c r="D373" s="766">
        <f>D370-P370</f>
        <v>0</v>
      </c>
      <c r="E373" s="766">
        <f>E354+E366</f>
        <v>0</v>
      </c>
      <c r="F373" s="766">
        <f t="shared" ref="F373:R373" si="15">F354+F366</f>
        <v>0</v>
      </c>
      <c r="G373" s="766">
        <f t="shared" si="15"/>
        <v>0</v>
      </c>
      <c r="H373" s="766">
        <f t="shared" si="15"/>
        <v>0</v>
      </c>
      <c r="I373" s="766">
        <f t="shared" si="15"/>
        <v>0</v>
      </c>
      <c r="J373" s="766">
        <f t="shared" si="15"/>
        <v>0</v>
      </c>
      <c r="K373" s="766">
        <f t="shared" si="15"/>
        <v>0</v>
      </c>
      <c r="L373" s="766">
        <f t="shared" si="15"/>
        <v>0</v>
      </c>
      <c r="M373" s="766">
        <f t="shared" si="15"/>
        <v>0</v>
      </c>
      <c r="N373" s="766">
        <f t="shared" si="15"/>
        <v>0</v>
      </c>
      <c r="O373" s="766">
        <f t="shared" si="15"/>
        <v>0</v>
      </c>
      <c r="P373" s="766">
        <f t="shared" si="15"/>
        <v>0</v>
      </c>
      <c r="Q373" s="766">
        <f t="shared" si="15"/>
        <v>0</v>
      </c>
      <c r="R373" s="766">
        <f t="shared" si="15"/>
        <v>0</v>
      </c>
    </row>
    <row r="374" spans="1:18" ht="12.75" customHeight="1" x14ac:dyDescent="0.25">
      <c r="A374" s="782"/>
      <c r="B374" s="781"/>
      <c r="C374" s="766" t="s">
        <v>73</v>
      </c>
      <c r="D374" s="767">
        <f>D356+D368</f>
        <v>0</v>
      </c>
      <c r="E374" s="618"/>
      <c r="F374" s="618"/>
      <c r="G374" s="618"/>
      <c r="H374" s="618"/>
      <c r="I374" s="618"/>
      <c r="J374" s="618"/>
      <c r="K374" s="618"/>
      <c r="L374" s="618"/>
      <c r="M374" s="618"/>
      <c r="N374" s="618"/>
      <c r="O374" s="618"/>
      <c r="P374" s="618"/>
      <c r="Q374" s="618"/>
      <c r="R374" s="618"/>
    </row>
    <row r="375" spans="1:18" ht="12.75" customHeight="1" x14ac:dyDescent="0.25">
      <c r="A375" s="617"/>
      <c r="D375" s="618"/>
      <c r="E375" s="618"/>
      <c r="F375" s="618"/>
      <c r="G375" s="618"/>
      <c r="H375" s="618"/>
      <c r="I375" s="618"/>
      <c r="J375" s="618"/>
      <c r="K375" s="618"/>
      <c r="L375" s="618"/>
      <c r="M375" s="618"/>
      <c r="N375" s="618"/>
      <c r="O375" s="618"/>
      <c r="P375" s="618"/>
      <c r="Q375" s="618"/>
      <c r="R375" s="618"/>
    </row>
    <row r="376" spans="1:18" ht="12.75" customHeight="1" x14ac:dyDescent="0.25">
      <c r="A376" s="782" t="s">
        <v>160</v>
      </c>
      <c r="B376" s="781" t="s">
        <v>132</v>
      </c>
      <c r="C376" s="632" t="s">
        <v>70</v>
      </c>
      <c r="D376" s="632">
        <v>0</v>
      </c>
      <c r="E376" s="632">
        <v>0</v>
      </c>
      <c r="F376" s="632">
        <v>0</v>
      </c>
      <c r="G376" s="632">
        <v>0</v>
      </c>
      <c r="H376" s="632">
        <v>0</v>
      </c>
      <c r="I376" s="632">
        <v>0</v>
      </c>
      <c r="J376" s="632">
        <v>0</v>
      </c>
      <c r="K376" s="632">
        <v>0</v>
      </c>
      <c r="L376" s="632">
        <v>0</v>
      </c>
      <c r="M376" s="632">
        <v>0</v>
      </c>
      <c r="N376" s="632">
        <v>0</v>
      </c>
      <c r="O376" s="632">
        <v>0</v>
      </c>
      <c r="P376" s="632">
        <v>0</v>
      </c>
      <c r="Q376" s="632">
        <v>0</v>
      </c>
      <c r="R376" s="632">
        <v>0</v>
      </c>
    </row>
    <row r="377" spans="1:18" ht="12.75" customHeight="1" x14ac:dyDescent="0.25">
      <c r="A377" s="782"/>
      <c r="B377" s="781"/>
      <c r="C377" s="632" t="s">
        <v>73</v>
      </c>
      <c r="D377" s="632">
        <v>0</v>
      </c>
      <c r="E377" s="618"/>
      <c r="F377" s="618"/>
      <c r="G377" s="618"/>
      <c r="H377" s="618"/>
      <c r="I377" s="618"/>
      <c r="J377" s="618"/>
      <c r="K377" s="618"/>
      <c r="L377" s="618"/>
      <c r="M377" s="618"/>
      <c r="N377" s="618"/>
      <c r="O377" s="618"/>
      <c r="P377" s="618"/>
      <c r="Q377" s="618"/>
      <c r="R377" s="618"/>
    </row>
    <row r="378" spans="1:18" ht="12.75" customHeight="1" x14ac:dyDescent="0.25">
      <c r="A378" s="617"/>
      <c r="D378" s="618"/>
      <c r="E378" s="618"/>
      <c r="F378" s="618"/>
      <c r="G378" s="618"/>
      <c r="H378" s="618"/>
      <c r="I378" s="618"/>
      <c r="J378" s="618"/>
      <c r="K378" s="618"/>
      <c r="L378" s="618"/>
      <c r="M378" s="618"/>
      <c r="N378" s="618"/>
      <c r="O378" s="618"/>
      <c r="P378" s="618"/>
      <c r="Q378" s="618"/>
      <c r="R378" s="618"/>
    </row>
    <row r="379" spans="1:18" ht="12.75" customHeight="1" x14ac:dyDescent="0.25">
      <c r="A379" s="782" t="s">
        <v>155</v>
      </c>
      <c r="B379" s="781" t="s">
        <v>132</v>
      </c>
      <c r="C379" s="633" t="s">
        <v>70</v>
      </c>
      <c r="D379" s="633">
        <f>D357-P357</f>
        <v>0</v>
      </c>
      <c r="E379" s="633">
        <f>E354</f>
        <v>0</v>
      </c>
      <c r="F379" s="633">
        <f t="shared" ref="F379:R379" si="16">F354</f>
        <v>0</v>
      </c>
      <c r="G379" s="633">
        <f t="shared" si="16"/>
        <v>0</v>
      </c>
      <c r="H379" s="633">
        <f t="shared" si="16"/>
        <v>0</v>
      </c>
      <c r="I379" s="633">
        <f t="shared" si="16"/>
        <v>0</v>
      </c>
      <c r="J379" s="633">
        <f t="shared" si="16"/>
        <v>0</v>
      </c>
      <c r="K379" s="633">
        <f t="shared" si="16"/>
        <v>0</v>
      </c>
      <c r="L379" s="633">
        <f t="shared" si="16"/>
        <v>0</v>
      </c>
      <c r="M379" s="633">
        <f t="shared" si="16"/>
        <v>0</v>
      </c>
      <c r="N379" s="633">
        <f t="shared" si="16"/>
        <v>0</v>
      </c>
      <c r="O379" s="633">
        <f t="shared" si="16"/>
        <v>0</v>
      </c>
      <c r="P379" s="633">
        <f t="shared" si="16"/>
        <v>0</v>
      </c>
      <c r="Q379" s="633">
        <f t="shared" si="16"/>
        <v>0</v>
      </c>
      <c r="R379" s="633">
        <f t="shared" si="16"/>
        <v>0</v>
      </c>
    </row>
    <row r="380" spans="1:18" ht="12.75" customHeight="1" x14ac:dyDescent="0.25">
      <c r="A380" s="782"/>
      <c r="B380" s="781"/>
      <c r="C380" s="633" t="s">
        <v>73</v>
      </c>
      <c r="D380" s="633">
        <f>D356</f>
        <v>0</v>
      </c>
      <c r="E380" s="618"/>
      <c r="F380" s="618"/>
      <c r="G380" s="618"/>
      <c r="H380" s="618"/>
      <c r="I380" s="618"/>
      <c r="J380" s="618"/>
      <c r="K380" s="618"/>
      <c r="L380" s="618"/>
      <c r="M380" s="618"/>
      <c r="N380" s="618"/>
      <c r="O380" s="618"/>
      <c r="P380" s="618"/>
      <c r="Q380" s="618"/>
    </row>
    <row r="381" spans="1:18" ht="12.75" customHeight="1" x14ac:dyDescent="0.25">
      <c r="A381" s="617"/>
      <c r="D381" s="618"/>
      <c r="E381" s="618"/>
      <c r="F381" s="618"/>
      <c r="G381" s="618"/>
      <c r="H381" s="618"/>
      <c r="I381" s="618"/>
      <c r="J381" s="618"/>
      <c r="K381" s="618"/>
      <c r="L381" s="618"/>
      <c r="M381" s="618"/>
      <c r="N381" s="618"/>
      <c r="O381" s="618"/>
      <c r="P381" s="618"/>
      <c r="Q381" s="618"/>
    </row>
    <row r="382" spans="1:18" ht="12.75" customHeight="1" x14ac:dyDescent="0.25">
      <c r="A382" s="780" t="s">
        <v>326</v>
      </c>
      <c r="B382" s="781" t="s">
        <v>132</v>
      </c>
      <c r="C382" s="633" t="s">
        <v>70</v>
      </c>
      <c r="D382" s="720">
        <f>D363-P363</f>
        <v>0</v>
      </c>
      <c r="E382" s="720">
        <f>E360</f>
        <v>0</v>
      </c>
      <c r="F382" s="720">
        <f t="shared" ref="F382:R382" si="17">F360</f>
        <v>0</v>
      </c>
      <c r="G382" s="720">
        <f t="shared" si="17"/>
        <v>0</v>
      </c>
      <c r="H382" s="720">
        <f t="shared" si="17"/>
        <v>0</v>
      </c>
      <c r="I382" s="720">
        <f t="shared" si="17"/>
        <v>0</v>
      </c>
      <c r="J382" s="720">
        <f t="shared" si="17"/>
        <v>0</v>
      </c>
      <c r="K382" s="720">
        <f t="shared" si="17"/>
        <v>0</v>
      </c>
      <c r="L382" s="720">
        <f t="shared" si="17"/>
        <v>0</v>
      </c>
      <c r="M382" s="720">
        <f t="shared" si="17"/>
        <v>0</v>
      </c>
      <c r="N382" s="720">
        <f t="shared" si="17"/>
        <v>0</v>
      </c>
      <c r="O382" s="720">
        <f t="shared" si="17"/>
        <v>0</v>
      </c>
      <c r="P382" s="720">
        <f t="shared" si="17"/>
        <v>0</v>
      </c>
      <c r="Q382" s="720">
        <f t="shared" si="17"/>
        <v>0</v>
      </c>
      <c r="R382" s="720">
        <f t="shared" si="17"/>
        <v>0</v>
      </c>
    </row>
    <row r="383" spans="1:18" ht="12.75" customHeight="1" x14ac:dyDescent="0.25">
      <c r="A383" s="780"/>
      <c r="B383" s="781"/>
      <c r="C383" s="633" t="s">
        <v>73</v>
      </c>
      <c r="D383" s="720">
        <f>D362</f>
        <v>0</v>
      </c>
      <c r="E383" s="618"/>
      <c r="F383" s="618"/>
      <c r="G383" s="618"/>
      <c r="H383" s="618"/>
      <c r="I383" s="618"/>
      <c r="J383" s="618"/>
      <c r="K383" s="618"/>
      <c r="L383" s="618"/>
      <c r="M383" s="618"/>
      <c r="N383" s="618"/>
      <c r="O383" s="618"/>
      <c r="P383" s="618"/>
      <c r="Q383" s="618"/>
    </row>
    <row r="384" spans="1:18" ht="12.75" customHeight="1" x14ac:dyDescent="0.25">
      <c r="A384" s="617"/>
      <c r="D384" s="618"/>
      <c r="E384" s="618"/>
      <c r="F384" s="618"/>
      <c r="G384" s="618"/>
      <c r="H384" s="618"/>
      <c r="I384" s="618"/>
      <c r="J384" s="618"/>
      <c r="K384" s="618"/>
      <c r="L384" s="618"/>
      <c r="M384" s="618"/>
      <c r="N384" s="618"/>
      <c r="O384" s="618"/>
      <c r="P384" s="618"/>
      <c r="Q384" s="618"/>
    </row>
    <row r="385" spans="1:18" ht="12.75" customHeight="1" x14ac:dyDescent="0.25">
      <c r="A385" s="782" t="s">
        <v>119</v>
      </c>
      <c r="B385" s="781" t="s">
        <v>132</v>
      </c>
      <c r="C385" s="628" t="s">
        <v>70</v>
      </c>
      <c r="D385" s="628">
        <f>D369-P369</f>
        <v>0</v>
      </c>
      <c r="E385" s="628">
        <f>E366</f>
        <v>0</v>
      </c>
      <c r="F385" s="628">
        <f t="shared" ref="F385:R385" si="18">F366</f>
        <v>0</v>
      </c>
      <c r="G385" s="628">
        <f t="shared" si="18"/>
        <v>0</v>
      </c>
      <c r="H385" s="628">
        <f t="shared" si="18"/>
        <v>0</v>
      </c>
      <c r="I385" s="628">
        <f t="shared" si="18"/>
        <v>0</v>
      </c>
      <c r="J385" s="628">
        <f t="shared" si="18"/>
        <v>0</v>
      </c>
      <c r="K385" s="628">
        <f t="shared" si="18"/>
        <v>0</v>
      </c>
      <c r="L385" s="628">
        <f t="shared" si="18"/>
        <v>0</v>
      </c>
      <c r="M385" s="628">
        <f t="shared" si="18"/>
        <v>0</v>
      </c>
      <c r="N385" s="628">
        <f t="shared" si="18"/>
        <v>0</v>
      </c>
      <c r="O385" s="628">
        <f t="shared" si="18"/>
        <v>0</v>
      </c>
      <c r="P385" s="628">
        <f t="shared" si="18"/>
        <v>0</v>
      </c>
      <c r="Q385" s="628">
        <f t="shared" si="18"/>
        <v>0</v>
      </c>
      <c r="R385" s="628">
        <f t="shared" si="18"/>
        <v>0</v>
      </c>
    </row>
    <row r="386" spans="1:18" ht="12.75" customHeight="1" x14ac:dyDescent="0.25">
      <c r="A386" s="782"/>
      <c r="B386" s="781"/>
      <c r="C386" s="628" t="s">
        <v>73</v>
      </c>
      <c r="D386" s="629">
        <f>D368</f>
        <v>0</v>
      </c>
      <c r="E386" s="618"/>
      <c r="F386" s="618"/>
      <c r="G386" s="618"/>
      <c r="H386" s="618"/>
      <c r="I386" s="618"/>
      <c r="J386" s="618"/>
      <c r="K386" s="618"/>
      <c r="L386" s="618"/>
      <c r="M386" s="618"/>
      <c r="N386" s="618"/>
      <c r="O386" s="618"/>
      <c r="P386" s="618"/>
      <c r="Q386" s="618"/>
    </row>
    <row r="387" spans="1:18" ht="12.75" customHeight="1" x14ac:dyDescent="0.25">
      <c r="A387" s="617"/>
      <c r="D387" s="618"/>
      <c r="E387" s="618"/>
      <c r="F387" s="618"/>
      <c r="G387" s="618"/>
      <c r="H387" s="618"/>
      <c r="I387" s="618"/>
      <c r="J387" s="618"/>
      <c r="K387" s="618"/>
      <c r="L387" s="618"/>
      <c r="M387" s="618"/>
      <c r="N387" s="618"/>
      <c r="O387" s="618"/>
      <c r="P387" s="618"/>
      <c r="Q387" s="618"/>
    </row>
    <row r="388" spans="1:18" x14ac:dyDescent="0.25">
      <c r="A388" s="783" t="s">
        <v>161</v>
      </c>
      <c r="B388" s="781" t="s">
        <v>132</v>
      </c>
      <c r="C388" s="634" t="s">
        <v>70</v>
      </c>
      <c r="D388" s="634">
        <v>0</v>
      </c>
      <c r="E388" s="634">
        <v>0</v>
      </c>
      <c r="F388" s="634">
        <v>0</v>
      </c>
      <c r="G388" s="634">
        <v>0</v>
      </c>
      <c r="H388" s="634">
        <v>0</v>
      </c>
      <c r="I388" s="634">
        <v>0</v>
      </c>
      <c r="J388" s="634">
        <v>0</v>
      </c>
      <c r="K388" s="634">
        <v>0</v>
      </c>
      <c r="L388" s="634">
        <v>0</v>
      </c>
      <c r="M388" s="634">
        <v>0</v>
      </c>
      <c r="N388" s="634">
        <v>0</v>
      </c>
      <c r="O388" s="634">
        <v>0</v>
      </c>
      <c r="P388" s="634">
        <v>0</v>
      </c>
      <c r="Q388" s="634">
        <v>0</v>
      </c>
      <c r="R388" s="634">
        <v>0</v>
      </c>
    </row>
    <row r="389" spans="1:18" x14ac:dyDescent="0.25">
      <c r="A389" s="783"/>
      <c r="B389" s="781"/>
      <c r="C389" s="634" t="s">
        <v>73</v>
      </c>
      <c r="D389" s="634">
        <v>0</v>
      </c>
      <c r="E389" s="618"/>
      <c r="F389" s="618"/>
      <c r="G389" s="618"/>
      <c r="H389" s="618"/>
      <c r="I389" s="618"/>
      <c r="J389" s="618"/>
      <c r="K389" s="618"/>
      <c r="L389" s="618"/>
      <c r="M389" s="618"/>
      <c r="N389" s="618"/>
      <c r="O389" s="618"/>
      <c r="P389" s="618"/>
      <c r="Q389" s="618"/>
    </row>
    <row r="390" spans="1:18" s="635" customFormat="1" x14ac:dyDescent="0.25"/>
    <row r="393" spans="1:18" x14ac:dyDescent="0.25">
      <c r="D393" s="616">
        <f t="shared" ref="D393:R393" si="19">D79+D180+D217+D332+D373</f>
        <v>0</v>
      </c>
      <c r="E393" s="616">
        <f t="shared" si="19"/>
        <v>0</v>
      </c>
      <c r="F393" s="616">
        <f t="shared" si="19"/>
        <v>0</v>
      </c>
      <c r="G393" s="616">
        <f t="shared" si="19"/>
        <v>0</v>
      </c>
      <c r="H393" s="616">
        <f t="shared" si="19"/>
        <v>0</v>
      </c>
      <c r="I393" s="616">
        <f t="shared" si="19"/>
        <v>0</v>
      </c>
      <c r="J393" s="616">
        <f t="shared" si="19"/>
        <v>0</v>
      </c>
      <c r="K393" s="616">
        <f t="shared" si="19"/>
        <v>0</v>
      </c>
      <c r="L393" s="616">
        <f t="shared" si="19"/>
        <v>0</v>
      </c>
      <c r="M393" s="616">
        <f t="shared" si="19"/>
        <v>0</v>
      </c>
      <c r="N393" s="616">
        <f t="shared" si="19"/>
        <v>0</v>
      </c>
      <c r="O393" s="616">
        <f t="shared" si="19"/>
        <v>0</v>
      </c>
      <c r="P393" s="616">
        <f t="shared" si="19"/>
        <v>0</v>
      </c>
      <c r="Q393" s="616">
        <f t="shared" si="19"/>
        <v>0</v>
      </c>
      <c r="R393" s="616">
        <f t="shared" si="19"/>
        <v>0</v>
      </c>
    </row>
    <row r="394" spans="1:18" x14ac:dyDescent="0.25">
      <c r="D394" s="616">
        <f>D80+D181+D218+D333+D374</f>
        <v>0</v>
      </c>
    </row>
  </sheetData>
  <mergeCells count="60">
    <mergeCell ref="A347:A348"/>
    <mergeCell ref="B347:B348"/>
    <mergeCell ref="A373:A374"/>
    <mergeCell ref="B373:B374"/>
    <mergeCell ref="A388:A389"/>
    <mergeCell ref="B388:B389"/>
    <mergeCell ref="A376:A377"/>
    <mergeCell ref="B376:B377"/>
    <mergeCell ref="A379:A380"/>
    <mergeCell ref="B379:B380"/>
    <mergeCell ref="A385:A386"/>
    <mergeCell ref="B385:B386"/>
    <mergeCell ref="A382:A383"/>
    <mergeCell ref="B382:B383"/>
    <mergeCell ref="A338:A339"/>
    <mergeCell ref="B338:B339"/>
    <mergeCell ref="A344:A345"/>
    <mergeCell ref="B344:B345"/>
    <mergeCell ref="A341:A342"/>
    <mergeCell ref="B341:B342"/>
    <mergeCell ref="A232:A233"/>
    <mergeCell ref="B232:B233"/>
    <mergeCell ref="A332:A333"/>
    <mergeCell ref="B332:B333"/>
    <mergeCell ref="A335:A336"/>
    <mergeCell ref="B335:B336"/>
    <mergeCell ref="A220:A221"/>
    <mergeCell ref="B220:B221"/>
    <mergeCell ref="A223:A224"/>
    <mergeCell ref="B223:B224"/>
    <mergeCell ref="A229:A230"/>
    <mergeCell ref="B229:B230"/>
    <mergeCell ref="A192:A193"/>
    <mergeCell ref="B192:B193"/>
    <mergeCell ref="A195:A196"/>
    <mergeCell ref="B195:B196"/>
    <mergeCell ref="A217:A218"/>
    <mergeCell ref="B217:B218"/>
    <mergeCell ref="A79:A80"/>
    <mergeCell ref="B79:B80"/>
    <mergeCell ref="A82:A83"/>
    <mergeCell ref="B82:B83"/>
    <mergeCell ref="A85:A86"/>
    <mergeCell ref="B85:B86"/>
    <mergeCell ref="A88:A89"/>
    <mergeCell ref="B88:B89"/>
    <mergeCell ref="A189:A190"/>
    <mergeCell ref="B189:B190"/>
    <mergeCell ref="A226:A227"/>
    <mergeCell ref="B226:B227"/>
    <mergeCell ref="A91:A92"/>
    <mergeCell ref="B91:B92"/>
    <mergeCell ref="A94:A95"/>
    <mergeCell ref="B94:B95"/>
    <mergeCell ref="A180:A181"/>
    <mergeCell ref="B180:B181"/>
    <mergeCell ref="A183:A184"/>
    <mergeCell ref="B183:B184"/>
    <mergeCell ref="A186:A187"/>
    <mergeCell ref="B186:B187"/>
  </mergeCells>
  <conditionalFormatting sqref="D81:D95 D180:D196 D217:D233 D332:D348 D373:D389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3.2" x14ac:dyDescent="0.25"/>
  <cols>
    <col min="2" max="2" width="24.44140625" bestFit="1" customWidth="1"/>
    <col min="3" max="3" width="17" style="144" bestFit="1" customWidth="1"/>
    <col min="4" max="4" width="23.109375" bestFit="1" customWidth="1"/>
    <col min="5" max="5" width="15.88671875" bestFit="1" customWidth="1"/>
    <col min="6" max="6" width="16.109375" customWidth="1"/>
    <col min="7" max="7" width="15.44140625" bestFit="1" customWidth="1"/>
    <col min="8" max="8" width="15" bestFit="1" customWidth="1"/>
    <col min="9" max="9" width="15.109375" bestFit="1" customWidth="1"/>
    <col min="10" max="10" width="17" bestFit="1" customWidth="1"/>
    <col min="11" max="12" width="15.5546875" bestFit="1" customWidth="1"/>
    <col min="13" max="13" width="15.109375" bestFit="1" customWidth="1"/>
    <col min="14" max="14" width="17.88671875" bestFit="1" customWidth="1"/>
    <col min="15" max="15" width="15.5546875" customWidth="1"/>
    <col min="16" max="16" width="20.44140625" bestFit="1" customWidth="1"/>
  </cols>
  <sheetData>
    <row r="1" spans="1:16" x14ac:dyDescent="0.25">
      <c r="B1" s="97" t="s">
        <v>74</v>
      </c>
    </row>
    <row r="2" spans="1:16" ht="12.75" customHeight="1" x14ac:dyDescent="0.25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25">
      <c r="B3" s="89" t="s">
        <v>72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6" ht="12.75" customHeight="1" x14ac:dyDescent="0.25">
      <c r="B4" t="s">
        <v>81</v>
      </c>
      <c r="C4" s="89">
        <v>0</v>
      </c>
      <c r="D4" s="89">
        <v>0</v>
      </c>
      <c r="E4" s="89">
        <v>0</v>
      </c>
      <c r="F4" s="384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</row>
    <row r="5" spans="1:16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  <c r="P5" s="378"/>
    </row>
    <row r="6" spans="1:16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6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  <c r="P7" s="372"/>
    </row>
    <row r="8" spans="1:16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6" ht="12.75" customHeight="1" x14ac:dyDescent="0.25"/>
    <row r="10" spans="1:16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P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>O5</f>
        <v>0</v>
      </c>
      <c r="P10" s="99">
        <f t="shared" si="0"/>
        <v>0</v>
      </c>
    </row>
    <row r="11" spans="1:16" ht="12.75" customHeight="1" x14ac:dyDescent="0.25">
      <c r="B11" s="145" t="s">
        <v>73</v>
      </c>
      <c r="C11" s="99">
        <f>C7</f>
        <v>0</v>
      </c>
      <c r="D11" s="150"/>
    </row>
    <row r="12" spans="1:16" x14ac:dyDescent="0.25">
      <c r="D12" s="150"/>
    </row>
    <row r="13" spans="1:16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25">
      <c r="B14" s="97" t="s">
        <v>75</v>
      </c>
    </row>
    <row r="15" spans="1:16" ht="12.75" customHeight="1" x14ac:dyDescent="0.25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25">
      <c r="B16" t="s">
        <v>72</v>
      </c>
      <c r="C16" s="89">
        <v>0</v>
      </c>
      <c r="D16" s="89">
        <v>0</v>
      </c>
      <c r="E16" s="89">
        <v>0</v>
      </c>
      <c r="F16" s="384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</row>
    <row r="17" spans="1:16" ht="12.75" customHeight="1" x14ac:dyDescent="0.25">
      <c r="B17" t="s">
        <v>81</v>
      </c>
      <c r="C17" s="89">
        <v>0</v>
      </c>
      <c r="D17" s="89">
        <v>0</v>
      </c>
      <c r="E17" s="89">
        <v>0</v>
      </c>
      <c r="F17" s="384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</row>
    <row r="18" spans="1:16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7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  <c r="P18" s="378"/>
    </row>
    <row r="19" spans="1:16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6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4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  <c r="P20" s="372"/>
    </row>
    <row r="21" spans="1:16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6" ht="12.75" customHeight="1" x14ac:dyDescent="0.25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P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>O18</f>
        <v>0</v>
      </c>
      <c r="P23" s="99">
        <f t="shared" si="1"/>
        <v>0</v>
      </c>
    </row>
    <row r="24" spans="1:16" ht="12.75" customHeight="1" x14ac:dyDescent="0.25">
      <c r="B24" s="145" t="s">
        <v>73</v>
      </c>
      <c r="C24" s="99">
        <f>C20</f>
        <v>0</v>
      </c>
    </row>
    <row r="26" spans="1:16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25">
      <c r="B27" s="97" t="s">
        <v>76</v>
      </c>
    </row>
    <row r="28" spans="1:16" ht="12.75" customHeight="1" x14ac:dyDescent="0.25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25">
      <c r="B29" s="89" t="s">
        <v>72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</row>
    <row r="30" spans="1:16" ht="12.75" customHeight="1" x14ac:dyDescent="0.25">
      <c r="B30" t="s">
        <v>81</v>
      </c>
      <c r="C30" s="89">
        <v>0</v>
      </c>
      <c r="D30" s="89">
        <v>0</v>
      </c>
      <c r="E30" s="89">
        <v>0</v>
      </c>
      <c r="F30" s="384">
        <v>0</v>
      </c>
      <c r="G30" s="89">
        <v>0</v>
      </c>
      <c r="H30" s="89">
        <v>0</v>
      </c>
      <c r="I30" s="89">
        <v>0</v>
      </c>
      <c r="J30" s="89">
        <v>0</v>
      </c>
      <c r="K30" s="89">
        <v>0</v>
      </c>
      <c r="L30" s="89">
        <v>0</v>
      </c>
      <c r="M30" s="89">
        <v>0</v>
      </c>
      <c r="N30" s="89">
        <v>0</v>
      </c>
      <c r="O30" s="89">
        <v>0</v>
      </c>
    </row>
    <row r="31" spans="1:16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  <c r="P31" s="378"/>
    </row>
    <row r="32" spans="1:16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6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  <c r="P33" s="372"/>
    </row>
    <row r="34" spans="1:16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6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P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>O31</f>
        <v>0</v>
      </c>
      <c r="P36" s="99">
        <f t="shared" si="2"/>
        <v>0</v>
      </c>
    </row>
    <row r="37" spans="1:16" ht="12.75" customHeight="1" x14ac:dyDescent="0.25">
      <c r="B37" s="145" t="s">
        <v>73</v>
      </c>
      <c r="C37" s="99">
        <f>C33</f>
        <v>0</v>
      </c>
    </row>
    <row r="39" spans="1:16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25">
      <c r="B40" s="97" t="s">
        <v>88</v>
      </c>
    </row>
    <row r="41" spans="1:16" ht="12.75" customHeight="1" x14ac:dyDescent="0.25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25">
      <c r="B42" t="s">
        <v>72</v>
      </c>
      <c r="C42" s="89">
        <v>0</v>
      </c>
      <c r="D42" s="89">
        <v>0</v>
      </c>
      <c r="E42" s="89">
        <v>0</v>
      </c>
      <c r="F42" s="384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6" ht="12.75" customHeight="1" x14ac:dyDescent="0.25">
      <c r="B43" s="89" t="s">
        <v>81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6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  <c r="P44" s="378"/>
    </row>
    <row r="45" spans="1:16" ht="12.75" customHeight="1" x14ac:dyDescent="0.25"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6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  <c r="P46" s="372"/>
    </row>
    <row r="47" spans="1:16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6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P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>O44</f>
        <v>0</v>
      </c>
      <c r="P49" s="99">
        <f t="shared" si="3"/>
        <v>0</v>
      </c>
    </row>
    <row r="50" spans="1:16" ht="12.75" customHeight="1" x14ac:dyDescent="0.25">
      <c r="B50" s="145" t="s">
        <v>73</v>
      </c>
      <c r="C50" s="99">
        <f>C46</f>
        <v>0</v>
      </c>
    </row>
    <row r="52" spans="1:16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25">
      <c r="B53" s="97" t="s">
        <v>93</v>
      </c>
    </row>
    <row r="54" spans="1:16" ht="12.75" customHeight="1" x14ac:dyDescent="0.25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25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  <c r="P57" s="378"/>
    </row>
    <row r="58" spans="1:16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  <c r="P59" s="372"/>
    </row>
    <row r="60" spans="1:16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>O57</f>
        <v>0</v>
      </c>
      <c r="P62" s="99">
        <f t="shared" si="4"/>
        <v>0</v>
      </c>
    </row>
    <row r="63" spans="1:16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3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3.2" x14ac:dyDescent="0.25"/>
  <cols>
    <col min="2" max="2" width="24.44140625" bestFit="1" customWidth="1"/>
    <col min="3" max="3" width="15.109375" style="144" bestFit="1" customWidth="1"/>
    <col min="4" max="4" width="23.109375" bestFit="1" customWidth="1"/>
    <col min="5" max="5" width="15.88671875" bestFit="1" customWidth="1"/>
    <col min="6" max="6" width="16.5546875" customWidth="1"/>
    <col min="7" max="7" width="15.44140625" bestFit="1" customWidth="1"/>
    <col min="8" max="8" width="15" bestFit="1" customWidth="1"/>
    <col min="9" max="10" width="15" customWidth="1"/>
    <col min="11" max="11" width="15.109375" bestFit="1" customWidth="1"/>
    <col min="12" max="12" width="17" bestFit="1" customWidth="1"/>
    <col min="13" max="14" width="15.5546875" bestFit="1" customWidth="1"/>
    <col min="15" max="15" width="15.109375" bestFit="1" customWidth="1"/>
  </cols>
  <sheetData>
    <row r="1" spans="1:15" x14ac:dyDescent="0.25">
      <c r="B1" s="97" t="s">
        <v>74</v>
      </c>
    </row>
    <row r="2" spans="1:15" ht="12.75" customHeight="1" x14ac:dyDescent="0.25">
      <c r="C2" s="89" t="s">
        <v>70</v>
      </c>
      <c r="D2" s="89" t="s">
        <v>64</v>
      </c>
      <c r="E2" s="89" t="s">
        <v>65</v>
      </c>
      <c r="F2" s="375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25">
      <c r="B3" t="s">
        <v>81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</row>
    <row r="4" spans="1:15" ht="12.75" customHeight="1" x14ac:dyDescent="0.25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78" customFormat="1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</row>
    <row r="6" spans="1:15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2" customFormat="1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</row>
    <row r="8" spans="1:15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25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25">
      <c r="B11" s="145" t="s">
        <v>73</v>
      </c>
      <c r="C11" s="99">
        <f>C7</f>
        <v>0</v>
      </c>
    </row>
    <row r="13" spans="1:15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25">
      <c r="B14" s="97" t="s">
        <v>75</v>
      </c>
    </row>
    <row r="15" spans="1:15" ht="12.75" customHeight="1" x14ac:dyDescent="0.25">
      <c r="C15" s="89" t="s">
        <v>70</v>
      </c>
      <c r="D15" s="89" t="s">
        <v>64</v>
      </c>
      <c r="E15" s="89" t="s">
        <v>65</v>
      </c>
      <c r="F15" s="375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25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25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78" customFormat="1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8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</row>
    <row r="19" spans="1:15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2" customFormat="1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2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</row>
    <row r="21" spans="1:15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25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25">
      <c r="B24" s="145" t="s">
        <v>73</v>
      </c>
      <c r="C24" s="99">
        <f>C20</f>
        <v>0</v>
      </c>
    </row>
    <row r="26" spans="1:15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25">
      <c r="B27" s="97" t="s">
        <v>76</v>
      </c>
    </row>
    <row r="28" spans="1:15" ht="12.75" customHeight="1" x14ac:dyDescent="0.25">
      <c r="C28" s="89" t="s">
        <v>70</v>
      </c>
      <c r="D28" s="89" t="s">
        <v>64</v>
      </c>
      <c r="E28" s="89" t="s">
        <v>65</v>
      </c>
      <c r="F28" s="375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25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25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78" customFormat="1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</row>
    <row r="32" spans="1:15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2" customFormat="1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</row>
    <row r="34" spans="1:15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25">
      <c r="B37" s="145" t="s">
        <v>73</v>
      </c>
      <c r="C37" s="99">
        <f>C33</f>
        <v>0</v>
      </c>
    </row>
    <row r="39" spans="1:15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25">
      <c r="B40" s="97" t="s">
        <v>88</v>
      </c>
    </row>
    <row r="41" spans="1:15" ht="12.75" customHeight="1" x14ac:dyDescent="0.25">
      <c r="C41" s="89" t="s">
        <v>70</v>
      </c>
      <c r="D41" s="89" t="s">
        <v>64</v>
      </c>
      <c r="E41" s="89" t="s">
        <v>65</v>
      </c>
      <c r="F41" s="375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25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25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78" customFormat="1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</row>
    <row r="45" spans="1:15" ht="12.75" customHeight="1" x14ac:dyDescent="0.25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2" customFormat="1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</row>
    <row r="47" spans="1:15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25">
      <c r="B50" s="145" t="s">
        <v>73</v>
      </c>
      <c r="C50" s="99">
        <f>C46</f>
        <v>0</v>
      </c>
    </row>
    <row r="52" spans="1:15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25">
      <c r="B53" s="97" t="s">
        <v>93</v>
      </c>
    </row>
    <row r="54" spans="1:15" ht="12.75" customHeight="1" x14ac:dyDescent="0.25">
      <c r="C54" s="89" t="s">
        <v>70</v>
      </c>
      <c r="D54" s="89" t="s">
        <v>64</v>
      </c>
      <c r="E54" s="89" t="s">
        <v>65</v>
      </c>
      <c r="F54" s="375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25">
      <c r="B55" t="s">
        <v>81</v>
      </c>
      <c r="C55" s="89">
        <v>0</v>
      </c>
      <c r="D55" s="89">
        <v>0</v>
      </c>
      <c r="E55" s="89">
        <v>0</v>
      </c>
      <c r="F55" s="89">
        <v>0</v>
      </c>
      <c r="G55" s="89">
        <v>0</v>
      </c>
      <c r="H55" s="89">
        <v>0</v>
      </c>
      <c r="I55" s="89">
        <v>0</v>
      </c>
      <c r="J55" s="89">
        <v>0</v>
      </c>
      <c r="K55" s="89">
        <v>0</v>
      </c>
      <c r="L55" s="89">
        <v>0</v>
      </c>
      <c r="M55" s="89">
        <v>0</v>
      </c>
      <c r="N55" s="89">
        <v>0</v>
      </c>
      <c r="O55" s="89">
        <v>0</v>
      </c>
    </row>
    <row r="56" spans="1:15" ht="12.75" customHeight="1" x14ac:dyDescent="0.25">
      <c r="B56" s="89" t="s">
        <v>72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5" s="378" customFormat="1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</row>
    <row r="58" spans="1:15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5" s="372" customFormat="1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</row>
    <row r="60" spans="1:15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5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O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</row>
    <row r="63" spans="1:15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T1" zoomScaleNormal="100" workbookViewId="0">
      <selection activeCell="AA10" sqref="AA10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9.109375" style="1" bestFit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8" width="16.88671875" style="1" customWidth="1"/>
    <col min="29" max="30" width="15.88671875" style="1" bestFit="1" customWidth="1"/>
    <col min="31" max="31" width="16.109375" style="1" customWidth="1"/>
    <col min="32" max="32" width="18.109375" style="1" customWidth="1"/>
    <col min="33" max="33" width="13.88671875" style="1" customWidth="1"/>
    <col min="34" max="34" width="3.44140625" style="1" customWidth="1"/>
    <col min="35" max="35" width="13.88671875" style="1" bestFit="1" customWidth="1"/>
    <col min="36" max="16384" width="11.441406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2026092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46297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H7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0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NOTA'!C10</f>
        <v>0</v>
      </c>
      <c r="E9" s="66">
        <f>'SALDOS POR NOTA'!D10</f>
        <v>0</v>
      </c>
      <c r="F9" s="66">
        <f>'SALDOS POR NOTA'!E10</f>
        <v>0</v>
      </c>
      <c r="G9" s="66">
        <f>'SALDOS POR NOTA'!F10</f>
        <v>0</v>
      </c>
      <c r="H9" s="66">
        <f>'SALDOS POR NOTA'!G10</f>
        <v>0</v>
      </c>
      <c r="I9" s="66">
        <f>'SALDOS POR NOTA'!H10</f>
        <v>0</v>
      </c>
      <c r="J9" s="66">
        <v>0</v>
      </c>
      <c r="K9" s="30">
        <f>D9-E9-F9-G9-H9-I9-J9</f>
        <v>0</v>
      </c>
      <c r="L9" s="37">
        <v>0</v>
      </c>
      <c r="M9" s="30">
        <f>K9-L9</f>
        <v>0</v>
      </c>
      <c r="N9" s="37">
        <f>'SALDOS POR NOTA'!I10</f>
        <v>0</v>
      </c>
      <c r="O9" s="30">
        <f>M9+N9</f>
        <v>0</v>
      </c>
      <c r="Q9" s="4"/>
      <c r="S9" s="14">
        <v>1</v>
      </c>
      <c r="T9" s="61" t="s">
        <v>10</v>
      </c>
      <c r="U9" s="66">
        <f>'SALDOS POR NOTA'!J10</f>
        <v>0</v>
      </c>
      <c r="V9" s="66">
        <f>'SALDOS POR NOTA'!K10</f>
        <v>0</v>
      </c>
      <c r="W9" s="66">
        <f>'SALDOS POR NOTA'!L10</f>
        <v>0</v>
      </c>
      <c r="X9" s="66">
        <f>'SALDOS POR NOTA'!M10</f>
        <v>0</v>
      </c>
      <c r="Y9" s="66">
        <f>'SALDOS POR NOTA'!N10</f>
        <v>0</v>
      </c>
      <c r="Z9" s="379">
        <f>L9*-1</f>
        <v>0</v>
      </c>
      <c r="AA9" s="75">
        <f>'SALDOS POR NOTA'!O10</f>
        <v>0</v>
      </c>
      <c r="AB9" s="37">
        <f>N9</f>
        <v>0</v>
      </c>
      <c r="AC9" s="66">
        <f>-J9+AD9</f>
        <v>0</v>
      </c>
      <c r="AD9" s="66">
        <f>'SALDOS POR NOTA'!C11</f>
        <v>0</v>
      </c>
      <c r="AE9" s="115">
        <f>SUM(U9:AC9)</f>
        <v>0</v>
      </c>
      <c r="AF9" s="117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NOTA'!C23</f>
        <v>0</v>
      </c>
      <c r="E10" s="66">
        <f>'SALDOS POR NOTA'!D23</f>
        <v>0</v>
      </c>
      <c r="F10" s="66">
        <f>'SALDOS POR NOTA'!E23</f>
        <v>0</v>
      </c>
      <c r="G10" s="66">
        <f>'SALDOS POR NOTA'!F23</f>
        <v>0</v>
      </c>
      <c r="H10" s="66">
        <f>'SALDOS POR NOTA'!G23</f>
        <v>0</v>
      </c>
      <c r="I10" s="66">
        <f>'SALDOS POR NOTA'!H23</f>
        <v>0</v>
      </c>
      <c r="J10" s="66">
        <v>0</v>
      </c>
      <c r="K10" s="31">
        <f t="shared" ref="K10:K13" si="0">D10-E10-F10-G10-H10-I10-J10</f>
        <v>0</v>
      </c>
      <c r="L10" s="38">
        <v>0</v>
      </c>
      <c r="M10" s="31">
        <f>K10-L10</f>
        <v>0</v>
      </c>
      <c r="N10" s="37">
        <f>'SALDOS POR NOTA'!I23</f>
        <v>0</v>
      </c>
      <c r="O10" s="31">
        <f t="shared" ref="O10:O12" si="1">M10+N10</f>
        <v>0</v>
      </c>
      <c r="Q10" s="4"/>
      <c r="S10" s="16">
        <v>2</v>
      </c>
      <c r="T10" s="62" t="s">
        <v>11</v>
      </c>
      <c r="U10" s="66">
        <f>'SALDOS POR NOTA'!J23</f>
        <v>0</v>
      </c>
      <c r="V10" s="66">
        <f>'SALDOS POR NOTA'!K23</f>
        <v>0</v>
      </c>
      <c r="W10" s="66">
        <f>'SALDOS POR NOTA'!L23</f>
        <v>0</v>
      </c>
      <c r="X10" s="66">
        <f>'SALDOS POR NOTA'!M23</f>
        <v>0</v>
      </c>
      <c r="Y10" s="66">
        <f>'SALDOS POR NOTA'!N23</f>
        <v>0</v>
      </c>
      <c r="Z10" s="38">
        <f>L10*-1</f>
        <v>0</v>
      </c>
      <c r="AA10" s="382">
        <f>'SALDOS POR NOTA'!O23</f>
        <v>0</v>
      </c>
      <c r="AB10" s="37">
        <f>N10</f>
        <v>0</v>
      </c>
      <c r="AC10" s="66">
        <f t="shared" ref="AC10:AC13" si="2">-J10+AD10</f>
        <v>0</v>
      </c>
      <c r="AD10" s="66">
        <f>'SALDOS POR NOTA'!C24</f>
        <v>0</v>
      </c>
      <c r="AE10" s="116">
        <f>SUM(U10:AC10)</f>
        <v>0</v>
      </c>
      <c r="AF10" s="118">
        <f>(AE10-O10)</f>
        <v>0</v>
      </c>
      <c r="AG10" s="1" t="b">
        <f t="shared" ref="AG10:AG14" si="3">AF10=0</f>
        <v>1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NOTA'!C36</f>
        <v>0</v>
      </c>
      <c r="E11" s="66">
        <f>'SALDOS POR NOTA'!D36</f>
        <v>0</v>
      </c>
      <c r="F11" s="66">
        <f>'SALDOS POR NOTA'!E36</f>
        <v>0</v>
      </c>
      <c r="G11" s="66">
        <f>'SALDOS POR NOTA'!F36</f>
        <v>0</v>
      </c>
      <c r="H11" s="66">
        <f>'SALDOS POR NOTA'!G36</f>
        <v>0</v>
      </c>
      <c r="I11" s="66">
        <f>'SALDOS POR NOTA'!H36</f>
        <v>0</v>
      </c>
      <c r="J11" s="66">
        <v>0</v>
      </c>
      <c r="K11" s="31">
        <f t="shared" si="0"/>
        <v>0</v>
      </c>
      <c r="L11" s="38">
        <v>0</v>
      </c>
      <c r="M11" s="31">
        <f>K11-L11</f>
        <v>0</v>
      </c>
      <c r="N11" s="37">
        <f>'SALDOS POR NOTA'!I36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'SALDOS POR NOTA'!J36</f>
        <v>0</v>
      </c>
      <c r="V11" s="66">
        <f>'SALDOS POR NOTA'!K36</f>
        <v>0</v>
      </c>
      <c r="W11" s="66">
        <f>'SALDOS POR NOTA'!L36</f>
        <v>0</v>
      </c>
      <c r="X11" s="66">
        <f>'SALDOS POR NOTA'!M36</f>
        <v>0</v>
      </c>
      <c r="Y11" s="66">
        <f>'SALDOS POR NOTA'!N36</f>
        <v>0</v>
      </c>
      <c r="Z11" s="38">
        <f>L11*-1</f>
        <v>0</v>
      </c>
      <c r="AA11" s="382">
        <f>'SALDOS POR NOTA'!O36</f>
        <v>0</v>
      </c>
      <c r="AB11" s="37">
        <f>N11</f>
        <v>0</v>
      </c>
      <c r="AC11" s="66">
        <f t="shared" si="2"/>
        <v>0</v>
      </c>
      <c r="AD11" s="66">
        <f>'SALDOS POR NOTA'!C37</f>
        <v>0</v>
      </c>
      <c r="AE11" s="116">
        <f>SUM(U11:AC11)</f>
        <v>0</v>
      </c>
      <c r="AF11" s="118">
        <f>(AE11-O11)</f>
        <v>0</v>
      </c>
      <c r="AG11" s="1" t="b">
        <f t="shared" si="3"/>
        <v>1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NOTA'!C49</f>
        <v>0</v>
      </c>
      <c r="E12" s="66">
        <f>'SALDOS POR NOTA'!D49</f>
        <v>0</v>
      </c>
      <c r="F12" s="66">
        <f>'SALDOS POR NOTA'!E49</f>
        <v>0</v>
      </c>
      <c r="G12" s="66">
        <f>'SALDOS POR NOTA'!F49</f>
        <v>0</v>
      </c>
      <c r="H12" s="66">
        <f>'SALDOS POR NOTA'!G49</f>
        <v>0</v>
      </c>
      <c r="I12" s="66">
        <f>'SALDOS POR NOTA'!H49</f>
        <v>0</v>
      </c>
      <c r="J12" s="66">
        <v>0</v>
      </c>
      <c r="K12" s="31">
        <f t="shared" si="0"/>
        <v>0</v>
      </c>
      <c r="L12" s="38">
        <v>0</v>
      </c>
      <c r="M12" s="31">
        <f>K12-L12</f>
        <v>0</v>
      </c>
      <c r="N12" s="37">
        <f>'SALDOS POR NOTA'!I49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'SALDOS POR NOTA'!J49</f>
        <v>0</v>
      </c>
      <c r="V12" s="66">
        <f>'SALDOS POR NOTA'!K49</f>
        <v>0</v>
      </c>
      <c r="W12" s="66">
        <f>'SALDOS POR NOTA'!L49</f>
        <v>0</v>
      </c>
      <c r="X12" s="66">
        <f>'SALDOS POR NOTA'!M49</f>
        <v>0</v>
      </c>
      <c r="Y12" s="66">
        <f>'SALDOS POR NOTA'!N49</f>
        <v>0</v>
      </c>
      <c r="Z12" s="38">
        <f>L12*-1</f>
        <v>0</v>
      </c>
      <c r="AA12" s="382">
        <f>'SALDOS POR NOTA'!O49</f>
        <v>0</v>
      </c>
      <c r="AB12" s="37">
        <f>N12</f>
        <v>0</v>
      </c>
      <c r="AC12" s="66">
        <f t="shared" si="2"/>
        <v>0</v>
      </c>
      <c r="AD12" s="66">
        <f>'SALDOS POR NOTA'!C50</f>
        <v>0</v>
      </c>
      <c r="AE12" s="116">
        <f>SUM(U12:AC12)</f>
        <v>0</v>
      </c>
      <c r="AF12" s="118">
        <f>(AE12-O12)</f>
        <v>0</v>
      </c>
      <c r="AG12" s="1" t="b">
        <f t="shared" si="3"/>
        <v>1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3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0</v>
      </c>
      <c r="E14" s="43">
        <f t="shared" ref="E14:N14" si="4">SUM(E9:E13)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32">
        <f t="shared" si="4"/>
        <v>0</v>
      </c>
      <c r="L14" s="23">
        <f t="shared" si="4"/>
        <v>0</v>
      </c>
      <c r="M14" s="76">
        <f t="shared" si="4"/>
        <v>0</v>
      </c>
      <c r="N14" s="23">
        <f t="shared" si="4"/>
        <v>0</v>
      </c>
      <c r="O14" s="76">
        <f>SUM(O9:O13)</f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B14" si="5">SUM(V9:V13)</f>
        <v>0</v>
      </c>
      <c r="W14" s="43">
        <f t="shared" si="5"/>
        <v>0</v>
      </c>
      <c r="X14" s="43">
        <f t="shared" si="5"/>
        <v>0</v>
      </c>
      <c r="Y14" s="43">
        <f t="shared" si="5"/>
        <v>0</v>
      </c>
      <c r="Z14" s="43">
        <f t="shared" si="5"/>
        <v>0</v>
      </c>
      <c r="AA14" s="381">
        <f>SUM(AA9:AA13)</f>
        <v>0</v>
      </c>
      <c r="AB14" s="43">
        <f t="shared" si="5"/>
        <v>0</v>
      </c>
      <c r="AC14" s="43">
        <f>SUM(AC9:AC13)</f>
        <v>0</v>
      </c>
      <c r="AD14" s="43">
        <f>SUM(AD9:AD13)</f>
        <v>0</v>
      </c>
      <c r="AE14" s="68">
        <f>SUM(AE9:AE13)</f>
        <v>0</v>
      </c>
      <c r="AF14" s="120">
        <f>SUM(AF9:AF13)</f>
        <v>0</v>
      </c>
      <c r="AG14" s="1" t="b">
        <f t="shared" si="3"/>
        <v>1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2026092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46297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H26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5" customFormat="1" ht="12" x14ac:dyDescent="0.25">
      <c r="B28" s="303">
        <v>1</v>
      </c>
      <c r="C28" s="304" t="s">
        <v>10</v>
      </c>
      <c r="D28" s="291">
        <f>'RETRIBUCION NEGATIVA'!C10</f>
        <v>0</v>
      </c>
      <c r="E28" s="292">
        <f>'RETRIBUCION NEGATIVA'!D10</f>
        <v>0</v>
      </c>
      <c r="F28" s="292">
        <f>'RETRIBUCION NEGATIVA'!E10</f>
        <v>0</v>
      </c>
      <c r="G28" s="292">
        <f>'RETRIBUCION NEGATIVA'!F10</f>
        <v>0</v>
      </c>
      <c r="H28" s="292">
        <f>'RETRIBUCION NEGATIVA'!G10</f>
        <v>0</v>
      </c>
      <c r="I28" s="292">
        <f>'RETRIBUCION NEGATIVA'!H10</f>
        <v>0</v>
      </c>
      <c r="J28" s="288">
        <v>0</v>
      </c>
      <c r="K28" s="293">
        <f>D28-E28-F28-H28-I28-J28-G28</f>
        <v>0</v>
      </c>
      <c r="L28" s="294">
        <v>0</v>
      </c>
      <c r="M28" s="293">
        <f>K28-L28</f>
        <v>0</v>
      </c>
      <c r="N28" s="294">
        <f>'RETRIBUCION NEGATIVA'!I10</f>
        <v>0</v>
      </c>
      <c r="O28" s="293">
        <f>M28+N28</f>
        <v>0</v>
      </c>
      <c r="Q28" s="306"/>
      <c r="S28" s="303">
        <v>1</v>
      </c>
      <c r="T28" s="304" t="s">
        <v>10</v>
      </c>
      <c r="U28" s="291">
        <f>'RETRIBUCION NEGATIVA'!J10</f>
        <v>0</v>
      </c>
      <c r="V28" s="291">
        <f>'RETRIBUCION NEGATIVA'!K10</f>
        <v>0</v>
      </c>
      <c r="W28" s="291">
        <f>'RETRIBUCION NEGATIVA'!L10</f>
        <v>0</v>
      </c>
      <c r="X28" s="291">
        <f>'RETRIBUCION NEGATIVA'!M10</f>
        <v>0</v>
      </c>
      <c r="Y28" s="291">
        <f>'RETRIBUCION NEGATIVA'!N10</f>
        <v>0</v>
      </c>
      <c r="Z28" s="310">
        <f>L28*-1</f>
        <v>0</v>
      </c>
      <c r="AA28" s="312">
        <f>'RETRIBUCION NEGATIVA'!O10</f>
        <v>0</v>
      </c>
      <c r="AB28" s="294">
        <f>N28</f>
        <v>0</v>
      </c>
      <c r="AC28" s="291">
        <f>-J28+AD28</f>
        <v>0</v>
      </c>
      <c r="AD28" s="291">
        <f>'RETRIBUCION NEGATIVA'!C11</f>
        <v>0</v>
      </c>
      <c r="AE28" s="363">
        <f>SUM(U28:AC28)</f>
        <v>0</v>
      </c>
      <c r="AF28" s="311">
        <f>(AE28-O28)</f>
        <v>0</v>
      </c>
      <c r="AG28" s="305" t="b">
        <f>AF28=0</f>
        <v>1</v>
      </c>
      <c r="AH28" s="306"/>
    </row>
    <row r="29" spans="1:34" s="305" customFormat="1" ht="12" x14ac:dyDescent="0.25">
      <c r="B29" s="314">
        <v>2</v>
      </c>
      <c r="C29" s="315" t="s">
        <v>11</v>
      </c>
      <c r="D29" s="291">
        <f>'RETRIBUCION NEGATIVA'!C23</f>
        <v>0</v>
      </c>
      <c r="E29" s="292">
        <f>'RETRIBUCION NEGATIVA'!D23</f>
        <v>0</v>
      </c>
      <c r="F29" s="292">
        <f>'RETRIBUCION NEGATIVA'!E23</f>
        <v>0</v>
      </c>
      <c r="G29" s="292">
        <f>'RETRIBUCION NEGATIVA'!F23</f>
        <v>0</v>
      </c>
      <c r="H29" s="292">
        <f>'RETRIBUCION NEGATIVA'!G23</f>
        <v>0</v>
      </c>
      <c r="I29" s="292">
        <f>'RETRIBUCION NEGATIVA'!H23</f>
        <v>0</v>
      </c>
      <c r="J29" s="288">
        <v>0</v>
      </c>
      <c r="K29" s="295">
        <f t="shared" ref="K29:K32" si="6">D29-E29-F29-H29-I29-J29-G29</f>
        <v>0</v>
      </c>
      <c r="L29" s="299">
        <v>0</v>
      </c>
      <c r="M29" s="295">
        <f>K29-L29</f>
        <v>0</v>
      </c>
      <c r="N29" s="294">
        <f>'RETRIBUCION NEGATIVA'!I23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'RETRIBUCION NEGATIVA'!J23</f>
        <v>0</v>
      </c>
      <c r="V29" s="316">
        <f>'RETRIBUCION NEGATIVA'!K23</f>
        <v>0</v>
      </c>
      <c r="W29" s="316">
        <f>'RETRIBUCION NEGATIVA'!L23</f>
        <v>0</v>
      </c>
      <c r="X29" s="316">
        <f>'RETRIBUCION NEGATIVA'!M23</f>
        <v>0</v>
      </c>
      <c r="Y29" s="316">
        <f>'RETRIBUCION NEGATIVA'!N23</f>
        <v>0</v>
      </c>
      <c r="Z29" s="319">
        <f>L29*-1</f>
        <v>0</v>
      </c>
      <c r="AA29" s="320">
        <f>'RETRIBUCION NEGATIVA'!O23</f>
        <v>0</v>
      </c>
      <c r="AB29" s="294">
        <f>N29</f>
        <v>0</v>
      </c>
      <c r="AC29" s="291">
        <f>-J29+AD29</f>
        <v>0</v>
      </c>
      <c r="AD29" s="291">
        <f>'RETRIBUCION NEGATIVA'!C24</f>
        <v>0</v>
      </c>
      <c r="AE29" s="365">
        <f>SUM(U29:AC29)</f>
        <v>0</v>
      </c>
      <c r="AF29" s="323">
        <f>(AE29-O29)</f>
        <v>0</v>
      </c>
      <c r="AG29" s="305" t="b">
        <f t="shared" ref="AG29:AG33" si="8">AF29=0</f>
        <v>1</v>
      </c>
      <c r="AH29" s="306"/>
    </row>
    <row r="30" spans="1:34" s="305" customFormat="1" ht="12" x14ac:dyDescent="0.25">
      <c r="B30" s="314">
        <v>3</v>
      </c>
      <c r="C30" s="315" t="s">
        <v>12</v>
      </c>
      <c r="D30" s="291">
        <f>'RETRIBUCION NEGATIVA'!C36</f>
        <v>0</v>
      </c>
      <c r="E30" s="292">
        <f>'RETRIBUCION NEGATIVA'!D36</f>
        <v>0</v>
      </c>
      <c r="F30" s="292">
        <f>'RETRIBUCION NEGATIVA'!E36</f>
        <v>0</v>
      </c>
      <c r="G30" s="292">
        <f>'RETRIBUCION NEGATIVA'!F36</f>
        <v>0</v>
      </c>
      <c r="H30" s="292">
        <f>'RETRIBUCION NEGATIVA'!G36</f>
        <v>0</v>
      </c>
      <c r="I30" s="292">
        <f>'RETRIBUCION NEGATIVA'!H36</f>
        <v>0</v>
      </c>
      <c r="J30" s="288">
        <v>0</v>
      </c>
      <c r="K30" s="295">
        <f t="shared" si="6"/>
        <v>0</v>
      </c>
      <c r="L30" s="299">
        <v>0</v>
      </c>
      <c r="M30" s="295">
        <f>K30-L30</f>
        <v>0</v>
      </c>
      <c r="N30" s="294">
        <f>'RETRIBUCION NEGATIVA'!I36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'RETRIBUCION NEGATIVA'!J36</f>
        <v>0</v>
      </c>
      <c r="V30" s="316">
        <f>'RETRIBUCION NEGATIVA'!K36</f>
        <v>0</v>
      </c>
      <c r="W30" s="316">
        <f>'RETRIBUCION NEGATIVA'!L36</f>
        <v>0</v>
      </c>
      <c r="X30" s="316">
        <f>'RETRIBUCION NEGATIVA'!M36</f>
        <v>0</v>
      </c>
      <c r="Y30" s="316">
        <f>'RETRIBUCION NEGATIVA'!N36</f>
        <v>0</v>
      </c>
      <c r="Z30" s="319">
        <f>L30*-1</f>
        <v>0</v>
      </c>
      <c r="AA30" s="320">
        <f>'RETRIBUCION NEGATIVA'!O36</f>
        <v>0</v>
      </c>
      <c r="AB30" s="294">
        <f>N30</f>
        <v>0</v>
      </c>
      <c r="AC30" s="291">
        <f t="shared" ref="AC30:AC32" si="9">-J30+AD30</f>
        <v>0</v>
      </c>
      <c r="AD30" s="291">
        <f>'RETRIBUCION NEGATIVA'!C37</f>
        <v>0</v>
      </c>
      <c r="AE30" s="365">
        <f>SUM(U30:AC30)</f>
        <v>0</v>
      </c>
      <c r="AF30" s="323">
        <f t="shared" ref="AF30:AF31" si="10">(AE30-O30)</f>
        <v>0</v>
      </c>
      <c r="AG30" s="305" t="b">
        <f t="shared" si="8"/>
        <v>1</v>
      </c>
      <c r="AH30" s="306"/>
    </row>
    <row r="31" spans="1:34" s="305" customFormat="1" ht="12" x14ac:dyDescent="0.25">
      <c r="B31" s="314">
        <v>4</v>
      </c>
      <c r="C31" s="315" t="s">
        <v>13</v>
      </c>
      <c r="D31" s="291">
        <f>'RETRIBUCION NEGATIVA'!C49</f>
        <v>0</v>
      </c>
      <c r="E31" s="292">
        <f>'RETRIBUCION NEGATIVA'!D49</f>
        <v>0</v>
      </c>
      <c r="F31" s="292">
        <f>'RETRIBUCION NEGATIVA'!E49</f>
        <v>0</v>
      </c>
      <c r="G31" s="292">
        <f>'RETRIBUCION NEGATIVA'!F49</f>
        <v>0</v>
      </c>
      <c r="H31" s="292">
        <f>'RETRIBUCION NEGATIVA'!G49</f>
        <v>0</v>
      </c>
      <c r="I31" s="292">
        <f>'RETRIBUCION NEGATIVA'!H49</f>
        <v>0</v>
      </c>
      <c r="J31" s="288">
        <v>0</v>
      </c>
      <c r="K31" s="295">
        <f t="shared" si="6"/>
        <v>0</v>
      </c>
      <c r="L31" s="299">
        <v>0</v>
      </c>
      <c r="M31" s="295">
        <f>K31-L31</f>
        <v>0</v>
      </c>
      <c r="N31" s="294">
        <f>'RETRIBUCION NEGATIVA'!I49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'RETRIBUCION NEGATIVA'!J49</f>
        <v>0</v>
      </c>
      <c r="V31" s="316">
        <f>'RETRIBUCION NEGATIVA'!K49</f>
        <v>0</v>
      </c>
      <c r="W31" s="316">
        <f>'RETRIBUCION NEGATIVA'!L49</f>
        <v>0</v>
      </c>
      <c r="X31" s="316">
        <f>'RETRIBUCION NEGATIVA'!M49</f>
        <v>0</v>
      </c>
      <c r="Y31" s="316">
        <f>'RETRIBUCION NEGATIVA'!N49</f>
        <v>0</v>
      </c>
      <c r="Z31" s="319">
        <f>L31*-1</f>
        <v>0</v>
      </c>
      <c r="AA31" s="320">
        <f>'RETRIBUCION NEGATIVA'!O49</f>
        <v>0</v>
      </c>
      <c r="AB31" s="294">
        <f>N31</f>
        <v>0</v>
      </c>
      <c r="AC31" s="291">
        <f t="shared" si="9"/>
        <v>0</v>
      </c>
      <c r="AD31" s="291">
        <f>'RETRIBUCION NEGATIVA'!C50</f>
        <v>0</v>
      </c>
      <c r="AE31" s="365">
        <f>SUM(U31:AC31)</f>
        <v>0</v>
      </c>
      <c r="AF31" s="323">
        <f t="shared" si="10"/>
        <v>0</v>
      </c>
      <c r="AG31" s="305" t="b">
        <f t="shared" si="8"/>
        <v>1</v>
      </c>
      <c r="AH31" s="306"/>
    </row>
    <row r="32" spans="1:34" s="305" customFormat="1" ht="12.6" thickBot="1" x14ac:dyDescent="0.3">
      <c r="B32" s="324">
        <v>5</v>
      </c>
      <c r="C32" s="325" t="s">
        <v>14</v>
      </c>
      <c r="D32" s="296">
        <f>'RETRIBUCION NEGATIVA'!C62</f>
        <v>0</v>
      </c>
      <c r="E32" s="297">
        <f>'RETRIBUCION NEGATIVA'!D62</f>
        <v>0</v>
      </c>
      <c r="F32" s="297">
        <f>'RETRIBUCION NEGATIVA'!E62</f>
        <v>0</v>
      </c>
      <c r="G32" s="297">
        <f>'RETRIBUCION NEGATIVA'!F62</f>
        <v>0</v>
      </c>
      <c r="H32" s="297">
        <f>'RETRIBUCION NEGATIVA'!G62</f>
        <v>0</v>
      </c>
      <c r="I32" s="297">
        <f>'RETRIBUCION NEGATIVA'!H62</f>
        <v>0</v>
      </c>
      <c r="J32" s="289">
        <v>0</v>
      </c>
      <c r="K32" s="295">
        <f t="shared" si="6"/>
        <v>0</v>
      </c>
      <c r="L32" s="299">
        <v>0</v>
      </c>
      <c r="M32" s="298">
        <f>K32-L32</f>
        <v>0</v>
      </c>
      <c r="N32" s="299">
        <f>'RETRIBUCION NEGATIVA'!I62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'RETRIBUCION NEGATIVA'!J62</f>
        <v>0</v>
      </c>
      <c r="V32" s="296">
        <f>'RETRIBUCION NEGATIVA'!K62</f>
        <v>0</v>
      </c>
      <c r="W32" s="296">
        <f>'RETRIBUCION NEGATIVA'!L62</f>
        <v>0</v>
      </c>
      <c r="X32" s="296">
        <f>'RETRIBUCION NEGATIVA'!M62</f>
        <v>0</v>
      </c>
      <c r="Y32" s="296">
        <f>'RETRIBUCION NEGATIVA'!N62</f>
        <v>0</v>
      </c>
      <c r="Z32" s="319">
        <f>L32*-1</f>
        <v>0</v>
      </c>
      <c r="AA32" s="320">
        <f>'RETRIBUCION NEGATIVA'!O62</f>
        <v>0</v>
      </c>
      <c r="AB32" s="294">
        <f>N32</f>
        <v>0</v>
      </c>
      <c r="AC32" s="291">
        <f t="shared" si="9"/>
        <v>0</v>
      </c>
      <c r="AD32" s="291">
        <f>'RETRIBUCION NEGATIVA'!C63</f>
        <v>0</v>
      </c>
      <c r="AE32" s="365">
        <f>SUM(U32:AC32)</f>
        <v>0</v>
      </c>
      <c r="AF32" s="326">
        <f>(AE32-O32)</f>
        <v>0</v>
      </c>
      <c r="AG32" s="305" t="b">
        <f t="shared" si="8"/>
        <v>1</v>
      </c>
      <c r="AH32" s="306"/>
    </row>
    <row r="33" spans="1:34" s="305" customFormat="1" ht="13.8" thickBot="1" x14ac:dyDescent="0.3">
      <c r="B33" s="327"/>
      <c r="C33" s="328" t="s">
        <v>2</v>
      </c>
      <c r="D33" s="290">
        <f>SUM(D28:D32)</f>
        <v>0</v>
      </c>
      <c r="E33" s="290">
        <f t="shared" ref="E33:O33" si="11">SUM(E28:E32)</f>
        <v>0</v>
      </c>
      <c r="F33" s="290">
        <f t="shared" si="11"/>
        <v>0</v>
      </c>
      <c r="G33" s="290">
        <f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290">
        <f>SUM(U28:U32)</f>
        <v>0</v>
      </c>
      <c r="V33" s="290">
        <f t="shared" ref="V33:AF33" si="12">SUM(V28:V32)</f>
        <v>0</v>
      </c>
      <c r="W33" s="290">
        <f t="shared" si="12"/>
        <v>0</v>
      </c>
      <c r="X33" s="290">
        <f t="shared" si="12"/>
        <v>0</v>
      </c>
      <c r="Y33" s="290">
        <f t="shared" si="12"/>
        <v>0</v>
      </c>
      <c r="Z33" s="290">
        <f t="shared" si="12"/>
        <v>0</v>
      </c>
      <c r="AA33" s="290">
        <f t="shared" si="12"/>
        <v>0</v>
      </c>
      <c r="AB33" s="290">
        <f t="shared" si="12"/>
        <v>0</v>
      </c>
      <c r="AC33" s="290">
        <f>SUM(AC28:AC32)</f>
        <v>0</v>
      </c>
      <c r="AD33" s="290">
        <f>SUM(AD28:AD32)</f>
        <v>0</v>
      </c>
      <c r="AE33" s="331">
        <f t="shared" si="12"/>
        <v>0</v>
      </c>
      <c r="AF33" s="332">
        <f t="shared" si="12"/>
        <v>0</v>
      </c>
      <c r="AG33" s="305" t="b">
        <f t="shared" si="8"/>
        <v>1</v>
      </c>
      <c r="AH33" s="306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265</v>
      </c>
      <c r="M35" s="639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2026092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46297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H45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ht="12" x14ac:dyDescent="0.25">
      <c r="B47" s="14">
        <v>1</v>
      </c>
      <c r="C47" s="61" t="s">
        <v>10</v>
      </c>
      <c r="D47" s="66">
        <f>D9+D28</f>
        <v>0</v>
      </c>
      <c r="E47" s="66">
        <f t="shared" ref="E47:F47" si="13">E9+E28</f>
        <v>0</v>
      </c>
      <c r="F47" s="66">
        <f t="shared" si="13"/>
        <v>0</v>
      </c>
      <c r="G47" s="66">
        <f t="shared" ref="G47" si="14">G9+G28</f>
        <v>0</v>
      </c>
      <c r="H47" s="66">
        <f t="shared" ref="H47:J51" si="15">H9+H28</f>
        <v>0</v>
      </c>
      <c r="I47" s="66">
        <f t="shared" si="15"/>
        <v>0</v>
      </c>
      <c r="J47" s="66">
        <f>J9+J28</f>
        <v>0</v>
      </c>
      <c r="K47" s="30">
        <f>D47-E47-F47-G47-H47-I47-J47</f>
        <v>0</v>
      </c>
      <c r="L47" s="37">
        <v>0</v>
      </c>
      <c r="M47" s="30">
        <f>K47-L47</f>
        <v>0</v>
      </c>
      <c r="N47" s="66">
        <f>N9+N28</f>
        <v>0</v>
      </c>
      <c r="O47" s="30">
        <f>M47+N47</f>
        <v>0</v>
      </c>
      <c r="Q47" s="4"/>
      <c r="S47" s="14">
        <v>1</v>
      </c>
      <c r="T47" s="61" t="s">
        <v>10</v>
      </c>
      <c r="U47" s="140">
        <f t="shared" ref="U47:Y51" si="16">U9+U28</f>
        <v>0</v>
      </c>
      <c r="V47" s="140">
        <f t="shared" si="16"/>
        <v>0</v>
      </c>
      <c r="W47" s="140">
        <f t="shared" si="16"/>
        <v>0</v>
      </c>
      <c r="X47" s="140">
        <f t="shared" si="16"/>
        <v>0</v>
      </c>
      <c r="Y47" s="140">
        <f t="shared" si="16"/>
        <v>0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0</v>
      </c>
      <c r="AD47" s="75">
        <f t="shared" si="17"/>
        <v>0</v>
      </c>
      <c r="AE47" s="69">
        <f>SUM(U47:AC47)</f>
        <v>0</v>
      </c>
      <c r="AF47" s="117">
        <f>(AE47-O47)</f>
        <v>0</v>
      </c>
      <c r="AG47" s="1" t="b">
        <f>AF47=0</f>
        <v>1</v>
      </c>
      <c r="AH47" s="4"/>
    </row>
    <row r="48" spans="1:34" ht="12" x14ac:dyDescent="0.25">
      <c r="B48" s="16">
        <v>2</v>
      </c>
      <c r="C48" s="62" t="s">
        <v>11</v>
      </c>
      <c r="D48" s="66">
        <f t="shared" ref="D48:F51" si="18">D10+D29</f>
        <v>0</v>
      </c>
      <c r="E48" s="66">
        <f t="shared" si="18"/>
        <v>0</v>
      </c>
      <c r="F48" s="66">
        <f t="shared" si="18"/>
        <v>0</v>
      </c>
      <c r="G48" s="66">
        <f t="shared" ref="G48" si="19">G10+G29</f>
        <v>0</v>
      </c>
      <c r="H48" s="66">
        <f t="shared" si="15"/>
        <v>0</v>
      </c>
      <c r="I48" s="66">
        <f t="shared" si="15"/>
        <v>0</v>
      </c>
      <c r="J48" s="66">
        <f t="shared" si="15"/>
        <v>0</v>
      </c>
      <c r="K48" s="31">
        <f>D48-E48-F48-G48-H48-I48-J48</f>
        <v>0</v>
      </c>
      <c r="L48" s="38">
        <v>0</v>
      </c>
      <c r="M48" s="31">
        <f>K48-L48</f>
        <v>0</v>
      </c>
      <c r="N48" s="66">
        <f>N10+N29</f>
        <v>0</v>
      </c>
      <c r="O48" s="31">
        <f t="shared" ref="O48:O51" si="20">M48+N48</f>
        <v>0</v>
      </c>
      <c r="Q48" s="4"/>
      <c r="S48" s="16">
        <v>2</v>
      </c>
      <c r="T48" s="62" t="s">
        <v>11</v>
      </c>
      <c r="U48" s="82">
        <f t="shared" si="16"/>
        <v>0</v>
      </c>
      <c r="V48" s="82">
        <f t="shared" si="16"/>
        <v>0</v>
      </c>
      <c r="W48" s="82">
        <f t="shared" si="16"/>
        <v>0</v>
      </c>
      <c r="X48" s="82">
        <f t="shared" si="16"/>
        <v>0</v>
      </c>
      <c r="Y48" s="82">
        <f t="shared" si="16"/>
        <v>0</v>
      </c>
      <c r="Z48" s="88">
        <f>-L48</f>
        <v>0</v>
      </c>
      <c r="AA48" s="67">
        <f>AA10+AA29</f>
        <v>0</v>
      </c>
      <c r="AB48" s="67">
        <f>AB10+AB29</f>
        <v>0</v>
      </c>
      <c r="AC48" s="67">
        <f t="shared" si="17"/>
        <v>0</v>
      </c>
      <c r="AD48" s="67">
        <f t="shared" si="17"/>
        <v>0</v>
      </c>
      <c r="AE48" s="70">
        <f>SUM(U48:AC48)</f>
        <v>0</v>
      </c>
      <c r="AF48" s="118">
        <f>(AE48-O48)</f>
        <v>0</v>
      </c>
      <c r="AG48" s="1" t="b">
        <f t="shared" ref="AG48:AG52" si="21">AF48=0</f>
        <v>1</v>
      </c>
      <c r="AH48" s="4"/>
    </row>
    <row r="49" spans="1:34" ht="12" x14ac:dyDescent="0.25">
      <c r="B49" s="16">
        <v>3</v>
      </c>
      <c r="C49" s="62" t="s">
        <v>12</v>
      </c>
      <c r="D49" s="66">
        <f t="shared" si="18"/>
        <v>0</v>
      </c>
      <c r="E49" s="66">
        <f t="shared" si="18"/>
        <v>0</v>
      </c>
      <c r="F49" s="66">
        <f t="shared" si="18"/>
        <v>0</v>
      </c>
      <c r="G49" s="66">
        <f t="shared" ref="G49" si="22">G11+G30</f>
        <v>0</v>
      </c>
      <c r="H49" s="66">
        <f t="shared" si="15"/>
        <v>0</v>
      </c>
      <c r="I49" s="66">
        <f t="shared" si="15"/>
        <v>0</v>
      </c>
      <c r="J49" s="66">
        <f t="shared" si="15"/>
        <v>0</v>
      </c>
      <c r="K49" s="31">
        <f t="shared" ref="K49:K51" si="23">D49-E49-F49-G49-H49-I49-J49</f>
        <v>0</v>
      </c>
      <c r="L49" s="38">
        <v>0</v>
      </c>
      <c r="M49" s="31">
        <f>K49-L49</f>
        <v>0</v>
      </c>
      <c r="N49" s="66">
        <f>N11+N30</f>
        <v>0</v>
      </c>
      <c r="O49" s="31">
        <f t="shared" si="20"/>
        <v>0</v>
      </c>
      <c r="Q49" s="4"/>
      <c r="S49" s="16">
        <v>3</v>
      </c>
      <c r="T49" s="62" t="s">
        <v>12</v>
      </c>
      <c r="U49" s="82">
        <f t="shared" si="16"/>
        <v>0</v>
      </c>
      <c r="V49" s="82">
        <f t="shared" si="16"/>
        <v>0</v>
      </c>
      <c r="W49" s="82">
        <f t="shared" si="16"/>
        <v>0</v>
      </c>
      <c r="X49" s="82">
        <f t="shared" si="16"/>
        <v>0</v>
      </c>
      <c r="Y49" s="82">
        <f t="shared" si="16"/>
        <v>0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0</v>
      </c>
      <c r="AD49" s="67">
        <f t="shared" si="17"/>
        <v>0</v>
      </c>
      <c r="AE49" s="70">
        <f t="shared" ref="AE49:AE51" si="24">SUM(U49:AC49)</f>
        <v>0</v>
      </c>
      <c r="AF49" s="118">
        <f>(AE49-O49)</f>
        <v>0</v>
      </c>
      <c r="AG49" s="1" t="b">
        <f t="shared" si="21"/>
        <v>1</v>
      </c>
      <c r="AH49" s="4"/>
    </row>
    <row r="50" spans="1:34" ht="12" x14ac:dyDescent="0.25">
      <c r="B50" s="16">
        <v>4</v>
      </c>
      <c r="C50" s="62" t="s">
        <v>13</v>
      </c>
      <c r="D50" s="66">
        <f t="shared" si="18"/>
        <v>0</v>
      </c>
      <c r="E50" s="66">
        <f t="shared" si="18"/>
        <v>0</v>
      </c>
      <c r="F50" s="66">
        <f t="shared" si="18"/>
        <v>0</v>
      </c>
      <c r="G50" s="66">
        <f t="shared" ref="G50" si="25">G12+G31</f>
        <v>0</v>
      </c>
      <c r="H50" s="66">
        <f t="shared" si="15"/>
        <v>0</v>
      </c>
      <c r="I50" s="66">
        <f t="shared" si="15"/>
        <v>0</v>
      </c>
      <c r="J50" s="66">
        <f t="shared" si="15"/>
        <v>0</v>
      </c>
      <c r="K50" s="31">
        <f t="shared" si="23"/>
        <v>0</v>
      </c>
      <c r="L50" s="38">
        <v>0</v>
      </c>
      <c r="M50" s="31">
        <f>K50-L50</f>
        <v>0</v>
      </c>
      <c r="N50" s="66">
        <f>N12+N31</f>
        <v>0</v>
      </c>
      <c r="O50" s="31">
        <f t="shared" si="20"/>
        <v>0</v>
      </c>
      <c r="Q50" s="4"/>
      <c r="S50" s="16">
        <v>4</v>
      </c>
      <c r="T50" s="62" t="s">
        <v>13</v>
      </c>
      <c r="U50" s="82">
        <f t="shared" si="16"/>
        <v>0</v>
      </c>
      <c r="V50" s="82">
        <f t="shared" si="16"/>
        <v>0</v>
      </c>
      <c r="W50" s="82">
        <f t="shared" si="16"/>
        <v>0</v>
      </c>
      <c r="X50" s="82">
        <f t="shared" si="16"/>
        <v>0</v>
      </c>
      <c r="Y50" s="82">
        <f t="shared" si="16"/>
        <v>0</v>
      </c>
      <c r="Z50" s="88">
        <f>-L50</f>
        <v>0</v>
      </c>
      <c r="AA50" s="67">
        <f>AA12+AA31</f>
        <v>0</v>
      </c>
      <c r="AB50" s="67">
        <f t="shared" si="17"/>
        <v>0</v>
      </c>
      <c r="AC50" s="67">
        <f t="shared" si="17"/>
        <v>0</v>
      </c>
      <c r="AD50" s="67">
        <f t="shared" si="17"/>
        <v>0</v>
      </c>
      <c r="AE50" s="70">
        <f t="shared" si="24"/>
        <v>0</v>
      </c>
      <c r="AF50" s="118">
        <f>(AE50-O50)</f>
        <v>0</v>
      </c>
      <c r="AG50" s="1" t="b">
        <f t="shared" si="21"/>
        <v>1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0</v>
      </c>
      <c r="E52" s="43">
        <f t="shared" si="27"/>
        <v>0</v>
      </c>
      <c r="F52" s="43">
        <f t="shared" si="27"/>
        <v>0</v>
      </c>
      <c r="G52" s="43">
        <f t="shared" si="27"/>
        <v>0</v>
      </c>
      <c r="H52" s="43">
        <f t="shared" si="27"/>
        <v>0</v>
      </c>
      <c r="I52" s="43">
        <f t="shared" si="27"/>
        <v>0</v>
      </c>
      <c r="J52" s="43">
        <f t="shared" si="27"/>
        <v>0</v>
      </c>
      <c r="K52" s="32">
        <f t="shared" si="27"/>
        <v>0</v>
      </c>
      <c r="L52" s="23">
        <f t="shared" si="27"/>
        <v>0</v>
      </c>
      <c r="M52" s="76">
        <f t="shared" si="27"/>
        <v>0</v>
      </c>
      <c r="N52" s="23">
        <f t="shared" si="27"/>
        <v>0</v>
      </c>
      <c r="O52" s="76">
        <f t="shared" si="27"/>
        <v>0</v>
      </c>
      <c r="P52" s="2"/>
      <c r="Q52" s="4"/>
      <c r="S52" s="21"/>
      <c r="T52" s="22" t="s">
        <v>2</v>
      </c>
      <c r="U52" s="43">
        <f>SUM(U47:U51)</f>
        <v>0</v>
      </c>
      <c r="V52" s="43">
        <f t="shared" ref="V52:AE52" si="28">SUM(V47:V51)</f>
        <v>0</v>
      </c>
      <c r="W52" s="43">
        <f t="shared" si="28"/>
        <v>0</v>
      </c>
      <c r="X52" s="43">
        <f t="shared" si="28"/>
        <v>0</v>
      </c>
      <c r="Y52" s="43">
        <f t="shared" si="28"/>
        <v>0</v>
      </c>
      <c r="Z52" s="43">
        <f t="shared" si="28"/>
        <v>0</v>
      </c>
      <c r="AA52" s="43">
        <f>SUM(AA47:AA51)</f>
        <v>0</v>
      </c>
      <c r="AB52" s="43">
        <f t="shared" si="28"/>
        <v>0</v>
      </c>
      <c r="AC52" s="43">
        <f>SUM(AC47:AC51)</f>
        <v>0</v>
      </c>
      <c r="AD52" s="43">
        <f>SUM(AD47:AD51)</f>
        <v>0</v>
      </c>
      <c r="AE52" s="68">
        <f t="shared" si="28"/>
        <v>0</v>
      </c>
      <c r="AF52" s="120">
        <f>SUM(AF47:AF51)</f>
        <v>0</v>
      </c>
      <c r="AG52" s="1" t="b">
        <f t="shared" si="21"/>
        <v>1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I10" zoomScaleNormal="100" workbookViewId="0">
      <selection activeCell="R26" sqref="R26"/>
    </sheetView>
  </sheetViews>
  <sheetFormatPr baseColWidth="10" defaultRowHeight="13.8" x14ac:dyDescent="0.3"/>
  <cols>
    <col min="1" max="1" width="2.88671875" customWidth="1"/>
    <col min="2" max="2" width="17.44140625" bestFit="1" customWidth="1"/>
    <col min="3" max="3" width="4.88671875" style="151" bestFit="1" customWidth="1"/>
    <col min="4" max="4" width="42.88671875" style="151" bestFit="1" customWidth="1"/>
    <col min="5" max="5" width="9" customWidth="1"/>
    <col min="6" max="6" width="15.88671875" customWidth="1"/>
    <col min="7" max="7" width="17.44140625" bestFit="1" customWidth="1"/>
    <col min="8" max="8" width="14.109375" customWidth="1"/>
    <col min="9" max="9" width="16.109375" bestFit="1" customWidth="1"/>
    <col min="10" max="10" width="16.88671875" customWidth="1"/>
    <col min="11" max="11" width="17.5546875" customWidth="1"/>
    <col min="12" max="12" width="15.5546875" bestFit="1" customWidth="1"/>
    <col min="13" max="13" width="15.88671875" bestFit="1" customWidth="1"/>
    <col min="14" max="14" width="17" customWidth="1"/>
    <col min="15" max="15" width="17.88671875" customWidth="1"/>
    <col min="16" max="16" width="16.88671875" customWidth="1"/>
    <col min="17" max="17" width="18" customWidth="1"/>
    <col min="18" max="18" width="14.109375" bestFit="1" customWidth="1"/>
    <col min="19" max="19" width="15.88671875" bestFit="1" customWidth="1"/>
    <col min="20" max="20" width="14.109375" bestFit="1" customWidth="1"/>
  </cols>
  <sheetData>
    <row r="1" spans="2:19" ht="14.4" thickBot="1" x14ac:dyDescent="0.35"/>
    <row r="2" spans="2:19" s="151" customFormat="1" ht="14.4" thickBot="1" x14ac:dyDescent="0.35">
      <c r="B2" s="665"/>
      <c r="E2" s="151" t="s">
        <v>1</v>
      </c>
      <c r="F2" s="581" t="s">
        <v>275</v>
      </c>
      <c r="G2" s="582" t="s">
        <v>276</v>
      </c>
      <c r="H2" s="583" t="s">
        <v>277</v>
      </c>
      <c r="I2" s="583" t="s">
        <v>278</v>
      </c>
      <c r="J2" s="583" t="s">
        <v>279</v>
      </c>
      <c r="K2" s="582" t="s">
        <v>280</v>
      </c>
      <c r="L2" s="582" t="s">
        <v>281</v>
      </c>
      <c r="M2" s="583" t="s">
        <v>282</v>
      </c>
      <c r="N2" s="583" t="s">
        <v>283</v>
      </c>
      <c r="O2" s="583" t="s">
        <v>284</v>
      </c>
      <c r="P2" s="761" t="s">
        <v>285</v>
      </c>
      <c r="Q2" s="583" t="s">
        <v>286</v>
      </c>
    </row>
    <row r="3" spans="2:19" s="151" customFormat="1" ht="28.2" thickBot="1" x14ac:dyDescent="0.35">
      <c r="B3" s="666" t="s">
        <v>134</v>
      </c>
      <c r="C3" s="152" t="s">
        <v>3</v>
      </c>
      <c r="D3" s="153" t="s">
        <v>9</v>
      </c>
      <c r="E3" s="560" t="s">
        <v>108</v>
      </c>
      <c r="F3" s="584" t="s">
        <v>287</v>
      </c>
      <c r="G3" s="585" t="s">
        <v>288</v>
      </c>
      <c r="H3" s="586" t="s">
        <v>289</v>
      </c>
      <c r="I3" s="587" t="s">
        <v>290</v>
      </c>
      <c r="J3" s="584" t="s">
        <v>291</v>
      </c>
      <c r="K3" s="585" t="s">
        <v>292</v>
      </c>
      <c r="L3" s="586" t="s">
        <v>293</v>
      </c>
      <c r="M3" s="587" t="s">
        <v>294</v>
      </c>
      <c r="N3" s="584" t="s">
        <v>295</v>
      </c>
      <c r="O3" s="585" t="s">
        <v>296</v>
      </c>
      <c r="P3" s="586" t="s">
        <v>297</v>
      </c>
      <c r="Q3" s="587" t="s">
        <v>298</v>
      </c>
    </row>
    <row r="4" spans="2:19" s="151" customFormat="1" x14ac:dyDescent="0.3">
      <c r="B4" s="667">
        <v>378371975</v>
      </c>
      <c r="C4" s="561">
        <v>1</v>
      </c>
      <c r="D4" s="161" t="s">
        <v>10</v>
      </c>
      <c r="E4" s="668">
        <v>0.22</v>
      </c>
      <c r="F4" s="669">
        <v>189185988</v>
      </c>
      <c r="G4" s="670">
        <v>189185987</v>
      </c>
      <c r="H4" s="671">
        <v>189185988</v>
      </c>
      <c r="I4" s="672">
        <v>189185987</v>
      </c>
      <c r="J4" s="669">
        <v>189185988</v>
      </c>
      <c r="K4" s="670">
        <v>189185987</v>
      </c>
      <c r="L4" s="671">
        <v>189185988</v>
      </c>
      <c r="M4" s="672">
        <v>189185987</v>
      </c>
      <c r="N4" s="669">
        <v>189185988</v>
      </c>
      <c r="O4" s="670">
        <v>189185987</v>
      </c>
      <c r="P4" s="671">
        <v>189185988</v>
      </c>
      <c r="Q4" s="672">
        <v>189185987</v>
      </c>
      <c r="S4" s="762"/>
    </row>
    <row r="5" spans="2:19" s="151" customFormat="1" x14ac:dyDescent="0.3">
      <c r="B5" s="667">
        <v>533160511</v>
      </c>
      <c r="C5" s="562">
        <v>2</v>
      </c>
      <c r="D5" s="156" t="s">
        <v>11</v>
      </c>
      <c r="E5" s="673">
        <v>0.31</v>
      </c>
      <c r="F5" s="674">
        <v>266580256</v>
      </c>
      <c r="G5" s="675">
        <v>266580255</v>
      </c>
      <c r="H5" s="676">
        <v>266580256</v>
      </c>
      <c r="I5" s="672">
        <v>266580255</v>
      </c>
      <c r="J5" s="674">
        <v>266580256</v>
      </c>
      <c r="K5" s="675">
        <v>266580255</v>
      </c>
      <c r="L5" s="676">
        <v>266580256</v>
      </c>
      <c r="M5" s="672">
        <v>266580255</v>
      </c>
      <c r="N5" s="674">
        <v>266580256</v>
      </c>
      <c r="O5" s="675">
        <v>266580255</v>
      </c>
      <c r="P5" s="676">
        <v>266580256</v>
      </c>
      <c r="Q5" s="672">
        <v>266580255</v>
      </c>
      <c r="S5" s="762"/>
    </row>
    <row r="6" spans="2:19" s="151" customFormat="1" x14ac:dyDescent="0.3">
      <c r="B6" s="667">
        <v>309577071</v>
      </c>
      <c r="C6" s="562">
        <v>3</v>
      </c>
      <c r="D6" s="156" t="s">
        <v>12</v>
      </c>
      <c r="E6" s="673">
        <v>0.18</v>
      </c>
      <c r="F6" s="674">
        <v>154788536</v>
      </c>
      <c r="G6" s="675">
        <v>154788535</v>
      </c>
      <c r="H6" s="676">
        <v>154788536</v>
      </c>
      <c r="I6" s="672">
        <v>154788535</v>
      </c>
      <c r="J6" s="674">
        <v>154788536</v>
      </c>
      <c r="K6" s="675">
        <v>154788535</v>
      </c>
      <c r="L6" s="676">
        <v>154788536</v>
      </c>
      <c r="M6" s="672">
        <v>154788535</v>
      </c>
      <c r="N6" s="674">
        <v>154788536</v>
      </c>
      <c r="O6" s="675">
        <v>154788535</v>
      </c>
      <c r="P6" s="676">
        <v>154788536</v>
      </c>
      <c r="Q6" s="672">
        <v>154788535</v>
      </c>
      <c r="S6" s="762"/>
    </row>
    <row r="7" spans="2:19" s="151" customFormat="1" x14ac:dyDescent="0.3">
      <c r="B7" s="667">
        <v>240782166</v>
      </c>
      <c r="C7" s="562">
        <v>4</v>
      </c>
      <c r="D7" s="156" t="s">
        <v>13</v>
      </c>
      <c r="E7" s="673">
        <v>0.14000000000000001</v>
      </c>
      <c r="F7" s="674">
        <v>120391083</v>
      </c>
      <c r="G7" s="675">
        <v>120391083</v>
      </c>
      <c r="H7" s="676">
        <v>120391083</v>
      </c>
      <c r="I7" s="672">
        <v>120391083</v>
      </c>
      <c r="J7" s="674">
        <v>120391083</v>
      </c>
      <c r="K7" s="675">
        <v>120391083</v>
      </c>
      <c r="L7" s="676">
        <v>120391083</v>
      </c>
      <c r="M7" s="672">
        <v>120391083</v>
      </c>
      <c r="N7" s="674">
        <v>120391083</v>
      </c>
      <c r="O7" s="675">
        <v>120391083</v>
      </c>
      <c r="P7" s="676">
        <v>120391083</v>
      </c>
      <c r="Q7" s="672">
        <v>120391083</v>
      </c>
      <c r="S7" s="762"/>
    </row>
    <row r="8" spans="2:19" s="151" customFormat="1" ht="14.4" thickBot="1" x14ac:dyDescent="0.35">
      <c r="B8" s="667">
        <v>257980891</v>
      </c>
      <c r="C8" s="563">
        <v>5</v>
      </c>
      <c r="D8" s="158" t="s">
        <v>14</v>
      </c>
      <c r="E8" s="677">
        <v>0.15</v>
      </c>
      <c r="F8" s="678">
        <v>128990446</v>
      </c>
      <c r="G8" s="679">
        <v>128990445</v>
      </c>
      <c r="H8" s="680">
        <v>128990446</v>
      </c>
      <c r="I8" s="681">
        <v>128990445</v>
      </c>
      <c r="J8" s="678">
        <v>128990446</v>
      </c>
      <c r="K8" s="679">
        <v>128990445</v>
      </c>
      <c r="L8" s="680">
        <v>128990446</v>
      </c>
      <c r="M8" s="681">
        <v>128990445</v>
      </c>
      <c r="N8" s="678">
        <v>128990446</v>
      </c>
      <c r="O8" s="679">
        <v>128990445</v>
      </c>
      <c r="P8" s="680">
        <v>128990446</v>
      </c>
      <c r="Q8" s="681">
        <v>128990445</v>
      </c>
      <c r="S8" s="762"/>
    </row>
    <row r="9" spans="2:19" s="151" customFormat="1" ht="14.4" thickBot="1" x14ac:dyDescent="0.35">
      <c r="B9" s="682">
        <v>1719872614</v>
      </c>
      <c r="C9" s="159"/>
      <c r="D9" s="160" t="s">
        <v>2</v>
      </c>
      <c r="E9" s="564">
        <v>1</v>
      </c>
      <c r="F9" s="683">
        <v>859936309</v>
      </c>
      <c r="G9" s="683">
        <v>859936305</v>
      </c>
      <c r="H9" s="684">
        <v>859936309</v>
      </c>
      <c r="I9" s="684">
        <v>859936305</v>
      </c>
      <c r="J9" s="683">
        <v>859936309</v>
      </c>
      <c r="K9" s="683">
        <v>859936305</v>
      </c>
      <c r="L9" s="684">
        <v>859936309</v>
      </c>
      <c r="M9" s="684">
        <v>859936305</v>
      </c>
      <c r="N9" s="683">
        <v>859936309</v>
      </c>
      <c r="O9" s="683">
        <v>859936305</v>
      </c>
      <c r="P9" s="684">
        <v>859936309</v>
      </c>
      <c r="Q9" s="684">
        <v>859936305</v>
      </c>
      <c r="S9" s="762"/>
    </row>
    <row r="10" spans="2:19" s="151" customFormat="1" ht="15.75" customHeight="1" thickBot="1" x14ac:dyDescent="0.35">
      <c r="B10" s="665"/>
      <c r="F10" s="784">
        <f>SUM(F9:G9)</f>
        <v>1719872614</v>
      </c>
      <c r="G10" s="785"/>
      <c r="H10" s="784">
        <f>SUM(H9:I9)</f>
        <v>1719872614</v>
      </c>
      <c r="I10" s="785"/>
      <c r="J10" s="784">
        <f>SUM(J9:K9)</f>
        <v>1719872614</v>
      </c>
      <c r="K10" s="785"/>
      <c r="L10" s="784">
        <f>SUM(L9:M9)</f>
        <v>1719872614</v>
      </c>
      <c r="M10" s="785"/>
      <c r="N10" s="784">
        <f>SUM(N9:O9)</f>
        <v>1719872614</v>
      </c>
      <c r="O10" s="785"/>
      <c r="P10" s="784">
        <f>SUM(P9:Q9)</f>
        <v>1719872614</v>
      </c>
      <c r="Q10" s="785"/>
    </row>
    <row r="12" spans="2:19" ht="14.4" thickBot="1" x14ac:dyDescent="0.35"/>
    <row r="13" spans="2:19" s="151" customFormat="1" ht="14.4" thickBot="1" x14ac:dyDescent="0.35">
      <c r="B13" s="665"/>
      <c r="E13" s="151" t="s">
        <v>1</v>
      </c>
      <c r="F13" s="581" t="s">
        <v>299</v>
      </c>
      <c r="G13" s="582" t="s">
        <v>300</v>
      </c>
      <c r="H13" s="768" t="s">
        <v>301</v>
      </c>
      <c r="I13" s="583" t="s">
        <v>302</v>
      </c>
      <c r="J13" s="583" t="s">
        <v>303</v>
      </c>
      <c r="K13" s="582" t="s">
        <v>304</v>
      </c>
      <c r="L13" s="582" t="s">
        <v>305</v>
      </c>
      <c r="M13" s="583" t="s">
        <v>306</v>
      </c>
      <c r="N13" s="583" t="s">
        <v>307</v>
      </c>
      <c r="O13" s="582" t="s">
        <v>308</v>
      </c>
      <c r="P13" s="582" t="s">
        <v>309</v>
      </c>
      <c r="Q13" s="583" t="s">
        <v>310</v>
      </c>
    </row>
    <row r="14" spans="2:19" s="151" customFormat="1" ht="28.2" thickBot="1" x14ac:dyDescent="0.35">
      <c r="B14" s="665"/>
      <c r="C14" s="152" t="s">
        <v>3</v>
      </c>
      <c r="D14" s="153" t="s">
        <v>9</v>
      </c>
      <c r="E14" s="560" t="s">
        <v>108</v>
      </c>
      <c r="F14" s="584" t="s">
        <v>311</v>
      </c>
      <c r="G14" s="585" t="s">
        <v>312</v>
      </c>
      <c r="H14" s="586" t="s">
        <v>313</v>
      </c>
      <c r="I14" s="587" t="s">
        <v>314</v>
      </c>
      <c r="J14" s="584" t="s">
        <v>315</v>
      </c>
      <c r="K14" s="585" t="s">
        <v>316</v>
      </c>
      <c r="L14" s="586" t="s">
        <v>317</v>
      </c>
      <c r="M14" s="587" t="s">
        <v>318</v>
      </c>
      <c r="N14" s="584" t="s">
        <v>319</v>
      </c>
      <c r="O14" s="585" t="s">
        <v>320</v>
      </c>
      <c r="P14" s="586" t="s">
        <v>321</v>
      </c>
      <c r="Q14" s="587" t="s">
        <v>322</v>
      </c>
    </row>
    <row r="15" spans="2:19" s="151" customFormat="1" x14ac:dyDescent="0.3">
      <c r="B15" s="665"/>
      <c r="C15" s="154">
        <v>1</v>
      </c>
      <c r="D15" s="161" t="s">
        <v>10</v>
      </c>
      <c r="E15" s="685">
        <v>0.22</v>
      </c>
      <c r="F15" s="669">
        <v>189185988</v>
      </c>
      <c r="G15" s="670">
        <v>189185987</v>
      </c>
      <c r="H15" s="671">
        <v>189185988</v>
      </c>
      <c r="I15" s="672">
        <v>189185987</v>
      </c>
      <c r="J15" s="669">
        <v>189185988</v>
      </c>
      <c r="K15" s="670">
        <v>189185987</v>
      </c>
      <c r="L15" s="671">
        <v>189185988</v>
      </c>
      <c r="M15" s="672">
        <v>189185987</v>
      </c>
      <c r="N15" s="669">
        <v>189185988</v>
      </c>
      <c r="O15" s="670">
        <v>189185987</v>
      </c>
      <c r="P15" s="671">
        <v>189185988</v>
      </c>
      <c r="Q15" s="672">
        <v>189185987</v>
      </c>
    </row>
    <row r="16" spans="2:19" s="151" customFormat="1" x14ac:dyDescent="0.3">
      <c r="B16" s="665"/>
      <c r="C16" s="155">
        <v>2</v>
      </c>
      <c r="D16" s="156" t="s">
        <v>11</v>
      </c>
      <c r="E16" s="686">
        <v>0.31</v>
      </c>
      <c r="F16" s="674">
        <v>266580256</v>
      </c>
      <c r="G16" s="675">
        <v>266580255</v>
      </c>
      <c r="H16" s="676">
        <v>266580256</v>
      </c>
      <c r="I16" s="672">
        <v>266580255</v>
      </c>
      <c r="J16" s="674">
        <v>266580256</v>
      </c>
      <c r="K16" s="675">
        <v>266580255</v>
      </c>
      <c r="L16" s="676">
        <v>266580256</v>
      </c>
      <c r="M16" s="672">
        <v>266580255</v>
      </c>
      <c r="N16" s="674">
        <v>266580256</v>
      </c>
      <c r="O16" s="675">
        <v>266580255</v>
      </c>
      <c r="P16" s="676">
        <v>266580256</v>
      </c>
      <c r="Q16" s="672">
        <v>266580255</v>
      </c>
    </row>
    <row r="17" spans="2:19" s="151" customFormat="1" x14ac:dyDescent="0.3">
      <c r="B17" s="665"/>
      <c r="C17" s="155">
        <v>3</v>
      </c>
      <c r="D17" s="156" t="s">
        <v>12</v>
      </c>
      <c r="E17" s="686">
        <v>0.18</v>
      </c>
      <c r="F17" s="674">
        <v>154788536</v>
      </c>
      <c r="G17" s="675">
        <v>154788535</v>
      </c>
      <c r="H17" s="676">
        <v>154788536</v>
      </c>
      <c r="I17" s="672">
        <v>154788535</v>
      </c>
      <c r="J17" s="674">
        <v>154788536</v>
      </c>
      <c r="K17" s="675">
        <v>154788535</v>
      </c>
      <c r="L17" s="676">
        <v>154788536</v>
      </c>
      <c r="M17" s="672">
        <v>154788535</v>
      </c>
      <c r="N17" s="674">
        <v>154788536</v>
      </c>
      <c r="O17" s="675">
        <v>154788535</v>
      </c>
      <c r="P17" s="676">
        <v>154788536</v>
      </c>
      <c r="Q17" s="672">
        <v>154788535</v>
      </c>
    </row>
    <row r="18" spans="2:19" s="151" customFormat="1" x14ac:dyDescent="0.3">
      <c r="B18" s="665"/>
      <c r="C18" s="155">
        <v>4</v>
      </c>
      <c r="D18" s="156" t="s">
        <v>13</v>
      </c>
      <c r="E18" s="686">
        <v>0.14000000000000001</v>
      </c>
      <c r="F18" s="674">
        <v>120391083</v>
      </c>
      <c r="G18" s="675">
        <v>120391083</v>
      </c>
      <c r="H18" s="676">
        <v>120391083</v>
      </c>
      <c r="I18" s="672">
        <v>120391083</v>
      </c>
      <c r="J18" s="674">
        <v>120391083</v>
      </c>
      <c r="K18" s="675">
        <v>120391083</v>
      </c>
      <c r="L18" s="676">
        <v>120391083</v>
      </c>
      <c r="M18" s="672">
        <v>120391083</v>
      </c>
      <c r="N18" s="674">
        <v>120391083</v>
      </c>
      <c r="O18" s="675">
        <v>120391083</v>
      </c>
      <c r="P18" s="676">
        <v>120391083</v>
      </c>
      <c r="Q18" s="672">
        <v>120391083</v>
      </c>
    </row>
    <row r="19" spans="2:19" s="151" customFormat="1" ht="14.4" thickBot="1" x14ac:dyDescent="0.35">
      <c r="B19" s="665"/>
      <c r="C19" s="157">
        <v>5</v>
      </c>
      <c r="D19" s="158" t="s">
        <v>14</v>
      </c>
      <c r="E19" s="687">
        <v>0.15</v>
      </c>
      <c r="F19" s="678">
        <v>128990446</v>
      </c>
      <c r="G19" s="679">
        <v>128990445</v>
      </c>
      <c r="H19" s="680">
        <v>128990446</v>
      </c>
      <c r="I19" s="681">
        <v>128990445</v>
      </c>
      <c r="J19" s="678">
        <v>128990446</v>
      </c>
      <c r="K19" s="679">
        <v>128990445</v>
      </c>
      <c r="L19" s="680">
        <v>128990446</v>
      </c>
      <c r="M19" s="681">
        <v>128990445</v>
      </c>
      <c r="N19" s="678">
        <v>128990446</v>
      </c>
      <c r="O19" s="679">
        <v>128990445</v>
      </c>
      <c r="P19" s="680">
        <v>128990446</v>
      </c>
      <c r="Q19" s="681">
        <v>128990445</v>
      </c>
    </row>
    <row r="20" spans="2:19" s="151" customFormat="1" ht="14.4" thickBot="1" x14ac:dyDescent="0.35">
      <c r="B20" s="665"/>
      <c r="C20" s="159"/>
      <c r="D20" s="160" t="s">
        <v>2</v>
      </c>
      <c r="E20" s="565">
        <v>1</v>
      </c>
      <c r="F20" s="683">
        <v>859936309</v>
      </c>
      <c r="G20" s="683">
        <v>859936305</v>
      </c>
      <c r="H20" s="684">
        <v>859936309</v>
      </c>
      <c r="I20" s="684">
        <v>859936305</v>
      </c>
      <c r="J20" s="683">
        <v>859936309</v>
      </c>
      <c r="K20" s="683">
        <v>859936305</v>
      </c>
      <c r="L20" s="684">
        <v>859936309</v>
      </c>
      <c r="M20" s="684">
        <v>859936305</v>
      </c>
      <c r="N20" s="683">
        <v>859936309</v>
      </c>
      <c r="O20" s="683">
        <v>859936305</v>
      </c>
      <c r="P20" s="684">
        <v>859936309</v>
      </c>
      <c r="Q20" s="684">
        <v>859936305</v>
      </c>
    </row>
    <row r="21" spans="2:19" s="151" customFormat="1" ht="14.4" thickBot="1" x14ac:dyDescent="0.35">
      <c r="B21" s="665"/>
      <c r="F21" s="784">
        <f>SUM(F20:G20)</f>
        <v>1719872614</v>
      </c>
      <c r="G21" s="785">
        <v>1191383498</v>
      </c>
      <c r="H21" s="784">
        <f>SUM(H20:I20)</f>
        <v>1719872614</v>
      </c>
      <c r="I21" s="785">
        <v>1191383498</v>
      </c>
      <c r="J21" s="784">
        <f>SUM(J20:K20)</f>
        <v>1719872614</v>
      </c>
      <c r="K21" s="785">
        <v>1191383498</v>
      </c>
      <c r="L21" s="784">
        <f>SUM(L20:M20)</f>
        <v>1719872614</v>
      </c>
      <c r="M21" s="785">
        <v>1191383498</v>
      </c>
      <c r="N21" s="784">
        <f>SUM(N20:O20)</f>
        <v>1719872614</v>
      </c>
      <c r="O21" s="785">
        <v>1191383498</v>
      </c>
      <c r="P21" s="784">
        <f>SUM(P20:Q20)</f>
        <v>1719872614</v>
      </c>
      <c r="Q21" s="785">
        <v>1191383498</v>
      </c>
    </row>
    <row r="24" spans="2:19" ht="14.4" thickBot="1" x14ac:dyDescent="0.35">
      <c r="B24" s="238"/>
      <c r="C24" s="519"/>
      <c r="D24" s="519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35">
      <c r="K25" s="718" t="s">
        <v>268</v>
      </c>
      <c r="L25" s="152" t="s">
        <v>3</v>
      </c>
      <c r="M25" s="644" t="s">
        <v>266</v>
      </c>
      <c r="N25" s="644" t="s">
        <v>267</v>
      </c>
      <c r="Q25" s="520" t="s">
        <v>1</v>
      </c>
      <c r="R25" s="29" t="s">
        <v>201</v>
      </c>
    </row>
    <row r="26" spans="2:19" x14ac:dyDescent="0.3">
      <c r="G26" s="212"/>
      <c r="H26" s="212"/>
      <c r="I26" s="212"/>
      <c r="J26" s="643"/>
      <c r="K26" s="688">
        <v>378371975</v>
      </c>
      <c r="L26" s="154">
        <v>1</v>
      </c>
      <c r="M26" s="716">
        <v>189185988</v>
      </c>
      <c r="N26" s="180">
        <v>189185987</v>
      </c>
      <c r="O26" s="167" t="b">
        <f>M26=R26</f>
        <v>1</v>
      </c>
      <c r="P26" s="167"/>
      <c r="Q26" s="717">
        <f>'CONSOLIDADO_TOTAL RECAUDO'!L104</f>
        <v>189185988</v>
      </c>
      <c r="R26" s="696">
        <f t="shared" ref="R26:R31" si="0">J15</f>
        <v>189185988</v>
      </c>
      <c r="S26" t="b">
        <f>Q26=R26</f>
        <v>1</v>
      </c>
    </row>
    <row r="27" spans="2:19" x14ac:dyDescent="0.3">
      <c r="G27" s="212"/>
      <c r="H27" s="212"/>
      <c r="I27" s="212"/>
      <c r="J27" s="643"/>
      <c r="K27" s="689">
        <v>533160511</v>
      </c>
      <c r="L27" s="155">
        <v>2</v>
      </c>
      <c r="M27" s="716">
        <v>266580256</v>
      </c>
      <c r="N27" s="180">
        <v>266580255</v>
      </c>
      <c r="O27" s="167" t="b">
        <f t="shared" ref="O27:O31" si="1">M27=R27</f>
        <v>1</v>
      </c>
      <c r="P27" s="167"/>
      <c r="Q27" s="717">
        <f>'CONSOLIDADO_TOTAL RECAUDO'!L105</f>
        <v>266580256</v>
      </c>
      <c r="R27" s="696">
        <f t="shared" si="0"/>
        <v>266580256</v>
      </c>
      <c r="S27" t="b">
        <f>Q27=R27</f>
        <v>1</v>
      </c>
    </row>
    <row r="28" spans="2:19" x14ac:dyDescent="0.3">
      <c r="G28" s="167"/>
      <c r="H28" s="212"/>
      <c r="I28" s="212"/>
      <c r="J28" s="643"/>
      <c r="K28" s="689">
        <v>309577071</v>
      </c>
      <c r="L28" s="155">
        <v>3</v>
      </c>
      <c r="M28" s="716">
        <v>154788536</v>
      </c>
      <c r="N28" s="180">
        <v>154788535</v>
      </c>
      <c r="O28" s="167" t="b">
        <f t="shared" si="1"/>
        <v>1</v>
      </c>
      <c r="P28" s="167"/>
      <c r="Q28" s="717">
        <f>'CONSOLIDADO_TOTAL RECAUDO'!L106</f>
        <v>154788536</v>
      </c>
      <c r="R28" s="696">
        <f t="shared" si="0"/>
        <v>154788536</v>
      </c>
      <c r="S28" t="b">
        <f t="shared" ref="S28:S31" si="2">Q28=R28</f>
        <v>1</v>
      </c>
    </row>
    <row r="29" spans="2:19" x14ac:dyDescent="0.3">
      <c r="G29" s="601"/>
      <c r="H29" s="212"/>
      <c r="I29" s="212"/>
      <c r="J29" s="643"/>
      <c r="K29" s="689">
        <v>240782166</v>
      </c>
      <c r="L29" s="155">
        <v>4</v>
      </c>
      <c r="M29" s="716">
        <v>120391083</v>
      </c>
      <c r="N29" s="690">
        <v>120391083</v>
      </c>
      <c r="O29" s="167" t="b">
        <f t="shared" si="1"/>
        <v>1</v>
      </c>
      <c r="P29" s="167"/>
      <c r="Q29" s="717">
        <f>'CONSOLIDADO_TOTAL RECAUDO'!L107</f>
        <v>120391083</v>
      </c>
      <c r="R29" s="696">
        <f t="shared" si="0"/>
        <v>120391083</v>
      </c>
      <c r="S29" t="b">
        <f t="shared" si="2"/>
        <v>1</v>
      </c>
    </row>
    <row r="30" spans="2:19" ht="14.4" thickBot="1" x14ac:dyDescent="0.35">
      <c r="G30" s="601"/>
      <c r="H30" s="212"/>
      <c r="I30" s="212"/>
      <c r="J30" s="643"/>
      <c r="K30" s="691">
        <v>257980891</v>
      </c>
      <c r="L30" s="157">
        <v>5</v>
      </c>
      <c r="M30" s="716">
        <v>128990446</v>
      </c>
      <c r="N30" s="692">
        <v>128990445</v>
      </c>
      <c r="O30" s="167" t="b">
        <f t="shared" si="1"/>
        <v>1</v>
      </c>
      <c r="P30" s="167"/>
      <c r="Q30" s="717">
        <f>'CONSOLIDADO_TOTAL RECAUDO'!L108</f>
        <v>128990446</v>
      </c>
      <c r="R30" s="696">
        <f t="shared" si="0"/>
        <v>128990446</v>
      </c>
      <c r="S30" t="b">
        <f t="shared" si="2"/>
        <v>1</v>
      </c>
    </row>
    <row r="31" spans="2:19" ht="14.4" thickBot="1" x14ac:dyDescent="0.35">
      <c r="G31" s="601"/>
      <c r="H31" s="167"/>
      <c r="I31" s="167"/>
      <c r="J31" s="270"/>
      <c r="K31" s="693">
        <f>SUM(K26:K30)</f>
        <v>1719872614</v>
      </c>
      <c r="L31" s="159"/>
      <c r="M31" s="694">
        <f>SUM(M26:M30)</f>
        <v>859936309</v>
      </c>
      <c r="N31" s="694">
        <f>SUM(N26:N30)</f>
        <v>859936305</v>
      </c>
      <c r="O31" s="167" t="b">
        <f t="shared" si="1"/>
        <v>1</v>
      </c>
      <c r="P31" s="167"/>
      <c r="Q31" s="717">
        <f>'CONSOLIDADO_TOTAL RECAUDO'!L109</f>
        <v>859936309</v>
      </c>
      <c r="R31" s="696">
        <f t="shared" si="0"/>
        <v>859936309</v>
      </c>
      <c r="S31" t="b">
        <f t="shared" si="2"/>
        <v>1</v>
      </c>
    </row>
    <row r="32" spans="2:19" x14ac:dyDescent="0.3">
      <c r="G32" s="601"/>
      <c r="H32" s="167"/>
      <c r="I32" s="167"/>
      <c r="K32" s="645">
        <f>SUM(M31:N31)</f>
        <v>1719872614</v>
      </c>
      <c r="L32" s="270"/>
    </row>
    <row r="33" spans="7:17" x14ac:dyDescent="0.3">
      <c r="G33" s="601"/>
      <c r="H33" s="167"/>
      <c r="J33" s="270"/>
      <c r="K33" s="270"/>
      <c r="Q33" s="212"/>
    </row>
    <row r="34" spans="7:17" x14ac:dyDescent="0.3">
      <c r="G34" s="601"/>
      <c r="H34" s="167"/>
      <c r="Q34" s="212"/>
    </row>
    <row r="35" spans="7:17" x14ac:dyDescent="0.3">
      <c r="H35" s="167"/>
      <c r="K35" s="695"/>
      <c r="Q35" s="212"/>
    </row>
    <row r="36" spans="7:17" x14ac:dyDescent="0.3">
      <c r="H36" s="167"/>
      <c r="K36" s="695"/>
      <c r="Q36" s="212"/>
    </row>
    <row r="37" spans="7:17" x14ac:dyDescent="0.3">
      <c r="H37" s="167"/>
      <c r="K37" s="695"/>
      <c r="Q37" s="212"/>
    </row>
    <row r="38" spans="7:17" x14ac:dyDescent="0.3">
      <c r="H38" s="167"/>
      <c r="K38" s="695"/>
      <c r="Q38" s="212"/>
    </row>
    <row r="39" spans="7:17" x14ac:dyDescent="0.3">
      <c r="H39" s="167"/>
      <c r="K39" s="695"/>
    </row>
    <row r="40" spans="7:17" x14ac:dyDescent="0.3">
      <c r="H40" s="167"/>
      <c r="K40" s="695"/>
    </row>
    <row r="41" spans="7:17" x14ac:dyDescent="0.3">
      <c r="H41" s="167"/>
    </row>
    <row r="42" spans="7:17" x14ac:dyDescent="0.3">
      <c r="H42" s="167"/>
    </row>
    <row r="43" spans="7:17" x14ac:dyDescent="0.3">
      <c r="H43" s="167"/>
    </row>
    <row r="44" spans="7:17" x14ac:dyDescent="0.3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F28" sqref="F28"/>
    </sheetView>
  </sheetViews>
  <sheetFormatPr baseColWidth="10" defaultColWidth="11.44140625" defaultRowHeight="11.4" x14ac:dyDescent="0.2"/>
  <cols>
    <col min="1" max="1" width="3" style="389" customWidth="1"/>
    <col min="2" max="2" width="4.44140625" style="389" bestFit="1" customWidth="1"/>
    <col min="3" max="3" width="38.109375" style="389" customWidth="1"/>
    <col min="4" max="4" width="15.109375" style="389" customWidth="1"/>
    <col min="5" max="5" width="16" style="389" customWidth="1"/>
    <col min="6" max="7" width="14.88671875" style="389" customWidth="1"/>
    <col min="8" max="9" width="16" style="389" customWidth="1"/>
    <col min="10" max="10" width="17.5546875" style="389" customWidth="1"/>
    <col min="11" max="11" width="3.88671875" style="389" customWidth="1"/>
    <col min="12" max="12" width="2.88671875" style="389" customWidth="1"/>
    <col min="13" max="13" width="4.5546875" style="389" customWidth="1"/>
    <col min="14" max="14" width="11.109375" style="389" customWidth="1"/>
    <col min="15" max="15" width="37.5546875" style="389" bestFit="1" customWidth="1"/>
    <col min="16" max="16" width="19.109375" style="389" customWidth="1"/>
    <col min="17" max="17" width="17.88671875" style="389" customWidth="1"/>
    <col min="18" max="18" width="16.44140625" style="389" customWidth="1"/>
    <col min="19" max="19" width="17.109375" style="389" customWidth="1"/>
    <col min="20" max="20" width="15.88671875" style="389" customWidth="1"/>
    <col min="21" max="21" width="16.109375" style="389" customWidth="1"/>
    <col min="22" max="22" width="13.109375" style="391" customWidth="1"/>
    <col min="23" max="23" width="13.88671875" style="389" customWidth="1"/>
    <col min="24" max="24" width="3.44140625" style="389" customWidth="1"/>
    <col min="25" max="25" width="13.88671875" style="389" bestFit="1" customWidth="1"/>
    <col min="26" max="27" width="11.44140625" style="389"/>
    <col min="28" max="28" width="15.88671875" style="389" bestFit="1" customWidth="1"/>
    <col min="29" max="16384" width="11.44140625" style="389"/>
  </cols>
  <sheetData>
    <row r="1" spans="2:28" x14ac:dyDescent="0.2">
      <c r="L1" s="390"/>
      <c r="X1" s="390"/>
    </row>
    <row r="2" spans="2:28" x14ac:dyDescent="0.2">
      <c r="L2" s="390"/>
      <c r="X2" s="390"/>
    </row>
    <row r="3" spans="2:28" ht="12" thickBot="1" x14ac:dyDescent="0.25">
      <c r="L3" s="390"/>
      <c r="X3" s="390"/>
    </row>
    <row r="4" spans="2:28" ht="12" x14ac:dyDescent="0.25">
      <c r="B4" s="392"/>
      <c r="C4" s="393" t="s">
        <v>1</v>
      </c>
      <c r="D4" s="394" t="s">
        <v>1</v>
      </c>
      <c r="E4" s="393"/>
      <c r="F4" s="395"/>
      <c r="G4" s="393"/>
      <c r="H4" s="393" t="s">
        <v>1</v>
      </c>
      <c r="I4" s="393"/>
      <c r="J4" s="396"/>
      <c r="K4" s="397"/>
      <c r="L4" s="390"/>
      <c r="N4" s="392"/>
      <c r="O4" s="393" t="s">
        <v>1</v>
      </c>
      <c r="P4" s="394" t="s">
        <v>1</v>
      </c>
      <c r="Q4" s="393"/>
      <c r="R4" s="393"/>
      <c r="S4" s="393" t="s">
        <v>1</v>
      </c>
      <c r="T4" s="393"/>
      <c r="U4" s="396"/>
      <c r="V4" s="398"/>
      <c r="X4" s="390"/>
    </row>
    <row r="5" spans="2:28" ht="15.6" x14ac:dyDescent="0.3">
      <c r="B5" s="399"/>
      <c r="D5" s="400" t="s">
        <v>8</v>
      </c>
      <c r="E5" s="401"/>
      <c r="G5" s="401"/>
      <c r="I5" s="401" t="s">
        <v>16</v>
      </c>
      <c r="J5" s="402"/>
      <c r="K5" s="397"/>
      <c r="L5" s="390"/>
      <c r="N5" s="399"/>
      <c r="P5" s="400" t="s">
        <v>8</v>
      </c>
      <c r="R5" s="401"/>
      <c r="T5" s="401" t="s">
        <v>16</v>
      </c>
      <c r="U5" s="403"/>
      <c r="V5" s="398"/>
      <c r="X5" s="390"/>
    </row>
    <row r="6" spans="2:28" ht="15.6" x14ac:dyDescent="0.3">
      <c r="B6" s="399"/>
      <c r="D6" s="404" t="s">
        <v>185</v>
      </c>
      <c r="E6" s="405"/>
      <c r="G6" s="405"/>
      <c r="J6" s="402"/>
      <c r="K6" s="397"/>
      <c r="L6" s="390"/>
      <c r="N6" s="399"/>
      <c r="O6" s="401" t="s">
        <v>1</v>
      </c>
      <c r="P6" s="404" t="s">
        <v>174</v>
      </c>
      <c r="R6" s="405"/>
      <c r="U6" s="406" t="s">
        <v>1</v>
      </c>
      <c r="V6" s="398"/>
      <c r="X6" s="390"/>
    </row>
    <row r="7" spans="2:28" ht="15.6" x14ac:dyDescent="0.3">
      <c r="B7" s="399"/>
      <c r="D7" s="404" t="s">
        <v>175</v>
      </c>
      <c r="E7" s="405"/>
      <c r="G7" s="405"/>
      <c r="J7" s="402"/>
      <c r="K7" s="397"/>
      <c r="L7" s="390"/>
      <c r="N7" s="399"/>
      <c r="O7" s="401"/>
      <c r="P7" s="404" t="s">
        <v>175</v>
      </c>
      <c r="R7" s="405"/>
      <c r="U7" s="406"/>
      <c r="V7" s="398"/>
      <c r="X7" s="390"/>
    </row>
    <row r="8" spans="2:28" ht="15.6" x14ac:dyDescent="0.3">
      <c r="B8" s="399"/>
      <c r="D8" s="404" t="s">
        <v>176</v>
      </c>
      <c r="E8" s="405"/>
      <c r="G8" s="397"/>
      <c r="J8" s="402"/>
      <c r="K8" s="397"/>
      <c r="L8" s="390"/>
      <c r="N8" s="399"/>
      <c r="O8" s="407" t="s">
        <v>1</v>
      </c>
      <c r="P8" s="404" t="s">
        <v>176</v>
      </c>
      <c r="R8" s="397"/>
      <c r="U8" s="402"/>
      <c r="V8" s="398"/>
      <c r="X8" s="390"/>
    </row>
    <row r="9" spans="2:28" ht="15.6" x14ac:dyDescent="0.3">
      <c r="B9" s="399"/>
      <c r="C9" s="397"/>
      <c r="D9" s="408"/>
      <c r="E9" s="409"/>
      <c r="G9" s="409"/>
      <c r="H9" s="397"/>
      <c r="J9" s="402"/>
      <c r="K9" s="397"/>
      <c r="L9" s="390"/>
      <c r="N9" s="399"/>
      <c r="O9" s="409" t="s">
        <v>1</v>
      </c>
      <c r="P9" s="409"/>
      <c r="R9" s="409"/>
      <c r="S9" s="397"/>
      <c r="U9" s="403"/>
      <c r="V9" s="398"/>
      <c r="X9" s="390"/>
    </row>
    <row r="10" spans="2:28" ht="19.8" thickBot="1" x14ac:dyDescent="0.5">
      <c r="B10" s="399"/>
      <c r="C10" s="397"/>
      <c r="D10" s="410"/>
      <c r="E10" s="397" t="s">
        <v>27</v>
      </c>
      <c r="F10" s="457">
        <f>'CONSOLIDADO_TOTAL RECAUDO'!G102</f>
        <v>46281</v>
      </c>
      <c r="G10" s="408"/>
      <c r="H10" s="397" t="s">
        <v>28</v>
      </c>
      <c r="I10" s="457">
        <f>'CONSOLIDADO_TOTAL RECAUDO'!K102</f>
        <v>46295</v>
      </c>
      <c r="J10" s="403"/>
      <c r="K10" s="397"/>
      <c r="L10" s="390"/>
      <c r="N10" s="399"/>
      <c r="Q10" s="408"/>
      <c r="R10" s="389" t="s">
        <v>1</v>
      </c>
      <c r="T10" s="408"/>
      <c r="U10" s="403"/>
      <c r="V10" s="398"/>
      <c r="X10" s="390"/>
      <c r="Y10" s="411" t="s">
        <v>1</v>
      </c>
    </row>
    <row r="11" spans="2:28" ht="72.599999999999994" thickBot="1" x14ac:dyDescent="0.25">
      <c r="B11" s="412" t="s">
        <v>3</v>
      </c>
      <c r="C11" s="413" t="s">
        <v>9</v>
      </c>
      <c r="D11" s="412" t="s">
        <v>177</v>
      </c>
      <c r="E11" s="414" t="s">
        <v>178</v>
      </c>
      <c r="F11" s="413" t="s">
        <v>179</v>
      </c>
      <c r="G11" s="415" t="s">
        <v>180</v>
      </c>
      <c r="H11" s="413" t="s">
        <v>181</v>
      </c>
      <c r="I11" s="414" t="s">
        <v>182</v>
      </c>
      <c r="J11" s="416" t="s">
        <v>183</v>
      </c>
      <c r="K11" s="417"/>
      <c r="L11" s="390"/>
      <c r="N11" s="412" t="s">
        <v>3</v>
      </c>
      <c r="O11" s="413" t="s">
        <v>9</v>
      </c>
      <c r="P11" s="418" t="s">
        <v>39</v>
      </c>
      <c r="Q11" s="419" t="s">
        <v>40</v>
      </c>
      <c r="R11" s="419" t="s">
        <v>41</v>
      </c>
      <c r="S11" s="419" t="s">
        <v>42</v>
      </c>
      <c r="T11" s="420" t="s">
        <v>184</v>
      </c>
      <c r="U11" s="461" t="s">
        <v>183</v>
      </c>
      <c r="V11" s="421"/>
      <c r="X11" s="390"/>
    </row>
    <row r="12" spans="2:28" s="427" customFormat="1" ht="12" x14ac:dyDescent="0.25">
      <c r="B12" s="422">
        <v>1</v>
      </c>
      <c r="C12" s="423" t="s">
        <v>10</v>
      </c>
      <c r="D12" s="424">
        <f>'Reporte Componentes R1'!F119*$D$24</f>
        <v>0</v>
      </c>
      <c r="E12" s="424">
        <f>'Reporte Componentes R1'!G119*$D$24</f>
        <v>0</v>
      </c>
      <c r="F12" s="425">
        <f>'Reporte Componentes R1'!H119*$D$24</f>
        <v>0</v>
      </c>
      <c r="G12" s="425">
        <f>'Reporte Componentes R1'!I119*$D$24</f>
        <v>0</v>
      </c>
      <c r="H12" s="425">
        <f>'Reporte Componentes R1'!J119*$D$24</f>
        <v>0</v>
      </c>
      <c r="I12" s="425">
        <f>'Reporte Componentes R1'!K119*$D$24</f>
        <v>0</v>
      </c>
      <c r="J12" s="426">
        <f t="shared" ref="J12:J16" si="0">D12-E12-F12-G12-H12-I12</f>
        <v>0</v>
      </c>
      <c r="L12" s="428"/>
      <c r="N12" s="422">
        <v>1</v>
      </c>
      <c r="O12" s="423" t="s">
        <v>10</v>
      </c>
      <c r="P12" s="429">
        <f>'Reporte Componentes R1'!M119*$P$24</f>
        <v>0</v>
      </c>
      <c r="Q12" s="430">
        <f>'Reporte Componentes R1'!N119*$P$24</f>
        <v>0</v>
      </c>
      <c r="R12" s="430">
        <f>'Reporte Componentes R1'!O119*$P$24</f>
        <v>0</v>
      </c>
      <c r="S12" s="430">
        <f>'Reporte Componentes R1'!P119*$P$24</f>
        <v>0</v>
      </c>
      <c r="T12" s="430">
        <f>'Reporte Componentes R1'!Q119*$P$24</f>
        <v>0</v>
      </c>
      <c r="U12" s="464">
        <f>SUM(P12:T12)</f>
        <v>0</v>
      </c>
      <c r="V12" s="465">
        <f>J12-U12</f>
        <v>0</v>
      </c>
      <c r="W12" s="427" t="b">
        <f t="shared" ref="W12:W17" si="1">V12=0</f>
        <v>1</v>
      </c>
      <c r="X12" s="428"/>
      <c r="AB12" s="431"/>
    </row>
    <row r="13" spans="2:28" s="427" customFormat="1" ht="12" x14ac:dyDescent="0.25">
      <c r="B13" s="432">
        <v>2</v>
      </c>
      <c r="C13" s="433" t="s">
        <v>11</v>
      </c>
      <c r="D13" s="424">
        <f>'Reporte Componentes R1'!F353*$D$24</f>
        <v>0</v>
      </c>
      <c r="E13" s="425">
        <f>'Reporte Componentes R1'!G353*$D$24</f>
        <v>0</v>
      </c>
      <c r="F13" s="425">
        <f>'Reporte Componentes R1'!H353*$D$24</f>
        <v>0</v>
      </c>
      <c r="G13" s="425">
        <f>'Reporte Componentes R1'!I353*$D$24</f>
        <v>0</v>
      </c>
      <c r="H13" s="425">
        <f>'Reporte Componentes R1'!J353*$D$24</f>
        <v>0</v>
      </c>
      <c r="I13" s="425">
        <f>'Reporte Componentes R1'!K353*$D$24</f>
        <v>0</v>
      </c>
      <c r="J13" s="426">
        <f t="shared" si="0"/>
        <v>0</v>
      </c>
      <c r="L13" s="428"/>
      <c r="N13" s="432">
        <v>2</v>
      </c>
      <c r="O13" s="433" t="s">
        <v>11</v>
      </c>
      <c r="P13" s="434">
        <f>'Reporte Componentes R1'!M353*$P$24</f>
        <v>0</v>
      </c>
      <c r="Q13" s="435">
        <f>'Reporte Componentes R1'!N353*$P$24</f>
        <v>0</v>
      </c>
      <c r="R13" s="435">
        <f>'Reporte Componentes R1'!O353*$P$24</f>
        <v>0</v>
      </c>
      <c r="S13" s="435">
        <f>'Reporte Componentes R1'!P353*$P$24</f>
        <v>0</v>
      </c>
      <c r="T13" s="435">
        <f>'Reporte Componentes R1'!Q353*$P$24</f>
        <v>0</v>
      </c>
      <c r="U13" s="463">
        <f>SUM(P13:T13)</f>
        <v>0</v>
      </c>
      <c r="V13" s="466">
        <f t="shared" ref="V13:V16" si="2">J13-U13</f>
        <v>0</v>
      </c>
      <c r="W13" s="427" t="b">
        <f t="shared" si="1"/>
        <v>1</v>
      </c>
      <c r="X13" s="428"/>
      <c r="AB13" s="431"/>
    </row>
    <row r="14" spans="2:28" s="427" customFormat="1" ht="12" x14ac:dyDescent="0.25">
      <c r="B14" s="432">
        <v>3</v>
      </c>
      <c r="C14" s="433" t="s">
        <v>12</v>
      </c>
      <c r="D14" s="424">
        <f>'Reporte Componentes R1'!F514*$D$24</f>
        <v>0</v>
      </c>
      <c r="E14" s="424">
        <f>'Reporte Componentes R1'!G514*$D$24</f>
        <v>0</v>
      </c>
      <c r="F14" s="424">
        <f>'Reporte Componentes R1'!H514*$D$24</f>
        <v>0</v>
      </c>
      <c r="G14" s="424">
        <f>'Reporte Componentes R1'!I514*$D$24</f>
        <v>0</v>
      </c>
      <c r="H14" s="424">
        <f>'Reporte Componentes R1'!J514*$D$24</f>
        <v>0</v>
      </c>
      <c r="I14" s="424">
        <f>'Reporte Componentes R1'!K514*$D$24</f>
        <v>0</v>
      </c>
      <c r="J14" s="426">
        <f t="shared" si="0"/>
        <v>0</v>
      </c>
      <c r="L14" s="428"/>
      <c r="N14" s="432">
        <v>3</v>
      </c>
      <c r="O14" s="433" t="s">
        <v>12</v>
      </c>
      <c r="P14" s="434">
        <f>'Reporte Componentes R1'!M514*$P$24</f>
        <v>0</v>
      </c>
      <c r="Q14" s="435">
        <f>'Reporte Componentes R1'!N514*$P$24</f>
        <v>0</v>
      </c>
      <c r="R14" s="435">
        <f>'Reporte Componentes R1'!O514*$P$24</f>
        <v>0</v>
      </c>
      <c r="S14" s="435">
        <f>'Reporte Componentes R1'!P514*$P$24</f>
        <v>0</v>
      </c>
      <c r="T14" s="435">
        <f>'Reporte Componentes R1'!Q514*$P$24</f>
        <v>0</v>
      </c>
      <c r="U14" s="463">
        <f>SUM(P14:T14)</f>
        <v>0</v>
      </c>
      <c r="V14" s="466">
        <f t="shared" si="2"/>
        <v>0</v>
      </c>
      <c r="W14" s="427" t="b">
        <f t="shared" si="1"/>
        <v>1</v>
      </c>
      <c r="X14" s="428"/>
      <c r="AB14" s="431"/>
    </row>
    <row r="15" spans="2:28" s="427" customFormat="1" ht="12" x14ac:dyDescent="0.25">
      <c r="B15" s="432">
        <v>4</v>
      </c>
      <c r="C15" s="433" t="s">
        <v>13</v>
      </c>
      <c r="D15" s="424">
        <f>'Reporte Componentes R1'!F722*$D$24</f>
        <v>0</v>
      </c>
      <c r="E15" s="425">
        <f>'Reporte Componentes R1'!G722*$D$24</f>
        <v>0</v>
      </c>
      <c r="F15" s="425">
        <f>'Reporte Componentes R1'!H722*$D$24</f>
        <v>0</v>
      </c>
      <c r="G15" s="425">
        <f>'Reporte Componentes R1'!I722*$D$24</f>
        <v>0</v>
      </c>
      <c r="H15" s="425">
        <f>'Reporte Componentes R1'!J722*$D$24</f>
        <v>0</v>
      </c>
      <c r="I15" s="425">
        <f>'Reporte Componentes R1'!K722*$D$24</f>
        <v>0</v>
      </c>
      <c r="J15" s="426">
        <f t="shared" si="0"/>
        <v>0</v>
      </c>
      <c r="L15" s="428"/>
      <c r="N15" s="432">
        <v>4</v>
      </c>
      <c r="O15" s="433" t="s">
        <v>13</v>
      </c>
      <c r="P15" s="434">
        <f>'Reporte Componentes R1'!M722*$P$24</f>
        <v>0</v>
      </c>
      <c r="Q15" s="435">
        <f>'Reporte Componentes R1'!N722*$P$24</f>
        <v>0</v>
      </c>
      <c r="R15" s="435">
        <f>'Reporte Componentes R1'!O722*$P$24</f>
        <v>0</v>
      </c>
      <c r="S15" s="435">
        <f>'Reporte Componentes R1'!P722*$P$24</f>
        <v>0</v>
      </c>
      <c r="T15" s="435">
        <f>'Reporte Componentes R1'!Q722*$P$24</f>
        <v>0</v>
      </c>
      <c r="U15" s="463">
        <f>SUM(P15:T15)</f>
        <v>0</v>
      </c>
      <c r="V15" s="466">
        <f t="shared" si="2"/>
        <v>0</v>
      </c>
      <c r="W15" s="427" t="b">
        <f t="shared" si="1"/>
        <v>1</v>
      </c>
      <c r="X15" s="428"/>
      <c r="AB15" s="431"/>
    </row>
    <row r="16" spans="2:28" s="427" customFormat="1" ht="12.6" thickBot="1" x14ac:dyDescent="0.3">
      <c r="B16" s="436">
        <v>5</v>
      </c>
      <c r="C16" s="437" t="s">
        <v>14</v>
      </c>
      <c r="D16" s="438">
        <f>'Reporte Componentes R1'!F841*$D$24</f>
        <v>0</v>
      </c>
      <c r="E16" s="439">
        <f>'Reporte Componentes R1'!G841*$D$24</f>
        <v>0</v>
      </c>
      <c r="F16" s="439">
        <f>'Reporte Componentes R1'!H841*$D$24</f>
        <v>0</v>
      </c>
      <c r="G16" s="439">
        <f>'Reporte Componentes R1'!I841*$D$24</f>
        <v>0</v>
      </c>
      <c r="H16" s="439">
        <f>'Reporte Componentes R1'!J841*$D$24</f>
        <v>0</v>
      </c>
      <c r="I16" s="439">
        <f>'Reporte Componentes R1'!K841*$D$24</f>
        <v>0</v>
      </c>
      <c r="J16" s="426">
        <f t="shared" si="0"/>
        <v>0</v>
      </c>
      <c r="L16" s="428"/>
      <c r="N16" s="436">
        <v>5</v>
      </c>
      <c r="O16" s="437" t="s">
        <v>14</v>
      </c>
      <c r="P16" s="438">
        <f>'Reporte Componentes R1'!M841*$P$24</f>
        <v>0</v>
      </c>
      <c r="Q16" s="439">
        <f>'Reporte Componentes R1'!N841*$P$24</f>
        <v>0</v>
      </c>
      <c r="R16" s="439">
        <f>'Reporte Componentes R1'!O841*$P$24</f>
        <v>0</v>
      </c>
      <c r="S16" s="439">
        <f>'Reporte Componentes R1'!P841*$P$24</f>
        <v>0</v>
      </c>
      <c r="T16" s="439">
        <f>'Reporte Componentes R1'!Q841*$P$24</f>
        <v>0</v>
      </c>
      <c r="U16" s="467">
        <f>SUM(P16:T16)</f>
        <v>0</v>
      </c>
      <c r="V16" s="468">
        <f t="shared" si="2"/>
        <v>0</v>
      </c>
      <c r="W16" s="427" t="b">
        <f t="shared" si="1"/>
        <v>1</v>
      </c>
      <c r="X16" s="428"/>
      <c r="AB16" s="431"/>
    </row>
    <row r="17" spans="1:28" s="427" customFormat="1" ht="12.6" thickBot="1" x14ac:dyDescent="0.3">
      <c r="B17" s="440"/>
      <c r="C17" s="441" t="s">
        <v>2</v>
      </c>
      <c r="D17" s="442">
        <f t="shared" ref="D17:J17" si="3">SUM(D12:D16)</f>
        <v>0</v>
      </c>
      <c r="E17" s="442">
        <f t="shared" si="3"/>
        <v>0</v>
      </c>
      <c r="F17" s="442">
        <f t="shared" si="3"/>
        <v>0</v>
      </c>
      <c r="G17" s="442">
        <f t="shared" si="3"/>
        <v>0</v>
      </c>
      <c r="H17" s="442">
        <f t="shared" si="3"/>
        <v>0</v>
      </c>
      <c r="I17" s="442">
        <f t="shared" si="3"/>
        <v>0</v>
      </c>
      <c r="J17" s="443">
        <f t="shared" si="3"/>
        <v>0</v>
      </c>
      <c r="K17" s="444"/>
      <c r="L17" s="428"/>
      <c r="N17" s="440"/>
      <c r="O17" s="441" t="s">
        <v>2</v>
      </c>
      <c r="P17" s="445">
        <f>SUM(P12:P16)</f>
        <v>0</v>
      </c>
      <c r="Q17" s="445">
        <f t="shared" ref="Q17:U17" si="4">SUM(Q12:Q16)</f>
        <v>0</v>
      </c>
      <c r="R17" s="445">
        <f t="shared" si="4"/>
        <v>0</v>
      </c>
      <c r="S17" s="445">
        <f t="shared" si="4"/>
        <v>0</v>
      </c>
      <c r="T17" s="445">
        <f t="shared" si="4"/>
        <v>0</v>
      </c>
      <c r="U17" s="462">
        <f t="shared" si="4"/>
        <v>0</v>
      </c>
      <c r="V17" s="446">
        <f>SUM(V12:V16)</f>
        <v>0</v>
      </c>
      <c r="W17" s="427" t="b">
        <f t="shared" si="1"/>
        <v>1</v>
      </c>
      <c r="X17" s="428"/>
      <c r="AB17" s="431"/>
    </row>
    <row r="18" spans="1:28" ht="12.6" thickBot="1" x14ac:dyDescent="0.3">
      <c r="B18" s="397"/>
      <c r="C18" s="397"/>
      <c r="D18" s="447"/>
      <c r="E18" s="448"/>
      <c r="F18" s="448"/>
      <c r="G18" s="448"/>
      <c r="H18" s="448"/>
      <c r="I18" s="448"/>
      <c r="J18" s="448"/>
      <c r="L18" s="390"/>
      <c r="N18" s="397"/>
      <c r="O18" s="397"/>
      <c r="P18" s="448"/>
      <c r="Q18" s="448"/>
      <c r="R18" s="448"/>
      <c r="S18" s="448"/>
      <c r="T18" s="448"/>
      <c r="U18" s="448"/>
      <c r="X18" s="390"/>
    </row>
    <row r="19" spans="1:28" ht="12.6" thickBot="1" x14ac:dyDescent="0.3">
      <c r="B19" s="397"/>
      <c r="C19" s="397"/>
      <c r="D19" s="448"/>
      <c r="E19" s="448"/>
      <c r="F19" s="448"/>
      <c r="G19" s="448"/>
      <c r="H19" s="448"/>
      <c r="I19" s="448"/>
      <c r="J19" s="448"/>
      <c r="L19" s="390"/>
      <c r="T19" s="449">
        <f>SUM(P17:T17)</f>
        <v>0</v>
      </c>
      <c r="U19" s="389" t="s">
        <v>1</v>
      </c>
      <c r="X19" s="390"/>
    </row>
    <row r="20" spans="1:28" ht="12.6" thickBot="1" x14ac:dyDescent="0.3">
      <c r="B20" s="397"/>
      <c r="C20" s="397"/>
      <c r="D20" s="448" t="s">
        <v>1</v>
      </c>
      <c r="E20" s="450"/>
      <c r="F20" s="450"/>
      <c r="G20" s="450"/>
      <c r="H20" s="450"/>
      <c r="I20" s="448"/>
      <c r="J20" s="640" t="b">
        <f>+IF(MAX(J12:J17)&gt;500000,"VALIDAR",TRUE)</f>
        <v>1</v>
      </c>
      <c r="L20" s="390"/>
      <c r="U20" s="451"/>
      <c r="X20" s="390"/>
    </row>
    <row r="21" spans="1:28" ht="12" x14ac:dyDescent="0.25">
      <c r="B21" s="397"/>
      <c r="C21" s="397"/>
      <c r="D21" s="448" t="s">
        <v>1</v>
      </c>
      <c r="E21" s="448" t="s">
        <v>1</v>
      </c>
      <c r="F21" s="448" t="s">
        <v>25</v>
      </c>
      <c r="G21" s="448"/>
      <c r="H21" s="448"/>
      <c r="I21" s="448"/>
      <c r="J21" s="448"/>
      <c r="L21" s="390"/>
      <c r="X21" s="390"/>
    </row>
    <row r="22" spans="1:28" ht="12" x14ac:dyDescent="0.25">
      <c r="A22" s="452"/>
      <c r="B22" s="453"/>
      <c r="C22" s="453"/>
      <c r="D22" s="454"/>
      <c r="E22" s="454"/>
      <c r="F22" s="454"/>
      <c r="G22" s="454"/>
      <c r="H22" s="454"/>
      <c r="I22" s="454"/>
      <c r="J22" s="454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5"/>
      <c r="W22" s="452"/>
      <c r="X22" s="452"/>
    </row>
    <row r="24" spans="1:28" x14ac:dyDescent="0.2">
      <c r="D24" s="456">
        <v>-1</v>
      </c>
      <c r="P24" s="456">
        <v>-1</v>
      </c>
    </row>
    <row r="25" spans="1:28" ht="15.6" x14ac:dyDescent="0.3">
      <c r="E25" s="405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B94" zoomScaleNormal="100" workbookViewId="0">
      <selection activeCell="E111" sqref="E11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7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20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4.88671875" style="271" bestFit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38" width="11.44140625" style="1"/>
    <col min="39" max="39" width="15.88671875" style="1" bestFit="1" customWidth="1"/>
    <col min="40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7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2"/>
      <c r="AI5" s="4"/>
    </row>
    <row r="6" spans="2:35" ht="15.6" x14ac:dyDescent="0.3">
      <c r="B6" s="8"/>
      <c r="C6" s="598" t="s">
        <v>17</v>
      </c>
      <c r="D6" s="9"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2"/>
      <c r="AI6" s="4"/>
    </row>
    <row r="7" spans="2:35" ht="12.6" thickBot="1" x14ac:dyDescent="0.3">
      <c r="B7" s="8"/>
      <c r="C7" s="598" t="s">
        <v>0</v>
      </c>
      <c r="D7" s="241">
        <v>0.58333333333333337</v>
      </c>
      <c r="F7" s="2" t="s">
        <v>27</v>
      </c>
      <c r="G7" s="9">
        <v>46281</v>
      </c>
      <c r="J7" s="2" t="s">
        <v>28</v>
      </c>
      <c r="K7" s="9"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7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273"/>
      <c r="AI8" s="4"/>
    </row>
    <row r="9" spans="2:35" s="305" customFormat="1" ht="12" x14ac:dyDescent="0.25">
      <c r="B9" s="303">
        <v>1</v>
      </c>
      <c r="C9" s="304" t="s">
        <v>10</v>
      </c>
      <c r="D9" s="386">
        <f>'Reporte Componentes R1'!F89</f>
        <v>0</v>
      </c>
      <c r="E9" s="292">
        <f>'Reporte Componentes R1'!G89</f>
        <v>0</v>
      </c>
      <c r="F9" s="292">
        <f>'Reporte Componentes R1'!H89</f>
        <v>0</v>
      </c>
      <c r="G9" s="292">
        <f>'Reporte Componentes R1'!I89</f>
        <v>0</v>
      </c>
      <c r="H9" s="292">
        <f>'Reporte Componentes R1'!J89</f>
        <v>0</v>
      </c>
      <c r="I9" s="292">
        <f>'Reporte Componentes R1'!K89</f>
        <v>0</v>
      </c>
      <c r="J9" s="288">
        <f>'BCE SC POR FACT.'!F3</f>
        <v>0</v>
      </c>
      <c r="K9" s="293">
        <f>D9-E9-F9-G9-H9-I9-J9</f>
        <v>0</v>
      </c>
      <c r="L9" s="294">
        <f>INTERVENTORIA!M26</f>
        <v>189185988</v>
      </c>
      <c r="M9" s="293">
        <f>K9-L9</f>
        <v>-189185988</v>
      </c>
      <c r="N9" s="387">
        <f>'Reporte Componentes R1'!L89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R1'!M89</f>
        <v>0</v>
      </c>
      <c r="V9" s="308">
        <f>'Reporte Componentes R1'!N89</f>
        <v>0</v>
      </c>
      <c r="W9" s="308">
        <f>'Reporte Componentes R1'!O89</f>
        <v>0</v>
      </c>
      <c r="X9" s="308">
        <f>'Reporte Componentes R1'!P89</f>
        <v>0</v>
      </c>
      <c r="Y9" s="309">
        <f>'Reporte Componentes R1'!Q89</f>
        <v>0</v>
      </c>
      <c r="Z9" s="310">
        <f>L9*-1</f>
        <v>-189185988</v>
      </c>
      <c r="AA9" s="311">
        <f>'Reporte Componentes R1'!R89+'Reporte Componentes R1'!U89+'Reporte Componentes R1'!V89</f>
        <v>0</v>
      </c>
      <c r="AB9" s="312">
        <f>N9</f>
        <v>0</v>
      </c>
      <c r="AC9" s="320">
        <f>'Reporte Componentes R1'!T89+'Reporte Componentes R1'!W89+'Reporte Componentes R1'!X89+'Reporte Componentes R1'!Y89+'Reporte Componentes R1'!Z89+'Reporte Componentes R1'!S89</f>
        <v>0</v>
      </c>
      <c r="AD9" s="291">
        <f>-J9+AE9</f>
        <v>0</v>
      </c>
      <c r="AE9" s="291">
        <f>'Reporte Componentes R1'!F90</f>
        <v>0</v>
      </c>
      <c r="AF9" s="313">
        <f>SUM(U9:AD9)</f>
        <v>-189185988</v>
      </c>
      <c r="AG9" s="52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R1'!F323</f>
        <v>0</v>
      </c>
      <c r="E10" s="292">
        <f>'Reporte Componentes R1'!G323</f>
        <v>0</v>
      </c>
      <c r="F10" s="292">
        <f>'Reporte Componentes R1'!H323</f>
        <v>0</v>
      </c>
      <c r="G10" s="292">
        <f>'Reporte Componentes R1'!I323</f>
        <v>0</v>
      </c>
      <c r="H10" s="292">
        <f>'Reporte Componentes R1'!J323</f>
        <v>0</v>
      </c>
      <c r="I10" s="292">
        <f>'Reporte Componentes R1'!K323</f>
        <v>0</v>
      </c>
      <c r="J10" s="288">
        <f>'BCE SC POR FACT.'!F4</f>
        <v>0</v>
      </c>
      <c r="K10" s="295">
        <f>D10-E10-F10-G10-H10-I10-J10</f>
        <v>0</v>
      </c>
      <c r="L10" s="294">
        <f>INTERVENTORIA!M27</f>
        <v>266580256</v>
      </c>
      <c r="M10" s="295">
        <f>K10-L10</f>
        <v>-266580256</v>
      </c>
      <c r="N10" s="294">
        <f>'Reporte Componentes R1'!L323</f>
        <v>0</v>
      </c>
      <c r="O10" s="295">
        <f>M10+N10</f>
        <v>-266580256</v>
      </c>
      <c r="Q10" s="306"/>
      <c r="S10" s="314">
        <v>2</v>
      </c>
      <c r="T10" s="315" t="s">
        <v>11</v>
      </c>
      <c r="U10" s="316">
        <f>'Reporte Componentes R1'!M323</f>
        <v>0</v>
      </c>
      <c r="V10" s="317">
        <f>'Reporte Componentes R1'!N323</f>
        <v>0</v>
      </c>
      <c r="W10" s="317">
        <f>'Reporte Componentes R1'!O323</f>
        <v>0</v>
      </c>
      <c r="X10" s="317">
        <f>'Reporte Componentes R1'!P323</f>
        <v>0</v>
      </c>
      <c r="Y10" s="318">
        <f>'Reporte Componentes R1'!Q323</f>
        <v>0</v>
      </c>
      <c r="Z10" s="319">
        <f>L10*-1</f>
        <v>-266580256</v>
      </c>
      <c r="AA10" s="320">
        <f>'Reporte Componentes R1'!R323+'Reporte Componentes R1'!U323+'Reporte Componentes R1'!V323</f>
        <v>0</v>
      </c>
      <c r="AB10" s="321">
        <f>N10</f>
        <v>0</v>
      </c>
      <c r="AC10" s="320">
        <f>'Reporte Componentes R1'!T323+'Reporte Componentes R1'!W323+'Reporte Componentes R1'!X323+'Reporte Componentes R1'!Y323+'Reporte Componentes R1'!Z323+'Reporte Componentes R1'!S323</f>
        <v>0</v>
      </c>
      <c r="AD10" s="291">
        <f t="shared" ref="AD10:AD13" si="0">-J10+AE10</f>
        <v>0</v>
      </c>
      <c r="AE10" s="291">
        <f>'Reporte Componentes R1'!F324</f>
        <v>0</v>
      </c>
      <c r="AF10" s="322">
        <f>SUM(U10:AD10)</f>
        <v>-266580256</v>
      </c>
      <c r="AG10" s="522">
        <f>(AF10-O10)</f>
        <v>0</v>
      </c>
      <c r="AH10" s="305" t="b">
        <f t="shared" ref="AH10:AH13" si="1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R1'!F484</f>
        <v>0</v>
      </c>
      <c r="E11" s="292">
        <f>'Reporte Componentes R1'!G484</f>
        <v>0</v>
      </c>
      <c r="F11" s="292">
        <f>'Reporte Componentes R1'!H484</f>
        <v>0</v>
      </c>
      <c r="G11" s="292">
        <f>'Reporte Componentes R1'!I484</f>
        <v>0</v>
      </c>
      <c r="H11" s="292">
        <f>'Reporte Componentes R1'!J484</f>
        <v>0</v>
      </c>
      <c r="I11" s="292">
        <f>'Reporte Componentes R1'!K484</f>
        <v>0</v>
      </c>
      <c r="J11" s="288">
        <f>'BCE SC POR FACT.'!F5</f>
        <v>0</v>
      </c>
      <c r="K11" s="295">
        <f>D11-E11-F11-G11-H11-I11-J11</f>
        <v>0</v>
      </c>
      <c r="L11" s="294">
        <f>INTERVENTORIA!M28</f>
        <v>154788536</v>
      </c>
      <c r="M11" s="295">
        <f>K11-L11</f>
        <v>-154788536</v>
      </c>
      <c r="N11" s="294">
        <f>'Reporte Componentes R1'!L484</f>
        <v>0</v>
      </c>
      <c r="O11" s="295">
        <f>M11+N11</f>
        <v>-154788536</v>
      </c>
      <c r="Q11" s="306"/>
      <c r="S11" s="314">
        <v>3</v>
      </c>
      <c r="T11" s="315" t="s">
        <v>12</v>
      </c>
      <c r="U11" s="316">
        <f>'Reporte Componentes R1'!M484</f>
        <v>0</v>
      </c>
      <c r="V11" s="317">
        <f>'Reporte Componentes R1'!N484</f>
        <v>0</v>
      </c>
      <c r="W11" s="317">
        <f>'Reporte Componentes R1'!O484</f>
        <v>0</v>
      </c>
      <c r="X11" s="317">
        <f>'Reporte Componentes R1'!P484</f>
        <v>0</v>
      </c>
      <c r="Y11" s="318">
        <f>'Reporte Componentes R1'!Q484</f>
        <v>0</v>
      </c>
      <c r="Z11" s="319">
        <f>L11*-1</f>
        <v>-154788536</v>
      </c>
      <c r="AA11" s="320">
        <f>'Reporte Componentes R1'!R484+'Reporte Componentes R1'!U484+'Reporte Componentes R1'!V484</f>
        <v>0</v>
      </c>
      <c r="AB11" s="321">
        <f>N11</f>
        <v>0</v>
      </c>
      <c r="AC11" s="320">
        <f>'Reporte Componentes R1'!T484+'Reporte Componentes R1'!W484+'Reporte Componentes R1'!X484+'Reporte Componentes R1'!Y484+'Reporte Componentes R1'!Z484+'Reporte Componentes R1'!S484</f>
        <v>0</v>
      </c>
      <c r="AD11" s="291">
        <f t="shared" si="0"/>
        <v>0</v>
      </c>
      <c r="AE11" s="291">
        <f>'Reporte Componentes R1'!F485</f>
        <v>0</v>
      </c>
      <c r="AF11" s="322">
        <f t="shared" ref="AF11:AF13" si="2">SUM(U11:AD11)</f>
        <v>-154788536</v>
      </c>
      <c r="AG11" s="522">
        <f>(AF11-O11)</f>
        <v>0</v>
      </c>
      <c r="AH11" s="305" t="b">
        <f t="shared" si="1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R1'!F692</f>
        <v>0</v>
      </c>
      <c r="E12" s="292">
        <f>'Reporte Componentes R1'!G692</f>
        <v>0</v>
      </c>
      <c r="F12" s="292">
        <f>'Reporte Componentes R1'!H692</f>
        <v>0</v>
      </c>
      <c r="G12" s="292">
        <f>'Reporte Componentes R1'!I692</f>
        <v>0</v>
      </c>
      <c r="H12" s="292">
        <f>'Reporte Componentes R1'!J692</f>
        <v>0</v>
      </c>
      <c r="I12" s="292">
        <f>'Reporte Componentes R1'!K692</f>
        <v>0</v>
      </c>
      <c r="J12" s="288">
        <f>'BCE SC POR FACT.'!F6</f>
        <v>0</v>
      </c>
      <c r="K12" s="295">
        <f>D12-E12-F12-G12-H12-I12-J12</f>
        <v>0</v>
      </c>
      <c r="L12" s="294">
        <f>INTERVENTORIA!M29</f>
        <v>120391083</v>
      </c>
      <c r="M12" s="295">
        <f>K12-L12</f>
        <v>-120391083</v>
      </c>
      <c r="N12" s="294">
        <f>'Reporte Componentes R1'!L692</f>
        <v>0</v>
      </c>
      <c r="O12" s="295">
        <f>M12+N12</f>
        <v>-120391083</v>
      </c>
      <c r="Q12" s="306"/>
      <c r="S12" s="314">
        <v>4</v>
      </c>
      <c r="T12" s="315" t="s">
        <v>13</v>
      </c>
      <c r="U12" s="316">
        <f>'Reporte Componentes R1'!M692</f>
        <v>0</v>
      </c>
      <c r="V12" s="317">
        <f>'Reporte Componentes R1'!N692</f>
        <v>0</v>
      </c>
      <c r="W12" s="317">
        <f>'Reporte Componentes R1'!O692</f>
        <v>0</v>
      </c>
      <c r="X12" s="317">
        <f>'Reporte Componentes R1'!P692</f>
        <v>0</v>
      </c>
      <c r="Y12" s="318">
        <f>'Reporte Componentes R1'!Q692</f>
        <v>0</v>
      </c>
      <c r="Z12" s="319">
        <f>L12*-1</f>
        <v>-120391083</v>
      </c>
      <c r="AA12" s="320">
        <f>'Reporte Componentes R1'!R692+'Reporte Componentes R1'!U692+'Reporte Componentes R1'!V692</f>
        <v>0</v>
      </c>
      <c r="AB12" s="321">
        <f>N12</f>
        <v>0</v>
      </c>
      <c r="AC12" s="320">
        <f>'Reporte Componentes R1'!T692+'Reporte Componentes R1'!W692+'Reporte Componentes R1'!X692+'Reporte Componentes R1'!Y692+'Reporte Componentes R1'!Z692+'Reporte Componentes R1'!S692</f>
        <v>0</v>
      </c>
      <c r="AD12" s="291">
        <f t="shared" si="0"/>
        <v>0</v>
      </c>
      <c r="AE12" s="291">
        <f>'Reporte Componentes R1'!F693</f>
        <v>0</v>
      </c>
      <c r="AF12" s="322">
        <f t="shared" si="2"/>
        <v>-120391083</v>
      </c>
      <c r="AG12" s="522">
        <f>(AF12-O12)</f>
        <v>0</v>
      </c>
      <c r="AH12" s="305" t="b">
        <f t="shared" si="1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R1'!F811</f>
        <v>0</v>
      </c>
      <c r="E13" s="297">
        <f>'Reporte Componentes R1'!G811</f>
        <v>0</v>
      </c>
      <c r="F13" s="297">
        <f>'Reporte Componentes R1'!H811</f>
        <v>0</v>
      </c>
      <c r="G13" s="297">
        <f>'Reporte Componentes R1'!I811</f>
        <v>0</v>
      </c>
      <c r="H13" s="297">
        <f>'Reporte Componentes R1'!J811</f>
        <v>0</v>
      </c>
      <c r="I13" s="297">
        <f>'Reporte Componentes R1'!K811</f>
        <v>0</v>
      </c>
      <c r="J13" s="289">
        <f>'BCE SC POR FACT.'!F7</f>
        <v>0</v>
      </c>
      <c r="K13" s="295">
        <f>D13-E13-F13-G13-H13-I13-J13</f>
        <v>0</v>
      </c>
      <c r="L13" s="294">
        <f>INTERVENTORIA!M30</f>
        <v>128990446</v>
      </c>
      <c r="M13" s="298">
        <f>K13-L13</f>
        <v>-128990446</v>
      </c>
      <c r="N13" s="299">
        <f>'Reporte Componentes R1'!L811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R1'!M811</f>
        <v>0</v>
      </c>
      <c r="V13" s="297">
        <f>'Reporte Componentes R1'!N811</f>
        <v>0</v>
      </c>
      <c r="W13" s="297">
        <f>'Reporte Componentes R1'!O811</f>
        <v>0</v>
      </c>
      <c r="X13" s="297">
        <f>'Reporte Componentes R1'!P811</f>
        <v>0</v>
      </c>
      <c r="Y13" s="289">
        <f>'Reporte Componentes R1'!Q811</f>
        <v>0</v>
      </c>
      <c r="Z13" s="319">
        <f>L13*-1</f>
        <v>-128990446</v>
      </c>
      <c r="AA13" s="320">
        <f>'Reporte Componentes R1'!R811+'Reporte Componentes R1'!U811+'Reporte Componentes R1'!V811</f>
        <v>0</v>
      </c>
      <c r="AB13" s="321">
        <f>N13</f>
        <v>0</v>
      </c>
      <c r="AC13" s="320">
        <f>'Reporte Componentes R1'!T811+'Reporte Componentes R1'!W811+'Reporte Componentes R1'!X811+'Reporte Componentes R1'!Y811+'Reporte Componentes R1'!Z811+'Reporte Componentes R1'!S811</f>
        <v>0</v>
      </c>
      <c r="AD13" s="291">
        <f t="shared" si="0"/>
        <v>0</v>
      </c>
      <c r="AE13" s="291">
        <f>'Reporte Componentes R1'!F812</f>
        <v>0</v>
      </c>
      <c r="AF13" s="322">
        <f t="shared" si="2"/>
        <v>-128990446</v>
      </c>
      <c r="AG13" s="523">
        <f>(AF13-O13)</f>
        <v>0</v>
      </c>
      <c r="AH13" s="305" t="b">
        <f t="shared" si="1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3">SUM(E9:E13)</f>
        <v>0</v>
      </c>
      <c r="F14" s="290">
        <f t="shared" si="3"/>
        <v>0</v>
      </c>
      <c r="G14" s="290">
        <f t="shared" ref="G14" si="4">SUM(G9:G13)</f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>SUM(K9:K13)</f>
        <v>0</v>
      </c>
      <c r="L14" s="301">
        <f>SUM(L9:L13)</f>
        <v>859936309</v>
      </c>
      <c r="M14" s="302">
        <f t="shared" si="3"/>
        <v>-859936309</v>
      </c>
      <c r="N14" s="301">
        <f t="shared" si="3"/>
        <v>0</v>
      </c>
      <c r="O14" s="302">
        <f t="shared" si="3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5">SUM(V9:V13)</f>
        <v>0</v>
      </c>
      <c r="W14" s="330">
        <f t="shared" si="5"/>
        <v>0</v>
      </c>
      <c r="X14" s="330">
        <f t="shared" si="5"/>
        <v>0</v>
      </c>
      <c r="Y14" s="330">
        <f t="shared" si="5"/>
        <v>0</v>
      </c>
      <c r="Z14" s="290">
        <f t="shared" si="5"/>
        <v>-859936309</v>
      </c>
      <c r="AA14" s="290">
        <f t="shared" si="5"/>
        <v>0</v>
      </c>
      <c r="AB14" s="290">
        <f t="shared" si="5"/>
        <v>0</v>
      </c>
      <c r="AC14" s="290">
        <f>SUM(AC9:AC13)</f>
        <v>0</v>
      </c>
      <c r="AD14" s="290">
        <f>SUM(AD9:AD13)</f>
        <v>0</v>
      </c>
      <c r="AE14" s="290">
        <f>SUM(AE9:AE13)</f>
        <v>0</v>
      </c>
      <c r="AF14" s="331">
        <f t="shared" si="5"/>
        <v>-859936309</v>
      </c>
      <c r="AG14" s="524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13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7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7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27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R2'!E57</f>
        <v>0</v>
      </c>
      <c r="E28" s="292">
        <f>'Rem. Anticipos R2'!F57</f>
        <v>0</v>
      </c>
      <c r="F28" s="292">
        <f>'Rem. Anticipos R2'!G57</f>
        <v>0</v>
      </c>
      <c r="G28" s="292">
        <f>'Rem. Anticipos R2'!H57</f>
        <v>0</v>
      </c>
      <c r="H28" s="292">
        <f>'Rem. Anticipos R2'!I57</f>
        <v>0</v>
      </c>
      <c r="I28" s="292">
        <f>'Rem. Anticipos R2'!J57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R2'!K57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R2'!L57</f>
        <v>0</v>
      </c>
      <c r="V28" s="308">
        <f>'Rem. Anticipos R2'!M57</f>
        <v>0</v>
      </c>
      <c r="W28" s="308">
        <f>'Rem. Anticipos R2'!N57</f>
        <v>0</v>
      </c>
      <c r="X28" s="308">
        <f>'Rem. Anticipos R2'!O57</f>
        <v>0</v>
      </c>
      <c r="Y28" s="308">
        <f>'Rem. Anticipos R2'!P57</f>
        <v>0</v>
      </c>
      <c r="Z28" s="310">
        <f>L28*-1</f>
        <v>0</v>
      </c>
      <c r="AA28" s="311">
        <f>'Rem. Anticipos R2'!Q57</f>
        <v>0</v>
      </c>
      <c r="AB28" s="294">
        <f>N28</f>
        <v>0</v>
      </c>
      <c r="AC28" s="311">
        <f>'Rem. Anticipos R2'!R57</f>
        <v>0</v>
      </c>
      <c r="AD28" s="291">
        <f>-J28+AE28</f>
        <v>0</v>
      </c>
      <c r="AE28" s="291">
        <f>'Rem. Anticipos R2'!E58</f>
        <v>0</v>
      </c>
      <c r="AF28" s="313">
        <f>SUM(U28:AD28)</f>
        <v>0</v>
      </c>
      <c r="AG28" s="52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R2'!E178</f>
        <v>0</v>
      </c>
      <c r="E29" s="292">
        <f>'Rem. Anticipos R2'!F178</f>
        <v>0</v>
      </c>
      <c r="F29" s="292">
        <f>'Rem. Anticipos R2'!G178</f>
        <v>0</v>
      </c>
      <c r="G29" s="292">
        <f>'Rem. Anticipos R2'!H178</f>
        <v>0</v>
      </c>
      <c r="H29" s="292">
        <f>'Rem. Anticipos R2'!I178</f>
        <v>0</v>
      </c>
      <c r="I29" s="292">
        <f>'Rem. Anticipos R2'!J178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R2'!K178</f>
        <v>0</v>
      </c>
      <c r="O29" s="295">
        <f t="shared" ref="O29:O32" si="6">M29+N29</f>
        <v>0</v>
      </c>
      <c r="Q29" s="306"/>
      <c r="S29" s="314">
        <v>2</v>
      </c>
      <c r="T29" s="315" t="s">
        <v>11</v>
      </c>
      <c r="U29" s="316">
        <f>'Rem. Anticipos R2'!L178</f>
        <v>0</v>
      </c>
      <c r="V29" s="317">
        <f>'Rem. Anticipos R2'!M178</f>
        <v>0</v>
      </c>
      <c r="W29" s="317">
        <f>'Rem. Anticipos R2'!N178</f>
        <v>0</v>
      </c>
      <c r="X29" s="317">
        <f>'Rem. Anticipos R2'!O178</f>
        <v>0</v>
      </c>
      <c r="Y29" s="318">
        <f>'Rem. Anticipos R2'!P178</f>
        <v>0</v>
      </c>
      <c r="Z29" s="319">
        <f>L29*-1</f>
        <v>0</v>
      </c>
      <c r="AA29" s="320">
        <f>'Rem. Anticipos R2'!Q178</f>
        <v>0</v>
      </c>
      <c r="AB29" s="294">
        <f>N29</f>
        <v>0</v>
      </c>
      <c r="AC29" s="320">
        <f>'Rem. Anticipos R2'!R178</f>
        <v>0</v>
      </c>
      <c r="AD29" s="291">
        <f>-J29+AE29</f>
        <v>0</v>
      </c>
      <c r="AE29" s="291">
        <f>'Rem. Anticipos R2'!E179</f>
        <v>0</v>
      </c>
      <c r="AF29" s="322">
        <f>SUM(U29:AD29)</f>
        <v>0</v>
      </c>
      <c r="AG29" s="522">
        <f>(AF29-O29)</f>
        <v>0</v>
      </c>
      <c r="AH29" s="305" t="b">
        <f t="shared" ref="AH29:AH32" si="7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R2'!E299</f>
        <v>0</v>
      </c>
      <c r="E30" s="292">
        <f>'Rem. Anticipos R2'!F299</f>
        <v>0</v>
      </c>
      <c r="F30" s="292">
        <f>'Rem. Anticipos R2'!G299</f>
        <v>0</v>
      </c>
      <c r="G30" s="292">
        <f>'Rem. Anticipos R2'!H299</f>
        <v>0</v>
      </c>
      <c r="H30" s="292">
        <f>'Rem. Anticipos R2'!I299</f>
        <v>0</v>
      </c>
      <c r="I30" s="292">
        <f>'Rem. Anticipos R2'!J299</f>
        <v>0</v>
      </c>
      <c r="J30" s="288">
        <v>0</v>
      </c>
      <c r="K30" s="295">
        <f t="shared" ref="K30:K31" si="8">D30-E30-F30-G30-H30-I30-J30</f>
        <v>0</v>
      </c>
      <c r="L30" s="294">
        <v>0</v>
      </c>
      <c r="M30" s="295">
        <f>K30-L30</f>
        <v>0</v>
      </c>
      <c r="N30" s="294">
        <f>'Rem. Anticipos R2'!K299</f>
        <v>0</v>
      </c>
      <c r="O30" s="295">
        <f t="shared" si="6"/>
        <v>0</v>
      </c>
      <c r="Q30" s="306"/>
      <c r="S30" s="314">
        <v>3</v>
      </c>
      <c r="T30" s="315" t="s">
        <v>12</v>
      </c>
      <c r="U30" s="316">
        <f>'Rem. Anticipos R2'!L299</f>
        <v>0</v>
      </c>
      <c r="V30" s="317">
        <f>'Rem. Anticipos R2'!M299</f>
        <v>0</v>
      </c>
      <c r="W30" s="317">
        <f>'Rem. Anticipos R2'!N299</f>
        <v>0</v>
      </c>
      <c r="X30" s="317">
        <f>'Rem. Anticipos R2'!O299</f>
        <v>0</v>
      </c>
      <c r="Y30" s="318">
        <f>'Rem. Anticipos R2'!P299</f>
        <v>0</v>
      </c>
      <c r="Z30" s="319">
        <f>L30*-1</f>
        <v>0</v>
      </c>
      <c r="AA30" s="320">
        <f>'Rem. Anticipos R2'!Q299</f>
        <v>0</v>
      </c>
      <c r="AB30" s="294">
        <f>N30</f>
        <v>0</v>
      </c>
      <c r="AC30" s="320">
        <f>'Rem. Anticipos R2'!R299</f>
        <v>0</v>
      </c>
      <c r="AD30" s="291">
        <f t="shared" ref="AD30:AD32" si="9">-J30+AE30</f>
        <v>0</v>
      </c>
      <c r="AE30" s="291">
        <f>'Rem. Anticipos R2'!E300</f>
        <v>0</v>
      </c>
      <c r="AF30" s="322">
        <f>SUM(U30:AD30)</f>
        <v>0</v>
      </c>
      <c r="AG30" s="522">
        <f t="shared" ref="AG30:AG31" si="10">(AF30-O30)</f>
        <v>0</v>
      </c>
      <c r="AH30" s="305" t="b">
        <f t="shared" si="7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R2'!E423</f>
        <v>0</v>
      </c>
      <c r="E31" s="292">
        <f>'Rem. Anticipos R2'!F423</f>
        <v>0</v>
      </c>
      <c r="F31" s="292">
        <f>'Rem. Anticipos R2'!G423</f>
        <v>0</v>
      </c>
      <c r="G31" s="292">
        <f>'Rem. Anticipos R2'!H423</f>
        <v>0</v>
      </c>
      <c r="H31" s="292">
        <f>'Rem. Anticipos R2'!I423</f>
        <v>0</v>
      </c>
      <c r="I31" s="292">
        <f>'Rem. Anticipos R2'!J423</f>
        <v>0</v>
      </c>
      <c r="J31" s="288">
        <v>0</v>
      </c>
      <c r="K31" s="295">
        <f t="shared" si="8"/>
        <v>0</v>
      </c>
      <c r="L31" s="294">
        <v>0</v>
      </c>
      <c r="M31" s="295">
        <f>K31-L31</f>
        <v>0</v>
      </c>
      <c r="N31" s="294">
        <f>'Rem. Anticipos R2'!K423</f>
        <v>0</v>
      </c>
      <c r="O31" s="295">
        <f t="shared" si="6"/>
        <v>0</v>
      </c>
      <c r="Q31" s="306"/>
      <c r="S31" s="314">
        <v>4</v>
      </c>
      <c r="T31" s="315" t="s">
        <v>13</v>
      </c>
      <c r="U31" s="316">
        <f>'Rem. Anticipos R2'!L423</f>
        <v>0</v>
      </c>
      <c r="V31" s="317">
        <f>'Rem. Anticipos R2'!M423</f>
        <v>0</v>
      </c>
      <c r="W31" s="317">
        <f>'Rem. Anticipos R2'!N423</f>
        <v>0</v>
      </c>
      <c r="X31" s="317">
        <f>'Rem. Anticipos R2'!O423</f>
        <v>0</v>
      </c>
      <c r="Y31" s="318">
        <f>'Rem. Anticipos R2'!P423</f>
        <v>0</v>
      </c>
      <c r="Z31" s="319">
        <f>L31*-1</f>
        <v>0</v>
      </c>
      <c r="AA31" s="320">
        <f>'Rem. Anticipos R2'!Q423</f>
        <v>0</v>
      </c>
      <c r="AB31" s="294">
        <f>N31</f>
        <v>0</v>
      </c>
      <c r="AC31" s="320">
        <f>'Rem. Anticipos R2'!R423</f>
        <v>0</v>
      </c>
      <c r="AD31" s="291">
        <f t="shared" si="9"/>
        <v>0</v>
      </c>
      <c r="AE31" s="291">
        <f>'Rem. Anticipos R2'!E424</f>
        <v>0</v>
      </c>
      <c r="AF31" s="322">
        <f>SUM(U31:AD31)</f>
        <v>0</v>
      </c>
      <c r="AG31" s="522">
        <f t="shared" si="10"/>
        <v>0</v>
      </c>
      <c r="AH31" s="305" t="b">
        <f t="shared" si="7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R2'!E510</f>
        <v>0</v>
      </c>
      <c r="E32" s="297">
        <f>'Rem. Anticipos R2'!F510</f>
        <v>0</v>
      </c>
      <c r="F32" s="297">
        <f>'Rem. Anticipos R2'!G510</f>
        <v>0</v>
      </c>
      <c r="G32" s="297">
        <f>'Rem. Anticipos R2'!H510</f>
        <v>0</v>
      </c>
      <c r="H32" s="297">
        <f>'Rem. Anticipos R2'!I510</f>
        <v>0</v>
      </c>
      <c r="I32" s="297">
        <f>'Rem. Anticipos R2'!J510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R2'!K510</f>
        <v>0</v>
      </c>
      <c r="O32" s="298">
        <f t="shared" si="6"/>
        <v>0</v>
      </c>
      <c r="Q32" s="306"/>
      <c r="S32" s="324">
        <v>5</v>
      </c>
      <c r="T32" s="325" t="s">
        <v>14</v>
      </c>
      <c r="U32" s="296">
        <f>'Rem. Anticipos R2'!L510</f>
        <v>0</v>
      </c>
      <c r="V32" s="297">
        <f>'Rem. Anticipos R2'!M510</f>
        <v>0</v>
      </c>
      <c r="W32" s="297">
        <f>'Rem. Anticipos R2'!N510</f>
        <v>0</v>
      </c>
      <c r="X32" s="297">
        <f>'Rem. Anticipos R2'!O510</f>
        <v>0</v>
      </c>
      <c r="Y32" s="289">
        <f>'Rem. Anticipos R2'!P510</f>
        <v>0</v>
      </c>
      <c r="Z32" s="319">
        <f>L32*-1</f>
        <v>0</v>
      </c>
      <c r="AA32" s="320">
        <f>'Rem. Anticipos R2'!Q510</f>
        <v>0</v>
      </c>
      <c r="AB32" s="294">
        <f>N32</f>
        <v>0</v>
      </c>
      <c r="AC32" s="320">
        <f>'Rem. Anticipos R2'!R510</f>
        <v>0</v>
      </c>
      <c r="AD32" s="291">
        <f t="shared" si="9"/>
        <v>0</v>
      </c>
      <c r="AE32" s="291">
        <f>'Rem. Anticipos R2'!E511</f>
        <v>0</v>
      </c>
      <c r="AF32" s="322">
        <f>SUM(U32:AD32)</f>
        <v>0</v>
      </c>
      <c r="AG32" s="523">
        <f>(AF32-O32)</f>
        <v>0</v>
      </c>
      <c r="AH32" s="305" t="b">
        <f t="shared" si="7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1">SUM(F28:F32)</f>
        <v>0</v>
      </c>
      <c r="G33" s="290">
        <f t="shared" ref="G33" si="12"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F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ref="AG33" si="15">SUM(AG28:AG32)</f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7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7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27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R1'!F91</f>
        <v>0</v>
      </c>
      <c r="E47" s="292">
        <f>'Reporte Componentes R1'!G91</f>
        <v>0</v>
      </c>
      <c r="F47" s="292">
        <f>'Reporte Componentes R1'!H91</f>
        <v>0</v>
      </c>
      <c r="G47" s="292">
        <f>'Reporte Componentes R1'!I91</f>
        <v>0</v>
      </c>
      <c r="H47" s="292">
        <f>'Reporte Componentes R1'!J91</f>
        <v>0</v>
      </c>
      <c r="I47" s="292">
        <f>'Reporte Componentes R1'!K91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R1'!L91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R1'!M91</f>
        <v>0</v>
      </c>
      <c r="V47" s="308">
        <f>'Reporte Componentes R1'!N91</f>
        <v>0</v>
      </c>
      <c r="W47" s="308">
        <f>'Reporte Componentes R1'!O91</f>
        <v>0</v>
      </c>
      <c r="X47" s="308">
        <f>'Reporte Componentes R1'!P91</f>
        <v>0</v>
      </c>
      <c r="Y47" s="309">
        <f>'Reporte Componentes R1'!Q91</f>
        <v>0</v>
      </c>
      <c r="Z47" s="310">
        <f>-L47</f>
        <v>0</v>
      </c>
      <c r="AA47" s="320">
        <f>'Reporte Componentes R1'!R91+'Reporte Componentes R1'!V91+'Reporte Componentes R1'!U91</f>
        <v>0</v>
      </c>
      <c r="AB47" s="294">
        <f>N47</f>
        <v>0</v>
      </c>
      <c r="AC47" s="311">
        <f>'Reporte Componentes R1'!T91+'Reporte Componentes R1'!W91+'Reporte Componentes R1'!X91+'Reporte Componentes R1'!Y91+'Reporte Componentes R1'!Z91+'Reporte Componentes R1'!S91</f>
        <v>0</v>
      </c>
      <c r="AD47" s="291">
        <f>-J47+AE47</f>
        <v>0</v>
      </c>
      <c r="AE47" s="291">
        <f>'Reporte Componentes R1'!F92</f>
        <v>0</v>
      </c>
      <c r="AF47" s="313">
        <f>SUM(U47:AD47)</f>
        <v>0</v>
      </c>
      <c r="AG47" s="52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R1'!F325</f>
        <v>0</v>
      </c>
      <c r="E48" s="292">
        <f>'Reporte Componentes R1'!G325</f>
        <v>0</v>
      </c>
      <c r="F48" s="292">
        <f>'Reporte Componentes R1'!H325</f>
        <v>0</v>
      </c>
      <c r="G48" s="292">
        <f>'Reporte Componentes R1'!I325</f>
        <v>0</v>
      </c>
      <c r="H48" s="292">
        <f>'Reporte Componentes R1'!J325</f>
        <v>0</v>
      </c>
      <c r="I48" s="292">
        <f>'Reporte Componentes R1'!K325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R1'!L325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R1'!M325</f>
        <v>0</v>
      </c>
      <c r="V48" s="317">
        <f>'Reporte Componentes R1'!N325</f>
        <v>0</v>
      </c>
      <c r="W48" s="317">
        <f>'Reporte Componentes R1'!O325</f>
        <v>0</v>
      </c>
      <c r="X48" s="317">
        <f>'Reporte Componentes R1'!P325</f>
        <v>0</v>
      </c>
      <c r="Y48" s="318">
        <f>'Reporte Componentes R1'!Q325</f>
        <v>0</v>
      </c>
      <c r="Z48" s="319">
        <f>-L48</f>
        <v>0</v>
      </c>
      <c r="AA48" s="320">
        <f>'Reporte Componentes R1'!R325+'Reporte Componentes R1'!V325+'Reporte Componentes R1'!U325</f>
        <v>0</v>
      </c>
      <c r="AB48" s="294">
        <f>N48</f>
        <v>0</v>
      </c>
      <c r="AC48" s="320">
        <f>'Reporte Componentes R1'!T325+'Reporte Componentes R1'!W325+'Reporte Componentes R1'!X325+'Reporte Componentes R1'!Y325+'Reporte Componentes R1'!Z325+'Reporte Componentes R1'!S325</f>
        <v>0</v>
      </c>
      <c r="AD48" s="291">
        <f t="shared" ref="AD48:AD51" si="18">-J48+AE48</f>
        <v>0</v>
      </c>
      <c r="AE48" s="291">
        <f>'Reporte Componentes R1'!F326</f>
        <v>0</v>
      </c>
      <c r="AF48" s="322">
        <f>SUM(U48:AD48)</f>
        <v>0</v>
      </c>
      <c r="AG48" s="522">
        <f>(AF48-O48)</f>
        <v>0</v>
      </c>
      <c r="AH48" s="305" t="b">
        <f t="shared" ref="AH48:AH51" si="19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R1'!F486</f>
        <v>0</v>
      </c>
      <c r="E49" s="292">
        <f>'Reporte Componentes R1'!G486</f>
        <v>0</v>
      </c>
      <c r="F49" s="292">
        <f>'Reporte Componentes R1'!H486</f>
        <v>0</v>
      </c>
      <c r="G49" s="292">
        <f>'Reporte Componentes R1'!I486</f>
        <v>0</v>
      </c>
      <c r="H49" s="292">
        <f>'Reporte Componentes R1'!J486</f>
        <v>0</v>
      </c>
      <c r="I49" s="292">
        <f>'Reporte Componentes R1'!K486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R1'!L486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R1'!M486</f>
        <v>0</v>
      </c>
      <c r="V49" s="317">
        <f>'Reporte Componentes R1'!N486</f>
        <v>0</v>
      </c>
      <c r="W49" s="317">
        <f>'Reporte Componentes R1'!O486</f>
        <v>0</v>
      </c>
      <c r="X49" s="317">
        <f>'Reporte Componentes R1'!P486</f>
        <v>0</v>
      </c>
      <c r="Y49" s="318">
        <f>'Reporte Componentes R1'!Q486</f>
        <v>0</v>
      </c>
      <c r="Z49" s="319">
        <f>-L49</f>
        <v>0</v>
      </c>
      <c r="AA49" s="320">
        <f>'Reporte Componentes R1'!R486+'Reporte Componentes R1'!V486+'Reporte Componentes R1'!U486</f>
        <v>0</v>
      </c>
      <c r="AB49" s="294">
        <f>N49</f>
        <v>0</v>
      </c>
      <c r="AC49" s="320">
        <f>'Reporte Componentes R1'!T486+'Reporte Componentes R1'!W486+'Reporte Componentes R1'!X486+'Reporte Componentes R1'!Y486+'Reporte Componentes R1'!Z486+'Reporte Componentes R1'!S486</f>
        <v>0</v>
      </c>
      <c r="AD49" s="291">
        <f t="shared" si="18"/>
        <v>0</v>
      </c>
      <c r="AE49" s="291">
        <f>'Reporte Componentes R1'!F487</f>
        <v>0</v>
      </c>
      <c r="AF49" s="322">
        <f t="shared" ref="AF49:AF51" si="20">SUM(U49:AD49)</f>
        <v>0</v>
      </c>
      <c r="AG49" s="522">
        <f t="shared" ref="AG49:AG51" si="21">(AF49-O49)</f>
        <v>0</v>
      </c>
      <c r="AH49" s="305" t="b">
        <f t="shared" si="19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R1'!F694</f>
        <v>0</v>
      </c>
      <c r="E50" s="292">
        <f>'Reporte Componentes R1'!G694</f>
        <v>0</v>
      </c>
      <c r="F50" s="292">
        <f>'Reporte Componentes R1'!H694</f>
        <v>0</v>
      </c>
      <c r="G50" s="292">
        <f>'Reporte Componentes R1'!I694</f>
        <v>0</v>
      </c>
      <c r="H50" s="292">
        <f>'Reporte Componentes R1'!J694</f>
        <v>0</v>
      </c>
      <c r="I50" s="292">
        <f>'Reporte Componentes R1'!K694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R1'!L694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R1'!M694</f>
        <v>0</v>
      </c>
      <c r="V50" s="317">
        <f>'Reporte Componentes R1'!N694</f>
        <v>0</v>
      </c>
      <c r="W50" s="317">
        <f>'Reporte Componentes R1'!O694</f>
        <v>0</v>
      </c>
      <c r="X50" s="317">
        <f>'Reporte Componentes R1'!P694</f>
        <v>0</v>
      </c>
      <c r="Y50" s="318">
        <f>'Reporte Componentes R1'!Q694</f>
        <v>0</v>
      </c>
      <c r="Z50" s="319">
        <f>-L50</f>
        <v>0</v>
      </c>
      <c r="AA50" s="320">
        <f>'Reporte Componentes R1'!R694+'Reporte Componentes R1'!V694+'Reporte Componentes R1'!U694</f>
        <v>0</v>
      </c>
      <c r="AB50" s="294">
        <f>N50</f>
        <v>0</v>
      </c>
      <c r="AC50" s="320">
        <f>'Reporte Componentes R1'!T694+'Reporte Componentes R1'!W694+'Reporte Componentes R1'!X694+'Reporte Componentes R1'!Y694+'Reporte Componentes R1'!Z694+'Reporte Componentes R1'!S694</f>
        <v>0</v>
      </c>
      <c r="AD50" s="291">
        <f t="shared" si="18"/>
        <v>0</v>
      </c>
      <c r="AE50" s="291">
        <f>'Reporte Componentes R1'!F695</f>
        <v>0</v>
      </c>
      <c r="AF50" s="322">
        <f t="shared" si="20"/>
        <v>0</v>
      </c>
      <c r="AG50" s="522">
        <f t="shared" si="21"/>
        <v>0</v>
      </c>
      <c r="AH50" s="305" t="b">
        <f t="shared" si="19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R1'!F813</f>
        <v>0</v>
      </c>
      <c r="E51" s="297">
        <f>'Reporte Componentes R1'!G813</f>
        <v>0</v>
      </c>
      <c r="F51" s="297">
        <f>'Reporte Componentes R1'!H813</f>
        <v>0</v>
      </c>
      <c r="G51" s="297">
        <f>'Reporte Componentes R1'!I813</f>
        <v>0</v>
      </c>
      <c r="H51" s="297">
        <f>'Reporte Componentes R1'!J813</f>
        <v>0</v>
      </c>
      <c r="I51" s="297">
        <f>'Reporte Componentes R1'!K813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R1'!L813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R1'!M813</f>
        <v>0</v>
      </c>
      <c r="V51" s="297">
        <f>'Reporte Componentes R1'!N813</f>
        <v>0</v>
      </c>
      <c r="W51" s="297">
        <f>'Reporte Componentes R1'!O813</f>
        <v>0</v>
      </c>
      <c r="X51" s="297">
        <f>'Reporte Componentes R1'!P813</f>
        <v>0</v>
      </c>
      <c r="Y51" s="289">
        <f>'Reporte Componentes R1'!Q813</f>
        <v>0</v>
      </c>
      <c r="Z51" s="319">
        <f>-L51</f>
        <v>0</v>
      </c>
      <c r="AA51" s="320">
        <f>'Reporte Componentes R1'!R813+'Reporte Componentes R1'!V813+'Reporte Componentes R1'!U813</f>
        <v>0</v>
      </c>
      <c r="AB51" s="294">
        <f>N51</f>
        <v>0</v>
      </c>
      <c r="AC51" s="320">
        <f>'Reporte Componentes R1'!T813+'Reporte Componentes R1'!W813+'Reporte Componentes R1'!X813+'Reporte Componentes R1'!Y813+'Reporte Componentes R1'!Z813+'Reporte Componentes R1'!S813</f>
        <v>0</v>
      </c>
      <c r="AD51" s="291">
        <f t="shared" si="18"/>
        <v>0</v>
      </c>
      <c r="AE51" s="291">
        <f>'Reporte Componentes R1'!F814</f>
        <v>0</v>
      </c>
      <c r="AF51" s="322">
        <f t="shared" si="20"/>
        <v>0</v>
      </c>
      <c r="AG51" s="523">
        <f t="shared" si="21"/>
        <v>0</v>
      </c>
      <c r="AH51" s="305" t="b">
        <f t="shared" si="19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2">SUM(D47:D51)</f>
        <v>0</v>
      </c>
      <c r="E52" s="290">
        <f t="shared" si="22"/>
        <v>0</v>
      </c>
      <c r="F52" s="290">
        <f t="shared" si="22"/>
        <v>0</v>
      </c>
      <c r="G52" s="290">
        <f t="shared" ref="G52" si="23">SUM(G47:G51)</f>
        <v>0</v>
      </c>
      <c r="H52" s="290">
        <f t="shared" si="22"/>
        <v>0</v>
      </c>
      <c r="I52" s="290">
        <f t="shared" si="22"/>
        <v>0</v>
      </c>
      <c r="J52" s="290">
        <f t="shared" si="22"/>
        <v>0</v>
      </c>
      <c r="K52" s="300">
        <f t="shared" si="22"/>
        <v>0</v>
      </c>
      <c r="L52" s="301">
        <f t="shared" si="22"/>
        <v>0</v>
      </c>
      <c r="M52" s="302">
        <f t="shared" si="22"/>
        <v>0</v>
      </c>
      <c r="N52" s="301">
        <f t="shared" si="22"/>
        <v>0</v>
      </c>
      <c r="O52" s="302">
        <f t="shared" si="22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4">SUM(V47:V51)</f>
        <v>0</v>
      </c>
      <c r="W52" s="330">
        <f t="shared" si="24"/>
        <v>0</v>
      </c>
      <c r="X52" s="330">
        <f t="shared" si="24"/>
        <v>0</v>
      </c>
      <c r="Y52" s="330">
        <f t="shared" si="24"/>
        <v>0</v>
      </c>
      <c r="Z52" s="290">
        <f t="shared" si="24"/>
        <v>0</v>
      </c>
      <c r="AA52" s="290">
        <f t="shared" si="24"/>
        <v>0</v>
      </c>
      <c r="AB52" s="290">
        <f t="shared" si="24"/>
        <v>0</v>
      </c>
      <c r="AC52" s="290">
        <f t="shared" si="24"/>
        <v>0</v>
      </c>
      <c r="AD52" s="290">
        <f>SUM(AD47:AD51)</f>
        <v>0</v>
      </c>
      <c r="AE52" s="290">
        <f>SUM(AE47:AE51)</f>
        <v>0</v>
      </c>
      <c r="AF52" s="331">
        <f t="shared" si="24"/>
        <v>0</v>
      </c>
      <c r="AG52" s="524">
        <f t="shared" si="24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7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7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27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R4'!D79</f>
        <v>0</v>
      </c>
      <c r="E66" s="292">
        <f>'Reversion Pagos R4'!E79</f>
        <v>0</v>
      </c>
      <c r="F66" s="292">
        <f>'Reversion Pagos R4'!F79</f>
        <v>0</v>
      </c>
      <c r="G66" s="292">
        <f>'Reversion Pagos R4'!G79</f>
        <v>0</v>
      </c>
      <c r="H66" s="292">
        <f>'Reversion Pagos R4'!H79</f>
        <v>0</v>
      </c>
      <c r="I66" s="292">
        <f>'Reversion Pagos R4'!I79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R4'!P79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R4'!J79</f>
        <v>0</v>
      </c>
      <c r="V66" s="308">
        <f>'Reversion Pagos R4'!K79</f>
        <v>0</v>
      </c>
      <c r="W66" s="308">
        <f>'Reversion Pagos R4'!L79</f>
        <v>0</v>
      </c>
      <c r="X66" s="308">
        <f>'Reversion Pagos R4'!M79</f>
        <v>0</v>
      </c>
      <c r="Y66" s="308">
        <f>'Reversion Pagos R4'!N79</f>
        <v>0</v>
      </c>
      <c r="Z66" s="310">
        <f>-L66</f>
        <v>0</v>
      </c>
      <c r="AA66" s="320">
        <f>'Reversion Pagos R4'!O79</f>
        <v>0</v>
      </c>
      <c r="AB66" s="294">
        <f>N66</f>
        <v>0</v>
      </c>
      <c r="AC66" s="320">
        <f>+'Reversion Pagos R4'!Q79+'Reversion Pagos R4'!R79</f>
        <v>0</v>
      </c>
      <c r="AD66" s="291">
        <f>-J66+AE66</f>
        <v>0</v>
      </c>
      <c r="AE66" s="291">
        <f>'Reversion Pagos R4'!D80</f>
        <v>0</v>
      </c>
      <c r="AF66" s="313">
        <f>SUM(U66:AD66)</f>
        <v>0</v>
      </c>
      <c r="AG66" s="52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R4'!D180</f>
        <v>0</v>
      </c>
      <c r="E67" s="292">
        <f>'Reversion Pagos R4'!E180</f>
        <v>0</v>
      </c>
      <c r="F67" s="292">
        <f>'Reversion Pagos R4'!F180</f>
        <v>0</v>
      </c>
      <c r="G67" s="292">
        <f>'Reversion Pagos R4'!G180</f>
        <v>0</v>
      </c>
      <c r="H67" s="292">
        <f>'Reversion Pagos R4'!H180</f>
        <v>0</v>
      </c>
      <c r="I67" s="292">
        <f>'Reversion Pagos R4'!I180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R4'!P180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R4'!J180</f>
        <v>0</v>
      </c>
      <c r="V67" s="317">
        <f>'Reversion Pagos R4'!K180</f>
        <v>0</v>
      </c>
      <c r="W67" s="317">
        <f>'Reversion Pagos R4'!L180</f>
        <v>0</v>
      </c>
      <c r="X67" s="317">
        <f>'Reversion Pagos R4'!M180</f>
        <v>0</v>
      </c>
      <c r="Y67" s="318">
        <f>'Reversion Pagos R4'!N180</f>
        <v>0</v>
      </c>
      <c r="Z67" s="319">
        <f t="shared" ref="Z67:Z70" si="27">-L67</f>
        <v>0</v>
      </c>
      <c r="AA67" s="320">
        <f>'Reversion Pagos R4'!O180</f>
        <v>0</v>
      </c>
      <c r="AB67" s="294">
        <f t="shared" ref="AB67:AB70" si="28">N67</f>
        <v>0</v>
      </c>
      <c r="AC67" s="320">
        <f>+'Reversion Pagos R4'!Q180+'Reversion Pagos R4'!R180</f>
        <v>0</v>
      </c>
      <c r="AD67" s="291">
        <f>-J67+AE67</f>
        <v>0</v>
      </c>
      <c r="AE67" s="291">
        <f>'Reversion Pagos R4'!D181</f>
        <v>0</v>
      </c>
      <c r="AF67" s="322">
        <f>SUM(U67:AD67)</f>
        <v>0</v>
      </c>
      <c r="AG67" s="522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R4'!D217</f>
        <v>0</v>
      </c>
      <c r="E68" s="292">
        <f>'Reversion Pagos R4'!E217</f>
        <v>0</v>
      </c>
      <c r="F68" s="292">
        <f>'Reversion Pagos R4'!F217</f>
        <v>0</v>
      </c>
      <c r="G68" s="292">
        <f>'Reversion Pagos R4'!G217</f>
        <v>0</v>
      </c>
      <c r="H68" s="292">
        <f>'Reversion Pagos R4'!H217</f>
        <v>0</v>
      </c>
      <c r="I68" s="292">
        <f>'Reversion Pagos R4'!I217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R4'!P217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R4'!J217</f>
        <v>0</v>
      </c>
      <c r="V68" s="317">
        <f>'Reversion Pagos R4'!K217</f>
        <v>0</v>
      </c>
      <c r="W68" s="317">
        <f>'Reversion Pagos R4'!L217</f>
        <v>0</v>
      </c>
      <c r="X68" s="317">
        <f>'Reversion Pagos R4'!M217</f>
        <v>0</v>
      </c>
      <c r="Y68" s="318">
        <f>'Reversion Pagos R4'!N217</f>
        <v>0</v>
      </c>
      <c r="Z68" s="319">
        <f t="shared" si="27"/>
        <v>0</v>
      </c>
      <c r="AA68" s="320">
        <f>'Reversion Pagos R4'!O217</f>
        <v>0</v>
      </c>
      <c r="AB68" s="294">
        <f t="shared" si="28"/>
        <v>0</v>
      </c>
      <c r="AC68" s="320">
        <f>+'Reversion Pagos R4'!Q217+'Reversion Pagos R4'!R217</f>
        <v>0</v>
      </c>
      <c r="AD68" s="291">
        <f t="shared" ref="AD68:AD69" si="30">-J68+AE68</f>
        <v>0</v>
      </c>
      <c r="AE68" s="291">
        <f>'Reversion Pagos R4'!D218</f>
        <v>0</v>
      </c>
      <c r="AF68" s="322">
        <f t="shared" ref="AF68:AF70" si="31">SUM(U68:AD68)</f>
        <v>0</v>
      </c>
      <c r="AG68" s="522">
        <f t="shared" ref="AG68:AG70" si="32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R4'!D332</f>
        <v>0</v>
      </c>
      <c r="E69" s="292">
        <f>'Reversion Pagos R4'!E332</f>
        <v>0</v>
      </c>
      <c r="F69" s="292">
        <f>'Reversion Pagos R4'!F332</f>
        <v>0</v>
      </c>
      <c r="G69" s="292">
        <f>'Reversion Pagos R4'!G332</f>
        <v>0</v>
      </c>
      <c r="H69" s="292">
        <f>'Reversion Pagos R4'!H332</f>
        <v>0</v>
      </c>
      <c r="I69" s="292">
        <f>'Reversion Pagos R4'!I332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R4'!P332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R4'!J332</f>
        <v>0</v>
      </c>
      <c r="V69" s="317">
        <f>'Reversion Pagos R4'!K332</f>
        <v>0</v>
      </c>
      <c r="W69" s="317">
        <f>'Reversion Pagos R4'!L332</f>
        <v>0</v>
      </c>
      <c r="X69" s="317">
        <f>'Reversion Pagos R4'!M332</f>
        <v>0</v>
      </c>
      <c r="Y69" s="318">
        <f>'Reversion Pagos R4'!N332</f>
        <v>0</v>
      </c>
      <c r="Z69" s="319">
        <f t="shared" si="27"/>
        <v>0</v>
      </c>
      <c r="AA69" s="320">
        <f>'Reversion Pagos R4'!O332</f>
        <v>0</v>
      </c>
      <c r="AB69" s="294">
        <f t="shared" si="28"/>
        <v>0</v>
      </c>
      <c r="AC69" s="320">
        <f>+'Reversion Pagos R4'!Q332+'Reversion Pagos R4'!R332</f>
        <v>0</v>
      </c>
      <c r="AD69" s="291">
        <f t="shared" si="30"/>
        <v>0</v>
      </c>
      <c r="AE69" s="291">
        <f>'Reversion Pagos R4'!D333</f>
        <v>0</v>
      </c>
      <c r="AF69" s="322">
        <f>SUM(U69:AD69)</f>
        <v>0</v>
      </c>
      <c r="AG69" s="522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R4'!D373</f>
        <v>0</v>
      </c>
      <c r="E70" s="297">
        <f>'Reversion Pagos R4'!E373</f>
        <v>0</v>
      </c>
      <c r="F70" s="297">
        <f>'Reversion Pagos R4'!F373</f>
        <v>0</v>
      </c>
      <c r="G70" s="297">
        <f>'Reversion Pagos R4'!G373</f>
        <v>0</v>
      </c>
      <c r="H70" s="297">
        <f>'Reversion Pagos R4'!H373</f>
        <v>0</v>
      </c>
      <c r="I70" s="297">
        <f>'Reversion Pagos R4'!I373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R4'!P373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R4'!J373</f>
        <v>0</v>
      </c>
      <c r="V70" s="297">
        <f>'Reversion Pagos R4'!K373</f>
        <v>0</v>
      </c>
      <c r="W70" s="297">
        <f>'Reversion Pagos R4'!L373</f>
        <v>0</v>
      </c>
      <c r="X70" s="297">
        <f>'Reversion Pagos R4'!M373</f>
        <v>0</v>
      </c>
      <c r="Y70" s="289">
        <f>'Reversion Pagos R4'!N373</f>
        <v>0</v>
      </c>
      <c r="Z70" s="319">
        <f t="shared" si="27"/>
        <v>0</v>
      </c>
      <c r="AA70" s="320">
        <f>'Reversion Pagos R4'!O373</f>
        <v>0</v>
      </c>
      <c r="AB70" s="294">
        <f t="shared" si="28"/>
        <v>0</v>
      </c>
      <c r="AC70" s="320">
        <f>+'Reversion Pagos R4'!Q373+'Reversion Pagos R4'!R373</f>
        <v>0</v>
      </c>
      <c r="AD70" s="291">
        <f>-J70+AE70</f>
        <v>0</v>
      </c>
      <c r="AE70" s="291">
        <f>'Reversion Pagos R4'!D374</f>
        <v>0</v>
      </c>
      <c r="AF70" s="322">
        <f t="shared" si="31"/>
        <v>0</v>
      </c>
      <c r="AG70" s="523">
        <f t="shared" si="32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3">SUM(D66:D70)</f>
        <v>0</v>
      </c>
      <c r="E71" s="290">
        <f t="shared" si="33"/>
        <v>0</v>
      </c>
      <c r="F71" s="290">
        <f t="shared" si="33"/>
        <v>0</v>
      </c>
      <c r="G71" s="290">
        <f t="shared" ref="G71" si="34">SUM(G66:G70)</f>
        <v>0</v>
      </c>
      <c r="H71" s="290">
        <f t="shared" si="33"/>
        <v>0</v>
      </c>
      <c r="I71" s="290">
        <f t="shared" si="33"/>
        <v>0</v>
      </c>
      <c r="J71" s="290">
        <f t="shared" si="33"/>
        <v>0</v>
      </c>
      <c r="K71" s="300">
        <f t="shared" si="33"/>
        <v>0</v>
      </c>
      <c r="L71" s="301">
        <f t="shared" si="33"/>
        <v>0</v>
      </c>
      <c r="M71" s="302">
        <f t="shared" si="33"/>
        <v>0</v>
      </c>
      <c r="N71" s="301">
        <f t="shared" si="33"/>
        <v>0</v>
      </c>
      <c r="O71" s="302">
        <f t="shared" si="33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F71" si="35">SUM(V66:V70)</f>
        <v>0</v>
      </c>
      <c r="W71" s="330">
        <f t="shared" si="35"/>
        <v>0</v>
      </c>
      <c r="X71" s="330">
        <f t="shared" si="35"/>
        <v>0</v>
      </c>
      <c r="Y71" s="330">
        <f t="shared" si="35"/>
        <v>0</v>
      </c>
      <c r="Z71" s="290">
        <f t="shared" si="35"/>
        <v>0</v>
      </c>
      <c r="AA71" s="290">
        <f>SUM(AA66:AA70)</f>
        <v>0</v>
      </c>
      <c r="AB71" s="290">
        <f t="shared" si="35"/>
        <v>0</v>
      </c>
      <c r="AC71" s="290">
        <f t="shared" ref="AC71" si="36">SUM(AC66:AC70)</f>
        <v>0</v>
      </c>
      <c r="AD71" s="290">
        <f>SUM(AD66:AD70)</f>
        <v>0</v>
      </c>
      <c r="AE71" s="290">
        <f>SUM(AE66:AE70)</f>
        <v>0</v>
      </c>
      <c r="AF71" s="331">
        <f t="shared" si="35"/>
        <v>0</v>
      </c>
      <c r="AG71" s="524">
        <f t="shared" ref="AG71" si="37">SUM(AG66:AG70)</f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7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7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06" t="s">
        <v>7</v>
      </c>
      <c r="AC84" s="65" t="s">
        <v>168</v>
      </c>
      <c r="AD84" s="573" t="s">
        <v>105</v>
      </c>
      <c r="AE84" s="121" t="s">
        <v>104</v>
      </c>
      <c r="AF84" s="39" t="s">
        <v>23</v>
      </c>
      <c r="AG84" s="27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f>'AJUSTES - SF-T'!N47</f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f>'AJUSTES - SF-T'!U47</f>
        <v>0</v>
      </c>
      <c r="V85" s="308">
        <f>'AJUSTES - SF-T'!V47</f>
        <v>0</v>
      </c>
      <c r="W85" s="308">
        <f>'AJUSTES - SF-T'!W47</f>
        <v>0</v>
      </c>
      <c r="X85" s="308">
        <f>'AJUSTES - SF-T'!X47</f>
        <v>0</v>
      </c>
      <c r="Y85" s="309">
        <f>'AJUSTES - SF-T'!Y47</f>
        <v>0</v>
      </c>
      <c r="Z85" s="310">
        <f>-L85</f>
        <v>0</v>
      </c>
      <c r="AA85" s="311">
        <f>'AJUSTES - SF-T'!AA47</f>
        <v>0</v>
      </c>
      <c r="AB85" s="294">
        <f>N85</f>
        <v>0</v>
      </c>
      <c r="AC85" s="311">
        <v>0</v>
      </c>
      <c r="AD85" s="604">
        <f>-J85+AE85</f>
        <v>0</v>
      </c>
      <c r="AE85" s="291">
        <f>'AJUSTES - SF-T'!AD47</f>
        <v>0</v>
      </c>
      <c r="AF85" s="313">
        <f>SUM(U85:AD85)</f>
        <v>0</v>
      </c>
      <c r="AG85" s="52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8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9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605">
        <v>0</v>
      </c>
      <c r="AD86" s="604">
        <f t="shared" ref="AD86:AD89" si="40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305" t="b">
        <f t="shared" ref="AH86:AH89" si="41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88">
        <f>'AJUSTES - SF-T'!J49</f>
        <v>0</v>
      </c>
      <c r="K87" s="295">
        <f t="shared" si="38"/>
        <v>0</v>
      </c>
      <c r="L87" s="294">
        <v>0</v>
      </c>
      <c r="M87" s="295">
        <f>K87-L87</f>
        <v>0</v>
      </c>
      <c r="N87" s="294">
        <f>'AJUSTES - SF-T'!N49</f>
        <v>0</v>
      </c>
      <c r="O87" s="295">
        <f t="shared" si="39"/>
        <v>0</v>
      </c>
      <c r="Q87" s="306"/>
      <c r="S87" s="314">
        <v>3</v>
      </c>
      <c r="T87" s="315" t="s">
        <v>12</v>
      </c>
      <c r="U87" s="316">
        <f>'AJUSTES - SF-T'!U49</f>
        <v>0</v>
      </c>
      <c r="V87" s="317">
        <f>'AJUSTES - SF-T'!V49</f>
        <v>0</v>
      </c>
      <c r="W87" s="317">
        <f>'AJUSTES - SF-T'!W49</f>
        <v>0</v>
      </c>
      <c r="X87" s="317">
        <f>'AJUSTES - SF-T'!X49</f>
        <v>0</v>
      </c>
      <c r="Y87" s="318">
        <f>'AJUSTES - SF-T'!Y49</f>
        <v>0</v>
      </c>
      <c r="Z87" s="319">
        <f>-L87</f>
        <v>0</v>
      </c>
      <c r="AA87" s="320">
        <f>'AJUSTES - SF-T'!AA49</f>
        <v>0</v>
      </c>
      <c r="AB87" s="294">
        <f>N87</f>
        <v>0</v>
      </c>
      <c r="AC87" s="323">
        <v>0</v>
      </c>
      <c r="AD87" s="604">
        <f t="shared" si="40"/>
        <v>0</v>
      </c>
      <c r="AE87" s="291">
        <f>'AJUSTES - SF-T'!AD49</f>
        <v>0</v>
      </c>
      <c r="AF87" s="322">
        <f t="shared" ref="AF87:AF89" si="42">SUM(U87:AD87)</f>
        <v>0</v>
      </c>
      <c r="AG87" s="522">
        <f>AF87-O87</f>
        <v>0</v>
      </c>
      <c r="AH87" s="305" t="b">
        <f t="shared" si="41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8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9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604">
        <f t="shared" si="40"/>
        <v>0</v>
      </c>
      <c r="AE88" s="291">
        <f>'AJUSTES - SF-T'!AD50</f>
        <v>0</v>
      </c>
      <c r="AF88" s="322">
        <f t="shared" si="42"/>
        <v>0</v>
      </c>
      <c r="AG88" s="522">
        <f>AF88-O88</f>
        <v>0</v>
      </c>
      <c r="AH88" s="305" t="b">
        <f t="shared" si="41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1">
        <f>'AJUSTES - SF-T'!D51</f>
        <v>0</v>
      </c>
      <c r="E89" s="292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89">
        <f>'AJUSTES - SF-T'!J51</f>
        <v>0</v>
      </c>
      <c r="K89" s="295">
        <f t="shared" si="38"/>
        <v>0</v>
      </c>
      <c r="L89" s="294">
        <v>0</v>
      </c>
      <c r="M89" s="298">
        <f>K89-L89</f>
        <v>0</v>
      </c>
      <c r="N89" s="299">
        <f>'AJUSTES - SF-T'!N51</f>
        <v>0</v>
      </c>
      <c r="O89" s="298">
        <f t="shared" si="39"/>
        <v>0</v>
      </c>
      <c r="Q89" s="306"/>
      <c r="S89" s="324">
        <v>5</v>
      </c>
      <c r="T89" s="325" t="s">
        <v>14</v>
      </c>
      <c r="U89" s="296">
        <f>'AJUSTES - SF-T'!U51</f>
        <v>0</v>
      </c>
      <c r="V89" s="297">
        <f>'AJUSTES - SF-T'!V51</f>
        <v>0</v>
      </c>
      <c r="W89" s="297">
        <f>'AJUSTES - SF-T'!W51</f>
        <v>0</v>
      </c>
      <c r="X89" s="297">
        <f>'AJUSTES - SF-T'!X51</f>
        <v>0</v>
      </c>
      <c r="Y89" s="289">
        <f>'AJUSTES - SF-T'!Y51</f>
        <v>0</v>
      </c>
      <c r="Z89" s="319">
        <f>-L89</f>
        <v>0</v>
      </c>
      <c r="AA89" s="320">
        <f>'AJUSTES - SF-T'!AA51</f>
        <v>0</v>
      </c>
      <c r="AB89" s="294">
        <f>N89</f>
        <v>0</v>
      </c>
      <c r="AC89" s="323">
        <v>0</v>
      </c>
      <c r="AD89" s="604">
        <f t="shared" si="40"/>
        <v>0</v>
      </c>
      <c r="AE89" s="291">
        <f>'AJUSTES - SF-T'!AD51</f>
        <v>0</v>
      </c>
      <c r="AF89" s="322">
        <f t="shared" si="42"/>
        <v>0</v>
      </c>
      <c r="AG89" s="523">
        <f>AF89-O89</f>
        <v>0</v>
      </c>
      <c r="AH89" s="305" t="b">
        <f t="shared" si="41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>SUM(D85:D89)</f>
        <v>0</v>
      </c>
      <c r="E90" s="290">
        <f t="shared" ref="E90:O90" si="43">SUM(E85:E89)</f>
        <v>0</v>
      </c>
      <c r="F90" s="290">
        <f t="shared" si="43"/>
        <v>0</v>
      </c>
      <c r="G90" s="290">
        <f t="shared" ref="G90" si="44">SUM(G85:G89)</f>
        <v>0</v>
      </c>
      <c r="H90" s="290">
        <f t="shared" si="43"/>
        <v>0</v>
      </c>
      <c r="I90" s="290">
        <f t="shared" si="43"/>
        <v>0</v>
      </c>
      <c r="J90" s="290">
        <f t="shared" si="43"/>
        <v>0</v>
      </c>
      <c r="K90" s="300">
        <f t="shared" si="43"/>
        <v>0</v>
      </c>
      <c r="L90" s="301">
        <f t="shared" si="43"/>
        <v>0</v>
      </c>
      <c r="M90" s="302">
        <f t="shared" si="43"/>
        <v>0</v>
      </c>
      <c r="N90" s="301">
        <f t="shared" si="43"/>
        <v>0</v>
      </c>
      <c r="O90" s="302">
        <f t="shared" si="43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5">SUM(V85:V89)</f>
        <v>0</v>
      </c>
      <c r="W90" s="330">
        <f t="shared" si="45"/>
        <v>0</v>
      </c>
      <c r="X90" s="330">
        <f t="shared" si="45"/>
        <v>0</v>
      </c>
      <c r="Y90" s="330">
        <f t="shared" si="45"/>
        <v>0</v>
      </c>
      <c r="Z90" s="290">
        <f t="shared" si="45"/>
        <v>0</v>
      </c>
      <c r="AA90" s="290">
        <f t="shared" si="45"/>
        <v>0</v>
      </c>
      <c r="AB90" s="470">
        <f t="shared" si="45"/>
        <v>0</v>
      </c>
      <c r="AC90" s="290">
        <f t="shared" ref="AC90" si="46">SUM(AC85:AC89)</f>
        <v>0</v>
      </c>
      <c r="AD90" s="607">
        <f t="shared" si="45"/>
        <v>0</v>
      </c>
      <c r="AE90" s="290">
        <f t="shared" si="45"/>
        <v>0</v>
      </c>
      <c r="AF90" s="331">
        <f t="shared" si="45"/>
        <v>0</v>
      </c>
      <c r="AG90" s="524">
        <f t="shared" si="45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4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2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72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2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2"/>
      <c r="AI100" s="4"/>
    </row>
    <row r="101" spans="2:39" ht="15.6" x14ac:dyDescent="0.3">
      <c r="B101" s="8"/>
      <c r="C101" s="598" t="s">
        <v>17</v>
      </c>
      <c r="D101" s="9">
        <f>D6</f>
        <v>46297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72"/>
      <c r="AI101" s="4"/>
    </row>
    <row r="102" spans="2:39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72"/>
      <c r="AI102" s="4"/>
      <c r="AJ102" s="112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80" t="s">
        <v>40</v>
      </c>
      <c r="W103" s="580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273"/>
      <c r="AI103" s="4"/>
    </row>
    <row r="104" spans="2:39" s="305" customFormat="1" ht="12" x14ac:dyDescent="0.25">
      <c r="B104" s="303">
        <v>1</v>
      </c>
      <c r="C104" s="304" t="s">
        <v>10</v>
      </c>
      <c r="D104" s="291">
        <f t="shared" ref="D104:F106" si="47">D9+D28+D47+D66+D85</f>
        <v>0</v>
      </c>
      <c r="E104" s="292">
        <f t="shared" si="47"/>
        <v>0</v>
      </c>
      <c r="F104" s="292">
        <f t="shared" si="47"/>
        <v>0</v>
      </c>
      <c r="G104" s="292">
        <f t="shared" ref="G104" si="48">G9+G28+G47+G66+G85</f>
        <v>0</v>
      </c>
      <c r="H104" s="292">
        <f t="shared" ref="H104:J108" si="49">H9+H28+H47+H66+H85</f>
        <v>0</v>
      </c>
      <c r="I104" s="292">
        <f t="shared" si="49"/>
        <v>0</v>
      </c>
      <c r="J104" s="288">
        <f t="shared" si="49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50">U9+U28+U47+U66+U85</f>
        <v>0</v>
      </c>
      <c r="V104" s="308">
        <f t="shared" si="50"/>
        <v>0</v>
      </c>
      <c r="W104" s="308">
        <f t="shared" si="50"/>
        <v>0</v>
      </c>
      <c r="X104" s="308">
        <f t="shared" si="50"/>
        <v>0</v>
      </c>
      <c r="Y104" s="309">
        <f t="shared" si="50"/>
        <v>0</v>
      </c>
      <c r="Z104" s="310">
        <f t="shared" si="50"/>
        <v>-189185988</v>
      </c>
      <c r="AA104" s="311">
        <f>AA9+AA28+AA47+AA66+AA85</f>
        <v>0</v>
      </c>
      <c r="AB104" s="294">
        <f t="shared" si="50"/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521">
        <f>AF104-O104</f>
        <v>0</v>
      </c>
      <c r="AH104" s="305" t="b">
        <f>INT(AG104)=0</f>
        <v>1</v>
      </c>
      <c r="AI104" s="306"/>
      <c r="AM104" s="333"/>
    </row>
    <row r="105" spans="2:39" s="305" customFormat="1" ht="12" x14ac:dyDescent="0.25">
      <c r="B105" s="314">
        <v>2</v>
      </c>
      <c r="C105" s="315" t="s">
        <v>11</v>
      </c>
      <c r="D105" s="291">
        <f>D10+D29+D48+D67+D86</f>
        <v>0</v>
      </c>
      <c r="E105" s="292">
        <f>E10+E29+E48+E67+E86</f>
        <v>0</v>
      </c>
      <c r="F105" s="292">
        <f t="shared" si="47"/>
        <v>0</v>
      </c>
      <c r="G105" s="292">
        <f t="shared" ref="G105" si="51">G10+G29+G48+G67+G86</f>
        <v>0</v>
      </c>
      <c r="H105" s="292">
        <f t="shared" si="49"/>
        <v>0</v>
      </c>
      <c r="I105" s="292">
        <f t="shared" si="49"/>
        <v>0</v>
      </c>
      <c r="J105" s="288">
        <f t="shared" si="49"/>
        <v>0</v>
      </c>
      <c r="K105" s="295">
        <f t="shared" ref="K105:K108" si="52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53">M105+N105</f>
        <v>-266580256</v>
      </c>
      <c r="Q105" s="306"/>
      <c r="S105" s="314">
        <v>2</v>
      </c>
      <c r="T105" s="315" t="s">
        <v>11</v>
      </c>
      <c r="U105" s="316">
        <f t="shared" si="50"/>
        <v>0</v>
      </c>
      <c r="V105" s="317">
        <f t="shared" si="50"/>
        <v>0</v>
      </c>
      <c r="W105" s="317">
        <f t="shared" si="50"/>
        <v>0</v>
      </c>
      <c r="X105" s="317">
        <f t="shared" si="50"/>
        <v>0</v>
      </c>
      <c r="Y105" s="318">
        <f t="shared" si="50"/>
        <v>0</v>
      </c>
      <c r="Z105" s="319">
        <f t="shared" si="50"/>
        <v>-266580256</v>
      </c>
      <c r="AA105" s="320">
        <f>AA10+AA29+AA48+AA67+AA86</f>
        <v>0</v>
      </c>
      <c r="AB105" s="294">
        <f t="shared" si="50"/>
        <v>0</v>
      </c>
      <c r="AC105" s="320">
        <f>AC10+AC29+AC48+AC67+AC86</f>
        <v>0</v>
      </c>
      <c r="AD105" s="291">
        <f t="shared" ref="AD105:AD107" si="54">-J105+AE105</f>
        <v>0</v>
      </c>
      <c r="AE105" s="291">
        <f>AE10+AE29+AE48+AE67+AE86</f>
        <v>0</v>
      </c>
      <c r="AF105" s="322">
        <f>SUM(U105:AD105)</f>
        <v>-266580256</v>
      </c>
      <c r="AG105" s="522">
        <f>AF105-O105</f>
        <v>0</v>
      </c>
      <c r="AH105" s="305" t="b">
        <f t="shared" ref="AH105:AH108" si="55">INT(AG105)=0</f>
        <v>1</v>
      </c>
      <c r="AI105" s="306"/>
      <c r="AM105" s="333"/>
    </row>
    <row r="106" spans="2:39" s="305" customFormat="1" ht="12" x14ac:dyDescent="0.25">
      <c r="B106" s="314">
        <v>3</v>
      </c>
      <c r="C106" s="315" t="s">
        <v>12</v>
      </c>
      <c r="D106" s="291">
        <f t="shared" si="47"/>
        <v>0</v>
      </c>
      <c r="E106" s="292">
        <f t="shared" si="47"/>
        <v>0</v>
      </c>
      <c r="F106" s="292">
        <f t="shared" si="47"/>
        <v>0</v>
      </c>
      <c r="G106" s="292">
        <f t="shared" ref="G106" si="56">G11+G30+G49+G68+G87</f>
        <v>0</v>
      </c>
      <c r="H106" s="292">
        <f t="shared" si="49"/>
        <v>0</v>
      </c>
      <c r="I106" s="292">
        <f t="shared" si="49"/>
        <v>0</v>
      </c>
      <c r="J106" s="288">
        <f t="shared" si="49"/>
        <v>0</v>
      </c>
      <c r="K106" s="295">
        <f t="shared" si="52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53"/>
        <v>-154788536</v>
      </c>
      <c r="Q106" s="306"/>
      <c r="S106" s="314">
        <v>3</v>
      </c>
      <c r="T106" s="315" t="s">
        <v>12</v>
      </c>
      <c r="U106" s="316">
        <f t="shared" si="50"/>
        <v>0</v>
      </c>
      <c r="V106" s="317">
        <f t="shared" si="50"/>
        <v>0</v>
      </c>
      <c r="W106" s="317">
        <f t="shared" si="50"/>
        <v>0</v>
      </c>
      <c r="X106" s="317">
        <f t="shared" si="50"/>
        <v>0</v>
      </c>
      <c r="Y106" s="318">
        <f t="shared" si="50"/>
        <v>0</v>
      </c>
      <c r="Z106" s="319">
        <f t="shared" si="50"/>
        <v>-154788536</v>
      </c>
      <c r="AA106" s="320">
        <f>AA11+AA30+AA49+AA68+AA87</f>
        <v>0</v>
      </c>
      <c r="AB106" s="294">
        <f t="shared" si="50"/>
        <v>0</v>
      </c>
      <c r="AC106" s="320">
        <f>AC11+AC30+AC49+AC68+AC87</f>
        <v>0</v>
      </c>
      <c r="AD106" s="291">
        <f t="shared" si="54"/>
        <v>0</v>
      </c>
      <c r="AE106" s="291">
        <f>AE11+AE30+AE49+AE68+AE87</f>
        <v>0</v>
      </c>
      <c r="AF106" s="322">
        <f>SUM(U106:AD106)</f>
        <v>-154788536</v>
      </c>
      <c r="AG106" s="522">
        <f>AF106-O106</f>
        <v>0</v>
      </c>
      <c r="AH106" s="305" t="b">
        <f t="shared" si="55"/>
        <v>1</v>
      </c>
      <c r="AI106" s="306"/>
      <c r="AM106" s="333"/>
    </row>
    <row r="107" spans="2:39" s="305" customFormat="1" ht="12" x14ac:dyDescent="0.25">
      <c r="B107" s="314">
        <v>4</v>
      </c>
      <c r="C107" s="315" t="s">
        <v>13</v>
      </c>
      <c r="D107" s="291">
        <f t="shared" ref="D107" si="57">D12+D31+D50+D69+D88</f>
        <v>0</v>
      </c>
      <c r="E107" s="292">
        <f t="shared" ref="E107:F108" si="58">E12+E31+E50+E69+E88</f>
        <v>0</v>
      </c>
      <c r="F107" s="292">
        <f t="shared" si="58"/>
        <v>0</v>
      </c>
      <c r="G107" s="292">
        <f t="shared" ref="G107" si="59">G12+G31+G50+G69+G88</f>
        <v>0</v>
      </c>
      <c r="H107" s="292">
        <f t="shared" si="49"/>
        <v>0</v>
      </c>
      <c r="I107" s="292">
        <f t="shared" si="49"/>
        <v>0</v>
      </c>
      <c r="J107" s="288">
        <f t="shared" si="49"/>
        <v>0</v>
      </c>
      <c r="K107" s="295">
        <f t="shared" si="52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50"/>
        <v>0</v>
      </c>
      <c r="V107" s="317">
        <f t="shared" si="50"/>
        <v>0</v>
      </c>
      <c r="W107" s="317">
        <f t="shared" si="50"/>
        <v>0</v>
      </c>
      <c r="X107" s="317">
        <f t="shared" si="50"/>
        <v>0</v>
      </c>
      <c r="Y107" s="318">
        <f t="shared" si="50"/>
        <v>0</v>
      </c>
      <c r="Z107" s="319">
        <f t="shared" si="50"/>
        <v>-120391083</v>
      </c>
      <c r="AA107" s="320">
        <f>AA12+AA31+AA50+AA69+AA88</f>
        <v>0</v>
      </c>
      <c r="AB107" s="294">
        <f t="shared" si="50"/>
        <v>0</v>
      </c>
      <c r="AC107" s="320">
        <f>AC12+AC31+AC50+AC69+AC88</f>
        <v>0</v>
      </c>
      <c r="AD107" s="291">
        <f t="shared" si="54"/>
        <v>0</v>
      </c>
      <c r="AE107" s="291">
        <f>AE12+AE31+AE50+AE69+AE88</f>
        <v>0</v>
      </c>
      <c r="AF107" s="322">
        <f>SUM(U107:AD107)</f>
        <v>-120391083</v>
      </c>
      <c r="AG107" s="522">
        <f>AF107-O107</f>
        <v>0</v>
      </c>
      <c r="AH107" s="305" t="b">
        <f t="shared" si="55"/>
        <v>1</v>
      </c>
      <c r="AI107" s="306"/>
      <c r="AM107" s="333"/>
    </row>
    <row r="108" spans="2:39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58"/>
        <v>0</v>
      </c>
      <c r="F108" s="297">
        <f t="shared" si="58"/>
        <v>0</v>
      </c>
      <c r="G108" s="297">
        <f t="shared" ref="G108" si="60">G13+G32+G51+G70+G89</f>
        <v>0</v>
      </c>
      <c r="H108" s="297">
        <f t="shared" si="49"/>
        <v>0</v>
      </c>
      <c r="I108" s="297">
        <f t="shared" si="49"/>
        <v>0</v>
      </c>
      <c r="J108" s="289">
        <f t="shared" si="49"/>
        <v>0</v>
      </c>
      <c r="K108" s="295">
        <f t="shared" si="52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53"/>
        <v>-128990446</v>
      </c>
      <c r="Q108" s="306"/>
      <c r="S108" s="324">
        <v>5</v>
      </c>
      <c r="T108" s="325" t="s">
        <v>14</v>
      </c>
      <c r="U108" s="296">
        <f t="shared" si="50"/>
        <v>0</v>
      </c>
      <c r="V108" s="297">
        <f t="shared" si="50"/>
        <v>0</v>
      </c>
      <c r="W108" s="297">
        <f t="shared" si="50"/>
        <v>0</v>
      </c>
      <c r="X108" s="297">
        <f t="shared" si="50"/>
        <v>0</v>
      </c>
      <c r="Y108" s="289">
        <f t="shared" si="50"/>
        <v>0</v>
      </c>
      <c r="Z108" s="319">
        <f t="shared" si="50"/>
        <v>-128990446</v>
      </c>
      <c r="AA108" s="320">
        <f>AA13+AA32+AA51+AA70+AA89</f>
        <v>0</v>
      </c>
      <c r="AB108" s="294">
        <f t="shared" si="50"/>
        <v>0</v>
      </c>
      <c r="AC108" s="320">
        <f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-128990446</v>
      </c>
      <c r="AG108" s="523">
        <f>AF108-O108</f>
        <v>0</v>
      </c>
      <c r="AH108" s="305" t="b">
        <f t="shared" si="55"/>
        <v>1</v>
      </c>
      <c r="AI108" s="306"/>
      <c r="AM108" s="333"/>
    </row>
    <row r="109" spans="2:39" s="305" customFormat="1" ht="13.8" thickBot="1" x14ac:dyDescent="0.3">
      <c r="B109" s="327"/>
      <c r="C109" s="328" t="s">
        <v>2</v>
      </c>
      <c r="D109" s="290">
        <f t="shared" ref="D109:N109" si="61">SUM(D104:D108)</f>
        <v>0</v>
      </c>
      <c r="E109" s="290">
        <f t="shared" si="61"/>
        <v>0</v>
      </c>
      <c r="F109" s="290">
        <f t="shared" si="61"/>
        <v>0</v>
      </c>
      <c r="G109" s="290">
        <f t="shared" ref="G109" si="62">SUM(G104:G108)</f>
        <v>0</v>
      </c>
      <c r="H109" s="290">
        <f t="shared" si="61"/>
        <v>0</v>
      </c>
      <c r="I109" s="290">
        <f t="shared" si="61"/>
        <v>0</v>
      </c>
      <c r="J109" s="290">
        <f t="shared" si="61"/>
        <v>0</v>
      </c>
      <c r="K109" s="300">
        <f t="shared" si="61"/>
        <v>0</v>
      </c>
      <c r="L109" s="301">
        <f t="shared" si="61"/>
        <v>859936309</v>
      </c>
      <c r="M109" s="302">
        <f t="shared" si="61"/>
        <v>-859936309</v>
      </c>
      <c r="N109" s="301">
        <f t="shared" si="61"/>
        <v>0</v>
      </c>
      <c r="O109" s="302">
        <f>SUM(O104:O108)</f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63">SUM(V104:V108)</f>
        <v>0</v>
      </c>
      <c r="W109" s="330">
        <f t="shared" si="63"/>
        <v>0</v>
      </c>
      <c r="X109" s="330">
        <f t="shared" si="63"/>
        <v>0</v>
      </c>
      <c r="Y109" s="330">
        <f t="shared" si="63"/>
        <v>0</v>
      </c>
      <c r="Z109" s="290">
        <f t="shared" si="63"/>
        <v>-859936309</v>
      </c>
      <c r="AA109" s="290">
        <f>SUM(AA104:AA108)</f>
        <v>0</v>
      </c>
      <c r="AB109" s="290">
        <f t="shared" si="63"/>
        <v>0</v>
      </c>
      <c r="AC109" s="290">
        <f>SUM(AC104:AC108)</f>
        <v>0</v>
      </c>
      <c r="AD109" s="290">
        <f t="shared" si="63"/>
        <v>0</v>
      </c>
      <c r="AE109" s="290">
        <f>SUM(AE104:AE108)</f>
        <v>0</v>
      </c>
      <c r="AF109" s="331">
        <f t="shared" si="63"/>
        <v>-859936309</v>
      </c>
      <c r="AG109" s="524">
        <f>SUM(AG104:AG108)</f>
        <v>0</v>
      </c>
      <c r="AH109" s="305" t="b">
        <f>INT(AG109)=0</f>
        <v>1</v>
      </c>
      <c r="AI109" s="306"/>
      <c r="AM109" s="333"/>
    </row>
    <row r="110" spans="2:39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91"/>
      <c r="W111" s="591"/>
      <c r="Y111" s="86">
        <f>SUM(U109:Y109)</f>
        <v>0</v>
      </c>
      <c r="AA111" s="1" t="s">
        <v>1</v>
      </c>
      <c r="AB111" s="1" t="s">
        <v>1</v>
      </c>
      <c r="AD111" s="305"/>
      <c r="AF111" s="305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5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8"/>
      <c r="W116" s="588"/>
      <c r="AA116" s="30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  <c r="AA117" s="305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305"/>
      <c r="Y118" s="305"/>
      <c r="AA118" s="305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305"/>
      <c r="Y119" s="305"/>
      <c r="AA119" s="305"/>
    </row>
    <row r="120" spans="1:35" ht="12" x14ac:dyDescent="0.25">
      <c r="B120" s="8"/>
      <c r="I120" s="2"/>
      <c r="J120" s="2"/>
      <c r="O120" s="10"/>
      <c r="P120" s="2"/>
      <c r="Q120" s="4"/>
      <c r="X120" s="305"/>
      <c r="Y120" s="305"/>
      <c r="AA120" s="305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305"/>
      <c r="Y121" s="305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  <c r="X122" s="305"/>
      <c r="Y122" s="305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305"/>
      <c r="Y123" s="305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85">
        <f>'ANTICIPOS USUARIOS'!C3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USUARIOS'!C12</f>
        <v>0</v>
      </c>
      <c r="L125" s="309">
        <f>-'ANTICIPOS USUARIOS'!C21</f>
        <v>0</v>
      </c>
      <c r="O125" s="337"/>
      <c r="Q125" s="306"/>
      <c r="AG125" s="333"/>
    </row>
    <row r="126" spans="1:35" s="305" customFormat="1" ht="12" x14ac:dyDescent="0.25">
      <c r="B126" s="314">
        <v>2</v>
      </c>
      <c r="C126" s="338" t="s">
        <v>11</v>
      </c>
      <c r="D126" s="292">
        <f>'ANTICIPOS USUARIOS'!C4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>D67+N67</f>
        <v>0</v>
      </c>
      <c r="K126" s="288">
        <f>'ANTICIPOS USUARIOS'!C13</f>
        <v>0</v>
      </c>
      <c r="L126" s="288">
        <f>-'ANTICIPOS USUARIOS'!C22</f>
        <v>0</v>
      </c>
      <c r="O126" s="337"/>
      <c r="Q126" s="306"/>
      <c r="AG126" s="333"/>
    </row>
    <row r="127" spans="1:35" s="305" customFormat="1" ht="12" x14ac:dyDescent="0.25">
      <c r="B127" s="314">
        <v>3</v>
      </c>
      <c r="C127" s="338" t="s">
        <v>12</v>
      </c>
      <c r="D127" s="292">
        <f>'ANTICIPOS USUARIOS'!C5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ref="J127:J129" si="64">D68+N68</f>
        <v>0</v>
      </c>
      <c r="K127" s="288">
        <f>'ANTICIPOS USUARIOS'!C14</f>
        <v>0</v>
      </c>
      <c r="L127" s="288">
        <f>-'ANTICIPOS USUARIOS'!C23</f>
        <v>0</v>
      </c>
      <c r="O127" s="337"/>
      <c r="Q127" s="306"/>
      <c r="AG127" s="333"/>
    </row>
    <row r="128" spans="1:35" s="305" customFormat="1" ht="12" x14ac:dyDescent="0.25">
      <c r="B128" s="314">
        <v>4</v>
      </c>
      <c r="C128" s="338" t="s">
        <v>13</v>
      </c>
      <c r="D128" s="292">
        <f>'ANTICIPOS USUARIOS'!C6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64"/>
        <v>0</v>
      </c>
      <c r="K128" s="288">
        <f>'ANTICIPOS USUARIOS'!C15</f>
        <v>0</v>
      </c>
      <c r="L128" s="288">
        <f>-'ANTICIPOS USUARIOS'!C24</f>
        <v>0</v>
      </c>
      <c r="O128" s="337"/>
      <c r="Q128" s="306"/>
      <c r="AG128" s="333"/>
    </row>
    <row r="129" spans="1:33" s="305" customFormat="1" ht="12" x14ac:dyDescent="0.25">
      <c r="B129" s="341">
        <v>5</v>
      </c>
      <c r="C129" s="342" t="s">
        <v>14</v>
      </c>
      <c r="D129" s="343">
        <f>'ANTICIPOS USUARIOS'!C7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64"/>
        <v>0</v>
      </c>
      <c r="K129" s="288">
        <f>'ANTICIPOS USUARIOS'!C16</f>
        <v>0</v>
      </c>
      <c r="L129" s="288">
        <f>-'ANTICIPOS USUARIOS'!C25</f>
        <v>0</v>
      </c>
      <c r="O129" s="337"/>
      <c r="Q129" s="306"/>
      <c r="AG129" s="333"/>
    </row>
    <row r="130" spans="1:33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  <c r="AG130" s="333"/>
    </row>
    <row r="131" spans="1:33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6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  <c r="AG131" s="333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Reciprocidad'!F21+'Recaudo EAAB + Ciud Limp'!F21+'Recaudo Directa Occidente'!F21+'Recaudo ENEL'!F21+'Recaudo ENERBIT'!F21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BANCO'!E62+'REPORTE RECAUDO x BANCO'!E63+'REPORTE RECAUDO x BANCO'!E75)</f>
        <v>0</v>
      </c>
      <c r="J142" s="110">
        <f t="shared" ref="J142:K146" si="66">G125</f>
        <v>0</v>
      </c>
      <c r="K142" s="111">
        <f t="shared" si="66"/>
        <v>0</v>
      </c>
      <c r="L142" s="597">
        <f>D142-E142-F142-G142-J142-H142-I142</f>
        <v>0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EAAB Reciprocidad'!F22+'Recaudo EAAB + Ciud Limp'!F22+'Recaudo Directa Occidente'!F22+'Recaudo ENEL'!F22+'Recaudo ENERBIT'!F22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BANCO'!E64+'REPORTE RECAUDO x BANCO'!E65+'REPORTE RECAUDO x BANCO'!E66+'REPORTE RECAUDO x BANCO'!E76)</f>
        <v>0</v>
      </c>
      <c r="J143" s="18">
        <f>G126</f>
        <v>0</v>
      </c>
      <c r="K143" s="83">
        <f>H126</f>
        <v>0</v>
      </c>
      <c r="L143" s="597">
        <f>D143-E143-F143-G143-J143-H143-I143</f>
        <v>0</v>
      </c>
      <c r="M143" s="1" t="b">
        <f t="shared" si="67"/>
        <v>1</v>
      </c>
      <c r="O143" s="130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Reciprocidad'!F23+'Recaudo EAAB + Ciud Limp'!F23+'Recaudo Directa Occidente'!F23+'Recaudo ENEL'!F23+'Recaudo ENERBIT'!F23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BANCO'!E67+'REPORTE RECAUDO x BANCO'!E68+'REPORTE RECAUDO x BANCO'!E77)</f>
        <v>0</v>
      </c>
      <c r="J144" s="18">
        <f>G127</f>
        <v>0</v>
      </c>
      <c r="K144" s="83">
        <f t="shared" si="66"/>
        <v>0</v>
      </c>
      <c r="L144" s="597">
        <f>D144-E144-F144-G144-J144-H144-I144</f>
        <v>0</v>
      </c>
      <c r="M144" s="1" t="b">
        <f t="shared" si="6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EAAB Reciprocidad'!F24+'Recaudo EAAB + Ciud Limp'!F24+'Recaudo Directa Occidente'!F24+'Recaudo ENEL'!F24+'Recaudo ENERBIT'!F24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BANCO'!E69+'REPORTE RECAUDO x BANCO'!E70+'REPORTE RECAUDO x BANCO'!E71+'REPORTE RECAUDO x BANCO'!E78)</f>
        <v>0</v>
      </c>
      <c r="J145" s="18">
        <f t="shared" si="66"/>
        <v>0</v>
      </c>
      <c r="K145" s="83">
        <f>H128</f>
        <v>0</v>
      </c>
      <c r="L145" s="597">
        <f t="shared" ref="L145:L147" si="68">D145-E145-F145-G145-J145-H145-I145</f>
        <v>0</v>
      </c>
      <c r="M145" s="1" t="b">
        <f t="shared" si="6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Reciprocidad'!F25+'Recaudo EAAB + Ciud Limp'!F25+'Recaudo Directa Occidente'!F25+'Recaudo ENEL'!F25+'Recaudo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BANCO'!E72+'REPORTE RECAUDO x BANCO'!E73+'REPORTE RECAUDO x BANCO'!E79)</f>
        <v>0</v>
      </c>
      <c r="J146" s="134">
        <f t="shared" si="66"/>
        <v>0</v>
      </c>
      <c r="K146" s="136">
        <f t="shared" si="66"/>
        <v>0</v>
      </c>
      <c r="L146" s="597">
        <f t="shared" si="68"/>
        <v>0</v>
      </c>
      <c r="M146" s="1" t="b">
        <f t="shared" si="6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9">SUM(F142:F146)</f>
        <v>0</v>
      </c>
      <c r="G147" s="47">
        <f t="shared" si="69"/>
        <v>0</v>
      </c>
      <c r="H147" s="47">
        <f>SUM(H142:H146)</f>
        <v>0</v>
      </c>
      <c r="I147" s="47">
        <f t="shared" si="69"/>
        <v>0</v>
      </c>
      <c r="J147" s="47">
        <f t="shared" si="69"/>
        <v>0</v>
      </c>
      <c r="K147" s="47">
        <f t="shared" si="69"/>
        <v>0</v>
      </c>
      <c r="L147" s="597">
        <f t="shared" si="68"/>
        <v>0</v>
      </c>
      <c r="M147" s="1" t="b">
        <f t="shared" si="67"/>
        <v>1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305"/>
      <c r="E154" s="96"/>
      <c r="F154" s="305"/>
      <c r="G154" s="305"/>
      <c r="H154" s="305"/>
      <c r="K154" s="588"/>
      <c r="N154" s="24"/>
      <c r="O154" s="24"/>
      <c r="Q154" s="24"/>
      <c r="T154" s="24"/>
    </row>
    <row r="155" spans="1:20" x14ac:dyDescent="0.2">
      <c r="D155" s="305"/>
      <c r="K155" s="589"/>
      <c r="N155" s="24"/>
      <c r="O155" s="24"/>
      <c r="Q155" s="24"/>
      <c r="T155" s="24"/>
    </row>
    <row r="156" spans="1:20" x14ac:dyDescent="0.2">
      <c r="D156" s="588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topLeftCell="A2" zoomScale="90" zoomScaleNormal="90" workbookViewId="0">
      <selection activeCell="F15" sqref="F15"/>
    </sheetView>
  </sheetViews>
  <sheetFormatPr baseColWidth="10" defaultRowHeight="13.2" x14ac:dyDescent="0.25"/>
  <cols>
    <col min="1" max="1" width="3" customWidth="1"/>
    <col min="2" max="2" width="4.109375" bestFit="1" customWidth="1"/>
    <col min="3" max="4" width="16.886718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6" bestFit="1" customWidth="1"/>
    <col min="16" max="16" width="14.44140625" customWidth="1"/>
    <col min="17" max="17" width="17.4414062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Reciprocidad'!F21+'Recaudo EAAB + Ciud Limp'!F21+'Recaudo Directa Occidente'!F21+'Recaudo ENEL'!F21+'Recaudo ENERBIT'!F21</f>
        <v>0</v>
      </c>
      <c r="D3" s="292">
        <f>'CONSOLIDADO_TOTAL RECAUDO'!G125</f>
        <v>0</v>
      </c>
      <c r="E3" s="292">
        <f>'CONSOLIDADO_TOTAL RECAUDO'!D28+'CONSOLIDADO_TOTAL RECAUDO'!N28</f>
        <v>0</v>
      </c>
      <c r="F3" s="292">
        <f>'CONSOLIDADO_TOTAL RECAUDO'!I142</f>
        <v>0</v>
      </c>
      <c r="G3" s="292">
        <f>'CONSOLIDADO_TOTAL RECAUDO'!H142</f>
        <v>0</v>
      </c>
      <c r="H3" s="340">
        <f>SUM(C3:G3)</f>
        <v>0</v>
      </c>
      <c r="I3" s="291">
        <f>'CONSOLIDADO_TOTAL RECAUDO'!D104</f>
        <v>0</v>
      </c>
      <c r="J3" s="292">
        <f>'CONSOLIDADO_TOTAL RECAUDO'!N104</f>
        <v>0</v>
      </c>
      <c r="K3" s="292">
        <f>'CONSOLIDADO_TOTAL RECAUDO'!D125</f>
        <v>0</v>
      </c>
      <c r="L3" s="353">
        <f>'CONSOLIDADO_TOTAL RECAUDO'!E125</f>
        <v>0</v>
      </c>
      <c r="M3" s="292">
        <f>-'CONSOLIDADO_TOTAL RECAUDO'!D66-'CONSOLIDADO_TOTAL RECAUDO'!N66</f>
        <v>0</v>
      </c>
      <c r="N3" s="288">
        <f>SUM(I3:M3)</f>
        <v>0</v>
      </c>
      <c r="O3" s="354">
        <f>H3-N3</f>
        <v>0</v>
      </c>
      <c r="P3" s="1" t="b">
        <f t="shared" ref="P3:P9" si="0">INT(O3)=0</f>
        <v>1</v>
      </c>
    </row>
    <row r="4" spans="2:16" s="355" customFormat="1" x14ac:dyDescent="0.25">
      <c r="B4" s="314">
        <v>2</v>
      </c>
      <c r="C4" s="292">
        <f>'Recaudo EAAB Reciprocidad'!F22+'Recaudo EAAB + Ciud Limp'!F22+'Recaudo Directa Occidente'!F22+'Recaudo ENEL'!F22+'Recaudo ENERBIT'!F22</f>
        <v>0</v>
      </c>
      <c r="D4" s="292">
        <f>'CONSOLIDADO_TOTAL RECAUDO'!G126</f>
        <v>0</v>
      </c>
      <c r="E4" s="292">
        <f>'CONSOLIDADO_TOTAL RECAUDO'!D29+'CONSOLIDADO_TOTAL RECAUDO'!N29</f>
        <v>0</v>
      </c>
      <c r="F4" s="292">
        <f>'CONSOLIDADO_TOTAL RECAUDO'!I143</f>
        <v>0</v>
      </c>
      <c r="G4" s="292">
        <f>'CONSOLIDADO_TOTAL RECAUDO'!H143</f>
        <v>0</v>
      </c>
      <c r="H4" s="340">
        <f t="shared" ref="H4:H8" si="1">SUM(C4:G4)</f>
        <v>0</v>
      </c>
      <c r="I4" s="291">
        <f>'CONSOLIDADO_TOTAL RECAUDO'!D105</f>
        <v>0</v>
      </c>
      <c r="J4" s="292">
        <f>'CONSOLIDADO_TOTAL RECAUDO'!N105</f>
        <v>0</v>
      </c>
      <c r="K4" s="292">
        <f>'CONSOLIDADO_TOTAL RECAUDO'!D126</f>
        <v>0</v>
      </c>
      <c r="L4" s="353">
        <f>'CONSOLIDADO_TOTAL RECAUDO'!E126</f>
        <v>0</v>
      </c>
      <c r="M4" s="292">
        <f>-'CONSOLIDADO_TOTAL RECAUDO'!D67-'CONSOLIDADO_TOTAL RECAUDO'!N67</f>
        <v>0</v>
      </c>
      <c r="N4" s="318">
        <f>SUM(I4:M4)</f>
        <v>0</v>
      </c>
      <c r="O4" s="354">
        <f t="shared" ref="O4:O6" si="2">H4-N4</f>
        <v>0</v>
      </c>
      <c r="P4" s="1" t="b">
        <f t="shared" si="0"/>
        <v>1</v>
      </c>
    </row>
    <row r="5" spans="2:16" s="355" customFormat="1" x14ac:dyDescent="0.25">
      <c r="B5" s="314">
        <v>3</v>
      </c>
      <c r="C5" s="292">
        <f>'Recaudo EAAB Reciprocidad'!F23+'Recaudo EAAB + Ciud Limp'!F23+'Recaudo Directa Occidente'!F23+'Recaudo ENEL'!F23+'Recaudo ENERBIT'!F23</f>
        <v>0</v>
      </c>
      <c r="D5" s="292">
        <f>'CONSOLIDADO_TOTAL RECAUDO'!G127</f>
        <v>0</v>
      </c>
      <c r="E5" s="292">
        <f>'CONSOLIDADO_TOTAL RECAUDO'!D30+'CONSOLIDADO_TOTAL RECAUDO'!N30</f>
        <v>0</v>
      </c>
      <c r="F5" s="292">
        <f>'CONSOLIDADO_TOTAL RECAUDO'!I144</f>
        <v>0</v>
      </c>
      <c r="G5" s="292">
        <f>'CONSOLIDADO_TOTAL RECAUDO'!H144</f>
        <v>0</v>
      </c>
      <c r="H5" s="340">
        <f t="shared" si="1"/>
        <v>0</v>
      </c>
      <c r="I5" s="291">
        <f>'CONSOLIDADO_TOTAL RECAUDO'!D106</f>
        <v>0</v>
      </c>
      <c r="J5" s="292">
        <f>'CONSOLIDADO_TOTAL RECAUDO'!N106</f>
        <v>0</v>
      </c>
      <c r="K5" s="292">
        <f>'CONSOLIDADO_TOTAL RECAUDO'!D127</f>
        <v>0</v>
      </c>
      <c r="L5" s="353">
        <f>'CONSOLIDADO_TOTAL RECAUDO'!E127</f>
        <v>0</v>
      </c>
      <c r="M5" s="292">
        <f>-'CONSOLIDADO_TOTAL RECAUDO'!D68-'CONSOLIDADO_TOTAL RECAUDO'!N68</f>
        <v>0</v>
      </c>
      <c r="N5" s="318">
        <f>SUM(I5:M5)</f>
        <v>0</v>
      </c>
      <c r="O5" s="354">
        <f>H5-N5</f>
        <v>0</v>
      </c>
      <c r="P5" s="1" t="b">
        <f t="shared" si="0"/>
        <v>1</v>
      </c>
    </row>
    <row r="6" spans="2:16" s="355" customFormat="1" x14ac:dyDescent="0.25">
      <c r="B6" s="314">
        <v>4</v>
      </c>
      <c r="C6" s="292">
        <f>'Recaudo EAAB Reciprocidad'!F24+'Recaudo EAAB + Ciud Limp'!F24+'Recaudo Directa Occidente'!F24+'Recaudo ENEL'!F24+'Recaudo ENERBIT'!F24</f>
        <v>0</v>
      </c>
      <c r="D6" s="292">
        <f>'CONSOLIDADO_TOTAL RECAUDO'!G128</f>
        <v>0</v>
      </c>
      <c r="E6" s="292">
        <f>'CONSOLIDADO_TOTAL RECAUDO'!D31+'CONSOLIDADO_TOTAL RECAUDO'!N31</f>
        <v>0</v>
      </c>
      <c r="F6" s="292">
        <f>'CONSOLIDADO_TOTAL RECAUDO'!I145</f>
        <v>0</v>
      </c>
      <c r="G6" s="292">
        <f>'CONSOLIDADO_TOTAL RECAUDO'!H145</f>
        <v>0</v>
      </c>
      <c r="H6" s="340">
        <f t="shared" si="1"/>
        <v>0</v>
      </c>
      <c r="I6" s="291">
        <f>'CONSOLIDADO_TOTAL RECAUDO'!D107</f>
        <v>0</v>
      </c>
      <c r="J6" s="292">
        <f>'CONSOLIDADO_TOTAL RECAUDO'!N107</f>
        <v>0</v>
      </c>
      <c r="K6" s="292">
        <f>'CONSOLIDADO_TOTAL RECAUDO'!D128</f>
        <v>0</v>
      </c>
      <c r="L6" s="353">
        <f>'CONSOLIDADO_TOTAL RECAUDO'!E128</f>
        <v>0</v>
      </c>
      <c r="M6" s="292">
        <f>-'CONSOLIDADO_TOTAL RECAUDO'!D69-'CONSOLIDADO_TOTAL RECAUDO'!N69</f>
        <v>0</v>
      </c>
      <c r="N6" s="318">
        <f t="shared" ref="N6:N7" si="3">SUM(I6:M6)</f>
        <v>0</v>
      </c>
      <c r="O6" s="354">
        <f t="shared" si="2"/>
        <v>0</v>
      </c>
      <c r="P6" s="1" t="b">
        <f t="shared" si="0"/>
        <v>1</v>
      </c>
    </row>
    <row r="7" spans="2:16" s="355" customFormat="1" x14ac:dyDescent="0.25">
      <c r="B7" s="314">
        <v>5</v>
      </c>
      <c r="C7" s="292">
        <f>'Recaudo EAAB Reciprocidad'!F25+'Recaudo EAAB + Ciud Limp'!F25+'Recaudo Directa Occidente'!F25+'Recaudo ENEL'!F25+'Recaudo ENERBIT'!F25</f>
        <v>0</v>
      </c>
      <c r="D7" s="292">
        <f>'CONSOLIDADO_TOTAL RECAUDO'!G129</f>
        <v>0</v>
      </c>
      <c r="E7" s="292">
        <f>'CONSOLIDADO_TOTAL RECAUDO'!D32+'CONSOLIDADO_TOTAL RECAUDO'!N32</f>
        <v>0</v>
      </c>
      <c r="F7" s="292">
        <f>'CONSOLIDADO_TOTAL RECAUDO'!I146</f>
        <v>0</v>
      </c>
      <c r="G7" s="292">
        <f>'CONSOLIDADO_TOTAL RECAUDO'!H146</f>
        <v>0</v>
      </c>
      <c r="H7" s="340">
        <f>SUM(C7:G7)</f>
        <v>0</v>
      </c>
      <c r="I7" s="291">
        <f>'CONSOLIDADO_TOTAL RECAUDO'!D108</f>
        <v>0</v>
      </c>
      <c r="J7" s="292">
        <f>'CONSOLIDADO_TOTAL RECAUDO'!N108</f>
        <v>0</v>
      </c>
      <c r="K7" s="292">
        <f>'CONSOLIDADO_TOTAL RECAUDO'!D129</f>
        <v>0</v>
      </c>
      <c r="L7" s="353">
        <f>'CONSOLIDADO_TOTAL RECAUDO'!E129</f>
        <v>0</v>
      </c>
      <c r="M7" s="292">
        <f>-'CONSOLIDADO_TOTAL RECAUDO'!D70-'CONSOLIDADO_TOTAL RECAUDO'!N70</f>
        <v>0</v>
      </c>
      <c r="N7" s="318">
        <f t="shared" si="3"/>
        <v>0</v>
      </c>
      <c r="O7" s="354">
        <f>H7-N7</f>
        <v>0</v>
      </c>
      <c r="P7" s="1" t="b">
        <f t="shared" si="0"/>
        <v>1</v>
      </c>
    </row>
    <row r="8" spans="2:16" s="355" customFormat="1" ht="13.8" thickBot="1" x14ac:dyDescent="0.3">
      <c r="B8" s="341" t="s">
        <v>89</v>
      </c>
      <c r="C8" s="356">
        <f>'Recaudo EAAB Reciprocidad'!F26+'Recaudo EAAB + Ciud Limp'!F26+'Recaudo Directa Occidente'!F26+'Recaudo ENEL'!F26+'Recaudo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'CONSOLIDADO_TOTAL RECAUDO'!E130</f>
        <v>0</v>
      </c>
      <c r="M8" s="356">
        <v>0</v>
      </c>
      <c r="N8" s="358">
        <f>SUM(I8:L8)-M8</f>
        <v>0</v>
      </c>
      <c r="O8" s="354">
        <f>H8-N8</f>
        <v>0</v>
      </c>
      <c r="P8" s="1" t="b">
        <f t="shared" si="0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L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>SUM(H3:H8)</f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>SUM(M3:M8)</f>
        <v>0</v>
      </c>
      <c r="N9" s="290">
        <f>SUM(N3:N8)</f>
        <v>0</v>
      </c>
      <c r="O9" s="359">
        <f>SUM(O3:O8)</f>
        <v>0</v>
      </c>
      <c r="P9" s="1" t="b">
        <f t="shared" si="0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Recaudo'!F10</f>
        <v>0</v>
      </c>
    </row>
    <row r="15" spans="2:16" x14ac:dyDescent="0.25">
      <c r="C15" s="249" t="b">
        <f>C14=C9</f>
        <v>1</v>
      </c>
    </row>
    <row r="16" spans="2:16" x14ac:dyDescent="0.25">
      <c r="C16" s="355"/>
    </row>
    <row r="18" spans="3:18" ht="13.8" thickBot="1" x14ac:dyDescent="0.3">
      <c r="D18" s="701" t="s">
        <v>269</v>
      </c>
      <c r="E18" s="701"/>
    </row>
    <row r="19" spans="3:18" ht="36.6" thickBot="1" x14ac:dyDescent="0.3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25">
      <c r="C20" t="s">
        <v>203</v>
      </c>
      <c r="D20" s="695">
        <f>VALIDACION_RECIP!C9</f>
        <v>0</v>
      </c>
      <c r="E20" s="695">
        <f>VALIDACION_RECIP!D9</f>
        <v>0</v>
      </c>
      <c r="F20" s="695">
        <f>VALIDACION_RECIP!E9</f>
        <v>0</v>
      </c>
      <c r="G20" s="695">
        <f>VALIDACION_RECIP!F9</f>
        <v>0</v>
      </c>
      <c r="H20" s="695">
        <f>VALIDACION_RECIP!G9</f>
        <v>0</v>
      </c>
      <c r="I20" s="695">
        <f>VALIDACION_RECIP!H9</f>
        <v>0</v>
      </c>
      <c r="J20" s="695">
        <f>VALIDACION_RECIP!I9</f>
        <v>0</v>
      </c>
      <c r="K20" s="695">
        <f>VALIDACION_RECIP!J9</f>
        <v>0</v>
      </c>
      <c r="L20" s="695">
        <f>VALIDACION_RECIP!K9</f>
        <v>0</v>
      </c>
      <c r="M20" s="695">
        <f>VALIDACION_RECIP!L9</f>
        <v>0</v>
      </c>
      <c r="N20" s="695">
        <f>VALIDACION_RECIP!M9</f>
        <v>0</v>
      </c>
      <c r="O20" s="695">
        <f>VALIDACION_RECIP!N9</f>
        <v>0</v>
      </c>
    </row>
    <row r="21" spans="3:18" x14ac:dyDescent="0.25">
      <c r="C21" s="167" t="s">
        <v>155</v>
      </c>
      <c r="D21" s="695">
        <f>VALIDACION_ENEL!C9</f>
        <v>0</v>
      </c>
      <c r="E21" s="695">
        <f>VALIDACION_ENEL!D9</f>
        <v>0</v>
      </c>
      <c r="F21" s="695">
        <f>VALIDACION_ENEL!E9</f>
        <v>0</v>
      </c>
      <c r="G21" s="695">
        <f>VALIDACION_ENEL!F9</f>
        <v>0</v>
      </c>
      <c r="H21" s="695">
        <f>VALIDACION_ENEL!G9</f>
        <v>0</v>
      </c>
      <c r="I21" s="695">
        <f>VALIDACION_ENEL!H9</f>
        <v>0</v>
      </c>
      <c r="J21" s="695">
        <f>VALIDACION_ENEL!I9</f>
        <v>0</v>
      </c>
      <c r="K21" s="695">
        <f>VALIDACION_ENEL!J9</f>
        <v>0</v>
      </c>
      <c r="L21" s="695">
        <f>VALIDACION_ENEL!K9</f>
        <v>0</v>
      </c>
      <c r="M21" s="695">
        <f>VALIDACION_ENEL!L9</f>
        <v>0</v>
      </c>
      <c r="N21" s="695">
        <f>VALIDACION_ENEL!M9</f>
        <v>0</v>
      </c>
      <c r="O21" s="695">
        <f>VALIDACION_ENEL!N9</f>
        <v>0</v>
      </c>
    </row>
    <row r="22" spans="3:18" x14ac:dyDescent="0.25">
      <c r="C22" s="759" t="s">
        <v>326</v>
      </c>
      <c r="D22" s="695">
        <f>VALIDACION_ENERBIT!C9</f>
        <v>0</v>
      </c>
      <c r="E22" s="695">
        <f>VALIDACION_ENERBIT!D9</f>
        <v>0</v>
      </c>
      <c r="F22" s="695">
        <f>VALIDACION_ENERBIT!E9</f>
        <v>0</v>
      </c>
      <c r="G22" s="695">
        <f>VALIDACION_ENERBIT!F9</f>
        <v>0</v>
      </c>
      <c r="H22" s="695">
        <f>VALIDACION_ENERBIT!G9</f>
        <v>0</v>
      </c>
      <c r="I22" s="695">
        <f>VALIDACION_ENERBIT!H9</f>
        <v>0</v>
      </c>
      <c r="J22" s="695">
        <f>VALIDACION_ENERBIT!I9</f>
        <v>0</v>
      </c>
      <c r="K22" s="695">
        <f>VALIDACION_ENERBIT!J9</f>
        <v>0</v>
      </c>
      <c r="L22" s="695">
        <f>VALIDACION_ENERBIT!K9</f>
        <v>0</v>
      </c>
      <c r="M22" s="695">
        <f>VALIDACION_ENERBIT!L9</f>
        <v>0</v>
      </c>
      <c r="N22" s="695">
        <f>VALIDACION_ENERBIT!M9</f>
        <v>0</v>
      </c>
      <c r="O22" s="695">
        <f>VALIDACION_ENERBIT!N9</f>
        <v>0</v>
      </c>
    </row>
    <row r="23" spans="3:18" x14ac:dyDescent="0.25">
      <c r="C23" s="212" t="s">
        <v>119</v>
      </c>
      <c r="D23" s="695">
        <f>VALIDACION_OCCIDENTE!C9</f>
        <v>0</v>
      </c>
      <c r="E23" s="695">
        <f>VALIDACION_OCCIDENTE!D9</f>
        <v>0</v>
      </c>
      <c r="F23" s="695">
        <f>VALIDACION_OCCIDENTE!E9</f>
        <v>0</v>
      </c>
      <c r="G23" s="695">
        <f>VALIDACION_OCCIDENTE!F9</f>
        <v>0</v>
      </c>
      <c r="H23" s="695">
        <f>VALIDACION_OCCIDENTE!G9</f>
        <v>0</v>
      </c>
      <c r="I23" s="695">
        <f>VALIDACION_OCCIDENTE!H9</f>
        <v>0</v>
      </c>
      <c r="J23" s="695">
        <f>VALIDACION_OCCIDENTE!I9</f>
        <v>0</v>
      </c>
      <c r="K23" s="695">
        <f>VALIDACION_OCCIDENTE!J9</f>
        <v>0</v>
      </c>
      <c r="L23" s="695">
        <f>VALIDACION_OCCIDENTE!K9</f>
        <v>0</v>
      </c>
      <c r="M23" s="695">
        <f>VALIDACION_OCCIDENTE!L9</f>
        <v>0</v>
      </c>
      <c r="N23" s="695">
        <f>VALIDACION_OCCIDENTE!M9</f>
        <v>0</v>
      </c>
      <c r="O23" s="695">
        <f>VALIDACION_OCCIDENTE!N9</f>
        <v>0</v>
      </c>
    </row>
    <row r="24" spans="3:18" x14ac:dyDescent="0.25">
      <c r="D24" s="702">
        <f>SUM(D20:D23)</f>
        <v>0</v>
      </c>
      <c r="E24" s="141">
        <f>SUM(E20:E23)</f>
        <v>0</v>
      </c>
      <c r="F24" s="141">
        <f>SUM(F20:F23)</f>
        <v>0</v>
      </c>
      <c r="G24" s="141">
        <f>SUM(G20:G23)</f>
        <v>0</v>
      </c>
      <c r="H24" s="141">
        <f t="shared" ref="H24:O24" si="5">SUM(H20:H23)</f>
        <v>0</v>
      </c>
      <c r="I24" s="141">
        <f t="shared" si="5"/>
        <v>0</v>
      </c>
      <c r="J24" s="141">
        <f t="shared" si="5"/>
        <v>0</v>
      </c>
      <c r="K24" s="141">
        <f t="shared" si="5"/>
        <v>0</v>
      </c>
      <c r="L24" s="141">
        <f t="shared" si="5"/>
        <v>0</v>
      </c>
      <c r="M24" s="141">
        <f t="shared" si="5"/>
        <v>0</v>
      </c>
      <c r="N24" s="141">
        <f t="shared" si="5"/>
        <v>0</v>
      </c>
      <c r="O24" s="141">
        <f t="shared" si="5"/>
        <v>0</v>
      </c>
    </row>
    <row r="25" spans="3:18" x14ac:dyDescent="0.25">
      <c r="D25" t="b">
        <f>D24=C9</f>
        <v>1</v>
      </c>
      <c r="E25" s="141" t="b">
        <f>E24=D9</f>
        <v>1</v>
      </c>
      <c r="F25" s="141" t="b">
        <f>F24=E9</f>
        <v>1</v>
      </c>
      <c r="G25" t="b">
        <f t="shared" ref="G25:N25" si="6">G24=F9</f>
        <v>1</v>
      </c>
      <c r="H25" t="b">
        <f t="shared" si="6"/>
        <v>1</v>
      </c>
      <c r="I25" s="141" t="b">
        <f>I24=H9</f>
        <v>1</v>
      </c>
      <c r="J25" s="141" t="b">
        <f>J24=I9</f>
        <v>1</v>
      </c>
      <c r="K25" t="b">
        <f t="shared" si="6"/>
        <v>1</v>
      </c>
      <c r="L25" t="b">
        <f t="shared" si="6"/>
        <v>1</v>
      </c>
      <c r="M25" t="b">
        <f>M24=L9</f>
        <v>1</v>
      </c>
      <c r="N25" t="b">
        <f t="shared" si="6"/>
        <v>1</v>
      </c>
      <c r="O25" s="141" t="b">
        <f>O24=N9</f>
        <v>1</v>
      </c>
    </row>
    <row r="27" spans="3:18" ht="13.8" thickBot="1" x14ac:dyDescent="0.3">
      <c r="D27" s="701" t="s">
        <v>270</v>
      </c>
    </row>
    <row r="28" spans="3:18" ht="57" customHeight="1" thickBot="1" x14ac:dyDescent="0.3">
      <c r="D28" s="11" t="s">
        <v>4</v>
      </c>
      <c r="E28" s="12" t="s">
        <v>7</v>
      </c>
      <c r="F28" s="12" t="s">
        <v>274</v>
      </c>
      <c r="G28" s="12" t="s">
        <v>191</v>
      </c>
      <c r="I28" s="12" t="s">
        <v>38</v>
      </c>
      <c r="J28" s="85" t="s">
        <v>272</v>
      </c>
      <c r="K28" s="65" t="s">
        <v>47</v>
      </c>
      <c r="L28" s="370" t="s">
        <v>56</v>
      </c>
      <c r="M28" s="73" t="s">
        <v>273</v>
      </c>
      <c r="N28" s="73" t="s">
        <v>172</v>
      </c>
      <c r="O28" s="28" t="s">
        <v>129</v>
      </c>
      <c r="P28" s="12" t="s">
        <v>191</v>
      </c>
      <c r="Q28" s="12" t="s">
        <v>271</v>
      </c>
    </row>
    <row r="29" spans="3:18" x14ac:dyDescent="0.25">
      <c r="C29" t="s">
        <v>203</v>
      </c>
      <c r="D29" s="695">
        <f>'REMUNERACION Reciprocidad EAAB'!D109</f>
        <v>0</v>
      </c>
      <c r="E29" s="695">
        <f>'REMUNERACION Reciprocidad EAAB'!N109</f>
        <v>0</v>
      </c>
      <c r="F29" s="695">
        <f>D29+E29</f>
        <v>0</v>
      </c>
      <c r="G29" s="703">
        <f>D20-F29</f>
        <v>0</v>
      </c>
      <c r="H29" s="695"/>
      <c r="I29" s="695">
        <f>'REMUNERACION Reciprocidad EAAB'!D131</f>
        <v>0</v>
      </c>
      <c r="J29" s="695"/>
      <c r="K29" s="695">
        <f>'REMUNERACION Reciprocidad EAAB'!G131</f>
        <v>0</v>
      </c>
      <c r="L29" s="695">
        <f>'REMUNERACION Reciprocidad EAAB'!H131</f>
        <v>0</v>
      </c>
      <c r="M29" s="695">
        <f>'REMUNERACION Reciprocidad EAAB'!I131</f>
        <v>0</v>
      </c>
      <c r="N29" s="695">
        <f>+'REMUNERACION Reciprocidad EAAB'!J131</f>
        <v>0</v>
      </c>
      <c r="O29" s="695">
        <f>'REMUNERACION Reciprocidad EAAB'!I147</f>
        <v>0</v>
      </c>
      <c r="P29" s="703">
        <f>I29+J29-K29-L29-M29-N29-O29</f>
        <v>0</v>
      </c>
      <c r="Q29" s="704">
        <f>G29-P29</f>
        <v>0</v>
      </c>
      <c r="R29" s="141"/>
    </row>
    <row r="30" spans="3:18" x14ac:dyDescent="0.25">
      <c r="C30" s="167" t="s">
        <v>155</v>
      </c>
      <c r="D30" s="695">
        <f>REMUNERACION_ENEL!D109</f>
        <v>0</v>
      </c>
      <c r="E30" s="695">
        <f>REMUNERACION_ENEL!N109</f>
        <v>0</v>
      </c>
      <c r="F30" s="695">
        <f>D30+E30</f>
        <v>0</v>
      </c>
      <c r="G30" s="705">
        <f>D21-F30</f>
        <v>0</v>
      </c>
      <c r="H30" s="695"/>
      <c r="I30" s="695">
        <f>REMUNERACION_ENEL!D131</f>
        <v>0</v>
      </c>
      <c r="J30" s="695"/>
      <c r="K30" s="695">
        <f>REMUNERACION_ENEL!G131</f>
        <v>0</v>
      </c>
      <c r="L30" s="695">
        <f>REMUNERACION_ENEL!H131</f>
        <v>0</v>
      </c>
      <c r="M30" s="695">
        <f>REMUNERACION_ENEL!I131</f>
        <v>0</v>
      </c>
      <c r="N30" s="695">
        <f>REMUNERACION_ENEL!J131</f>
        <v>0</v>
      </c>
      <c r="O30" s="695">
        <f>REMUNERACION_ENEL!I147</f>
        <v>0</v>
      </c>
      <c r="P30" s="703">
        <f>I30+J30-K30-L30-M30-N30-O30</f>
        <v>0</v>
      </c>
      <c r="Q30" s="704">
        <f>G30-P30</f>
        <v>0</v>
      </c>
      <c r="R30" s="141"/>
    </row>
    <row r="31" spans="3:18" x14ac:dyDescent="0.25">
      <c r="C31" s="759" t="s">
        <v>326</v>
      </c>
      <c r="D31" s="695">
        <f>REMUNERACION_ENERBIT!D109</f>
        <v>0</v>
      </c>
      <c r="E31" s="695">
        <f>REMUNERACION_ENERBIT!N109</f>
        <v>0</v>
      </c>
      <c r="F31" s="695">
        <f>D31+E31</f>
        <v>0</v>
      </c>
      <c r="G31" s="705">
        <f>D22-F31</f>
        <v>0</v>
      </c>
      <c r="H31" s="695"/>
      <c r="I31" s="695">
        <f>REMUNERACION_ENERBIT!D131</f>
        <v>0</v>
      </c>
      <c r="J31" s="695"/>
      <c r="K31" s="695">
        <f>REMUNERACION_ENERBIT!G131</f>
        <v>0</v>
      </c>
      <c r="L31" s="695">
        <f>REMUNERACION_ENERBIT!H131</f>
        <v>0</v>
      </c>
      <c r="M31" s="695">
        <f>REMUNERACION_ENERBIT!I131</f>
        <v>0</v>
      </c>
      <c r="N31" s="695">
        <f>REMUNERACION_ENERBIT!J131</f>
        <v>0</v>
      </c>
      <c r="O31" s="695">
        <f>REMUNERACION_ENERBIT!K131</f>
        <v>0</v>
      </c>
      <c r="P31" s="703">
        <f t="shared" ref="P31" si="7">I31+J31-K31-L31-M31-N31-O31</f>
        <v>0</v>
      </c>
      <c r="Q31" s="704">
        <f t="shared" ref="Q31:Q32" si="8">G31-P31</f>
        <v>0</v>
      </c>
      <c r="R31" s="141"/>
    </row>
    <row r="32" spans="3:18" x14ac:dyDescent="0.25">
      <c r="C32" s="212" t="s">
        <v>119</v>
      </c>
      <c r="D32" s="695">
        <f>'REMUNERACION_OCCIDENTE_ Directa'!D109</f>
        <v>0</v>
      </c>
      <c r="E32" s="695">
        <f>'REMUNERACION_OCCIDENTE_ Directa'!N109</f>
        <v>0</v>
      </c>
      <c r="F32" s="695">
        <f>D32+E32</f>
        <v>0</v>
      </c>
      <c r="G32" s="705">
        <f>D23-F32</f>
        <v>0</v>
      </c>
      <c r="H32" s="695"/>
      <c r="I32" s="695">
        <f>'REMUNERACION_OCCIDENTE_ Directa'!D131</f>
        <v>0</v>
      </c>
      <c r="J32" s="695">
        <f>'CONSOLIDADO_TOTAL RECAUDO'!E131</f>
        <v>0</v>
      </c>
      <c r="K32" s="695">
        <f>'REMUNERACION_OCCIDENTE_ Directa'!G131</f>
        <v>0</v>
      </c>
      <c r="L32" s="695">
        <f>'REMUNERACION_OCCIDENTE_ Directa'!H131</f>
        <v>0</v>
      </c>
      <c r="M32" s="695">
        <f>'REMUNERACION_OCCIDENTE_ Directa'!I131</f>
        <v>0</v>
      </c>
      <c r="N32" s="695">
        <f>'REMUNERACION_OCCIDENTE_ Directa'!J131</f>
        <v>0</v>
      </c>
      <c r="O32" s="695">
        <f>'REMUNERACION_OCCIDENTE_ Directa'!I147</f>
        <v>0</v>
      </c>
      <c r="P32" s="703">
        <f t="shared" ref="P32" si="9">I32+J32-K32-L32-M32-N32-O32</f>
        <v>0</v>
      </c>
      <c r="Q32" s="704">
        <f t="shared" si="8"/>
        <v>0</v>
      </c>
      <c r="R32" s="141"/>
    </row>
    <row r="33" spans="4:17" x14ac:dyDescent="0.25">
      <c r="D33" s="695">
        <f>SUM(D29:D32)</f>
        <v>0</v>
      </c>
      <c r="E33" s="695">
        <f>SUM(E29:E32)</f>
        <v>0</v>
      </c>
      <c r="F33" s="706">
        <f>SUM(F29:F32)</f>
        <v>0</v>
      </c>
      <c r="G33" s="707">
        <f>D24-F33</f>
        <v>0</v>
      </c>
      <c r="H33" s="695"/>
      <c r="I33" s="695">
        <f>SUM(I29:I32)</f>
        <v>0</v>
      </c>
      <c r="J33" s="695">
        <f>SUM(J29:J32)</f>
        <v>0</v>
      </c>
      <c r="K33" s="695">
        <f>SUM(K29:K32)</f>
        <v>0</v>
      </c>
      <c r="L33" s="695">
        <f t="shared" ref="L33:N33" si="10">SUM(L29:L32)</f>
        <v>0</v>
      </c>
      <c r="M33" s="695">
        <f t="shared" si="10"/>
        <v>0</v>
      </c>
      <c r="N33" s="695">
        <f t="shared" si="10"/>
        <v>0</v>
      </c>
      <c r="O33" s="695">
        <f>SUM(O29:O32)</f>
        <v>0</v>
      </c>
      <c r="P33" s="708">
        <f>SUM(P29:P32)</f>
        <v>0</v>
      </c>
      <c r="Q33" s="704">
        <f>SUM(Q29:Q32)</f>
        <v>0</v>
      </c>
    </row>
    <row r="34" spans="4:17" x14ac:dyDescent="0.25">
      <c r="D34" s="695" t="b">
        <f>D33='CONSOLIDADO_TOTAL RECAUDO'!D109</f>
        <v>1</v>
      </c>
      <c r="E34" s="695" t="b">
        <f>E33='CONSOLIDADO_TOTAL RECAUDO'!N109</f>
        <v>1</v>
      </c>
      <c r="F34" s="695" t="b">
        <f>F33='CONSOLIDADO_TOTAL RECAUDO'!D109+'CONSOLIDADO_TOTAL RECAUDO'!N109</f>
        <v>1</v>
      </c>
      <c r="G34" s="695"/>
      <c r="H34" s="695"/>
      <c r="I34" s="695"/>
      <c r="J34" s="695"/>
      <c r="K34" s="695"/>
      <c r="L34" s="695"/>
      <c r="M34" s="695"/>
      <c r="N34" s="695"/>
      <c r="O34" s="695"/>
    </row>
    <row r="35" spans="4:17" x14ac:dyDescent="0.25">
      <c r="K35" s="141"/>
      <c r="P35" s="270">
        <f>P33-G33</f>
        <v>0</v>
      </c>
    </row>
    <row r="36" spans="4:17" x14ac:dyDescent="0.25">
      <c r="F36" s="141"/>
      <c r="L36" s="141"/>
      <c r="P36" s="141"/>
    </row>
    <row r="37" spans="4:17" x14ac:dyDescent="0.25">
      <c r="E37" s="141"/>
      <c r="P37" s="601"/>
    </row>
    <row r="38" spans="4:17" x14ac:dyDescent="0.25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H26" sqref="H2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4.88671875" style="1" bestFit="1" customWidth="1"/>
    <col min="5" max="5" width="15.44140625" style="1" bestFit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1.109375" style="1" customWidth="1"/>
    <col min="34" max="34" width="12" style="1" bestFit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99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46297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5"/>
      <c r="C7" s="600" t="s">
        <v>0</v>
      </c>
      <c r="D7" s="556">
        <f>'CONSOLIDADO_TOTAL RECAUDO'!D102</f>
        <v>0.58333333333333337</v>
      </c>
      <c r="E7" s="45"/>
      <c r="F7" s="555" t="s">
        <v>27</v>
      </c>
      <c r="G7" s="557">
        <f>'CONSOLIDADO_TOTAL RECAUDO'!G102</f>
        <v>46281</v>
      </c>
      <c r="H7" s="45"/>
      <c r="I7" s="45"/>
      <c r="J7" s="555" t="s">
        <v>28</v>
      </c>
      <c r="K7" s="557">
        <f>'CONSOLIDADO_TOTAL RECAUDO'!K102</f>
        <v>46295</v>
      </c>
      <c r="L7" s="45"/>
      <c r="M7" s="45"/>
      <c r="N7" s="45"/>
      <c r="O7" s="558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8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168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0</v>
      </c>
      <c r="E9" s="66">
        <f>'CONSOLIDADO_TOTAL RECAUDO'!E104</f>
        <v>0</v>
      </c>
      <c r="F9" s="66">
        <f>'CONSOLIDADO_TOTAL RECAUDO'!F104</f>
        <v>0</v>
      </c>
      <c r="G9" s="66">
        <f>'CONSOLIDADO_TOTAL RECAUDO'!G104</f>
        <v>0</v>
      </c>
      <c r="H9" s="66">
        <f>'CONSOLIDADO_TOTAL RECAUDO'!H104</f>
        <v>0</v>
      </c>
      <c r="I9" s="66">
        <f>'CONSOLIDADO_TOTAL RECAUDO'!I104</f>
        <v>0</v>
      </c>
      <c r="J9" s="66">
        <f>'CONSOLIDADO_TOTAL RECAUDO'!J104</f>
        <v>0</v>
      </c>
      <c r="K9" s="30">
        <f>D9-E9-F9-G9-H9-I9-J9</f>
        <v>0</v>
      </c>
      <c r="L9" s="66">
        <f>'CONSOLIDADO_TOTAL RECAUDO'!L104</f>
        <v>189185988</v>
      </c>
      <c r="M9" s="30">
        <f>K9-L9</f>
        <v>-189185988</v>
      </c>
      <c r="N9" s="66">
        <f>'CONSOLIDADO_TOTAL RECAUDO'!N104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'CONSOLIDADO_TOTAL RECAUDO'!U104</f>
        <v>0</v>
      </c>
      <c r="V9" s="66">
        <f>'CONSOLIDADO_TOTAL RECAUDO'!V104</f>
        <v>0</v>
      </c>
      <c r="W9" s="66">
        <f>'CONSOLIDADO_TOTAL RECAUDO'!W104</f>
        <v>0</v>
      </c>
      <c r="X9" s="66">
        <f>'CONSOLIDADO_TOTAL RECAUDO'!X104</f>
        <v>0</v>
      </c>
      <c r="Y9" s="66">
        <f>'CONSOLIDADO_TOTAL RECAUDO'!Y104</f>
        <v>0</v>
      </c>
      <c r="Z9" s="66">
        <f>'CONSOLIDADO_TOTAL RECAUDO'!Z104</f>
        <v>-189185988</v>
      </c>
      <c r="AA9" s="66">
        <f>'CONSOLIDADO_TOTAL RECAUDO'!AA104</f>
        <v>0</v>
      </c>
      <c r="AB9" s="66">
        <f>'CONSOLIDADO_TOTAL RECAUDO'!AB104</f>
        <v>0</v>
      </c>
      <c r="AC9" s="66">
        <f>'CONSOLIDADO_TOTAL RECAUDO'!AC104</f>
        <v>0</v>
      </c>
      <c r="AD9" s="66">
        <f>'CONSOLIDADO_TOTAL RECAUDO'!AD104</f>
        <v>0</v>
      </c>
      <c r="AE9" s="66">
        <f>'CONSOLIDADO_TOTAL RECAUDO'!AE104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0</v>
      </c>
      <c r="E10" s="66">
        <f>'CONSOLIDADO_TOTAL RECAUDO'!E105</f>
        <v>0</v>
      </c>
      <c r="F10" s="66">
        <f>'CONSOLIDADO_TOTAL RECAUDO'!F105</f>
        <v>0</v>
      </c>
      <c r="G10" s="66">
        <f>'CONSOLIDADO_TOTAL RECAUDO'!G105</f>
        <v>0</v>
      </c>
      <c r="H10" s="66">
        <f>'CONSOLIDADO_TOTAL RECAUDO'!H105</f>
        <v>0</v>
      </c>
      <c r="I10" s="66">
        <f>'CONSOLIDADO_TOTAL RECAUDO'!I105</f>
        <v>0</v>
      </c>
      <c r="J10" s="66">
        <f>'CONSOLIDADO_TOTAL RECAUDO'!J105</f>
        <v>0</v>
      </c>
      <c r="K10" s="31">
        <f t="shared" ref="K10:K13" si="0">D10-E10-F10-G10-H10-I10-J10</f>
        <v>0</v>
      </c>
      <c r="L10" s="66">
        <f>'CONSOLIDADO_TOTAL RECAUDO'!L105</f>
        <v>266580256</v>
      </c>
      <c r="M10" s="31">
        <f>K10-L10</f>
        <v>-266580256</v>
      </c>
      <c r="N10" s="66">
        <f>'CONSOLIDADO_TOTAL RECAUDO'!N105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'CONSOLIDADO_TOTAL RECAUDO'!U105</f>
        <v>0</v>
      </c>
      <c r="V10" s="66">
        <f>'CONSOLIDADO_TOTAL RECAUDO'!V105</f>
        <v>0</v>
      </c>
      <c r="W10" s="66">
        <f>'CONSOLIDADO_TOTAL RECAUDO'!W105</f>
        <v>0</v>
      </c>
      <c r="X10" s="66">
        <f>'CONSOLIDADO_TOTAL RECAUDO'!X105</f>
        <v>0</v>
      </c>
      <c r="Y10" s="66">
        <f>'CONSOLIDADO_TOTAL RECAUDO'!Y105</f>
        <v>0</v>
      </c>
      <c r="Z10" s="66">
        <f>'CONSOLIDADO_TOTAL RECAUDO'!Z105</f>
        <v>-266580256</v>
      </c>
      <c r="AA10" s="66">
        <f>'CONSOLIDADO_TOTAL RECAUDO'!AA105</f>
        <v>0</v>
      </c>
      <c r="AB10" s="66">
        <f>'CONSOLIDADO_TOTAL RECAUDO'!AB105</f>
        <v>0</v>
      </c>
      <c r="AC10" s="66">
        <f>'CONSOLIDADO_TOTAL RECAUDO'!AC105</f>
        <v>0</v>
      </c>
      <c r="AD10" s="66">
        <f>'CONSOLIDADO_TOTAL RECAUDO'!AD105</f>
        <v>0</v>
      </c>
      <c r="AE10" s="66">
        <f>'CONSOLIDADO_TOTAL RECAUDO'!AE105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0</v>
      </c>
      <c r="E11" s="66">
        <f>'CONSOLIDADO_TOTAL RECAUDO'!E106</f>
        <v>0</v>
      </c>
      <c r="F11" s="66">
        <f>'CONSOLIDADO_TOTAL RECAUDO'!F106</f>
        <v>0</v>
      </c>
      <c r="G11" s="66">
        <f>'CONSOLIDADO_TOTAL RECAUDO'!G106</f>
        <v>0</v>
      </c>
      <c r="H11" s="66">
        <f>'CONSOLIDADO_TOTAL RECAUDO'!H106</f>
        <v>0</v>
      </c>
      <c r="I11" s="66">
        <f>'CONSOLIDADO_TOTAL RECAUDO'!I106</f>
        <v>0</v>
      </c>
      <c r="J11" s="66">
        <f>'CONSOLIDADO_TOTAL RECAUDO'!J106</f>
        <v>0</v>
      </c>
      <c r="K11" s="31">
        <f t="shared" si="0"/>
        <v>0</v>
      </c>
      <c r="L11" s="66">
        <f>'CONSOLIDADO_TOTAL RECAUDO'!L106</f>
        <v>154788536</v>
      </c>
      <c r="M11" s="31">
        <f>K11-L11</f>
        <v>-154788536</v>
      </c>
      <c r="N11" s="66">
        <f>'CONSOLIDADO_TOTAL RECAUDO'!N106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'CONSOLIDADO_TOTAL RECAUDO'!U106</f>
        <v>0</v>
      </c>
      <c r="V11" s="66">
        <f>'CONSOLIDADO_TOTAL RECAUDO'!V106</f>
        <v>0</v>
      </c>
      <c r="W11" s="66">
        <f>'CONSOLIDADO_TOTAL RECAUDO'!W106</f>
        <v>0</v>
      </c>
      <c r="X11" s="66">
        <f>'CONSOLIDADO_TOTAL RECAUDO'!X106</f>
        <v>0</v>
      </c>
      <c r="Y11" s="66">
        <f>'CONSOLIDADO_TOTAL RECAUDO'!Y106</f>
        <v>0</v>
      </c>
      <c r="Z11" s="66">
        <f>'CONSOLIDADO_TOTAL RECAUDO'!Z106</f>
        <v>-154788536</v>
      </c>
      <c r="AA11" s="66">
        <f>'CONSOLIDADO_TOTAL RECAUDO'!AA106</f>
        <v>0</v>
      </c>
      <c r="AB11" s="66">
        <f>'CONSOLIDADO_TOTAL RECAUDO'!AB106</f>
        <v>0</v>
      </c>
      <c r="AC11" s="66">
        <f>'CONSOLIDADO_TOTAL RECAUDO'!AC106</f>
        <v>0</v>
      </c>
      <c r="AD11" s="66">
        <f>'CONSOLIDADO_TOTAL RECAUDO'!AD106</f>
        <v>0</v>
      </c>
      <c r="AE11" s="66">
        <f>'CONSOLIDADO_TOTAL RECAUDO'!AE106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0</v>
      </c>
      <c r="E12" s="66">
        <f>'CONSOLIDADO_TOTAL RECAUDO'!E107</f>
        <v>0</v>
      </c>
      <c r="F12" s="66">
        <f>'CONSOLIDADO_TOTAL RECAUDO'!F107</f>
        <v>0</v>
      </c>
      <c r="G12" s="66">
        <f>'CONSOLIDADO_TOTAL RECAUDO'!G107</f>
        <v>0</v>
      </c>
      <c r="H12" s="66">
        <f>'CONSOLIDADO_TOTAL RECAUDO'!H107</f>
        <v>0</v>
      </c>
      <c r="I12" s="66">
        <f>'CONSOLIDADO_TOTAL RECAUDO'!I107</f>
        <v>0</v>
      </c>
      <c r="J12" s="66">
        <f>'CONSOLIDADO_TOTAL RECAUDO'!J107</f>
        <v>0</v>
      </c>
      <c r="K12" s="31">
        <f t="shared" si="0"/>
        <v>0</v>
      </c>
      <c r="L12" s="66">
        <f>'CONSOLIDADO_TOTAL RECAUDO'!L107</f>
        <v>120391083</v>
      </c>
      <c r="M12" s="31">
        <f>K12-L12</f>
        <v>-120391083</v>
      </c>
      <c r="N12" s="66">
        <f>'CONSOLIDADO_TOTAL RECAUDO'!N107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'CONSOLIDADO_TOTAL RECAUDO'!U107</f>
        <v>0</v>
      </c>
      <c r="V12" s="66">
        <f>'CONSOLIDADO_TOTAL RECAUDO'!V107</f>
        <v>0</v>
      </c>
      <c r="W12" s="66">
        <f>'CONSOLIDADO_TOTAL RECAUDO'!W107</f>
        <v>0</v>
      </c>
      <c r="X12" s="66">
        <f>'CONSOLIDADO_TOTAL RECAUDO'!X107</f>
        <v>0</v>
      </c>
      <c r="Y12" s="66">
        <f>'CONSOLIDADO_TOTAL RECAUDO'!Y107</f>
        <v>0</v>
      </c>
      <c r="Z12" s="66">
        <f>'CONSOLIDADO_TOTAL RECAUDO'!Z107</f>
        <v>-120391083</v>
      </c>
      <c r="AA12" s="66">
        <f>'CONSOLIDADO_TOTAL RECAUDO'!AA107</f>
        <v>0</v>
      </c>
      <c r="AB12" s="66">
        <f>'CONSOLIDADO_TOTAL RECAUDO'!AB107</f>
        <v>0</v>
      </c>
      <c r="AC12" s="66">
        <f>'CONSOLIDADO_TOTAL RECAUDO'!AC107</f>
        <v>0</v>
      </c>
      <c r="AD12" s="66">
        <f>'CONSOLIDADO_TOTAL RECAUDO'!AD107</f>
        <v>0</v>
      </c>
      <c r="AE12" s="66">
        <f>'CONSOLIDADO_TOTAL RECAUDO'!AE107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0</v>
      </c>
      <c r="E13" s="66">
        <f>'CONSOLIDADO_TOTAL RECAUDO'!E108</f>
        <v>0</v>
      </c>
      <c r="F13" s="66">
        <f>'CONSOLIDADO_TOTAL RECAUDO'!F108</f>
        <v>0</v>
      </c>
      <c r="G13" s="66">
        <f>'CONSOLIDADO_TOTAL RECAUDO'!G108</f>
        <v>0</v>
      </c>
      <c r="H13" s="66">
        <f>'CONSOLIDADO_TOTAL RECAUDO'!H108</f>
        <v>0</v>
      </c>
      <c r="I13" s="66">
        <f>'CONSOLIDADO_TOTAL RECAUDO'!I108</f>
        <v>0</v>
      </c>
      <c r="J13" s="66">
        <f>'CONSOLIDADO_TOTAL RECAUDO'!J108</f>
        <v>0</v>
      </c>
      <c r="K13" s="31">
        <f t="shared" si="0"/>
        <v>0</v>
      </c>
      <c r="L13" s="66">
        <f>'CONSOLIDADO_TOTAL RECAUDO'!L108</f>
        <v>128990446</v>
      </c>
      <c r="M13" s="40">
        <f>K13-L13</f>
        <v>-128990446</v>
      </c>
      <c r="N13" s="66">
        <f>'CONSOLIDADO_TOTAL RECAUDO'!N108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'CONSOLIDADO_TOTAL RECAUDO'!U108</f>
        <v>0</v>
      </c>
      <c r="V13" s="66">
        <f>'CONSOLIDADO_TOTAL RECAUDO'!V108</f>
        <v>0</v>
      </c>
      <c r="W13" s="66">
        <f>'CONSOLIDADO_TOTAL RECAUDO'!W108</f>
        <v>0</v>
      </c>
      <c r="X13" s="66">
        <f>'CONSOLIDADO_TOTAL RECAUDO'!X108</f>
        <v>0</v>
      </c>
      <c r="Y13" s="66">
        <f>'CONSOLIDADO_TOTAL RECAUDO'!Y108</f>
        <v>0</v>
      </c>
      <c r="Z13" s="66">
        <f>'CONSOLIDADO_TOTAL RECAUDO'!Z108</f>
        <v>-128990446</v>
      </c>
      <c r="AA13" s="66">
        <f>'CONSOLIDADO_TOTAL RECAUDO'!AA108</f>
        <v>0</v>
      </c>
      <c r="AB13" s="66">
        <f>'CONSOLIDADO_TOTAL RECAUDO'!AB108</f>
        <v>0</v>
      </c>
      <c r="AC13" s="66">
        <f>'CONSOLIDADO_TOTAL RECAUDO'!AC108</f>
        <v>0</v>
      </c>
      <c r="AD13" s="66">
        <f>'CONSOLIDADO_TOTAL RECAUDO'!AD108</f>
        <v>0</v>
      </c>
      <c r="AE13" s="66">
        <f>'CONSOLIDADO_TOTAL RECAUDO'!AE108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ref="AD14" si="5">SUM(AD9:AD13)</f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'CONSOLIDADO_TOTAL RECAUDO'!D125</f>
        <v>0</v>
      </c>
      <c r="E30" s="111">
        <f>'CONSOLIDADO_TOTAL RECAUDO'!E125</f>
        <v>0</v>
      </c>
      <c r="G30" s="140">
        <f>'CONSOLIDADO_TOTAL RECAUDO'!G125</f>
        <v>0</v>
      </c>
      <c r="H30" s="110">
        <f>'CONSOLIDADO_TOTAL RECAUDO'!H125</f>
        <v>0</v>
      </c>
      <c r="I30" s="111">
        <f>'CONSOLIDADO_TOTAL RECAUDO'!I125</f>
        <v>0</v>
      </c>
      <c r="J30" s="111">
        <f>'CONSOLIDADO_TOTAL RECAUDO'!J125</f>
        <v>0</v>
      </c>
      <c r="K30" s="111">
        <f>'CONSOLIDADO_TOTAL RECAUDO'!K125</f>
        <v>0</v>
      </c>
      <c r="L30" s="111">
        <f>'CONSOLIDADO_TOTAL RECAUDO'!L125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0</v>
      </c>
      <c r="E31" s="74">
        <f>'CONSOLIDADO_TOTAL RECAUDO'!E126</f>
        <v>0</v>
      </c>
      <c r="G31" s="82">
        <f>'CONSOLIDADO_TOTAL RECAUDO'!G126</f>
        <v>0</v>
      </c>
      <c r="H31" s="18">
        <f>'CONSOLIDADO_TOTAL RECAUDO'!H126</f>
        <v>0</v>
      </c>
      <c r="I31" s="83">
        <f>'CONSOLIDADO_TOTAL RECAUDO'!I126</f>
        <v>0</v>
      </c>
      <c r="J31" s="83">
        <f>'CONSOLIDADO_TOTAL RECAUDO'!J126</f>
        <v>0</v>
      </c>
      <c r="K31" s="83">
        <f>'CONSOLIDADO_TOTAL RECAUDO'!K126</f>
        <v>0</v>
      </c>
      <c r="L31" s="83">
        <f>'CONSOLIDADO_TOTAL RECAUDO'!L126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0</v>
      </c>
      <c r="E32" s="74">
        <f>'CONSOLIDADO_TOTAL RECAUDO'!E127</f>
        <v>0</v>
      </c>
      <c r="G32" s="82">
        <f>'CONSOLIDADO_TOTAL RECAUDO'!G127</f>
        <v>0</v>
      </c>
      <c r="H32" s="18">
        <f>'CONSOLIDADO_TOTAL RECAUDO'!H127</f>
        <v>0</v>
      </c>
      <c r="I32" s="83">
        <f>'CONSOLIDADO_TOTAL RECAUDO'!I127</f>
        <v>0</v>
      </c>
      <c r="J32" s="83">
        <f>'CONSOLIDADO_TOTAL RECAUDO'!J127</f>
        <v>0</v>
      </c>
      <c r="K32" s="83">
        <f>'CONSOLIDADO_TOTAL RECAUDO'!K127</f>
        <v>0</v>
      </c>
      <c r="L32" s="83">
        <f>'CONSOLIDADO_TOTAL RECAUDO'!L127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0</v>
      </c>
      <c r="E33" s="74">
        <f>'CONSOLIDADO_TOTAL RECAUDO'!E128</f>
        <v>0</v>
      </c>
      <c r="G33" s="82">
        <f>'CONSOLIDADO_TOTAL RECAUDO'!G128</f>
        <v>0</v>
      </c>
      <c r="H33" s="18">
        <f>'CONSOLIDADO_TOTAL RECAUDO'!H128</f>
        <v>0</v>
      </c>
      <c r="I33" s="83">
        <f>'CONSOLIDADO_TOTAL RECAUDO'!I128</f>
        <v>0</v>
      </c>
      <c r="J33" s="83">
        <f>'CONSOLIDADO_TOTAL RECAUDO'!J128</f>
        <v>0</v>
      </c>
      <c r="K33" s="83">
        <f>'CONSOLIDADO_TOTAL RECAUDO'!K128</f>
        <v>0</v>
      </c>
      <c r="L33" s="83">
        <f>'CONSOLIDADO_TOTAL RECAUDO'!L128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'CONSOLIDADO_TOTAL RECAUDO'!D129</f>
        <v>0</v>
      </c>
      <c r="E34" s="139">
        <f>'CONSOLIDADO_TOTAL RECAUDO'!E129</f>
        <v>0</v>
      </c>
      <c r="G34" s="82">
        <f>'CONSOLIDADO_TOTAL RECAUDO'!G129</f>
        <v>0</v>
      </c>
      <c r="H34" s="18">
        <f>'CONSOLIDADO_TOTAL RECAUDO'!H129</f>
        <v>0</v>
      </c>
      <c r="I34" s="83">
        <f>'CONSOLIDADO_TOTAL RECAUDO'!I129</f>
        <v>0</v>
      </c>
      <c r="J34" s="83">
        <f>'CONSOLIDADO_TOTAL RECAUDO'!J129</f>
        <v>0</v>
      </c>
      <c r="K34" s="83">
        <f>'CONSOLIDADO_TOTAL RECAUDO'!K129</f>
        <v>0</v>
      </c>
      <c r="L34" s="83">
        <f>'CONSOLIDADO_TOTAL RECAUDO'!L129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6">SUM(D30:D34)</f>
        <v>0</v>
      </c>
      <c r="E36" s="107">
        <f>'CONSOLIDADO_TOTAL RECAUDO'!E131</f>
        <v>0</v>
      </c>
      <c r="F36" s="45"/>
      <c r="G36" s="107">
        <f t="shared" ref="G36" si="7">SUM(G30:G34)</f>
        <v>0</v>
      </c>
      <c r="H36" s="107">
        <f t="shared" ref="H36:L36" si="8">SUM(H30:H34)</f>
        <v>0</v>
      </c>
      <c r="I36" s="107">
        <f t="shared" si="8"/>
        <v>0</v>
      </c>
      <c r="J36" s="107">
        <f t="shared" ref="J36" si="9">SUM(J30:J34)</f>
        <v>0</v>
      </c>
      <c r="K36" s="107">
        <f t="shared" si="8"/>
        <v>0</v>
      </c>
      <c r="L36" s="107">
        <f t="shared" si="8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D14='CONSOLIDADO_TOTAL RECAUDO'!D109</f>
        <v>1</v>
      </c>
      <c r="E44" s="267" t="b">
        <f>E14='CONSOLIDADO_TOTAL RECAUDO'!E109</f>
        <v>1</v>
      </c>
      <c r="F44" s="267" t="b">
        <f>F14='CONSOLIDADO_TOTAL RECAUDO'!F109</f>
        <v>1</v>
      </c>
      <c r="G44" s="267" t="b">
        <f>G14='CONSOLIDADO_TOTAL RECAUDO'!G109</f>
        <v>1</v>
      </c>
      <c r="H44" s="267" t="b">
        <f>H14='CONSOLIDADO_TOTAL RECAUDO'!H109</f>
        <v>1</v>
      </c>
      <c r="I44" s="267" t="b">
        <f>I14='CONSOLIDADO_TOTAL RECAUDO'!I109</f>
        <v>1</v>
      </c>
      <c r="J44" s="267" t="b">
        <f>J14='CONSOLIDADO_TOTAL RECAUDO'!J109</f>
        <v>1</v>
      </c>
      <c r="K44" s="267" t="b">
        <f>K14='CONSOLIDADO_TOTAL RECAUDO'!K109</f>
        <v>1</v>
      </c>
      <c r="L44" s="267" t="b">
        <f>L14='CONSOLIDADO_TOTAL RECAUDO'!L109</f>
        <v>1</v>
      </c>
      <c r="M44" s="267" t="b">
        <f>M14='CONSOLIDADO_TOTAL RECAUDO'!M109</f>
        <v>1</v>
      </c>
      <c r="N44" s="267" t="b">
        <f>N14='CONSOLIDADO_TOTAL RECAUDO'!N109</f>
        <v>1</v>
      </c>
      <c r="O44" s="267" t="b">
        <f>O14='CONSOLIDADO_TOTAL RECAUDO'!O109</f>
        <v>1</v>
      </c>
      <c r="Q44" s="24"/>
      <c r="T44" s="24"/>
    </row>
    <row r="45" spans="1:20" x14ac:dyDescent="0.2">
      <c r="D45" s="267" t="b">
        <f>D36='CONSOLIDADO_TOTAL RECAUDO'!D131</f>
        <v>1</v>
      </c>
      <c r="E45" s="267" t="b">
        <f>E36='CONSOLIDADO_TOTAL RECAUDO'!E131</f>
        <v>1</v>
      </c>
      <c r="F45" s="267" t="b">
        <f>F36='CONSOLIDADO_TOTAL RECAUDO'!F131</f>
        <v>1</v>
      </c>
      <c r="G45" s="267" t="b">
        <f>G36='CONSOLIDADO_TOTAL RECAUDO'!G131</f>
        <v>1</v>
      </c>
      <c r="H45" s="267" t="b">
        <f>H36='CONSOLIDADO_TOTAL RECAUDO'!H131</f>
        <v>1</v>
      </c>
      <c r="I45" s="267" t="b">
        <f>I36='CONSOLIDADO_TOTAL RECAUDO'!I131</f>
        <v>1</v>
      </c>
      <c r="J45" s="267" t="b">
        <f>K36='CONSOLIDADO_TOTAL RECAUDO'!K131</f>
        <v>1</v>
      </c>
      <c r="K45" s="267" t="b">
        <f>K36='CONSOLIDADO_TOTAL RECAUDO'!K131</f>
        <v>1</v>
      </c>
      <c r="L45" s="267" t="b">
        <f>L36='CONSOLIDADO_TOTAL RECAUDO'!L131</f>
        <v>1</v>
      </c>
      <c r="M45" s="267" t="b">
        <f>M36='CONSOLIDADO_TOTAL RECAUDO'!M131</f>
        <v>1</v>
      </c>
      <c r="N45" s="267" t="b">
        <f>N36='CONSOLIDADO_TOTAL RECAUDO'!N131</f>
        <v>1</v>
      </c>
      <c r="O45" s="267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108" zoomScaleNormal="100" workbookViewId="0">
      <selection activeCell="A96" sqref="A9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18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R1'!F94</f>
        <v>0</v>
      </c>
      <c r="E9" s="292">
        <f>'Reporte Componentes R1'!G94</f>
        <v>0</v>
      </c>
      <c r="F9" s="292">
        <f>'Reporte Componentes R1'!H94</f>
        <v>0</v>
      </c>
      <c r="G9" s="292">
        <f>'Reporte Componentes R1'!I94</f>
        <v>0</v>
      </c>
      <c r="H9" s="292">
        <f>'Reporte Componentes R1'!J94</f>
        <v>0</v>
      </c>
      <c r="I9" s="292">
        <f>'Reporte Componentes R1'!K94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R1'!L94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R1'!M94</f>
        <v>0</v>
      </c>
      <c r="V9" s="308">
        <f>'Reporte Componentes R1'!N94</f>
        <v>0</v>
      </c>
      <c r="W9" s="308">
        <f>'Reporte Componentes R1'!O94</f>
        <v>0</v>
      </c>
      <c r="X9" s="308">
        <f>'Reporte Componentes R1'!P94</f>
        <v>0</v>
      </c>
      <c r="Y9" s="309">
        <f>'Reporte Componentes R1'!Q94</f>
        <v>0</v>
      </c>
      <c r="Z9" s="310">
        <f>L9*-1</f>
        <v>0</v>
      </c>
      <c r="AA9" s="311">
        <f>'Reporte Componentes R1'!R94+'Reporte Componentes R1'!V94+'Reporte Componentes R1'!U94</f>
        <v>0</v>
      </c>
      <c r="AB9" s="294">
        <f>N9</f>
        <v>0</v>
      </c>
      <c r="AC9" s="311">
        <f>'Reporte Componentes R1'!T94+'Reporte Componentes R1'!W94+'Reporte Componentes R1'!X94+'Reporte Componentes R1'!Y94+'Reporte Componentes R1'!Z94+'Reporte Componentes R1'!S94</f>
        <v>0</v>
      </c>
      <c r="AD9" s="291">
        <f>-J9+AE9</f>
        <v>0</v>
      </c>
      <c r="AE9" s="291">
        <f>'Reporte Componentes R1'!F95</f>
        <v>0</v>
      </c>
      <c r="AF9" s="313">
        <f>SUM(U9:AD9)</f>
        <v>0</v>
      </c>
      <c r="AG9" s="52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R1'!F328</f>
        <v>0</v>
      </c>
      <c r="E10" s="292">
        <f>'Reporte Componentes R1'!G328</f>
        <v>0</v>
      </c>
      <c r="F10" s="292">
        <f>'Reporte Componentes R1'!H328</f>
        <v>0</v>
      </c>
      <c r="G10" s="292">
        <f>'Reporte Componentes R1'!I328</f>
        <v>0</v>
      </c>
      <c r="H10" s="292">
        <f>'Reporte Componentes R1'!J328</f>
        <v>0</v>
      </c>
      <c r="I10" s="292">
        <f>'Reporte Componentes R1'!K328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R1'!L328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R1'!M328</f>
        <v>0</v>
      </c>
      <c r="V10" s="317">
        <f>'Reporte Componentes R1'!N328</f>
        <v>0</v>
      </c>
      <c r="W10" s="317">
        <f>'Reporte Componentes R1'!O328</f>
        <v>0</v>
      </c>
      <c r="X10" s="317">
        <f>'Reporte Componentes R1'!P328</f>
        <v>0</v>
      </c>
      <c r="Y10" s="318">
        <f>'Reporte Componentes R1'!Q328</f>
        <v>0</v>
      </c>
      <c r="Z10" s="319">
        <f>L10*-1</f>
        <v>0</v>
      </c>
      <c r="AA10" s="320">
        <f>'Reporte Componentes R1'!R328+'Reporte Componentes R1'!V328+'Reporte Componentes R1'!U328</f>
        <v>0</v>
      </c>
      <c r="AB10" s="294">
        <f>N10</f>
        <v>0</v>
      </c>
      <c r="AC10" s="320">
        <f>'Reporte Componentes R1'!T328+'Reporte Componentes R1'!W328+'Reporte Componentes R1'!X328+'Reporte Componentes R1'!Y328+'Reporte Componentes R1'!Z328++'Reporte Componentes R1'!S328</f>
        <v>0</v>
      </c>
      <c r="AD10" s="291">
        <f t="shared" ref="AD10:AD13" si="2">-J10+AE10</f>
        <v>0</v>
      </c>
      <c r="AE10" s="291">
        <f>'Reporte Componentes R1'!F329</f>
        <v>0</v>
      </c>
      <c r="AF10" s="322">
        <f>SUM(U10:AD10)</f>
        <v>0</v>
      </c>
      <c r="AG10" s="522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R1'!F489</f>
        <v>0</v>
      </c>
      <c r="E11" s="292">
        <f>'Reporte Componentes R1'!G489</f>
        <v>0</v>
      </c>
      <c r="F11" s="292">
        <f>'Reporte Componentes R1'!H489</f>
        <v>0</v>
      </c>
      <c r="G11" s="292">
        <f>'Reporte Componentes R1'!I489</f>
        <v>0</v>
      </c>
      <c r="H11" s="292">
        <f>'Reporte Componentes R1'!J489</f>
        <v>0</v>
      </c>
      <c r="I11" s="292">
        <f>'Reporte Componentes R1'!K489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R1'!L489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R1'!M489</f>
        <v>0</v>
      </c>
      <c r="V11" s="317">
        <f>'Reporte Componentes R1'!N489</f>
        <v>0</v>
      </c>
      <c r="W11" s="317">
        <f>'Reporte Componentes R1'!O489</f>
        <v>0</v>
      </c>
      <c r="X11" s="317">
        <f>'Reporte Componentes R1'!P489</f>
        <v>0</v>
      </c>
      <c r="Y11" s="318">
        <f>'Reporte Componentes R1'!Q489</f>
        <v>0</v>
      </c>
      <c r="Z11" s="319">
        <f>L11*-1</f>
        <v>0</v>
      </c>
      <c r="AA11" s="320">
        <f>'Reporte Componentes R1'!R489+'Reporte Componentes R1'!V489+'Reporte Componentes R1'!U489</f>
        <v>0</v>
      </c>
      <c r="AB11" s="294">
        <f>N11</f>
        <v>0</v>
      </c>
      <c r="AC11" s="320">
        <f>'Reporte Componentes R1'!T489+'Reporte Componentes R1'!W489+'Reporte Componentes R1'!X489+'Reporte Componentes R1'!Y489+'Reporte Componentes R1'!Z489++'Reporte Componentes R1'!S489</f>
        <v>0</v>
      </c>
      <c r="AD11" s="291">
        <f t="shared" si="2"/>
        <v>0</v>
      </c>
      <c r="AE11" s="291">
        <f>'Reporte Componentes R1'!F490</f>
        <v>0</v>
      </c>
      <c r="AF11" s="322">
        <f t="shared" ref="AF11:AF13" si="4">SUM(U11:AD11)</f>
        <v>0</v>
      </c>
      <c r="AG11" s="522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R1'!F697</f>
        <v>0</v>
      </c>
      <c r="E12" s="292">
        <f>'Reporte Componentes R1'!G697</f>
        <v>0</v>
      </c>
      <c r="F12" s="292">
        <f>'Reporte Componentes R1'!H697</f>
        <v>0</v>
      </c>
      <c r="G12" s="292">
        <f>'Reporte Componentes R1'!I697</f>
        <v>0</v>
      </c>
      <c r="H12" s="292">
        <f>'Reporte Componentes R1'!J697</f>
        <v>0</v>
      </c>
      <c r="I12" s="292">
        <f>'Reporte Componentes R1'!K697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R1'!L697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R1'!M697</f>
        <v>0</v>
      </c>
      <c r="V12" s="317">
        <f>'Reporte Componentes R1'!N697</f>
        <v>0</v>
      </c>
      <c r="W12" s="317">
        <f>'Reporte Componentes R1'!O697</f>
        <v>0</v>
      </c>
      <c r="X12" s="317">
        <f>'Reporte Componentes R1'!P697</f>
        <v>0</v>
      </c>
      <c r="Y12" s="318">
        <f>'Reporte Componentes R1'!Q697</f>
        <v>0</v>
      </c>
      <c r="Z12" s="319">
        <f>L12*-1</f>
        <v>0</v>
      </c>
      <c r="AA12" s="320">
        <f>'Reporte Componentes R1'!R697+'Reporte Componentes R1'!V697+'Reporte Componentes R1'!U697</f>
        <v>0</v>
      </c>
      <c r="AB12" s="294">
        <f>N12</f>
        <v>0</v>
      </c>
      <c r="AC12" s="320">
        <f>'Reporte Componentes R1'!T697+'Reporte Componentes R1'!W697+'Reporte Componentes R1'!X697+'Reporte Componentes R1'!Y697+'Reporte Componentes R1'!Z697++'Reporte Componentes R1'!S697</f>
        <v>0</v>
      </c>
      <c r="AD12" s="291">
        <f t="shared" si="2"/>
        <v>0</v>
      </c>
      <c r="AE12" s="291">
        <f>'Reporte Componentes R1'!F698</f>
        <v>0</v>
      </c>
      <c r="AF12" s="322">
        <f t="shared" si="4"/>
        <v>0</v>
      </c>
      <c r="AG12" s="522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R1'!F816</f>
        <v>0</v>
      </c>
      <c r="E13" s="297">
        <f>'Reporte Componentes R1'!G816</f>
        <v>0</v>
      </c>
      <c r="F13" s="297">
        <f>'Reporte Componentes R1'!H816</f>
        <v>0</v>
      </c>
      <c r="G13" s="297">
        <f>'Reporte Componentes R1'!I816</f>
        <v>0</v>
      </c>
      <c r="H13" s="297">
        <f>'Reporte Componentes R1'!J816</f>
        <v>0</v>
      </c>
      <c r="I13" s="297">
        <f>'Reporte Componentes R1'!K816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R1'!L816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R1'!M816</f>
        <v>0</v>
      </c>
      <c r="V13" s="297">
        <f>'Reporte Componentes R1'!N816</f>
        <v>0</v>
      </c>
      <c r="W13" s="297">
        <f>'Reporte Componentes R1'!O816</f>
        <v>0</v>
      </c>
      <c r="X13" s="297">
        <f>'Reporte Componentes R1'!P816</f>
        <v>0</v>
      </c>
      <c r="Y13" s="289">
        <f>'Reporte Componentes R1'!Q816</f>
        <v>0</v>
      </c>
      <c r="Z13" s="319">
        <f>L13*-1</f>
        <v>0</v>
      </c>
      <c r="AA13" s="320">
        <f>'Reporte Componentes R1'!R816+'Reporte Componentes R1'!V816+'Reporte Componentes R1'!U816</f>
        <v>0</v>
      </c>
      <c r="AB13" s="294">
        <f>N13</f>
        <v>0</v>
      </c>
      <c r="AC13" s="320">
        <f>'Reporte Componentes R1'!T816+'Reporte Componentes R1'!W816+'Reporte Componentes R1'!X816+'Reporte Componentes R1'!Y816+'Reporte Componentes R1'!Z816+'Reporte Componentes R1'!S816</f>
        <v>0</v>
      </c>
      <c r="AD13" s="291">
        <f t="shared" si="2"/>
        <v>0</v>
      </c>
      <c r="AE13" s="291">
        <f>'Reporte Componentes R1'!F817</f>
        <v>0</v>
      </c>
      <c r="AF13" s="322">
        <f t="shared" si="4"/>
        <v>0</v>
      </c>
      <c r="AG13" s="523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524">
        <f>SUM(AG9:AG13)</f>
        <v>0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68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R2'!E60</f>
        <v>0</v>
      </c>
      <c r="E28" s="292">
        <f>'Rem. Anticipos R2'!F60</f>
        <v>0</v>
      </c>
      <c r="F28" s="292">
        <f>'Rem. Anticipos R2'!G60</f>
        <v>0</v>
      </c>
      <c r="G28" s="292">
        <f>'Rem. Anticipos R2'!H60</f>
        <v>0</v>
      </c>
      <c r="H28" s="292">
        <f>'Rem. Anticipos R2'!I60</f>
        <v>0</v>
      </c>
      <c r="I28" s="292">
        <f>'Rem. Anticipos R2'!J60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R2'!K60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R2'!L60</f>
        <v>0</v>
      </c>
      <c r="V28" s="308">
        <f>'Rem. Anticipos R2'!M60</f>
        <v>0</v>
      </c>
      <c r="W28" s="308">
        <f>'Rem. Anticipos R2'!N60</f>
        <v>0</v>
      </c>
      <c r="X28" s="308">
        <f>'Rem. Anticipos R2'!O60</f>
        <v>0</v>
      </c>
      <c r="Y28" s="309">
        <f>'Rem. Anticipos R2'!P60</f>
        <v>0</v>
      </c>
      <c r="Z28" s="310">
        <f>L28*-1</f>
        <v>0</v>
      </c>
      <c r="AA28" s="311">
        <f>'Rem. Anticipos R2'!Q60</f>
        <v>0</v>
      </c>
      <c r="AB28" s="294">
        <f>N28</f>
        <v>0</v>
      </c>
      <c r="AC28" s="311">
        <f>'Rem. Anticipos R2'!R60</f>
        <v>0</v>
      </c>
      <c r="AD28" s="291">
        <f>-J28+AE28</f>
        <v>0</v>
      </c>
      <c r="AE28" s="291">
        <f>'Rem. Anticipos R2'!E61</f>
        <v>0</v>
      </c>
      <c r="AF28" s="313">
        <f>SUM(U28:AD28)</f>
        <v>0</v>
      </c>
      <c r="AG28" s="52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R2'!E181</f>
        <v>0</v>
      </c>
      <c r="E29" s="292">
        <f>'Rem. Anticipos R2'!F181</f>
        <v>0</v>
      </c>
      <c r="F29" s="292">
        <f>'Rem. Anticipos R2'!G181</f>
        <v>0</v>
      </c>
      <c r="G29" s="292">
        <f>'Rem. Anticipos R2'!H181</f>
        <v>0</v>
      </c>
      <c r="H29" s="292">
        <f>'Rem. Anticipos R2'!I181</f>
        <v>0</v>
      </c>
      <c r="I29" s="292">
        <f>'Rem. Anticipos R2'!J181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R2'!K181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R2'!L181</f>
        <v>0</v>
      </c>
      <c r="V29" s="317">
        <f>'Rem. Anticipos R2'!M181</f>
        <v>0</v>
      </c>
      <c r="W29" s="317">
        <f>'Rem. Anticipos R2'!N181</f>
        <v>0</v>
      </c>
      <c r="X29" s="317">
        <f>'Rem. Anticipos R2'!O181</f>
        <v>0</v>
      </c>
      <c r="Y29" s="318">
        <f>'Rem. Anticipos R2'!P181</f>
        <v>0</v>
      </c>
      <c r="Z29" s="319">
        <f>L29*-1</f>
        <v>0</v>
      </c>
      <c r="AA29" s="320">
        <f>'Rem. Anticipos R2'!Q181</f>
        <v>0</v>
      </c>
      <c r="AB29" s="294">
        <f>N29</f>
        <v>0</v>
      </c>
      <c r="AC29" s="320">
        <f>'Rem. Anticipos R2'!R181</f>
        <v>0</v>
      </c>
      <c r="AD29" s="291">
        <f>-J29+AE29</f>
        <v>0</v>
      </c>
      <c r="AE29" s="291">
        <f>'Rem. Anticipos R2'!E182</f>
        <v>0</v>
      </c>
      <c r="AF29" s="322">
        <f>SUM(U29:AD29)</f>
        <v>0</v>
      </c>
      <c r="AG29" s="522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R2'!E302</f>
        <v>0</v>
      </c>
      <c r="E30" s="292">
        <f>'Rem. Anticipos R2'!F302</f>
        <v>0</v>
      </c>
      <c r="F30" s="292">
        <f>'Rem. Anticipos R2'!G302</f>
        <v>0</v>
      </c>
      <c r="G30" s="292">
        <f>'Rem. Anticipos R2'!H302</f>
        <v>0</v>
      </c>
      <c r="H30" s="292">
        <f>'Rem. Anticipos R2'!I302</f>
        <v>0</v>
      </c>
      <c r="I30" s="292">
        <f>'Rem. Anticipos R2'!J302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R2'!K302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R2'!L302</f>
        <v>0</v>
      </c>
      <c r="V30" s="317">
        <f>'Rem. Anticipos R2'!M302</f>
        <v>0</v>
      </c>
      <c r="W30" s="317">
        <f>'Rem. Anticipos R2'!N302</f>
        <v>0</v>
      </c>
      <c r="X30" s="317">
        <f>'Rem. Anticipos R2'!O302</f>
        <v>0</v>
      </c>
      <c r="Y30" s="318">
        <f>'Rem. Anticipos R2'!P302</f>
        <v>0</v>
      </c>
      <c r="Z30" s="319">
        <f>L30*-1</f>
        <v>0</v>
      </c>
      <c r="AA30" s="320">
        <f>'Rem. Anticipos R2'!Q302</f>
        <v>0</v>
      </c>
      <c r="AB30" s="294">
        <f>N30</f>
        <v>0</v>
      </c>
      <c r="AC30" s="320">
        <f>'Rem. Anticipos R2'!R302</f>
        <v>0</v>
      </c>
      <c r="AD30" s="291">
        <f t="shared" ref="AD30:AD32" si="10">-J30+AE30</f>
        <v>0</v>
      </c>
      <c r="AE30" s="291">
        <f>'Rem. Anticipos R2'!E303</f>
        <v>0</v>
      </c>
      <c r="AF30" s="322">
        <f>SUM(U30:AD30)</f>
        <v>0</v>
      </c>
      <c r="AG30" s="522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R2'!E426</f>
        <v>0</v>
      </c>
      <c r="E31" s="292">
        <f>'Rem. Anticipos R2'!F426</f>
        <v>0</v>
      </c>
      <c r="F31" s="292">
        <f>'Rem. Anticipos R2'!G426</f>
        <v>0</v>
      </c>
      <c r="G31" s="292">
        <f>'Rem. Anticipos R2'!H426</f>
        <v>0</v>
      </c>
      <c r="H31" s="292">
        <f>'Rem. Anticipos R2'!I426</f>
        <v>0</v>
      </c>
      <c r="I31" s="292">
        <f>'Rem. Anticipos R2'!J426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R2'!K426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R2'!L426</f>
        <v>0</v>
      </c>
      <c r="V31" s="317">
        <f>'Rem. Anticipos R2'!M426</f>
        <v>0</v>
      </c>
      <c r="W31" s="317">
        <f>'Rem. Anticipos R2'!N426</f>
        <v>0</v>
      </c>
      <c r="X31" s="317">
        <f>'Rem. Anticipos R2'!O426</f>
        <v>0</v>
      </c>
      <c r="Y31" s="318">
        <f>'Rem. Anticipos R2'!P426</f>
        <v>0</v>
      </c>
      <c r="Z31" s="319">
        <f>L31*-1</f>
        <v>0</v>
      </c>
      <c r="AA31" s="320">
        <f>'Rem. Anticipos R2'!Q426</f>
        <v>0</v>
      </c>
      <c r="AB31" s="294">
        <f>N31</f>
        <v>0</v>
      </c>
      <c r="AC31" s="320">
        <f>'Rem. Anticipos R2'!R426</f>
        <v>0</v>
      </c>
      <c r="AD31" s="291">
        <f t="shared" si="10"/>
        <v>0</v>
      </c>
      <c r="AE31" s="291">
        <f>'Rem. Anticipos R2'!E427</f>
        <v>0</v>
      </c>
      <c r="AF31" s="322">
        <f>SUM(U31:AD31)</f>
        <v>0</v>
      </c>
      <c r="AG31" s="522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R2'!E513</f>
        <v>0</v>
      </c>
      <c r="E32" s="297">
        <f>'Rem. Anticipos R2'!F513</f>
        <v>0</v>
      </c>
      <c r="F32" s="297">
        <f>'Rem. Anticipos R2'!G513</f>
        <v>0</v>
      </c>
      <c r="G32" s="297">
        <f>'Rem. Anticipos R2'!H513</f>
        <v>0</v>
      </c>
      <c r="H32" s="297">
        <f>'Rem. Anticipos R2'!I513</f>
        <v>0</v>
      </c>
      <c r="I32" s="297">
        <f>'Rem. Anticipos R2'!J513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R2'!K513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R2'!L513</f>
        <v>0</v>
      </c>
      <c r="V32" s="297">
        <f>'Rem. Anticipos R2'!M513</f>
        <v>0</v>
      </c>
      <c r="W32" s="297">
        <f>'Rem. Anticipos R2'!N513</f>
        <v>0</v>
      </c>
      <c r="X32" s="297">
        <f>'Rem. Anticipos R2'!O513</f>
        <v>0</v>
      </c>
      <c r="Y32" s="289">
        <f>'Rem. Anticipos R2'!P513</f>
        <v>0</v>
      </c>
      <c r="Z32" s="319">
        <f>L32*-1</f>
        <v>0</v>
      </c>
      <c r="AA32" s="320">
        <f>'Rem. Anticipos R2'!Q513</f>
        <v>0</v>
      </c>
      <c r="AB32" s="294">
        <f>N32</f>
        <v>0</v>
      </c>
      <c r="AC32" s="320">
        <f>'Rem. Anticipos R2'!R513</f>
        <v>0</v>
      </c>
      <c r="AD32" s="291">
        <f t="shared" si="10"/>
        <v>0</v>
      </c>
      <c r="AE32" s="291">
        <f>'Rem. Anticipos R2'!E514</f>
        <v>0</v>
      </c>
      <c r="AF32" s="322">
        <f>SUM(U32:AD32)</f>
        <v>0</v>
      </c>
      <c r="AG32" s="523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68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R1'!F96</f>
        <v>0</v>
      </c>
      <c r="E47" s="292">
        <f>'Reporte Componentes R1'!G96</f>
        <v>0</v>
      </c>
      <c r="F47" s="292">
        <f>'Reporte Componentes R1'!H96</f>
        <v>0</v>
      </c>
      <c r="G47" s="292">
        <f>'Reporte Componentes R1'!I96</f>
        <v>0</v>
      </c>
      <c r="H47" s="292">
        <f>'Reporte Componentes R1'!J96</f>
        <v>0</v>
      </c>
      <c r="I47" s="292">
        <f>'Reporte Componentes R1'!K96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R1'!L96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R1'!M96</f>
        <v>0</v>
      </c>
      <c r="V47" s="308">
        <f>'Reporte Componentes R1'!N96</f>
        <v>0</v>
      </c>
      <c r="W47" s="308">
        <f>'Reporte Componentes R1'!O96</f>
        <v>0</v>
      </c>
      <c r="X47" s="308">
        <f>'Reporte Componentes R1'!P96</f>
        <v>0</v>
      </c>
      <c r="Y47" s="309">
        <f>'Reporte Componentes R1'!Q96</f>
        <v>0</v>
      </c>
      <c r="Z47" s="310">
        <f>-L47</f>
        <v>0</v>
      </c>
      <c r="AA47" s="311">
        <f>'Reporte Componentes R1'!R96+'Reporte Componentes R1'!V96+'Reporte Componentes R1'!U96</f>
        <v>0</v>
      </c>
      <c r="AB47" s="294">
        <f>N47</f>
        <v>0</v>
      </c>
      <c r="AC47" s="311">
        <f>'Reporte Componentes R1'!T96+'Reporte Componentes R1'!W96+'Reporte Componentes R1'!X96+'Reporte Componentes R1'!Y96+'Reporte Componentes R1'!Z96+'Reporte Componentes R1'!S96</f>
        <v>0</v>
      </c>
      <c r="AD47" s="291">
        <f>-J47+AE47</f>
        <v>0</v>
      </c>
      <c r="AE47" s="291">
        <f>'Reporte Componentes R1'!F97</f>
        <v>0</v>
      </c>
      <c r="AF47" s="313">
        <f>SUM(U47:AD47)</f>
        <v>0</v>
      </c>
      <c r="AG47" s="521">
        <f>(AF47-O47)</f>
        <v>0</v>
      </c>
      <c r="AH47" s="1" t="b">
        <f t="shared" ref="AH47:AH52" si="15"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R1'!F330</f>
        <v>0</v>
      </c>
      <c r="E48" s="292">
        <f>'Reporte Componentes R1'!G330</f>
        <v>0</v>
      </c>
      <c r="F48" s="292">
        <f>'Reporte Componentes R1'!H330</f>
        <v>0</v>
      </c>
      <c r="G48" s="292">
        <f>'Reporte Componentes R1'!I330</f>
        <v>0</v>
      </c>
      <c r="H48" s="292">
        <f>'Reporte Componentes R1'!J330</f>
        <v>0</v>
      </c>
      <c r="I48" s="292">
        <f>'Reporte Componentes R1'!K330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R1'!L330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R1'!M330</f>
        <v>0</v>
      </c>
      <c r="V48" s="317">
        <f>'Reporte Componentes R1'!N330</f>
        <v>0</v>
      </c>
      <c r="W48" s="317">
        <f>'Reporte Componentes R1'!O330</f>
        <v>0</v>
      </c>
      <c r="X48" s="317">
        <f>'Reporte Componentes R1'!P330</f>
        <v>0</v>
      </c>
      <c r="Y48" s="318">
        <f>'Reporte Componentes R1'!Q330</f>
        <v>0</v>
      </c>
      <c r="Z48" s="319">
        <f>-L48</f>
        <v>0</v>
      </c>
      <c r="AA48" s="320">
        <f>'Reporte Componentes R1'!R330+'Reporte Componentes R1'!V330+'Reporte Componentes R1'!U330</f>
        <v>0</v>
      </c>
      <c r="AB48" s="294">
        <f>N48</f>
        <v>0</v>
      </c>
      <c r="AC48" s="320">
        <f>'Reporte Componentes R1'!T330+'Reporte Componentes R1'!W330+'Reporte Componentes R1'!X330+'Reporte Componentes R1'!Y330+'Reporte Componentes R1'!Z330+'Reporte Componentes R1'!S330</f>
        <v>0</v>
      </c>
      <c r="AD48" s="291">
        <f t="shared" ref="AD48:AD51" si="18">-J48+AE48</f>
        <v>0</v>
      </c>
      <c r="AE48" s="291">
        <f>'Reporte Componentes R1'!F331</f>
        <v>0</v>
      </c>
      <c r="AF48" s="322">
        <f>SUM(U48:AD48)</f>
        <v>0</v>
      </c>
      <c r="AG48" s="522">
        <f>(AF48-O48)</f>
        <v>0</v>
      </c>
      <c r="AH48" s="1" t="b">
        <f t="shared" si="15"/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R1'!F491</f>
        <v>0</v>
      </c>
      <c r="E49" s="292">
        <f>'Reporte Componentes R1'!G491</f>
        <v>0</v>
      </c>
      <c r="F49" s="292">
        <f>'Reporte Componentes R1'!H491</f>
        <v>0</v>
      </c>
      <c r="G49" s="292">
        <f>'Reporte Componentes R1'!I491</f>
        <v>0</v>
      </c>
      <c r="H49" s="292">
        <f>'Reporte Componentes R1'!J491</f>
        <v>0</v>
      </c>
      <c r="I49" s="292">
        <f>'Reporte Componentes R1'!K491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R1'!L491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R1'!M491</f>
        <v>0</v>
      </c>
      <c r="V49" s="317">
        <f>'Reporte Componentes R1'!N491</f>
        <v>0</v>
      </c>
      <c r="W49" s="317">
        <f>'Reporte Componentes R1'!O491</f>
        <v>0</v>
      </c>
      <c r="X49" s="317">
        <f>'Reporte Componentes R1'!P491</f>
        <v>0</v>
      </c>
      <c r="Y49" s="318">
        <f>'Reporte Componentes R1'!Q491</f>
        <v>0</v>
      </c>
      <c r="Z49" s="319">
        <f>-L49</f>
        <v>0</v>
      </c>
      <c r="AA49" s="320">
        <f>'Reporte Componentes R1'!R491+'Reporte Componentes R1'!V491+'Reporte Componentes R1'!U491</f>
        <v>0</v>
      </c>
      <c r="AB49" s="294">
        <f>N49</f>
        <v>0</v>
      </c>
      <c r="AC49" s="320">
        <f>'Reporte Componentes R1'!T491+'Reporte Componentes R1'!W491+'Reporte Componentes R1'!X491+'Reporte Componentes R1'!Y491+'Reporte Componentes R1'!Z491+'Reporte Componentes R1'!S491</f>
        <v>0</v>
      </c>
      <c r="AD49" s="291">
        <f t="shared" si="18"/>
        <v>0</v>
      </c>
      <c r="AE49" s="291">
        <f>'Reporte Componentes R1'!F492</f>
        <v>0</v>
      </c>
      <c r="AF49" s="322">
        <f t="shared" ref="AF49:AF51" si="19">SUM(U49:AD49)</f>
        <v>0</v>
      </c>
      <c r="AG49" s="522">
        <f t="shared" ref="AG49:AG51" si="20">(AF49-O49)</f>
        <v>0</v>
      </c>
      <c r="AH49" s="1" t="b">
        <f t="shared" si="15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R1'!F699</f>
        <v>0</v>
      </c>
      <c r="E50" s="292">
        <f>'Reporte Componentes R1'!G699</f>
        <v>0</v>
      </c>
      <c r="F50" s="292">
        <f>'Reporte Componentes R1'!H699</f>
        <v>0</v>
      </c>
      <c r="G50" s="292">
        <f>'Reporte Componentes R1'!I699</f>
        <v>0</v>
      </c>
      <c r="H50" s="292">
        <f>'Reporte Componentes R1'!J699</f>
        <v>0</v>
      </c>
      <c r="I50" s="292">
        <f>'Reporte Componentes R1'!K699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R1'!L699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R1'!M699</f>
        <v>0</v>
      </c>
      <c r="V50" s="317">
        <f>'Reporte Componentes R1'!N699</f>
        <v>0</v>
      </c>
      <c r="W50" s="317">
        <f>'Reporte Componentes R1'!O699</f>
        <v>0</v>
      </c>
      <c r="X50" s="317">
        <f>'Reporte Componentes R1'!P699</f>
        <v>0</v>
      </c>
      <c r="Y50" s="318">
        <f>'Reporte Componentes R1'!Q699</f>
        <v>0</v>
      </c>
      <c r="Z50" s="319">
        <f>-L50</f>
        <v>0</v>
      </c>
      <c r="AA50" s="320">
        <f>'Reporte Componentes R1'!R699+'Reporte Componentes R1'!V699+'Reporte Componentes R1'!U699</f>
        <v>0</v>
      </c>
      <c r="AB50" s="294">
        <f>N50</f>
        <v>0</v>
      </c>
      <c r="AC50" s="320">
        <f>'Reporte Componentes R1'!T699+'Reporte Componentes R1'!W699+'Reporte Componentes R1'!X699+'Reporte Componentes R1'!Y699+'Reporte Componentes R1'!Z699+'Reporte Componentes R1'!S699</f>
        <v>0</v>
      </c>
      <c r="AD50" s="291">
        <f t="shared" si="18"/>
        <v>0</v>
      </c>
      <c r="AE50" s="291">
        <f>'Reporte Componentes R1'!F700</f>
        <v>0</v>
      </c>
      <c r="AF50" s="322">
        <f t="shared" si="19"/>
        <v>0</v>
      </c>
      <c r="AG50" s="522">
        <f t="shared" si="20"/>
        <v>0</v>
      </c>
      <c r="AH50" s="1" t="b">
        <f t="shared" si="15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R1'!F818</f>
        <v>0</v>
      </c>
      <c r="E51" s="297">
        <f>'Reporte Componentes R1'!G818</f>
        <v>0</v>
      </c>
      <c r="F51" s="297">
        <f>'Reporte Componentes R1'!H818</f>
        <v>0</v>
      </c>
      <c r="G51" s="297">
        <f>'Reporte Componentes R1'!I818</f>
        <v>0</v>
      </c>
      <c r="H51" s="297">
        <f>'Reporte Componentes R1'!J818</f>
        <v>0</v>
      </c>
      <c r="I51" s="297">
        <f>'Reporte Componentes R1'!K818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R1'!L818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R1'!M818</f>
        <v>0</v>
      </c>
      <c r="V51" s="297">
        <f>'Reporte Componentes R1'!N818</f>
        <v>0</v>
      </c>
      <c r="W51" s="297">
        <f>'Reporte Componentes R1'!O818</f>
        <v>0</v>
      </c>
      <c r="X51" s="297">
        <f>'Reporte Componentes R1'!P818</f>
        <v>0</v>
      </c>
      <c r="Y51" s="289">
        <f>'Reporte Componentes R1'!Q818</f>
        <v>0</v>
      </c>
      <c r="Z51" s="319">
        <f>-L51</f>
        <v>0</v>
      </c>
      <c r="AA51" s="320">
        <f>'Reporte Componentes R1'!R818+'Reporte Componentes R1'!V818+'Reporte Componentes R1'!U818</f>
        <v>0</v>
      </c>
      <c r="AB51" s="294">
        <f>N51</f>
        <v>0</v>
      </c>
      <c r="AC51" s="320">
        <f>'Reporte Componentes R1'!T818+'Reporte Componentes R1'!W818+'Reporte Componentes R1'!X818+'Reporte Componentes R1'!Y818+'Reporte Componentes R1'!Z818+'Reporte Componentes R1'!S818</f>
        <v>0</v>
      </c>
      <c r="AD51" s="291">
        <f t="shared" si="18"/>
        <v>0</v>
      </c>
      <c r="AE51" s="291">
        <f>'Reporte Componentes R1'!F819</f>
        <v>0</v>
      </c>
      <c r="AF51" s="322">
        <f t="shared" si="19"/>
        <v>0</v>
      </c>
      <c r="AG51" s="523">
        <f t="shared" si="20"/>
        <v>0</v>
      </c>
      <c r="AH51" s="1" t="b">
        <f t="shared" si="15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524">
        <f t="shared" si="23"/>
        <v>0</v>
      </c>
      <c r="AH52" s="1" t="b">
        <f t="shared" si="15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68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R4'!D82</f>
        <v>0</v>
      </c>
      <c r="E66" s="292">
        <f>'Reversion Pagos R4'!E82</f>
        <v>0</v>
      </c>
      <c r="F66" s="292">
        <f>'Reversion Pagos R4'!F82</f>
        <v>0</v>
      </c>
      <c r="G66" s="292">
        <f>'Reversion Pagos R4'!G82</f>
        <v>0</v>
      </c>
      <c r="H66" s="292">
        <f>'Reversion Pagos R4'!H82</f>
        <v>0</v>
      </c>
      <c r="I66" s="292">
        <f>'Reversion Pagos R4'!I82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R4'!P82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R4'!J82</f>
        <v>0</v>
      </c>
      <c r="V66" s="308">
        <f>'Reversion Pagos R4'!K82</f>
        <v>0</v>
      </c>
      <c r="W66" s="308">
        <f>'Reversion Pagos R4'!L82</f>
        <v>0</v>
      </c>
      <c r="X66" s="308">
        <f>'Reversion Pagos R4'!M82</f>
        <v>0</v>
      </c>
      <c r="Y66" s="309">
        <f>'Reversion Pagos R4'!N82</f>
        <v>0</v>
      </c>
      <c r="Z66" s="310">
        <f>-L66</f>
        <v>0</v>
      </c>
      <c r="AA66" s="320">
        <f>'Reversion Pagos R4'!O82</f>
        <v>0</v>
      </c>
      <c r="AB66" s="294">
        <f>N66</f>
        <v>0</v>
      </c>
      <c r="AC66" s="320">
        <f>+'Reversion Pagos R4'!Q82+'Reversion Pagos R4'!R82</f>
        <v>0</v>
      </c>
      <c r="AD66" s="291">
        <f>-J66+AE66</f>
        <v>0</v>
      </c>
      <c r="AE66" s="291">
        <f>'Reversion Pagos R4'!D83</f>
        <v>0</v>
      </c>
      <c r="AF66" s="313">
        <f>SUM(U66:AD66)</f>
        <v>0</v>
      </c>
      <c r="AG66" s="521">
        <f>(AF66-O66)</f>
        <v>0</v>
      </c>
      <c r="AH66" s="1" t="b">
        <f t="shared" ref="AH66:AH71" si="24"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R4'!D183</f>
        <v>0</v>
      </c>
      <c r="E67" s="292">
        <f>'Reversion Pagos R4'!E183</f>
        <v>0</v>
      </c>
      <c r="F67" s="292">
        <f>'Reversion Pagos R4'!F183</f>
        <v>0</v>
      </c>
      <c r="G67" s="292">
        <f>'Reversion Pagos R4'!G183</f>
        <v>0</v>
      </c>
      <c r="H67" s="292">
        <f>'Reversion Pagos R4'!H183</f>
        <v>0</v>
      </c>
      <c r="I67" s="292">
        <f>'Reversion Pagos R4'!I183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R4'!P183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R4'!J183</f>
        <v>0</v>
      </c>
      <c r="V67" s="317">
        <f>'Reversion Pagos R4'!K183</f>
        <v>0</v>
      </c>
      <c r="W67" s="317">
        <f>'Reversion Pagos R4'!L183</f>
        <v>0</v>
      </c>
      <c r="X67" s="317">
        <f>'Reversion Pagos R4'!M183</f>
        <v>0</v>
      </c>
      <c r="Y67" s="318">
        <f>'Reversion Pagos R4'!N183</f>
        <v>0</v>
      </c>
      <c r="Z67" s="319">
        <f t="shared" ref="Z67:Z70" si="27">-L67</f>
        <v>0</v>
      </c>
      <c r="AA67" s="320">
        <f>'Reversion Pagos R4'!O183</f>
        <v>0</v>
      </c>
      <c r="AB67" s="294">
        <f t="shared" ref="AB67:AB70" si="28">N67</f>
        <v>0</v>
      </c>
      <c r="AC67" s="320">
        <f>+'Reversion Pagos R4'!Q183+'Reversion Pagos R4'!R183</f>
        <v>0</v>
      </c>
      <c r="AD67" s="291">
        <f t="shared" ref="AD67:AD70" si="29">-J67+AE67</f>
        <v>0</v>
      </c>
      <c r="AE67" s="291">
        <f>'Reversion Pagos R4'!D184</f>
        <v>0</v>
      </c>
      <c r="AF67" s="322">
        <f>SUM(U67:AD67)</f>
        <v>0</v>
      </c>
      <c r="AG67" s="522">
        <f>(AF67-O67)</f>
        <v>0</v>
      </c>
      <c r="AH67" s="1" t="b">
        <f t="shared" si="24"/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R4'!D220</f>
        <v>0</v>
      </c>
      <c r="E68" s="292">
        <f>'Reversion Pagos R4'!E220</f>
        <v>0</v>
      </c>
      <c r="F68" s="292">
        <f>'Reversion Pagos R4'!F220</f>
        <v>0</v>
      </c>
      <c r="G68" s="292">
        <f>'Reversion Pagos R4'!G220</f>
        <v>0</v>
      </c>
      <c r="H68" s="292">
        <f>'Reversion Pagos R4'!H220</f>
        <v>0</v>
      </c>
      <c r="I68" s="292">
        <f>'Reversion Pagos R4'!I220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R4'!P220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R4'!J220</f>
        <v>0</v>
      </c>
      <c r="V68" s="317">
        <f>'Reversion Pagos R4'!K220</f>
        <v>0</v>
      </c>
      <c r="W68" s="317">
        <f>'Reversion Pagos R4'!L220</f>
        <v>0</v>
      </c>
      <c r="X68" s="317">
        <f>'Reversion Pagos R4'!M220</f>
        <v>0</v>
      </c>
      <c r="Y68" s="318">
        <f>'Reversion Pagos R4'!N220</f>
        <v>0</v>
      </c>
      <c r="Z68" s="319">
        <f t="shared" si="27"/>
        <v>0</v>
      </c>
      <c r="AA68" s="320">
        <f>'Reversion Pagos R4'!O220</f>
        <v>0</v>
      </c>
      <c r="AB68" s="294">
        <f t="shared" si="28"/>
        <v>0</v>
      </c>
      <c r="AC68" s="320">
        <f>+'Reversion Pagos R4'!Q220+'Reversion Pagos R4'!R220</f>
        <v>0</v>
      </c>
      <c r="AD68" s="291">
        <f t="shared" si="29"/>
        <v>0</v>
      </c>
      <c r="AE68" s="291">
        <f>'Reversion Pagos R4'!D221</f>
        <v>0</v>
      </c>
      <c r="AF68" s="322">
        <f t="shared" ref="AF68:AF70" si="30">SUM(U68:AD68)</f>
        <v>0</v>
      </c>
      <c r="AG68" s="522">
        <f t="shared" ref="AG68:AG70" si="31">(AF68-O68)</f>
        <v>0</v>
      </c>
      <c r="AH68" s="1" t="b">
        <f t="shared" si="24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R4'!D335</f>
        <v>0</v>
      </c>
      <c r="E69" s="292">
        <f>'Reversion Pagos R4'!E335</f>
        <v>0</v>
      </c>
      <c r="F69" s="292">
        <f>'Reversion Pagos R4'!F335</f>
        <v>0</v>
      </c>
      <c r="G69" s="292">
        <f>'Reversion Pagos R4'!G335</f>
        <v>0</v>
      </c>
      <c r="H69" s="292">
        <f>'Reversion Pagos R4'!H335</f>
        <v>0</v>
      </c>
      <c r="I69" s="292">
        <f>'Reversion Pagos R4'!I335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R4'!P335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R4'!J335</f>
        <v>0</v>
      </c>
      <c r="V69" s="317">
        <f>'Reversion Pagos R4'!K335</f>
        <v>0</v>
      </c>
      <c r="W69" s="317">
        <f>'Reversion Pagos R4'!L335</f>
        <v>0</v>
      </c>
      <c r="X69" s="317">
        <f>'Reversion Pagos R4'!M335</f>
        <v>0</v>
      </c>
      <c r="Y69" s="318">
        <f>'Reversion Pagos R4'!N335</f>
        <v>0</v>
      </c>
      <c r="Z69" s="319">
        <f t="shared" si="27"/>
        <v>0</v>
      </c>
      <c r="AA69" s="320">
        <f>'Reversion Pagos R4'!O335</f>
        <v>0</v>
      </c>
      <c r="AB69" s="294">
        <f t="shared" si="28"/>
        <v>0</v>
      </c>
      <c r="AC69" s="320">
        <f>+'Reversion Pagos R4'!Q335+'Reversion Pagos R4'!R335</f>
        <v>0</v>
      </c>
      <c r="AD69" s="291">
        <f t="shared" si="29"/>
        <v>0</v>
      </c>
      <c r="AE69" s="291">
        <f>'Reversion Pagos R4'!D336</f>
        <v>0</v>
      </c>
      <c r="AF69" s="322">
        <f>SUM(U69:AD69)</f>
        <v>0</v>
      </c>
      <c r="AG69" s="522">
        <f>(AF69-O69)</f>
        <v>0</v>
      </c>
      <c r="AH69" s="1" t="b">
        <f t="shared" si="24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R4'!D376</f>
        <v>0</v>
      </c>
      <c r="E70" s="297">
        <f>'Reversion Pagos R4'!E376</f>
        <v>0</v>
      </c>
      <c r="F70" s="297">
        <f>'Reversion Pagos R4'!F376</f>
        <v>0</v>
      </c>
      <c r="G70" s="297">
        <f>'Reversion Pagos R4'!G376</f>
        <v>0</v>
      </c>
      <c r="H70" s="297">
        <f>'Reversion Pagos R4'!H376</f>
        <v>0</v>
      </c>
      <c r="I70" s="297">
        <f>'Reversion Pagos R4'!I376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R4'!P376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R4'!J376</f>
        <v>0</v>
      </c>
      <c r="V70" s="297">
        <f>'Reversion Pagos R4'!K376</f>
        <v>0</v>
      </c>
      <c r="W70" s="297">
        <f>'Reversion Pagos R4'!L376</f>
        <v>0</v>
      </c>
      <c r="X70" s="297">
        <f>'Reversion Pagos R4'!M376</f>
        <v>0</v>
      </c>
      <c r="Y70" s="289">
        <f>'Reversion Pagos R4'!N376</f>
        <v>0</v>
      </c>
      <c r="Z70" s="319">
        <f t="shared" si="27"/>
        <v>0</v>
      </c>
      <c r="AA70" s="320">
        <f>'Reversion Pagos R4'!O376</f>
        <v>0</v>
      </c>
      <c r="AB70" s="294">
        <f t="shared" si="28"/>
        <v>0</v>
      </c>
      <c r="AC70" s="320">
        <f>+'Reversion Pagos R4'!Q376+'Reversion Pagos R4'!R376</f>
        <v>0</v>
      </c>
      <c r="AD70" s="291">
        <f t="shared" si="29"/>
        <v>0</v>
      </c>
      <c r="AE70" s="291">
        <f>'Reversion Pagos R4'!D377</f>
        <v>0</v>
      </c>
      <c r="AF70" s="322">
        <f t="shared" si="30"/>
        <v>0</v>
      </c>
      <c r="AG70" s="523">
        <f t="shared" si="31"/>
        <v>0</v>
      </c>
      <c r="AH70" s="1" t="b">
        <f t="shared" si="24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524">
        <f t="shared" si="33"/>
        <v>0</v>
      </c>
      <c r="AH71" s="1" t="b">
        <f t="shared" si="24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68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521">
        <f>AF85-O85</f>
        <v>0</v>
      </c>
      <c r="AH85" s="1" t="b">
        <f t="shared" ref="AH85:AH90" si="35"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6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7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320">
        <v>0</v>
      </c>
      <c r="AD86" s="291">
        <f t="shared" ref="AD86:AD88" si="38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1" t="b">
        <f t="shared" si="35"/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6"/>
        <v>0</v>
      </c>
      <c r="L87" s="294">
        <v>0</v>
      </c>
      <c r="M87" s="295">
        <f>K87-L87</f>
        <v>0</v>
      </c>
      <c r="N87" s="294">
        <v>0</v>
      </c>
      <c r="O87" s="295">
        <f t="shared" si="37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20">
        <v>0</v>
      </c>
      <c r="AB87" s="294">
        <v>0</v>
      </c>
      <c r="AC87" s="320">
        <v>0</v>
      </c>
      <c r="AD87" s="291">
        <f t="shared" si="38"/>
        <v>0</v>
      </c>
      <c r="AE87" s="291">
        <v>0</v>
      </c>
      <c r="AF87" s="322">
        <f t="shared" ref="AF87:AF89" si="39">SUM(U87:AD87)</f>
        <v>0</v>
      </c>
      <c r="AG87" s="522">
        <f>AF87-O87</f>
        <v>0</v>
      </c>
      <c r="AH87" s="1" t="b">
        <f t="shared" si="35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6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7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291">
        <f t="shared" si="38"/>
        <v>0</v>
      </c>
      <c r="AE88" s="291">
        <f>'AJUSTES - SF-T'!AD50</f>
        <v>0</v>
      </c>
      <c r="AF88" s="322">
        <f t="shared" si="39"/>
        <v>0</v>
      </c>
      <c r="AG88" s="522">
        <f>AF88-O88</f>
        <v>0</v>
      </c>
      <c r="AH88" s="1" t="b">
        <f t="shared" si="35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6"/>
        <v>0</v>
      </c>
      <c r="L89" s="294">
        <v>0</v>
      </c>
      <c r="M89" s="298">
        <f>K89-L89</f>
        <v>0</v>
      </c>
      <c r="N89" s="299">
        <v>0</v>
      </c>
      <c r="O89" s="298">
        <f t="shared" si="37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20">
        <v>0</v>
      </c>
      <c r="AB89" s="294">
        <v>0</v>
      </c>
      <c r="AC89" s="320">
        <v>0</v>
      </c>
      <c r="AD89" s="291">
        <v>0</v>
      </c>
      <c r="AE89" s="291">
        <v>0</v>
      </c>
      <c r="AF89" s="322">
        <f t="shared" si="39"/>
        <v>0</v>
      </c>
      <c r="AG89" s="523">
        <f>AF89-O89</f>
        <v>0</v>
      </c>
      <c r="AH89" s="1" t="b">
        <f t="shared" si="35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1">SUM(V85:V89)</f>
        <v>0</v>
      </c>
      <c r="W90" s="330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524">
        <f t="shared" si="41"/>
        <v>0</v>
      </c>
      <c r="AH90" s="1" t="b">
        <f t="shared" si="35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214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88">
        <f t="shared" si="43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0</v>
      </c>
      <c r="AA104" s="311">
        <f t="shared" si="44"/>
        <v>0</v>
      </c>
      <c r="AB104" s="294">
        <f t="shared" si="44"/>
        <v>0</v>
      </c>
      <c r="AC104" s="311">
        <f t="shared" si="44"/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521">
        <f>AF104-O104</f>
        <v>0</v>
      </c>
      <c r="AH104" s="1" t="b">
        <f t="shared" ref="AH104:AH109" si="45"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88">
        <f t="shared" si="43"/>
        <v>0</v>
      </c>
      <c r="K105" s="295">
        <f t="shared" ref="K105:K108" si="46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7">M105+N105</f>
        <v>0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0</v>
      </c>
      <c r="AA105" s="320">
        <f t="shared" si="44"/>
        <v>0</v>
      </c>
      <c r="AB105" s="294">
        <f t="shared" si="44"/>
        <v>0</v>
      </c>
      <c r="AC105" s="320">
        <f t="shared" si="44"/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522">
        <f>AF105-O105</f>
        <v>0</v>
      </c>
      <c r="AH105" s="1" t="b">
        <f t="shared" si="45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88">
        <f t="shared" si="43"/>
        <v>0</v>
      </c>
      <c r="K106" s="295">
        <f t="shared" si="46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7"/>
        <v>0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0</v>
      </c>
      <c r="AA106" s="320">
        <f t="shared" si="44"/>
        <v>0</v>
      </c>
      <c r="AB106" s="294">
        <f t="shared" si="44"/>
        <v>0</v>
      </c>
      <c r="AC106" s="320">
        <f t="shared" si="44"/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522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88">
        <f t="shared" si="43"/>
        <v>0</v>
      </c>
      <c r="K107" s="295">
        <f t="shared" si="46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7"/>
        <v>0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0</v>
      </c>
      <c r="AA107" s="320">
        <f t="shared" si="44"/>
        <v>0</v>
      </c>
      <c r="AB107" s="294">
        <f t="shared" si="44"/>
        <v>0</v>
      </c>
      <c r="AC107" s="320">
        <f t="shared" si="44"/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522">
        <f>AF107-O107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89">
        <f t="shared" si="43"/>
        <v>0</v>
      </c>
      <c r="K108" s="295">
        <f t="shared" si="46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7"/>
        <v>0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0</v>
      </c>
      <c r="AA108" s="320">
        <f t="shared" si="44"/>
        <v>0</v>
      </c>
      <c r="AB108" s="294">
        <f t="shared" si="44"/>
        <v>0</v>
      </c>
      <c r="AC108" s="320">
        <f t="shared" si="44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523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9">SUM(D104:D108)</f>
        <v>0</v>
      </c>
      <c r="E109" s="290">
        <f t="shared" si="49"/>
        <v>0</v>
      </c>
      <c r="F109" s="290">
        <f t="shared" si="49"/>
        <v>0</v>
      </c>
      <c r="G109" s="290">
        <f t="shared" si="49"/>
        <v>0</v>
      </c>
      <c r="H109" s="290">
        <f t="shared" si="49"/>
        <v>0</v>
      </c>
      <c r="I109" s="290">
        <f t="shared" si="49"/>
        <v>0</v>
      </c>
      <c r="J109" s="290">
        <f t="shared" si="49"/>
        <v>0</v>
      </c>
      <c r="K109" s="300">
        <f t="shared" si="49"/>
        <v>0</v>
      </c>
      <c r="L109" s="301">
        <f t="shared" si="49"/>
        <v>0</v>
      </c>
      <c r="M109" s="302">
        <f t="shared" si="49"/>
        <v>0</v>
      </c>
      <c r="N109" s="301">
        <f t="shared" si="49"/>
        <v>0</v>
      </c>
      <c r="O109" s="302">
        <f t="shared" si="49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0">SUM(V104:V108)</f>
        <v>0</v>
      </c>
      <c r="W109" s="330">
        <f t="shared" si="50"/>
        <v>0</v>
      </c>
      <c r="X109" s="330">
        <f t="shared" si="50"/>
        <v>0</v>
      </c>
      <c r="Y109" s="330">
        <f t="shared" si="50"/>
        <v>0</v>
      </c>
      <c r="Z109" s="290">
        <f t="shared" si="50"/>
        <v>0</v>
      </c>
      <c r="AA109" s="290">
        <f t="shared" si="50"/>
        <v>0</v>
      </c>
      <c r="AB109" s="290">
        <f t="shared" si="50"/>
        <v>0</v>
      </c>
      <c r="AC109" s="290">
        <f t="shared" si="50"/>
        <v>0</v>
      </c>
      <c r="AD109" s="290">
        <f t="shared" si="50"/>
        <v>0</v>
      </c>
      <c r="AE109" s="290">
        <f>SUM(AE104:AE108)</f>
        <v>0</v>
      </c>
      <c r="AF109" s="331">
        <f t="shared" si="50"/>
        <v>0</v>
      </c>
      <c r="AG109" s="524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0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USUARIOS'!F12</f>
        <v>0</v>
      </c>
      <c r="L125" s="309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1">D67+N67</f>
        <v>0</v>
      </c>
      <c r="K126" s="288">
        <f>'ANTICIPOS USUARIOS'!F13</f>
        <v>0</v>
      </c>
      <c r="L126" s="288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1"/>
        <v>0</v>
      </c>
      <c r="K127" s="288">
        <f>'ANTICIPOS USUARIOS'!F14</f>
        <v>0</v>
      </c>
      <c r="L127" s="288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1"/>
        <v>0</v>
      </c>
      <c r="K128" s="288">
        <f>'ANTICIPOS USUARIOS'!F15</f>
        <v>0</v>
      </c>
      <c r="L128" s="288">
        <f>-'ANTICIPOS USUARIOS'!F24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1"/>
        <v>0</v>
      </c>
      <c r="K129" s="288">
        <f>'ANTICIPOS USUARIOS'!F16</f>
        <v>0</v>
      </c>
      <c r="L129" s="288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2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9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EAAB Reciprocidad'!F22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BANCO'!E64)</f>
        <v>0</v>
      </c>
      <c r="J143" s="18">
        <f t="shared" si="53"/>
        <v>0</v>
      </c>
      <c r="K143" s="83">
        <f t="shared" si="53"/>
        <v>0</v>
      </c>
      <c r="L143" s="597">
        <f>D143-E143-F143-G143-J143-H143-I143</f>
        <v>0</v>
      </c>
      <c r="M143" s="1" t="b">
        <f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97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EAAB Reciprocidad'!F24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BANCO'!E69)</f>
        <v>0</v>
      </c>
      <c r="J145" s="18">
        <f t="shared" si="53"/>
        <v>0</v>
      </c>
      <c r="K145" s="83">
        <f t="shared" si="53"/>
        <v>0</v>
      </c>
      <c r="L145" s="597">
        <f>D145-E145-F145-G145-J145-H145-I145</f>
        <v>0</v>
      </c>
      <c r="M145" s="1" t="b">
        <f t="shared" si="54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97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5">SUM(F142:F146)</f>
        <v>0</v>
      </c>
      <c r="G147" s="47">
        <f t="shared" si="55"/>
        <v>0</v>
      </c>
      <c r="H147" s="47">
        <f t="shared" si="55"/>
        <v>0</v>
      </c>
      <c r="I147" s="47">
        <f t="shared" si="55"/>
        <v>0</v>
      </c>
      <c r="J147" s="47">
        <f t="shared" si="55"/>
        <v>0</v>
      </c>
      <c r="K147" s="47">
        <f t="shared" si="55"/>
        <v>0</v>
      </c>
      <c r="L147" s="597">
        <f>SUM(L142:L146)</f>
        <v>0</v>
      </c>
      <c r="M147" s="1" t="b">
        <f t="shared" si="54"/>
        <v>1</v>
      </c>
      <c r="P147" s="24"/>
      <c r="Q147" s="35"/>
      <c r="R147" s="24"/>
    </row>
    <row r="148" spans="1:20" ht="12" x14ac:dyDescent="0.25">
      <c r="B148" s="2"/>
      <c r="H148" s="55"/>
      <c r="L148" s="548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D9" sqref="D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</f>
        <v>0</v>
      </c>
      <c r="D3" s="292">
        <f>'REMUNERACION Reciprocidad EAAB'!G125</f>
        <v>0</v>
      </c>
      <c r="E3" s="292">
        <f>'REMUNERACION Reciprocidad EAAB'!D28+'REMUNERACION Reciprocidad EAAB'!N28</f>
        <v>0</v>
      </c>
      <c r="F3" s="292">
        <f>'REMUNERACION Reciprocidad EAAB'!I142</f>
        <v>0</v>
      </c>
      <c r="G3" s="292">
        <f>'REMUNERACION Reciprocidad EAAB'!H142</f>
        <v>0</v>
      </c>
      <c r="H3" s="340">
        <f>SUM(C3:G3)</f>
        <v>0</v>
      </c>
      <c r="I3" s="291">
        <f>'REMUNERACION Reciprocidad EAAB'!D104</f>
        <v>0</v>
      </c>
      <c r="J3" s="292">
        <f>'REMUNERACION Reciprocidad EAAB'!N104</f>
        <v>0</v>
      </c>
      <c r="K3" s="292">
        <f>'REMUNERACION Reciprocidad EAAB'!D125</f>
        <v>0</v>
      </c>
      <c r="L3" s="353">
        <f>'REMUNERACION Reciprocidad EAAB'!E125</f>
        <v>0</v>
      </c>
      <c r="M3" s="292">
        <f>-'REMUNERACION Reciprocidad EAAB'!D66-'REMUNERACION Reciprocidad EAAB'!N66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Reciprocidad'!F22</f>
        <v>0</v>
      </c>
      <c r="D4" s="292">
        <f>'REMUNERACION Reciprocidad EAAB'!G126</f>
        <v>0</v>
      </c>
      <c r="E4" s="292">
        <f>'REMUNERACION Reciprocidad EAAB'!D29+'REMUNERACION Reciprocidad EAAB'!N29</f>
        <v>0</v>
      </c>
      <c r="F4" s="292">
        <f>'REMUNERACION Reciprocidad EAAB'!I143</f>
        <v>0</v>
      </c>
      <c r="G4" s="292">
        <f>'REMUNERACION Reciprocidad EAAB'!H143</f>
        <v>0</v>
      </c>
      <c r="H4" s="340">
        <f t="shared" ref="H4:H8" si="1">SUM(C4:G4)</f>
        <v>0</v>
      </c>
      <c r="I4" s="291">
        <f>'REMUNERACION Reciprocidad EAAB'!D105</f>
        <v>0</v>
      </c>
      <c r="J4" s="292">
        <f>'REMUNERACION Reciprocidad EAAB'!N105</f>
        <v>0</v>
      </c>
      <c r="K4" s="292">
        <f>'REMUNERACION Reciprocidad EAAB'!D126</f>
        <v>0</v>
      </c>
      <c r="L4" s="353">
        <f>'REMUNERACION Reciprocidad EAAB'!E126</f>
        <v>0</v>
      </c>
      <c r="M4" s="292">
        <f>-'REMUNERACION Reciprocidad EAAB'!D67-'REMUNERACION Reciprocidad EAAB'!N67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Reciprocidad'!D23</f>
        <v>0</v>
      </c>
      <c r="D5" s="292">
        <f>'REMUNERACION Reciprocidad EAAB'!G127</f>
        <v>0</v>
      </c>
      <c r="E5" s="292">
        <f>'REMUNERACION Reciprocidad EAAB'!D30+'REMUNERACION Reciprocidad EAAB'!N30</f>
        <v>0</v>
      </c>
      <c r="F5" s="292">
        <f>'REMUNERACION Reciprocidad EAAB'!I144</f>
        <v>0</v>
      </c>
      <c r="G5" s="292">
        <f>'REMUNERACION Reciprocidad EAAB'!H144</f>
        <v>0</v>
      </c>
      <c r="H5" s="340">
        <f t="shared" si="1"/>
        <v>0</v>
      </c>
      <c r="I5" s="291">
        <f>'REMUNERACION Reciprocidad EAAB'!D106</f>
        <v>0</v>
      </c>
      <c r="J5" s="292">
        <f>'REMUNERACION Reciprocidad EAAB'!N106</f>
        <v>0</v>
      </c>
      <c r="K5" s="292">
        <f>'REMUNERACION Reciprocidad EAAB'!D127</f>
        <v>0</v>
      </c>
      <c r="L5" s="353">
        <f>'REMUNERACION Reciprocidad EAAB'!E127</f>
        <v>0</v>
      </c>
      <c r="M5" s="292">
        <f>-'REMUNERACION Reciprocidad EAAB'!D68-'REMUNERACION Reciprocidad EAAB'!N68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Reciprocidad'!F24</f>
        <v>0</v>
      </c>
      <c r="D6" s="292">
        <f>'REMUNERACION Reciprocidad EAAB'!G128</f>
        <v>0</v>
      </c>
      <c r="E6" s="292">
        <f>'REMUNERACION Reciprocidad EAAB'!D31+'REMUNERACION Reciprocidad EAAB'!N31</f>
        <v>0</v>
      </c>
      <c r="F6" s="292">
        <f>'REMUNERACION Reciprocidad EAAB'!I145</f>
        <v>0</v>
      </c>
      <c r="G6" s="292">
        <f>'REMUNERACION Reciprocidad EAAB'!H145</f>
        <v>0</v>
      </c>
      <c r="H6" s="340">
        <f t="shared" si="1"/>
        <v>0</v>
      </c>
      <c r="I6" s="291">
        <f>'REMUNERACION Reciprocidad EAAB'!D107</f>
        <v>0</v>
      </c>
      <c r="J6" s="292">
        <f>'REMUNERACION Reciprocidad EAAB'!N107</f>
        <v>0</v>
      </c>
      <c r="K6" s="292">
        <f>'REMUNERACION Reciprocidad EAAB'!D128</f>
        <v>0</v>
      </c>
      <c r="L6" s="353">
        <f>'REMUNERACION Reciprocidad EAAB'!E128</f>
        <v>0</v>
      </c>
      <c r="M6" s="292">
        <f>-'REMUNERACION Reciprocidad EAAB'!D69-'REMUNERACION Reciprocidad EAAB'!N69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Reciprocidad'!D25</f>
        <v>0</v>
      </c>
      <c r="D7" s="292">
        <f>'REMUNERACION Reciprocidad EAAB'!G129</f>
        <v>0</v>
      </c>
      <c r="E7" s="292">
        <f>'REMUNERACION Reciprocidad EAAB'!D32+'REMUNERACION Reciprocidad EAAB'!N32</f>
        <v>0</v>
      </c>
      <c r="F7" s="292">
        <f>'REMUNERACION Reciprocidad EAAB'!I146</f>
        <v>0</v>
      </c>
      <c r="G7" s="292">
        <f>'REMUNERACION Reciprocidad EAAB'!H146</f>
        <v>0</v>
      </c>
      <c r="H7" s="340">
        <f t="shared" si="1"/>
        <v>0</v>
      </c>
      <c r="I7" s="291">
        <f>'REMUNERACION Reciprocidad EAAB'!D108</f>
        <v>0</v>
      </c>
      <c r="J7" s="292">
        <f>'REMUNERACION Reciprocidad EAAB'!N108</f>
        <v>0</v>
      </c>
      <c r="K7" s="292">
        <f>'REMUNERACION Reciprocidad EAAB'!D129</f>
        <v>0</v>
      </c>
      <c r="L7" s="353">
        <f>'REMUNERACION Reciprocidad EAAB'!E129</f>
        <v>0</v>
      </c>
      <c r="M7" s="292">
        <f>-'REMUNERACION Reciprocidad EAAB'!D70-'REMUNERACION Reciprocidad EAAB'!N70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Reciprocidad'!F26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 Reciprocidad EAAB'!E130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Recaudo'!D9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9.886718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 Reciprocidad EAAB'!D101</f>
        <v>46297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46281</v>
      </c>
      <c r="J7" s="2" t="s">
        <v>28</v>
      </c>
      <c r="K7" s="9">
        <f>'REMUNERACION Reciprocidad EAAB'!K102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0</v>
      </c>
      <c r="E10" s="66">
        <f>'REMUNERACION Reciprocidad EAAB'!E105</f>
        <v>0</v>
      </c>
      <c r="F10" s="66">
        <f>'REMUNERACION Reciprocidad EAAB'!F105</f>
        <v>0</v>
      </c>
      <c r="G10" s="66">
        <f>'REMUNERACION Reciprocidad EAAB'!G105</f>
        <v>0</v>
      </c>
      <c r="H10" s="66">
        <f>'REMUNERACION Reciprocidad EAAB'!H105</f>
        <v>0</v>
      </c>
      <c r="I10" s="66">
        <f>'REMUNERACION Reciprocidad EAAB'!I105</f>
        <v>0</v>
      </c>
      <c r="J10" s="66">
        <f>'REMUNERACION Reciprocidad EAAB'!J105</f>
        <v>0</v>
      </c>
      <c r="K10" s="31">
        <f t="shared" ref="K10:K13" si="0">D10-E10-F10-G10-H10-I10-J10</f>
        <v>0</v>
      </c>
      <c r="L10" s="66">
        <f>'REMUNERACION Reciprocidad EAAB'!L105</f>
        <v>0</v>
      </c>
      <c r="M10" s="31">
        <f>K10-L10</f>
        <v>0</v>
      </c>
      <c r="N10" s="66">
        <f>'REMUNERACION Reciprocidad EAAB'!N105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 Reciprocidad EAAB'!U105</f>
        <v>0</v>
      </c>
      <c r="V10" s="66">
        <f>'REMUNERACION Reciprocidad EAAB'!V105</f>
        <v>0</v>
      </c>
      <c r="W10" s="66">
        <f>'REMUNERACION Reciprocidad EAAB'!W105</f>
        <v>0</v>
      </c>
      <c r="X10" s="66">
        <f>'REMUNERACION Reciprocidad EAAB'!X105</f>
        <v>0</v>
      </c>
      <c r="Y10" s="66">
        <f>'REMUNERACION Reciprocidad EAAB'!Y105</f>
        <v>0</v>
      </c>
      <c r="Z10" s="66">
        <f>'REMUNERACION Reciprocidad EAAB'!Z105</f>
        <v>0</v>
      </c>
      <c r="AA10" s="66">
        <f>'REMUNERACION Reciprocidad EAAB'!AA105</f>
        <v>0</v>
      </c>
      <c r="AB10" s="66">
        <f>'REMUNERACION Reciprocidad EAAB'!AB105</f>
        <v>0</v>
      </c>
      <c r="AC10" s="66">
        <f>'REMUNERACION Reciprocidad EAAB'!AC105</f>
        <v>0</v>
      </c>
      <c r="AD10" s="66">
        <f>'REMUNERACION Reciprocidad EAAB'!AD105</f>
        <v>0</v>
      </c>
      <c r="AE10" s="66">
        <f>'REMUNERACION Reciprocidad EAAB'!AE105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0</v>
      </c>
      <c r="E12" s="66">
        <f>'REMUNERACION Reciprocidad EAAB'!E107</f>
        <v>0</v>
      </c>
      <c r="F12" s="66">
        <f>'REMUNERACION Reciprocidad EAAB'!F107</f>
        <v>0</v>
      </c>
      <c r="G12" s="66">
        <f>'REMUNERACION Reciprocidad EAAB'!G107</f>
        <v>0</v>
      </c>
      <c r="H12" s="66">
        <f>'REMUNERACION Reciprocidad EAAB'!H107</f>
        <v>0</v>
      </c>
      <c r="I12" s="66">
        <f>'REMUNERACION Reciprocidad EAAB'!I107</f>
        <v>0</v>
      </c>
      <c r="J12" s="66">
        <f>'REMUNERACION Reciprocidad EAAB'!J107</f>
        <v>0</v>
      </c>
      <c r="K12" s="31">
        <f t="shared" si="0"/>
        <v>0</v>
      </c>
      <c r="L12" s="66">
        <f>'REMUNERACION Reciprocidad EAAB'!L107</f>
        <v>0</v>
      </c>
      <c r="M12" s="31">
        <f>K12-L12</f>
        <v>0</v>
      </c>
      <c r="N12" s="66">
        <f>'REMUNERACION Reciprocidad EAAB'!N107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 Reciprocidad EAAB'!U107</f>
        <v>0</v>
      </c>
      <c r="V12" s="66">
        <f>'REMUNERACION Reciprocidad EAAB'!V107</f>
        <v>0</v>
      </c>
      <c r="W12" s="66">
        <f>'REMUNERACION Reciprocidad EAAB'!W107</f>
        <v>0</v>
      </c>
      <c r="X12" s="66">
        <f>'REMUNERACION Reciprocidad EAAB'!X107</f>
        <v>0</v>
      </c>
      <c r="Y12" s="66">
        <f>'REMUNERACION Reciprocidad EAAB'!Y107</f>
        <v>0</v>
      </c>
      <c r="Z12" s="66">
        <f>'REMUNERACION Reciprocidad EAAB'!Z107</f>
        <v>0</v>
      </c>
      <c r="AA12" s="66">
        <f>'REMUNERACION Reciprocidad EAAB'!AA107</f>
        <v>0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0</v>
      </c>
      <c r="AE12" s="66">
        <f>'REMUNERACION Reciprocidad EAAB'!AE107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46281</v>
      </c>
      <c r="J27" s="2" t="s">
        <v>28</v>
      </c>
      <c r="K27" s="9">
        <f>'REMUNERACION Reciprocidad EAAB'!K122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0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6">
        <f>'REMUNERACION Reciprocidad EAAB'!G125</f>
        <v>0</v>
      </c>
      <c r="H30" s="310">
        <f>'REMUNERACION Reciprocidad EAAB'!H125</f>
        <v>0</v>
      </c>
      <c r="I30" s="309">
        <f>'REMUNERACION Reciprocidad EAAB'!I125</f>
        <v>0</v>
      </c>
      <c r="J30" s="309">
        <f>'REMUNERACION Reciprocidad EAAB'!J125</f>
        <v>0</v>
      </c>
      <c r="K30" s="309">
        <f>'REMUNERACION Reciprocidad EAAB'!K125</f>
        <v>0</v>
      </c>
      <c r="L30" s="309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0</v>
      </c>
      <c r="E31" s="74">
        <f>'REMUNERACION Reciprocidad EAAB'!E126</f>
        <v>0</v>
      </c>
      <c r="G31" s="339">
        <f>'REMUNERACION Reciprocidad EAAB'!G126</f>
        <v>0</v>
      </c>
      <c r="H31" s="340">
        <f>'REMUNERACION Reciprocidad EAAB'!H126</f>
        <v>0</v>
      </c>
      <c r="I31" s="288">
        <f>'REMUNERACION Reciprocidad EAAB'!I126</f>
        <v>0</v>
      </c>
      <c r="J31" s="288">
        <f>'REMUNERACION Reciprocidad EAAB'!J126</f>
        <v>0</v>
      </c>
      <c r="K31" s="288">
        <f>'REMUNERACION Reciprocidad EAAB'!K126</f>
        <v>0</v>
      </c>
      <c r="L31" s="288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39">
        <f>'REMUNERACION Reciprocidad EAAB'!G127</f>
        <v>0</v>
      </c>
      <c r="H32" s="340">
        <f>'REMUNERACION Reciprocidad EAAB'!H127</f>
        <v>0</v>
      </c>
      <c r="I32" s="288">
        <f>'REMUNERACION Reciprocidad EAAB'!I127</f>
        <v>0</v>
      </c>
      <c r="J32" s="288">
        <f>'REMUNERACION Reciprocidad EAAB'!J127</f>
        <v>0</v>
      </c>
      <c r="K32" s="288">
        <f>'REMUNERACION Reciprocidad EAAB'!K127</f>
        <v>0</v>
      </c>
      <c r="L32" s="288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0</v>
      </c>
      <c r="E33" s="74">
        <f>'REMUNERACION Reciprocidad EAAB'!E128</f>
        <v>0</v>
      </c>
      <c r="G33" s="339">
        <f>'REMUNERACION Reciprocidad EAAB'!G128</f>
        <v>0</v>
      </c>
      <c r="H33" s="340">
        <f>'REMUNERACION Reciprocidad EAAB'!H128</f>
        <v>0</v>
      </c>
      <c r="I33" s="288">
        <f>'REMUNERACION Reciprocidad EAAB'!I128</f>
        <v>0</v>
      </c>
      <c r="J33" s="288">
        <f>'REMUNERACION Reciprocidad EAAB'!J128</f>
        <v>0</v>
      </c>
      <c r="K33" s="288">
        <f>'REMUNERACION Reciprocidad EAAB'!K128</f>
        <v>0</v>
      </c>
      <c r="L33" s="288">
        <f>'REMUNERACION Reciprocidad EAAB'!L128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39">
        <f>'REMUNERACION Reciprocidad EAAB'!G129</f>
        <v>0</v>
      </c>
      <c r="H34" s="340">
        <f>'REMUNERACION Reciprocidad EAAB'!H129</f>
        <v>0</v>
      </c>
      <c r="I34" s="288">
        <f>'REMUNERACION Reciprocidad EAAB'!I129</f>
        <v>0</v>
      </c>
      <c r="J34" s="288">
        <f>'REMUNERACION Reciprocidad EAAB'!J129</f>
        <v>0</v>
      </c>
      <c r="K34" s="288">
        <f>'REMUNERACION Reciprocidad EAAB'!K129</f>
        <v>0</v>
      </c>
      <c r="L34" s="288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>SUM(D30:D34)</f>
        <v>0</v>
      </c>
      <c r="E36" s="107">
        <f>'REMUNERACION Reciprocidad EAAB'!E131</f>
        <v>0</v>
      </c>
      <c r="F36" s="45"/>
      <c r="G36" s="350">
        <f t="shared" ref="G36:L36" si="5">SUM(G30:G34)</f>
        <v>0</v>
      </c>
      <c r="H36" s="350">
        <f t="shared" si="5"/>
        <v>0</v>
      </c>
      <c r="I36" s="350">
        <f t="shared" si="5"/>
        <v>0</v>
      </c>
      <c r="J36" s="350">
        <f t="shared" si="5"/>
        <v>0</v>
      </c>
      <c r="K36" s="350">
        <f t="shared" si="5"/>
        <v>0</v>
      </c>
      <c r="L36" s="350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 Reciprocidad EAAB'!D109</f>
        <v>1</v>
      </c>
      <c r="E44" s="267" t="b">
        <f>E14='REMUNERACION Reciprocidad EAAB'!E109</f>
        <v>1</v>
      </c>
      <c r="F44" s="267" t="b">
        <f>F14='REMUNERACION Reciprocidad EAAB'!F109</f>
        <v>1</v>
      </c>
      <c r="G44" s="267" t="b">
        <f>G14='REMUNERACION Reciprocidad EAAB'!G109</f>
        <v>1</v>
      </c>
      <c r="H44" s="267" t="b">
        <f>H14='REMUNERACION Reciprocidad EAAB'!H109</f>
        <v>1</v>
      </c>
      <c r="I44" s="267" t="b">
        <f>I14='REMUNERACION Reciprocidad EAAB'!I109</f>
        <v>1</v>
      </c>
      <c r="J44" s="267" t="b">
        <f>J14='REMUNERACION Reciprocidad EAAB'!J109</f>
        <v>1</v>
      </c>
      <c r="K44" s="267" t="b">
        <f>K14='REMUNERACION Reciprocidad EAAB'!K109</f>
        <v>1</v>
      </c>
      <c r="L44" s="267" t="b">
        <f>L14='REMUNERACION Reciprocidad EAAB'!L109</f>
        <v>1</v>
      </c>
      <c r="M44" s="267" t="b">
        <f>M14='REMUNERACION Reciprocidad EAAB'!M109</f>
        <v>1</v>
      </c>
      <c r="N44" s="267" t="b">
        <f>N14='REMUNERACION Reciprocidad EAAB'!N109</f>
        <v>1</v>
      </c>
      <c r="O44" s="267" t="b">
        <f>O14='REMUNERACION Reciprocidad EAAB'!O109</f>
        <v>1</v>
      </c>
      <c r="Q44" s="24"/>
      <c r="T44" s="24"/>
    </row>
    <row r="45" spans="1:20" x14ac:dyDescent="0.2">
      <c r="D45" s="267" t="b">
        <f>D36='REMUNERACION Reciprocidad EAAB'!D131</f>
        <v>1</v>
      </c>
      <c r="E45" s="267" t="b">
        <f>E36='REMUNERACION Reciprocidad EAAB'!E131</f>
        <v>1</v>
      </c>
      <c r="F45" s="267" t="b">
        <f>F36='REMUNERACION Reciprocidad EAAB'!F131</f>
        <v>1</v>
      </c>
      <c r="G45" s="267" t="b">
        <f>G36='REMUNERACION Reciprocidad EAAB'!G131</f>
        <v>1</v>
      </c>
      <c r="H45" s="267" t="b">
        <f>H36='REMUNERACION Reciprocidad EAAB'!H131</f>
        <v>1</v>
      </c>
      <c r="I45" s="267" t="b">
        <f>I36='REMUNERACION Reciprocidad EAAB'!I131</f>
        <v>1</v>
      </c>
      <c r="J45" s="267" t="b">
        <f>J36='REMUNERACION Reciprocidad EAAB'!J131</f>
        <v>1</v>
      </c>
      <c r="K45" s="267" t="b">
        <f>K36='REMUNERACION Reciprocidad EAAB'!K131</f>
        <v>1</v>
      </c>
      <c r="L45" s="267" t="b">
        <f>L36='REMUNERACION Reciprocidad EAAB'!L131</f>
        <v>1</v>
      </c>
      <c r="M45" s="267" t="b">
        <f>M36='REMUNERACION Reciprocidad EAAB'!M131</f>
        <v>1</v>
      </c>
      <c r="N45" s="267" t="b">
        <f>N36='REMUNERACION Reciprocidad EAAB'!N131</f>
        <v>1</v>
      </c>
      <c r="O45" s="267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114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R1'!F99</f>
        <v>0</v>
      </c>
      <c r="E9" s="292">
        <f>'Reporte Componentes R1'!G99</f>
        <v>0</v>
      </c>
      <c r="F9" s="292">
        <f>'Reporte Componentes R1'!H99</f>
        <v>0</v>
      </c>
      <c r="G9" s="292">
        <f>'Reporte Componentes R1'!I99</f>
        <v>0</v>
      </c>
      <c r="H9" s="292">
        <f>'Reporte Componentes R1'!J99</f>
        <v>0</v>
      </c>
      <c r="I9" s="292">
        <f>'Reporte Componentes R1'!K99</f>
        <v>0</v>
      </c>
      <c r="J9" s="292">
        <f>'CONSOLIDADO_TOTAL RECAUDO'!J9</f>
        <v>0</v>
      </c>
      <c r="K9" s="293">
        <f>D9-E9-F9-G9-H9-I9-J9</f>
        <v>0</v>
      </c>
      <c r="L9" s="294">
        <f>'CONSOLIDADO_TOTAL RECAUDO'!L9</f>
        <v>189185988</v>
      </c>
      <c r="M9" s="293">
        <f>K9-L9</f>
        <v>-189185988</v>
      </c>
      <c r="N9" s="294">
        <f>'Reporte Componentes R1'!L99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R1'!M99</f>
        <v>0</v>
      </c>
      <c r="V9" s="308">
        <f>'Reporte Componentes R1'!N99</f>
        <v>0</v>
      </c>
      <c r="W9" s="308">
        <f>'Reporte Componentes R1'!O99</f>
        <v>0</v>
      </c>
      <c r="X9" s="308">
        <f>'Reporte Componentes R1'!P99</f>
        <v>0</v>
      </c>
      <c r="Y9" s="309">
        <f>'Reporte Componentes R1'!Q99</f>
        <v>0</v>
      </c>
      <c r="Z9" s="310">
        <f>L9*-1</f>
        <v>-189185988</v>
      </c>
      <c r="AA9" s="311">
        <f>'Reporte Componentes R1'!R99+'Reporte Componentes R1'!V99+'Reporte Componentes R1'!U99</f>
        <v>0</v>
      </c>
      <c r="AB9" s="294">
        <f>N9</f>
        <v>0</v>
      </c>
      <c r="AC9" s="311">
        <f>'Reporte Componentes R1'!T99+'Reporte Componentes R1'!W99+'Reporte Componentes R1'!X99+'Reporte Componentes R1'!Y99+'Reporte Componentes R1'!Z99+'Reporte Componentes R1'!S99</f>
        <v>0</v>
      </c>
      <c r="AD9" s="291">
        <f>-J9+AE9</f>
        <v>0</v>
      </c>
      <c r="AE9" s="291">
        <f>'Reporte Componentes R1'!F100</f>
        <v>0</v>
      </c>
      <c r="AF9" s="313">
        <f>SUM(U9:AD9)</f>
        <v>-189185988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R1'!F333</f>
        <v>0</v>
      </c>
      <c r="E10" s="292">
        <f>'Reporte Componentes R1'!G333</f>
        <v>0</v>
      </c>
      <c r="F10" s="292">
        <f>'Reporte Componentes R1'!H333</f>
        <v>0</v>
      </c>
      <c r="G10" s="292">
        <f>'Reporte Componentes R1'!I333</f>
        <v>0</v>
      </c>
      <c r="H10" s="292">
        <f>'Reporte Componentes R1'!J333</f>
        <v>0</v>
      </c>
      <c r="I10" s="292">
        <f>'Reporte Componentes R1'!K333</f>
        <v>0</v>
      </c>
      <c r="J10" s="292">
        <f>'CONSOLIDADO_TOTAL RECAUDO'!J10</f>
        <v>0</v>
      </c>
      <c r="K10" s="295">
        <f>D10-E10-F10-G10-H10-I10-J10</f>
        <v>0</v>
      </c>
      <c r="L10" s="294">
        <f>'CONSOLIDADO_TOTAL RECAUDO'!L10</f>
        <v>266580256</v>
      </c>
      <c r="M10" s="295">
        <f>K10-L10</f>
        <v>-266580256</v>
      </c>
      <c r="N10" s="294">
        <f>'Reporte Componentes R1'!L333</f>
        <v>0</v>
      </c>
      <c r="O10" s="295">
        <f t="shared" ref="O10:O12" si="0">M10+N10</f>
        <v>-266580256</v>
      </c>
      <c r="Q10" s="306"/>
      <c r="S10" s="314">
        <v>2</v>
      </c>
      <c r="T10" s="315" t="s">
        <v>11</v>
      </c>
      <c r="U10" s="316">
        <f>'Reporte Componentes R1'!M333</f>
        <v>0</v>
      </c>
      <c r="V10" s="317">
        <f>'Reporte Componentes R1'!N333</f>
        <v>0</v>
      </c>
      <c r="W10" s="317">
        <f>'Reporte Componentes R1'!O333</f>
        <v>0</v>
      </c>
      <c r="X10" s="317">
        <f>'Reporte Componentes R1'!P333</f>
        <v>0</v>
      </c>
      <c r="Y10" s="318">
        <f>'Reporte Componentes R1'!Q333</f>
        <v>0</v>
      </c>
      <c r="Z10" s="319">
        <f>L10*-1</f>
        <v>-266580256</v>
      </c>
      <c r="AA10" s="320">
        <f>'Reporte Componentes R1'!R333+'Reporte Componentes R1'!V333+'Reporte Componentes R1'!U333</f>
        <v>0</v>
      </c>
      <c r="AB10" s="294">
        <f>N10</f>
        <v>0</v>
      </c>
      <c r="AC10" s="320">
        <f>'Reporte Componentes R1'!T333+'Reporte Componentes R1'!W333+'Reporte Componentes R1'!X333+'Reporte Componentes R1'!Y333+'Reporte Componentes R1'!Z333+'Reporte Componentes R1'!S333</f>
        <v>0</v>
      </c>
      <c r="AD10" s="291">
        <f t="shared" ref="AD10:AD13" si="1">-J10+AE10</f>
        <v>0</v>
      </c>
      <c r="AE10" s="291">
        <f>'Reporte Componentes R1'!F334</f>
        <v>0</v>
      </c>
      <c r="AF10" s="322">
        <f>SUM(U10:AD10)</f>
        <v>-266580256</v>
      </c>
      <c r="AG10" s="323">
        <f>(AF10-O10)</f>
        <v>0</v>
      </c>
      <c r="AH10" s="1" t="b">
        <f t="shared" ref="AH10:AH14" si="2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R1'!F494</f>
        <v>0</v>
      </c>
      <c r="E11" s="292">
        <f>'Reporte Componentes R1'!G494</f>
        <v>0</v>
      </c>
      <c r="F11" s="292">
        <f>'Reporte Componentes R1'!H494</f>
        <v>0</v>
      </c>
      <c r="G11" s="292">
        <f>'Reporte Componentes R1'!I494</f>
        <v>0</v>
      </c>
      <c r="H11" s="292">
        <f>'Reporte Componentes R1'!J494</f>
        <v>0</v>
      </c>
      <c r="I11" s="292">
        <f>'Reporte Componentes R1'!K494</f>
        <v>0</v>
      </c>
      <c r="J11" s="292">
        <f>'CONSOLIDADO_TOTAL RECAUDO'!J11</f>
        <v>0</v>
      </c>
      <c r="K11" s="295">
        <f t="shared" ref="K11:K13" si="3">D11-E11-F11-G11-H11-I11-J11</f>
        <v>0</v>
      </c>
      <c r="L11" s="294">
        <f>'CONSOLIDADO_TOTAL RECAUDO'!L11</f>
        <v>154788536</v>
      </c>
      <c r="M11" s="295">
        <f>K11-L11</f>
        <v>-154788536</v>
      </c>
      <c r="N11" s="294">
        <f>'Reporte Componentes R1'!L494</f>
        <v>0</v>
      </c>
      <c r="O11" s="295">
        <f t="shared" si="0"/>
        <v>-154788536</v>
      </c>
      <c r="Q11" s="306"/>
      <c r="S11" s="314">
        <v>3</v>
      </c>
      <c r="T11" s="315" t="s">
        <v>12</v>
      </c>
      <c r="U11" s="316">
        <f>'Reporte Componentes R1'!M494</f>
        <v>0</v>
      </c>
      <c r="V11" s="317">
        <f>'Reporte Componentes R1'!N494</f>
        <v>0</v>
      </c>
      <c r="W11" s="317">
        <f>'Reporte Componentes R1'!O494</f>
        <v>0</v>
      </c>
      <c r="X11" s="317">
        <f>'Reporte Componentes R1'!P494</f>
        <v>0</v>
      </c>
      <c r="Y11" s="318">
        <f>'Reporte Componentes R1'!Q494</f>
        <v>0</v>
      </c>
      <c r="Z11" s="319">
        <f>L11*-1</f>
        <v>-154788536</v>
      </c>
      <c r="AA11" s="320">
        <f>'Reporte Componentes R1'!R494+'Reporte Componentes R1'!V494+'Reporte Componentes R1'!U494</f>
        <v>0</v>
      </c>
      <c r="AB11" s="294">
        <f>N11</f>
        <v>0</v>
      </c>
      <c r="AC11" s="320">
        <f>'Reporte Componentes R1'!T494+'Reporte Componentes R1'!W494+'Reporte Componentes R1'!X494+'Reporte Componentes R1'!Y494+'Reporte Componentes R1'!Z494+'Reporte Componentes R1'!S494</f>
        <v>0</v>
      </c>
      <c r="AD11" s="291">
        <f t="shared" si="1"/>
        <v>0</v>
      </c>
      <c r="AE11" s="291">
        <f>'Reporte Componentes R1'!F495</f>
        <v>0</v>
      </c>
      <c r="AF11" s="322">
        <f t="shared" ref="AF11:AF13" si="4">SUM(U11:AD11)</f>
        <v>-154788536</v>
      </c>
      <c r="AG11" s="323">
        <f>(AF11-O11)</f>
        <v>0</v>
      </c>
      <c r="AH11" s="1" t="b">
        <f t="shared" si="2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R1'!F702</f>
        <v>0</v>
      </c>
      <c r="E12" s="292">
        <f>'Reporte Componentes R1'!G702</f>
        <v>0</v>
      </c>
      <c r="F12" s="292">
        <f>'Reporte Componentes R1'!H702</f>
        <v>0</v>
      </c>
      <c r="G12" s="292">
        <f>'Reporte Componentes R1'!I702</f>
        <v>0</v>
      </c>
      <c r="H12" s="292">
        <f>'Reporte Componentes R1'!J702</f>
        <v>0</v>
      </c>
      <c r="I12" s="292">
        <f>'Reporte Componentes R1'!K702</f>
        <v>0</v>
      </c>
      <c r="J12" s="292">
        <f>'CONSOLIDADO_TOTAL RECAUDO'!J12</f>
        <v>0</v>
      </c>
      <c r="K12" s="295">
        <f>D12-E12-F12-G12-H12-I12-J12</f>
        <v>0</v>
      </c>
      <c r="L12" s="294">
        <f>'CONSOLIDADO_TOTAL RECAUDO'!L12</f>
        <v>120391083</v>
      </c>
      <c r="M12" s="295">
        <f>K12-L12</f>
        <v>-120391083</v>
      </c>
      <c r="N12" s="294">
        <f>'Reporte Componentes R1'!L702</f>
        <v>0</v>
      </c>
      <c r="O12" s="295">
        <f t="shared" si="0"/>
        <v>-120391083</v>
      </c>
      <c r="Q12" s="306"/>
      <c r="S12" s="314">
        <v>4</v>
      </c>
      <c r="T12" s="315" t="s">
        <v>13</v>
      </c>
      <c r="U12" s="316">
        <f>'Reporte Componentes R1'!M702</f>
        <v>0</v>
      </c>
      <c r="V12" s="317">
        <f>'Reporte Componentes R1'!N702</f>
        <v>0</v>
      </c>
      <c r="W12" s="317">
        <f>'Reporte Componentes R1'!O702</f>
        <v>0</v>
      </c>
      <c r="X12" s="317">
        <f>'Reporte Componentes R1'!P702</f>
        <v>0</v>
      </c>
      <c r="Y12" s="318">
        <f>'Reporte Componentes R1'!Q702</f>
        <v>0</v>
      </c>
      <c r="Z12" s="319">
        <f>L12*-1</f>
        <v>-120391083</v>
      </c>
      <c r="AA12" s="320">
        <f>'Reporte Componentes R1'!R702+'Reporte Componentes R1'!V702+'Reporte Componentes R1'!U702</f>
        <v>0</v>
      </c>
      <c r="AB12" s="294">
        <f>N12</f>
        <v>0</v>
      </c>
      <c r="AC12" s="320">
        <f>'Reporte Componentes R1'!T702+'Reporte Componentes R1'!W702+'Reporte Componentes R1'!X702+'Reporte Componentes R1'!Y702+'Reporte Componentes R1'!Z702+'Reporte Componentes R1'!S702</f>
        <v>0</v>
      </c>
      <c r="AD12" s="291">
        <f t="shared" si="1"/>
        <v>0</v>
      </c>
      <c r="AE12" s="291">
        <f>'Reporte Componentes R1'!F703</f>
        <v>0</v>
      </c>
      <c r="AF12" s="322">
        <f t="shared" si="4"/>
        <v>-120391083</v>
      </c>
      <c r="AG12" s="323">
        <f>(AF12-O12)</f>
        <v>0</v>
      </c>
      <c r="AH12" s="1" t="b">
        <f t="shared" si="2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R1'!F821</f>
        <v>0</v>
      </c>
      <c r="E13" s="297">
        <f>'Reporte Componentes R1'!G821</f>
        <v>0</v>
      </c>
      <c r="F13" s="297">
        <f>'Reporte Componentes R1'!H821</f>
        <v>0</v>
      </c>
      <c r="G13" s="297">
        <f>'Reporte Componentes R1'!I821</f>
        <v>0</v>
      </c>
      <c r="H13" s="297">
        <f>'Reporte Componentes R1'!J821</f>
        <v>0</v>
      </c>
      <c r="I13" s="297">
        <f>'Reporte Componentes R1'!K821</f>
        <v>0</v>
      </c>
      <c r="J13" s="292">
        <f>'CONSOLIDADO_TOTAL RECAUDO'!J13</f>
        <v>0</v>
      </c>
      <c r="K13" s="295">
        <f t="shared" si="3"/>
        <v>0</v>
      </c>
      <c r="L13" s="294">
        <f>'CONSOLIDADO_TOTAL RECAUDO'!L13</f>
        <v>128990446</v>
      </c>
      <c r="M13" s="298">
        <f>K13-L13</f>
        <v>-128990446</v>
      </c>
      <c r="N13" s="299">
        <f>'Reporte Componentes R1'!L821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R1'!M821</f>
        <v>0</v>
      </c>
      <c r="V13" s="297">
        <f>'Reporte Componentes R1'!N821</f>
        <v>0</v>
      </c>
      <c r="W13" s="297">
        <f>'Reporte Componentes R1'!O821</f>
        <v>0</v>
      </c>
      <c r="X13" s="297">
        <f>'Reporte Componentes R1'!P821</f>
        <v>0</v>
      </c>
      <c r="Y13" s="289">
        <f>'Reporte Componentes R1'!Q821</f>
        <v>0</v>
      </c>
      <c r="Z13" s="319">
        <f>L13*-1</f>
        <v>-128990446</v>
      </c>
      <c r="AA13" s="320">
        <f>'Reporte Componentes R1'!R821+'Reporte Componentes R1'!V821+'Reporte Componentes R1'!U821</f>
        <v>0</v>
      </c>
      <c r="AB13" s="294">
        <f>N13</f>
        <v>0</v>
      </c>
      <c r="AC13" s="320">
        <f>'Reporte Componentes R1'!T821+'Reporte Componentes R1'!W821+'Reporte Componentes R1'!X821+'Reporte Componentes R1'!Y821+'Reporte Componentes R1'!Z821+'Reporte Componentes R1'!S821</f>
        <v>0</v>
      </c>
      <c r="AD13" s="291">
        <f t="shared" si="1"/>
        <v>0</v>
      </c>
      <c r="AE13" s="291">
        <f>'Reporte Componentes R1'!F822</f>
        <v>0</v>
      </c>
      <c r="AF13" s="322">
        <f t="shared" si="4"/>
        <v>-128990446</v>
      </c>
      <c r="AG13" s="326">
        <f>(AF13-O13)</f>
        <v>0</v>
      </c>
      <c r="AH13" s="1" t="b">
        <f t="shared" si="2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859936309</v>
      </c>
      <c r="M14" s="302">
        <f t="shared" si="5"/>
        <v>-859936309</v>
      </c>
      <c r="N14" s="301">
        <f t="shared" si="5"/>
        <v>0</v>
      </c>
      <c r="O14" s="302">
        <f t="shared" si="5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-859936309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-859936309</v>
      </c>
      <c r="AG14" s="332">
        <f>SUM(AG9:AG13)</f>
        <v>0</v>
      </c>
      <c r="AH14" s="1" t="b">
        <f t="shared" si="2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.6" thickBot="1" x14ac:dyDescent="0.3">
      <c r="B28" s="303">
        <v>1</v>
      </c>
      <c r="C28" s="304" t="s">
        <v>10</v>
      </c>
      <c r="D28" s="291">
        <f>'Rem. Anticipos R2'!E63</f>
        <v>0</v>
      </c>
      <c r="E28" s="292">
        <f>'Rem. Anticipos R2'!F63</f>
        <v>0</v>
      </c>
      <c r="F28" s="292">
        <f>'Rem. Anticipos R2'!G63</f>
        <v>0</v>
      </c>
      <c r="G28" s="292">
        <f>'Rem. Anticipos R2'!H63</f>
        <v>0</v>
      </c>
      <c r="H28" s="292">
        <f>'Rem. Anticipos R2'!I63</f>
        <v>0</v>
      </c>
      <c r="I28" s="292">
        <f>'Rem. Anticipos R2'!J63</f>
        <v>0</v>
      </c>
      <c r="J28" s="289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R2'!K63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R2'!L63</f>
        <v>0</v>
      </c>
      <c r="V28" s="308">
        <f>'Rem. Anticipos R2'!M63</f>
        <v>0</v>
      </c>
      <c r="W28" s="308">
        <f>'Rem. Anticipos R2'!N63</f>
        <v>0</v>
      </c>
      <c r="X28" s="308">
        <f>'Rem. Anticipos R2'!O63</f>
        <v>0</v>
      </c>
      <c r="Y28" s="309">
        <f>'Rem. Anticipos R2'!P63</f>
        <v>0</v>
      </c>
      <c r="Z28" s="310">
        <f>L28*-1</f>
        <v>0</v>
      </c>
      <c r="AA28" s="311">
        <f>'Rem. Anticipos R2'!Q63</f>
        <v>0</v>
      </c>
      <c r="AB28" s="294">
        <f>N28</f>
        <v>0</v>
      </c>
      <c r="AC28" s="311">
        <f>'Rem. Anticipos R2'!R63</f>
        <v>0</v>
      </c>
      <c r="AD28" s="291">
        <f>-J28+AE28</f>
        <v>0</v>
      </c>
      <c r="AE28" s="291">
        <f>'Rem. Anticipos R2'!E64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R2'!E184</f>
        <v>0</v>
      </c>
      <c r="E29" s="292">
        <f>'Rem. Anticipos R2'!F184</f>
        <v>0</v>
      </c>
      <c r="F29" s="292">
        <f>'Rem. Anticipos R2'!G184</f>
        <v>0</v>
      </c>
      <c r="G29" s="292">
        <f>'Rem. Anticipos R2'!H184</f>
        <v>0</v>
      </c>
      <c r="H29" s="292">
        <f>'Rem. Anticipos R2'!I184</f>
        <v>0</v>
      </c>
      <c r="I29" s="292">
        <f>'Rem. Anticipos R2'!J184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R2'!K184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R2'!L184</f>
        <v>0</v>
      </c>
      <c r="V29" s="317">
        <f>'Rem. Anticipos R2'!M184</f>
        <v>0</v>
      </c>
      <c r="W29" s="317">
        <f>'Rem. Anticipos R2'!N184</f>
        <v>0</v>
      </c>
      <c r="X29" s="317">
        <f>'Rem. Anticipos R2'!O184</f>
        <v>0</v>
      </c>
      <c r="Y29" s="318">
        <f>'Rem. Anticipos R2'!P184</f>
        <v>0</v>
      </c>
      <c r="Z29" s="319">
        <f>L29*-1</f>
        <v>0</v>
      </c>
      <c r="AA29" s="320">
        <f>'Rem. Anticipos R2'!Q184</f>
        <v>0</v>
      </c>
      <c r="AB29" s="294">
        <f>N29</f>
        <v>0</v>
      </c>
      <c r="AC29" s="320">
        <f>'Rem. Anticipos R2'!R184</f>
        <v>0</v>
      </c>
      <c r="AD29" s="291">
        <f>-J29+AE29</f>
        <v>0</v>
      </c>
      <c r="AE29" s="291">
        <f>'Rem. Anticipos R2'!E185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R2'!E305</f>
        <v>0</v>
      </c>
      <c r="E30" s="292">
        <f>'Rem. Anticipos R2'!F305</f>
        <v>0</v>
      </c>
      <c r="F30" s="292">
        <f>'Rem. Anticipos R2'!G305</f>
        <v>0</v>
      </c>
      <c r="G30" s="292">
        <f>'Rem. Anticipos R2'!H305</f>
        <v>0</v>
      </c>
      <c r="H30" s="292">
        <f>'Rem. Anticipos R2'!I305</f>
        <v>0</v>
      </c>
      <c r="I30" s="292">
        <f>'Rem. Anticipos R2'!J305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R2'!K305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R2'!L305</f>
        <v>0</v>
      </c>
      <c r="V30" s="317">
        <f>'Rem. Anticipos R2'!M305</f>
        <v>0</v>
      </c>
      <c r="W30" s="317">
        <f>'Rem. Anticipos R2'!N305</f>
        <v>0</v>
      </c>
      <c r="X30" s="317">
        <f>'Rem. Anticipos R2'!O305</f>
        <v>0</v>
      </c>
      <c r="Y30" s="318">
        <f>'Rem. Anticipos R2'!P305</f>
        <v>0</v>
      </c>
      <c r="Z30" s="319">
        <f>L30*-1</f>
        <v>0</v>
      </c>
      <c r="AA30" s="320">
        <f>'Rem. Anticipos R2'!Q305</f>
        <v>0</v>
      </c>
      <c r="AB30" s="294">
        <f>N30</f>
        <v>0</v>
      </c>
      <c r="AC30" s="320">
        <f>'Rem. Anticipos R2'!R305</f>
        <v>0</v>
      </c>
      <c r="AD30" s="291">
        <f t="shared" ref="AD30:AD32" si="10">-J30+AE30</f>
        <v>0</v>
      </c>
      <c r="AE30" s="291">
        <f>'Rem. Anticipos R2'!E306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R2'!E429</f>
        <v>0</v>
      </c>
      <c r="E31" s="292">
        <f>'Rem. Anticipos R2'!F429</f>
        <v>0</v>
      </c>
      <c r="F31" s="292">
        <f>'Rem. Anticipos R2'!G429</f>
        <v>0</v>
      </c>
      <c r="G31" s="292">
        <f>'Rem. Anticipos R2'!H429</f>
        <v>0</v>
      </c>
      <c r="H31" s="292">
        <f>'Rem. Anticipos R2'!I429</f>
        <v>0</v>
      </c>
      <c r="I31" s="292">
        <f>'Rem. Anticipos R2'!J429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R2'!K429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R2'!L429</f>
        <v>0</v>
      </c>
      <c r="V31" s="317">
        <f>'Rem. Anticipos R2'!M429</f>
        <v>0</v>
      </c>
      <c r="W31" s="317">
        <f>'Rem. Anticipos R2'!N429</f>
        <v>0</v>
      </c>
      <c r="X31" s="317">
        <f>'Rem. Anticipos R2'!O429</f>
        <v>0</v>
      </c>
      <c r="Y31" s="318">
        <f>'Rem. Anticipos R2'!P429</f>
        <v>0</v>
      </c>
      <c r="Z31" s="319">
        <f>L31*-1</f>
        <v>0</v>
      </c>
      <c r="AA31" s="320">
        <f>'Rem. Anticipos R2'!Q429</f>
        <v>0</v>
      </c>
      <c r="AB31" s="294">
        <f>N31</f>
        <v>0</v>
      </c>
      <c r="AC31" s="320">
        <f>'Rem. Anticipos R2'!R429</f>
        <v>0</v>
      </c>
      <c r="AD31" s="291">
        <f t="shared" si="10"/>
        <v>0</v>
      </c>
      <c r="AE31" s="291">
        <f>'Rem. Anticipos R2'!E430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R2'!E516</f>
        <v>0</v>
      </c>
      <c r="E32" s="297">
        <f>'Rem. Anticipos R2'!F516</f>
        <v>0</v>
      </c>
      <c r="F32" s="297">
        <f>'Rem. Anticipos R2'!G516</f>
        <v>0</v>
      </c>
      <c r="G32" s="297">
        <f>'Rem. Anticipos R2'!H516</f>
        <v>0</v>
      </c>
      <c r="H32" s="297">
        <f>'Rem. Anticipos R2'!I516</f>
        <v>0</v>
      </c>
      <c r="I32" s="297">
        <f>'Rem. Anticipos R2'!J516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R2'!K516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R2'!L516</f>
        <v>0</v>
      </c>
      <c r="V32" s="297">
        <f>'Rem. Anticipos R2'!M516</f>
        <v>0</v>
      </c>
      <c r="W32" s="297">
        <f>'Rem. Anticipos R2'!N516</f>
        <v>0</v>
      </c>
      <c r="X32" s="297">
        <f>'Rem. Anticipos R2'!O516</f>
        <v>0</v>
      </c>
      <c r="Y32" s="289">
        <f>'Rem. Anticipos R2'!P516</f>
        <v>0</v>
      </c>
      <c r="Z32" s="319">
        <f>L32*-1</f>
        <v>0</v>
      </c>
      <c r="AA32" s="320">
        <f>'Rem. Anticipos R2'!Q516</f>
        <v>0</v>
      </c>
      <c r="AB32" s="294">
        <f>N32</f>
        <v>0</v>
      </c>
      <c r="AC32" s="320">
        <f>'Rem. Anticipos R2'!R516</f>
        <v>0</v>
      </c>
      <c r="AD32" s="291">
        <f t="shared" si="10"/>
        <v>0</v>
      </c>
      <c r="AE32" s="291">
        <f>'Rem. Anticipos R2'!E517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.6" thickBot="1" x14ac:dyDescent="0.3">
      <c r="B47" s="303">
        <v>1</v>
      </c>
      <c r="C47" s="304" t="s">
        <v>10</v>
      </c>
      <c r="D47" s="291">
        <f>'Reporte Componentes R1'!F101</f>
        <v>0</v>
      </c>
      <c r="E47" s="292">
        <f>'Reporte Componentes R1'!G101</f>
        <v>0</v>
      </c>
      <c r="F47" s="292">
        <f>'Reporte Componentes R1'!H101</f>
        <v>0</v>
      </c>
      <c r="G47" s="292">
        <f>'Reporte Componentes R1'!I101</f>
        <v>0</v>
      </c>
      <c r="H47" s="292">
        <f>'Reporte Componentes R1'!J101</f>
        <v>0</v>
      </c>
      <c r="I47" s="292">
        <f>'Reporte Componentes R1'!K101</f>
        <v>0</v>
      </c>
      <c r="J47" s="289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R1'!L101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R1'!M101</f>
        <v>0</v>
      </c>
      <c r="V47" s="308">
        <f>'Reporte Componentes R1'!N101</f>
        <v>0</v>
      </c>
      <c r="W47" s="308">
        <f>'Reporte Componentes R1'!O101</f>
        <v>0</v>
      </c>
      <c r="X47" s="308">
        <f>'Reporte Componentes R1'!P101</f>
        <v>0</v>
      </c>
      <c r="Y47" s="309">
        <f>'Reporte Componentes R1'!Q101</f>
        <v>0</v>
      </c>
      <c r="Z47" s="310">
        <f>-L47</f>
        <v>0</v>
      </c>
      <c r="AA47" s="320">
        <f>'Reporte Componentes R1'!R101+'Reporte Componentes R1'!V101+'Reporte Componentes R1'!U101</f>
        <v>0</v>
      </c>
      <c r="AB47" s="294">
        <f>N47</f>
        <v>0</v>
      </c>
      <c r="AC47" s="311">
        <f>'Reporte Componentes R1'!T101+'Reporte Componentes R1'!W101+'Reporte Componentes R1'!X101+'Reporte Componentes R1'!Y101+'Reporte Componentes R1'!Z101+'Reporte Componentes R1'!S101</f>
        <v>0</v>
      </c>
      <c r="AD47" s="291">
        <f>-J47+AE47</f>
        <v>0</v>
      </c>
      <c r="AE47" s="291">
        <f>'Reporte Componentes R1'!F102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R1'!F335</f>
        <v>0</v>
      </c>
      <c r="E48" s="292">
        <f>'Reporte Componentes R1'!G335</f>
        <v>0</v>
      </c>
      <c r="F48" s="292">
        <f>'Reporte Componentes R1'!H335</f>
        <v>0</v>
      </c>
      <c r="G48" s="292">
        <f>'Reporte Componentes R1'!I335</f>
        <v>0</v>
      </c>
      <c r="H48" s="292">
        <f>'Reporte Componentes R1'!J335</f>
        <v>0</v>
      </c>
      <c r="I48" s="292">
        <f>'Reporte Componentes R1'!K335</f>
        <v>0</v>
      </c>
      <c r="J48" s="288">
        <v>0</v>
      </c>
      <c r="K48" s="295">
        <f t="shared" ref="K48:K51" si="15">D48-E48-F48-G48-H48-I48-J48</f>
        <v>0</v>
      </c>
      <c r="L48" s="294">
        <v>0</v>
      </c>
      <c r="M48" s="295">
        <f>K48-L48</f>
        <v>0</v>
      </c>
      <c r="N48" s="294">
        <f>'Reporte Componentes R1'!L335</f>
        <v>0</v>
      </c>
      <c r="O48" s="295">
        <f t="shared" ref="O48:O51" si="16">M48+N48</f>
        <v>0</v>
      </c>
      <c r="Q48" s="306"/>
      <c r="S48" s="314">
        <v>2</v>
      </c>
      <c r="T48" s="315" t="s">
        <v>11</v>
      </c>
      <c r="U48" s="316">
        <f>'Reporte Componentes R1'!M335</f>
        <v>0</v>
      </c>
      <c r="V48" s="317">
        <f>'Reporte Componentes R1'!N335</f>
        <v>0</v>
      </c>
      <c r="W48" s="317">
        <f>'Reporte Componentes R1'!O335</f>
        <v>0</v>
      </c>
      <c r="X48" s="317">
        <f>'Reporte Componentes R1'!P335</f>
        <v>0</v>
      </c>
      <c r="Y48" s="318">
        <f>'Reporte Componentes R1'!Q335</f>
        <v>0</v>
      </c>
      <c r="Z48" s="319">
        <f>-L48</f>
        <v>0</v>
      </c>
      <c r="AA48" s="320">
        <f>'Reporte Componentes R1'!R335+'Reporte Componentes R1'!V335+'Reporte Componentes R1'!U335</f>
        <v>0</v>
      </c>
      <c r="AB48" s="294">
        <f>N48</f>
        <v>0</v>
      </c>
      <c r="AC48" s="320">
        <f>'Reporte Componentes R1'!T335+'Reporte Componentes R1'!W335+'Reporte Componentes R1'!X335+'Reporte Componentes R1'!Y335+'Reporte Componentes R1'!Z335+'Reporte Componentes R1'!S335</f>
        <v>0</v>
      </c>
      <c r="AD48" s="291">
        <f t="shared" ref="AD48:AD51" si="17">-J48+AE48</f>
        <v>0</v>
      </c>
      <c r="AE48" s="291">
        <f>'Reporte Componentes R1'!F336</f>
        <v>0</v>
      </c>
      <c r="AF48" s="322">
        <f>SUM(U48:AD48)</f>
        <v>0</v>
      </c>
      <c r="AG48" s="323">
        <f>(AF48-O48)</f>
        <v>0</v>
      </c>
      <c r="AH48" s="1" t="b">
        <f t="shared" ref="AH48:AH52" si="18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R1'!F496</f>
        <v>0</v>
      </c>
      <c r="E49" s="292">
        <f>'Reporte Componentes R1'!G496</f>
        <v>0</v>
      </c>
      <c r="F49" s="292">
        <f>'Reporte Componentes R1'!H496</f>
        <v>0</v>
      </c>
      <c r="G49" s="292">
        <f>'Reporte Componentes R1'!I496</f>
        <v>0</v>
      </c>
      <c r="H49" s="292">
        <f>'Reporte Componentes R1'!J496</f>
        <v>0</v>
      </c>
      <c r="I49" s="292">
        <f>'Reporte Componentes R1'!K496</f>
        <v>0</v>
      </c>
      <c r="J49" s="288">
        <v>0</v>
      </c>
      <c r="K49" s="295">
        <f t="shared" si="15"/>
        <v>0</v>
      </c>
      <c r="L49" s="294">
        <v>0</v>
      </c>
      <c r="M49" s="295">
        <f>K49-L49</f>
        <v>0</v>
      </c>
      <c r="N49" s="294">
        <f>'Reporte Componentes R1'!L496</f>
        <v>0</v>
      </c>
      <c r="O49" s="295">
        <f t="shared" si="16"/>
        <v>0</v>
      </c>
      <c r="Q49" s="306"/>
      <c r="S49" s="314">
        <v>3</v>
      </c>
      <c r="T49" s="315" t="s">
        <v>12</v>
      </c>
      <c r="U49" s="316">
        <f>'Reporte Componentes R1'!M496</f>
        <v>0</v>
      </c>
      <c r="V49" s="317">
        <f>'Reporte Componentes R1'!N496</f>
        <v>0</v>
      </c>
      <c r="W49" s="317">
        <f>'Reporte Componentes R1'!O496</f>
        <v>0</v>
      </c>
      <c r="X49" s="317">
        <f>'Reporte Componentes R1'!P496</f>
        <v>0</v>
      </c>
      <c r="Y49" s="318">
        <f>'Reporte Componentes R1'!Q496</f>
        <v>0</v>
      </c>
      <c r="Z49" s="319">
        <f>-L49</f>
        <v>0</v>
      </c>
      <c r="AA49" s="320">
        <f>'Reporte Componentes R1'!R496+'Reporte Componentes R1'!V496+'Reporte Componentes R1'!U496</f>
        <v>0</v>
      </c>
      <c r="AB49" s="294">
        <f>N49</f>
        <v>0</v>
      </c>
      <c r="AC49" s="320">
        <f>'Reporte Componentes R1'!T496+'Reporte Componentes R1'!W496+'Reporte Componentes R1'!X496+'Reporte Componentes R1'!Y496+'Reporte Componentes R1'!Z496+'Reporte Componentes R1'!S496</f>
        <v>0</v>
      </c>
      <c r="AD49" s="291">
        <f t="shared" si="17"/>
        <v>0</v>
      </c>
      <c r="AE49" s="291">
        <f>'Reporte Componentes R1'!F497</f>
        <v>0</v>
      </c>
      <c r="AF49" s="322">
        <f t="shared" ref="AF49:AF51" si="19">SUM(U49:AD49)</f>
        <v>0</v>
      </c>
      <c r="AG49" s="323">
        <f t="shared" ref="AG49:AG51" si="20">(AF49-O49)</f>
        <v>0</v>
      </c>
      <c r="AH49" s="1" t="b">
        <f t="shared" si="18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R1'!F704</f>
        <v>0</v>
      </c>
      <c r="E50" s="292">
        <f>'Reporte Componentes R1'!G704</f>
        <v>0</v>
      </c>
      <c r="F50" s="292">
        <f>'Reporte Componentes R1'!H704</f>
        <v>0</v>
      </c>
      <c r="G50" s="292">
        <f>'Reporte Componentes R1'!I704</f>
        <v>0</v>
      </c>
      <c r="H50" s="292">
        <f>'Reporte Componentes R1'!J704</f>
        <v>0</v>
      </c>
      <c r="I50" s="292">
        <f>'Reporte Componentes R1'!K704</f>
        <v>0</v>
      </c>
      <c r="J50" s="288">
        <v>0</v>
      </c>
      <c r="K50" s="295">
        <f t="shared" si="15"/>
        <v>0</v>
      </c>
      <c r="L50" s="294">
        <v>0</v>
      </c>
      <c r="M50" s="295">
        <f>K50-L50</f>
        <v>0</v>
      </c>
      <c r="N50" s="294">
        <f>'Reporte Componentes R1'!L704</f>
        <v>0</v>
      </c>
      <c r="O50" s="295">
        <f t="shared" si="16"/>
        <v>0</v>
      </c>
      <c r="Q50" s="306"/>
      <c r="S50" s="314">
        <v>4</v>
      </c>
      <c r="T50" s="315" t="s">
        <v>13</v>
      </c>
      <c r="U50" s="316">
        <f>'Reporte Componentes R1'!M704</f>
        <v>0</v>
      </c>
      <c r="V50" s="317">
        <f>'Reporte Componentes R1'!N704</f>
        <v>0</v>
      </c>
      <c r="W50" s="317">
        <f>'Reporte Componentes R1'!O704</f>
        <v>0</v>
      </c>
      <c r="X50" s="317">
        <f>'Reporte Componentes R1'!P704</f>
        <v>0</v>
      </c>
      <c r="Y50" s="318">
        <f>'Reporte Componentes R1'!Q704</f>
        <v>0</v>
      </c>
      <c r="Z50" s="319">
        <f>-L50</f>
        <v>0</v>
      </c>
      <c r="AA50" s="320">
        <f>'Reporte Componentes R1'!R704+'Reporte Componentes R1'!V704+'Reporte Componentes R1'!U704</f>
        <v>0</v>
      </c>
      <c r="AB50" s="294">
        <f>N50</f>
        <v>0</v>
      </c>
      <c r="AC50" s="320">
        <f>'Reporte Componentes R1'!T704+'Reporte Componentes R1'!W704+'Reporte Componentes R1'!X704+'Reporte Componentes R1'!Y704+'Reporte Componentes R1'!Z704+'Reporte Componentes R1'!S704</f>
        <v>0</v>
      </c>
      <c r="AD50" s="291">
        <f t="shared" si="17"/>
        <v>0</v>
      </c>
      <c r="AE50" s="291">
        <f>'Reporte Componentes R1'!F705</f>
        <v>0</v>
      </c>
      <c r="AF50" s="322">
        <f t="shared" si="19"/>
        <v>0</v>
      </c>
      <c r="AG50" s="323">
        <f t="shared" si="20"/>
        <v>0</v>
      </c>
      <c r="AH50" s="1" t="b">
        <f t="shared" si="18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R1'!F823</f>
        <v>0</v>
      </c>
      <c r="E51" s="297">
        <f>'Reporte Componentes R1'!G823</f>
        <v>0</v>
      </c>
      <c r="F51" s="297">
        <f>'Reporte Componentes R1'!H823</f>
        <v>0</v>
      </c>
      <c r="G51" s="297">
        <f>'Reporte Componentes R1'!I823</f>
        <v>0</v>
      </c>
      <c r="H51" s="297">
        <f>'Reporte Componentes R1'!J823</f>
        <v>0</v>
      </c>
      <c r="I51" s="297">
        <f>'Reporte Componentes R1'!K823</f>
        <v>0</v>
      </c>
      <c r="J51" s="289">
        <v>0</v>
      </c>
      <c r="K51" s="295">
        <f t="shared" si="15"/>
        <v>0</v>
      </c>
      <c r="L51" s="294">
        <v>0</v>
      </c>
      <c r="M51" s="298">
        <f>K51-L51</f>
        <v>0</v>
      </c>
      <c r="N51" s="299">
        <f>'Reporte Componentes R1'!L823</f>
        <v>0</v>
      </c>
      <c r="O51" s="298">
        <f t="shared" si="16"/>
        <v>0</v>
      </c>
      <c r="Q51" s="306"/>
      <c r="S51" s="324">
        <v>5</v>
      </c>
      <c r="T51" s="325" t="s">
        <v>14</v>
      </c>
      <c r="U51" s="296">
        <f>'Reporte Componentes R1'!M823</f>
        <v>0</v>
      </c>
      <c r="V51" s="297">
        <f>'Reporte Componentes R1'!N823</f>
        <v>0</v>
      </c>
      <c r="W51" s="297">
        <f>'Reporte Componentes R1'!O823</f>
        <v>0</v>
      </c>
      <c r="X51" s="297">
        <f>'Reporte Componentes R1'!P823</f>
        <v>0</v>
      </c>
      <c r="Y51" s="289">
        <f>'Reporte Componentes R1'!Q823</f>
        <v>0</v>
      </c>
      <c r="Z51" s="319">
        <f>-L51</f>
        <v>0</v>
      </c>
      <c r="AA51" s="320">
        <f>'Reporte Componentes R1'!R823+'Reporte Componentes R1'!V823+'Reporte Componentes R1'!U823</f>
        <v>0</v>
      </c>
      <c r="AB51" s="294">
        <f>N51</f>
        <v>0</v>
      </c>
      <c r="AC51" s="320">
        <f>'Reporte Componentes R1'!T823+'Reporte Componentes R1'!W823+'Reporte Componentes R1'!X823+'Reporte Componentes R1'!Y823+'Reporte Componentes R1'!Z823+'Reporte Componentes R1'!S823</f>
        <v>0</v>
      </c>
      <c r="AD51" s="291">
        <f t="shared" si="17"/>
        <v>0</v>
      </c>
      <c r="AE51" s="291">
        <f>'Reporte Componentes R1'!F824</f>
        <v>0</v>
      </c>
      <c r="AF51" s="322">
        <f t="shared" si="19"/>
        <v>0</v>
      </c>
      <c r="AG51" s="326">
        <f t="shared" si="20"/>
        <v>0</v>
      </c>
      <c r="AH51" s="1" t="b">
        <f t="shared" si="18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332">
        <f t="shared" si="23"/>
        <v>0</v>
      </c>
      <c r="AH52" s="1" t="b">
        <f t="shared" si="18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R4'!D85</f>
        <v>0</v>
      </c>
      <c r="E66" s="292">
        <f>'Reversion Pagos R4'!E85</f>
        <v>0</v>
      </c>
      <c r="F66" s="292">
        <f>'Reversion Pagos R4'!F85</f>
        <v>0</v>
      </c>
      <c r="G66" s="292">
        <f>'Reversion Pagos R4'!G85</f>
        <v>0</v>
      </c>
      <c r="H66" s="292">
        <f>'Reversion Pagos R4'!H85</f>
        <v>0</v>
      </c>
      <c r="I66" s="292">
        <f>'Reversion Pagos R4'!I85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R4'!P85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R4'!J85</f>
        <v>0</v>
      </c>
      <c r="V66" s="308">
        <f>'Reversion Pagos R4'!K85</f>
        <v>0</v>
      </c>
      <c r="W66" s="308">
        <f>'Reversion Pagos R4'!L85</f>
        <v>0</v>
      </c>
      <c r="X66" s="308">
        <f>'Reversion Pagos R4'!M85</f>
        <v>0</v>
      </c>
      <c r="Y66" s="309">
        <f>'Reversion Pagos R4'!N85</f>
        <v>0</v>
      </c>
      <c r="Z66" s="310">
        <f>-L66</f>
        <v>0</v>
      </c>
      <c r="AA66" s="311">
        <f>+'Reversion Pagos R4'!O85</f>
        <v>0</v>
      </c>
      <c r="AB66" s="294">
        <f>N66</f>
        <v>0</v>
      </c>
      <c r="AC66" s="311">
        <f>+'Reversion Pagos R4'!Q85+'Reversion Pagos R4'!R85</f>
        <v>0</v>
      </c>
      <c r="AD66" s="291">
        <f>-J66+AE66</f>
        <v>0</v>
      </c>
      <c r="AE66" s="291">
        <f>'Reversion Pagos R4'!D86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R4'!D186</f>
        <v>0</v>
      </c>
      <c r="E67" s="292">
        <f>'Reversion Pagos R4'!E186</f>
        <v>0</v>
      </c>
      <c r="F67" s="292">
        <f>'Reversion Pagos R4'!F186</f>
        <v>0</v>
      </c>
      <c r="G67" s="292">
        <f>'Reversion Pagos R4'!G186</f>
        <v>0</v>
      </c>
      <c r="H67" s="292">
        <f>'Reversion Pagos R4'!H186</f>
        <v>0</v>
      </c>
      <c r="I67" s="292">
        <f>'Reversion Pagos R4'!I186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R4'!P186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R4'!J186</f>
        <v>0</v>
      </c>
      <c r="V67" s="317">
        <f>'Reversion Pagos R4'!K186</f>
        <v>0</v>
      </c>
      <c r="W67" s="317">
        <f>'Reversion Pagos R4'!L186</f>
        <v>0</v>
      </c>
      <c r="X67" s="317">
        <f>'Reversion Pagos R4'!M186</f>
        <v>0</v>
      </c>
      <c r="Y67" s="318">
        <f>'Reversion Pagos R4'!N186</f>
        <v>0</v>
      </c>
      <c r="Z67" s="319">
        <f t="shared" ref="Z67:Z70" si="26">-L67</f>
        <v>0</v>
      </c>
      <c r="AA67" s="320">
        <f>'Reversion Pagos R4'!O186</f>
        <v>0</v>
      </c>
      <c r="AB67" s="294">
        <f t="shared" ref="AB67:AB70" si="27">N67</f>
        <v>0</v>
      </c>
      <c r="AC67" s="320">
        <f>'Reversion Pagos R4'!Q186+'Reversion Pagos R4'!R186</f>
        <v>0</v>
      </c>
      <c r="AD67" s="291">
        <f t="shared" ref="AD67:AD70" si="28">-J67+AE67</f>
        <v>0</v>
      </c>
      <c r="AE67" s="291">
        <f>'Reversion Pagos R4'!D187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R4'!D223</f>
        <v>0</v>
      </c>
      <c r="E68" s="292">
        <f>'Reversion Pagos R4'!E223</f>
        <v>0</v>
      </c>
      <c r="F68" s="292">
        <f>'Reversion Pagos R4'!F223</f>
        <v>0</v>
      </c>
      <c r="G68" s="292">
        <f>'Reversion Pagos R4'!G223</f>
        <v>0</v>
      </c>
      <c r="H68" s="292">
        <f>'Reversion Pagos R4'!H223</f>
        <v>0</v>
      </c>
      <c r="I68" s="292">
        <f>'Reversion Pagos R4'!I223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R4'!P223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R4'!J223</f>
        <v>0</v>
      </c>
      <c r="V68" s="317">
        <f>'Reversion Pagos R4'!K223</f>
        <v>0</v>
      </c>
      <c r="W68" s="317">
        <f>'Reversion Pagos R4'!L223</f>
        <v>0</v>
      </c>
      <c r="X68" s="317">
        <f>'Reversion Pagos R4'!M223</f>
        <v>0</v>
      </c>
      <c r="Y68" s="318">
        <f>'Reversion Pagos R4'!N223</f>
        <v>0</v>
      </c>
      <c r="Z68" s="319">
        <f t="shared" si="26"/>
        <v>0</v>
      </c>
      <c r="AA68" s="320">
        <f>'Reversion Pagos R4'!O223</f>
        <v>0</v>
      </c>
      <c r="AB68" s="294">
        <f t="shared" si="27"/>
        <v>0</v>
      </c>
      <c r="AC68" s="320">
        <f>'Reversion Pagos R4'!Q223+'Reversion Pagos R4'!R223</f>
        <v>0</v>
      </c>
      <c r="AD68" s="291">
        <f t="shared" si="28"/>
        <v>0</v>
      </c>
      <c r="AE68" s="291">
        <f>'Reversion Pagos R4'!D224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R4'!D338</f>
        <v>0</v>
      </c>
      <c r="E69" s="292">
        <f>'Reversion Pagos R4'!E338</f>
        <v>0</v>
      </c>
      <c r="F69" s="292">
        <f>'Reversion Pagos R4'!F338</f>
        <v>0</v>
      </c>
      <c r="G69" s="292">
        <f>'Reversion Pagos R4'!G338</f>
        <v>0</v>
      </c>
      <c r="H69" s="292">
        <f>'Reversion Pagos R4'!H338</f>
        <v>0</v>
      </c>
      <c r="I69" s="292">
        <f>'Reversion Pagos R4'!I338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R4'!P338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R4'!J338</f>
        <v>0</v>
      </c>
      <c r="V69" s="317">
        <f>'Reversion Pagos R4'!K338</f>
        <v>0</v>
      </c>
      <c r="W69" s="317">
        <f>'Reversion Pagos R4'!L338</f>
        <v>0</v>
      </c>
      <c r="X69" s="317">
        <f>'Reversion Pagos R4'!M338</f>
        <v>0</v>
      </c>
      <c r="Y69" s="318">
        <f>'Reversion Pagos R4'!N338</f>
        <v>0</v>
      </c>
      <c r="Z69" s="319">
        <f t="shared" si="26"/>
        <v>0</v>
      </c>
      <c r="AA69" s="320">
        <f>'Reversion Pagos R4'!O338</f>
        <v>0</v>
      </c>
      <c r="AB69" s="294">
        <f t="shared" si="27"/>
        <v>0</v>
      </c>
      <c r="AC69" s="320">
        <f>'Reversion Pagos R4'!Q338+'Reversion Pagos R4'!R338</f>
        <v>0</v>
      </c>
      <c r="AD69" s="291">
        <f t="shared" si="28"/>
        <v>0</v>
      </c>
      <c r="AE69" s="291">
        <f>'Reversion Pagos R4'!D339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R4'!D379</f>
        <v>0</v>
      </c>
      <c r="E70" s="297">
        <f>'Reversion Pagos R4'!E379</f>
        <v>0</v>
      </c>
      <c r="F70" s="297">
        <f>'Reversion Pagos R4'!F379</f>
        <v>0</v>
      </c>
      <c r="G70" s="297">
        <f>'Reversion Pagos R4'!G379</f>
        <v>0</v>
      </c>
      <c r="H70" s="297">
        <f>'Reversion Pagos R4'!H379</f>
        <v>0</v>
      </c>
      <c r="I70" s="297">
        <f>'Reversion Pagos R4'!I379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R4'!P379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R4'!J379</f>
        <v>0</v>
      </c>
      <c r="V70" s="297">
        <f>'Reversion Pagos R4'!K379</f>
        <v>0</v>
      </c>
      <c r="W70" s="297">
        <f>'Reversion Pagos R4'!L379</f>
        <v>0</v>
      </c>
      <c r="X70" s="297">
        <f>'Reversion Pagos R4'!M379</f>
        <v>0</v>
      </c>
      <c r="Y70" s="289">
        <f>'Reversion Pagos R4'!N379</f>
        <v>0</v>
      </c>
      <c r="Z70" s="319">
        <f t="shared" si="26"/>
        <v>0</v>
      </c>
      <c r="AA70" s="320">
        <f>'Reversion Pagos R4'!O379</f>
        <v>0</v>
      </c>
      <c r="AB70" s="294">
        <f t="shared" si="27"/>
        <v>0</v>
      </c>
      <c r="AC70" s="320">
        <f>'Reversion Pagos R4'!Q379+'Reversion Pagos R4'!R379</f>
        <v>0</v>
      </c>
      <c r="AD70" s="291">
        <f t="shared" si="28"/>
        <v>0</v>
      </c>
      <c r="AE70" s="291">
        <f>'Reversion Pagos R4'!D380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f>'AJUSTES - SF-T'!U47</f>
        <v>0</v>
      </c>
      <c r="V85" s="312">
        <f>'AJUSTES - SF-T'!V47</f>
        <v>0</v>
      </c>
      <c r="W85" s="312">
        <f>'AJUSTES - SF-T'!W47</f>
        <v>0</v>
      </c>
      <c r="X85" s="312">
        <f>'AJUSTES - SF-T'!X47</f>
        <v>0</v>
      </c>
      <c r="Y85" s="312">
        <f>'AJUSTES - SF-T'!Y47</f>
        <v>0</v>
      </c>
      <c r="Z85" s="312">
        <f>'AJUSTES - SF-T'!Z47</f>
        <v>0</v>
      </c>
      <c r="AA85" s="571">
        <f>'AJUSTES - SF-T'!AA47</f>
        <v>0</v>
      </c>
      <c r="AB85" s="312">
        <f>'AJUSTES - SF-T'!AB47</f>
        <v>0</v>
      </c>
      <c r="AC85" s="571">
        <v>0</v>
      </c>
      <c r="AD85" s="321">
        <f>'AJUSTES - SF-T'!AC47</f>
        <v>0</v>
      </c>
      <c r="AE85" s="294">
        <f>'AJUSTES - SF-T'!AD47</f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5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6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7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8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f>'AJUSTES - SF-T'!U49</f>
        <v>0</v>
      </c>
      <c r="V87" s="320">
        <f>'AJUSTES - SF-T'!V49</f>
        <v>0</v>
      </c>
      <c r="W87" s="320">
        <f>'AJUSTES - SF-T'!W49</f>
        <v>0</v>
      </c>
      <c r="X87" s="320">
        <f>'AJUSTES - SF-T'!X49</f>
        <v>0</v>
      </c>
      <c r="Y87" s="320">
        <f>'AJUSTES - SF-T'!Y49</f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f>'AJUSTES - SF-T'!AC49</f>
        <v>0</v>
      </c>
      <c r="AE87" s="299">
        <f>'AJUSTES - SF-T'!AD49</f>
        <v>0</v>
      </c>
      <c r="AF87" s="365">
        <f>SUM(U87:AD87)</f>
        <v>0</v>
      </c>
      <c r="AG87" s="570">
        <f>AF87-O87</f>
        <v>0</v>
      </c>
      <c r="AH87" s="1" t="b">
        <f t="shared" si="38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5"/>
        <v>0</v>
      </c>
      <c r="L88" s="294">
        <v>0</v>
      </c>
      <c r="M88" s="321">
        <f>K88-L88</f>
        <v>0</v>
      </c>
      <c r="N88" s="321">
        <v>0</v>
      </c>
      <c r="O88" s="321">
        <f t="shared" si="36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7"/>
        <v>0</v>
      </c>
      <c r="AE88" s="299">
        <v>0</v>
      </c>
      <c r="AF88" s="365">
        <f t="shared" ref="AF88:AF89" si="39">SUM(U88:AD88)</f>
        <v>0</v>
      </c>
      <c r="AG88" s="570">
        <f>AF88-O88</f>
        <v>0</v>
      </c>
      <c r="AH88" s="1" t="b">
        <f t="shared" si="38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5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6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9"/>
        <v>0</v>
      </c>
      <c r="AG89" s="575">
        <f>AF89-O89</f>
        <v>0</v>
      </c>
      <c r="AH89" s="1" t="b">
        <f t="shared" si="38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41">SUM(V85:V89)</f>
        <v>0</v>
      </c>
      <c r="W90" s="568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332">
        <f t="shared" si="41"/>
        <v>0</v>
      </c>
      <c r="AH90" s="1" t="b">
        <f t="shared" si="38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92">
        <f t="shared" si="43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-189185988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92">
        <f t="shared" si="43"/>
        <v>0</v>
      </c>
      <c r="K105" s="295">
        <f t="shared" ref="K105:K108" si="45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46">M105+N105</f>
        <v>-266580256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-266580256</v>
      </c>
      <c r="AA105" s="320">
        <f t="shared" si="44"/>
        <v>0</v>
      </c>
      <c r="AB105" s="294">
        <f t="shared" si="44"/>
        <v>0</v>
      </c>
      <c r="AC105" s="320">
        <f t="shared" ref="AC105" si="47">AC10+AC29+AC48+AC67+AC86</f>
        <v>0</v>
      </c>
      <c r="AD105" s="291">
        <f t="shared" ref="AD105:AD106" si="48">-J105+AE105</f>
        <v>0</v>
      </c>
      <c r="AE105" s="291">
        <f>AE10+AE29+AE48+AE67+AE86</f>
        <v>0</v>
      </c>
      <c r="AF105" s="322">
        <f>SUM(U105:AD105)</f>
        <v>-266580256</v>
      </c>
      <c r="AG105" s="323">
        <f>AF105-O105</f>
        <v>0</v>
      </c>
      <c r="AH105" s="1" t="b">
        <f t="shared" ref="AH105:AH109" si="49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92">
        <f t="shared" si="43"/>
        <v>0</v>
      </c>
      <c r="K106" s="295">
        <f t="shared" si="45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46"/>
        <v>-154788536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-154788536</v>
      </c>
      <c r="AA106" s="320">
        <f t="shared" si="44"/>
        <v>0</v>
      </c>
      <c r="AB106" s="294">
        <f t="shared" si="44"/>
        <v>0</v>
      </c>
      <c r="AC106" s="320">
        <f t="shared" ref="AC106" si="50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-154788536</v>
      </c>
      <c r="AG106" s="323">
        <f>AF106-O106</f>
        <v>0</v>
      </c>
      <c r="AH106" s="1" t="b">
        <f t="shared" si="49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92">
        <f t="shared" si="43"/>
        <v>0</v>
      </c>
      <c r="K107" s="295">
        <f t="shared" si="45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-120391083</v>
      </c>
      <c r="AA107" s="320">
        <f>AA12+AA31+AA50+AA69+AA88</f>
        <v>0</v>
      </c>
      <c r="AB107" s="294">
        <f t="shared" si="44"/>
        <v>0</v>
      </c>
      <c r="AC107" s="320">
        <f t="shared" ref="AC107" si="51">AC12+AC31+AC50+AC69+AC88</f>
        <v>0</v>
      </c>
      <c r="AD107" s="291">
        <f t="shared" ref="AD107" si="52">-J107+AE107</f>
        <v>0</v>
      </c>
      <c r="AE107" s="291">
        <f>AE12+AE31+AE50+AE69+AE88</f>
        <v>0</v>
      </c>
      <c r="AF107" s="322">
        <f t="shared" ref="AF107:AF108" si="53">SUM(U107:AD107)</f>
        <v>-120391083</v>
      </c>
      <c r="AG107" s="323">
        <f>AF117-O117</f>
        <v>0</v>
      </c>
      <c r="AH107" s="1" t="b">
        <f t="shared" si="49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97">
        <f t="shared" si="43"/>
        <v>0</v>
      </c>
      <c r="K108" s="295">
        <f t="shared" si="45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46"/>
        <v>-128990446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-128990446</v>
      </c>
      <c r="AA108" s="320">
        <f t="shared" si="44"/>
        <v>0</v>
      </c>
      <c r="AB108" s="294">
        <f t="shared" si="44"/>
        <v>0</v>
      </c>
      <c r="AC108" s="320">
        <f t="shared" ref="AC108" si="54">AC13+AC32+AC51+AC70+AC89</f>
        <v>0</v>
      </c>
      <c r="AD108" s="291">
        <f>-J108+AE108</f>
        <v>0</v>
      </c>
      <c r="AE108" s="291">
        <f>AE13+AE32+AE51+AE70+AE89</f>
        <v>0</v>
      </c>
      <c r="AF108" s="322">
        <f t="shared" si="53"/>
        <v>-128990446</v>
      </c>
      <c r="AG108" s="326">
        <f>AF108-O108</f>
        <v>0</v>
      </c>
      <c r="AH108" s="1" t="b">
        <f t="shared" si="49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0</v>
      </c>
      <c r="E109" s="290">
        <f t="shared" ref="E109:O109" si="55">SUM(E104:E108)</f>
        <v>0</v>
      </c>
      <c r="F109" s="290">
        <f t="shared" si="55"/>
        <v>0</v>
      </c>
      <c r="G109" s="290">
        <f t="shared" si="55"/>
        <v>0</v>
      </c>
      <c r="H109" s="290">
        <f t="shared" si="55"/>
        <v>0</v>
      </c>
      <c r="I109" s="290">
        <f t="shared" si="55"/>
        <v>0</v>
      </c>
      <c r="J109" s="290">
        <f t="shared" si="55"/>
        <v>0</v>
      </c>
      <c r="K109" s="300">
        <f t="shared" si="55"/>
        <v>0</v>
      </c>
      <c r="L109" s="301">
        <f t="shared" si="55"/>
        <v>859936309</v>
      </c>
      <c r="M109" s="302">
        <f t="shared" si="55"/>
        <v>-859936309</v>
      </c>
      <c r="N109" s="301">
        <f>SUM(N104:N108)</f>
        <v>0</v>
      </c>
      <c r="O109" s="302">
        <f t="shared" si="55"/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6">SUM(V104:V108)</f>
        <v>0</v>
      </c>
      <c r="W109" s="330">
        <f t="shared" si="56"/>
        <v>0</v>
      </c>
      <c r="X109" s="330">
        <f t="shared" si="56"/>
        <v>0</v>
      </c>
      <c r="Y109" s="330">
        <f t="shared" si="56"/>
        <v>0</v>
      </c>
      <c r="Z109" s="290">
        <f t="shared" si="56"/>
        <v>-859936309</v>
      </c>
      <c r="AA109" s="290">
        <f t="shared" si="56"/>
        <v>0</v>
      </c>
      <c r="AB109" s="290">
        <f t="shared" si="56"/>
        <v>0</v>
      </c>
      <c r="AC109" s="290">
        <f t="shared" si="56"/>
        <v>0</v>
      </c>
      <c r="AD109" s="290">
        <f t="shared" si="56"/>
        <v>0</v>
      </c>
      <c r="AE109" s="290">
        <f>SUM(AE104:AE108)</f>
        <v>0</v>
      </c>
      <c r="AF109" s="331">
        <f t="shared" si="56"/>
        <v>-859936309</v>
      </c>
      <c r="AG109" s="332">
        <f>SUM(AG104:AG108)</f>
        <v>0</v>
      </c>
      <c r="AH109" s="1" t="b">
        <f t="shared" si="49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USUARIOS'!I3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USUARIOS'!I12</f>
        <v>0</v>
      </c>
      <c r="L125" s="309">
        <f>-'ANTICIPOS USUARIOS'!I21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7">D67+N67</f>
        <v>0</v>
      </c>
      <c r="K126" s="288">
        <f>'ANTICIPOS USUARIOS'!I13</f>
        <v>0</v>
      </c>
      <c r="L126" s="288">
        <f>-'ANTICIPOS USUARIOS'!I22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7"/>
        <v>0</v>
      </c>
      <c r="K127" s="288">
        <f>'ANTICIPOS USUARIOS'!I14</f>
        <v>0</v>
      </c>
      <c r="L127" s="288">
        <f>-'ANTICIPOS USUARIOS'!I23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7"/>
        <v>0</v>
      </c>
      <c r="K128" s="288">
        <f>'ANTICIPOS USUARIOS'!I15</f>
        <v>0</v>
      </c>
      <c r="L128" s="288">
        <f>-'ANTICIPOS USUARIOS'!I24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USUARIOS'!I7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7"/>
        <v>0</v>
      </c>
      <c r="K129" s="288">
        <f>'ANTICIPOS USUARIOS'!I16</f>
        <v>0</v>
      </c>
      <c r="L129" s="288">
        <f>-'ANTICIPOS USUARIOS'!I25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8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ENEL'!F21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BANCO'!E62)</f>
        <v>0</v>
      </c>
      <c r="J142" s="110">
        <f t="shared" ref="J142:K146" si="59">G125</f>
        <v>0</v>
      </c>
      <c r="K142" s="111">
        <f t="shared" si="59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ENEL'!F22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BANCO'!E65)</f>
        <v>0</v>
      </c>
      <c r="J143" s="18">
        <f t="shared" si="59"/>
        <v>0</v>
      </c>
      <c r="K143" s="83">
        <f t="shared" si="59"/>
        <v>0</v>
      </c>
      <c r="L143" s="525">
        <f>D143-E143-F143-G143-J143-H143-I143</f>
        <v>0</v>
      </c>
      <c r="M143" s="1" t="b">
        <f t="shared" ref="M143:M147" si="60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ENEL'!F23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BANCO'!E67)</f>
        <v>0</v>
      </c>
      <c r="J144" s="18">
        <f t="shared" si="59"/>
        <v>0</v>
      </c>
      <c r="K144" s="83">
        <f t="shared" si="59"/>
        <v>0</v>
      </c>
      <c r="L144" s="525">
        <f>D144-E144-F144-G144-J144-H144-I144</f>
        <v>0</v>
      </c>
      <c r="M144" s="1" t="b">
        <f t="shared" si="60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ENEL'!F24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BANCO'!E70)</f>
        <v>0</v>
      </c>
      <c r="J145" s="18">
        <f t="shared" si="59"/>
        <v>0</v>
      </c>
      <c r="K145" s="83">
        <f t="shared" si="59"/>
        <v>0</v>
      </c>
      <c r="L145" s="525">
        <f>D145-E145-F145-G145-J145-H145-I145</f>
        <v>0</v>
      </c>
      <c r="M145" s="1" t="b">
        <f t="shared" si="60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ENEL'!F25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BANCO'!E72)</f>
        <v>0</v>
      </c>
      <c r="J146" s="134">
        <f t="shared" si="59"/>
        <v>0</v>
      </c>
      <c r="K146" s="136">
        <f t="shared" si="59"/>
        <v>0</v>
      </c>
      <c r="L146" s="525">
        <f>D146-E146-F146-G146-J146-H146-I146</f>
        <v>0</v>
      </c>
      <c r="M146" s="1" t="b">
        <f t="shared" si="60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1">SUM(F142:F146)</f>
        <v>0</v>
      </c>
      <c r="G147" s="47">
        <f t="shared" si="61"/>
        <v>0</v>
      </c>
      <c r="H147" s="47">
        <f t="shared" si="61"/>
        <v>0</v>
      </c>
      <c r="I147" s="47">
        <f t="shared" si="61"/>
        <v>0</v>
      </c>
      <c r="J147" s="47">
        <f t="shared" si="61"/>
        <v>0</v>
      </c>
      <c r="K147" s="47">
        <f t="shared" si="61"/>
        <v>0</v>
      </c>
      <c r="L147" s="525">
        <f>SUM(L142:L146)</f>
        <v>0</v>
      </c>
      <c r="M147" s="1" t="b">
        <f t="shared" si="60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F9" sqref="F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ENEL'!F21</f>
        <v>0</v>
      </c>
      <c r="D3" s="292">
        <f>REMUNERACION_ENEL!G125</f>
        <v>0</v>
      </c>
      <c r="E3" s="292">
        <f>REMUNERACION_ENEL!D28+REMUNERACION_ENEL!N28</f>
        <v>0</v>
      </c>
      <c r="F3" s="292">
        <f>REMUNERACION_ENEL!I142</f>
        <v>0</v>
      </c>
      <c r="G3" s="292">
        <f>REMUNERACION_ENEL!H142</f>
        <v>0</v>
      </c>
      <c r="H3" s="340">
        <f>SUM(C3:G3)</f>
        <v>0</v>
      </c>
      <c r="I3" s="291">
        <f>REMUNERACION_ENEL!D104</f>
        <v>0</v>
      </c>
      <c r="J3" s="292">
        <f>REMUNERACION_ENEL!N104</f>
        <v>0</v>
      </c>
      <c r="K3" s="292">
        <f>REMUNERACION_ENEL!D125</f>
        <v>0</v>
      </c>
      <c r="L3" s="353">
        <f>REMUNERACION_ENEL!E125</f>
        <v>0</v>
      </c>
      <c r="M3" s="292">
        <f>-REMUNERACION_ENEL!D66-REMUNERACION_ENEL!N66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ENEL'!F22</f>
        <v>0</v>
      </c>
      <c r="D4" s="292">
        <f>REMUNERACION_ENEL!G126</f>
        <v>0</v>
      </c>
      <c r="E4" s="292">
        <f>REMUNERACION_ENEL!D29+REMUNERACION_ENEL!N29</f>
        <v>0</v>
      </c>
      <c r="F4" s="292">
        <f>REMUNERACION_ENEL!I143</f>
        <v>0</v>
      </c>
      <c r="G4" s="292">
        <f>REMUNERACION_ENEL!H143</f>
        <v>0</v>
      </c>
      <c r="H4" s="340">
        <f t="shared" ref="H4:H8" si="1">SUM(C4:G4)</f>
        <v>0</v>
      </c>
      <c r="I4" s="291">
        <f>REMUNERACION_ENEL!D105</f>
        <v>0</v>
      </c>
      <c r="J4" s="292">
        <f>REMUNERACION_ENEL!N105</f>
        <v>0</v>
      </c>
      <c r="K4" s="292">
        <f>REMUNERACION_ENEL!D126</f>
        <v>0</v>
      </c>
      <c r="L4" s="353">
        <f>REMUNERACION_ENEL!E126</f>
        <v>0</v>
      </c>
      <c r="M4" s="292">
        <f>-REMUNERACION_ENEL!D67-REMUNERACION_ENEL!N67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ENEL'!F23</f>
        <v>0</v>
      </c>
      <c r="D5" s="292">
        <f>REMUNERACION_ENEL!G127</f>
        <v>0</v>
      </c>
      <c r="E5" s="292">
        <f>REMUNERACION_ENEL!D30+REMUNERACION_ENEL!N30</f>
        <v>0</v>
      </c>
      <c r="F5" s="292">
        <f>REMUNERACION_ENEL!I144</f>
        <v>0</v>
      </c>
      <c r="G5" s="292">
        <f>REMUNERACION_ENEL!H144</f>
        <v>0</v>
      </c>
      <c r="H5" s="340">
        <f t="shared" si="1"/>
        <v>0</v>
      </c>
      <c r="I5" s="291">
        <f>REMUNERACION_ENEL!D106</f>
        <v>0</v>
      </c>
      <c r="J5" s="292">
        <f>REMUNERACION_ENEL!N106</f>
        <v>0</v>
      </c>
      <c r="K5" s="292">
        <f>REMUNERACION_ENEL!D127</f>
        <v>0</v>
      </c>
      <c r="L5" s="353">
        <f>REMUNERACION_ENEL!E127</f>
        <v>0</v>
      </c>
      <c r="M5" s="292">
        <f>-REMUNERACION_ENEL!D68-REMUNERACION_ENEL!N68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ENEL'!F24</f>
        <v>0</v>
      </c>
      <c r="D6" s="292">
        <f>REMUNERACION_ENEL!G128</f>
        <v>0</v>
      </c>
      <c r="E6" s="292">
        <f>REMUNERACION_ENEL!D31+REMUNERACION_ENEL!N31</f>
        <v>0</v>
      </c>
      <c r="F6" s="292">
        <f>REMUNERACION_ENEL!I145</f>
        <v>0</v>
      </c>
      <c r="G6" s="292">
        <f>REMUNERACION_ENEL!H145</f>
        <v>0</v>
      </c>
      <c r="H6" s="340">
        <f t="shared" si="1"/>
        <v>0</v>
      </c>
      <c r="I6" s="291">
        <f>REMUNERACION_ENEL!D107</f>
        <v>0</v>
      </c>
      <c r="J6" s="292">
        <f>REMUNERACION_ENEL!N107</f>
        <v>0</v>
      </c>
      <c r="K6" s="292">
        <f>REMUNERACION_ENEL!D128</f>
        <v>0</v>
      </c>
      <c r="L6" s="353">
        <f>REMUNERACION_ENEL!E128</f>
        <v>0</v>
      </c>
      <c r="M6" s="292">
        <f>-REMUNERACION_ENEL!D69-REMUNERACION_ENEL!N69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ENEL'!F25</f>
        <v>0</v>
      </c>
      <c r="D7" s="292">
        <f>REMUNERACION_ENEL!G129</f>
        <v>0</v>
      </c>
      <c r="E7" s="292">
        <f>REMUNERACION_ENEL!D32+REMUNERACION_ENEL!N32</f>
        <v>0</v>
      </c>
      <c r="F7" s="292">
        <f>REMUNERACION_ENEL!I146</f>
        <v>0</v>
      </c>
      <c r="G7" s="292">
        <f>REMUNERACION_ENEL!H146</f>
        <v>0</v>
      </c>
      <c r="H7" s="340">
        <f t="shared" si="1"/>
        <v>0</v>
      </c>
      <c r="I7" s="291">
        <f>REMUNERACION_ENEL!D108</f>
        <v>0</v>
      </c>
      <c r="J7" s="292">
        <f>REMUNERACION_ENEL!N108</f>
        <v>0</v>
      </c>
      <c r="K7" s="292">
        <f>REMUNERACION_ENEL!D129</f>
        <v>0</v>
      </c>
      <c r="L7" s="353">
        <f>REMUNERACION_ENEL!E129</f>
        <v>0</v>
      </c>
      <c r="M7" s="292">
        <f>-REMUNERACION_ENEL!D70-REMUNERACION_ENEL!N70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ENEL'!F26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REMUNERACION_ENEL!E130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Recaudo'!D7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topLeftCell="A3" zoomScaleNormal="100" workbookViewId="0">
      <selection activeCell="J10" sqref="J10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REMUNERACION_ENEL!D101</f>
        <v>46297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REMUNERACION_ENEL!D102</f>
        <v>0.58333333333333337</v>
      </c>
      <c r="F7" s="2" t="s">
        <v>27</v>
      </c>
      <c r="G7" s="9">
        <f>REMUNERACION_ENEL!G102</f>
        <v>46281</v>
      </c>
      <c r="J7" s="2" t="s">
        <v>28</v>
      </c>
      <c r="K7" s="9">
        <f>REMUNERACION_ENEL!K102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0</v>
      </c>
      <c r="E9" s="66">
        <f>REMUNERACION_ENEL!E104</f>
        <v>0</v>
      </c>
      <c r="F9" s="66">
        <f>REMUNERACION_ENEL!F104</f>
        <v>0</v>
      </c>
      <c r="G9" s="66">
        <f>REMUNERACION_ENEL!G104</f>
        <v>0</v>
      </c>
      <c r="H9" s="66">
        <f>REMUNERACION_ENEL!H104</f>
        <v>0</v>
      </c>
      <c r="I9" s="66">
        <f>REMUNERACION_ENEL!I104</f>
        <v>0</v>
      </c>
      <c r="J9" s="66">
        <f>REMUNERACION_ENEL!J104</f>
        <v>0</v>
      </c>
      <c r="K9" s="30">
        <f>D9-E9-F9-G9-H9-I9-J9</f>
        <v>0</v>
      </c>
      <c r="L9" s="66">
        <f>REMUNERACION_ENEL!L104</f>
        <v>189185988</v>
      </c>
      <c r="M9" s="30">
        <f>K9-L9</f>
        <v>-189185988</v>
      </c>
      <c r="N9" s="66">
        <f>REMUNERACION_ENEL!N104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REMUNERACION_ENEL!U104</f>
        <v>0</v>
      </c>
      <c r="V9" s="66">
        <f>REMUNERACION_ENEL!V104</f>
        <v>0</v>
      </c>
      <c r="W9" s="66">
        <f>REMUNERACION_ENEL!W104</f>
        <v>0</v>
      </c>
      <c r="X9" s="66">
        <f>REMUNERACION_ENEL!X104</f>
        <v>0</v>
      </c>
      <c r="Y9" s="66">
        <f>REMUNERACION_ENEL!Y104</f>
        <v>0</v>
      </c>
      <c r="Z9" s="66">
        <f>REMUNERACION_ENEL!Z104</f>
        <v>-189185988</v>
      </c>
      <c r="AA9" s="66">
        <f>REMUNERACION_ENEL!AA104</f>
        <v>0</v>
      </c>
      <c r="AB9" s="66">
        <f>REMUNERACION_ENEL!AB104</f>
        <v>0</v>
      </c>
      <c r="AC9" s="66">
        <f>REMUNERACION_ENEL!AC104</f>
        <v>0</v>
      </c>
      <c r="AD9" s="66">
        <f>REMUNERACION_ENEL!AD104</f>
        <v>0</v>
      </c>
      <c r="AE9" s="66">
        <f>REMUNERACION_ENEL!AE104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0</v>
      </c>
      <c r="E10" s="66">
        <f>REMUNERACION_ENEL!E105</f>
        <v>0</v>
      </c>
      <c r="F10" s="66">
        <f>REMUNERACION_ENEL!F105</f>
        <v>0</v>
      </c>
      <c r="G10" s="66">
        <f>REMUNERACION_ENEL!G105</f>
        <v>0</v>
      </c>
      <c r="H10" s="66">
        <f>REMUNERACION_ENEL!H105</f>
        <v>0</v>
      </c>
      <c r="I10" s="66">
        <f>REMUNERACION_ENEL!I105</f>
        <v>0</v>
      </c>
      <c r="J10" s="66">
        <f>REMUNERACION_ENEL!J105</f>
        <v>0</v>
      </c>
      <c r="K10" s="31">
        <f t="shared" ref="K10:K13" si="0">D10-E10-F10-G10-H10-I10-J10</f>
        <v>0</v>
      </c>
      <c r="L10" s="66">
        <f>REMUNERACION_ENEL!L105</f>
        <v>266580256</v>
      </c>
      <c r="M10" s="31">
        <f>K10-L10</f>
        <v>-266580256</v>
      </c>
      <c r="N10" s="66">
        <f>REMUNERACION_ENEL!N105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REMUNERACION_ENEL!U105</f>
        <v>0</v>
      </c>
      <c r="V10" s="66">
        <f>REMUNERACION_ENEL!V105</f>
        <v>0</v>
      </c>
      <c r="W10" s="66">
        <f>REMUNERACION_ENEL!W105</f>
        <v>0</v>
      </c>
      <c r="X10" s="66">
        <f>REMUNERACION_ENEL!X105</f>
        <v>0</v>
      </c>
      <c r="Y10" s="66">
        <f>REMUNERACION_ENEL!Y105</f>
        <v>0</v>
      </c>
      <c r="Z10" s="66">
        <f>REMUNERACION_ENEL!Z105</f>
        <v>-266580256</v>
      </c>
      <c r="AA10" s="66">
        <f>REMUNERACION_ENEL!AA105</f>
        <v>0</v>
      </c>
      <c r="AB10" s="66">
        <f>REMUNERACION_ENEL!AB105</f>
        <v>0</v>
      </c>
      <c r="AC10" s="66">
        <f>REMUNERACION_ENEL!AC105</f>
        <v>0</v>
      </c>
      <c r="AD10" s="66">
        <f>REMUNERACION_ENEL!AD105</f>
        <v>0</v>
      </c>
      <c r="AE10" s="66">
        <f>REMUNERACION_ENEL!AE105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0</v>
      </c>
      <c r="E11" s="66">
        <f>REMUNERACION_ENEL!E106</f>
        <v>0</v>
      </c>
      <c r="F11" s="66">
        <f>REMUNERACION_ENEL!F106</f>
        <v>0</v>
      </c>
      <c r="G11" s="66">
        <f>REMUNERACION_ENEL!G106</f>
        <v>0</v>
      </c>
      <c r="H11" s="66">
        <f>REMUNERACION_ENEL!H106</f>
        <v>0</v>
      </c>
      <c r="I11" s="66">
        <f>REMUNERACION_ENEL!I106</f>
        <v>0</v>
      </c>
      <c r="J11" s="66">
        <f>REMUNERACION_ENEL!J106</f>
        <v>0</v>
      </c>
      <c r="K11" s="31">
        <f t="shared" si="0"/>
        <v>0</v>
      </c>
      <c r="L11" s="66">
        <f>REMUNERACION_ENEL!L106</f>
        <v>154788536</v>
      </c>
      <c r="M11" s="31">
        <f>K11-L11</f>
        <v>-154788536</v>
      </c>
      <c r="N11" s="66">
        <f>REMUNERACION_ENEL!N106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REMUNERACION_ENEL!U106</f>
        <v>0</v>
      </c>
      <c r="V11" s="66">
        <f>REMUNERACION_ENEL!V106</f>
        <v>0</v>
      </c>
      <c r="W11" s="66">
        <f>REMUNERACION_ENEL!W106</f>
        <v>0</v>
      </c>
      <c r="X11" s="66">
        <f>REMUNERACION_ENEL!X106</f>
        <v>0</v>
      </c>
      <c r="Y11" s="66">
        <f>REMUNERACION_ENEL!Y106</f>
        <v>0</v>
      </c>
      <c r="Z11" s="66">
        <f>REMUNERACION_ENEL!Z106</f>
        <v>-154788536</v>
      </c>
      <c r="AA11" s="66">
        <f>REMUNERACION_ENEL!AA106</f>
        <v>0</v>
      </c>
      <c r="AB11" s="66">
        <f>REMUNERACION_ENEL!AB106</f>
        <v>0</v>
      </c>
      <c r="AC11" s="66">
        <f>REMUNERACION_ENEL!AC106</f>
        <v>0</v>
      </c>
      <c r="AD11" s="66">
        <f>REMUNERACION_ENEL!AD106</f>
        <v>0</v>
      </c>
      <c r="AE11" s="66">
        <f>REMUNERACION_ENEL!AE106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0</v>
      </c>
      <c r="E12" s="66">
        <f>REMUNERACION_ENEL!E107</f>
        <v>0</v>
      </c>
      <c r="F12" s="66">
        <f>REMUNERACION_ENEL!F107</f>
        <v>0</v>
      </c>
      <c r="G12" s="66">
        <f>REMUNERACION_ENEL!G107</f>
        <v>0</v>
      </c>
      <c r="H12" s="66">
        <f>REMUNERACION_ENEL!H107</f>
        <v>0</v>
      </c>
      <c r="I12" s="66">
        <f>REMUNERACION_ENEL!I107</f>
        <v>0</v>
      </c>
      <c r="J12" s="66">
        <f>REMUNERACION_ENEL!J107</f>
        <v>0</v>
      </c>
      <c r="K12" s="31">
        <f t="shared" si="0"/>
        <v>0</v>
      </c>
      <c r="L12" s="66">
        <f>REMUNERACION_ENEL!L107</f>
        <v>120391083</v>
      </c>
      <c r="M12" s="31">
        <f>K12-L12</f>
        <v>-120391083</v>
      </c>
      <c r="N12" s="66">
        <f>REMUNERACION_ENEL!N107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REMUNERACION_ENEL!U107</f>
        <v>0</v>
      </c>
      <c r="V12" s="66">
        <f>REMUNERACION_ENEL!V107</f>
        <v>0</v>
      </c>
      <c r="W12" s="66">
        <f>REMUNERACION_ENEL!W107</f>
        <v>0</v>
      </c>
      <c r="X12" s="66">
        <f>REMUNERACION_ENEL!X107</f>
        <v>0</v>
      </c>
      <c r="Y12" s="66">
        <f>REMUNERACION_ENEL!Y107</f>
        <v>0</v>
      </c>
      <c r="Z12" s="66">
        <f>REMUNERACION_ENEL!Z107</f>
        <v>-120391083</v>
      </c>
      <c r="AA12" s="66">
        <f>REMUNERACION_ENEL!AA107</f>
        <v>0</v>
      </c>
      <c r="AB12" s="66">
        <f>REMUNERACION_ENEL!AB107</f>
        <v>0</v>
      </c>
      <c r="AC12" s="66">
        <f>REMUNERACION_ENEL!AC107</f>
        <v>0</v>
      </c>
      <c r="AD12" s="66">
        <f>REMUNERACION_ENEL!AD107</f>
        <v>0</v>
      </c>
      <c r="AE12" s="66">
        <f>REMUNERACION_ENEL!AE107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0</v>
      </c>
      <c r="E13" s="66">
        <f>REMUNERACION_ENEL!E108</f>
        <v>0</v>
      </c>
      <c r="F13" s="66">
        <f>REMUNERACION_ENEL!F108</f>
        <v>0</v>
      </c>
      <c r="G13" s="66">
        <f>REMUNERACION_ENEL!G108</f>
        <v>0</v>
      </c>
      <c r="H13" s="66">
        <f>REMUNERACION_ENEL!H108</f>
        <v>0</v>
      </c>
      <c r="I13" s="66">
        <f>REMUNERACION_ENEL!I108</f>
        <v>0</v>
      </c>
      <c r="J13" s="66">
        <f>REMUNERACION_ENEL!J108</f>
        <v>0</v>
      </c>
      <c r="K13" s="31">
        <f t="shared" si="0"/>
        <v>0</v>
      </c>
      <c r="L13" s="66">
        <f>REMUNERACION_ENEL!L108</f>
        <v>128990446</v>
      </c>
      <c r="M13" s="40">
        <f>K13-L13</f>
        <v>-128990446</v>
      </c>
      <c r="N13" s="66">
        <f>REMUNERACION_ENEL!N108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REMUNERACION_ENEL!U108</f>
        <v>0</v>
      </c>
      <c r="V13" s="66">
        <f>REMUNERACION_ENEL!V108</f>
        <v>0</v>
      </c>
      <c r="W13" s="66">
        <f>REMUNERACION_ENEL!W108</f>
        <v>0</v>
      </c>
      <c r="X13" s="66">
        <f>REMUNERACION_ENEL!X108</f>
        <v>0</v>
      </c>
      <c r="Y13" s="66">
        <f>REMUNERACION_ENEL!Y108</f>
        <v>0</v>
      </c>
      <c r="Z13" s="66">
        <f>REMUNERACION_ENEL!Z108</f>
        <v>-128990446</v>
      </c>
      <c r="AA13" s="66">
        <f>REMUNERACION_ENEL!AA108</f>
        <v>0</v>
      </c>
      <c r="AB13" s="66">
        <f>REMUNERACION_ENEL!AB108</f>
        <v>0</v>
      </c>
      <c r="AC13" s="66">
        <f>REMUNERACION_ENEL!AC108</f>
        <v>0</v>
      </c>
      <c r="AD13" s="66">
        <f>REMUNERACION_ENEL!AD108</f>
        <v>0</v>
      </c>
      <c r="AE13" s="66">
        <f>REMUNERACION_ENEL!AE108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46281</v>
      </c>
      <c r="J27" s="2" t="s">
        <v>28</v>
      </c>
      <c r="K27" s="9">
        <f>REMUNERACION_ENEL!K122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REMUNERACION_ENEL!D125</f>
        <v>0</v>
      </c>
      <c r="E30" s="111">
        <f>REMUNERACION_ENEL!E125</f>
        <v>0</v>
      </c>
      <c r="G30" s="336">
        <f>REMUNERACION_ENEL!G125</f>
        <v>0</v>
      </c>
      <c r="H30" s="310">
        <f>REMUNERACION_ENEL!H125</f>
        <v>0</v>
      </c>
      <c r="I30" s="309">
        <f>REMUNERACION_ENEL!I125</f>
        <v>0</v>
      </c>
      <c r="J30" s="309">
        <f>REMUNERACION_ENEL!J125</f>
        <v>0</v>
      </c>
      <c r="K30" s="309">
        <f>REMUNERACION_ENEL!K125</f>
        <v>0</v>
      </c>
      <c r="L30" s="309">
        <f>REMUNERACION_ENEL!L125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0</v>
      </c>
      <c r="E31" s="74">
        <f>REMUNERACION_ENEL!E126</f>
        <v>0</v>
      </c>
      <c r="G31" s="339">
        <f>REMUNERACION_ENEL!G126</f>
        <v>0</v>
      </c>
      <c r="H31" s="340">
        <f>REMUNERACION_ENEL!H126</f>
        <v>0</v>
      </c>
      <c r="I31" s="288">
        <f>REMUNERACION_ENEL!I126</f>
        <v>0</v>
      </c>
      <c r="J31" s="288">
        <f>REMUNERACION_ENEL!J126</f>
        <v>0</v>
      </c>
      <c r="K31" s="288">
        <f>REMUNERACION_ENEL!K126</f>
        <v>0</v>
      </c>
      <c r="L31" s="288">
        <f>REMUNERACION_ENEL!L126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0</v>
      </c>
      <c r="E32" s="74">
        <f>REMUNERACION_ENEL!E127</f>
        <v>0</v>
      </c>
      <c r="G32" s="339">
        <f>REMUNERACION_ENEL!G127</f>
        <v>0</v>
      </c>
      <c r="H32" s="340">
        <f>REMUNERACION_ENEL!H127</f>
        <v>0</v>
      </c>
      <c r="I32" s="288">
        <f>REMUNERACION_ENEL!I127</f>
        <v>0</v>
      </c>
      <c r="J32" s="288">
        <f>REMUNERACION_ENEL!J127</f>
        <v>0</v>
      </c>
      <c r="K32" s="288">
        <f>REMUNERACION_ENEL!K127</f>
        <v>0</v>
      </c>
      <c r="L32" s="288">
        <f>REMUNERACION_ENEL!L127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0</v>
      </c>
      <c r="E33" s="74">
        <f>REMUNERACION_ENEL!E128</f>
        <v>0</v>
      </c>
      <c r="G33" s="339">
        <f>REMUNERACION_ENEL!G128</f>
        <v>0</v>
      </c>
      <c r="H33" s="340">
        <f>REMUNERACION_ENEL!H128</f>
        <v>0</v>
      </c>
      <c r="I33" s="288">
        <f>REMUNERACION_ENEL!I128</f>
        <v>0</v>
      </c>
      <c r="J33" s="288">
        <f>REMUNERACION_ENEL!J128</f>
        <v>0</v>
      </c>
      <c r="K33" s="288">
        <f>REMUNERACION_ENEL!K128</f>
        <v>0</v>
      </c>
      <c r="L33" s="288">
        <f>REMUNERACION_ENEL!L128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REMUNERACION_ENEL!D129</f>
        <v>0</v>
      </c>
      <c r="E34" s="139">
        <f>REMUNERACION_ENEL!E129</f>
        <v>0</v>
      </c>
      <c r="G34" s="339">
        <f>REMUNERACION_ENEL!G129</f>
        <v>0</v>
      </c>
      <c r="H34" s="340">
        <f>REMUNERACION_ENEL!H129</f>
        <v>0</v>
      </c>
      <c r="I34" s="288">
        <f>REMUNERACION_ENEL!I129</f>
        <v>0</v>
      </c>
      <c r="J34" s="288">
        <f>REMUNERACION_ENEL!J129</f>
        <v>0</v>
      </c>
      <c r="K34" s="288">
        <f>REMUNERACION_ENEL!K129</f>
        <v>0</v>
      </c>
      <c r="L34" s="288">
        <f>REMUNERACION_ENEL!L129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0</v>
      </c>
      <c r="E36" s="107">
        <f>REMUNERACION_ENEL!E131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D14=REMUNERACION_ENEL!D109</f>
        <v>1</v>
      </c>
      <c r="E45" s="267" t="b">
        <f>E14=REMUNERACION_ENEL!E109</f>
        <v>1</v>
      </c>
      <c r="F45" s="267" t="b">
        <f>F14=REMUNERACION_ENEL!F109</f>
        <v>1</v>
      </c>
      <c r="G45" s="267" t="b">
        <f>G14=REMUNERACION_ENEL!G109</f>
        <v>1</v>
      </c>
      <c r="H45" s="267" t="b">
        <f>H14=REMUNERACION_ENEL!H109</f>
        <v>1</v>
      </c>
      <c r="I45" s="267" t="b">
        <f>I14=REMUNERACION_ENEL!I109</f>
        <v>1</v>
      </c>
      <c r="J45" s="267" t="b">
        <f>J14=REMUNERACION_ENEL!J109</f>
        <v>1</v>
      </c>
      <c r="K45" s="267" t="b">
        <f>K14=REMUNERACION_ENEL!K109</f>
        <v>1</v>
      </c>
      <c r="L45" s="267" t="b">
        <f>L14=REMUNERACION_ENEL!L109</f>
        <v>1</v>
      </c>
      <c r="M45" s="267" t="b">
        <f>M14=REMUNERACION_ENEL!M109</f>
        <v>1</v>
      </c>
      <c r="N45" s="267" t="b">
        <f>N14=REMUNERACION_ENEL!N109</f>
        <v>1</v>
      </c>
      <c r="O45" s="267" t="b">
        <f>O14=REMUNERACION_ENEL!O109</f>
        <v>1</v>
      </c>
      <c r="Q45" s="24"/>
      <c r="T45" s="24"/>
    </row>
    <row r="46" spans="1:20" x14ac:dyDescent="0.2">
      <c r="D46" s="267" t="b">
        <f>D36=REMUNERACION_ENEL!D131</f>
        <v>1</v>
      </c>
      <c r="E46" s="267" t="b">
        <f>E36=REMUNERACION_ENEL!E131</f>
        <v>1</v>
      </c>
      <c r="F46" s="267" t="b">
        <f>F36=REMUNERACION_ENEL!F131</f>
        <v>1</v>
      </c>
      <c r="G46" s="267" t="b">
        <f>G36=REMUNERACION_ENEL!G131</f>
        <v>1</v>
      </c>
      <c r="H46" s="267" t="b">
        <f>H36=REMUNERACION_ENEL!H131</f>
        <v>1</v>
      </c>
      <c r="I46" s="267" t="b">
        <f>I36=REMUNERACION_ENEL!I131</f>
        <v>1</v>
      </c>
      <c r="J46" s="267" t="b">
        <f>J36=REMUNERACION_ENEL!J131</f>
        <v>1</v>
      </c>
      <c r="K46" s="267" t="b">
        <f>K36=REMUNERACION_ENEL!K131</f>
        <v>1</v>
      </c>
      <c r="L46" s="267" t="b">
        <f>L36=REMUNERACION_ENEL!L131</f>
        <v>1</v>
      </c>
      <c r="M46" s="267" t="b">
        <f>M36=REMUNERACION_ENEL!M131</f>
        <v>1</v>
      </c>
      <c r="N46" s="267" t="b">
        <f>N36=REMUNERACION_ENEL!N131</f>
        <v>1</v>
      </c>
      <c r="O46" s="267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101" zoomScaleNormal="100" workbookViewId="0">
      <selection activeCell="A117" sqref="A1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R1'!F104</f>
        <v>0</v>
      </c>
      <c r="E9" s="291">
        <f>'Reporte Componentes R1'!G104</f>
        <v>0</v>
      </c>
      <c r="F9" s="291">
        <f>'Reporte Componentes R1'!H104</f>
        <v>0</v>
      </c>
      <c r="G9" s="291">
        <f>'Reporte Componentes R1'!I104</f>
        <v>0</v>
      </c>
      <c r="H9" s="291">
        <f>'Reporte Componentes R1'!J104</f>
        <v>0</v>
      </c>
      <c r="I9" s="291">
        <f>'Reporte Componentes R1'!K104</f>
        <v>0</v>
      </c>
      <c r="J9" s="291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R1'!L104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R1'!M104</f>
        <v>0</v>
      </c>
      <c r="V9" s="307">
        <f>'Reporte Componentes R1'!N104</f>
        <v>0</v>
      </c>
      <c r="W9" s="307">
        <f>'Reporte Componentes R1'!O104</f>
        <v>0</v>
      </c>
      <c r="X9" s="307">
        <f>'Reporte Componentes R1'!P104</f>
        <v>0</v>
      </c>
      <c r="Y9" s="307">
        <f>'Reporte Componentes R1'!Q104</f>
        <v>0</v>
      </c>
      <c r="Z9" s="319">
        <f>L9*-1</f>
        <v>0</v>
      </c>
      <c r="AA9" s="320">
        <f>'Reporte Componentes R1'!R104+'Reporte Componentes R1'!V304+'Reporte Componentes R1'!U104</f>
        <v>0</v>
      </c>
      <c r="AB9" s="294">
        <f>N9</f>
        <v>0</v>
      </c>
      <c r="AC9" s="320">
        <f>'Reporte Componentes R1'!T104+'Reporte Componentes R1'!W104+'Reporte Componentes R1'!X104+'Reporte Componentes R1'!Y104+'Reporte Componentes R1'!Z104+'Reporte Componentes R1'!S104</f>
        <v>0</v>
      </c>
      <c r="AD9" s="291">
        <f>-J9+AE9</f>
        <v>0</v>
      </c>
      <c r="AE9" s="291">
        <f>'Reporte Componentes R1'!F105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R1'!F338</f>
        <v>0</v>
      </c>
      <c r="E10" s="291">
        <f>'Reporte Componentes R1'!G338</f>
        <v>0</v>
      </c>
      <c r="F10" s="291">
        <f>'Reporte Componentes R1'!H338</f>
        <v>0</v>
      </c>
      <c r="G10" s="291">
        <f>'Reporte Componentes R1'!I338</f>
        <v>0</v>
      </c>
      <c r="H10" s="291">
        <f>'Reporte Componentes R1'!J338</f>
        <v>0</v>
      </c>
      <c r="I10" s="291">
        <f>'Reporte Componentes R1'!K338</f>
        <v>0</v>
      </c>
      <c r="J10" s="291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R1'!L338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R1'!M338</f>
        <v>0</v>
      </c>
      <c r="V10" s="316">
        <f>'Reporte Componentes R1'!N338</f>
        <v>0</v>
      </c>
      <c r="W10" s="316">
        <f>'Reporte Componentes R1'!O338</f>
        <v>0</v>
      </c>
      <c r="X10" s="316">
        <f>'Reporte Componentes R1'!P338</f>
        <v>0</v>
      </c>
      <c r="Y10" s="316">
        <f>'Reporte Componentes R1'!Q338</f>
        <v>0</v>
      </c>
      <c r="Z10" s="319">
        <f>L10*-1</f>
        <v>0</v>
      </c>
      <c r="AA10" s="320">
        <f>'Reporte Componentes R1'!R338+'Reporte Componentes R1'!V338+'Reporte Componentes R1'!U338</f>
        <v>0</v>
      </c>
      <c r="AB10" s="294">
        <f>N10</f>
        <v>0</v>
      </c>
      <c r="AC10" s="320">
        <f>'Reporte Componentes R1'!T439+'Reporte Componentes R1'!W439+'Reporte Componentes R1'!X439+'Reporte Componentes R1'!Y439+'Reporte Componentes R1'!Z439+'Reporte Componentes R1'!S439</f>
        <v>0</v>
      </c>
      <c r="AD10" s="291">
        <f t="shared" ref="AD10:AD13" si="2">-J10+AE10</f>
        <v>0</v>
      </c>
      <c r="AE10" s="291">
        <f>'Reporte Componentes R1'!F339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R1'!F499</f>
        <v>0</v>
      </c>
      <c r="E11" s="291">
        <f>'Reporte Componentes R1'!G499</f>
        <v>0</v>
      </c>
      <c r="F11" s="291">
        <f>'Reporte Componentes R1'!H499</f>
        <v>0</v>
      </c>
      <c r="G11" s="291">
        <f>'Reporte Componentes R1'!I499</f>
        <v>0</v>
      </c>
      <c r="H11" s="291">
        <f>'Reporte Componentes R1'!J499</f>
        <v>0</v>
      </c>
      <c r="I11" s="291">
        <f>'Reporte Componentes R1'!K499</f>
        <v>0</v>
      </c>
      <c r="J11" s="291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R1'!L499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R1'!M499</f>
        <v>0</v>
      </c>
      <c r="V11" s="316">
        <f>'Reporte Componentes R1'!N499</f>
        <v>0</v>
      </c>
      <c r="W11" s="316">
        <f>'Reporte Componentes R1'!O499</f>
        <v>0</v>
      </c>
      <c r="X11" s="316">
        <f>'Reporte Componentes R1'!P499</f>
        <v>0</v>
      </c>
      <c r="Y11" s="316">
        <f>'Reporte Componentes R1'!Q499</f>
        <v>0</v>
      </c>
      <c r="Z11" s="319">
        <f>L11*-1</f>
        <v>0</v>
      </c>
      <c r="AA11" s="320">
        <f>'Reporte Componentes R1'!R499+'Reporte Componentes R1'!V499+'Reporte Componentes R1'!U499</f>
        <v>0</v>
      </c>
      <c r="AB11" s="294">
        <f>N11</f>
        <v>0</v>
      </c>
      <c r="AC11" s="320">
        <f>'Reporte Componentes R1'!T499+'Reporte Componentes R1'!W499+'Reporte Componentes R1'!X499+'Reporte Componentes R1'!Y499+'Reporte Componentes R1'!Z499+'Reporte Componentes R1'!S499</f>
        <v>0</v>
      </c>
      <c r="AD11" s="291">
        <f t="shared" si="2"/>
        <v>0</v>
      </c>
      <c r="AE11" s="291">
        <f>'Reporte Componentes R1'!F500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R1'!F707</f>
        <v>0</v>
      </c>
      <c r="E12" s="291">
        <f>'Reporte Componentes R1'!G707</f>
        <v>0</v>
      </c>
      <c r="F12" s="291">
        <f>'Reporte Componentes R1'!H707</f>
        <v>0</v>
      </c>
      <c r="G12" s="291">
        <f>'Reporte Componentes R1'!I707</f>
        <v>0</v>
      </c>
      <c r="H12" s="291">
        <f>'Reporte Componentes R1'!J707</f>
        <v>0</v>
      </c>
      <c r="I12" s="291">
        <f>'Reporte Componentes R1'!K707</f>
        <v>0</v>
      </c>
      <c r="J12" s="291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R1'!L707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R1'!M707</f>
        <v>0</v>
      </c>
      <c r="V12" s="316">
        <f>'Reporte Componentes R1'!N707</f>
        <v>0</v>
      </c>
      <c r="W12" s="316">
        <f>'Reporte Componentes R1'!O707</f>
        <v>0</v>
      </c>
      <c r="X12" s="316">
        <f>'Reporte Componentes R1'!P707</f>
        <v>0</v>
      </c>
      <c r="Y12" s="316">
        <f>'Reporte Componentes R1'!Q707</f>
        <v>0</v>
      </c>
      <c r="Z12" s="319">
        <f>L12*-1</f>
        <v>0</v>
      </c>
      <c r="AA12" s="320">
        <f>'Reporte Componentes R1'!R707+'Reporte Componentes R1'!V707+'Reporte Componentes R1'!U707</f>
        <v>0</v>
      </c>
      <c r="AB12" s="294">
        <f>N12</f>
        <v>0</v>
      </c>
      <c r="AC12" s="320">
        <f>'Reporte Componentes R1'!T707+'Reporte Componentes R1'!W707+'Reporte Componentes R1'!X707+'Reporte Componentes R1'!Y707+'Reporte Componentes R1'!Z707+'Reporte Componentes R1'!S707</f>
        <v>0</v>
      </c>
      <c r="AD12" s="291">
        <f t="shared" si="2"/>
        <v>0</v>
      </c>
      <c r="AE12" s="291">
        <f>'Reporte Componentes R1'!F708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R1'!F826</f>
        <v>0</v>
      </c>
      <c r="E13" s="296">
        <f>'Reporte Componentes R1'!G826</f>
        <v>0</v>
      </c>
      <c r="F13" s="296">
        <f>'Reporte Componentes R1'!H826</f>
        <v>0</v>
      </c>
      <c r="G13" s="296">
        <f>'Reporte Componentes R1'!I826</f>
        <v>0</v>
      </c>
      <c r="H13" s="296">
        <f>'Reporte Componentes R1'!J826</f>
        <v>0</v>
      </c>
      <c r="I13" s="296">
        <f>'Reporte Componentes R1'!K826</f>
        <v>0</v>
      </c>
      <c r="J13" s="296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R1'!L826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R1'!M826</f>
        <v>0</v>
      </c>
      <c r="V13" s="296">
        <f>'Reporte Componentes R1'!N826</f>
        <v>0</v>
      </c>
      <c r="W13" s="296">
        <f>'Reporte Componentes R1'!O826</f>
        <v>0</v>
      </c>
      <c r="X13" s="296">
        <f>'Reporte Componentes R1'!P826</f>
        <v>0</v>
      </c>
      <c r="Y13" s="296">
        <f>'Reporte Componentes R1'!Q826</f>
        <v>0</v>
      </c>
      <c r="Z13" s="319">
        <f>L13*-1</f>
        <v>0</v>
      </c>
      <c r="AA13" s="320">
        <f>'Reporte Componentes R1'!R826+'Reporte Componentes R1'!V826+'Reporte Componentes R1'!U826</f>
        <v>0</v>
      </c>
      <c r="AB13" s="294">
        <f>N13</f>
        <v>0</v>
      </c>
      <c r="AC13" s="320">
        <f>'Reporte Componentes R1'!T826+'Reporte Componentes R1'!W826+'Reporte Componentes R1'!X826+'Reporte Componentes R1'!Y826+'Reporte Componentes R1'!Z826+'Reporte Componentes R1'!S826</f>
        <v>0</v>
      </c>
      <c r="AD13" s="291">
        <f t="shared" si="2"/>
        <v>0</v>
      </c>
      <c r="AE13" s="291">
        <f>'Reporte Componentes R1'!F827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R2'!E66</f>
        <v>0</v>
      </c>
      <c r="E28" s="291">
        <f>'Rem. Anticipos R2'!F66</f>
        <v>0</v>
      </c>
      <c r="F28" s="291">
        <f>'Rem. Anticipos R2'!G66</f>
        <v>0</v>
      </c>
      <c r="G28" s="291">
        <f>'Rem. Anticipos R2'!H66</f>
        <v>0</v>
      </c>
      <c r="H28" s="291">
        <f>'Rem. Anticipos R2'!I66</f>
        <v>0</v>
      </c>
      <c r="I28" s="291">
        <f>'Rem. Anticipos R2'!J66</f>
        <v>0</v>
      </c>
      <c r="J28" s="291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R2'!K66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R2'!L66</f>
        <v>0</v>
      </c>
      <c r="V28" s="307">
        <f>'Rem. Anticipos R2'!M66</f>
        <v>0</v>
      </c>
      <c r="W28" s="307">
        <f>'Rem. Anticipos R2'!N66</f>
        <v>0</v>
      </c>
      <c r="X28" s="307">
        <f>'Rem. Anticipos R2'!O66</f>
        <v>0</v>
      </c>
      <c r="Y28" s="307">
        <f>'Rem. Anticipos R2'!P66</f>
        <v>0</v>
      </c>
      <c r="Z28" s="310">
        <f>L28*-1</f>
        <v>0</v>
      </c>
      <c r="AA28" s="311">
        <f>'Rem. Anticipos R2'!Q66</f>
        <v>0</v>
      </c>
      <c r="AB28" s="294">
        <f>N28</f>
        <v>0</v>
      </c>
      <c r="AC28" s="311">
        <f>'Rem. Anticipos R2'!R66</f>
        <v>0</v>
      </c>
      <c r="AD28" s="291">
        <f>-J28+AE28</f>
        <v>0</v>
      </c>
      <c r="AE28" s="291">
        <f>'Rem. Anticipos R2'!E67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R2'!E187</f>
        <v>0</v>
      </c>
      <c r="E29" s="292">
        <f>'Rem. Anticipos R2'!F187</f>
        <v>0</v>
      </c>
      <c r="F29" s="292">
        <f>'Rem. Anticipos R2'!G187</f>
        <v>0</v>
      </c>
      <c r="G29" s="292">
        <f>'Rem. Anticipos R2'!H187</f>
        <v>0</v>
      </c>
      <c r="H29" s="292">
        <f>'Rem. Anticipos R2'!I187</f>
        <v>0</v>
      </c>
      <c r="I29" s="292">
        <f>'Rem. Anticipos R2'!J187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R2'!K187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'Rem. Anticipos R2'!L187</f>
        <v>0</v>
      </c>
      <c r="V29" s="317">
        <f>'Rem. Anticipos R2'!M187</f>
        <v>0</v>
      </c>
      <c r="W29" s="317">
        <f>'Rem. Anticipos R2'!N187</f>
        <v>0</v>
      </c>
      <c r="X29" s="317">
        <f>'Rem. Anticipos R2'!O187</f>
        <v>0</v>
      </c>
      <c r="Y29" s="318">
        <f>'Rem. Anticipos R2'!P187</f>
        <v>0</v>
      </c>
      <c r="Z29" s="319">
        <f>L29*-1</f>
        <v>0</v>
      </c>
      <c r="AA29" s="320">
        <f>'Rem. Anticipos R2'!Q187</f>
        <v>0</v>
      </c>
      <c r="AB29" s="294">
        <f>N29</f>
        <v>0</v>
      </c>
      <c r="AC29" s="320">
        <f>'Rem. Anticipos R2'!R187</f>
        <v>0</v>
      </c>
      <c r="AD29" s="291">
        <f>-J29+AE29</f>
        <v>0</v>
      </c>
      <c r="AE29" s="291">
        <f>'Rem. Anticipos R2'!E188</f>
        <v>0</v>
      </c>
      <c r="AF29" s="322">
        <f>SUM(U29:AD29)</f>
        <v>0</v>
      </c>
      <c r="AG29" s="323">
        <f>(AF29-O29)</f>
        <v>0</v>
      </c>
      <c r="AH29" s="1" t="b">
        <f t="shared" ref="AH29:AH33" si="8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R2'!E308</f>
        <v>0</v>
      </c>
      <c r="E30" s="291">
        <f>'Rem. Anticipos R2'!F308</f>
        <v>0</v>
      </c>
      <c r="F30" s="291">
        <f>'Rem. Anticipos R2'!G308</f>
        <v>0</v>
      </c>
      <c r="G30" s="291">
        <f>'Rem. Anticipos R2'!H308</f>
        <v>0</v>
      </c>
      <c r="H30" s="291">
        <f>'Rem. Anticipos R2'!I308</f>
        <v>0</v>
      </c>
      <c r="I30" s="291">
        <f>'Rem. Anticipos R2'!J308</f>
        <v>0</v>
      </c>
      <c r="J30" s="288">
        <v>0</v>
      </c>
      <c r="K30" s="295">
        <f t="shared" ref="K30:K31" si="9">D30-E30-F30-G30-H30-I30-J30</f>
        <v>0</v>
      </c>
      <c r="L30" s="294">
        <v>0</v>
      </c>
      <c r="M30" s="295">
        <f>K30-L30</f>
        <v>0</v>
      </c>
      <c r="N30" s="294">
        <f>'Rem. Anticipos R2'!K308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'Rem. Anticipos R2'!L308</f>
        <v>0</v>
      </c>
      <c r="V30" s="316">
        <f>'Rem. Anticipos R2'!M308</f>
        <v>0</v>
      </c>
      <c r="W30" s="316">
        <f>'Rem. Anticipos R2'!N308</f>
        <v>0</v>
      </c>
      <c r="X30" s="316">
        <f>'Rem. Anticipos R2'!O308</f>
        <v>0</v>
      </c>
      <c r="Y30" s="316">
        <f>'Rem. Anticipos R2'!P308</f>
        <v>0</v>
      </c>
      <c r="Z30" s="319">
        <f>L30*-1</f>
        <v>0</v>
      </c>
      <c r="AA30" s="320">
        <f>'Rem. Anticipos R2'!Q308</f>
        <v>0</v>
      </c>
      <c r="AB30" s="294">
        <f>N30</f>
        <v>0</v>
      </c>
      <c r="AC30" s="320">
        <f>'Rem. Anticipos R2'!R308</f>
        <v>0</v>
      </c>
      <c r="AD30" s="291">
        <f t="shared" ref="AD30:AD32" si="10">-J30+AE30</f>
        <v>0</v>
      </c>
      <c r="AE30" s="291">
        <f>'Rem. Anticipos R2'!E309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8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R2'!E432</f>
        <v>0</v>
      </c>
      <c r="E31" s="291">
        <f>'Rem. Anticipos R2'!F432</f>
        <v>0</v>
      </c>
      <c r="F31" s="291">
        <f>'Rem. Anticipos R2'!G432</f>
        <v>0</v>
      </c>
      <c r="G31" s="291">
        <f>'Rem. Anticipos R2'!H432</f>
        <v>0</v>
      </c>
      <c r="H31" s="291">
        <f>'Rem. Anticipos R2'!I432</f>
        <v>0</v>
      </c>
      <c r="I31" s="291">
        <f>'Rem. Anticipos R2'!J432</f>
        <v>0</v>
      </c>
      <c r="J31" s="288">
        <v>0</v>
      </c>
      <c r="K31" s="295">
        <f t="shared" si="9"/>
        <v>0</v>
      </c>
      <c r="L31" s="294">
        <v>0</v>
      </c>
      <c r="M31" s="295">
        <f>K31-L31</f>
        <v>0</v>
      </c>
      <c r="N31" s="294">
        <f>'Rem. Anticipos R2'!K432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'Rem. Anticipos R2'!L432</f>
        <v>0</v>
      </c>
      <c r="V31" s="316">
        <f>'Rem. Anticipos R2'!M432</f>
        <v>0</v>
      </c>
      <c r="W31" s="316">
        <f>'Rem. Anticipos R2'!N432</f>
        <v>0</v>
      </c>
      <c r="X31" s="316">
        <f>'Rem. Anticipos R2'!O432</f>
        <v>0</v>
      </c>
      <c r="Y31" s="316">
        <f>'Rem. Anticipos R2'!P432</f>
        <v>0</v>
      </c>
      <c r="Z31" s="319">
        <f>L31*-1</f>
        <v>0</v>
      </c>
      <c r="AA31" s="320">
        <f>'Rem. Anticipos R2'!Q432</f>
        <v>0</v>
      </c>
      <c r="AB31" s="294">
        <f>N31</f>
        <v>0</v>
      </c>
      <c r="AC31" s="320">
        <f>'Rem. Anticipos R2'!R432</f>
        <v>0</v>
      </c>
      <c r="AD31" s="291">
        <f t="shared" si="10"/>
        <v>0</v>
      </c>
      <c r="AE31" s="291">
        <f>'Rem. Anticipos R2'!E433</f>
        <v>0</v>
      </c>
      <c r="AF31" s="322">
        <f>SUM(U31:AD31)</f>
        <v>0</v>
      </c>
      <c r="AG31" s="323">
        <f t="shared" si="11"/>
        <v>0</v>
      </c>
      <c r="AH31" s="1" t="b">
        <f t="shared" si="8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R2'!E519</f>
        <v>0</v>
      </c>
      <c r="E32" s="296">
        <f>'Rem. Anticipos R2'!F519</f>
        <v>0</v>
      </c>
      <c r="F32" s="296">
        <f>'Rem. Anticipos R2'!G519</f>
        <v>0</v>
      </c>
      <c r="G32" s="296">
        <f>'Rem. Anticipos R2'!H519</f>
        <v>0</v>
      </c>
      <c r="H32" s="296">
        <f>'Rem. Anticipos R2'!I519</f>
        <v>0</v>
      </c>
      <c r="I32" s="296">
        <f>'Rem. Anticipos R2'!J519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R2'!K519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'Rem. Anticipos R2'!L519</f>
        <v>0</v>
      </c>
      <c r="V32" s="297">
        <f>'Rem. Anticipos R2'!M519</f>
        <v>0</v>
      </c>
      <c r="W32" s="297">
        <f>'Rem. Anticipos R2'!N519</f>
        <v>0</v>
      </c>
      <c r="X32" s="297">
        <f>'Rem. Anticipos R2'!O519</f>
        <v>0</v>
      </c>
      <c r="Y32" s="289">
        <f>'Rem. Anticipos R2'!P519</f>
        <v>0</v>
      </c>
      <c r="Z32" s="319">
        <f>L32*-1</f>
        <v>0</v>
      </c>
      <c r="AA32" s="320">
        <f>'Rem. Anticipos R2'!Q519</f>
        <v>0</v>
      </c>
      <c r="AB32" s="294">
        <f>N32</f>
        <v>0</v>
      </c>
      <c r="AC32" s="320">
        <f>'Rem. Anticipos R2'!R519</f>
        <v>0</v>
      </c>
      <c r="AD32" s="291">
        <f t="shared" si="10"/>
        <v>0</v>
      </c>
      <c r="AE32" s="291">
        <f>'Rem. Anticipos R2'!E520</f>
        <v>0</v>
      </c>
      <c r="AF32" s="322">
        <f>SUM(U32:AD32)</f>
        <v>0</v>
      </c>
      <c r="AG32" s="326">
        <f>(AF32-O32)</f>
        <v>0</v>
      </c>
      <c r="AH32" s="1" t="b">
        <f t="shared" si="8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8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R1'!F106</f>
        <v>0</v>
      </c>
      <c r="E47" s="291">
        <f>'Reporte Componentes R1'!G106</f>
        <v>0</v>
      </c>
      <c r="F47" s="291">
        <f>'Reporte Componentes R1'!H106</f>
        <v>0</v>
      </c>
      <c r="G47" s="291">
        <f>'Reporte Componentes R1'!I106</f>
        <v>0</v>
      </c>
      <c r="H47" s="291">
        <f>'Reporte Componentes R1'!J106</f>
        <v>0</v>
      </c>
      <c r="I47" s="291">
        <f>'Reporte Componentes R1'!K106</f>
        <v>0</v>
      </c>
      <c r="J47" s="291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R1'!L106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R1'!M106</f>
        <v>0</v>
      </c>
      <c r="V47" s="307">
        <f>'Reporte Componentes R1'!N106</f>
        <v>0</v>
      </c>
      <c r="W47" s="307">
        <f>'Reporte Componentes R1'!O106</f>
        <v>0</v>
      </c>
      <c r="X47" s="307">
        <f>'Reporte Componentes R1'!P106</f>
        <v>0</v>
      </c>
      <c r="Y47" s="307">
        <f>'Reporte Componentes R1'!Q106</f>
        <v>0</v>
      </c>
      <c r="Z47" s="310">
        <f>-L47</f>
        <v>0</v>
      </c>
      <c r="AA47" s="320">
        <f>'Reporte Componentes R1'!R106+'Reporte Componentes R1'!V106+'Reporte Componentes R1'!U106</f>
        <v>0</v>
      </c>
      <c r="AB47" s="294">
        <f>N47</f>
        <v>0</v>
      </c>
      <c r="AC47" s="311">
        <f>'Reporte Componentes R1'!T106+'Reporte Componentes R1'!W106+'Reporte Componentes R1'!X106+'Reporte Componentes R1'!Y106+'Reporte Componentes R1'!Z106+'Reporte Componentes R1'!S106</f>
        <v>0</v>
      </c>
      <c r="AD47" s="291">
        <f>-J47+AE47</f>
        <v>0</v>
      </c>
      <c r="AE47" s="291">
        <f>'Reporte Componentes R1'!F107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R1'!F340</f>
        <v>0</v>
      </c>
      <c r="E48" s="291">
        <f>'Reporte Componentes R1'!G340</f>
        <v>0</v>
      </c>
      <c r="F48" s="291">
        <f>'Reporte Componentes R1'!H340</f>
        <v>0</v>
      </c>
      <c r="G48" s="291">
        <f>'Reporte Componentes R1'!I340</f>
        <v>0</v>
      </c>
      <c r="H48" s="291">
        <f>'Reporte Componentes R1'!J340</f>
        <v>0</v>
      </c>
      <c r="I48" s="291">
        <f>'Reporte Componentes R1'!K340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R1'!L340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R1'!M340</f>
        <v>0</v>
      </c>
      <c r="V48" s="316">
        <f>'Reporte Componentes R1'!N340</f>
        <v>0</v>
      </c>
      <c r="W48" s="316">
        <f>'Reporte Componentes R1'!O340</f>
        <v>0</v>
      </c>
      <c r="X48" s="316">
        <f>'Reporte Componentes R1'!P340</f>
        <v>0</v>
      </c>
      <c r="Y48" s="316">
        <f>'Reporte Componentes R1'!Q340</f>
        <v>0</v>
      </c>
      <c r="Z48" s="319">
        <f>-L48</f>
        <v>0</v>
      </c>
      <c r="AA48" s="320">
        <f>'Reporte Componentes R1'!R340+'Reporte Componentes R1'!V340+'Reporte Componentes R1'!U340</f>
        <v>0</v>
      </c>
      <c r="AB48" s="294">
        <f>N48</f>
        <v>0</v>
      </c>
      <c r="AC48" s="320">
        <f>'Reporte Componentes R1'!T340+'Reporte Componentes R1'!W340+'Reporte Componentes R1'!X340+'Reporte Componentes R1'!Y340+'Reporte Componentes R1'!Z340+'Reporte Componentes R1'!S340</f>
        <v>0</v>
      </c>
      <c r="AD48" s="291">
        <f t="shared" ref="AD48:AD51" si="16">-J48+AE48</f>
        <v>0</v>
      </c>
      <c r="AE48" s="291">
        <f>'Reporte Componentes R1'!F341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R1'!F501</f>
        <v>0</v>
      </c>
      <c r="E49" s="291">
        <f>'Reporte Componentes R1'!G501</f>
        <v>0</v>
      </c>
      <c r="F49" s="291">
        <f>'Reporte Componentes R1'!H501</f>
        <v>0</v>
      </c>
      <c r="G49" s="291">
        <f>'Reporte Componentes R1'!I501</f>
        <v>0</v>
      </c>
      <c r="H49" s="291">
        <f>'Reporte Componentes R1'!J501</f>
        <v>0</v>
      </c>
      <c r="I49" s="291">
        <f>'Reporte Componentes R1'!K501</f>
        <v>0</v>
      </c>
      <c r="J49" s="291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R1'!L501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R1'!M501</f>
        <v>0</v>
      </c>
      <c r="V49" s="316">
        <f>'Reporte Componentes R1'!N501</f>
        <v>0</v>
      </c>
      <c r="W49" s="316">
        <f>'Reporte Componentes R1'!O501</f>
        <v>0</v>
      </c>
      <c r="X49" s="316">
        <f>'Reporte Componentes R1'!P501</f>
        <v>0</v>
      </c>
      <c r="Y49" s="316">
        <f>'Reporte Componentes R1'!Q501</f>
        <v>0</v>
      </c>
      <c r="Z49" s="319">
        <f>-L49</f>
        <v>0</v>
      </c>
      <c r="AA49" s="320">
        <f>'Reporte Componentes R1'!R501+'Reporte Componentes R1'!V501+'Reporte Componentes R1'!U501</f>
        <v>0</v>
      </c>
      <c r="AB49" s="294">
        <f>N49</f>
        <v>0</v>
      </c>
      <c r="AC49" s="320">
        <f>'Reporte Componentes R1'!T501+'Reporte Componentes R1'!W501+'Reporte Componentes R1'!X501+'Reporte Componentes R1'!Y501+'Reporte Componentes R1'!Z501+'Reporte Componentes R1'!S501</f>
        <v>0</v>
      </c>
      <c r="AD49" s="291">
        <f t="shared" si="16"/>
        <v>0</v>
      </c>
      <c r="AE49" s="291">
        <f>'Reporte Componentes R1'!F502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R1'!F709</f>
        <v>0</v>
      </c>
      <c r="E50" s="291">
        <f>'Reporte Componentes R1'!G709</f>
        <v>0</v>
      </c>
      <c r="F50" s="291">
        <f>'Reporte Componentes R1'!H709</f>
        <v>0</v>
      </c>
      <c r="G50" s="291">
        <f>'Reporte Componentes R1'!I709</f>
        <v>0</v>
      </c>
      <c r="H50" s="291">
        <f>'Reporte Componentes R1'!J709</f>
        <v>0</v>
      </c>
      <c r="I50" s="291">
        <f>'Reporte Componentes R1'!K709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R1'!L709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R1'!M709</f>
        <v>0</v>
      </c>
      <c r="V50" s="316">
        <f>'Reporte Componentes R1'!N709</f>
        <v>0</v>
      </c>
      <c r="W50" s="316">
        <f>'Reporte Componentes R1'!O709</f>
        <v>0</v>
      </c>
      <c r="X50" s="316">
        <f>'Reporte Componentes R1'!P709</f>
        <v>0</v>
      </c>
      <c r="Y50" s="316">
        <f>'Reporte Componentes R1'!Q709</f>
        <v>0</v>
      </c>
      <c r="Z50" s="319">
        <f>-L50</f>
        <v>0</v>
      </c>
      <c r="AA50" s="320">
        <f>'Reporte Componentes R1'!R709+'Reporte Componentes R1'!V709+'Reporte Componentes R1'!U709</f>
        <v>0</v>
      </c>
      <c r="AB50" s="294">
        <f>N50</f>
        <v>0</v>
      </c>
      <c r="AC50" s="320">
        <f>'Reporte Componentes R1'!T709+'Reporte Componentes R1'!W709+'Reporte Componentes R1'!X709+'Reporte Componentes R1'!Y709+'Reporte Componentes R1'!Z709+'Reporte Componentes R1'!S709</f>
        <v>0</v>
      </c>
      <c r="AD50" s="291">
        <f t="shared" si="16"/>
        <v>0</v>
      </c>
      <c r="AE50" s="291">
        <f>'Reporte Componentes R1'!F710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R1'!F828</f>
        <v>0</v>
      </c>
      <c r="E51" s="296">
        <f>'Reporte Componentes R1'!G828</f>
        <v>0</v>
      </c>
      <c r="F51" s="296">
        <f>'Reporte Componentes R1'!H828</f>
        <v>0</v>
      </c>
      <c r="G51" s="296">
        <f>'Reporte Componentes R1'!I828</f>
        <v>0</v>
      </c>
      <c r="H51" s="296">
        <f>'Reporte Componentes R1'!J828</f>
        <v>0</v>
      </c>
      <c r="I51" s="296">
        <f>'Reporte Componentes R1'!K828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R1'!L828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R1'!M828</f>
        <v>0</v>
      </c>
      <c r="V51" s="296">
        <f>'Reporte Componentes R1'!N828</f>
        <v>0</v>
      </c>
      <c r="W51" s="296">
        <f>'Reporte Componentes R1'!O828</f>
        <v>0</v>
      </c>
      <c r="X51" s="296">
        <f>'Reporte Componentes R1'!P828</f>
        <v>0</v>
      </c>
      <c r="Y51" s="289">
        <f>'Reporte Componentes R1'!Q828</f>
        <v>0</v>
      </c>
      <c r="Z51" s="319">
        <f>-L51</f>
        <v>0</v>
      </c>
      <c r="AA51" s="320">
        <f>'Reporte Componentes R1'!R828+'Reporte Componentes R1'!V828+'Reporte Componentes R1'!U828</f>
        <v>0</v>
      </c>
      <c r="AB51" s="294">
        <f>N51</f>
        <v>0</v>
      </c>
      <c r="AC51" s="320">
        <f>'Reporte Componentes R1'!T828+'Reporte Componentes R1'!W828+'Reporte Componentes R1'!X828+'Reporte Componentes R1'!Y828+'Reporte Componentes R1'!Z828+'Reporte Componentes R1'!S828</f>
        <v>0</v>
      </c>
      <c r="AD51" s="291">
        <f t="shared" si="16"/>
        <v>0</v>
      </c>
      <c r="AE51" s="291">
        <f>'Reporte Componentes R1'!F829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si="22"/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R4'!D88</f>
        <v>0</v>
      </c>
      <c r="E66" s="291">
        <f>'Reversion Pagos R4'!E88</f>
        <v>0</v>
      </c>
      <c r="F66" s="291">
        <f>'Reversion Pagos R4'!F88</f>
        <v>0</v>
      </c>
      <c r="G66" s="291">
        <f>'Reversion Pagos R4'!G88</f>
        <v>0</v>
      </c>
      <c r="H66" s="291">
        <f>'Reversion Pagos R4'!H88</f>
        <v>0</v>
      </c>
      <c r="I66" s="291">
        <f>'Reversion Pagos R4'!I88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R4'!P88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R4'!J88</f>
        <v>0</v>
      </c>
      <c r="V66" s="307">
        <f>'Reversion Pagos R4'!K88</f>
        <v>0</v>
      </c>
      <c r="W66" s="307">
        <f>'Reversion Pagos R4'!L88</f>
        <v>0</v>
      </c>
      <c r="X66" s="307">
        <f>'Reversion Pagos R4'!M88</f>
        <v>0</v>
      </c>
      <c r="Y66" s="307">
        <f>'Reversion Pagos R4'!N88</f>
        <v>0</v>
      </c>
      <c r="Z66" s="310">
        <f>-L66</f>
        <v>0</v>
      </c>
      <c r="AA66" s="311">
        <f>+'Reversion Pagos R4'!O88</f>
        <v>0</v>
      </c>
      <c r="AB66" s="294">
        <f>N66</f>
        <v>0</v>
      </c>
      <c r="AC66" s="311">
        <f>+'Reversion Pagos R4'!Q88+'Reversion Pagos R4'!R88</f>
        <v>0</v>
      </c>
      <c r="AD66" s="291">
        <f>-J66+AE66</f>
        <v>0</v>
      </c>
      <c r="AE66" s="291">
        <f>'Reversion Pagos R4'!D89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R4'!D189</f>
        <v>0</v>
      </c>
      <c r="E67" s="291">
        <f>'Reversion Pagos R4'!E189</f>
        <v>0</v>
      </c>
      <c r="F67" s="291">
        <f>'Reversion Pagos R4'!F189</f>
        <v>0</v>
      </c>
      <c r="G67" s="291">
        <f>'Reversion Pagos R4'!G189</f>
        <v>0</v>
      </c>
      <c r="H67" s="291">
        <f>'Reversion Pagos R4'!H189</f>
        <v>0</v>
      </c>
      <c r="I67" s="291">
        <f>'Reversion Pagos R4'!I189</f>
        <v>0</v>
      </c>
      <c r="J67" s="288">
        <v>0</v>
      </c>
      <c r="K67" s="295">
        <f t="shared" ref="K67:K70" si="23">D67-E67-F67-G67-H67-I67-J67</f>
        <v>0</v>
      </c>
      <c r="L67" s="294">
        <v>0</v>
      </c>
      <c r="M67" s="295">
        <f>K67-L67</f>
        <v>0</v>
      </c>
      <c r="N67" s="294">
        <f>'Reversion Pagos R4'!P189</f>
        <v>0</v>
      </c>
      <c r="O67" s="295">
        <f t="shared" ref="O67:O70" si="24">M67+N67</f>
        <v>0</v>
      </c>
      <c r="Q67" s="306"/>
      <c r="S67" s="314">
        <v>2</v>
      </c>
      <c r="T67" s="315" t="s">
        <v>11</v>
      </c>
      <c r="U67" s="316">
        <f>'Reversion Pagos R4'!J189</f>
        <v>0</v>
      </c>
      <c r="V67" s="316">
        <f>'Reversion Pagos R4'!K189</f>
        <v>0</v>
      </c>
      <c r="W67" s="316">
        <f>'Reversion Pagos R4'!L189</f>
        <v>0</v>
      </c>
      <c r="X67" s="316">
        <f>'Reversion Pagos R4'!M189</f>
        <v>0</v>
      </c>
      <c r="Y67" s="316">
        <f>'Reversion Pagos R4'!N189</f>
        <v>0</v>
      </c>
      <c r="Z67" s="319">
        <f t="shared" ref="Z67:Z70" si="25">-L67</f>
        <v>0</v>
      </c>
      <c r="AA67" s="320">
        <f>'Reversion Pagos R4'!O189</f>
        <v>0</v>
      </c>
      <c r="AB67" s="294">
        <f t="shared" ref="AB67:AB70" si="26">N67</f>
        <v>0</v>
      </c>
      <c r="AC67" s="320">
        <f>'Reversion Pagos R4'!Q189+'Reversion Pagos R4'!R189</f>
        <v>0</v>
      </c>
      <c r="AD67" s="291">
        <f t="shared" ref="AD67:AD70" si="27">-J67+AE67</f>
        <v>0</v>
      </c>
      <c r="AE67" s="291">
        <f>'Reversion Pagos R4'!D190</f>
        <v>0</v>
      </c>
      <c r="AF67" s="322">
        <f>SUM(U67:AD67)</f>
        <v>0</v>
      </c>
      <c r="AG67" s="323">
        <f>(AF67-O67)</f>
        <v>0</v>
      </c>
      <c r="AH67" s="1" t="b">
        <f t="shared" ref="AH67:AH71" si="28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R4'!D226</f>
        <v>0</v>
      </c>
      <c r="E68" s="291">
        <f>'Reversion Pagos R4'!E226</f>
        <v>0</v>
      </c>
      <c r="F68" s="291">
        <f>'Reversion Pagos R4'!F226</f>
        <v>0</v>
      </c>
      <c r="G68" s="291">
        <f>'Reversion Pagos R4'!G226</f>
        <v>0</v>
      </c>
      <c r="H68" s="291">
        <f>'Reversion Pagos R4'!H226</f>
        <v>0</v>
      </c>
      <c r="I68" s="291">
        <f>'Reversion Pagos R4'!I226</f>
        <v>0</v>
      </c>
      <c r="J68" s="288">
        <v>0</v>
      </c>
      <c r="K68" s="295">
        <f t="shared" si="23"/>
        <v>0</v>
      </c>
      <c r="L68" s="294">
        <v>0</v>
      </c>
      <c r="M68" s="295">
        <f>K68-L68</f>
        <v>0</v>
      </c>
      <c r="N68" s="294">
        <f>'Reversion Pagos R4'!P226</f>
        <v>0</v>
      </c>
      <c r="O68" s="295">
        <f t="shared" si="24"/>
        <v>0</v>
      </c>
      <c r="Q68" s="306"/>
      <c r="S68" s="314">
        <v>3</v>
      </c>
      <c r="T68" s="315" t="s">
        <v>12</v>
      </c>
      <c r="U68" s="316">
        <f>'Reversion Pagos R4'!J226</f>
        <v>0</v>
      </c>
      <c r="V68" s="316">
        <f>'Reversion Pagos R4'!K226</f>
        <v>0</v>
      </c>
      <c r="W68" s="316">
        <f>'Reversion Pagos R4'!L226</f>
        <v>0</v>
      </c>
      <c r="X68" s="316">
        <f>'Reversion Pagos R4'!M226</f>
        <v>0</v>
      </c>
      <c r="Y68" s="316">
        <f>'Reversion Pagos R4'!N226</f>
        <v>0</v>
      </c>
      <c r="Z68" s="319">
        <f t="shared" si="25"/>
        <v>0</v>
      </c>
      <c r="AA68" s="320">
        <f>'Reversion Pagos R4'!O226</f>
        <v>0</v>
      </c>
      <c r="AB68" s="294">
        <f t="shared" si="26"/>
        <v>0</v>
      </c>
      <c r="AC68" s="320">
        <f>'Reversion Pagos R4'!Q226+'Reversion Pagos R4'!R226</f>
        <v>0</v>
      </c>
      <c r="AD68" s="291">
        <f t="shared" si="27"/>
        <v>0</v>
      </c>
      <c r="AE68" s="291">
        <f>'Reversion Pagos R4'!D227</f>
        <v>0</v>
      </c>
      <c r="AF68" s="322">
        <f t="shared" ref="AF68:AF70" si="29">SUM(U68:AD68)</f>
        <v>0</v>
      </c>
      <c r="AG68" s="323">
        <f t="shared" ref="AG68:AG70" si="30">(AF68-O68)</f>
        <v>0</v>
      </c>
      <c r="AH68" s="1" t="b">
        <f t="shared" si="28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R4'!D341</f>
        <v>0</v>
      </c>
      <c r="E69" s="291">
        <f>'Reversion Pagos R4'!E341</f>
        <v>0</v>
      </c>
      <c r="F69" s="291">
        <f>'Reversion Pagos R4'!F341</f>
        <v>0</v>
      </c>
      <c r="G69" s="291">
        <f>'Reversion Pagos R4'!G341</f>
        <v>0</v>
      </c>
      <c r="H69" s="291">
        <f>'Reversion Pagos R4'!H341</f>
        <v>0</v>
      </c>
      <c r="I69" s="291">
        <f>'Reversion Pagos R4'!I341</f>
        <v>0</v>
      </c>
      <c r="J69" s="288">
        <v>0</v>
      </c>
      <c r="K69" s="295">
        <f t="shared" si="23"/>
        <v>0</v>
      </c>
      <c r="L69" s="294">
        <v>0</v>
      </c>
      <c r="M69" s="295">
        <f>K69-L69</f>
        <v>0</v>
      </c>
      <c r="N69" s="294">
        <f>'Reversion Pagos R4'!P341</f>
        <v>0</v>
      </c>
      <c r="O69" s="295">
        <f t="shared" si="24"/>
        <v>0</v>
      </c>
      <c r="Q69" s="306"/>
      <c r="S69" s="314">
        <v>4</v>
      </c>
      <c r="T69" s="315" t="s">
        <v>13</v>
      </c>
      <c r="U69" s="316">
        <f>'Reversion Pagos R4'!J341</f>
        <v>0</v>
      </c>
      <c r="V69" s="316">
        <f>'Reversion Pagos R4'!K341</f>
        <v>0</v>
      </c>
      <c r="W69" s="316">
        <f>'Reversion Pagos R4'!L341</f>
        <v>0</v>
      </c>
      <c r="X69" s="316">
        <f>'Reversion Pagos R4'!M341</f>
        <v>0</v>
      </c>
      <c r="Y69" s="316">
        <f>'Reversion Pagos R4'!N341</f>
        <v>0</v>
      </c>
      <c r="Z69" s="319">
        <f t="shared" si="25"/>
        <v>0</v>
      </c>
      <c r="AA69" s="320">
        <f>'Reversion Pagos R4'!O341</f>
        <v>0</v>
      </c>
      <c r="AB69" s="294">
        <f t="shared" si="26"/>
        <v>0</v>
      </c>
      <c r="AC69" s="320">
        <f>'Reversion Pagos R4'!Q341+'Reversion Pagos R4'!R341</f>
        <v>0</v>
      </c>
      <c r="AD69" s="291">
        <f t="shared" si="27"/>
        <v>0</v>
      </c>
      <c r="AE69" s="291">
        <f>'Reversion Pagos R4'!D342</f>
        <v>0</v>
      </c>
      <c r="AF69" s="322">
        <f>SUM(U69:AD69)</f>
        <v>0</v>
      </c>
      <c r="AG69" s="323">
        <f>(AF69-O69)</f>
        <v>0</v>
      </c>
      <c r="AH69" s="1" t="b">
        <f t="shared" si="28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R4'!D382</f>
        <v>0</v>
      </c>
      <c r="E70" s="296">
        <f>'Reversion Pagos R4'!E382</f>
        <v>0</v>
      </c>
      <c r="F70" s="296">
        <f>'Reversion Pagos R4'!F382</f>
        <v>0</v>
      </c>
      <c r="G70" s="296">
        <f>'Reversion Pagos R4'!G382</f>
        <v>0</v>
      </c>
      <c r="H70" s="296">
        <f>'Reversion Pagos R4'!H382</f>
        <v>0</v>
      </c>
      <c r="I70" s="296">
        <f>'Reversion Pagos R4'!I382</f>
        <v>0</v>
      </c>
      <c r="J70" s="289">
        <v>0</v>
      </c>
      <c r="K70" s="295">
        <f t="shared" si="23"/>
        <v>0</v>
      </c>
      <c r="L70" s="294">
        <v>0</v>
      </c>
      <c r="M70" s="298">
        <f>K70-L70</f>
        <v>0</v>
      </c>
      <c r="N70" s="294">
        <f>'Reversion Pagos R4'!P382</f>
        <v>0</v>
      </c>
      <c r="O70" s="298">
        <f t="shared" si="24"/>
        <v>0</v>
      </c>
      <c r="Q70" s="306"/>
      <c r="S70" s="324">
        <v>5</v>
      </c>
      <c r="T70" s="325" t="s">
        <v>14</v>
      </c>
      <c r="U70" s="296">
        <f>'Reversion Pagos R4'!J382</f>
        <v>0</v>
      </c>
      <c r="V70" s="296">
        <f>'Reversion Pagos R4'!K382</f>
        <v>0</v>
      </c>
      <c r="W70" s="296">
        <f>'Reversion Pagos R4'!L382</f>
        <v>0</v>
      </c>
      <c r="X70" s="296">
        <f>'Reversion Pagos R4'!M382</f>
        <v>0</v>
      </c>
      <c r="Y70" s="296">
        <f>'Reversion Pagos R4'!N382</f>
        <v>0</v>
      </c>
      <c r="Z70" s="319">
        <f t="shared" si="25"/>
        <v>0</v>
      </c>
      <c r="AA70" s="320">
        <f>'Reversion Pagos R4'!O382</f>
        <v>0</v>
      </c>
      <c r="AB70" s="294">
        <f t="shared" si="26"/>
        <v>0</v>
      </c>
      <c r="AC70" s="320">
        <f>'Reversion Pagos R4'!Q382+'Reversion Pagos R4'!R382</f>
        <v>0</v>
      </c>
      <c r="AD70" s="291">
        <f t="shared" si="27"/>
        <v>0</v>
      </c>
      <c r="AE70" s="291">
        <f>'Reversion Pagos R4'!D383</f>
        <v>0</v>
      </c>
      <c r="AF70" s="322">
        <f t="shared" si="29"/>
        <v>0</v>
      </c>
      <c r="AG70" s="326">
        <f t="shared" si="30"/>
        <v>0</v>
      </c>
      <c r="AH70" s="1" t="b">
        <f t="shared" si="28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1">SUM(D66:D70)</f>
        <v>0</v>
      </c>
      <c r="E71" s="290">
        <f t="shared" si="31"/>
        <v>0</v>
      </c>
      <c r="F71" s="290">
        <f t="shared" si="31"/>
        <v>0</v>
      </c>
      <c r="G71" s="290">
        <f t="shared" si="31"/>
        <v>0</v>
      </c>
      <c r="H71" s="290">
        <f t="shared" si="31"/>
        <v>0</v>
      </c>
      <c r="I71" s="290">
        <f t="shared" si="31"/>
        <v>0</v>
      </c>
      <c r="J71" s="290">
        <f t="shared" si="31"/>
        <v>0</v>
      </c>
      <c r="K71" s="300">
        <f t="shared" si="31"/>
        <v>0</v>
      </c>
      <c r="L71" s="301">
        <f t="shared" si="31"/>
        <v>0</v>
      </c>
      <c r="M71" s="302">
        <f t="shared" si="31"/>
        <v>0</v>
      </c>
      <c r="N71" s="301">
        <f t="shared" si="31"/>
        <v>0</v>
      </c>
      <c r="O71" s="302">
        <f t="shared" si="31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2">SUM(V66:V70)</f>
        <v>0</v>
      </c>
      <c r="W71" s="330">
        <f t="shared" si="32"/>
        <v>0</v>
      </c>
      <c r="X71" s="330">
        <f t="shared" si="32"/>
        <v>0</v>
      </c>
      <c r="Y71" s="330">
        <f t="shared" si="32"/>
        <v>0</v>
      </c>
      <c r="Z71" s="290">
        <f t="shared" si="32"/>
        <v>0</v>
      </c>
      <c r="AA71" s="290">
        <f>SUM(AA66:AA70)</f>
        <v>0</v>
      </c>
      <c r="AB71" s="290">
        <f t="shared" si="32"/>
        <v>0</v>
      </c>
      <c r="AC71" s="290">
        <f t="shared" si="32"/>
        <v>0</v>
      </c>
      <c r="AD71" s="290">
        <f>SUM(AD66:AD70)</f>
        <v>0</v>
      </c>
      <c r="AE71" s="290">
        <f>SUM(AE66:AE70)</f>
        <v>0</v>
      </c>
      <c r="AF71" s="331">
        <f t="shared" si="32"/>
        <v>0</v>
      </c>
      <c r="AG71" s="332">
        <f t="shared" si="32"/>
        <v>0</v>
      </c>
      <c r="AH71" s="1" t="b">
        <f t="shared" si="28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v>0</v>
      </c>
      <c r="V85" s="312">
        <v>0</v>
      </c>
      <c r="W85" s="312">
        <v>0</v>
      </c>
      <c r="X85" s="312">
        <v>0</v>
      </c>
      <c r="Y85" s="312">
        <v>0</v>
      </c>
      <c r="Z85" s="312">
        <f>'AJUSTES - SF-T'!Z47</f>
        <v>0</v>
      </c>
      <c r="AA85" s="311">
        <v>0</v>
      </c>
      <c r="AB85" s="312">
        <f>'AJUSTES - SF-T'!AB47</f>
        <v>0</v>
      </c>
      <c r="AC85" s="571">
        <v>0</v>
      </c>
      <c r="AD85" s="321">
        <v>0</v>
      </c>
      <c r="AE85" s="294"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3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4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5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v>0</v>
      </c>
      <c r="V87" s="320">
        <v>0</v>
      </c>
      <c r="W87" s="320">
        <v>0</v>
      </c>
      <c r="X87" s="320">
        <v>0</v>
      </c>
      <c r="Y87" s="320"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v>0</v>
      </c>
      <c r="AE87" s="299">
        <v>0</v>
      </c>
      <c r="AF87" s="365">
        <f>SUM(U87:AD87)</f>
        <v>0</v>
      </c>
      <c r="AG87" s="570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3"/>
        <v>0</v>
      </c>
      <c r="L88" s="294">
        <v>0</v>
      </c>
      <c r="M88" s="321">
        <f>K88-L88</f>
        <v>0</v>
      </c>
      <c r="N88" s="321">
        <v>0</v>
      </c>
      <c r="O88" s="321">
        <f t="shared" si="34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5"/>
        <v>0</v>
      </c>
      <c r="AE88" s="299">
        <v>0</v>
      </c>
      <c r="AF88" s="365">
        <f t="shared" ref="AF88:AF89" si="37">SUM(U88:AD88)</f>
        <v>0</v>
      </c>
      <c r="AG88" s="570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3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4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7"/>
        <v>0</v>
      </c>
      <c r="AG89" s="575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39">SUM(V85:V89)</f>
        <v>0</v>
      </c>
      <c r="W90" s="568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328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92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92">
        <f t="shared" si="40"/>
        <v>0</v>
      </c>
      <c r="K105" s="295">
        <f t="shared" ref="K105:K108" si="42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3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0">
        <f t="shared" si="41"/>
        <v>0</v>
      </c>
      <c r="AD105" s="291">
        <f t="shared" ref="AD105:AD106" si="44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5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92">
        <f t="shared" si="40"/>
        <v>0</v>
      </c>
      <c r="K106" s="295">
        <f t="shared" si="42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3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0">
        <f>AC11+AC30+AC49+AC68+AC87</f>
        <v>0</v>
      </c>
      <c r="AD106" s="291">
        <f t="shared" si="44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92">
        <f t="shared" si="40"/>
        <v>0</v>
      </c>
      <c r="K107" s="295">
        <f t="shared" si="42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>M107+N107</f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0">
        <f t="shared" si="41"/>
        <v>0</v>
      </c>
      <c r="AD107" s="291">
        <f>-J117+AE117</f>
        <v>0</v>
      </c>
      <c r="AE107" s="291">
        <f>AE12+AE31+AE50+AE69+AE88</f>
        <v>0</v>
      </c>
      <c r="AF107" s="322">
        <f>SUM(U117:AD117)</f>
        <v>0</v>
      </c>
      <c r="AG107" s="323">
        <f>AF117-O117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97">
        <f t="shared" si="40"/>
        <v>0</v>
      </c>
      <c r="K108" s="295">
        <f t="shared" si="42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3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0">
        <f t="shared" si="41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6">SUM(D104:D108)</f>
        <v>0</v>
      </c>
      <c r="E109" s="290">
        <f t="shared" si="46"/>
        <v>0</v>
      </c>
      <c r="F109" s="290">
        <f t="shared" si="46"/>
        <v>0</v>
      </c>
      <c r="G109" s="290">
        <f t="shared" si="46"/>
        <v>0</v>
      </c>
      <c r="H109" s="290">
        <f t="shared" si="46"/>
        <v>0</v>
      </c>
      <c r="I109" s="290">
        <f t="shared" si="46"/>
        <v>0</v>
      </c>
      <c r="J109" s="290">
        <f t="shared" si="46"/>
        <v>0</v>
      </c>
      <c r="K109" s="300">
        <f t="shared" si="46"/>
        <v>0</v>
      </c>
      <c r="L109" s="301">
        <f t="shared" si="46"/>
        <v>0</v>
      </c>
      <c r="M109" s="302">
        <f t="shared" si="46"/>
        <v>0</v>
      </c>
      <c r="N109" s="301">
        <f t="shared" si="46"/>
        <v>0</v>
      </c>
      <c r="O109" s="302">
        <f t="shared" si="46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47">SUM(V104:V108)</f>
        <v>0</v>
      </c>
      <c r="W109" s="330">
        <f t="shared" si="47"/>
        <v>0</v>
      </c>
      <c r="X109" s="330">
        <f t="shared" si="47"/>
        <v>0</v>
      </c>
      <c r="Y109" s="330">
        <f t="shared" si="47"/>
        <v>0</v>
      </c>
      <c r="Z109" s="290">
        <f t="shared" si="47"/>
        <v>0</v>
      </c>
      <c r="AA109" s="290">
        <f t="shared" si="47"/>
        <v>0</v>
      </c>
      <c r="AB109" s="290">
        <f t="shared" si="47"/>
        <v>0</v>
      </c>
      <c r="AC109" s="290">
        <f t="shared" si="47"/>
        <v>0</v>
      </c>
      <c r="AD109" s="290">
        <f t="shared" si="47"/>
        <v>0</v>
      </c>
      <c r="AE109" s="290">
        <f>SUM(AE104:AE108)</f>
        <v>0</v>
      </c>
      <c r="AF109" s="331">
        <f t="shared" si="47"/>
        <v>0</v>
      </c>
      <c r="AG109" s="332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USUARIOS'!L12</f>
        <v>0</v>
      </c>
      <c r="L125" s="309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48">D67+N67</f>
        <v>0</v>
      </c>
      <c r="K126" s="288">
        <f>'ANTICIPOS USUARIOS'!L13</f>
        <v>0</v>
      </c>
      <c r="L126" s="288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48"/>
        <v>0</v>
      </c>
      <c r="K127" s="288">
        <f>'ANTICIPOS USUARIOS'!L14</f>
        <v>0</v>
      </c>
      <c r="L127" s="288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48"/>
        <v>0</v>
      </c>
      <c r="K128" s="288">
        <f>'ANTICIPOS USUARIOS'!L15</f>
        <v>0</v>
      </c>
      <c r="L128" s="288">
        <f>-'ANTICIPOS USUARIOS'!L24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USUARIOS'!L7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48"/>
        <v>0</v>
      </c>
      <c r="K129" s="288">
        <f>'ANTICIPOS USUARIOS'!L16</f>
        <v>0</v>
      </c>
      <c r="L129" s="288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49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5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5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5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0</v>
      </c>
      <c r="L146" s="525">
        <f>D146-E146-F146-G146-J146-H146-I146</f>
        <v>0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2">SUM(F142:F146)</f>
        <v>0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0</v>
      </c>
      <c r="L147" s="525">
        <f>SUM(L142:L146)</f>
        <v>0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C7" sqref="C7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ENERBIT'!D21</f>
        <v>0</v>
      </c>
      <c r="D3" s="292">
        <f>REMUNERACION_ENERBIT!G125</f>
        <v>0</v>
      </c>
      <c r="E3" s="292">
        <f>REMUNERACION_ENERBIT!D28+REMUNERACION_ENERBIT!N28</f>
        <v>0</v>
      </c>
      <c r="F3" s="292">
        <f>REMUNERACION_ENERBIT!I142</f>
        <v>0</v>
      </c>
      <c r="G3" s="292">
        <f>REMUNERACION_ENERBIT!H142</f>
        <v>0</v>
      </c>
      <c r="H3" s="340">
        <f>SUM(C3:G3)</f>
        <v>0</v>
      </c>
      <c r="I3" s="291">
        <f>REMUNERACION_ENERBIT!D104</f>
        <v>0</v>
      </c>
      <c r="J3" s="292">
        <f>REMUNERACION_ENERBIT!N104</f>
        <v>0</v>
      </c>
      <c r="K3" s="292">
        <f>REMUNERACION_ENERBIT!D125</f>
        <v>0</v>
      </c>
      <c r="L3" s="353">
        <f>REMUNERACION_ENERBIT!E125</f>
        <v>0</v>
      </c>
      <c r="M3" s="292">
        <f>-REMUNERACION_ENERBIT!D66-REMUNERACION_ENERBIT!N66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ENERBIT'!D22</f>
        <v>0</v>
      </c>
      <c r="D4" s="292">
        <f>REMUNERACION_ENERBIT!G126</f>
        <v>0</v>
      </c>
      <c r="E4" s="292">
        <f>REMUNERACION_ENERBIT!D29+REMUNERACION_ENERBIT!N29</f>
        <v>0</v>
      </c>
      <c r="F4" s="292">
        <f>REMUNERACION_ENERBIT!I143</f>
        <v>0</v>
      </c>
      <c r="G4" s="292">
        <f>REMUNERACION_ENERBIT!H143</f>
        <v>0</v>
      </c>
      <c r="H4" s="340">
        <f t="shared" ref="H4:H8" si="1">SUM(C4:G4)</f>
        <v>0</v>
      </c>
      <c r="I4" s="291">
        <f>REMUNERACION_ENERBIT!D105</f>
        <v>0</v>
      </c>
      <c r="J4" s="292">
        <f>REMUNERACION_ENERBIT!N105</f>
        <v>0</v>
      </c>
      <c r="K4" s="292">
        <f>REMUNERACION_ENERBIT!D126</f>
        <v>0</v>
      </c>
      <c r="L4" s="353">
        <f>REMUNERACION_ENERBIT!E126</f>
        <v>0</v>
      </c>
      <c r="M4" s="292">
        <f>-REMUNERACION_ENERBIT!D67-REMUNERACION_ENERBIT!N67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ENERBIT'!D23</f>
        <v>0</v>
      </c>
      <c r="D5" s="292">
        <f>REMUNERACION_ENERBIT!G127</f>
        <v>0</v>
      </c>
      <c r="E5" s="292">
        <f>REMUNERACION_ENERBIT!D30+REMUNERACION_ENERBIT!N30</f>
        <v>0</v>
      </c>
      <c r="F5" s="292">
        <f>REMUNERACION_ENERBIT!I144</f>
        <v>0</v>
      </c>
      <c r="G5" s="292">
        <f>REMUNERACION_ENERBIT!H144</f>
        <v>0</v>
      </c>
      <c r="H5" s="340">
        <f t="shared" si="1"/>
        <v>0</v>
      </c>
      <c r="I5" s="291">
        <f>REMUNERACION_ENERBIT!D106</f>
        <v>0</v>
      </c>
      <c r="J5" s="292">
        <f>REMUNERACION_ENERBIT!N106</f>
        <v>0</v>
      </c>
      <c r="K5" s="292">
        <f>REMUNERACION_ENERBIT!D127</f>
        <v>0</v>
      </c>
      <c r="L5" s="353">
        <f>REMUNERACION_ENERBIT!E127</f>
        <v>0</v>
      </c>
      <c r="M5" s="292">
        <f>-REMUNERACION_ENERBIT!D68-REMUNERACION_ENERBIT!N68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ENERBIT'!D24</f>
        <v>0</v>
      </c>
      <c r="D6" s="292">
        <f>REMUNERACION_ENERBIT!G128</f>
        <v>0</v>
      </c>
      <c r="E6" s="292">
        <f>REMUNERACION_ENERBIT!D31+REMUNERACION_ENERBIT!N31</f>
        <v>0</v>
      </c>
      <c r="F6" s="292">
        <f>REMUNERACION_ENERBIT!I145</f>
        <v>0</v>
      </c>
      <c r="G6" s="292">
        <f>REMUNERACION_ENERBIT!H145</f>
        <v>0</v>
      </c>
      <c r="H6" s="340">
        <f t="shared" si="1"/>
        <v>0</v>
      </c>
      <c r="I6" s="291">
        <f>REMUNERACION_ENERBIT!D107</f>
        <v>0</v>
      </c>
      <c r="J6" s="292">
        <f>REMUNERACION_ENERBIT!N107</f>
        <v>0</v>
      </c>
      <c r="K6" s="292">
        <f>REMUNERACION_ENERBIT!D128</f>
        <v>0</v>
      </c>
      <c r="L6" s="353">
        <f>REMUNERACION_ENERBIT!E128</f>
        <v>0</v>
      </c>
      <c r="M6" s="292">
        <f>-REMUNERACION_ENERBIT!D69-REMUNERACION_ENERBIT!N69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ENERBIT'!F25</f>
        <v>0</v>
      </c>
      <c r="D7" s="292">
        <f>REMUNERACION_ENERBIT!G129</f>
        <v>0</v>
      </c>
      <c r="E7" s="292">
        <f>REMUNERACION_ENERBIT!D32+REMUNERACION_ENERBIT!N32</f>
        <v>0</v>
      </c>
      <c r="F7" s="292">
        <f>REMUNERACION_ENERBIT!I146</f>
        <v>0</v>
      </c>
      <c r="G7" s="292">
        <f>REMUNERACION_ENERBIT!H146</f>
        <v>0</v>
      </c>
      <c r="H7" s="340">
        <f t="shared" si="1"/>
        <v>0</v>
      </c>
      <c r="I7" s="291">
        <f>REMUNERACION_ENERBIT!D108</f>
        <v>0</v>
      </c>
      <c r="J7" s="292">
        <f>REMUNERACION_ENERBIT!N108</f>
        <v>0</v>
      </c>
      <c r="K7" s="292">
        <f>REMUNERACION_ENERBIT!D129</f>
        <v>0</v>
      </c>
      <c r="L7" s="353">
        <f>REMUNERACION_ENERBIT!E129</f>
        <v>0</v>
      </c>
      <c r="M7" s="292">
        <f>-REMUNERACION_ENERBIT!D70-REMUNERACION_ENERBIT!N70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REMUNERACION_ENERBIT!E130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Recaudo'!D8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1" sqref="A1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REMUNERACION_ENERBIT!D101</f>
        <v>46297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46281</v>
      </c>
      <c r="J7" s="2" t="s">
        <v>28</v>
      </c>
      <c r="K7" s="9">
        <f>REMUNERACION_ENERBIT!K102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725">
        <f>REMUNERACION_ENERBIT!D106</f>
        <v>0</v>
      </c>
      <c r="E11" s="725">
        <f>REMUNERACION_ENERBIT!E106</f>
        <v>0</v>
      </c>
      <c r="F11" s="725">
        <f>REMUNERACION_ENERBIT!F106</f>
        <v>0</v>
      </c>
      <c r="G11" s="725">
        <f>REMUNERACION_ENERBIT!G106</f>
        <v>0</v>
      </c>
      <c r="H11" s="725">
        <f>REMUNERACION_ENERBIT!H106</f>
        <v>0</v>
      </c>
      <c r="I11" s="725">
        <f>REMUNERACION_ENERBIT!I106</f>
        <v>0</v>
      </c>
      <c r="J11" s="725">
        <f>REMUNERACION_ENERBIT!J106</f>
        <v>0</v>
      </c>
      <c r="K11" s="726">
        <f t="shared" si="0"/>
        <v>0</v>
      </c>
      <c r="L11" s="725">
        <f>REMUNERACION_ENERBIT!L106</f>
        <v>0</v>
      </c>
      <c r="M11" s="726">
        <f>K11-L11</f>
        <v>0</v>
      </c>
      <c r="N11" s="725">
        <f>REMUNERACION_ENERBIT!N106</f>
        <v>0</v>
      </c>
      <c r="O11" s="726">
        <f t="shared" si="1"/>
        <v>0</v>
      </c>
      <c r="Q11" s="4"/>
      <c r="S11" s="16">
        <v>3</v>
      </c>
      <c r="T11" s="62" t="s">
        <v>12</v>
      </c>
      <c r="U11" s="725">
        <f>REMUNERACION_ENERBIT!U106</f>
        <v>0</v>
      </c>
      <c r="V11" s="725">
        <f>REMUNERACION_ENERBIT!V106</f>
        <v>0</v>
      </c>
      <c r="W11" s="725">
        <f>REMUNERACION_ENERBIT!W106</f>
        <v>0</v>
      </c>
      <c r="X11" s="725">
        <f>REMUNERACION_ENERBIT!X106</f>
        <v>0</v>
      </c>
      <c r="Y11" s="725">
        <f>REMUNERACION_ENERBIT!Y106</f>
        <v>0</v>
      </c>
      <c r="Z11" s="725">
        <f>REMUNERACION_ENERBIT!Z106</f>
        <v>0</v>
      </c>
      <c r="AA11" s="725">
        <f>REMUNERACION_ENERBIT!AA106</f>
        <v>0</v>
      </c>
      <c r="AB11" s="725">
        <f>REMUNERACION_ENERBIT!AB106</f>
        <v>0</v>
      </c>
      <c r="AC11" s="725">
        <f>REMUNERACION_ENERBIT!AC106</f>
        <v>0</v>
      </c>
      <c r="AD11" s="725">
        <f>REMUNERACION_ENERBIT!AD106</f>
        <v>0</v>
      </c>
      <c r="AE11" s="725">
        <f>REMUNERACION_ENERBIT!AE106</f>
        <v>0</v>
      </c>
      <c r="AF11" s="724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0</v>
      </c>
      <c r="E13" s="66">
        <f>REMUNERACION_ENERBIT!E108</f>
        <v>0</v>
      </c>
      <c r="F13" s="66">
        <f>REMUNERACION_ENERBIT!F108</f>
        <v>0</v>
      </c>
      <c r="G13" s="66">
        <f>REMUNERACION_ENERBIT!G108</f>
        <v>0</v>
      </c>
      <c r="H13" s="66">
        <f>REMUNERACION_ENERBIT!H108</f>
        <v>0</v>
      </c>
      <c r="I13" s="66">
        <f>REMUNERACION_ENERBIT!I108</f>
        <v>0</v>
      </c>
      <c r="J13" s="66">
        <f>REMUNERACION_ENERBIT!J108</f>
        <v>0</v>
      </c>
      <c r="K13" s="31">
        <f t="shared" si="0"/>
        <v>0</v>
      </c>
      <c r="L13" s="66">
        <f>REMUNERACION_ENERBIT!L108</f>
        <v>0</v>
      </c>
      <c r="M13" s="40">
        <f>K13-L13</f>
        <v>0</v>
      </c>
      <c r="N13" s="66">
        <f>REMUNERACION_ENERBIT!N108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REMUNERACION_ENERBIT!U108</f>
        <v>0</v>
      </c>
      <c r="V13" s="66">
        <f>REMUNERACION_ENERBIT!V108</f>
        <v>0</v>
      </c>
      <c r="W13" s="66">
        <f>REMUNERACION_ENERBIT!W108</f>
        <v>0</v>
      </c>
      <c r="X13" s="66">
        <f>REMUNERACION_ENERBIT!X108</f>
        <v>0</v>
      </c>
      <c r="Y13" s="66">
        <f>REMUNERACION_ENERBIT!Y108</f>
        <v>0</v>
      </c>
      <c r="Z13" s="66">
        <f>REMUNERACION_ENERBIT!Z108</f>
        <v>0</v>
      </c>
      <c r="AA13" s="66">
        <f>REMUNERACION_ENERBIT!AA108</f>
        <v>0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0</v>
      </c>
      <c r="AE13" s="66">
        <f>REMUNERACION_ENERBIT!AE108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46281</v>
      </c>
      <c r="J27" s="2" t="s">
        <v>28</v>
      </c>
      <c r="K27" s="9">
        <f>REMUNERACION_ENERBIT!K122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6">
        <f>REMUNERACION_ENERBIT!G125</f>
        <v>0</v>
      </c>
      <c r="H30" s="310">
        <f>REMUNERACION_ENERBIT!H125</f>
        <v>0</v>
      </c>
      <c r="I30" s="309">
        <f>REMUNERACION_ENERBIT!I125</f>
        <v>0</v>
      </c>
      <c r="J30" s="309">
        <f>REMUNERACION_ENERBIT!J125</f>
        <v>0</v>
      </c>
      <c r="K30" s="309">
        <f>REMUNERACION_ENERBIT!K125</f>
        <v>0</v>
      </c>
      <c r="L30" s="309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39">
        <f>REMUNERACION_ENERBIT!G126</f>
        <v>0</v>
      </c>
      <c r="H31" s="340">
        <f>REMUNERACION_ENERBIT!H126</f>
        <v>0</v>
      </c>
      <c r="I31" s="288">
        <f>REMUNERACION_ENERBIT!I126</f>
        <v>0</v>
      </c>
      <c r="J31" s="288">
        <f>REMUNERACION_ENERBIT!J126</f>
        <v>0</v>
      </c>
      <c r="K31" s="288">
        <f>REMUNERACION_ENERBIT!K126</f>
        <v>0</v>
      </c>
      <c r="L31" s="288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39">
        <f>REMUNERACION_ENERBIT!G127</f>
        <v>0</v>
      </c>
      <c r="H32" s="340">
        <f>REMUNERACION_ENERBIT!H127</f>
        <v>0</v>
      </c>
      <c r="I32" s="288">
        <f>REMUNERACION_ENERBIT!I127</f>
        <v>0</v>
      </c>
      <c r="J32" s="288">
        <f>REMUNERACION_ENERBIT!J127</f>
        <v>0</v>
      </c>
      <c r="K32" s="288">
        <f>REMUNERACION_ENERBIT!K127</f>
        <v>0</v>
      </c>
      <c r="L32" s="288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39">
        <f>REMUNERACION_ENERBIT!G128</f>
        <v>0</v>
      </c>
      <c r="H33" s="340">
        <f>REMUNERACION_ENERBIT!H128</f>
        <v>0</v>
      </c>
      <c r="I33" s="288">
        <f>REMUNERACION_ENERBIT!I128</f>
        <v>0</v>
      </c>
      <c r="J33" s="288">
        <f>REMUNERACION_ENERBIT!J128</f>
        <v>0</v>
      </c>
      <c r="K33" s="288">
        <f>REMUNERACION_ENERBIT!K128</f>
        <v>0</v>
      </c>
      <c r="L33" s="288">
        <f>REMUNERACION_ENERBIT!L128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REMUNERACION_ENERBIT!D129</f>
        <v>0</v>
      </c>
      <c r="E34" s="139">
        <f>REMUNERACION_ENERBIT!E129</f>
        <v>0</v>
      </c>
      <c r="G34" s="339">
        <f>REMUNERACION_ENERBIT!G129</f>
        <v>0</v>
      </c>
      <c r="H34" s="340">
        <f>REMUNERACION_ENERBIT!H129</f>
        <v>0</v>
      </c>
      <c r="I34" s="288">
        <f>REMUNERACION_ENERBIT!I129</f>
        <v>0</v>
      </c>
      <c r="J34" s="288">
        <f>REMUNERACION_ENERBIT!J129</f>
        <v>0</v>
      </c>
      <c r="K34" s="288">
        <f>REMUNERACION_ENERBIT!K129</f>
        <v>0</v>
      </c>
      <c r="L34" s="288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0</v>
      </c>
      <c r="E36" s="107">
        <f>REMUNERACION_ENERBIT!E131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D14=REMUNERACION_ENERBIT!D109</f>
        <v>1</v>
      </c>
      <c r="E45" s="267" t="b">
        <f>E14=REMUNERACION_ENERBIT!E109</f>
        <v>1</v>
      </c>
      <c r="F45" s="267" t="b">
        <f>F14=REMUNERACION_ENERBIT!F109</f>
        <v>1</v>
      </c>
      <c r="G45" s="267" t="b">
        <f>G14=REMUNERACION_ENERBIT!G109</f>
        <v>1</v>
      </c>
      <c r="H45" s="267" t="b">
        <f>H14=REMUNERACION_ENERBIT!H109</f>
        <v>1</v>
      </c>
      <c r="I45" s="267" t="b">
        <f>I14=REMUNERACION_ENERBIT!I109</f>
        <v>1</v>
      </c>
      <c r="J45" s="267" t="b">
        <f>J14=REMUNERACION_ENERBIT!J109</f>
        <v>1</v>
      </c>
      <c r="K45" s="267" t="b">
        <f>K14=REMUNERACION_ENERBIT!K109</f>
        <v>1</v>
      </c>
      <c r="L45" s="267" t="b">
        <f>L14=REMUNERACION_ENERBIT!L109</f>
        <v>1</v>
      </c>
      <c r="M45" s="267" t="b">
        <f>M14=REMUNERACION_ENERBIT!M109</f>
        <v>1</v>
      </c>
      <c r="N45" s="267" t="b">
        <f>N14=REMUNERACION_ENERBIT!N109</f>
        <v>1</v>
      </c>
      <c r="O45" s="267" t="b">
        <f>O14=REMUNERACION_ENERBIT!O109</f>
        <v>1</v>
      </c>
      <c r="Q45" s="24"/>
      <c r="T45" s="24"/>
    </row>
    <row r="46" spans="1:20" x14ac:dyDescent="0.2">
      <c r="D46" s="267" t="b">
        <f>D36=REMUNERACION_ENERBIT!D131</f>
        <v>1</v>
      </c>
      <c r="E46" s="267" t="b">
        <f>E36=REMUNERACION_ENERBIT!E131</f>
        <v>1</v>
      </c>
      <c r="F46" s="267" t="b">
        <f>F36=REMUNERACION_ENERBIT!F131</f>
        <v>1</v>
      </c>
      <c r="G46" s="267" t="b">
        <f>G36=REMUNERACION_ENERBIT!G131</f>
        <v>1</v>
      </c>
      <c r="H46" s="267" t="b">
        <f>H36=REMUNERACION_ENERBIT!H131</f>
        <v>1</v>
      </c>
      <c r="I46" s="267" t="b">
        <f>I36=REMUNERACION_ENERBIT!I131</f>
        <v>1</v>
      </c>
      <c r="J46" s="267" t="b">
        <f>J36=REMUNERACION_ENERBIT!J131</f>
        <v>1</v>
      </c>
      <c r="K46" s="267" t="b">
        <f>K36=REMUNERACION_ENERBIT!K131</f>
        <v>1</v>
      </c>
      <c r="L46" s="267" t="b">
        <f>L36=REMUNERACION_ENERBIT!L131</f>
        <v>1</v>
      </c>
      <c r="M46" s="267" t="b">
        <f>M36=REMUNERACION_ENERBIT!M131</f>
        <v>1</v>
      </c>
      <c r="N46" s="267" t="b">
        <f>N36=REMUNERACION_ENERBIT!N131</f>
        <v>1</v>
      </c>
      <c r="O46" s="267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115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R1'!F109</f>
        <v>0</v>
      </c>
      <c r="E9" s="292">
        <f>'Reporte Componentes R1'!G109</f>
        <v>0</v>
      </c>
      <c r="F9" s="292">
        <f>'Reporte Componentes R1'!H109</f>
        <v>0</v>
      </c>
      <c r="G9" s="292">
        <f>'Reporte Componentes R1'!I109</f>
        <v>0</v>
      </c>
      <c r="H9" s="292">
        <f>'Reporte Componentes R1'!J109</f>
        <v>0</v>
      </c>
      <c r="I9" s="292">
        <f>'Reporte Componentes R1'!K109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R1'!L109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R1'!M109</f>
        <v>0</v>
      </c>
      <c r="V9" s="308">
        <f>'Reporte Componentes R1'!N109</f>
        <v>0</v>
      </c>
      <c r="W9" s="308">
        <f>'Reporte Componentes R1'!O109</f>
        <v>0</v>
      </c>
      <c r="X9" s="308">
        <f>'Reporte Componentes R1'!P109</f>
        <v>0</v>
      </c>
      <c r="Y9" s="309">
        <f>'Reporte Componentes R1'!Q109</f>
        <v>0</v>
      </c>
      <c r="Z9" s="310">
        <f>L9*-1</f>
        <v>0</v>
      </c>
      <c r="AA9" s="311">
        <f>'Reporte Componentes R1'!R109+'Reporte Componentes R1'!V109+'Reporte Componentes R1'!U109</f>
        <v>0</v>
      </c>
      <c r="AB9" s="294">
        <f>N9</f>
        <v>0</v>
      </c>
      <c r="AC9" s="311">
        <f>'Reporte Componentes R1'!T109+'Reporte Componentes R1'!W109+'Reporte Componentes R1'!X109+'Reporte Componentes R1'!Y109+'Reporte Componentes R1'!Z109+'Reporte Componentes R1'!S109</f>
        <v>0</v>
      </c>
      <c r="AD9" s="291">
        <f>-J9+AE9</f>
        <v>0</v>
      </c>
      <c r="AE9" s="291">
        <f>'Reporte Componentes R1'!F110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R1'!F343</f>
        <v>0</v>
      </c>
      <c r="E10" s="292">
        <f>'Reporte Componentes R1'!G343</f>
        <v>0</v>
      </c>
      <c r="F10" s="292">
        <f>'Reporte Componentes R1'!H343</f>
        <v>0</v>
      </c>
      <c r="G10" s="292">
        <f>'Reporte Componentes R1'!I343</f>
        <v>0</v>
      </c>
      <c r="H10" s="292">
        <f>'Reporte Componentes R1'!J343</f>
        <v>0</v>
      </c>
      <c r="I10" s="292">
        <f>'Reporte Componentes R1'!K343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R1'!L343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R1'!M343</f>
        <v>0</v>
      </c>
      <c r="V10" s="317">
        <f>'Reporte Componentes R1'!N343</f>
        <v>0</v>
      </c>
      <c r="W10" s="317">
        <f>'Reporte Componentes R1'!O343</f>
        <v>0</v>
      </c>
      <c r="X10" s="317">
        <f>'Reporte Componentes R1'!P343</f>
        <v>0</v>
      </c>
      <c r="Y10" s="318">
        <f>'Reporte Componentes R1'!Q343</f>
        <v>0</v>
      </c>
      <c r="Z10" s="319">
        <f>L10*-1</f>
        <v>0</v>
      </c>
      <c r="AA10" s="320">
        <f>'Reporte Componentes R1'!R343+'Reporte Componentes R1'!V343+'Reporte Componentes R1'!U343</f>
        <v>0</v>
      </c>
      <c r="AB10" s="294">
        <f>N10</f>
        <v>0</v>
      </c>
      <c r="AC10" s="320">
        <f>'Reporte Componentes R1'!T343+'Reporte Componentes R1'!W343+'Reporte Componentes R1'!X343+'Reporte Componentes R1'!Y343+'Reporte Componentes R1'!Z343+'Reporte Componentes R1'!S343</f>
        <v>0</v>
      </c>
      <c r="AD10" s="291">
        <f t="shared" ref="AD10:AD13" si="2">-J10+AE10</f>
        <v>0</v>
      </c>
      <c r="AE10" s="291">
        <f>'Reporte Componentes R1'!F344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R1'!F504</f>
        <v>0</v>
      </c>
      <c r="E11" s="292">
        <f>'Reporte Componentes R1'!G504</f>
        <v>0</v>
      </c>
      <c r="F11" s="292">
        <f>'Reporte Componentes R1'!H504</f>
        <v>0</v>
      </c>
      <c r="G11" s="292">
        <f>'Reporte Componentes R1'!I504</f>
        <v>0</v>
      </c>
      <c r="H11" s="292">
        <f>'Reporte Componentes R1'!J504</f>
        <v>0</v>
      </c>
      <c r="I11" s="292">
        <f>'Reporte Componentes R1'!K504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R1'!L504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R1'!M504</f>
        <v>0</v>
      </c>
      <c r="V11" s="317">
        <f>'Reporte Componentes R1'!N504</f>
        <v>0</v>
      </c>
      <c r="W11" s="317">
        <f>'Reporte Componentes R1'!O504</f>
        <v>0</v>
      </c>
      <c r="X11" s="317">
        <f>'Reporte Componentes R1'!P504</f>
        <v>0</v>
      </c>
      <c r="Y11" s="318">
        <f>'Reporte Componentes R1'!Q504</f>
        <v>0</v>
      </c>
      <c r="Z11" s="319">
        <f>L11*-1</f>
        <v>0</v>
      </c>
      <c r="AA11" s="320">
        <f>'Reporte Componentes R1'!R504+'Reporte Componentes R1'!V504+'Reporte Componentes R1'!U504</f>
        <v>0</v>
      </c>
      <c r="AB11" s="294">
        <f>N11</f>
        <v>0</v>
      </c>
      <c r="AC11" s="320">
        <f>'Reporte Componentes R1'!T504+'Reporte Componentes R1'!W504+'Reporte Componentes R1'!X504+'Reporte Componentes R1'!Y504+'Reporte Componentes R1'!Z504+'Reporte Componentes R1'!S504</f>
        <v>0</v>
      </c>
      <c r="AD11" s="291">
        <f t="shared" si="2"/>
        <v>0</v>
      </c>
      <c r="AE11" s="291">
        <f>'Reporte Componentes R1'!F505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R1'!F712</f>
        <v>0</v>
      </c>
      <c r="E12" s="292">
        <f>'Reporte Componentes R1'!G712</f>
        <v>0</v>
      </c>
      <c r="F12" s="292">
        <f>'Reporte Componentes R1'!H712</f>
        <v>0</v>
      </c>
      <c r="G12" s="292">
        <f>'Reporte Componentes R1'!I712</f>
        <v>0</v>
      </c>
      <c r="H12" s="292">
        <f>'Reporte Componentes R1'!J712</f>
        <v>0</v>
      </c>
      <c r="I12" s="292">
        <f>'Reporte Componentes R1'!K712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R1'!L712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R1'!M712</f>
        <v>0</v>
      </c>
      <c r="V12" s="317">
        <f>'Reporte Componentes R1'!N712</f>
        <v>0</v>
      </c>
      <c r="W12" s="317">
        <f>'Reporte Componentes R1'!O712</f>
        <v>0</v>
      </c>
      <c r="X12" s="317">
        <f>'Reporte Componentes R1'!P712</f>
        <v>0</v>
      </c>
      <c r="Y12" s="318">
        <f>'Reporte Componentes R1'!Q712</f>
        <v>0</v>
      </c>
      <c r="Z12" s="319">
        <f>L12*-1</f>
        <v>0</v>
      </c>
      <c r="AA12" s="320">
        <f>'Reporte Componentes R1'!R712+'Reporte Componentes R1'!V712+'Reporte Componentes R1'!U712</f>
        <v>0</v>
      </c>
      <c r="AB12" s="294">
        <f>N12</f>
        <v>0</v>
      </c>
      <c r="AC12" s="320">
        <f>'Reporte Componentes R1'!T712+'Reporte Componentes R1'!W712+'Reporte Componentes R1'!X712+'Reporte Componentes R1'!Y712+'Reporte Componentes R1'!Z712+'Reporte Componentes R1'!S712</f>
        <v>0</v>
      </c>
      <c r="AD12" s="291">
        <f t="shared" si="2"/>
        <v>0</v>
      </c>
      <c r="AE12" s="291">
        <f>'Reporte Componentes R1'!F713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R1'!F831</f>
        <v>0</v>
      </c>
      <c r="E13" s="297">
        <f>'Reporte Componentes R1'!G831</f>
        <v>0</v>
      </c>
      <c r="F13" s="297">
        <f>'Reporte Componentes R1'!H831</f>
        <v>0</v>
      </c>
      <c r="G13" s="297">
        <f>'Reporte Componentes R1'!I831</f>
        <v>0</v>
      </c>
      <c r="H13" s="297">
        <f>'Reporte Componentes R1'!J831</f>
        <v>0</v>
      </c>
      <c r="I13" s="297">
        <f>'Reporte Componentes R1'!K831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R1'!L831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R1'!M831</f>
        <v>0</v>
      </c>
      <c r="V13" s="297">
        <f>'Reporte Componentes R1'!N831</f>
        <v>0</v>
      </c>
      <c r="W13" s="297">
        <f>'Reporte Componentes R1'!O831</f>
        <v>0</v>
      </c>
      <c r="X13" s="297">
        <f>'Reporte Componentes R1'!P831</f>
        <v>0</v>
      </c>
      <c r="Y13" s="289">
        <f>'Reporte Componentes R1'!Q831</f>
        <v>0</v>
      </c>
      <c r="Z13" s="319">
        <f>L13*-1</f>
        <v>0</v>
      </c>
      <c r="AA13" s="320">
        <f>'Reporte Componentes R1'!R831+'Reporte Componentes R1'!V831+'Reporte Componentes R1'!U831</f>
        <v>0</v>
      </c>
      <c r="AB13" s="294">
        <f>N13</f>
        <v>0</v>
      </c>
      <c r="AC13" s="320">
        <f>'Reporte Componentes R1'!T831+'Reporte Componentes R1'!W831+'Reporte Componentes R1'!X831+'Reporte Componentes R1'!Y831+'Reporte Componentes R1'!Z831+'Reporte Componentes R1'!S831</f>
        <v>0</v>
      </c>
      <c r="AD13" s="291">
        <f t="shared" si="2"/>
        <v>0</v>
      </c>
      <c r="AE13" s="291">
        <f>'Reporte Componentes R1'!F832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R2'!E69</f>
        <v>0</v>
      </c>
      <c r="E28" s="292">
        <f>'Rem. Anticipos R2'!F69</f>
        <v>0</v>
      </c>
      <c r="F28" s="292">
        <f>'Rem. Anticipos R2'!G69</f>
        <v>0</v>
      </c>
      <c r="G28" s="292">
        <f>'Rem. Anticipos R2'!H69</f>
        <v>0</v>
      </c>
      <c r="H28" s="292">
        <f>'Rem. Anticipos R2'!I69</f>
        <v>0</v>
      </c>
      <c r="I28" s="292">
        <f>'Rem. Anticipos R2'!J69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R2'!K69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R2'!L69</f>
        <v>0</v>
      </c>
      <c r="V28" s="308">
        <f>'Rem. Anticipos R2'!M69</f>
        <v>0</v>
      </c>
      <c r="W28" s="308">
        <f>'Rem. Anticipos R2'!N69</f>
        <v>0</v>
      </c>
      <c r="X28" s="308">
        <f>'Rem. Anticipos R2'!O69</f>
        <v>0</v>
      </c>
      <c r="Y28" s="308">
        <f>'Rem. Anticipos R2'!P69</f>
        <v>0</v>
      </c>
      <c r="Z28" s="310">
        <f>L28*-1</f>
        <v>0</v>
      </c>
      <c r="AA28" s="311">
        <f>'Rem. Anticipos R2'!Q69</f>
        <v>0</v>
      </c>
      <c r="AB28" s="294">
        <f>N28</f>
        <v>0</v>
      </c>
      <c r="AC28" s="311">
        <f>'Rem. Anticipos R2'!R69</f>
        <v>0</v>
      </c>
      <c r="AD28" s="291">
        <f>-J28+AE28</f>
        <v>0</v>
      </c>
      <c r="AE28" s="291">
        <f>'Rem. Anticipos R2'!E70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R2'!E190</f>
        <v>0</v>
      </c>
      <c r="E29" s="292">
        <f>'Rem. Anticipos R2'!F190</f>
        <v>0</v>
      </c>
      <c r="F29" s="292">
        <f>'Rem. Anticipos R2'!G190</f>
        <v>0</v>
      </c>
      <c r="G29" s="292">
        <f>'Rem. Anticipos R2'!H190</f>
        <v>0</v>
      </c>
      <c r="H29" s="292">
        <f>'Rem. Anticipos R2'!I190</f>
        <v>0</v>
      </c>
      <c r="I29" s="292">
        <f>'Rem. Anticipos R2'!J190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R2'!K190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R2'!L190</f>
        <v>0</v>
      </c>
      <c r="V29" s="317">
        <f>'Rem. Anticipos R2'!M190</f>
        <v>0</v>
      </c>
      <c r="W29" s="317">
        <f>'Rem. Anticipos R2'!N190</f>
        <v>0</v>
      </c>
      <c r="X29" s="317">
        <f>'Rem. Anticipos R2'!O190</f>
        <v>0</v>
      </c>
      <c r="Y29" s="318">
        <f>'Rem. Anticipos R2'!P190</f>
        <v>0</v>
      </c>
      <c r="Z29" s="319">
        <f>L29*-1</f>
        <v>0</v>
      </c>
      <c r="AA29" s="320">
        <f>'Rem. Anticipos R2'!Q190</f>
        <v>0</v>
      </c>
      <c r="AB29" s="294">
        <f>N29</f>
        <v>0</v>
      </c>
      <c r="AC29" s="320">
        <f>'Rem. Anticipos R2'!R190</f>
        <v>0</v>
      </c>
      <c r="AD29" s="291">
        <f>-J29+AE29</f>
        <v>0</v>
      </c>
      <c r="AE29" s="291">
        <f>'Rem. Anticipos R2'!E191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R2'!E311</f>
        <v>0</v>
      </c>
      <c r="E30" s="292">
        <f>'Rem. Anticipos R2'!F311</f>
        <v>0</v>
      </c>
      <c r="F30" s="292">
        <f>'Rem. Anticipos R2'!G311</f>
        <v>0</v>
      </c>
      <c r="G30" s="292">
        <f>'Rem. Anticipos R2'!H311</f>
        <v>0</v>
      </c>
      <c r="H30" s="292">
        <f>'Rem. Anticipos R2'!I311</f>
        <v>0</v>
      </c>
      <c r="I30" s="292">
        <f>'Rem. Anticipos R2'!J311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R2'!K311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R2'!L311</f>
        <v>0</v>
      </c>
      <c r="V30" s="317">
        <f>'Rem. Anticipos R2'!M311</f>
        <v>0</v>
      </c>
      <c r="W30" s="317">
        <f>'Rem. Anticipos R2'!N311</f>
        <v>0</v>
      </c>
      <c r="X30" s="317">
        <f>'Rem. Anticipos R2'!O311</f>
        <v>0</v>
      </c>
      <c r="Y30" s="318">
        <f>'Rem. Anticipos R2'!P311</f>
        <v>0</v>
      </c>
      <c r="Z30" s="319">
        <f>L30*-1</f>
        <v>0</v>
      </c>
      <c r="AA30" s="320">
        <f>'Rem. Anticipos R2'!Q311</f>
        <v>0</v>
      </c>
      <c r="AB30" s="294">
        <f>N30</f>
        <v>0</v>
      </c>
      <c r="AC30" s="320">
        <f>'Rem. Anticipos R2'!R311</f>
        <v>0</v>
      </c>
      <c r="AD30" s="291">
        <f t="shared" ref="AD30:AD32" si="10">-J30+AE30</f>
        <v>0</v>
      </c>
      <c r="AE30" s="291">
        <f>'Rem. Anticipos R2'!E312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R2'!E435</f>
        <v>0</v>
      </c>
      <c r="E31" s="292">
        <f>'Rem. Anticipos R2'!F435</f>
        <v>0</v>
      </c>
      <c r="F31" s="292">
        <f>'Rem. Anticipos R2'!G435</f>
        <v>0</v>
      </c>
      <c r="G31" s="292">
        <f>'Rem. Anticipos R2'!H435</f>
        <v>0</v>
      </c>
      <c r="H31" s="292">
        <f>'Rem. Anticipos R2'!I435</f>
        <v>0</v>
      </c>
      <c r="I31" s="292">
        <f>'Rem. Anticipos R2'!J435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R2'!K435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R2'!L435</f>
        <v>0</v>
      </c>
      <c r="V31" s="317">
        <f>'Rem. Anticipos R2'!M435</f>
        <v>0</v>
      </c>
      <c r="W31" s="317">
        <f>'Rem. Anticipos R2'!N435</f>
        <v>0</v>
      </c>
      <c r="X31" s="317">
        <f>'Rem. Anticipos R2'!O435</f>
        <v>0</v>
      </c>
      <c r="Y31" s="318">
        <f>'Rem. Anticipos R2'!P435</f>
        <v>0</v>
      </c>
      <c r="Z31" s="319">
        <f>L31*-1</f>
        <v>0</v>
      </c>
      <c r="AA31" s="320">
        <f>'Rem. Anticipos R2'!Q435</f>
        <v>0</v>
      </c>
      <c r="AB31" s="294">
        <f>N31</f>
        <v>0</v>
      </c>
      <c r="AC31" s="320">
        <f>'Rem. Anticipos R2'!R435</f>
        <v>0</v>
      </c>
      <c r="AD31" s="291">
        <f t="shared" si="10"/>
        <v>0</v>
      </c>
      <c r="AE31" s="291">
        <f>'Rem. Anticipos R2'!E436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R2'!E522</f>
        <v>0</v>
      </c>
      <c r="E32" s="297">
        <f>'Rem. Anticipos R2'!F522</f>
        <v>0</v>
      </c>
      <c r="F32" s="297">
        <f>'Rem. Anticipos R2'!G522</f>
        <v>0</v>
      </c>
      <c r="G32" s="297">
        <f>'Rem. Anticipos R2'!H522</f>
        <v>0</v>
      </c>
      <c r="H32" s="297">
        <f>'Rem. Anticipos R2'!I522</f>
        <v>0</v>
      </c>
      <c r="I32" s="297">
        <f>'Rem. Anticipos R2'!J522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R2'!K522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R2'!L522</f>
        <v>0</v>
      </c>
      <c r="V32" s="297">
        <f>'Rem. Anticipos R2'!M522</f>
        <v>0</v>
      </c>
      <c r="W32" s="297">
        <f>'Rem. Anticipos R2'!N522</f>
        <v>0</v>
      </c>
      <c r="X32" s="297">
        <f>'Rem. Anticipos R2'!O522</f>
        <v>0</v>
      </c>
      <c r="Y32" s="289">
        <f>'Rem. Anticipos R2'!P522</f>
        <v>0</v>
      </c>
      <c r="Z32" s="319">
        <f>L32*-1</f>
        <v>0</v>
      </c>
      <c r="AA32" s="320">
        <f>'Rem. Anticipos R2'!Q522</f>
        <v>0</v>
      </c>
      <c r="AB32" s="294">
        <f>N32</f>
        <v>0</v>
      </c>
      <c r="AC32" s="320">
        <f>'Rem. Anticipos R2'!R522</f>
        <v>0</v>
      </c>
      <c r="AD32" s="291">
        <f t="shared" si="10"/>
        <v>0</v>
      </c>
      <c r="AE32" s="291">
        <f>'Rem. Anticipos R2'!E523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R1'!F111</f>
        <v>0</v>
      </c>
      <c r="E47" s="292">
        <f>'Reporte Componentes R1'!G111</f>
        <v>0</v>
      </c>
      <c r="F47" s="292">
        <f>'Reporte Componentes R1'!H111</f>
        <v>0</v>
      </c>
      <c r="G47" s="292">
        <f>'Reporte Componentes R1'!I111</f>
        <v>0</v>
      </c>
      <c r="H47" s="292">
        <f>'Reporte Componentes R1'!J111</f>
        <v>0</v>
      </c>
      <c r="I47" s="292">
        <f>'Reporte Componentes R1'!K111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R1'!L111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R1'!M111</f>
        <v>0</v>
      </c>
      <c r="V47" s="308">
        <f>'Reporte Componentes R1'!N111</f>
        <v>0</v>
      </c>
      <c r="W47" s="308">
        <f>'Reporte Componentes R1'!O111</f>
        <v>0</v>
      </c>
      <c r="X47" s="308">
        <f>'Reporte Componentes R1'!P111</f>
        <v>0</v>
      </c>
      <c r="Y47" s="309">
        <f>'Reporte Componentes R1'!Q111</f>
        <v>0</v>
      </c>
      <c r="Z47" s="310">
        <f>-L47</f>
        <v>0</v>
      </c>
      <c r="AA47" s="311">
        <f>'Reporte Componentes R1'!R111+'Reporte Componentes R1'!V111+'Reporte Componentes R1'!U111</f>
        <v>0</v>
      </c>
      <c r="AB47" s="294">
        <f>N47</f>
        <v>0</v>
      </c>
      <c r="AC47" s="311">
        <f>'Reporte Componentes R1'!T111+'Reporte Componentes R1'!S111+'Reporte Componentes R1'!W111+'Reporte Componentes R1'!X111+'Reporte Componentes R1'!Y111+'Reporte Componentes R1'!Z111</f>
        <v>0</v>
      </c>
      <c r="AD47" s="291">
        <f>-J47+AE47</f>
        <v>0</v>
      </c>
      <c r="AE47" s="291">
        <f>'Reporte Componentes R1'!F112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R1'!F345</f>
        <v>0</v>
      </c>
      <c r="E48" s="292">
        <f>'Reporte Componentes R1'!G345</f>
        <v>0</v>
      </c>
      <c r="F48" s="292">
        <f>'Reporte Componentes R1'!H345</f>
        <v>0</v>
      </c>
      <c r="G48" s="292">
        <f>'Reporte Componentes R1'!I345</f>
        <v>0</v>
      </c>
      <c r="H48" s="292">
        <f>'Reporte Componentes R1'!J345</f>
        <v>0</v>
      </c>
      <c r="I48" s="292">
        <f>'Reporte Componentes R1'!K345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R1'!L345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R1'!M345</f>
        <v>0</v>
      </c>
      <c r="V48" s="317">
        <f>'Reporte Componentes R1'!N345</f>
        <v>0</v>
      </c>
      <c r="W48" s="317">
        <f>'Reporte Componentes R1'!O345</f>
        <v>0</v>
      </c>
      <c r="X48" s="317">
        <f>'Reporte Componentes R1'!P345</f>
        <v>0</v>
      </c>
      <c r="Y48" s="318">
        <f>'Reporte Componentes R1'!Q345</f>
        <v>0</v>
      </c>
      <c r="Z48" s="319">
        <f>-L48</f>
        <v>0</v>
      </c>
      <c r="AA48" s="320">
        <f>'Reporte Componentes R1'!R345+'Reporte Componentes R1'!V345+'Reporte Componentes R1'!U345</f>
        <v>0</v>
      </c>
      <c r="AB48" s="294">
        <f>N48</f>
        <v>0</v>
      </c>
      <c r="AC48" s="320">
        <f>'Reporte Componentes R1'!T345+'Reporte Componentes R1'!S345+'Reporte Componentes R1'!W345+'Reporte Componentes R1'!X345+'Reporte Componentes R1'!Y345+'Reporte Componentes R1'!Z345</f>
        <v>0</v>
      </c>
      <c r="AD48" s="291">
        <f t="shared" ref="AD48:AD51" si="16">-J48+AE48</f>
        <v>0</v>
      </c>
      <c r="AE48" s="291">
        <f>'Reporte Componentes R1'!F346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R1'!F506</f>
        <v>0</v>
      </c>
      <c r="E49" s="292">
        <f>'Reporte Componentes R1'!G506</f>
        <v>0</v>
      </c>
      <c r="F49" s="292">
        <f>'Reporte Componentes R1'!H506</f>
        <v>0</v>
      </c>
      <c r="G49" s="292">
        <f>'Reporte Componentes R1'!I506</f>
        <v>0</v>
      </c>
      <c r="H49" s="292">
        <f>'Reporte Componentes R1'!J506</f>
        <v>0</v>
      </c>
      <c r="I49" s="292">
        <f>'Reporte Componentes R1'!K506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R1'!L506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R1'!M506</f>
        <v>0</v>
      </c>
      <c r="V49" s="317">
        <f>'Reporte Componentes R1'!N506</f>
        <v>0</v>
      </c>
      <c r="W49" s="317">
        <f>'Reporte Componentes R1'!O506</f>
        <v>0</v>
      </c>
      <c r="X49" s="317">
        <f>'Reporte Componentes R1'!P506</f>
        <v>0</v>
      </c>
      <c r="Y49" s="318">
        <f>'Reporte Componentes R1'!Q506</f>
        <v>0</v>
      </c>
      <c r="Z49" s="319">
        <f>-L49</f>
        <v>0</v>
      </c>
      <c r="AA49" s="320">
        <f>'Reporte Componentes R1'!R506+'Reporte Componentes R1'!V506+'Reporte Componentes R1'!U506</f>
        <v>0</v>
      </c>
      <c r="AB49" s="294">
        <f>N49</f>
        <v>0</v>
      </c>
      <c r="AC49" s="320">
        <f>'Reporte Componentes R1'!T506+'Reporte Componentes R1'!S506+'Reporte Componentes R1'!W506+'Reporte Componentes R1'!X506+'Reporte Componentes R1'!Y506+'Reporte Componentes R1'!Z506</f>
        <v>0</v>
      </c>
      <c r="AD49" s="291">
        <f t="shared" si="16"/>
        <v>0</v>
      </c>
      <c r="AE49" s="291">
        <f>'Reporte Componentes R1'!F507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R1'!F714</f>
        <v>0</v>
      </c>
      <c r="E50" s="292">
        <f>'Reporte Componentes R1'!G714</f>
        <v>0</v>
      </c>
      <c r="F50" s="292">
        <f>'Reporte Componentes R1'!H714</f>
        <v>0</v>
      </c>
      <c r="G50" s="292">
        <f>'Reporte Componentes R1'!I714</f>
        <v>0</v>
      </c>
      <c r="H50" s="292">
        <f>'Reporte Componentes R1'!J714</f>
        <v>0</v>
      </c>
      <c r="I50" s="292">
        <f>'Reporte Componentes R1'!K714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R1'!L714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R1'!M714</f>
        <v>0</v>
      </c>
      <c r="V50" s="317">
        <f>'Reporte Componentes R1'!N714</f>
        <v>0</v>
      </c>
      <c r="W50" s="317">
        <f>'Reporte Componentes R1'!O714</f>
        <v>0</v>
      </c>
      <c r="X50" s="317">
        <f>'Reporte Componentes R1'!P714</f>
        <v>0</v>
      </c>
      <c r="Y50" s="318">
        <f>'Reporte Componentes R1'!Q714</f>
        <v>0</v>
      </c>
      <c r="Z50" s="319">
        <f>-L50</f>
        <v>0</v>
      </c>
      <c r="AA50" s="320">
        <f>'Reporte Componentes R1'!R714+'Reporte Componentes R1'!V714+'Reporte Componentes R1'!U714</f>
        <v>0</v>
      </c>
      <c r="AB50" s="294">
        <f>N50</f>
        <v>0</v>
      </c>
      <c r="AC50" s="320">
        <f>'Reporte Componentes R1'!T714+'Reporte Componentes R1'!S714+'Reporte Componentes R1'!W714+'Reporte Componentes R1'!X714+'Reporte Componentes R1'!Y714+'Reporte Componentes R1'!Z714</f>
        <v>0</v>
      </c>
      <c r="AD50" s="291">
        <f t="shared" si="16"/>
        <v>0</v>
      </c>
      <c r="AE50" s="291">
        <f>'Reporte Componentes R1'!F715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R1'!F833</f>
        <v>0</v>
      </c>
      <c r="E51" s="297">
        <f>'Reporte Componentes R1'!G833</f>
        <v>0</v>
      </c>
      <c r="F51" s="297">
        <f>'Reporte Componentes R1'!H833</f>
        <v>0</v>
      </c>
      <c r="G51" s="297">
        <f>'Reporte Componentes R1'!I833</f>
        <v>0</v>
      </c>
      <c r="H51" s="297">
        <f>'Reporte Componentes R1'!J833</f>
        <v>0</v>
      </c>
      <c r="I51" s="297">
        <f>'Reporte Componentes R1'!K833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R1'!L833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R1'!M833</f>
        <v>0</v>
      </c>
      <c r="V51" s="297">
        <f>'Reporte Componentes R1'!N833</f>
        <v>0</v>
      </c>
      <c r="W51" s="297">
        <f>'Reporte Componentes R1'!O833</f>
        <v>0</v>
      </c>
      <c r="X51" s="297">
        <f>'Reporte Componentes R1'!P833</f>
        <v>0</v>
      </c>
      <c r="Y51" s="289">
        <f>'Reporte Componentes R1'!Q833</f>
        <v>0</v>
      </c>
      <c r="Z51" s="319">
        <f>-L51</f>
        <v>0</v>
      </c>
      <c r="AA51" s="320">
        <f>'Reporte Componentes R1'!R833+'Reporte Componentes R1'!V833+'Reporte Componentes R1'!U833</f>
        <v>0</v>
      </c>
      <c r="AB51" s="294">
        <f>N51</f>
        <v>0</v>
      </c>
      <c r="AC51" s="320">
        <f>'Reporte Componentes R1'!T833+'Reporte Componentes R1'!S833+'Reporte Componentes R1'!W833+'Reporte Componentes R1'!X833+'Reporte Componentes R1'!Y833+'Reporte Componentes R1'!Z833</f>
        <v>0</v>
      </c>
      <c r="AD51" s="291">
        <f t="shared" si="16"/>
        <v>0</v>
      </c>
      <c r="AE51" s="291">
        <f>'Reporte Componentes R1'!F834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R4'!D91</f>
        <v>0</v>
      </c>
      <c r="E66" s="292">
        <f>'Reversion Pagos R4'!E91</f>
        <v>0</v>
      </c>
      <c r="F66" s="292">
        <f>'Reversion Pagos R4'!F91</f>
        <v>0</v>
      </c>
      <c r="G66" s="292">
        <f>'Reversion Pagos R4'!G91</f>
        <v>0</v>
      </c>
      <c r="H66" s="292">
        <f>'Reversion Pagos R4'!H91</f>
        <v>0</v>
      </c>
      <c r="I66" s="292">
        <f>'Reversion Pagos R4'!I91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R4'!P91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R4'!J91</f>
        <v>0</v>
      </c>
      <c r="V66" s="308">
        <f>'Reversion Pagos R4'!K91</f>
        <v>0</v>
      </c>
      <c r="W66" s="308">
        <f>'Reversion Pagos R4'!L91</f>
        <v>0</v>
      </c>
      <c r="X66" s="308">
        <f>'Reversion Pagos R4'!M91</f>
        <v>0</v>
      </c>
      <c r="Y66" s="308">
        <f>'Reversion Pagos R4'!N91</f>
        <v>0</v>
      </c>
      <c r="Z66" s="310">
        <f>-L66</f>
        <v>0</v>
      </c>
      <c r="AA66" s="320">
        <f>'Reversion Pagos R4'!O91</f>
        <v>0</v>
      </c>
      <c r="AB66" s="294">
        <f>N66</f>
        <v>0</v>
      </c>
      <c r="AC66" s="320">
        <f>+'Reversion Pagos R4'!Q91+'Reversion Pagos R4'!R91</f>
        <v>0</v>
      </c>
      <c r="AD66" s="291">
        <f>-J66+AE66</f>
        <v>0</v>
      </c>
      <c r="AE66" s="291">
        <f>'Reversion Pagos R4'!D92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R4'!D192</f>
        <v>0</v>
      </c>
      <c r="E67" s="292">
        <f>'Reversion Pagos R4'!E192</f>
        <v>0</v>
      </c>
      <c r="F67" s="292">
        <f>'Reversion Pagos R4'!F192</f>
        <v>0</v>
      </c>
      <c r="G67" s="292">
        <f>'Reversion Pagos R4'!G192</f>
        <v>0</v>
      </c>
      <c r="H67" s="292">
        <f>'Reversion Pagos R4'!H192</f>
        <v>0</v>
      </c>
      <c r="I67" s="292">
        <f>'Reversion Pagos R4'!I192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R4'!P192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R4'!J192</f>
        <v>0</v>
      </c>
      <c r="V67" s="317">
        <f>'Reversion Pagos R4'!K192</f>
        <v>0</v>
      </c>
      <c r="W67" s="317">
        <f>'Reversion Pagos R4'!L192</f>
        <v>0</v>
      </c>
      <c r="X67" s="317">
        <f>'Reversion Pagos R4'!M192</f>
        <v>0</v>
      </c>
      <c r="Y67" s="318">
        <f>'Reversion Pagos R4'!N192</f>
        <v>0</v>
      </c>
      <c r="Z67" s="319">
        <f t="shared" ref="Z67:Z70" si="26">-L67</f>
        <v>0</v>
      </c>
      <c r="AA67" s="320">
        <f>'Reversion Pagos R4'!O192</f>
        <v>0</v>
      </c>
      <c r="AB67" s="294">
        <f t="shared" ref="AB67:AB70" si="27">N67</f>
        <v>0</v>
      </c>
      <c r="AC67" s="320">
        <f>+'Reversion Pagos R4'!Q192+'Reversion Pagos R4'!R192</f>
        <v>0</v>
      </c>
      <c r="AD67" s="291">
        <f t="shared" ref="AD67:AD70" si="28">-J67+AE67</f>
        <v>0</v>
      </c>
      <c r="AE67" s="291">
        <f>'Reversion Pagos R4'!D193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R4'!D229</f>
        <v>0</v>
      </c>
      <c r="E68" s="292">
        <f>'Reversion Pagos R4'!E229</f>
        <v>0</v>
      </c>
      <c r="F68" s="292">
        <f>'Reversion Pagos R4'!F229</f>
        <v>0</v>
      </c>
      <c r="G68" s="292">
        <f>'Reversion Pagos R4'!G229</f>
        <v>0</v>
      </c>
      <c r="H68" s="292">
        <f>'Reversion Pagos R4'!H229</f>
        <v>0</v>
      </c>
      <c r="I68" s="292">
        <f>'Reversion Pagos R4'!I229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R4'!P229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R4'!J229</f>
        <v>0</v>
      </c>
      <c r="V68" s="317">
        <f>'Reversion Pagos R4'!K229</f>
        <v>0</v>
      </c>
      <c r="W68" s="317">
        <f>'Reversion Pagos R4'!L229</f>
        <v>0</v>
      </c>
      <c r="X68" s="317">
        <f>'Reversion Pagos R4'!M229</f>
        <v>0</v>
      </c>
      <c r="Y68" s="318">
        <f>'Reversion Pagos R4'!N229</f>
        <v>0</v>
      </c>
      <c r="Z68" s="319">
        <f t="shared" si="26"/>
        <v>0</v>
      </c>
      <c r="AA68" s="320">
        <f>'Reversion Pagos R4'!O229</f>
        <v>0</v>
      </c>
      <c r="AB68" s="294">
        <f t="shared" si="27"/>
        <v>0</v>
      </c>
      <c r="AC68" s="320">
        <f>+'Reversion Pagos R4'!Q229+'Reversion Pagos R4'!R229</f>
        <v>0</v>
      </c>
      <c r="AD68" s="291">
        <f t="shared" si="28"/>
        <v>0</v>
      </c>
      <c r="AE68" s="291">
        <f>'Reversion Pagos R4'!D230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R4'!D344</f>
        <v>0</v>
      </c>
      <c r="E69" s="292">
        <f>'Reversion Pagos R4'!E344</f>
        <v>0</v>
      </c>
      <c r="F69" s="292">
        <f>'Reversion Pagos R4'!F344</f>
        <v>0</v>
      </c>
      <c r="G69" s="292">
        <f>'Reversion Pagos R4'!G344</f>
        <v>0</v>
      </c>
      <c r="H69" s="292">
        <f>'Reversion Pagos R4'!H344</f>
        <v>0</v>
      </c>
      <c r="I69" s="292">
        <f>'Reversion Pagos R4'!I344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R4'!P344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R4'!J344</f>
        <v>0</v>
      </c>
      <c r="V69" s="317">
        <f>'Reversion Pagos R4'!K344</f>
        <v>0</v>
      </c>
      <c r="W69" s="317">
        <f>'Reversion Pagos R4'!L344</f>
        <v>0</v>
      </c>
      <c r="X69" s="317">
        <f>'Reversion Pagos R4'!M344</f>
        <v>0</v>
      </c>
      <c r="Y69" s="318">
        <f>'Reversion Pagos R4'!N344</f>
        <v>0</v>
      </c>
      <c r="Z69" s="319">
        <f t="shared" si="26"/>
        <v>0</v>
      </c>
      <c r="AA69" s="320">
        <f>'Reversion Pagos R4'!O344</f>
        <v>0</v>
      </c>
      <c r="AB69" s="294">
        <f t="shared" si="27"/>
        <v>0</v>
      </c>
      <c r="AC69" s="320">
        <f>+'Reversion Pagos R4'!Q344+'Reversion Pagos R4'!R344</f>
        <v>0</v>
      </c>
      <c r="AD69" s="291">
        <f t="shared" si="28"/>
        <v>0</v>
      </c>
      <c r="AE69" s="291">
        <f>'Reversion Pagos R4'!D345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R4'!D385</f>
        <v>0</v>
      </c>
      <c r="E70" s="297">
        <f>'Reversion Pagos R4'!E385</f>
        <v>0</v>
      </c>
      <c r="F70" s="297">
        <f>'Reversion Pagos R4'!F385</f>
        <v>0</v>
      </c>
      <c r="G70" s="297">
        <f>'Reversion Pagos R4'!G385</f>
        <v>0</v>
      </c>
      <c r="H70" s="297">
        <f>'Reversion Pagos R4'!H385</f>
        <v>0</v>
      </c>
      <c r="I70" s="297">
        <f>'Reversion Pagos R4'!I385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R4'!P385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R4'!J385</f>
        <v>0</v>
      </c>
      <c r="V70" s="297">
        <f>'Reversion Pagos R4'!K385</f>
        <v>0</v>
      </c>
      <c r="W70" s="297">
        <f>'Reversion Pagos R4'!L385</f>
        <v>0</v>
      </c>
      <c r="X70" s="297">
        <f>'Reversion Pagos R4'!M385</f>
        <v>0</v>
      </c>
      <c r="Y70" s="289">
        <f>'Reversion Pagos R4'!N385</f>
        <v>0</v>
      </c>
      <c r="Z70" s="319">
        <f t="shared" si="26"/>
        <v>0</v>
      </c>
      <c r="AA70" s="320">
        <f>'Reversion Pagos R4'!O385</f>
        <v>0</v>
      </c>
      <c r="AB70" s="294">
        <f t="shared" si="27"/>
        <v>0</v>
      </c>
      <c r="AC70" s="320">
        <f>+'Reversion Pagos R4'!Q385+'Reversion Pagos R4'!R385</f>
        <v>0</v>
      </c>
      <c r="AD70" s="291">
        <f t="shared" si="28"/>
        <v>0</v>
      </c>
      <c r="AE70" s="291">
        <f>'Reversion Pagos R4'!D386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v>0</v>
      </c>
      <c r="AA85" s="310">
        <v>0</v>
      </c>
      <c r="AB85" s="310">
        <v>0</v>
      </c>
      <c r="AC85" s="311">
        <v>0</v>
      </c>
      <c r="AD85" s="310">
        <v>0</v>
      </c>
      <c r="AE85" s="310">
        <v>0</v>
      </c>
      <c r="AF85" s="313">
        <f>SUM(U85:AD85)</f>
        <v>0</v>
      </c>
      <c r="AG85" s="311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v>0</v>
      </c>
      <c r="AA86" s="319">
        <v>0</v>
      </c>
      <c r="AB86" s="319">
        <v>0</v>
      </c>
      <c r="AC86" s="320">
        <v>0</v>
      </c>
      <c r="AD86" s="319">
        <v>0</v>
      </c>
      <c r="AE86" s="319">
        <v>0</v>
      </c>
      <c r="AF86" s="322">
        <f>SUM(U86:AD86)</f>
        <v>0</v>
      </c>
      <c r="AG86" s="323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19">
        <v>0</v>
      </c>
      <c r="AB87" s="319">
        <v>0</v>
      </c>
      <c r="AC87" s="320">
        <v>0</v>
      </c>
      <c r="AD87" s="319">
        <v>0</v>
      </c>
      <c r="AE87" s="319">
        <v>0</v>
      </c>
      <c r="AF87" s="322">
        <f t="shared" ref="AF87:AF89" si="37">SUM(U87:AD87)</f>
        <v>0</v>
      </c>
      <c r="AG87" s="323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v>0</v>
      </c>
      <c r="AA88" s="319">
        <v>0</v>
      </c>
      <c r="AB88" s="319">
        <v>0</v>
      </c>
      <c r="AC88" s="320">
        <v>0</v>
      </c>
      <c r="AD88" s="319">
        <v>0</v>
      </c>
      <c r="AE88" s="319">
        <v>0</v>
      </c>
      <c r="AF88" s="322">
        <f t="shared" si="37"/>
        <v>0</v>
      </c>
      <c r="AG88" s="323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19">
        <v>0</v>
      </c>
      <c r="AB89" s="319">
        <v>0</v>
      </c>
      <c r="AC89" s="320">
        <v>0</v>
      </c>
      <c r="AD89" s="319">
        <v>0</v>
      </c>
      <c r="AE89" s="319">
        <v>0</v>
      </c>
      <c r="AF89" s="322">
        <f t="shared" si="37"/>
        <v>0</v>
      </c>
      <c r="AG89" s="326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39">SUM(V85:V89)</f>
        <v>0</v>
      </c>
      <c r="W90" s="330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219</v>
      </c>
      <c r="G101" s="58"/>
      <c r="H101" s="59"/>
      <c r="I101" s="60"/>
      <c r="J101" s="59"/>
      <c r="K101" s="60"/>
      <c r="L101" s="469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88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 t="shared" si="41"/>
        <v>0</v>
      </c>
      <c r="AB104" s="294">
        <f t="shared" si="41"/>
        <v>0</v>
      </c>
      <c r="AC104" s="312">
        <f t="shared" ref="AC104" si="42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88">
        <f t="shared" si="40"/>
        <v>0</v>
      </c>
      <c r="K105" s="295">
        <f t="shared" ref="K105:K108" si="43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4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1">
        <f t="shared" ref="AC105" si="45">AC10+AC29+AC48+AC67+AC86</f>
        <v>0</v>
      </c>
      <c r="AD105" s="291">
        <f t="shared" ref="AD105:AD107" si="46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7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88">
        <f t="shared" si="40"/>
        <v>0</v>
      </c>
      <c r="K106" s="295">
        <f t="shared" si="43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4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1">
        <f t="shared" ref="AC106" si="48">AC11+AC30+AC49+AC68+AC87</f>
        <v>0</v>
      </c>
      <c r="AD106" s="291">
        <f t="shared" si="46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7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88">
        <f t="shared" si="40"/>
        <v>0</v>
      </c>
      <c r="K107" s="295">
        <f t="shared" si="43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4"/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1">
        <f t="shared" ref="AC107" si="49">AC12+AC31+AC50+AC69+AC88</f>
        <v>0</v>
      </c>
      <c r="AD107" s="291">
        <f t="shared" si="46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7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89">
        <f t="shared" si="40"/>
        <v>0</v>
      </c>
      <c r="K108" s="295">
        <f t="shared" si="43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4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1">
        <f t="shared" ref="AC108" si="50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7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0</v>
      </c>
      <c r="E109" s="290">
        <f t="shared" ref="E109:O109" si="51">SUM(E104:E108)</f>
        <v>0</v>
      </c>
      <c r="F109" s="290">
        <f t="shared" si="51"/>
        <v>0</v>
      </c>
      <c r="G109" s="290">
        <f t="shared" si="51"/>
        <v>0</v>
      </c>
      <c r="H109" s="290">
        <f t="shared" si="51"/>
        <v>0</v>
      </c>
      <c r="I109" s="290">
        <f t="shared" si="51"/>
        <v>0</v>
      </c>
      <c r="J109" s="290">
        <f t="shared" si="51"/>
        <v>0</v>
      </c>
      <c r="K109" s="300">
        <f t="shared" si="51"/>
        <v>0</v>
      </c>
      <c r="L109" s="301">
        <f t="shared" si="51"/>
        <v>0</v>
      </c>
      <c r="M109" s="302">
        <f t="shared" si="51"/>
        <v>0</v>
      </c>
      <c r="N109" s="301">
        <f>SUM(N104:N108)</f>
        <v>0</v>
      </c>
      <c r="O109" s="302">
        <f t="shared" si="51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2">SUM(V104:V108)</f>
        <v>0</v>
      </c>
      <c r="W109" s="330">
        <f t="shared" si="52"/>
        <v>0</v>
      </c>
      <c r="X109" s="330">
        <f t="shared" si="52"/>
        <v>0</v>
      </c>
      <c r="Y109" s="330">
        <f t="shared" si="52"/>
        <v>0</v>
      </c>
      <c r="Z109" s="290">
        <f t="shared" si="52"/>
        <v>0</v>
      </c>
      <c r="AA109" s="290">
        <f t="shared" si="52"/>
        <v>0</v>
      </c>
      <c r="AB109" s="470">
        <f t="shared" si="52"/>
        <v>0</v>
      </c>
      <c r="AC109" s="290">
        <f t="shared" ref="AC109" si="53">SUM(AC104:AC108)</f>
        <v>0</v>
      </c>
      <c r="AD109" s="290">
        <f t="shared" si="52"/>
        <v>0</v>
      </c>
      <c r="AE109" s="290">
        <f>SUM(AE104:AE108)</f>
        <v>0</v>
      </c>
      <c r="AF109" s="331">
        <f t="shared" si="52"/>
        <v>0</v>
      </c>
      <c r="AG109" s="332">
        <f>SUM(AG104:AG108)</f>
        <v>0</v>
      </c>
      <c r="AH109" s="1" t="b">
        <f t="shared" si="47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USUARIOS'!O3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USUARIOS'!O12</f>
        <v>0</v>
      </c>
      <c r="L125" s="309">
        <f>-'ANTICIPOS USUARIOS'!O21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USUARIOS'!O4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4">D67+N67</f>
        <v>0</v>
      </c>
      <c r="K126" s="288">
        <f>'ANTICIPOS USUARIOS'!O13</f>
        <v>0</v>
      </c>
      <c r="L126" s="288">
        <f>-'ANTICIPOS USUARIOS'!O22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USUARIOS'!O5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4"/>
        <v>0</v>
      </c>
      <c r="K127" s="288">
        <f>'ANTICIPOS USUARIOS'!O14</f>
        <v>0</v>
      </c>
      <c r="L127" s="288">
        <f>-'ANTICIPOS USUARIOS'!O23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USUARIOS'!O6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4"/>
        <v>0</v>
      </c>
      <c r="K128" s="288">
        <f>'ANTICIPOS USUARIOS'!O15</f>
        <v>0</v>
      </c>
      <c r="L128" s="288">
        <f>-'ANTICIPOS USUARIOS'!O24</f>
        <v>0</v>
      </c>
      <c r="O128" s="337"/>
      <c r="Q128" s="306"/>
    </row>
    <row r="129" spans="1:18" s="305" customFormat="1" ht="12" x14ac:dyDescent="0.25">
      <c r="B129" s="341">
        <v>5</v>
      </c>
      <c r="C129" s="342" t="s">
        <v>14</v>
      </c>
      <c r="D129" s="292">
        <f>'ANTICIPOS USUARIOS'!O7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4"/>
        <v>0</v>
      </c>
      <c r="K129" s="288">
        <f>'ANTICIPOS USUARIOS'!O16</f>
        <v>0</v>
      </c>
      <c r="L129" s="288">
        <f>-'ANTICIPOS USUARIOS'!O25</f>
        <v>0</v>
      </c>
      <c r="O129" s="337"/>
      <c r="Q129" s="306"/>
    </row>
    <row r="130" spans="1:18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8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Directa Occidente'!F21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0</v>
      </c>
      <c r="K142" s="111">
        <f t="shared" si="56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Directa Occidente'!F22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BANCO'!E76)</f>
        <v>0</v>
      </c>
      <c r="J143" s="18">
        <f t="shared" si="56"/>
        <v>0</v>
      </c>
      <c r="K143" s="83">
        <f t="shared" si="56"/>
        <v>0</v>
      </c>
      <c r="L143" s="525">
        <f>D143-E143-F143-G143-J143-H143-I143</f>
        <v>0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Directa Occidente'!F23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0</v>
      </c>
      <c r="L144" s="525">
        <f>D144-E144-F144-G144-J144-H144-I144</f>
        <v>0</v>
      </c>
      <c r="M144" s="1" t="b">
        <f t="shared" si="5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Directa Occidente'!F24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BANCO'!E78)</f>
        <v>0</v>
      </c>
      <c r="J145" s="18">
        <f t="shared" si="56"/>
        <v>0</v>
      </c>
      <c r="K145" s="83">
        <f t="shared" si="56"/>
        <v>0</v>
      </c>
      <c r="L145" s="525">
        <f>D145-E145-F145-G145-J145-H145-I145</f>
        <v>0</v>
      </c>
      <c r="M145" s="1" t="b">
        <f t="shared" si="5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Directa Occidente'!F25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BANCO'!E79)</f>
        <v>0</v>
      </c>
      <c r="J146" s="134">
        <f t="shared" si="56"/>
        <v>0</v>
      </c>
      <c r="K146" s="136">
        <f t="shared" si="56"/>
        <v>0</v>
      </c>
      <c r="L146" s="525">
        <f>D146-E146-F146-G146-J146-H146-I146</f>
        <v>0</v>
      </c>
      <c r="M146" s="1" t="b">
        <f t="shared" si="5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8">SUM(F142:F146)</f>
        <v>0</v>
      </c>
      <c r="G147" s="47">
        <f t="shared" si="58"/>
        <v>0</v>
      </c>
      <c r="H147" s="47">
        <f t="shared" si="58"/>
        <v>0</v>
      </c>
      <c r="I147" s="47">
        <f t="shared" si="58"/>
        <v>0</v>
      </c>
      <c r="J147" s="47">
        <f t="shared" si="58"/>
        <v>0</v>
      </c>
      <c r="K147" s="47">
        <f t="shared" si="58"/>
        <v>0</v>
      </c>
      <c r="L147" s="525">
        <f>SUM(L142:L146)</f>
        <v>0</v>
      </c>
      <c r="M147" s="1" t="b">
        <f t="shared" si="57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305"/>
      <c r="N154" s="24"/>
      <c r="O154" s="24"/>
      <c r="Q154" s="24"/>
      <c r="T154" s="24"/>
    </row>
    <row r="155" spans="1:20" x14ac:dyDescent="0.2">
      <c r="E155" s="305"/>
      <c r="N155" s="24"/>
      <c r="O155" s="24"/>
      <c r="Q155" s="24"/>
      <c r="T155" s="24"/>
    </row>
    <row r="156" spans="1:20" x14ac:dyDescent="0.2">
      <c r="E156" s="305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D4" sqref="D4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Directa Occidente'!F21</f>
        <v>0</v>
      </c>
      <c r="D3" s="292">
        <f>'REMUNERACION_OCCIDENTE_ Directa'!G125</f>
        <v>0</v>
      </c>
      <c r="E3" s="292">
        <f>'REMUNERACION_OCCIDENTE_ Directa'!D28+'REMUNERACION_OCCIDENTE_ Directa'!N28</f>
        <v>0</v>
      </c>
      <c r="F3" s="292">
        <f>'REMUNERACION_OCCIDENTE_ Directa'!I142</f>
        <v>0</v>
      </c>
      <c r="G3" s="292">
        <f>'REMUNERACION_OCCIDENTE_ Directa'!H142</f>
        <v>0</v>
      </c>
      <c r="H3" s="340">
        <f>SUM(C3:G3)</f>
        <v>0</v>
      </c>
      <c r="I3" s="291">
        <f>'REMUNERACION_OCCIDENTE_ Directa'!D104</f>
        <v>0</v>
      </c>
      <c r="J3" s="292">
        <f>'REMUNERACION_OCCIDENTE_ Directa'!N104</f>
        <v>0</v>
      </c>
      <c r="K3" s="292">
        <f>'REMUNERACION_OCCIDENTE_ Directa'!D125</f>
        <v>0</v>
      </c>
      <c r="L3" s="353">
        <f>'REMUNERACION_OCCIDENTE_ Directa'!E125</f>
        <v>0</v>
      </c>
      <c r="M3" s="292">
        <f>-'REMUNERACION_OCCIDENTE_ Directa'!D66-'REMUNERACION_OCCIDENTE_ Directa'!N66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Directa Occidente'!F22</f>
        <v>0</v>
      </c>
      <c r="D4" s="292">
        <f>'REMUNERACION_OCCIDENTE_ Directa'!G126</f>
        <v>0</v>
      </c>
      <c r="E4" s="292">
        <f>'REMUNERACION_OCCIDENTE_ Directa'!D29+'REMUNERACION_OCCIDENTE_ Directa'!N29</f>
        <v>0</v>
      </c>
      <c r="F4" s="292">
        <f>'REMUNERACION_OCCIDENTE_ Directa'!I143</f>
        <v>0</v>
      </c>
      <c r="G4" s="292">
        <f>'REMUNERACION_OCCIDENTE_ Directa'!H143</f>
        <v>0</v>
      </c>
      <c r="H4" s="340">
        <f t="shared" ref="H4:H8" si="1">SUM(C4:G4)</f>
        <v>0</v>
      </c>
      <c r="I4" s="291">
        <f>'REMUNERACION_OCCIDENTE_ Directa'!D105</f>
        <v>0</v>
      </c>
      <c r="J4" s="292">
        <f>'REMUNERACION_OCCIDENTE_ Directa'!N105</f>
        <v>0</v>
      </c>
      <c r="K4" s="292">
        <f>'REMUNERACION_OCCIDENTE_ Directa'!D126</f>
        <v>0</v>
      </c>
      <c r="L4" s="353">
        <f>'REMUNERACION_OCCIDENTE_ Directa'!E126</f>
        <v>0</v>
      </c>
      <c r="M4" s="292">
        <f>-'REMUNERACION_OCCIDENTE_ Directa'!D67-'REMUNERACION_OCCIDENTE_ Directa'!N67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Directa Occidente'!F23</f>
        <v>0</v>
      </c>
      <c r="D5" s="292">
        <f>'REMUNERACION_OCCIDENTE_ Directa'!G127</f>
        <v>0</v>
      </c>
      <c r="E5" s="292">
        <f>'REMUNERACION_OCCIDENTE_ Directa'!D30+'REMUNERACION_OCCIDENTE_ Directa'!N30</f>
        <v>0</v>
      </c>
      <c r="F5" s="292">
        <f>'REMUNERACION_OCCIDENTE_ Directa'!I144</f>
        <v>0</v>
      </c>
      <c r="G5" s="292">
        <f>'REMUNERACION_OCCIDENTE_ Directa'!H144</f>
        <v>0</v>
      </c>
      <c r="H5" s="340">
        <f t="shared" si="1"/>
        <v>0</v>
      </c>
      <c r="I5" s="291">
        <f>'REMUNERACION_OCCIDENTE_ Directa'!D106</f>
        <v>0</v>
      </c>
      <c r="J5" s="292">
        <f>'REMUNERACION_OCCIDENTE_ Directa'!N106</f>
        <v>0</v>
      </c>
      <c r="K5" s="292">
        <f>'REMUNERACION_OCCIDENTE_ Directa'!D127</f>
        <v>0</v>
      </c>
      <c r="L5" s="353">
        <f>'REMUNERACION_OCCIDENTE_ Directa'!E127</f>
        <v>0</v>
      </c>
      <c r="M5" s="292">
        <f>-'REMUNERACION_OCCIDENTE_ Directa'!D68-'REMUNERACION_OCCIDENTE_ Directa'!N68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Directa Occidente'!F24</f>
        <v>0</v>
      </c>
      <c r="D6" s="292">
        <f>'REMUNERACION_OCCIDENTE_ Directa'!G128</f>
        <v>0</v>
      </c>
      <c r="E6" s="292">
        <f>'REMUNERACION_OCCIDENTE_ Directa'!D31+'REMUNERACION_OCCIDENTE_ Directa'!N31</f>
        <v>0</v>
      </c>
      <c r="F6" s="292">
        <f>'REMUNERACION_OCCIDENTE_ Directa'!I145</f>
        <v>0</v>
      </c>
      <c r="G6" s="292">
        <f>'REMUNERACION_OCCIDENTE_ Directa'!H145</f>
        <v>0</v>
      </c>
      <c r="H6" s="340">
        <f t="shared" si="1"/>
        <v>0</v>
      </c>
      <c r="I6" s="291">
        <f>'REMUNERACION_OCCIDENTE_ Directa'!D107</f>
        <v>0</v>
      </c>
      <c r="J6" s="292">
        <f>'REMUNERACION_OCCIDENTE_ Directa'!N107</f>
        <v>0</v>
      </c>
      <c r="K6" s="292">
        <f>'REMUNERACION_OCCIDENTE_ Directa'!D128</f>
        <v>0</v>
      </c>
      <c r="L6" s="353">
        <f>'REMUNERACION_OCCIDENTE_ Directa'!E128</f>
        <v>0</v>
      </c>
      <c r="M6" s="292">
        <f>-'REMUNERACION_OCCIDENTE_ Directa'!D69-'REMUNERACION_OCCIDENTE_ Directa'!N69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Directa Occidente'!F25</f>
        <v>0</v>
      </c>
      <c r="D7" s="292">
        <f>'REMUNERACION_OCCIDENTE_ Directa'!G129</f>
        <v>0</v>
      </c>
      <c r="E7" s="292">
        <f>'REMUNERACION_OCCIDENTE_ Directa'!D32+'REMUNERACION_OCCIDENTE_ Directa'!N32</f>
        <v>0</v>
      </c>
      <c r="F7" s="292">
        <f>'REMUNERACION_OCCIDENTE_ Directa'!I146</f>
        <v>0</v>
      </c>
      <c r="G7" s="292">
        <f>'REMUNERACION_OCCIDENTE_ Directa'!H146</f>
        <v>0</v>
      </c>
      <c r="H7" s="340">
        <f t="shared" si="1"/>
        <v>0</v>
      </c>
      <c r="I7" s="291">
        <f>'REMUNERACION_OCCIDENTE_ Directa'!D108</f>
        <v>0</v>
      </c>
      <c r="J7" s="292">
        <f>'REMUNERACION_OCCIDENTE_ Directa'!N108</f>
        <v>0</v>
      </c>
      <c r="K7" s="292">
        <f>'REMUNERACION_OCCIDENTE_ Directa'!D129</f>
        <v>0</v>
      </c>
      <c r="L7" s="353">
        <f>'REMUNERACION_OCCIDENTE_ Directa'!E129</f>
        <v>0</v>
      </c>
      <c r="M7" s="292">
        <f>-'REMUNERACION_OCCIDENTE_ Directa'!D70-'REMUNERACION_OCCIDENTE_ Directa'!N70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Directa Occidente'!F26</f>
        <v>0</v>
      </c>
      <c r="D8" s="356">
        <v>0</v>
      </c>
      <c r="E8" s="356">
        <v>0</v>
      </c>
      <c r="F8" s="292"/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'REMUNERACION_OCCIDENTE_ Directa'!E130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Recaudo'!D10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'REMUNERACION_OCCIDENTE_ Directa'!D101</f>
        <v>46297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87">
        <f>'REMUNERACION_OCCIDENTE_ Directa'!D102</f>
        <v>0.58333333333333337</v>
      </c>
      <c r="F7" s="2" t="s">
        <v>27</v>
      </c>
      <c r="G7" s="9">
        <f>'REMUNERACION_OCCIDENTE_ Directa'!G102</f>
        <v>46281</v>
      </c>
      <c r="J7" s="2" t="s">
        <v>28</v>
      </c>
      <c r="K7" s="9">
        <f>'REMUNERACION_OCCIDENTE_ Directa'!K102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0</v>
      </c>
      <c r="E9" s="66">
        <f>'REMUNERACION_OCCIDENTE_ Directa'!E104</f>
        <v>0</v>
      </c>
      <c r="F9" s="66">
        <f>'REMUNERACION_OCCIDENTE_ Directa'!F104</f>
        <v>0</v>
      </c>
      <c r="G9" s="66">
        <f>'REMUNERACION_OCCIDENTE_ Directa'!G104</f>
        <v>0</v>
      </c>
      <c r="H9" s="66">
        <f>'REMUNERACION_OCCIDENTE_ Directa'!H104</f>
        <v>0</v>
      </c>
      <c r="I9" s="66">
        <f>'REMUNERACION_OCCIDENTE_ Directa'!I104</f>
        <v>0</v>
      </c>
      <c r="J9" s="66">
        <f>'REMUNERACION_OCCIDENTE_ Directa'!J104</f>
        <v>0</v>
      </c>
      <c r="K9" s="30">
        <f>D9-E9-F9-G9-H9-I9-J9</f>
        <v>0</v>
      </c>
      <c r="L9" s="66">
        <f>'REMUNERACION_OCCIDENTE_ Directa'!L104</f>
        <v>0</v>
      </c>
      <c r="M9" s="30">
        <f>K9-L9</f>
        <v>0</v>
      </c>
      <c r="N9" s="66">
        <f>'REMUNERACION_OCCIDENTE_ Directa'!N104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'REMUNERACION_OCCIDENTE_ Directa'!U104</f>
        <v>0</v>
      </c>
      <c r="V9" s="66">
        <f>'REMUNERACION_OCCIDENTE_ Directa'!V104</f>
        <v>0</v>
      </c>
      <c r="W9" s="66">
        <f>'REMUNERACION_OCCIDENTE_ Directa'!W104</f>
        <v>0</v>
      </c>
      <c r="X9" s="66">
        <f>'REMUNERACION_OCCIDENTE_ Directa'!X104</f>
        <v>0</v>
      </c>
      <c r="Y9" s="66">
        <f>'REMUNERACION_OCCIDENTE_ Directa'!Y104</f>
        <v>0</v>
      </c>
      <c r="Z9" s="66">
        <f>'REMUNERACION_OCCIDENTE_ Directa'!Z104</f>
        <v>0</v>
      </c>
      <c r="AA9" s="66">
        <f>'REMUNERACION_OCCIDENTE_ Directa'!AA104</f>
        <v>0</v>
      </c>
      <c r="AB9" s="66">
        <f>'REMUNERACION_OCCIDENTE_ Directa'!AB104</f>
        <v>0</v>
      </c>
      <c r="AC9" s="66">
        <f>'REMUNERACION_OCCIDENTE_ Directa'!AC104</f>
        <v>0</v>
      </c>
      <c r="AD9" s="66">
        <f>'REMUNERACION_OCCIDENTE_ Directa'!AD104</f>
        <v>0</v>
      </c>
      <c r="AE9" s="66">
        <f>'REMUNERACION_OCCIDENTE_ Directa'!AE104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0</v>
      </c>
      <c r="E10" s="66">
        <f>'REMUNERACION_OCCIDENTE_ Directa'!E105</f>
        <v>0</v>
      </c>
      <c r="F10" s="66">
        <f>'REMUNERACION_OCCIDENTE_ Directa'!F105</f>
        <v>0</v>
      </c>
      <c r="G10" s="66">
        <f>'REMUNERACION_OCCIDENTE_ Directa'!G105</f>
        <v>0</v>
      </c>
      <c r="H10" s="66">
        <f>'REMUNERACION_OCCIDENTE_ Directa'!H105</f>
        <v>0</v>
      </c>
      <c r="I10" s="66">
        <f>'REMUNERACION_OCCIDENTE_ Directa'!I105</f>
        <v>0</v>
      </c>
      <c r="J10" s="66">
        <f>'REMUNERACION_OCCIDENTE_ Directa'!J105</f>
        <v>0</v>
      </c>
      <c r="K10" s="31">
        <f t="shared" ref="K10:K13" si="0">D10-E10-F10-G10-H10-I10-J10</f>
        <v>0</v>
      </c>
      <c r="L10" s="66">
        <f>'REMUNERACION_OCCIDENTE_ Directa'!L105</f>
        <v>0</v>
      </c>
      <c r="M10" s="31">
        <f>K10-L10</f>
        <v>0</v>
      </c>
      <c r="N10" s="66">
        <f>'REMUNERACION_OCCIDENTE_ Directa'!N105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'REMUNERACION_OCCIDENTE_ Directa'!U105</f>
        <v>0</v>
      </c>
      <c r="V10" s="66">
        <f>'REMUNERACION_OCCIDENTE_ Directa'!V105</f>
        <v>0</v>
      </c>
      <c r="W10" s="66">
        <f>'REMUNERACION_OCCIDENTE_ Directa'!W105</f>
        <v>0</v>
      </c>
      <c r="X10" s="66">
        <f>'REMUNERACION_OCCIDENTE_ Directa'!X105</f>
        <v>0</v>
      </c>
      <c r="Y10" s="66">
        <f>'REMUNERACION_OCCIDENTE_ Directa'!Y105</f>
        <v>0</v>
      </c>
      <c r="Z10" s="66">
        <f>'REMUNERACION_OCCIDENTE_ Directa'!Z105</f>
        <v>0</v>
      </c>
      <c r="AA10" s="66">
        <f>'REMUNERACION_OCCIDENTE_ Directa'!AA105</f>
        <v>0</v>
      </c>
      <c r="AB10" s="66">
        <f>'REMUNERACION_OCCIDENTE_ Directa'!AB105</f>
        <v>0</v>
      </c>
      <c r="AC10" s="66">
        <f>'REMUNERACION_OCCIDENTE_ Directa'!AC105</f>
        <v>0</v>
      </c>
      <c r="AD10" s="66">
        <f>'REMUNERACION_OCCIDENTE_ Directa'!AD105</f>
        <v>0</v>
      </c>
      <c r="AE10" s="66">
        <f>'REMUNERACION_OCCIDENTE_ Directa'!AE105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0</v>
      </c>
      <c r="E11" s="66">
        <f>'REMUNERACION_OCCIDENTE_ Directa'!E106</f>
        <v>0</v>
      </c>
      <c r="F11" s="66">
        <f>'REMUNERACION_OCCIDENTE_ Directa'!F106</f>
        <v>0</v>
      </c>
      <c r="G11" s="66">
        <f>'REMUNERACION_OCCIDENTE_ Directa'!G106</f>
        <v>0</v>
      </c>
      <c r="H11" s="66">
        <f>'REMUNERACION_OCCIDENTE_ Directa'!H106</f>
        <v>0</v>
      </c>
      <c r="I11" s="66">
        <f>'REMUNERACION_OCCIDENTE_ Directa'!I106</f>
        <v>0</v>
      </c>
      <c r="J11" s="66">
        <f>'REMUNERACION_OCCIDENTE_ Directa'!J106</f>
        <v>0</v>
      </c>
      <c r="K11" s="31">
        <f t="shared" si="0"/>
        <v>0</v>
      </c>
      <c r="L11" s="66">
        <f>'REMUNERACION_OCCIDENTE_ Directa'!L106</f>
        <v>0</v>
      </c>
      <c r="M11" s="31">
        <f>K11-L11</f>
        <v>0</v>
      </c>
      <c r="N11" s="66">
        <f>'REMUNERACION_OCCIDENTE_ Directa'!N106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'REMUNERACION_OCCIDENTE_ Directa'!U106</f>
        <v>0</v>
      </c>
      <c r="V11" s="66">
        <f>'REMUNERACION_OCCIDENTE_ Directa'!V106</f>
        <v>0</v>
      </c>
      <c r="W11" s="66">
        <f>'REMUNERACION_OCCIDENTE_ Directa'!W106</f>
        <v>0</v>
      </c>
      <c r="X11" s="66">
        <f>'REMUNERACION_OCCIDENTE_ Directa'!X106</f>
        <v>0</v>
      </c>
      <c r="Y11" s="66">
        <f>'REMUNERACION_OCCIDENTE_ Directa'!Y106</f>
        <v>0</v>
      </c>
      <c r="Z11" s="66">
        <f>'REMUNERACION_OCCIDENTE_ Directa'!Z106</f>
        <v>0</v>
      </c>
      <c r="AA11" s="66">
        <f>'REMUNERACION_OCCIDENTE_ Directa'!AA106</f>
        <v>0</v>
      </c>
      <c r="AB11" s="66">
        <f>'REMUNERACION_OCCIDENTE_ Directa'!AB106</f>
        <v>0</v>
      </c>
      <c r="AC11" s="66">
        <f>'REMUNERACION_OCCIDENTE_ Directa'!AC106</f>
        <v>0</v>
      </c>
      <c r="AD11" s="66">
        <f>'REMUNERACION_OCCIDENTE_ Directa'!AD106</f>
        <v>0</v>
      </c>
      <c r="AE11" s="66">
        <f>'REMUNERACION_OCCIDENTE_ Directa'!AE106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0</v>
      </c>
      <c r="E12" s="66">
        <f>'REMUNERACION_OCCIDENTE_ Directa'!E107</f>
        <v>0</v>
      </c>
      <c r="F12" s="66">
        <f>'REMUNERACION_OCCIDENTE_ Directa'!F107</f>
        <v>0</v>
      </c>
      <c r="G12" s="66">
        <f>'REMUNERACION_OCCIDENTE_ Directa'!G107</f>
        <v>0</v>
      </c>
      <c r="H12" s="66">
        <f>'REMUNERACION_OCCIDENTE_ Directa'!H107</f>
        <v>0</v>
      </c>
      <c r="I12" s="66">
        <f>'REMUNERACION_OCCIDENTE_ Directa'!I107</f>
        <v>0</v>
      </c>
      <c r="J12" s="66">
        <f>'REMUNERACION_OCCIDENTE_ Directa'!J107</f>
        <v>0</v>
      </c>
      <c r="K12" s="31">
        <f t="shared" si="0"/>
        <v>0</v>
      </c>
      <c r="L12" s="66">
        <f>'REMUNERACION_OCCIDENTE_ Directa'!L107</f>
        <v>0</v>
      </c>
      <c r="M12" s="31">
        <f>K12-L12</f>
        <v>0</v>
      </c>
      <c r="N12" s="66">
        <f>'REMUNERACION_OCCIDENTE_ Directa'!N107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'REMUNERACION_OCCIDENTE_ Directa'!U107</f>
        <v>0</v>
      </c>
      <c r="V12" s="66">
        <f>'REMUNERACION_OCCIDENTE_ Directa'!V107</f>
        <v>0</v>
      </c>
      <c r="W12" s="66">
        <f>'REMUNERACION_OCCIDENTE_ Directa'!W107</f>
        <v>0</v>
      </c>
      <c r="X12" s="66">
        <f>'REMUNERACION_OCCIDENTE_ Directa'!X107</f>
        <v>0</v>
      </c>
      <c r="Y12" s="66">
        <f>'REMUNERACION_OCCIDENTE_ Directa'!Y107</f>
        <v>0</v>
      </c>
      <c r="Z12" s="66">
        <f>'REMUNERACION_OCCIDENTE_ Directa'!Z107</f>
        <v>0</v>
      </c>
      <c r="AA12" s="66">
        <f>'REMUNERACION_OCCIDENTE_ Directa'!AA107</f>
        <v>0</v>
      </c>
      <c r="AB12" s="66">
        <f>'REMUNERACION_OCCIDENTE_ Directa'!AB107</f>
        <v>0</v>
      </c>
      <c r="AC12" s="66">
        <f>'REMUNERACION_OCCIDENTE_ Directa'!AC107</f>
        <v>0</v>
      </c>
      <c r="AD12" s="66">
        <f>'REMUNERACION_OCCIDENTE_ Directa'!AD107</f>
        <v>0</v>
      </c>
      <c r="AE12" s="66">
        <f>'REMUNERACION_OCCIDENTE_ Directa'!AE107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0</v>
      </c>
      <c r="E13" s="66">
        <f>'REMUNERACION_OCCIDENTE_ Directa'!E108</f>
        <v>0</v>
      </c>
      <c r="F13" s="66">
        <f>'REMUNERACION_OCCIDENTE_ Directa'!F108</f>
        <v>0</v>
      </c>
      <c r="G13" s="66">
        <f>'REMUNERACION_OCCIDENTE_ Directa'!G108</f>
        <v>0</v>
      </c>
      <c r="H13" s="66">
        <f>'REMUNERACION_OCCIDENTE_ Directa'!H108</f>
        <v>0</v>
      </c>
      <c r="I13" s="66">
        <f>'REMUNERACION_OCCIDENTE_ Directa'!I108</f>
        <v>0</v>
      </c>
      <c r="J13" s="66">
        <f>'REMUNERACION_OCCIDENTE_ Directa'!J108</f>
        <v>0</v>
      </c>
      <c r="K13" s="31">
        <f t="shared" si="0"/>
        <v>0</v>
      </c>
      <c r="L13" s="66">
        <f>'REMUNERACION_OCCIDENTE_ Directa'!L108</f>
        <v>0</v>
      </c>
      <c r="M13" s="40">
        <f>K13-L13</f>
        <v>0</v>
      </c>
      <c r="N13" s="66">
        <f>'REMUNERACION_OCCIDENTE_ Directa'!N108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'REMUNERACION_OCCIDENTE_ Directa'!U108</f>
        <v>0</v>
      </c>
      <c r="V13" s="66">
        <f>'REMUNERACION_OCCIDENTE_ Directa'!V108</f>
        <v>0</v>
      </c>
      <c r="W13" s="66">
        <f>'REMUNERACION_OCCIDENTE_ Directa'!W108</f>
        <v>0</v>
      </c>
      <c r="X13" s="66">
        <f>'REMUNERACION_OCCIDENTE_ Directa'!X108</f>
        <v>0</v>
      </c>
      <c r="Y13" s="66">
        <f>'REMUNERACION_OCCIDENTE_ Directa'!Y108</f>
        <v>0</v>
      </c>
      <c r="Z13" s="66">
        <f>'REMUNERACION_OCCIDENTE_ Directa'!Z108</f>
        <v>0</v>
      </c>
      <c r="AA13" s="66">
        <f>'REMUNERACION_OCCIDENTE_ Directa'!AA108</f>
        <v>0</v>
      </c>
      <c r="AB13" s="66">
        <f>'REMUNERACION_OCCIDENTE_ Directa'!AB108</f>
        <v>0</v>
      </c>
      <c r="AC13" s="66">
        <f>'REMUNERACION_OCCIDENTE_ Directa'!AC108</f>
        <v>0</v>
      </c>
      <c r="AD13" s="66">
        <f>'REMUNERACION_OCCIDENTE_ Directa'!AD108</f>
        <v>0</v>
      </c>
      <c r="AE13" s="66">
        <f>'REMUNERACION_OCCIDENTE_ Directa'!AE108</f>
        <v>0</v>
      </c>
      <c r="AF13" s="70">
        <f>SUM(U13:AD13)</f>
        <v>0</v>
      </c>
      <c r="AG13" s="369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119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46281</v>
      </c>
      <c r="J27" s="2" t="s">
        <v>28</v>
      </c>
      <c r="K27" s="9">
        <f>'REMUNERACION_OCCIDENTE_ Directa'!K122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'REMUNERACION_OCCIDENTE_ Directa'!D125</f>
        <v>0</v>
      </c>
      <c r="E30" s="111">
        <f>'REMUNERACION_OCCIDENTE_ Directa'!E125</f>
        <v>0</v>
      </c>
      <c r="G30" s="336">
        <f>'REMUNERACION_OCCIDENTE_ Directa'!G125</f>
        <v>0</v>
      </c>
      <c r="H30" s="310">
        <f>'REMUNERACION_OCCIDENTE_ Directa'!H125</f>
        <v>0</v>
      </c>
      <c r="I30" s="309">
        <f>'REMUNERACION_OCCIDENTE_ Directa'!I125</f>
        <v>0</v>
      </c>
      <c r="J30" s="309">
        <f>'REMUNERACION_OCCIDENTE_ Directa'!J125</f>
        <v>0</v>
      </c>
      <c r="K30" s="309">
        <f>'REMUNERACION_OCCIDENTE_ Directa'!K125</f>
        <v>0</v>
      </c>
      <c r="L30" s="309">
        <f>'REMUNERACION_OCCIDENTE_ Directa'!L125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0</v>
      </c>
      <c r="E31" s="74">
        <f>'REMUNERACION_OCCIDENTE_ Directa'!E126</f>
        <v>0</v>
      </c>
      <c r="G31" s="339">
        <f>'REMUNERACION_OCCIDENTE_ Directa'!G126</f>
        <v>0</v>
      </c>
      <c r="H31" s="340">
        <f>'REMUNERACION_OCCIDENTE_ Directa'!H126</f>
        <v>0</v>
      </c>
      <c r="I31" s="288">
        <f>'REMUNERACION_OCCIDENTE_ Directa'!I126</f>
        <v>0</v>
      </c>
      <c r="J31" s="288">
        <f>'REMUNERACION_OCCIDENTE_ Directa'!J126</f>
        <v>0</v>
      </c>
      <c r="K31" s="288">
        <f>'REMUNERACION_OCCIDENTE_ Directa'!K126</f>
        <v>0</v>
      </c>
      <c r="L31" s="288">
        <f>'REMUNERACION_OCCIDENTE_ Directa'!L126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0</v>
      </c>
      <c r="E32" s="74">
        <f>'REMUNERACION_OCCIDENTE_ Directa'!E127</f>
        <v>0</v>
      </c>
      <c r="G32" s="339">
        <f>'REMUNERACION_OCCIDENTE_ Directa'!G127</f>
        <v>0</v>
      </c>
      <c r="H32" s="340">
        <f>'REMUNERACION_OCCIDENTE_ Directa'!H127</f>
        <v>0</v>
      </c>
      <c r="I32" s="288">
        <f>'REMUNERACION_OCCIDENTE_ Directa'!I127</f>
        <v>0</v>
      </c>
      <c r="J32" s="288">
        <f>'REMUNERACION_OCCIDENTE_ Directa'!J127</f>
        <v>0</v>
      </c>
      <c r="K32" s="288">
        <f>'REMUNERACION_OCCIDENTE_ Directa'!K127</f>
        <v>0</v>
      </c>
      <c r="L32" s="288">
        <f>'REMUNERACION_OCCIDENTE_ Directa'!L127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0</v>
      </c>
      <c r="E33" s="74">
        <f>'REMUNERACION_OCCIDENTE_ Directa'!E128</f>
        <v>0</v>
      </c>
      <c r="G33" s="339">
        <f>'REMUNERACION_OCCIDENTE_ Directa'!G128</f>
        <v>0</v>
      </c>
      <c r="H33" s="340">
        <f>'REMUNERACION_OCCIDENTE_ Directa'!H128</f>
        <v>0</v>
      </c>
      <c r="I33" s="288">
        <f>'REMUNERACION_OCCIDENTE_ Directa'!I128</f>
        <v>0</v>
      </c>
      <c r="J33" s="288">
        <f>'REMUNERACION_OCCIDENTE_ Directa'!J128</f>
        <v>0</v>
      </c>
      <c r="K33" s="288">
        <f>'REMUNERACION_OCCIDENTE_ Directa'!K128</f>
        <v>0</v>
      </c>
      <c r="L33" s="288">
        <f>'REMUNERACION_OCCIDENTE_ Directa'!L128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'REMUNERACION_OCCIDENTE_ Directa'!D129</f>
        <v>0</v>
      </c>
      <c r="E34" s="139">
        <f>'REMUNERACION_OCCIDENTE_ Directa'!E129</f>
        <v>0</v>
      </c>
      <c r="G34" s="339">
        <f>'REMUNERACION_OCCIDENTE_ Directa'!G129</f>
        <v>0</v>
      </c>
      <c r="H34" s="340">
        <f>'REMUNERACION_OCCIDENTE_ Directa'!H129</f>
        <v>0</v>
      </c>
      <c r="I34" s="288">
        <f>'REMUNERACION_OCCIDENTE_ Directa'!I129</f>
        <v>0</v>
      </c>
      <c r="J34" s="288">
        <f>'REMUNERACION_OCCIDENTE_ Directa'!J129</f>
        <v>0</v>
      </c>
      <c r="K34" s="288">
        <f>'REMUNERACION_OCCIDENTE_ Directa'!K129</f>
        <v>0</v>
      </c>
      <c r="L34" s="288">
        <f>'REMUNERACION_OCCIDENTE_ Directa'!L129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119</v>
      </c>
      <c r="D36" s="107">
        <f t="shared" ref="D36" si="5">SUM(D30:D34)</f>
        <v>0</v>
      </c>
      <c r="E36" s="107">
        <f>'REMUNERACION_OCCIDENTE_ Directa'!E131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D14='REMUNERACION_OCCIDENTE_ Directa'!D109</f>
        <v>1</v>
      </c>
      <c r="E44" s="267" t="b">
        <f>E14='REMUNERACION_OCCIDENTE_ Directa'!E109</f>
        <v>1</v>
      </c>
      <c r="F44" s="267" t="b">
        <f>F14='REMUNERACION_OCCIDENTE_ Directa'!F109</f>
        <v>1</v>
      </c>
      <c r="G44" s="267" t="b">
        <f>G14='REMUNERACION_OCCIDENTE_ Directa'!G109</f>
        <v>1</v>
      </c>
      <c r="H44" s="267" t="b">
        <f>H14='REMUNERACION_OCCIDENTE_ Directa'!H109</f>
        <v>1</v>
      </c>
      <c r="I44" s="267" t="b">
        <f>I14='REMUNERACION_OCCIDENTE_ Directa'!I109</f>
        <v>1</v>
      </c>
      <c r="J44" s="267" t="b">
        <f>J14='REMUNERACION_OCCIDENTE_ Directa'!J109</f>
        <v>1</v>
      </c>
      <c r="K44" s="267" t="b">
        <f>K14='REMUNERACION_OCCIDENTE_ Directa'!K109</f>
        <v>1</v>
      </c>
      <c r="L44" s="267" t="b">
        <f>L14='REMUNERACION_OCCIDENTE_ Directa'!L109</f>
        <v>1</v>
      </c>
      <c r="M44" s="267" t="b">
        <f>M14='REMUNERACION_OCCIDENTE_ Directa'!M109</f>
        <v>1</v>
      </c>
      <c r="N44" s="267" t="b">
        <f>N14='REMUNERACION_OCCIDENTE_ Directa'!N109</f>
        <v>1</v>
      </c>
      <c r="O44" s="267" t="b">
        <f>O14='REMUNERACION_OCCIDENTE_ Directa'!O109</f>
        <v>1</v>
      </c>
      <c r="Q44" s="24"/>
      <c r="T44" s="24"/>
    </row>
    <row r="45" spans="1:20" x14ac:dyDescent="0.2">
      <c r="D45" s="267" t="b">
        <f>D36='REMUNERACION_OCCIDENTE_ Directa'!D131</f>
        <v>1</v>
      </c>
      <c r="E45" s="267" t="b">
        <f>E36='REMUNERACION_OCCIDENTE_ Directa'!E131</f>
        <v>1</v>
      </c>
      <c r="F45" s="267" t="b">
        <f>F36='REMUNERACION_OCCIDENTE_ Directa'!F131</f>
        <v>1</v>
      </c>
      <c r="G45" s="267" t="b">
        <f>G36='REMUNERACION_OCCIDENTE_ Directa'!G131</f>
        <v>1</v>
      </c>
      <c r="H45" s="267" t="b">
        <f>H36='REMUNERACION_OCCIDENTE_ Directa'!H131</f>
        <v>1</v>
      </c>
      <c r="I45" s="267" t="b">
        <f>I36='REMUNERACION_OCCIDENTE_ Directa'!I131</f>
        <v>1</v>
      </c>
      <c r="J45" s="267" t="b">
        <f>J36='REMUNERACION_OCCIDENTE_ Directa'!J131</f>
        <v>1</v>
      </c>
      <c r="K45" s="267" t="b">
        <f>K36='REMUNERACION_OCCIDENTE_ Directa'!K131</f>
        <v>1</v>
      </c>
      <c r="L45" s="267" t="b">
        <f>L36='REMUNERACION_OCCIDENTE_ Directa'!L131</f>
        <v>1</v>
      </c>
      <c r="M45" s="267" t="b">
        <f>M36='REMUNERACION_OCCIDENTE_ Directa'!M131</f>
        <v>1</v>
      </c>
      <c r="N45" s="267" t="b">
        <f>N36='REMUNERACION_OCCIDENTE_ Directa'!N131</f>
        <v>1</v>
      </c>
      <c r="O45" s="267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5" zoomScaleNormal="100" workbookViewId="0">
      <selection activeCell="A95" sqref="A95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R1'!F114</f>
        <v>0</v>
      </c>
      <c r="E9" s="292">
        <f>'Reporte Componentes R1'!G114</f>
        <v>0</v>
      </c>
      <c r="F9" s="292">
        <f>'Reporte Componentes R1'!H114</f>
        <v>0</v>
      </c>
      <c r="G9" s="292">
        <f>'Reporte Componentes R1'!I114</f>
        <v>0</v>
      </c>
      <c r="H9" s="292">
        <f>'Reporte Componentes R1'!J114</f>
        <v>0</v>
      </c>
      <c r="I9" s="292">
        <f>'Reporte Componentes R1'!K114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R1'!L114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R1'!M114</f>
        <v>0</v>
      </c>
      <c r="V9" s="308">
        <f>'Reporte Componentes R1'!N114</f>
        <v>0</v>
      </c>
      <c r="W9" s="308">
        <f>'Reporte Componentes R1'!O114</f>
        <v>0</v>
      </c>
      <c r="X9" s="308">
        <f>'Reporte Componentes R1'!P114</f>
        <v>0</v>
      </c>
      <c r="Y9" s="309">
        <f>'Reporte Componentes R1'!Q114</f>
        <v>0</v>
      </c>
      <c r="Z9" s="310">
        <f>L9*-1</f>
        <v>0</v>
      </c>
      <c r="AA9" s="311">
        <f>'Reporte Componentes R1'!R114+'Reporte Componentes R1'!S114</f>
        <v>0</v>
      </c>
      <c r="AB9" s="294">
        <f>N9</f>
        <v>0</v>
      </c>
      <c r="AC9" s="311">
        <f>'Reporte Componentes R1'!Z114</f>
        <v>0</v>
      </c>
      <c r="AD9" s="291">
        <f>-J9+AE9</f>
        <v>0</v>
      </c>
      <c r="AE9" s="291">
        <f>'Reporte Componentes R1'!F115</f>
        <v>0</v>
      </c>
      <c r="AF9" s="313">
        <f>SUM(U9:AD9)</f>
        <v>0</v>
      </c>
      <c r="AG9" s="31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R1'!F348</f>
        <v>0</v>
      </c>
      <c r="E10" s="292">
        <f>'Reporte Componentes R1'!G348</f>
        <v>0</v>
      </c>
      <c r="F10" s="292">
        <f>'Reporte Componentes R1'!H348</f>
        <v>0</v>
      </c>
      <c r="G10" s="292">
        <f>'Reporte Componentes R1'!I348</f>
        <v>0</v>
      </c>
      <c r="H10" s="292">
        <f>'Reporte Componentes R1'!J348</f>
        <v>0</v>
      </c>
      <c r="I10" s="292">
        <f>'Reporte Componentes R1'!K348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R1'!L348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R1'!M348</f>
        <v>0</v>
      </c>
      <c r="V10" s="317">
        <f>'Reporte Componentes R1'!N348</f>
        <v>0</v>
      </c>
      <c r="W10" s="317">
        <f>'Reporte Componentes R1'!O348</f>
        <v>0</v>
      </c>
      <c r="X10" s="317">
        <f>'Reporte Componentes R1'!P348</f>
        <v>0</v>
      </c>
      <c r="Y10" s="318">
        <f>'Reporte Componentes R1'!Q348</f>
        <v>0</v>
      </c>
      <c r="Z10" s="319">
        <f>L10*-1</f>
        <v>0</v>
      </c>
      <c r="AA10" s="320">
        <f>'Reporte Componentes R1'!R348+'Reporte Componentes R1'!S348+'Reporte Componentes R1'!T348</f>
        <v>0</v>
      </c>
      <c r="AB10" s="294">
        <f>N10</f>
        <v>0</v>
      </c>
      <c r="AC10" s="320">
        <f>'Reporte Componentes R1'!Z348</f>
        <v>0</v>
      </c>
      <c r="AD10" s="291">
        <f t="shared" ref="AD10:AD13" si="2">-J10+AE10</f>
        <v>0</v>
      </c>
      <c r="AE10" s="291">
        <f>'Reporte Componentes R1'!F349</f>
        <v>0</v>
      </c>
      <c r="AF10" s="322">
        <f>SUM(U10:AD10)</f>
        <v>0</v>
      </c>
      <c r="AG10" s="323">
        <f>(AF10-O10)</f>
        <v>0</v>
      </c>
      <c r="AH10" s="305" t="b">
        <f t="shared" ref="AH10:AH13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R1'!F509</f>
        <v>0</v>
      </c>
      <c r="E11" s="292">
        <f>'Reporte Componentes R1'!G509</f>
        <v>0</v>
      </c>
      <c r="F11" s="292">
        <f>'Reporte Componentes R1'!H509</f>
        <v>0</v>
      </c>
      <c r="G11" s="292">
        <f>'Reporte Componentes R1'!I509</f>
        <v>0</v>
      </c>
      <c r="H11" s="292">
        <f>'Reporte Componentes R1'!J509</f>
        <v>0</v>
      </c>
      <c r="I11" s="292">
        <f>'Reporte Componentes R1'!K509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R1'!L509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R1'!M509</f>
        <v>0</v>
      </c>
      <c r="V11" s="317">
        <f>'Reporte Componentes R1'!N509</f>
        <v>0</v>
      </c>
      <c r="W11" s="317">
        <f>'Reporte Componentes R1'!O509</f>
        <v>0</v>
      </c>
      <c r="X11" s="317">
        <f>'Reporte Componentes R1'!P509</f>
        <v>0</v>
      </c>
      <c r="Y11" s="318">
        <f>'Reporte Componentes R1'!Q509</f>
        <v>0</v>
      </c>
      <c r="Z11" s="319">
        <f>L11*-1</f>
        <v>0</v>
      </c>
      <c r="AA11" s="320">
        <f>'Reporte Componentes R1'!R509+'Reporte Componentes R1'!S509+'Reporte Componentes R1'!T509</f>
        <v>0</v>
      </c>
      <c r="AB11" s="294">
        <f>N11</f>
        <v>0</v>
      </c>
      <c r="AC11" s="320">
        <f>'Reporte Componentes R1'!X509</f>
        <v>0</v>
      </c>
      <c r="AD11" s="291">
        <f t="shared" si="2"/>
        <v>0</v>
      </c>
      <c r="AE11" s="291">
        <f>'Reporte Componentes R1'!F510</f>
        <v>0</v>
      </c>
      <c r="AF11" s="322">
        <f t="shared" ref="AF11:AF13" si="4">SUM(U11:AD11)</f>
        <v>0</v>
      </c>
      <c r="AG11" s="323">
        <f>(AF11-O11)</f>
        <v>0</v>
      </c>
      <c r="AH11" s="305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R1'!F717</f>
        <v>0</v>
      </c>
      <c r="E12" s="292">
        <f>'Reporte Componentes R1'!G717</f>
        <v>0</v>
      </c>
      <c r="F12" s="292">
        <f>'Reporte Componentes R1'!H717</f>
        <v>0</v>
      </c>
      <c r="G12" s="292">
        <f>'Reporte Componentes R1'!I717</f>
        <v>0</v>
      </c>
      <c r="H12" s="292">
        <f>'Reporte Componentes R1'!J717</f>
        <v>0</v>
      </c>
      <c r="I12" s="292">
        <f>'Reporte Componentes R1'!K717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R1'!L717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R1'!M717</f>
        <v>0</v>
      </c>
      <c r="V12" s="317">
        <f>'Reporte Componentes R1'!N717</f>
        <v>0</v>
      </c>
      <c r="W12" s="317">
        <f>'Reporte Componentes R1'!O717</f>
        <v>0</v>
      </c>
      <c r="X12" s="317">
        <f>'Reporte Componentes R1'!P717</f>
        <v>0</v>
      </c>
      <c r="Y12" s="318">
        <f>'Reporte Componentes R1'!Q717</f>
        <v>0</v>
      </c>
      <c r="Z12" s="319">
        <f>L12*-1</f>
        <v>0</v>
      </c>
      <c r="AA12" s="320">
        <f>'Reporte Componentes R1'!R717+'Reporte Componentes R1'!S717</f>
        <v>0</v>
      </c>
      <c r="AB12" s="294">
        <f>N12</f>
        <v>0</v>
      </c>
      <c r="AC12" s="320">
        <f>'Reporte Componentes R1'!X717</f>
        <v>0</v>
      </c>
      <c r="AD12" s="291">
        <f t="shared" si="2"/>
        <v>0</v>
      </c>
      <c r="AE12" s="291">
        <f>'Reporte Componentes R1'!F718</f>
        <v>0</v>
      </c>
      <c r="AF12" s="322">
        <f t="shared" si="4"/>
        <v>0</v>
      </c>
      <c r="AG12" s="323">
        <f>(AF12-O12)</f>
        <v>0</v>
      </c>
      <c r="AH12" s="305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R1'!F836</f>
        <v>0</v>
      </c>
      <c r="E13" s="297">
        <f>'Reporte Componentes R1'!G836</f>
        <v>0</v>
      </c>
      <c r="F13" s="297">
        <f>'Reporte Componentes R1'!H836</f>
        <v>0</v>
      </c>
      <c r="G13" s="297">
        <f>'Reporte Componentes R1'!I836</f>
        <v>0</v>
      </c>
      <c r="H13" s="297">
        <f>'Reporte Componentes R1'!J836</f>
        <v>0</v>
      </c>
      <c r="I13" s="297">
        <f>'Reporte Componentes R1'!K836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R1'!L836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R1'!M836</f>
        <v>0</v>
      </c>
      <c r="V13" s="297">
        <f>'Reporte Componentes R1'!N836</f>
        <v>0</v>
      </c>
      <c r="W13" s="297">
        <f>'Reporte Componentes R1'!O836</f>
        <v>0</v>
      </c>
      <c r="X13" s="297">
        <f>'Reporte Componentes R1'!P836</f>
        <v>0</v>
      </c>
      <c r="Y13" s="289">
        <f>'Reporte Componentes R1'!Q836</f>
        <v>0</v>
      </c>
      <c r="Z13" s="319">
        <f>L13*-1</f>
        <v>0</v>
      </c>
      <c r="AA13" s="320">
        <f>'Reporte Componentes R1'!R836+'Reporte Componentes R1'!S836+'Reporte Componentes R1'!T836</f>
        <v>0</v>
      </c>
      <c r="AB13" s="294">
        <f>N13</f>
        <v>0</v>
      </c>
      <c r="AC13" s="320">
        <f>'Reporte Componentes R1'!X836</f>
        <v>0</v>
      </c>
      <c r="AD13" s="291">
        <f t="shared" si="2"/>
        <v>0</v>
      </c>
      <c r="AE13" s="291">
        <f>'Reporte Componentes R1'!F837</f>
        <v>0</v>
      </c>
      <c r="AF13" s="322">
        <f t="shared" si="4"/>
        <v>0</v>
      </c>
      <c r="AG13" s="326">
        <f>(AF13-O13)</f>
        <v>0</v>
      </c>
      <c r="AH13" s="305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R2'!E72</f>
        <v>0</v>
      </c>
      <c r="E28" s="292">
        <f>'Rem. Anticipos R2'!F72</f>
        <v>0</v>
      </c>
      <c r="F28" s="292">
        <f>'Rem. Anticipos R2'!G72</f>
        <v>0</v>
      </c>
      <c r="G28" s="292">
        <f>'Rem. Anticipos R2'!H72</f>
        <v>0</v>
      </c>
      <c r="H28" s="292">
        <f>'Rem. Anticipos R2'!I72</f>
        <v>0</v>
      </c>
      <c r="I28" s="292">
        <f>'Rem. Anticipos R2'!J72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R2'!K72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R2'!L72</f>
        <v>0</v>
      </c>
      <c r="V28" s="308">
        <f>'Rem. Anticipos R2'!M72</f>
        <v>0</v>
      </c>
      <c r="W28" s="308">
        <f>'Rem. Anticipos R2'!N72</f>
        <v>0</v>
      </c>
      <c r="X28" s="308">
        <f>'Rem. Anticipos R2'!O72</f>
        <v>0</v>
      </c>
      <c r="Y28" s="308">
        <f>'Rem. Anticipos R2'!P72</f>
        <v>0</v>
      </c>
      <c r="Z28" s="310">
        <f>L28*-1</f>
        <v>0</v>
      </c>
      <c r="AA28" s="311">
        <f>'Rem. Anticipos R2'!Q72</f>
        <v>0</v>
      </c>
      <c r="AB28" s="294">
        <f>N28</f>
        <v>0</v>
      </c>
      <c r="AC28" s="311">
        <v>0</v>
      </c>
      <c r="AD28" s="291">
        <f>-J28+AE28</f>
        <v>0</v>
      </c>
      <c r="AE28" s="291">
        <f>'Rem. Anticipos R2'!E73</f>
        <v>0</v>
      </c>
      <c r="AF28" s="313">
        <f>SUM(U28:AD28)</f>
        <v>0</v>
      </c>
      <c r="AG28" s="31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R2'!E193</f>
        <v>0</v>
      </c>
      <c r="E29" s="292">
        <f>'Rem. Anticipos R2'!F193</f>
        <v>0</v>
      </c>
      <c r="F29" s="292">
        <f>'Rem. Anticipos R2'!G193</f>
        <v>0</v>
      </c>
      <c r="G29" s="292">
        <f>'Rem. Anticipos R2'!H193</f>
        <v>0</v>
      </c>
      <c r="H29" s="292">
        <f>'Rem. Anticipos R2'!I193</f>
        <v>0</v>
      </c>
      <c r="I29" s="292">
        <f>'Rem. Anticipos R2'!J193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R2'!K193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R2'!L193</f>
        <v>0</v>
      </c>
      <c r="V29" s="317">
        <f>'Rem. Anticipos R2'!M193</f>
        <v>0</v>
      </c>
      <c r="W29" s="317">
        <f>'Rem. Anticipos R2'!N193</f>
        <v>0</v>
      </c>
      <c r="X29" s="317">
        <f>'Rem. Anticipos R2'!O193</f>
        <v>0</v>
      </c>
      <c r="Y29" s="318">
        <f>'Rem. Anticipos R2'!P193</f>
        <v>0</v>
      </c>
      <c r="Z29" s="319">
        <f>L29*-1</f>
        <v>0</v>
      </c>
      <c r="AA29" s="320">
        <f>'Rem. Anticipos R2'!Q193</f>
        <v>0</v>
      </c>
      <c r="AB29" s="294">
        <f>N29</f>
        <v>0</v>
      </c>
      <c r="AC29" s="320">
        <v>0</v>
      </c>
      <c r="AD29" s="291">
        <f>-J29+AE29</f>
        <v>0</v>
      </c>
      <c r="AE29" s="291">
        <f>'Rem. Anticipos R2'!E194</f>
        <v>0</v>
      </c>
      <c r="AF29" s="322">
        <f>SUM(U29:AD29)</f>
        <v>0</v>
      </c>
      <c r="AG29" s="323">
        <f>(AF29-O29)</f>
        <v>0</v>
      </c>
      <c r="AH29" s="305" t="b">
        <f t="shared" ref="AH29:AH32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R2'!E314</f>
        <v>0</v>
      </c>
      <c r="E30" s="292">
        <f>'Rem. Anticipos R2'!F314</f>
        <v>0</v>
      </c>
      <c r="F30" s="292">
        <f>'Rem. Anticipos R2'!G314</f>
        <v>0</v>
      </c>
      <c r="G30" s="292">
        <f>'Rem. Anticipos R2'!H314</f>
        <v>0</v>
      </c>
      <c r="H30" s="292">
        <f>'Rem. Anticipos R2'!I314</f>
        <v>0</v>
      </c>
      <c r="I30" s="292">
        <f>'Rem. Anticipos R2'!J314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R2'!K314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R2'!L314</f>
        <v>0</v>
      </c>
      <c r="V30" s="317">
        <f>'Rem. Anticipos R2'!M314</f>
        <v>0</v>
      </c>
      <c r="W30" s="317">
        <f>'Rem. Anticipos R2'!N314</f>
        <v>0</v>
      </c>
      <c r="X30" s="317">
        <f>'Rem. Anticipos R2'!O314</f>
        <v>0</v>
      </c>
      <c r="Y30" s="318">
        <f>'Rem. Anticipos R2'!P314</f>
        <v>0</v>
      </c>
      <c r="Z30" s="319">
        <f>L30*-1</f>
        <v>0</v>
      </c>
      <c r="AA30" s="320">
        <f>'Rem. Anticipos R2'!Q314</f>
        <v>0</v>
      </c>
      <c r="AB30" s="294">
        <f>N30</f>
        <v>0</v>
      </c>
      <c r="AC30" s="320">
        <v>0</v>
      </c>
      <c r="AD30" s="291">
        <f t="shared" ref="AD30:AD32" si="10">-J30+AE30</f>
        <v>0</v>
      </c>
      <c r="AE30" s="291">
        <f>'Rem. Anticipos R2'!E315</f>
        <v>0</v>
      </c>
      <c r="AF30" s="322">
        <f>SUM(U30:AD30)</f>
        <v>0</v>
      </c>
      <c r="AG30" s="323">
        <f>(AF30-O30)</f>
        <v>0</v>
      </c>
      <c r="AH30" s="305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R2'!E438</f>
        <v>0</v>
      </c>
      <c r="E31" s="292">
        <f>'Rem. Anticipos R2'!F438</f>
        <v>0</v>
      </c>
      <c r="F31" s="292">
        <f>'Rem. Anticipos R2'!G438</f>
        <v>0</v>
      </c>
      <c r="G31" s="292">
        <f>'Rem. Anticipos R2'!H438</f>
        <v>0</v>
      </c>
      <c r="H31" s="292">
        <f>'Rem. Anticipos R2'!I438</f>
        <v>0</v>
      </c>
      <c r="I31" s="292">
        <f>'Rem. Anticipos R2'!J438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R2'!K438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R2'!L438</f>
        <v>0</v>
      </c>
      <c r="V31" s="317">
        <f>'Rem. Anticipos R2'!M438</f>
        <v>0</v>
      </c>
      <c r="W31" s="317">
        <f>'Rem. Anticipos R2'!N438</f>
        <v>0</v>
      </c>
      <c r="X31" s="317">
        <f>'Rem. Anticipos R2'!O438</f>
        <v>0</v>
      </c>
      <c r="Y31" s="318">
        <f>'Rem. Anticipos R2'!P438</f>
        <v>0</v>
      </c>
      <c r="Z31" s="319">
        <f>L31*-1</f>
        <v>0</v>
      </c>
      <c r="AA31" s="320">
        <f>'Rem. Anticipos R2'!Q438</f>
        <v>0</v>
      </c>
      <c r="AB31" s="294">
        <f>N31</f>
        <v>0</v>
      </c>
      <c r="AC31" s="320">
        <v>0</v>
      </c>
      <c r="AD31" s="291">
        <f t="shared" si="10"/>
        <v>0</v>
      </c>
      <c r="AE31" s="291">
        <f>'Rem. Anticipos R2'!E439</f>
        <v>0</v>
      </c>
      <c r="AF31" s="322">
        <f>SUM(U31:AD31)</f>
        <v>0</v>
      </c>
      <c r="AG31" s="323">
        <f t="shared" ref="AG31" si="11">(AF31-O31)</f>
        <v>0</v>
      </c>
      <c r="AH31" s="305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R2'!E525</f>
        <v>0</v>
      </c>
      <c r="E32" s="297">
        <f>'Rem. Anticipos R2'!F525</f>
        <v>0</v>
      </c>
      <c r="F32" s="297">
        <f>'Rem. Anticipos R2'!G525</f>
        <v>0</v>
      </c>
      <c r="G32" s="297">
        <f>'Rem. Anticipos R2'!H525</f>
        <v>0</v>
      </c>
      <c r="H32" s="297">
        <f>'Rem. Anticipos R2'!I525</f>
        <v>0</v>
      </c>
      <c r="I32" s="297">
        <f>'Rem. Anticipos R2'!J525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R2'!K525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R2'!L525</f>
        <v>0</v>
      </c>
      <c r="V32" s="297">
        <f>'Rem. Anticipos R2'!M525</f>
        <v>0</v>
      </c>
      <c r="W32" s="297">
        <f>'Rem. Anticipos R2'!N525</f>
        <v>0</v>
      </c>
      <c r="X32" s="297">
        <f>'Rem. Anticipos R2'!O525</f>
        <v>0</v>
      </c>
      <c r="Y32" s="289">
        <f>'Rem. Anticipos R2'!P525</f>
        <v>0</v>
      </c>
      <c r="Z32" s="319">
        <f>L32*-1</f>
        <v>0</v>
      </c>
      <c r="AA32" s="320">
        <f>'Rem. Anticipos R2'!Q525</f>
        <v>0</v>
      </c>
      <c r="AB32" s="294">
        <f>N32</f>
        <v>0</v>
      </c>
      <c r="AC32" s="320">
        <v>0</v>
      </c>
      <c r="AD32" s="291">
        <f t="shared" si="10"/>
        <v>0</v>
      </c>
      <c r="AE32" s="291">
        <f>'Rem. Anticipos R2'!E526</f>
        <v>0</v>
      </c>
      <c r="AF32" s="322">
        <f>SUM(U32:AD32)</f>
        <v>0</v>
      </c>
      <c r="AG32" s="326">
        <f>(AF32-O32)</f>
        <v>0</v>
      </c>
      <c r="AH32" s="305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R1'!F116</f>
        <v>0</v>
      </c>
      <c r="E47" s="292">
        <f>'Reporte Componentes R1'!G116</f>
        <v>0</v>
      </c>
      <c r="F47" s="292">
        <f>'Reporte Componentes R1'!H116</f>
        <v>0</v>
      </c>
      <c r="G47" s="292">
        <f>'Reporte Componentes R1'!I116</f>
        <v>0</v>
      </c>
      <c r="H47" s="292">
        <f>'Reporte Componentes R1'!J116</f>
        <v>0</v>
      </c>
      <c r="I47" s="292">
        <f>'Reporte Componentes R1'!K116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R1'!L116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R1'!M116</f>
        <v>0</v>
      </c>
      <c r="V47" s="308">
        <f>'Reporte Componentes R1'!N116</f>
        <v>0</v>
      </c>
      <c r="W47" s="308">
        <f>'Reporte Componentes R1'!O116</f>
        <v>0</v>
      </c>
      <c r="X47" s="308">
        <f>'Reporte Componentes R1'!P116</f>
        <v>0</v>
      </c>
      <c r="Y47" s="309">
        <f>'Reporte Componentes R1'!Q116</f>
        <v>0</v>
      </c>
      <c r="Z47" s="310">
        <f>-L47</f>
        <v>0</v>
      </c>
      <c r="AA47" s="311">
        <f>'Reporte Componentes R1'!R116+'Reporte Componentes R1'!S116</f>
        <v>0</v>
      </c>
      <c r="AB47" s="294">
        <f>N47</f>
        <v>0</v>
      </c>
      <c r="AC47" s="311">
        <v>0</v>
      </c>
      <c r="AD47" s="291">
        <f>-J47+AE47</f>
        <v>0</v>
      </c>
      <c r="AE47" s="291">
        <f>'Reporte Componentes R1'!F117</f>
        <v>0</v>
      </c>
      <c r="AF47" s="313">
        <f>SUM(U47:AD47)</f>
        <v>0</v>
      </c>
      <c r="AG47" s="31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R1'!F350</f>
        <v>0</v>
      </c>
      <c r="E48" s="292">
        <f>'Reporte Componentes R1'!G350</f>
        <v>0</v>
      </c>
      <c r="F48" s="292">
        <f>'Reporte Componentes R1'!H350</f>
        <v>0</v>
      </c>
      <c r="G48" s="292">
        <f>'Reporte Componentes R1'!I350</f>
        <v>0</v>
      </c>
      <c r="H48" s="292">
        <f>'Reporte Componentes R1'!J350</f>
        <v>0</v>
      </c>
      <c r="I48" s="292">
        <f>'Reporte Componentes R1'!K350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R1'!L350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R1'!M350</f>
        <v>0</v>
      </c>
      <c r="V48" s="317">
        <f>'Reporte Componentes R1'!N350</f>
        <v>0</v>
      </c>
      <c r="W48" s="317">
        <f>'Reporte Componentes R1'!O350</f>
        <v>0</v>
      </c>
      <c r="X48" s="317">
        <f>'Reporte Componentes R1'!P350</f>
        <v>0</v>
      </c>
      <c r="Y48" s="318">
        <f>'Reporte Componentes R1'!Q350</f>
        <v>0</v>
      </c>
      <c r="Z48" s="319">
        <f>-L48</f>
        <v>0</v>
      </c>
      <c r="AA48" s="320">
        <f>'Reporte Componentes R1'!R350+'Reporte Componentes R1'!S350+'Reporte Componentes R1'!T350</f>
        <v>0</v>
      </c>
      <c r="AB48" s="294">
        <f>N48</f>
        <v>0</v>
      </c>
      <c r="AC48" s="320">
        <v>0</v>
      </c>
      <c r="AD48" s="291">
        <f t="shared" ref="AD48:AD51" si="16">-J48+AE48</f>
        <v>0</v>
      </c>
      <c r="AE48" s="291">
        <f>'Reporte Componentes R1'!F351</f>
        <v>0</v>
      </c>
      <c r="AF48" s="322">
        <f>SUM(U48:AD48)</f>
        <v>0</v>
      </c>
      <c r="AG48" s="323">
        <f>(AF48-O48)</f>
        <v>0</v>
      </c>
      <c r="AH48" s="305" t="b">
        <f t="shared" ref="AH48:AH51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R1'!F511</f>
        <v>0</v>
      </c>
      <c r="E49" s="292">
        <f>'Reporte Componentes R1'!G511</f>
        <v>0</v>
      </c>
      <c r="F49" s="292">
        <f>'Reporte Componentes R1'!H511</f>
        <v>0</v>
      </c>
      <c r="G49" s="292">
        <f>'Reporte Componentes R1'!I511</f>
        <v>0</v>
      </c>
      <c r="H49" s="292">
        <f>'Reporte Componentes R1'!J511</f>
        <v>0</v>
      </c>
      <c r="I49" s="292">
        <f>'Reporte Componentes R1'!K511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R1'!L511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R1'!M511</f>
        <v>0</v>
      </c>
      <c r="V49" s="317">
        <f>'Reporte Componentes R1'!N511</f>
        <v>0</v>
      </c>
      <c r="W49" s="317">
        <f>'Reporte Componentes R1'!O511</f>
        <v>0</v>
      </c>
      <c r="X49" s="317">
        <f>'Reporte Componentes R1'!P511</f>
        <v>0</v>
      </c>
      <c r="Y49" s="318">
        <f>'Reporte Componentes R1'!Q511</f>
        <v>0</v>
      </c>
      <c r="Z49" s="319">
        <f>-L49</f>
        <v>0</v>
      </c>
      <c r="AA49" s="320">
        <f>'Reporte Componentes R1'!R511+'Reporte Componentes R1'!S511+'Reporte Componentes R1'!T511</f>
        <v>0</v>
      </c>
      <c r="AB49" s="294">
        <f>N49</f>
        <v>0</v>
      </c>
      <c r="AC49" s="320">
        <v>0</v>
      </c>
      <c r="AD49" s="291">
        <f t="shared" si="16"/>
        <v>0</v>
      </c>
      <c r="AE49" s="291">
        <f>'Reporte Componentes R1'!F512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305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R1'!F719</f>
        <v>0</v>
      </c>
      <c r="E50" s="292">
        <f>'Reporte Componentes R1'!G719</f>
        <v>0</v>
      </c>
      <c r="F50" s="292">
        <f>'Reporte Componentes R1'!H719</f>
        <v>0</v>
      </c>
      <c r="G50" s="292">
        <f>'Reporte Componentes R1'!I719</f>
        <v>0</v>
      </c>
      <c r="H50" s="292">
        <f>'Reporte Componentes R1'!J719</f>
        <v>0</v>
      </c>
      <c r="I50" s="292">
        <f>'Reporte Componentes R1'!K719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R1'!L719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R1'!M719</f>
        <v>0</v>
      </c>
      <c r="V50" s="317">
        <f>'Reporte Componentes R1'!N719</f>
        <v>0</v>
      </c>
      <c r="W50" s="317">
        <f>'Reporte Componentes R1'!O719</f>
        <v>0</v>
      </c>
      <c r="X50" s="317">
        <f>'Reporte Componentes R1'!P719</f>
        <v>0</v>
      </c>
      <c r="Y50" s="318">
        <f>'Reporte Componentes R1'!Q719</f>
        <v>0</v>
      </c>
      <c r="Z50" s="319">
        <f>-L50</f>
        <v>0</v>
      </c>
      <c r="AA50" s="320">
        <f>'Reporte Componentes R1'!R719+'Reporte Componentes R1'!S719</f>
        <v>0</v>
      </c>
      <c r="AB50" s="294">
        <f>N50</f>
        <v>0</v>
      </c>
      <c r="AC50" s="320">
        <v>0</v>
      </c>
      <c r="AD50" s="291">
        <f t="shared" si="16"/>
        <v>0</v>
      </c>
      <c r="AE50" s="291">
        <f>'Reporte Componentes R1'!F720</f>
        <v>0</v>
      </c>
      <c r="AF50" s="322">
        <f t="shared" si="18"/>
        <v>0</v>
      </c>
      <c r="AG50" s="323">
        <f t="shared" si="19"/>
        <v>0</v>
      </c>
      <c r="AH50" s="305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R1'!F838</f>
        <v>0</v>
      </c>
      <c r="E51" s="297">
        <f>'Reporte Componentes R1'!G838</f>
        <v>0</v>
      </c>
      <c r="F51" s="297">
        <f>'Reporte Componentes R1'!H838</f>
        <v>0</v>
      </c>
      <c r="G51" s="297">
        <f>'Reporte Componentes R1'!I838</f>
        <v>0</v>
      </c>
      <c r="H51" s="297">
        <f>'Reporte Componentes R1'!J838</f>
        <v>0</v>
      </c>
      <c r="I51" s="297">
        <f>'Reporte Componentes R1'!K838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R1'!L838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R1'!M838</f>
        <v>0</v>
      </c>
      <c r="V51" s="297">
        <f>'Reporte Componentes R1'!N838</f>
        <v>0</v>
      </c>
      <c r="W51" s="297">
        <f>'Reporte Componentes R1'!O838</f>
        <v>0</v>
      </c>
      <c r="X51" s="297">
        <f>'Reporte Componentes R1'!P838</f>
        <v>0</v>
      </c>
      <c r="Y51" s="289">
        <f>'Reporte Componentes R1'!Q838</f>
        <v>0</v>
      </c>
      <c r="Z51" s="319">
        <f>-L51</f>
        <v>0</v>
      </c>
      <c r="AA51" s="320">
        <f>'Reporte Componentes R1'!R838+'Reporte Componentes R1'!S838+'Reporte Componentes R1'!T838</f>
        <v>0</v>
      </c>
      <c r="AB51" s="294">
        <f>N51</f>
        <v>0</v>
      </c>
      <c r="AC51" s="320">
        <v>0</v>
      </c>
      <c r="AD51" s="291">
        <f t="shared" si="16"/>
        <v>0</v>
      </c>
      <c r="AE51" s="291">
        <f>'Reporte Componentes R1'!F839</f>
        <v>0</v>
      </c>
      <c r="AF51" s="322">
        <f t="shared" si="18"/>
        <v>0</v>
      </c>
      <c r="AG51" s="326">
        <f t="shared" si="19"/>
        <v>0</v>
      </c>
      <c r="AH51" s="305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R4'!D94</f>
        <v>0</v>
      </c>
      <c r="E66" s="292">
        <f>'Reversion Pagos R4'!E94</f>
        <v>0</v>
      </c>
      <c r="F66" s="292">
        <f>'Reversion Pagos R4'!F94</f>
        <v>0</v>
      </c>
      <c r="G66" s="292">
        <f>'Reversion Pagos R4'!G94</f>
        <v>0</v>
      </c>
      <c r="H66" s="292">
        <f>'Reversion Pagos R4'!H94</f>
        <v>0</v>
      </c>
      <c r="I66" s="292">
        <f>'Reversion Pagos R4'!I94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R4'!P94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R4'!J94</f>
        <v>0</v>
      </c>
      <c r="V66" s="308">
        <f>'Reversion Pagos R4'!K94</f>
        <v>0</v>
      </c>
      <c r="W66" s="308">
        <f>'Reversion Pagos R4'!L94</f>
        <v>0</v>
      </c>
      <c r="X66" s="308">
        <f>'Reversion Pagos R4'!M94</f>
        <v>0</v>
      </c>
      <c r="Y66" s="308">
        <f>'Reversion Pagos R4'!N94</f>
        <v>0</v>
      </c>
      <c r="Z66" s="310">
        <f>-L66</f>
        <v>0</v>
      </c>
      <c r="AA66" s="311">
        <f>'Reversion Pagos R4'!O94+'Reversion Pagos R4'!Q94</f>
        <v>0</v>
      </c>
      <c r="AB66" s="294">
        <f>N66</f>
        <v>0</v>
      </c>
      <c r="AC66" s="311">
        <v>0</v>
      </c>
      <c r="AD66" s="291">
        <f>-J66+AE66</f>
        <v>0</v>
      </c>
      <c r="AE66" s="291">
        <f>'Reversion Pagos R4'!D95</f>
        <v>0</v>
      </c>
      <c r="AF66" s="313">
        <f>SUM(U66:AD66)</f>
        <v>0</v>
      </c>
      <c r="AG66" s="31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R4'!D195</f>
        <v>0</v>
      </c>
      <c r="E67" s="292">
        <f>'Reversion Pagos R4'!E195</f>
        <v>0</v>
      </c>
      <c r="F67" s="292">
        <f>'Reversion Pagos R4'!F195</f>
        <v>0</v>
      </c>
      <c r="G67" s="292">
        <f>'Reversion Pagos R4'!G195</f>
        <v>0</v>
      </c>
      <c r="H67" s="292">
        <f>'Reversion Pagos R4'!H195</f>
        <v>0</v>
      </c>
      <c r="I67" s="292">
        <f>'Reversion Pagos R4'!I195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R4'!P195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R4'!J195</f>
        <v>0</v>
      </c>
      <c r="V67" s="317">
        <f>'Reversion Pagos R4'!K195</f>
        <v>0</v>
      </c>
      <c r="W67" s="317">
        <f>'Reversion Pagos R4'!L195</f>
        <v>0</v>
      </c>
      <c r="X67" s="317">
        <f>'Reversion Pagos R4'!M195</f>
        <v>0</v>
      </c>
      <c r="Y67" s="318">
        <f>'Reversion Pagos R4'!N195</f>
        <v>0</v>
      </c>
      <c r="Z67" s="319">
        <f t="shared" ref="Z67:Z70" si="26">-L67</f>
        <v>0</v>
      </c>
      <c r="AA67" s="320">
        <f>'Reversion Pagos R4'!O195</f>
        <v>0</v>
      </c>
      <c r="AB67" s="294">
        <f t="shared" ref="AB67:AB70" si="27">N67</f>
        <v>0</v>
      </c>
      <c r="AC67" s="320">
        <v>0</v>
      </c>
      <c r="AD67" s="291">
        <f t="shared" ref="AD67:AD70" si="28">-J67+AE67</f>
        <v>0</v>
      </c>
      <c r="AE67" s="291">
        <f>'Reversion Pagos R4'!D196</f>
        <v>0</v>
      </c>
      <c r="AF67" s="322">
        <f>SUM(U67:AD67)</f>
        <v>0</v>
      </c>
      <c r="AG67" s="323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R4'!D232</f>
        <v>0</v>
      </c>
      <c r="E68" s="292">
        <f>'Reversion Pagos R4'!E232</f>
        <v>0</v>
      </c>
      <c r="F68" s="292">
        <f>'Reversion Pagos R4'!F232</f>
        <v>0</v>
      </c>
      <c r="G68" s="292">
        <f>'Reversion Pagos R4'!G232</f>
        <v>0</v>
      </c>
      <c r="H68" s="292">
        <f>'Reversion Pagos R4'!H232</f>
        <v>0</v>
      </c>
      <c r="I68" s="292">
        <f>'Reversion Pagos R4'!I232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R4'!P232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R4'!J232</f>
        <v>0</v>
      </c>
      <c r="V68" s="317">
        <f>'Reversion Pagos R4'!K232</f>
        <v>0</v>
      </c>
      <c r="W68" s="317">
        <f>'Reversion Pagos R4'!L232</f>
        <v>0</v>
      </c>
      <c r="X68" s="317">
        <f>'Reversion Pagos R4'!M232</f>
        <v>0</v>
      </c>
      <c r="Y68" s="318">
        <f>'Reversion Pagos R4'!N232</f>
        <v>0</v>
      </c>
      <c r="Z68" s="319">
        <f t="shared" si="26"/>
        <v>0</v>
      </c>
      <c r="AA68" s="320">
        <f>'Reversion Pagos R4'!O232</f>
        <v>0</v>
      </c>
      <c r="AB68" s="294">
        <f t="shared" si="27"/>
        <v>0</v>
      </c>
      <c r="AC68" s="320">
        <v>0</v>
      </c>
      <c r="AD68" s="291">
        <f t="shared" si="28"/>
        <v>0</v>
      </c>
      <c r="AE68" s="291">
        <f>'Reversion Pagos R4'!D233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R4'!D347</f>
        <v>0</v>
      </c>
      <c r="E69" s="292">
        <f>'Reversion Pagos R4'!E347</f>
        <v>0</v>
      </c>
      <c r="F69" s="292">
        <f>'Reversion Pagos R4'!F347</f>
        <v>0</v>
      </c>
      <c r="G69" s="292">
        <f>'Reversion Pagos R4'!G347</f>
        <v>0</v>
      </c>
      <c r="H69" s="292">
        <f>'Reversion Pagos R4'!H347</f>
        <v>0</v>
      </c>
      <c r="I69" s="292">
        <f>'Reversion Pagos R4'!I347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R4'!P347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R4'!J347</f>
        <v>0</v>
      </c>
      <c r="V69" s="317">
        <f>'Reversion Pagos R4'!K347</f>
        <v>0</v>
      </c>
      <c r="W69" s="317">
        <f>'Reversion Pagos R4'!L347</f>
        <v>0</v>
      </c>
      <c r="X69" s="317">
        <f>'Reversion Pagos R4'!M347</f>
        <v>0</v>
      </c>
      <c r="Y69" s="318">
        <f>'Reversion Pagos R4'!N347</f>
        <v>0</v>
      </c>
      <c r="Z69" s="319">
        <f t="shared" si="26"/>
        <v>0</v>
      </c>
      <c r="AA69" s="320">
        <f>'Reversion Pagos R4'!O347</f>
        <v>0</v>
      </c>
      <c r="AB69" s="294">
        <f t="shared" si="27"/>
        <v>0</v>
      </c>
      <c r="AC69" s="320">
        <v>0</v>
      </c>
      <c r="AD69" s="291">
        <f t="shared" si="28"/>
        <v>0</v>
      </c>
      <c r="AE69" s="291">
        <f>'Reversion Pagos R4'!D348</f>
        <v>0</v>
      </c>
      <c r="AF69" s="322">
        <f>SUM(U69:AD69)</f>
        <v>0</v>
      </c>
      <c r="AG69" s="323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R4'!D388</f>
        <v>0</v>
      </c>
      <c r="E70" s="297">
        <f>'Reversion Pagos R4'!E388</f>
        <v>0</v>
      </c>
      <c r="F70" s="297">
        <f>'Reversion Pagos R4'!F388</f>
        <v>0</v>
      </c>
      <c r="G70" s="297">
        <f>'Reversion Pagos R4'!G388</f>
        <v>0</v>
      </c>
      <c r="H70" s="297">
        <f>'Reversion Pagos R4'!H388</f>
        <v>0</v>
      </c>
      <c r="I70" s="297">
        <f>'Reversion Pagos R4'!I388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R4'!P388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R4'!J388</f>
        <v>0</v>
      </c>
      <c r="V70" s="297">
        <f>'Reversion Pagos R4'!K388</f>
        <v>0</v>
      </c>
      <c r="W70" s="297">
        <f>'Reversion Pagos R4'!L388</f>
        <v>0</v>
      </c>
      <c r="X70" s="297">
        <f>'Reversion Pagos R4'!M388</f>
        <v>0</v>
      </c>
      <c r="Y70" s="289">
        <f>'Reversion Pagos R4'!N388</f>
        <v>0</v>
      </c>
      <c r="Z70" s="319">
        <f t="shared" si="26"/>
        <v>0</v>
      </c>
      <c r="AA70" s="320">
        <f>'Reversion Pagos R4'!O388</f>
        <v>0</v>
      </c>
      <c r="AB70" s="294">
        <f t="shared" si="27"/>
        <v>0</v>
      </c>
      <c r="AC70" s="320">
        <v>0</v>
      </c>
      <c r="AD70" s="291">
        <f t="shared" si="28"/>
        <v>0</v>
      </c>
      <c r="AE70" s="291">
        <f>'Reversion Pagos R4'!D389</f>
        <v>0</v>
      </c>
      <c r="AF70" s="322">
        <f t="shared" si="30"/>
        <v>0</v>
      </c>
      <c r="AG70" s="326">
        <f t="shared" si="31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31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f>-L86</f>
        <v>0</v>
      </c>
      <c r="AA86" s="320">
        <v>0</v>
      </c>
      <c r="AB86" s="294">
        <f>N86</f>
        <v>0</v>
      </c>
      <c r="AC86" s="320">
        <v>0</v>
      </c>
      <c r="AD86" s="291">
        <f t="shared" ref="AD86:AD89" si="36">-J86+AE86</f>
        <v>0</v>
      </c>
      <c r="AE86" s="291">
        <v>0</v>
      </c>
      <c r="AF86" s="322">
        <f>SUM(U86:AD86)</f>
        <v>0</v>
      </c>
      <c r="AG86" s="323">
        <f>AF86-O86</f>
        <v>0</v>
      </c>
      <c r="AH86" s="305" t="b">
        <f t="shared" ref="AH86:AH89" si="37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f>-L87</f>
        <v>0</v>
      </c>
      <c r="AA87" s="320">
        <v>0</v>
      </c>
      <c r="AB87" s="294">
        <f>N87</f>
        <v>0</v>
      </c>
      <c r="AC87" s="320">
        <v>0</v>
      </c>
      <c r="AD87" s="291">
        <f t="shared" si="36"/>
        <v>0</v>
      </c>
      <c r="AE87" s="291">
        <v>0</v>
      </c>
      <c r="AF87" s="322">
        <f t="shared" ref="AF87:AF89" si="38">SUM(U87:AD87)</f>
        <v>0</v>
      </c>
      <c r="AG87" s="323">
        <f>AF87-O87</f>
        <v>0</v>
      </c>
      <c r="AH87" s="305" t="b">
        <f t="shared" si="37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f>-L88</f>
        <v>0</v>
      </c>
      <c r="AA88" s="320">
        <v>0</v>
      </c>
      <c r="AB88" s="294">
        <f>N88</f>
        <v>0</v>
      </c>
      <c r="AC88" s="320">
        <v>0</v>
      </c>
      <c r="AD88" s="291">
        <f t="shared" si="36"/>
        <v>0</v>
      </c>
      <c r="AE88" s="291">
        <v>0</v>
      </c>
      <c r="AF88" s="322">
        <f t="shared" si="38"/>
        <v>0</v>
      </c>
      <c r="AG88" s="323">
        <f>AF88-O88</f>
        <v>0</v>
      </c>
      <c r="AH88" s="305" t="b">
        <f t="shared" si="37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f>-L89</f>
        <v>0</v>
      </c>
      <c r="AA89" s="320">
        <v>0</v>
      </c>
      <c r="AB89" s="294">
        <f>N89</f>
        <v>0</v>
      </c>
      <c r="AC89" s="320">
        <v>0</v>
      </c>
      <c r="AD89" s="291">
        <f t="shared" si="36"/>
        <v>0</v>
      </c>
      <c r="AE89" s="291">
        <v>0</v>
      </c>
      <c r="AF89" s="322">
        <f t="shared" si="38"/>
        <v>0</v>
      </c>
      <c r="AG89" s="326">
        <f>AF89-O89</f>
        <v>0</v>
      </c>
      <c r="AH89" s="305" t="b">
        <f t="shared" si="37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9">SUM(D85:D89)</f>
        <v>0</v>
      </c>
      <c r="E90" s="290">
        <f t="shared" si="39"/>
        <v>0</v>
      </c>
      <c r="F90" s="290">
        <f t="shared" si="39"/>
        <v>0</v>
      </c>
      <c r="G90" s="290">
        <f t="shared" si="39"/>
        <v>0</v>
      </c>
      <c r="H90" s="290">
        <f t="shared" si="39"/>
        <v>0</v>
      </c>
      <c r="I90" s="290">
        <f t="shared" si="39"/>
        <v>0</v>
      </c>
      <c r="J90" s="290">
        <f t="shared" si="39"/>
        <v>0</v>
      </c>
      <c r="K90" s="300">
        <f t="shared" si="39"/>
        <v>0</v>
      </c>
      <c r="L90" s="301">
        <f t="shared" si="39"/>
        <v>0</v>
      </c>
      <c r="M90" s="302">
        <f t="shared" si="39"/>
        <v>0</v>
      </c>
      <c r="N90" s="301">
        <f t="shared" si="39"/>
        <v>0</v>
      </c>
      <c r="O90" s="302">
        <f t="shared" si="39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0">SUM(V85:V89)</f>
        <v>0</v>
      </c>
      <c r="W90" s="330">
        <f t="shared" si="40"/>
        <v>0</v>
      </c>
      <c r="X90" s="330">
        <f t="shared" si="40"/>
        <v>0</v>
      </c>
      <c r="Y90" s="330">
        <f t="shared" si="40"/>
        <v>0</v>
      </c>
      <c r="Z90" s="290">
        <f t="shared" si="40"/>
        <v>0</v>
      </c>
      <c r="AA90" s="290">
        <f t="shared" si="40"/>
        <v>0</v>
      </c>
      <c r="AB90" s="290">
        <f t="shared" si="40"/>
        <v>0</v>
      </c>
      <c r="AC90" s="290">
        <f t="shared" si="40"/>
        <v>0</v>
      </c>
      <c r="AD90" s="290">
        <f t="shared" si="40"/>
        <v>0</v>
      </c>
      <c r="AE90" s="290">
        <f t="shared" si="40"/>
        <v>0</v>
      </c>
      <c r="AF90" s="331">
        <f t="shared" si="40"/>
        <v>0</v>
      </c>
      <c r="AG90" s="332">
        <f t="shared" si="40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220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1">D9+D28+D47+D66+D85</f>
        <v>0</v>
      </c>
      <c r="E104" s="292">
        <f t="shared" si="41"/>
        <v>0</v>
      </c>
      <c r="F104" s="292">
        <f t="shared" si="41"/>
        <v>0</v>
      </c>
      <c r="G104" s="292">
        <f t="shared" si="41"/>
        <v>0</v>
      </c>
      <c r="H104" s="292">
        <f t="shared" si="41"/>
        <v>0</v>
      </c>
      <c r="I104" s="292">
        <f t="shared" si="41"/>
        <v>0</v>
      </c>
      <c r="J104" s="288">
        <f t="shared" si="41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2">U9+U28+U47+U66+U85</f>
        <v>0</v>
      </c>
      <c r="V104" s="308">
        <f t="shared" si="42"/>
        <v>0</v>
      </c>
      <c r="W104" s="308">
        <f t="shared" si="42"/>
        <v>0</v>
      </c>
      <c r="X104" s="308">
        <f t="shared" si="42"/>
        <v>0</v>
      </c>
      <c r="Y104" s="309">
        <f t="shared" si="42"/>
        <v>0</v>
      </c>
      <c r="Z104" s="310">
        <f t="shared" si="42"/>
        <v>0</v>
      </c>
      <c r="AA104" s="311">
        <f t="shared" si="42"/>
        <v>0</v>
      </c>
      <c r="AB104" s="294">
        <f t="shared" si="42"/>
        <v>0</v>
      </c>
      <c r="AC104" s="311">
        <f t="shared" ref="AC104" si="43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 t="shared" ref="AH104:AH109" si="44">INT(ABS(AG104))=0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1"/>
        <v>0</v>
      </c>
      <c r="E105" s="292">
        <f t="shared" si="41"/>
        <v>0</v>
      </c>
      <c r="F105" s="292">
        <f t="shared" si="41"/>
        <v>0</v>
      </c>
      <c r="G105" s="292">
        <f t="shared" si="41"/>
        <v>0</v>
      </c>
      <c r="H105" s="292">
        <f t="shared" si="41"/>
        <v>0</v>
      </c>
      <c r="I105" s="292">
        <f t="shared" si="41"/>
        <v>0</v>
      </c>
      <c r="J105" s="288">
        <f t="shared" si="41"/>
        <v>0</v>
      </c>
      <c r="K105" s="295">
        <f t="shared" ref="K105:K108" si="45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6">M105+N105</f>
        <v>0</v>
      </c>
      <c r="Q105" s="306"/>
      <c r="S105" s="314">
        <v>2</v>
      </c>
      <c r="T105" s="315" t="s">
        <v>11</v>
      </c>
      <c r="U105" s="316">
        <f t="shared" si="42"/>
        <v>0</v>
      </c>
      <c r="V105" s="317">
        <f t="shared" si="42"/>
        <v>0</v>
      </c>
      <c r="W105" s="317">
        <f t="shared" si="42"/>
        <v>0</v>
      </c>
      <c r="X105" s="317">
        <f t="shared" si="42"/>
        <v>0</v>
      </c>
      <c r="Y105" s="318">
        <f t="shared" si="42"/>
        <v>0</v>
      </c>
      <c r="Z105" s="319">
        <f t="shared" si="42"/>
        <v>0</v>
      </c>
      <c r="AA105" s="320">
        <f t="shared" si="42"/>
        <v>0</v>
      </c>
      <c r="AB105" s="294">
        <f t="shared" si="42"/>
        <v>0</v>
      </c>
      <c r="AC105" s="320">
        <f t="shared" ref="AC105" si="47">AC10+AC29+AC48+AC67+AC86</f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si="44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1"/>
        <v>0</v>
      </c>
      <c r="E106" s="292">
        <f t="shared" si="41"/>
        <v>0</v>
      </c>
      <c r="F106" s="292">
        <f t="shared" si="41"/>
        <v>0</v>
      </c>
      <c r="G106" s="292">
        <f t="shared" si="41"/>
        <v>0</v>
      </c>
      <c r="H106" s="292">
        <f t="shared" si="41"/>
        <v>0</v>
      </c>
      <c r="I106" s="292">
        <f t="shared" si="41"/>
        <v>0</v>
      </c>
      <c r="J106" s="288">
        <f t="shared" si="41"/>
        <v>0</v>
      </c>
      <c r="K106" s="295">
        <f t="shared" si="45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6"/>
        <v>0</v>
      </c>
      <c r="Q106" s="306"/>
      <c r="S106" s="314">
        <v>3</v>
      </c>
      <c r="T106" s="315" t="s">
        <v>12</v>
      </c>
      <c r="U106" s="316">
        <f t="shared" si="42"/>
        <v>0</v>
      </c>
      <c r="V106" s="317">
        <f t="shared" si="42"/>
        <v>0</v>
      </c>
      <c r="W106" s="317">
        <f t="shared" si="42"/>
        <v>0</v>
      </c>
      <c r="X106" s="317">
        <f t="shared" si="42"/>
        <v>0</v>
      </c>
      <c r="Y106" s="318">
        <f t="shared" si="42"/>
        <v>0</v>
      </c>
      <c r="Z106" s="319">
        <f t="shared" si="42"/>
        <v>0</v>
      </c>
      <c r="AA106" s="320">
        <f t="shared" si="42"/>
        <v>0</v>
      </c>
      <c r="AB106" s="294">
        <f t="shared" si="42"/>
        <v>0</v>
      </c>
      <c r="AC106" s="320">
        <f t="shared" ref="AC106" si="49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4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1"/>
        <v>0</v>
      </c>
      <c r="E107" s="292">
        <f t="shared" si="41"/>
        <v>0</v>
      </c>
      <c r="F107" s="292">
        <f t="shared" si="41"/>
        <v>0</v>
      </c>
      <c r="G107" s="292">
        <f t="shared" si="41"/>
        <v>0</v>
      </c>
      <c r="H107" s="292">
        <f t="shared" si="41"/>
        <v>0</v>
      </c>
      <c r="I107" s="292">
        <f t="shared" si="41"/>
        <v>0</v>
      </c>
      <c r="J107" s="288">
        <f t="shared" si="41"/>
        <v>0</v>
      </c>
      <c r="K107" s="295">
        <f t="shared" si="45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6"/>
        <v>0</v>
      </c>
      <c r="Q107" s="306"/>
      <c r="S107" s="314">
        <v>4</v>
      </c>
      <c r="T107" s="315" t="s">
        <v>13</v>
      </c>
      <c r="U107" s="316">
        <f t="shared" si="42"/>
        <v>0</v>
      </c>
      <c r="V107" s="317">
        <f t="shared" si="42"/>
        <v>0</v>
      </c>
      <c r="W107" s="317">
        <f t="shared" si="42"/>
        <v>0</v>
      </c>
      <c r="X107" s="317">
        <f t="shared" si="42"/>
        <v>0</v>
      </c>
      <c r="Y107" s="318">
        <f t="shared" si="42"/>
        <v>0</v>
      </c>
      <c r="Z107" s="319">
        <f t="shared" si="42"/>
        <v>0</v>
      </c>
      <c r="AA107" s="320">
        <f t="shared" si="42"/>
        <v>0</v>
      </c>
      <c r="AB107" s="294">
        <f t="shared" si="42"/>
        <v>0</v>
      </c>
      <c r="AC107" s="320">
        <f t="shared" ref="AC107" si="50">AC12+AC31+AC50+AC69+AC88</f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4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1"/>
        <v>0</v>
      </c>
      <c r="F108" s="297">
        <f t="shared" si="41"/>
        <v>0</v>
      </c>
      <c r="G108" s="297">
        <f t="shared" si="41"/>
        <v>0</v>
      </c>
      <c r="H108" s="297">
        <f t="shared" si="41"/>
        <v>0</v>
      </c>
      <c r="I108" s="297">
        <f t="shared" si="41"/>
        <v>0</v>
      </c>
      <c r="J108" s="289">
        <f t="shared" si="41"/>
        <v>0</v>
      </c>
      <c r="K108" s="295">
        <f t="shared" si="45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6"/>
        <v>0</v>
      </c>
      <c r="Q108" s="306"/>
      <c r="S108" s="324">
        <v>5</v>
      </c>
      <c r="T108" s="325" t="s">
        <v>14</v>
      </c>
      <c r="U108" s="296">
        <f t="shared" si="42"/>
        <v>0</v>
      </c>
      <c r="V108" s="297">
        <f t="shared" si="42"/>
        <v>0</v>
      </c>
      <c r="W108" s="297">
        <f t="shared" si="42"/>
        <v>0</v>
      </c>
      <c r="X108" s="297">
        <f t="shared" si="42"/>
        <v>0</v>
      </c>
      <c r="Y108" s="289">
        <f t="shared" si="42"/>
        <v>0</v>
      </c>
      <c r="Z108" s="319">
        <f t="shared" si="42"/>
        <v>0</v>
      </c>
      <c r="AA108" s="320">
        <f t="shared" si="42"/>
        <v>0</v>
      </c>
      <c r="AB108" s="294">
        <f t="shared" si="42"/>
        <v>0</v>
      </c>
      <c r="AC108" s="320">
        <f t="shared" ref="AC108" si="51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4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52">SUM(D104:D108)</f>
        <v>0</v>
      </c>
      <c r="E109" s="290">
        <f t="shared" si="52"/>
        <v>0</v>
      </c>
      <c r="F109" s="290">
        <f t="shared" si="52"/>
        <v>0</v>
      </c>
      <c r="G109" s="290">
        <f t="shared" si="52"/>
        <v>0</v>
      </c>
      <c r="H109" s="290">
        <f t="shared" si="52"/>
        <v>0</v>
      </c>
      <c r="I109" s="290">
        <f t="shared" si="52"/>
        <v>0</v>
      </c>
      <c r="J109" s="290">
        <f t="shared" si="52"/>
        <v>0</v>
      </c>
      <c r="K109" s="300">
        <f t="shared" si="52"/>
        <v>0</v>
      </c>
      <c r="L109" s="301">
        <f t="shared" si="52"/>
        <v>0</v>
      </c>
      <c r="M109" s="302">
        <f t="shared" si="52"/>
        <v>0</v>
      </c>
      <c r="N109" s="301">
        <f t="shared" si="52"/>
        <v>0</v>
      </c>
      <c r="O109" s="302">
        <f t="shared" si="52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3">SUM(V104:V108)</f>
        <v>0</v>
      </c>
      <c r="W109" s="330">
        <f t="shared" si="53"/>
        <v>0</v>
      </c>
      <c r="X109" s="330">
        <f t="shared" si="53"/>
        <v>0</v>
      </c>
      <c r="Y109" s="330">
        <f t="shared" si="53"/>
        <v>0</v>
      </c>
      <c r="Z109" s="290">
        <f t="shared" si="53"/>
        <v>0</v>
      </c>
      <c r="AA109" s="290">
        <f t="shared" si="53"/>
        <v>0</v>
      </c>
      <c r="AB109" s="290">
        <f t="shared" si="53"/>
        <v>0</v>
      </c>
      <c r="AC109" s="290">
        <f t="shared" ref="AC109" si="54">SUM(AC104:AC108)</f>
        <v>0</v>
      </c>
      <c r="AD109" s="290">
        <f t="shared" si="53"/>
        <v>0</v>
      </c>
      <c r="AE109" s="290">
        <f>SUM(AE104:AE108)</f>
        <v>0</v>
      </c>
      <c r="AF109" s="331">
        <f t="shared" si="53"/>
        <v>0</v>
      </c>
      <c r="AG109" s="332">
        <f>SUM(AG104:AG108)</f>
        <v>0</v>
      </c>
      <c r="AH109" s="1" t="b">
        <f t="shared" si="44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190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USUARIOS'!R3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USUARIOS'!R12</f>
        <v>0</v>
      </c>
      <c r="L125" s="309">
        <f>-'ANTICIPOS USUARIOS'!R21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USUARIOS'!R4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5">D67+N67</f>
        <v>0</v>
      </c>
      <c r="K126" s="288">
        <f>'ANTICIPOS USUARIOS'!R13</f>
        <v>0</v>
      </c>
      <c r="L126" s="288">
        <f>-'ANTICIPOS USUARIOS'!R22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USUARIOS'!R5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5"/>
        <v>0</v>
      </c>
      <c r="K127" s="288">
        <f>'ANTICIPOS USUARIOS'!R14</f>
        <v>0</v>
      </c>
      <c r="L127" s="288">
        <f>-'ANTICIPOS USUARIOS'!R23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USUARIOS'!R6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5"/>
        <v>0</v>
      </c>
      <c r="K128" s="288">
        <f>'ANTICIPOS USUARIOS'!R15</f>
        <v>0</v>
      </c>
      <c r="L128" s="288">
        <f>-'ANTICIPOS USUARIOS'!R24</f>
        <v>0</v>
      </c>
      <c r="O128" s="337"/>
      <c r="Q128" s="306"/>
    </row>
    <row r="129" spans="1:19" s="305" customFormat="1" ht="12" x14ac:dyDescent="0.25">
      <c r="B129" s="341">
        <v>5</v>
      </c>
      <c r="C129" s="342" t="s">
        <v>14</v>
      </c>
      <c r="D129" s="292">
        <f>'ANTICIPOS USUARIOS'!R7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5"/>
        <v>0</v>
      </c>
      <c r="K129" s="288">
        <f>'ANTICIPOS USUARIOS'!R16</f>
        <v>0</v>
      </c>
      <c r="L129" s="288">
        <f>-'ANTICIPOS USUARIOS'!R25</f>
        <v>0</v>
      </c>
      <c r="O129" s="337"/>
      <c r="Q129" s="306"/>
    </row>
    <row r="130" spans="1:19" s="305" customFormat="1" ht="12.6" thickBot="1" x14ac:dyDescent="0.3">
      <c r="B130" s="324" t="s">
        <v>89</v>
      </c>
      <c r="C130" s="345" t="s">
        <v>113</v>
      </c>
      <c r="D130" s="297"/>
      <c r="E130" s="289">
        <f>'Recaudo EAAB + Ciud Limp'!D26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9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6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5" customFormat="1" ht="12" x14ac:dyDescent="0.25">
      <c r="B142" s="334">
        <v>1</v>
      </c>
      <c r="C142" s="335" t="s">
        <v>10</v>
      </c>
      <c r="D142" s="308">
        <f>D104+N104+D125+E125</f>
        <v>0</v>
      </c>
      <c r="E142" s="308">
        <f>'Recaudo EAAB + Ciud Limp'!D21</f>
        <v>0</v>
      </c>
      <c r="F142" s="308">
        <f>D28+N28</f>
        <v>0</v>
      </c>
      <c r="G142" s="308">
        <f>D66+N66</f>
        <v>0</v>
      </c>
      <c r="H142" s="308">
        <f>D85+N85</f>
        <v>0</v>
      </c>
      <c r="I142" s="308">
        <v>0</v>
      </c>
      <c r="J142" s="308">
        <f t="shared" ref="J142:K146" si="57">G125</f>
        <v>0</v>
      </c>
      <c r="K142" s="309">
        <f t="shared" si="57"/>
        <v>0</v>
      </c>
      <c r="L142" s="525">
        <f>D142-E142-F142-G142-J142-H142-I142</f>
        <v>0</v>
      </c>
      <c r="M142" s="1" t="b">
        <f t="shared" ref="M142:M147" si="58">INT(ABS(L142))=0</f>
        <v>1</v>
      </c>
      <c r="P142" s="360"/>
      <c r="Q142" s="361"/>
      <c r="R142" s="360"/>
      <c r="S142" s="1"/>
    </row>
    <row r="143" spans="1:19" s="305" customFormat="1" ht="12" x14ac:dyDescent="0.25">
      <c r="B143" s="314">
        <v>2</v>
      </c>
      <c r="C143" s="338" t="s">
        <v>11</v>
      </c>
      <c r="D143" s="317">
        <f>D105+N105+D126+E126</f>
        <v>0</v>
      </c>
      <c r="E143" s="317">
        <f>'Recaudo EAAB + Ciud Limp'!D22</f>
        <v>0</v>
      </c>
      <c r="F143" s="317">
        <f>D29+N29</f>
        <v>0</v>
      </c>
      <c r="G143" s="317">
        <f>D67+N67</f>
        <v>0</v>
      </c>
      <c r="H143" s="317">
        <f>D86+N86</f>
        <v>0</v>
      </c>
      <c r="I143" s="317">
        <v>0</v>
      </c>
      <c r="J143" s="317">
        <f t="shared" si="57"/>
        <v>0</v>
      </c>
      <c r="K143" s="318">
        <f t="shared" si="57"/>
        <v>0</v>
      </c>
      <c r="L143" s="525">
        <f>D143-E143-F143-G143-J143-H143-I143</f>
        <v>0</v>
      </c>
      <c r="M143" s="1" t="b">
        <f t="shared" si="58"/>
        <v>1</v>
      </c>
      <c r="P143" s="360"/>
      <c r="Q143" s="361"/>
      <c r="R143" s="360"/>
      <c r="S143" s="1"/>
    </row>
    <row r="144" spans="1:19" s="305" customFormat="1" ht="12" x14ac:dyDescent="0.25">
      <c r="B144" s="314">
        <v>3</v>
      </c>
      <c r="C144" s="338" t="s">
        <v>12</v>
      </c>
      <c r="D144" s="317">
        <f>D106+N106+D127+E127</f>
        <v>0</v>
      </c>
      <c r="E144" s="317">
        <f>'Recaudo EAAB + Ciud Limp'!D23</f>
        <v>0</v>
      </c>
      <c r="F144" s="317">
        <f>D30+N30</f>
        <v>0</v>
      </c>
      <c r="G144" s="317">
        <f>D68+N68</f>
        <v>0</v>
      </c>
      <c r="H144" s="317">
        <f>D87+N87</f>
        <v>0</v>
      </c>
      <c r="I144" s="317">
        <v>0</v>
      </c>
      <c r="J144" s="317">
        <f t="shared" si="57"/>
        <v>0</v>
      </c>
      <c r="K144" s="318">
        <f t="shared" si="57"/>
        <v>0</v>
      </c>
      <c r="L144" s="525">
        <f>D144-E144-F144-G144-J144-H144-I144</f>
        <v>0</v>
      </c>
      <c r="M144" s="1" t="b">
        <f t="shared" si="58"/>
        <v>1</v>
      </c>
      <c r="P144" s="360"/>
      <c r="Q144" s="361"/>
      <c r="R144" s="360"/>
      <c r="S144" s="1"/>
    </row>
    <row r="145" spans="1:20" s="305" customFormat="1" ht="12" x14ac:dyDescent="0.25">
      <c r="B145" s="314">
        <v>4</v>
      </c>
      <c r="C145" s="338" t="s">
        <v>13</v>
      </c>
      <c r="D145" s="317">
        <f>D107+N107+D128+E128</f>
        <v>0</v>
      </c>
      <c r="E145" s="317">
        <f>'Recaudo EAAB + Ciud Limp'!D24</f>
        <v>0</v>
      </c>
      <c r="F145" s="317">
        <f>D31+N31</f>
        <v>0</v>
      </c>
      <c r="G145" s="317">
        <f>D69+N69</f>
        <v>0</v>
      </c>
      <c r="H145" s="317">
        <f>D88+N88</f>
        <v>0</v>
      </c>
      <c r="I145" s="317">
        <v>0</v>
      </c>
      <c r="J145" s="317">
        <f t="shared" si="57"/>
        <v>0</v>
      </c>
      <c r="K145" s="318">
        <f t="shared" si="57"/>
        <v>0</v>
      </c>
      <c r="L145" s="525">
        <f>D145-E145-F145-G145-J145-H145-I145</f>
        <v>0</v>
      </c>
      <c r="M145" s="1" t="b">
        <f t="shared" si="58"/>
        <v>1</v>
      </c>
      <c r="P145" s="360"/>
      <c r="Q145" s="361"/>
      <c r="R145" s="360"/>
      <c r="S145" s="1"/>
    </row>
    <row r="146" spans="1:20" s="305" customFormat="1" ht="12.6" thickBot="1" x14ac:dyDescent="0.3">
      <c r="B146" s="341">
        <v>5</v>
      </c>
      <c r="C146" s="342" t="s">
        <v>14</v>
      </c>
      <c r="D146" s="356">
        <f>D108+N108+D129+E129</f>
        <v>0</v>
      </c>
      <c r="E146" s="317">
        <f>'Recaudo EAAB + Ciud Limp'!D25</f>
        <v>0</v>
      </c>
      <c r="F146" s="356">
        <f>D32+N32</f>
        <v>0</v>
      </c>
      <c r="G146" s="356">
        <f>D70+N70</f>
        <v>0</v>
      </c>
      <c r="H146" s="356">
        <f>D89+N89</f>
        <v>0</v>
      </c>
      <c r="I146" s="356">
        <v>0</v>
      </c>
      <c r="J146" s="356">
        <f t="shared" si="57"/>
        <v>0</v>
      </c>
      <c r="K146" s="358">
        <f t="shared" si="57"/>
        <v>0</v>
      </c>
      <c r="L146" s="525">
        <f>D146-E146-F146-G146-J146-H146-I146</f>
        <v>0</v>
      </c>
      <c r="M146" s="1" t="b">
        <f t="shared" si="58"/>
        <v>1</v>
      </c>
      <c r="P146" s="360"/>
      <c r="Q146" s="361"/>
      <c r="R146" s="360"/>
      <c r="S146" s="1"/>
    </row>
    <row r="147" spans="1:20" s="305" customFormat="1" ht="12.6" thickBot="1" x14ac:dyDescent="0.3">
      <c r="B147" s="327"/>
      <c r="C147" s="328" t="s">
        <v>2</v>
      </c>
      <c r="D147" s="362">
        <f>SUM(D142:D146)</f>
        <v>0</v>
      </c>
      <c r="E147" s="362">
        <f>SUM(E142:E146)</f>
        <v>0</v>
      </c>
      <c r="F147" s="362">
        <f t="shared" ref="F147:K147" si="59">SUM(F142:F146)</f>
        <v>0</v>
      </c>
      <c r="G147" s="362">
        <f t="shared" si="59"/>
        <v>0</v>
      </c>
      <c r="H147" s="362">
        <f t="shared" si="59"/>
        <v>0</v>
      </c>
      <c r="I147" s="362">
        <f t="shared" si="59"/>
        <v>0</v>
      </c>
      <c r="J147" s="362">
        <f t="shared" si="59"/>
        <v>0</v>
      </c>
      <c r="K147" s="362">
        <f t="shared" si="59"/>
        <v>0</v>
      </c>
      <c r="L147" s="525">
        <f>SUM(L142:L146)</f>
        <v>0</v>
      </c>
      <c r="M147" s="1" t="b">
        <f t="shared" si="58"/>
        <v>1</v>
      </c>
      <c r="P147" s="360"/>
      <c r="Q147" s="361"/>
      <c r="R147" s="360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C9" sqref="C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+ Ciud Limp'!D21</f>
        <v>0</v>
      </c>
      <c r="D3" s="292">
        <f>'REMUNERACION_EAAB-CL'!G125</f>
        <v>0</v>
      </c>
      <c r="E3" s="292">
        <f>'REMUNERACION_EAAB-CL'!H125</f>
        <v>0</v>
      </c>
      <c r="F3" s="292">
        <v>0</v>
      </c>
      <c r="G3" s="292">
        <f>'REMUNERACION_EAAB-CL'!I125</f>
        <v>0</v>
      </c>
      <c r="H3" s="340">
        <f t="shared" ref="H3:H8" si="0">SUM(C3:G3)</f>
        <v>0</v>
      </c>
      <c r="I3" s="291">
        <f>'REMUNERACION_EAAB-CL'!D104</f>
        <v>0</v>
      </c>
      <c r="J3" s="292">
        <f>'REMUNERACION_EAAB-CL'!N104</f>
        <v>0</v>
      </c>
      <c r="K3" s="292">
        <f>'REMUNERACION_EAAB-CL'!D125</f>
        <v>0</v>
      </c>
      <c r="L3" s="353">
        <f>'REMUNERACION_EAAB-CL'!E125</f>
        <v>0</v>
      </c>
      <c r="M3" s="292">
        <f>-'REMUNERACION_EAAB-CL'!D66+'REMUNERACION_EAAB-CL'!N66</f>
        <v>0</v>
      </c>
      <c r="N3" s="288">
        <f>SUM(I3:M3)</f>
        <v>0</v>
      </c>
      <c r="O3" s="354">
        <f t="shared" ref="O3:O8" si="1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+ Ciud Limp'!D22</f>
        <v>0</v>
      </c>
      <c r="D4" s="292">
        <f>'REMUNERACION_EAAB-CL'!G126</f>
        <v>0</v>
      </c>
      <c r="E4" s="292">
        <f>'REMUNERACION_EAAB-CL'!H126</f>
        <v>0</v>
      </c>
      <c r="F4" s="292">
        <v>0</v>
      </c>
      <c r="G4" s="292">
        <f>'REMUNERACION_EAAB-CL'!I126</f>
        <v>0</v>
      </c>
      <c r="H4" s="340">
        <f t="shared" si="0"/>
        <v>0</v>
      </c>
      <c r="I4" s="291">
        <f>'REMUNERACION_EAAB-CL'!D105</f>
        <v>0</v>
      </c>
      <c r="J4" s="292">
        <f>'REMUNERACION_EAAB-CL'!N105</f>
        <v>0</v>
      </c>
      <c r="K4" s="292">
        <f>'REMUNERACION_EAAB-CL'!D126</f>
        <v>0</v>
      </c>
      <c r="L4" s="353">
        <f>'REMUNERACION_EAAB-CL'!E126</f>
        <v>0</v>
      </c>
      <c r="M4" s="292">
        <f>-'REMUNERACION_EAAB-CL'!D67+'REMUNERACION_EAAB-CL'!N67</f>
        <v>0</v>
      </c>
      <c r="N4" s="318">
        <f>SUM(I4:M4)</f>
        <v>0</v>
      </c>
      <c r="O4" s="354">
        <f t="shared" si="1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+ Ciud Limp'!D23</f>
        <v>0</v>
      </c>
      <c r="D5" s="292">
        <f>'REMUNERACION_EAAB-CL'!G127</f>
        <v>0</v>
      </c>
      <c r="E5" s="292">
        <f>'REMUNERACION_EAAB-CL'!H127</f>
        <v>0</v>
      </c>
      <c r="F5" s="292">
        <v>0</v>
      </c>
      <c r="G5" s="292">
        <f>'REMUNERACION_EAAB-CL'!I127</f>
        <v>0</v>
      </c>
      <c r="H5" s="340">
        <f t="shared" si="0"/>
        <v>0</v>
      </c>
      <c r="I5" s="291">
        <f>'REMUNERACION_EAAB-CL'!D106</f>
        <v>0</v>
      </c>
      <c r="J5" s="292">
        <f>'REMUNERACION_EAAB-CL'!N106</f>
        <v>0</v>
      </c>
      <c r="K5" s="292">
        <f>'REMUNERACION_EAAB-CL'!D127</f>
        <v>0</v>
      </c>
      <c r="L5" s="353">
        <f>'REMUNERACION_EAAB-CL'!E127</f>
        <v>0</v>
      </c>
      <c r="M5" s="292">
        <f>-'REMUNERACION_EAAB-CL'!D68+'REMUNERACION_EAAB-CL'!N68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+ Ciud Limp'!D24</f>
        <v>0</v>
      </c>
      <c r="D6" s="292">
        <f>'REMUNERACION_EAAB-CL'!G128</f>
        <v>0</v>
      </c>
      <c r="E6" s="292">
        <f>'REMUNERACION_EAAB-CL'!H128</f>
        <v>0</v>
      </c>
      <c r="F6" s="292">
        <v>0</v>
      </c>
      <c r="G6" s="292">
        <f>'REMUNERACION_EAAB-CL'!I128</f>
        <v>0</v>
      </c>
      <c r="H6" s="340">
        <f t="shared" si="0"/>
        <v>0</v>
      </c>
      <c r="I6" s="291">
        <f>'REMUNERACION_EAAB-CL'!D107</f>
        <v>0</v>
      </c>
      <c r="J6" s="292">
        <f>'REMUNERACION_EAAB-CL'!N107</f>
        <v>0</v>
      </c>
      <c r="K6" s="292">
        <f>'REMUNERACION_EAAB-CL'!D128</f>
        <v>0</v>
      </c>
      <c r="L6" s="353">
        <f>'REMUNERACION_EAAB-CL'!E128</f>
        <v>0</v>
      </c>
      <c r="M6" s="292">
        <f>-'REMUNERACION_EAAB-CL'!D69+'REMUNERACION_EAAB-CL'!N69</f>
        <v>0</v>
      </c>
      <c r="N6" s="318">
        <f t="shared" ref="N6:N7" si="3">SUM(I6:M6)</f>
        <v>0</v>
      </c>
      <c r="O6" s="354">
        <f t="shared" si="1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+ Ciud Limp'!D25</f>
        <v>0</v>
      </c>
      <c r="D7" s="292">
        <f>'REMUNERACION_EAAB-CL'!G129</f>
        <v>0</v>
      </c>
      <c r="E7" s="292">
        <f>'REMUNERACION_EAAB-CL'!H129</f>
        <v>0</v>
      </c>
      <c r="F7" s="292">
        <v>0</v>
      </c>
      <c r="G7" s="292">
        <f>'REMUNERACION_EAAB-CL'!I129</f>
        <v>0</v>
      </c>
      <c r="H7" s="340">
        <f t="shared" si="0"/>
        <v>0</v>
      </c>
      <c r="I7" s="291">
        <f>'REMUNERACION_EAAB-CL'!D108</f>
        <v>0</v>
      </c>
      <c r="J7" s="292">
        <f>'REMUNERACION_EAAB-CL'!N108</f>
        <v>0</v>
      </c>
      <c r="K7" s="292">
        <f>'REMUNERACION_EAAB-CL'!D129</f>
        <v>0</v>
      </c>
      <c r="L7" s="353">
        <f>'REMUNERACION_EAAB-CL'!E129</f>
        <v>0</v>
      </c>
      <c r="M7" s="292">
        <f>-'REMUNERACION_EAAB-CL'!D70+'REMUNERACION_EAAB-CL'!N70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+ Ciud Limp'!F26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0"/>
        <v>0</v>
      </c>
      <c r="I8" s="357">
        <v>0</v>
      </c>
      <c r="J8" s="343">
        <v>0</v>
      </c>
      <c r="K8" s="343">
        <v>0</v>
      </c>
      <c r="L8" s="353">
        <f>'REMUNERACION_EAAB-CL'!E130</f>
        <v>0</v>
      </c>
      <c r="M8" s="292">
        <v>0</v>
      </c>
      <c r="N8" s="358">
        <f>SUM(I8:L8)-M8</f>
        <v>0</v>
      </c>
      <c r="O8" s="354">
        <f t="shared" si="1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03" t="s">
        <v>1</v>
      </c>
    </row>
    <row r="14" spans="2:16" x14ac:dyDescent="0.25">
      <c r="C14" s="245">
        <f>'Valida - Control Recaudo'!E3+'Valida - Control Recaudo'!E5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zoomScale="98" zoomScaleNormal="98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46297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46281</v>
      </c>
      <c r="J7" s="2" t="s">
        <v>28</v>
      </c>
      <c r="K7" s="9">
        <f>'CONSOLIDADO_TOTAL RECAUDO'!K102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'REMUNERACION_EAAB-CL'!D104</f>
        <v>0</v>
      </c>
      <c r="E9" s="291">
        <f>'REMUNERACION_EAAB-CL'!E104</f>
        <v>0</v>
      </c>
      <c r="F9" s="291">
        <f>'REMUNERACION_EAAB-CL'!F104</f>
        <v>0</v>
      </c>
      <c r="G9" s="291">
        <f>'REMUNERACION_EAAB-CL'!G104</f>
        <v>0</v>
      </c>
      <c r="H9" s="291">
        <f>'REMUNERACION_EAAB-CL'!H104</f>
        <v>0</v>
      </c>
      <c r="I9" s="291">
        <f>'REMUNERACION_EAAB-CL'!I104</f>
        <v>0</v>
      </c>
      <c r="J9" s="291">
        <f>'REMUNERACION_EAAB-CL'!J104</f>
        <v>0</v>
      </c>
      <c r="K9" s="293">
        <f>D9-E9-F9-G9-H9-I9-J9</f>
        <v>0</v>
      </c>
      <c r="L9" s="291">
        <f>'REMUNERACION_EAAB-CL'!L104</f>
        <v>0</v>
      </c>
      <c r="M9" s="293">
        <f>K9-L9</f>
        <v>0</v>
      </c>
      <c r="N9" s="291">
        <f>'REMUNERACION_EAAB-CL'!N104</f>
        <v>0</v>
      </c>
      <c r="O9" s="293">
        <f>M9+N9</f>
        <v>0</v>
      </c>
      <c r="Q9" s="306"/>
      <c r="S9" s="303">
        <v>1</v>
      </c>
      <c r="T9" s="304" t="s">
        <v>10</v>
      </c>
      <c r="U9" s="291">
        <f>'REMUNERACION_EAAB-CL'!U104</f>
        <v>0</v>
      </c>
      <c r="V9" s="291">
        <f>'REMUNERACION_EAAB-CL'!V104</f>
        <v>0</v>
      </c>
      <c r="W9" s="291">
        <f>'REMUNERACION_EAAB-CL'!W104</f>
        <v>0</v>
      </c>
      <c r="X9" s="291">
        <f>'REMUNERACION_EAAB-CL'!X104</f>
        <v>0</v>
      </c>
      <c r="Y9" s="291">
        <f>'REMUNERACION_EAAB-CL'!Y104</f>
        <v>0</v>
      </c>
      <c r="Z9" s="291">
        <f>'REMUNERACION_EAAB-CL'!Z104</f>
        <v>0</v>
      </c>
      <c r="AA9" s="291">
        <f>'REMUNERACION_EAAB-CL'!AA104</f>
        <v>0</v>
      </c>
      <c r="AB9" s="291">
        <f>'REMUNERACION_EAAB-CL'!AB104</f>
        <v>0</v>
      </c>
      <c r="AC9" s="291">
        <f>'REMUNERACION_EAAB-CL'!AC104</f>
        <v>0</v>
      </c>
      <c r="AD9" s="291">
        <f>'REMUNERACION_EAAB-CL'!AD104</f>
        <v>0</v>
      </c>
      <c r="AE9" s="291">
        <f>'REMUNERACION_EAAB-CL'!AE104</f>
        <v>0</v>
      </c>
      <c r="AF9" s="363">
        <f>SUM(U9:AD9)</f>
        <v>0</v>
      </c>
      <c r="AG9" s="364">
        <f>AF9-O9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'REMUNERACION_EAAB-CL'!D105</f>
        <v>0</v>
      </c>
      <c r="E10" s="291">
        <f>'REMUNERACION_EAAB-CL'!E105</f>
        <v>0</v>
      </c>
      <c r="F10" s="291">
        <f>'REMUNERACION_EAAB-CL'!F105</f>
        <v>0</v>
      </c>
      <c r="G10" s="291">
        <f>'REMUNERACION_EAAB-CL'!G105</f>
        <v>0</v>
      </c>
      <c r="H10" s="291">
        <f>'REMUNERACION_EAAB-CL'!H105</f>
        <v>0</v>
      </c>
      <c r="I10" s="291">
        <f>'REMUNERACION_EAAB-CL'!I105</f>
        <v>0</v>
      </c>
      <c r="J10" s="291">
        <f>'REMUNERACION_EAAB-CL'!J105</f>
        <v>0</v>
      </c>
      <c r="K10" s="295">
        <f t="shared" ref="K10:K13" si="0">D10-E10-F10-G10-H10-I10-J10</f>
        <v>0</v>
      </c>
      <c r="L10" s="291">
        <f>'REMUNERACION_EAAB-CL'!L105</f>
        <v>0</v>
      </c>
      <c r="M10" s="295">
        <f>K10-L10</f>
        <v>0</v>
      </c>
      <c r="N10" s="291">
        <f>'REMUNERACION_EAAB-CL'!N105</f>
        <v>0</v>
      </c>
      <c r="O10" s="295">
        <f t="shared" ref="O10:O13" si="1">M10+N10</f>
        <v>0</v>
      </c>
      <c r="Q10" s="306"/>
      <c r="S10" s="314">
        <v>2</v>
      </c>
      <c r="T10" s="315" t="s">
        <v>11</v>
      </c>
      <c r="U10" s="291">
        <f>'REMUNERACION_EAAB-CL'!U105</f>
        <v>0</v>
      </c>
      <c r="V10" s="291">
        <f>'REMUNERACION_EAAB-CL'!V105</f>
        <v>0</v>
      </c>
      <c r="W10" s="291">
        <f>'REMUNERACION_EAAB-CL'!W105</f>
        <v>0</v>
      </c>
      <c r="X10" s="291">
        <f>'REMUNERACION_EAAB-CL'!X105</f>
        <v>0</v>
      </c>
      <c r="Y10" s="291">
        <f>'REMUNERACION_EAAB-CL'!Y105</f>
        <v>0</v>
      </c>
      <c r="Z10" s="291">
        <f>'REMUNERACION_EAAB-CL'!Z105</f>
        <v>0</v>
      </c>
      <c r="AA10" s="291">
        <f>'REMUNERACION_EAAB-CL'!AA105</f>
        <v>0</v>
      </c>
      <c r="AB10" s="291">
        <f>'REMUNERACION_EAAB-CL'!AB105</f>
        <v>0</v>
      </c>
      <c r="AC10" s="291">
        <f>'REMUNERACION_EAAB-CL'!AC105</f>
        <v>0</v>
      </c>
      <c r="AD10" s="291">
        <f>'REMUNERACION_EAAB-CL'!AD105</f>
        <v>0</v>
      </c>
      <c r="AE10" s="291">
        <f>'REMUNERACION_EAAB-CL'!AE105</f>
        <v>0</v>
      </c>
      <c r="AF10" s="365">
        <f>SUM(U10:AD10)</f>
        <v>0</v>
      </c>
      <c r="AG10" s="366">
        <f>AF10-O10</f>
        <v>0</v>
      </c>
      <c r="AH10" s="1" t="b">
        <f t="shared" ref="AH10:AH14" si="2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'REMUNERACION_EAAB-CL'!D106</f>
        <v>0</v>
      </c>
      <c r="E11" s="291">
        <f>'REMUNERACION_EAAB-CL'!E106</f>
        <v>0</v>
      </c>
      <c r="F11" s="291">
        <f>'REMUNERACION_EAAB-CL'!F106</f>
        <v>0</v>
      </c>
      <c r="G11" s="291">
        <f>'REMUNERACION_EAAB-CL'!G106</f>
        <v>0</v>
      </c>
      <c r="H11" s="291">
        <f>'REMUNERACION_EAAB-CL'!H106</f>
        <v>0</v>
      </c>
      <c r="I11" s="291">
        <f>'REMUNERACION_EAAB-CL'!I106</f>
        <v>0</v>
      </c>
      <c r="J11" s="291">
        <f>'REMUNERACION_EAAB-CL'!J106</f>
        <v>0</v>
      </c>
      <c r="K11" s="295">
        <f t="shared" si="0"/>
        <v>0</v>
      </c>
      <c r="L11" s="291">
        <f>'REMUNERACION_EAAB-CL'!L106</f>
        <v>0</v>
      </c>
      <c r="M11" s="295">
        <f>K11-L11</f>
        <v>0</v>
      </c>
      <c r="N11" s="291">
        <f>'REMUNERACION_EAAB-CL'!N106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291">
        <f>'REMUNERACION_EAAB-CL'!U106</f>
        <v>0</v>
      </c>
      <c r="V11" s="291">
        <f>'REMUNERACION_EAAB-CL'!V106</f>
        <v>0</v>
      </c>
      <c r="W11" s="291">
        <f>'REMUNERACION_EAAB-CL'!W106</f>
        <v>0</v>
      </c>
      <c r="X11" s="291">
        <f>'REMUNERACION_EAAB-CL'!X106</f>
        <v>0</v>
      </c>
      <c r="Y11" s="291">
        <f>'REMUNERACION_EAAB-CL'!Y106</f>
        <v>0</v>
      </c>
      <c r="Z11" s="291">
        <f>'REMUNERACION_EAAB-CL'!Z106</f>
        <v>0</v>
      </c>
      <c r="AA11" s="291">
        <f>'REMUNERACION_EAAB-CL'!AA106</f>
        <v>0</v>
      </c>
      <c r="AB11" s="291">
        <f>'REMUNERACION_EAAB-CL'!AB106</f>
        <v>0</v>
      </c>
      <c r="AC11" s="291">
        <f>'REMUNERACION_EAAB-CL'!AC106</f>
        <v>0</v>
      </c>
      <c r="AD11" s="291">
        <f>'REMUNERACION_EAAB-CL'!AD106</f>
        <v>0</v>
      </c>
      <c r="AE11" s="291">
        <f>'REMUNERACION_EAAB-CL'!AE106</f>
        <v>0</v>
      </c>
      <c r="AF11" s="365">
        <f>SUM(U11:AD11)</f>
        <v>0</v>
      </c>
      <c r="AG11" s="366">
        <f>AF11-O11</f>
        <v>0</v>
      </c>
      <c r="AH11" s="1" t="b">
        <f t="shared" si="2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'REMUNERACION_EAAB-CL'!D107</f>
        <v>0</v>
      </c>
      <c r="E12" s="291">
        <f>'REMUNERACION_EAAB-CL'!E107</f>
        <v>0</v>
      </c>
      <c r="F12" s="291">
        <f>'REMUNERACION_EAAB-CL'!F107</f>
        <v>0</v>
      </c>
      <c r="G12" s="291">
        <f>'REMUNERACION_EAAB-CL'!G107</f>
        <v>0</v>
      </c>
      <c r="H12" s="291">
        <f>'REMUNERACION_EAAB-CL'!H107</f>
        <v>0</v>
      </c>
      <c r="I12" s="291">
        <f>'REMUNERACION_EAAB-CL'!I107</f>
        <v>0</v>
      </c>
      <c r="J12" s="291">
        <f>'REMUNERACION_EAAB-CL'!J107</f>
        <v>0</v>
      </c>
      <c r="K12" s="295">
        <f t="shared" si="0"/>
        <v>0</v>
      </c>
      <c r="L12" s="291">
        <f>'REMUNERACION_EAAB-CL'!L107</f>
        <v>0</v>
      </c>
      <c r="M12" s="295">
        <f>K12-L12</f>
        <v>0</v>
      </c>
      <c r="N12" s="291">
        <f>'REMUNERACION_EAAB-CL'!N107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291">
        <f>'REMUNERACION_EAAB-CL'!U107</f>
        <v>0</v>
      </c>
      <c r="V12" s="291">
        <f>'REMUNERACION_EAAB-CL'!V107</f>
        <v>0</v>
      </c>
      <c r="W12" s="291">
        <f>'REMUNERACION_EAAB-CL'!W107</f>
        <v>0</v>
      </c>
      <c r="X12" s="291">
        <f>'REMUNERACION_EAAB-CL'!X107</f>
        <v>0</v>
      </c>
      <c r="Y12" s="291">
        <f>'REMUNERACION_EAAB-CL'!Y107</f>
        <v>0</v>
      </c>
      <c r="Z12" s="291">
        <f>'REMUNERACION_EAAB-CL'!Z107</f>
        <v>0</v>
      </c>
      <c r="AA12" s="291">
        <f>'REMUNERACION_EAAB-CL'!AA107</f>
        <v>0</v>
      </c>
      <c r="AB12" s="291">
        <f>'REMUNERACION_EAAB-CL'!AB107</f>
        <v>0</v>
      </c>
      <c r="AC12" s="291">
        <f>'REMUNERACION_EAAB-CL'!AC107</f>
        <v>0</v>
      </c>
      <c r="AD12" s="291">
        <f>'REMUNERACION_EAAB-CL'!AD107</f>
        <v>0</v>
      </c>
      <c r="AE12" s="291">
        <f>'REMUNERACION_EAAB-CL'!AE107</f>
        <v>0</v>
      </c>
      <c r="AF12" s="365">
        <f>SUM(U12:AD12)</f>
        <v>0</v>
      </c>
      <c r="AG12" s="366">
        <f>AF12-O12</f>
        <v>0</v>
      </c>
      <c r="AH12" s="1" t="b">
        <f t="shared" si="2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1">
        <f>'REMUNERACION_EAAB-CL'!D108</f>
        <v>0</v>
      </c>
      <c r="E13" s="291">
        <f>'REMUNERACION_EAAB-CL'!E108</f>
        <v>0</v>
      </c>
      <c r="F13" s="291">
        <f>'REMUNERACION_EAAB-CL'!F108</f>
        <v>0</v>
      </c>
      <c r="G13" s="291">
        <f>'REMUNERACION_EAAB-CL'!G108</f>
        <v>0</v>
      </c>
      <c r="H13" s="291">
        <f>'REMUNERACION_EAAB-CL'!H108</f>
        <v>0</v>
      </c>
      <c r="I13" s="291">
        <f>'REMUNERACION_EAAB-CL'!I108</f>
        <v>0</v>
      </c>
      <c r="J13" s="291">
        <f>'REMUNERACION_EAAB-CL'!J108</f>
        <v>0</v>
      </c>
      <c r="K13" s="295">
        <f t="shared" si="0"/>
        <v>0</v>
      </c>
      <c r="L13" s="291">
        <f>'REMUNERACION_EAAB-CL'!L108</f>
        <v>0</v>
      </c>
      <c r="M13" s="298">
        <f>K13-L13</f>
        <v>0</v>
      </c>
      <c r="N13" s="291">
        <f>'REMUNERACION_EAAB-CL'!N108</f>
        <v>0</v>
      </c>
      <c r="O13" s="298">
        <f t="shared" si="1"/>
        <v>0</v>
      </c>
      <c r="Q13" s="306"/>
      <c r="S13" s="324">
        <v>5</v>
      </c>
      <c r="T13" s="325" t="s">
        <v>14</v>
      </c>
      <c r="U13" s="291">
        <f>'REMUNERACION_EAAB-CL'!U108</f>
        <v>0</v>
      </c>
      <c r="V13" s="291">
        <f>'REMUNERACION_EAAB-CL'!V108</f>
        <v>0</v>
      </c>
      <c r="W13" s="291">
        <f>'REMUNERACION_EAAB-CL'!W108</f>
        <v>0</v>
      </c>
      <c r="X13" s="291">
        <f>'REMUNERACION_EAAB-CL'!X108</f>
        <v>0</v>
      </c>
      <c r="Y13" s="291">
        <f>'REMUNERACION_EAAB-CL'!Y108</f>
        <v>0</v>
      </c>
      <c r="Z13" s="291">
        <f>'REMUNERACION_EAAB-CL'!Z108</f>
        <v>0</v>
      </c>
      <c r="AA13" s="291">
        <f>'REMUNERACION_EAAB-CL'!AA108</f>
        <v>0</v>
      </c>
      <c r="AB13" s="291">
        <f>'REMUNERACION_EAAB-CL'!AB108</f>
        <v>0</v>
      </c>
      <c r="AC13" s="291">
        <f>'REMUNERACION_EAAB-CL'!AC108</f>
        <v>0</v>
      </c>
      <c r="AD13" s="291">
        <f>'REMUNERACION_EAAB-CL'!AD108</f>
        <v>0</v>
      </c>
      <c r="AE13" s="291">
        <f>'REMUNERACION_EAAB-CL'!AE108</f>
        <v>0</v>
      </c>
      <c r="AF13" s="365">
        <f>SUM(U13:AD13)</f>
        <v>0</v>
      </c>
      <c r="AG13" s="366">
        <f>AF13-O13</f>
        <v>0</v>
      </c>
      <c r="AH13" s="1" t="b">
        <f t="shared" si="2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 t="shared" ref="D14:O14" si="3">SUM(D9:D13)</f>
        <v>0</v>
      </c>
      <c r="E14" s="290">
        <f t="shared" si="3"/>
        <v>0</v>
      </c>
      <c r="F14" s="290">
        <f t="shared" si="3"/>
        <v>0</v>
      </c>
      <c r="G14" s="290">
        <f t="shared" si="3"/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 t="shared" si="3"/>
        <v>0</v>
      </c>
      <c r="L14" s="301">
        <f t="shared" si="3"/>
        <v>0</v>
      </c>
      <c r="M14" s="302">
        <f t="shared" si="3"/>
        <v>0</v>
      </c>
      <c r="N14" s="301">
        <f t="shared" si="3"/>
        <v>0</v>
      </c>
      <c r="O14" s="302">
        <f t="shared" si="3"/>
        <v>0</v>
      </c>
      <c r="P14" s="329"/>
      <c r="Q14" s="306"/>
      <c r="S14" s="327"/>
      <c r="T14" s="328" t="s">
        <v>2</v>
      </c>
      <c r="U14" s="290">
        <f>SUM(U9:U13)</f>
        <v>0</v>
      </c>
      <c r="V14" s="290">
        <f t="shared" ref="V14:AG14" si="4">SUM(V9:V13)</f>
        <v>0</v>
      </c>
      <c r="W14" s="290">
        <f t="shared" si="4"/>
        <v>0</v>
      </c>
      <c r="X14" s="290">
        <f t="shared" si="4"/>
        <v>0</v>
      </c>
      <c r="Y14" s="290">
        <f t="shared" si="4"/>
        <v>0</v>
      </c>
      <c r="Z14" s="290">
        <f t="shared" si="4"/>
        <v>0</v>
      </c>
      <c r="AA14" s="290">
        <f t="shared" si="4"/>
        <v>0</v>
      </c>
      <c r="AB14" s="290">
        <f t="shared" si="4"/>
        <v>0</v>
      </c>
      <c r="AC14" s="290">
        <f t="shared" si="4"/>
        <v>0</v>
      </c>
      <c r="AD14" s="290">
        <f t="shared" si="4"/>
        <v>0</v>
      </c>
      <c r="AE14" s="290">
        <f>SUM(AE9:AE13)</f>
        <v>0</v>
      </c>
      <c r="AF14" s="331">
        <f t="shared" si="4"/>
        <v>0</v>
      </c>
      <c r="AG14" s="290">
        <f t="shared" si="4"/>
        <v>0</v>
      </c>
      <c r="AH14" s="1" t="b">
        <f t="shared" si="2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190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s="305" customFormat="1" ht="12" x14ac:dyDescent="0.25">
      <c r="B30" s="334">
        <v>1</v>
      </c>
      <c r="C30" s="367" t="s">
        <v>10</v>
      </c>
      <c r="D30" s="307">
        <f>'REMUNERACION_EAAB-CL'!D125</f>
        <v>0</v>
      </c>
      <c r="E30" s="309">
        <f>'REMUNERACION_EAAB-CL'!E125</f>
        <v>0</v>
      </c>
      <c r="G30" s="336">
        <f>'REMUNERACION_EAAB-CL'!G125</f>
        <v>0</v>
      </c>
      <c r="H30" s="310">
        <f>'REMUNERACION_EAAB-CL'!H125</f>
        <v>0</v>
      </c>
      <c r="I30" s="309">
        <f>'REMUNERACION_EAAB-CL'!I125</f>
        <v>0</v>
      </c>
      <c r="J30" s="309">
        <f>'REMUNERACION_EAAB-CL'!J125</f>
        <v>0</v>
      </c>
      <c r="K30" s="309">
        <f>'REMUNERACION_EAAB-CL'!K125</f>
        <v>0</v>
      </c>
      <c r="L30" s="309">
        <f>'REMUNERACION_EAAB-CL'!L125</f>
        <v>0</v>
      </c>
      <c r="O30" s="337"/>
      <c r="Q30" s="306"/>
    </row>
    <row r="31" spans="1:35" s="305" customFormat="1" ht="12" x14ac:dyDescent="0.25">
      <c r="B31" s="314">
        <v>2</v>
      </c>
      <c r="C31" s="315" t="s">
        <v>11</v>
      </c>
      <c r="D31" s="316">
        <f>'REMUNERACION_EAAB-CL'!D126</f>
        <v>0</v>
      </c>
      <c r="E31" s="318">
        <f>'REMUNERACION_EAAB-CL'!E126</f>
        <v>0</v>
      </c>
      <c r="G31" s="339">
        <f>'REMUNERACION_EAAB-CL'!G126</f>
        <v>0</v>
      </c>
      <c r="H31" s="340">
        <f>'REMUNERACION_EAAB-CL'!H126</f>
        <v>0</v>
      </c>
      <c r="I31" s="288">
        <f>'REMUNERACION_EAAB-CL'!I126</f>
        <v>0</v>
      </c>
      <c r="J31" s="288">
        <f>'REMUNERACION_EAAB-CL'!J126</f>
        <v>0</v>
      </c>
      <c r="K31" s="288">
        <f>'REMUNERACION_EAAB-CL'!K126</f>
        <v>0</v>
      </c>
      <c r="L31" s="288">
        <f>'REMUNERACION_EAAB-CL'!L126</f>
        <v>0</v>
      </c>
      <c r="O31" s="337"/>
      <c r="Q31" s="306"/>
    </row>
    <row r="32" spans="1:35" s="305" customFormat="1" ht="12" x14ac:dyDescent="0.25">
      <c r="B32" s="314">
        <v>3</v>
      </c>
      <c r="C32" s="315" t="s">
        <v>12</v>
      </c>
      <c r="D32" s="316">
        <f>'REMUNERACION_EAAB-CL'!D127</f>
        <v>0</v>
      </c>
      <c r="E32" s="318">
        <f>'REMUNERACION_EAAB-CL'!E127</f>
        <v>0</v>
      </c>
      <c r="G32" s="339">
        <f>'REMUNERACION_EAAB-CL'!G127</f>
        <v>0</v>
      </c>
      <c r="H32" s="340">
        <f>'REMUNERACION_EAAB-CL'!H127</f>
        <v>0</v>
      </c>
      <c r="I32" s="288">
        <f>'REMUNERACION_EAAB-CL'!I127</f>
        <v>0</v>
      </c>
      <c r="J32" s="288">
        <f>'REMUNERACION_EAAB-CL'!J127</f>
        <v>0</v>
      </c>
      <c r="K32" s="288">
        <f>'REMUNERACION_EAAB-CL'!K127</f>
        <v>0</v>
      </c>
      <c r="L32" s="288">
        <f>'REMUNERACION_EAAB-CL'!L127</f>
        <v>0</v>
      </c>
      <c r="O32" s="337"/>
      <c r="Q32" s="306"/>
    </row>
    <row r="33" spans="1:35" s="305" customFormat="1" ht="12" x14ac:dyDescent="0.25">
      <c r="B33" s="314">
        <v>4</v>
      </c>
      <c r="C33" s="315" t="s">
        <v>13</v>
      </c>
      <c r="D33" s="316">
        <f>'REMUNERACION_EAAB-CL'!D128</f>
        <v>0</v>
      </c>
      <c r="E33" s="318">
        <f>'REMUNERACION_EAAB-CL'!E128</f>
        <v>0</v>
      </c>
      <c r="G33" s="339">
        <f>'REMUNERACION_EAAB-CL'!G128</f>
        <v>0</v>
      </c>
      <c r="H33" s="340">
        <f>'REMUNERACION_EAAB-CL'!H128</f>
        <v>0</v>
      </c>
      <c r="I33" s="288">
        <f>'REMUNERACION_EAAB-CL'!I128</f>
        <v>0</v>
      </c>
      <c r="J33" s="288">
        <f>'REMUNERACION_EAAB-CL'!J128</f>
        <v>0</v>
      </c>
      <c r="K33" s="288">
        <f>'REMUNERACION_EAAB-CL'!K128</f>
        <v>0</v>
      </c>
      <c r="L33" s="288">
        <f>'REMUNERACION_EAAB-CL'!L128</f>
        <v>0</v>
      </c>
      <c r="O33" s="337"/>
      <c r="Q33" s="306"/>
    </row>
    <row r="34" spans="1:35" s="305" customFormat="1" ht="12" x14ac:dyDescent="0.25">
      <c r="B34" s="341">
        <v>5</v>
      </c>
      <c r="C34" s="368" t="s">
        <v>14</v>
      </c>
      <c r="D34" s="316">
        <f>'REMUNERACION_EAAB-CL'!D129</f>
        <v>0</v>
      </c>
      <c r="E34" s="318">
        <f>'REMUNERACION_EAAB-CL'!E129</f>
        <v>0</v>
      </c>
      <c r="G34" s="339">
        <f>'REMUNERACION_EAAB-CL'!G129</f>
        <v>0</v>
      </c>
      <c r="H34" s="340">
        <f>'REMUNERACION_EAAB-CL'!H129</f>
        <v>0</v>
      </c>
      <c r="I34" s="288">
        <f>'REMUNERACION_EAAB-CL'!I129</f>
        <v>0</v>
      </c>
      <c r="J34" s="288">
        <f>'REMUNERACION_EAAB-CL'!J129</f>
        <v>0</v>
      </c>
      <c r="K34" s="288">
        <f>'REMUNERACION_EAAB-CL'!K129</f>
        <v>0</v>
      </c>
      <c r="L34" s="288">
        <f>'REMUNERACION_EAAB-CL'!L129</f>
        <v>0</v>
      </c>
      <c r="O34" s="337"/>
      <c r="Q34" s="306"/>
    </row>
    <row r="35" spans="1:35" s="305" customFormat="1" ht="12.6" thickBot="1" x14ac:dyDescent="0.3">
      <c r="B35" s="324" t="s">
        <v>89</v>
      </c>
      <c r="C35" s="325" t="s">
        <v>113</v>
      </c>
      <c r="D35" s="296">
        <f>'REMUNERACION_EAAB-CL'!D130</f>
        <v>0</v>
      </c>
      <c r="E35" s="289">
        <f>'REMUNERACION_EAAB-CL'!E130</f>
        <v>0</v>
      </c>
      <c r="G35" s="346"/>
      <c r="H35" s="347"/>
      <c r="I35" s="289"/>
      <c r="J35" s="289"/>
      <c r="K35" s="289"/>
      <c r="L35" s="289"/>
      <c r="O35" s="337"/>
      <c r="Q35" s="306"/>
    </row>
    <row r="36" spans="1:35" s="305" customFormat="1" ht="12.6" thickBot="1" x14ac:dyDescent="0.3">
      <c r="B36" s="348"/>
      <c r="C36" s="349" t="s">
        <v>2</v>
      </c>
      <c r="D36" s="350">
        <f t="shared" ref="D36:E36" si="5">SUM(D30:D34)</f>
        <v>0</v>
      </c>
      <c r="E36" s="350">
        <f t="shared" si="5"/>
        <v>0</v>
      </c>
      <c r="F36" s="351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351"/>
      <c r="N36" s="351"/>
      <c r="O36" s="352"/>
      <c r="P36" s="329"/>
      <c r="Q36" s="306"/>
    </row>
    <row r="37" spans="1:35" ht="12" x14ac:dyDescent="0.25">
      <c r="B37" s="2"/>
      <c r="C37" s="2"/>
      <c r="D37" s="24"/>
      <c r="Q37" s="4"/>
      <c r="AI37" s="305"/>
    </row>
    <row r="38" spans="1:35" ht="12" x14ac:dyDescent="0.25">
      <c r="B38" s="2"/>
      <c r="C38" s="2"/>
      <c r="D38" s="24"/>
      <c r="L38" s="1" t="s">
        <v>1</v>
      </c>
      <c r="Q38" s="4"/>
      <c r="AI38" s="305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5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67" t="b">
        <f>D14='REMUNERACION_EAAB-CL'!D109</f>
        <v>1</v>
      </c>
      <c r="E44" s="267" t="b">
        <f>E14='REMUNERACION_EAAB-CL'!E109</f>
        <v>1</v>
      </c>
      <c r="F44" s="267" t="b">
        <f>F14='REMUNERACION_EAAB-CL'!F109</f>
        <v>1</v>
      </c>
      <c r="G44" s="267" t="b">
        <f>G14='REMUNERACION_EAAB-CL'!G109</f>
        <v>1</v>
      </c>
      <c r="H44" s="267" t="b">
        <f>H14='REMUNERACION_EAAB-CL'!H109</f>
        <v>1</v>
      </c>
      <c r="I44" s="267" t="b">
        <f>I14='REMUNERACION_EAAB-CL'!I109</f>
        <v>1</v>
      </c>
      <c r="J44" s="267" t="b">
        <f>J14='REMUNERACION_EAAB-CL'!J109</f>
        <v>1</v>
      </c>
      <c r="K44" s="267" t="b">
        <f>K14='REMUNERACION_EAAB-CL'!K109</f>
        <v>1</v>
      </c>
      <c r="L44" s="267" t="b">
        <f>L14='REMUNERACION_EAAB-CL'!L109</f>
        <v>1</v>
      </c>
      <c r="M44" s="267" t="b">
        <f>M14='REMUNERACION_EAAB-CL'!M109</f>
        <v>1</v>
      </c>
      <c r="N44" s="267" t="b">
        <f>N14='REMUNERACION_EAAB-CL'!N109</f>
        <v>1</v>
      </c>
      <c r="O44" s="267" t="b">
        <f>O14='REMUNERACION_EAAB-CL'!O109</f>
        <v>1</v>
      </c>
      <c r="Q44" s="24"/>
      <c r="T44" s="24"/>
    </row>
    <row r="45" spans="1:35" x14ac:dyDescent="0.2">
      <c r="D45" s="267" t="b">
        <f>D36='REMUNERACION_EAAB-CL'!D131</f>
        <v>1</v>
      </c>
      <c r="E45" s="267" t="b">
        <f>E36='REMUNERACION_EAAB-CL'!E131</f>
        <v>1</v>
      </c>
      <c r="F45" s="267" t="b">
        <f>F36='REMUNERACION_EAAB-CL'!F131</f>
        <v>1</v>
      </c>
      <c r="G45" s="267" t="b">
        <f>G36='REMUNERACION_EAAB-CL'!G131</f>
        <v>1</v>
      </c>
      <c r="H45" s="267" t="b">
        <f>H36='REMUNERACION_EAAB-CL'!H131</f>
        <v>1</v>
      </c>
      <c r="I45" s="267" t="b">
        <f>I36='REMUNERACION_EAAB-CL'!I131</f>
        <v>1</v>
      </c>
      <c r="J45" s="267" t="b">
        <f>J36='REMUNERACION_EAAB-CL'!J131</f>
        <v>1</v>
      </c>
      <c r="K45" s="267" t="b">
        <f>K36='REMUNERACION_EAAB-CL'!K131</f>
        <v>1</v>
      </c>
      <c r="L45" s="267" t="b">
        <f>L36='REMUNERACION_EAAB-CL'!L131</f>
        <v>1</v>
      </c>
      <c r="M45" s="267" t="b">
        <f>M36='REMUNERACION_EAAB-CL'!M131</f>
        <v>1</v>
      </c>
      <c r="N45" s="267" t="b">
        <f>N36='REMUNERACION_EAAB-CL'!N131</f>
        <v>1</v>
      </c>
      <c r="O45" s="267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topLeftCell="D1" workbookViewId="0">
      <selection activeCell="D9" sqref="D9:O14"/>
    </sheetView>
  </sheetViews>
  <sheetFormatPr baseColWidth="10" defaultColWidth="11.441406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44140625" style="609"/>
  </cols>
  <sheetData>
    <row r="1" spans="2:20" customFormat="1" ht="13.2" x14ac:dyDescent="0.25"/>
    <row r="2" spans="2:20" customFormat="1" ht="13.2" x14ac:dyDescent="0.25">
      <c r="T2" s="142" t="s">
        <v>329</v>
      </c>
    </row>
    <row r="3" spans="2:20" customFormat="1" x14ac:dyDescent="0.25">
      <c r="F3" s="660" t="s">
        <v>8</v>
      </c>
      <c r="H3" s="660" t="s">
        <v>16</v>
      </c>
      <c r="L3" s="660" t="s">
        <v>227</v>
      </c>
      <c r="M3" s="660" t="s">
        <v>340</v>
      </c>
      <c r="T3" s="142"/>
    </row>
    <row r="4" spans="2:20" customFormat="1" x14ac:dyDescent="0.25">
      <c r="F4" s="660" t="s">
        <v>29</v>
      </c>
    </row>
    <row r="5" spans="2:20" customFormat="1" x14ac:dyDescent="0.25">
      <c r="F5" s="660" t="s">
        <v>228</v>
      </c>
    </row>
    <row r="6" spans="2:20" customFormat="1" x14ac:dyDescent="0.25">
      <c r="C6" s="660" t="s">
        <v>229</v>
      </c>
      <c r="D6" s="660" t="s">
        <v>341</v>
      </c>
      <c r="F6" s="660" t="s">
        <v>230</v>
      </c>
    </row>
    <row r="7" spans="2:20" customFormat="1" x14ac:dyDescent="0.25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20" customFormat="1" ht="43.2" x14ac:dyDescent="0.25">
      <c r="B8" s="661" t="s">
        <v>3</v>
      </c>
      <c r="C8" s="661" t="s">
        <v>233</v>
      </c>
      <c r="D8" s="661" t="s">
        <v>234</v>
      </c>
      <c r="E8" s="661" t="s">
        <v>235</v>
      </c>
      <c r="F8" s="661" t="s">
        <v>236</v>
      </c>
      <c r="G8" s="661" t="s">
        <v>237</v>
      </c>
      <c r="H8" s="661" t="s">
        <v>238</v>
      </c>
      <c r="I8" s="661" t="s">
        <v>239</v>
      </c>
      <c r="J8" s="661" t="s">
        <v>240</v>
      </c>
      <c r="K8" s="661" t="s">
        <v>241</v>
      </c>
      <c r="L8" s="661" t="s">
        <v>242</v>
      </c>
      <c r="M8" s="661" t="s">
        <v>243</v>
      </c>
      <c r="N8" s="661" t="s">
        <v>244</v>
      </c>
      <c r="O8" s="661" t="s">
        <v>245</v>
      </c>
    </row>
    <row r="9" spans="2:20" customFormat="1" ht="13.2" x14ac:dyDescent="0.25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20" customFormat="1" ht="13.2" x14ac:dyDescent="0.25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20" customFormat="1" ht="13.2" x14ac:dyDescent="0.25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20" customFormat="1" ht="13.2" x14ac:dyDescent="0.25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20" customFormat="1" ht="13.2" x14ac:dyDescent="0.25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20" customFormat="1" ht="13.2" x14ac:dyDescent="0.25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5" spans="2:20" customFormat="1" ht="13.2" x14ac:dyDescent="0.25"/>
    <row r="16" spans="2:20" customFormat="1" ht="13.2" x14ac:dyDescent="0.25">
      <c r="C16" s="662" t="s">
        <v>323</v>
      </c>
    </row>
    <row r="18" spans="2:15" x14ac:dyDescent="0.3">
      <c r="E18" s="611" t="s">
        <v>249</v>
      </c>
    </row>
    <row r="19" spans="2:15" x14ac:dyDescent="0.3">
      <c r="F19" s="611" t="s">
        <v>25</v>
      </c>
    </row>
    <row r="22" spans="2:15" ht="36" x14ac:dyDescent="0.3">
      <c r="C22" s="646" t="s">
        <v>9</v>
      </c>
      <c r="D22" s="646" t="s">
        <v>4</v>
      </c>
      <c r="E22" s="646" t="s">
        <v>5</v>
      </c>
      <c r="F22" s="646" t="s">
        <v>6</v>
      </c>
      <c r="G22" s="646" t="s">
        <v>159</v>
      </c>
      <c r="H22" s="646" t="s">
        <v>18</v>
      </c>
      <c r="I22" s="646" t="s">
        <v>24</v>
      </c>
      <c r="J22" s="646" t="s">
        <v>19</v>
      </c>
      <c r="K22" s="647" t="s">
        <v>20</v>
      </c>
      <c r="L22" s="646" t="s">
        <v>21</v>
      </c>
      <c r="M22" s="647" t="s">
        <v>22</v>
      </c>
      <c r="N22" s="646" t="s">
        <v>7</v>
      </c>
      <c r="O22" s="647" t="s">
        <v>23</v>
      </c>
    </row>
    <row r="23" spans="2:15" x14ac:dyDescent="0.3">
      <c r="B23" s="610" t="s">
        <v>115</v>
      </c>
      <c r="C23" s="610" t="s">
        <v>10</v>
      </c>
      <c r="D23" s="648">
        <f>D9-'CONSOLIDADO_TOTAL RECAUDO'!D104</f>
        <v>0</v>
      </c>
      <c r="E23" s="648">
        <f>E9-'CONSOLIDADO_TOTAL RECAUDO'!E104</f>
        <v>0</v>
      </c>
      <c r="F23" s="648">
        <f>F9-'CONSOLIDADO_TOTAL RECAUDO'!F104</f>
        <v>0</v>
      </c>
      <c r="G23" s="648">
        <f>G9-'CONSOLIDADO_TOTAL RECAUDO'!G104</f>
        <v>0</v>
      </c>
      <c r="H23" s="648">
        <f>H9-'CONSOLIDADO_TOTAL RECAUDO'!H104</f>
        <v>0</v>
      </c>
      <c r="I23" s="648">
        <f>I9-'CONSOLIDADO_TOTAL RECAUDO'!I104</f>
        <v>0</v>
      </c>
      <c r="J23" s="648">
        <f>J9-'CONSOLIDADO_TOTAL RECAUDO'!J104</f>
        <v>0</v>
      </c>
      <c r="K23" s="648">
        <f>K9-'CONSOLIDADO_TOTAL RECAUDO'!K104</f>
        <v>0</v>
      </c>
      <c r="L23" s="648">
        <f>L9-'CONSOLIDADO_TOTAL RECAUDO'!L104</f>
        <v>-189185988</v>
      </c>
      <c r="M23" s="648">
        <f>M9-'CONSOLIDADO_TOTAL RECAUDO'!M104</f>
        <v>189185988</v>
      </c>
      <c r="N23" s="648">
        <f>N9-'CONSOLIDADO_TOTAL RECAUDO'!N104</f>
        <v>0</v>
      </c>
      <c r="O23" s="648">
        <f>O9-'CONSOLIDADO_TOTAL RECAUDO'!O104</f>
        <v>189185988</v>
      </c>
    </row>
    <row r="24" spans="2:15" x14ac:dyDescent="0.3">
      <c r="B24" s="610" t="s">
        <v>116</v>
      </c>
      <c r="C24" s="610" t="s">
        <v>11</v>
      </c>
      <c r="D24" s="648">
        <f>D10-'CONSOLIDADO_TOTAL RECAUDO'!D105</f>
        <v>0</v>
      </c>
      <c r="E24" s="648">
        <f>E10-'CONSOLIDADO_TOTAL RECAUDO'!E105</f>
        <v>0</v>
      </c>
      <c r="F24" s="648">
        <f>F10-'CONSOLIDADO_TOTAL RECAUDO'!F105</f>
        <v>0</v>
      </c>
      <c r="G24" s="648">
        <f>G10-'CONSOLIDADO_TOTAL RECAUDO'!G105</f>
        <v>0</v>
      </c>
      <c r="H24" s="648">
        <f>H10-'CONSOLIDADO_TOTAL RECAUDO'!H105</f>
        <v>0</v>
      </c>
      <c r="I24" s="648">
        <f>I10-'CONSOLIDADO_TOTAL RECAUDO'!I105</f>
        <v>0</v>
      </c>
      <c r="J24" s="648">
        <f>J10-'CONSOLIDADO_TOTAL RECAUDO'!J105</f>
        <v>0</v>
      </c>
      <c r="K24" s="648">
        <f>K10-'CONSOLIDADO_TOTAL RECAUDO'!K105</f>
        <v>0</v>
      </c>
      <c r="L24" s="648">
        <f>L10-'CONSOLIDADO_TOTAL RECAUDO'!L105</f>
        <v>-266580256</v>
      </c>
      <c r="M24" s="648">
        <f>M10-'CONSOLIDADO_TOTAL RECAUDO'!M105</f>
        <v>266580256</v>
      </c>
      <c r="N24" s="648">
        <f>N10-'CONSOLIDADO_TOTAL RECAUDO'!N105</f>
        <v>0</v>
      </c>
      <c r="O24" s="648">
        <f>O10-'CONSOLIDADO_TOTAL RECAUDO'!O105</f>
        <v>266580256</v>
      </c>
    </row>
    <row r="25" spans="2:15" x14ac:dyDescent="0.3">
      <c r="B25" s="610" t="s">
        <v>117</v>
      </c>
      <c r="C25" s="610" t="s">
        <v>246</v>
      </c>
      <c r="D25" s="648">
        <f>D11-'CONSOLIDADO_TOTAL RECAUDO'!D106</f>
        <v>0</v>
      </c>
      <c r="E25" s="648">
        <f>E11-'CONSOLIDADO_TOTAL RECAUDO'!E106</f>
        <v>0</v>
      </c>
      <c r="F25" s="648">
        <f>F11-'CONSOLIDADO_TOTAL RECAUDO'!F106</f>
        <v>0</v>
      </c>
      <c r="G25" s="648">
        <f>G11-'CONSOLIDADO_TOTAL RECAUDO'!G106</f>
        <v>0</v>
      </c>
      <c r="H25" s="648">
        <f>H11-'CONSOLIDADO_TOTAL RECAUDO'!H106</f>
        <v>0</v>
      </c>
      <c r="I25" s="648">
        <f>I11-'CONSOLIDADO_TOTAL RECAUDO'!I106</f>
        <v>0</v>
      </c>
      <c r="J25" s="648">
        <f>J11-'CONSOLIDADO_TOTAL RECAUDO'!J106</f>
        <v>0</v>
      </c>
      <c r="K25" s="648">
        <f>K11-'CONSOLIDADO_TOTAL RECAUDO'!K106</f>
        <v>0</v>
      </c>
      <c r="L25" s="648">
        <f>L11-'CONSOLIDADO_TOTAL RECAUDO'!L106</f>
        <v>-154788536</v>
      </c>
      <c r="M25" s="648">
        <f>M11-'CONSOLIDADO_TOTAL RECAUDO'!M106</f>
        <v>154788536</v>
      </c>
      <c r="N25" s="648">
        <f>N11-'CONSOLIDADO_TOTAL RECAUDO'!N106</f>
        <v>0</v>
      </c>
      <c r="O25" s="648">
        <f>O11-'CONSOLIDADO_TOTAL RECAUDO'!O106</f>
        <v>154788536</v>
      </c>
    </row>
    <row r="26" spans="2:15" x14ac:dyDescent="0.3">
      <c r="B26" s="610" t="s">
        <v>247</v>
      </c>
      <c r="C26" s="610" t="s">
        <v>13</v>
      </c>
      <c r="D26" s="648">
        <f>D12-'CONSOLIDADO_TOTAL RECAUDO'!D107</f>
        <v>0</v>
      </c>
      <c r="E26" s="648">
        <f>E12-'CONSOLIDADO_TOTAL RECAUDO'!E107</f>
        <v>0</v>
      </c>
      <c r="F26" s="648">
        <f>F12-'CONSOLIDADO_TOTAL RECAUDO'!F107</f>
        <v>0</v>
      </c>
      <c r="G26" s="648">
        <f>G12-'CONSOLIDADO_TOTAL RECAUDO'!G107</f>
        <v>0</v>
      </c>
      <c r="H26" s="648">
        <f>H12-'CONSOLIDADO_TOTAL RECAUDO'!H107</f>
        <v>0</v>
      </c>
      <c r="I26" s="648">
        <f>I12-'CONSOLIDADO_TOTAL RECAUDO'!I107</f>
        <v>0</v>
      </c>
      <c r="J26" s="648">
        <f>J12-'CONSOLIDADO_TOTAL RECAUDO'!J107</f>
        <v>0</v>
      </c>
      <c r="K26" s="648">
        <f>K12-'CONSOLIDADO_TOTAL RECAUDO'!K107</f>
        <v>0</v>
      </c>
      <c r="L26" s="648">
        <f>L12-'CONSOLIDADO_TOTAL RECAUDO'!L107</f>
        <v>-120391083</v>
      </c>
      <c r="M26" s="648">
        <f>M12-'CONSOLIDADO_TOTAL RECAUDO'!M107</f>
        <v>120391083</v>
      </c>
      <c r="N26" s="648">
        <f>N12-'CONSOLIDADO_TOTAL RECAUDO'!N107</f>
        <v>0</v>
      </c>
      <c r="O26" s="648">
        <f>O12-'CONSOLIDADO_TOTAL RECAUDO'!O107</f>
        <v>120391083</v>
      </c>
    </row>
    <row r="27" spans="2:15" x14ac:dyDescent="0.3">
      <c r="B27" s="610" t="s">
        <v>118</v>
      </c>
      <c r="C27" s="610" t="s">
        <v>14</v>
      </c>
      <c r="D27" s="648">
        <f>D13-'CONSOLIDADO_TOTAL RECAUDO'!D108</f>
        <v>0</v>
      </c>
      <c r="E27" s="648">
        <f>E13-'CONSOLIDADO_TOTAL RECAUDO'!E108</f>
        <v>0</v>
      </c>
      <c r="F27" s="648">
        <f>F13-'CONSOLIDADO_TOTAL RECAUDO'!F108</f>
        <v>0</v>
      </c>
      <c r="G27" s="648">
        <f>G13-'CONSOLIDADO_TOTAL RECAUDO'!G108</f>
        <v>0</v>
      </c>
      <c r="H27" s="648">
        <f>H13-'CONSOLIDADO_TOTAL RECAUDO'!H108</f>
        <v>0</v>
      </c>
      <c r="I27" s="648">
        <f>I13-'CONSOLIDADO_TOTAL RECAUDO'!I108</f>
        <v>0</v>
      </c>
      <c r="J27" s="648">
        <f>J13-'CONSOLIDADO_TOTAL RECAUDO'!J108</f>
        <v>0</v>
      </c>
      <c r="K27" s="648">
        <f>K13-'CONSOLIDADO_TOTAL RECAUDO'!K108</f>
        <v>0</v>
      </c>
      <c r="L27" s="648">
        <f>L13-'CONSOLIDADO_TOTAL RECAUDO'!L108</f>
        <v>-128990446</v>
      </c>
      <c r="M27" s="648">
        <f>M13-'CONSOLIDADO_TOTAL RECAUDO'!M108</f>
        <v>128990446</v>
      </c>
      <c r="N27" s="648">
        <f>N13-'CONSOLIDADO_TOTAL RECAUDO'!N108</f>
        <v>0</v>
      </c>
      <c r="O27" s="648">
        <f>O13-'CONSOLIDADO_TOTAL RECAUDO'!O108</f>
        <v>128990446</v>
      </c>
    </row>
    <row r="28" spans="2:15" x14ac:dyDescent="0.3">
      <c r="B28" s="610" t="s">
        <v>248</v>
      </c>
      <c r="C28" s="610" t="s">
        <v>70</v>
      </c>
      <c r="D28" s="648">
        <f>D14-'CONSOLIDADO_TOTAL RECAUDO'!D109</f>
        <v>0</v>
      </c>
      <c r="E28" s="648">
        <f>E14-'CONSOLIDADO_TOTAL RECAUDO'!E109</f>
        <v>0</v>
      </c>
      <c r="F28" s="648">
        <f>F14-'CONSOLIDADO_TOTAL RECAUDO'!F109</f>
        <v>0</v>
      </c>
      <c r="G28" s="648">
        <f>G14-'CONSOLIDADO_TOTAL RECAUDO'!G109</f>
        <v>0</v>
      </c>
      <c r="H28" s="648">
        <f>H14-'CONSOLIDADO_TOTAL RECAUDO'!H109</f>
        <v>0</v>
      </c>
      <c r="I28" s="648">
        <f>I14-'CONSOLIDADO_TOTAL RECAUDO'!I109</f>
        <v>0</v>
      </c>
      <c r="J28" s="648">
        <f>J14-'CONSOLIDADO_TOTAL RECAUDO'!J109</f>
        <v>0</v>
      </c>
      <c r="K28" s="648">
        <f>K14-'CONSOLIDADO_TOTAL RECAUDO'!K109</f>
        <v>0</v>
      </c>
      <c r="L28" s="648">
        <f>L14-'CONSOLIDADO_TOTAL RECAUDO'!L109</f>
        <v>-859936309</v>
      </c>
      <c r="M28" s="648">
        <f>M14-'CONSOLIDADO_TOTAL RECAUDO'!M109</f>
        <v>859936309</v>
      </c>
      <c r="N28" s="648">
        <f>N14-'CONSOLIDADO_TOTAL RECAUDO'!N109</f>
        <v>0</v>
      </c>
      <c r="O28" s="648">
        <f>O14-'CONSOLIDADO_TOTAL RECAUDO'!O109</f>
        <v>859936309</v>
      </c>
    </row>
    <row r="31" spans="2:15" ht="36" x14ac:dyDescent="0.3">
      <c r="C31" s="646" t="s">
        <v>9</v>
      </c>
      <c r="D31" s="646" t="s">
        <v>4</v>
      </c>
      <c r="E31" s="646" t="s">
        <v>5</v>
      </c>
      <c r="F31" s="646" t="s">
        <v>6</v>
      </c>
      <c r="G31" s="646" t="s">
        <v>159</v>
      </c>
      <c r="H31" s="646" t="s">
        <v>18</v>
      </c>
      <c r="I31" s="646" t="s">
        <v>24</v>
      </c>
      <c r="J31" s="709" t="s">
        <v>19</v>
      </c>
      <c r="K31" s="647" t="s">
        <v>20</v>
      </c>
      <c r="L31" s="709" t="s">
        <v>21</v>
      </c>
      <c r="M31" s="647" t="s">
        <v>22</v>
      </c>
      <c r="N31" s="646" t="s">
        <v>7</v>
      </c>
      <c r="O31" s="647" t="s">
        <v>23</v>
      </c>
    </row>
    <row r="32" spans="2:15" x14ac:dyDescent="0.3">
      <c r="B32" s="610" t="s">
        <v>115</v>
      </c>
      <c r="C32" s="338" t="s">
        <v>10</v>
      </c>
      <c r="D32" s="651" t="b">
        <f>+D23+'Reporte Componentes R1'!F89+'Rem. Anticipos R2'!E57+'Reversion Pagos R4'!D79+'Reporte Componentes R1'!F91+'AJUSTES - SF-T'!D47=D9</f>
        <v>1</v>
      </c>
      <c r="E32" s="651" t="b">
        <f>+E23+'Reporte Componentes R1'!G89+'Rem. Anticipos R2'!F57+'Reversion Pagos R4'!E79+'Reporte Componentes R1'!G91+'AJUSTES - SF-T'!E47=E9</f>
        <v>1</v>
      </c>
      <c r="F32" s="651" t="b">
        <f>+F23+'Reporte Componentes R1'!H89+'Rem. Anticipos R2'!G57+'Reversion Pagos R4'!F79+'Reporte Componentes R1'!H91+'AJUSTES - SF-T'!F47=F9</f>
        <v>1</v>
      </c>
      <c r="G32" s="651" t="b">
        <f>+G23+'Reporte Componentes R1'!I89+'Rem. Anticipos R2'!H57+'Reversion Pagos R4'!G79+'Reporte Componentes R1'!I91+'AJUSTES - SF-T'!G47=G9</f>
        <v>1</v>
      </c>
      <c r="H32" s="651" t="b">
        <f>+H23+'Reporte Componentes R1'!J89+'Rem. Anticipos R2'!I57+'Reversion Pagos R4'!H79+'Reporte Componentes R1'!J91+'AJUSTES - SF-T'!H47=H9</f>
        <v>1</v>
      </c>
      <c r="I32" s="651" t="b">
        <f>+I23+'Reporte Componentes R1'!K89+'Rem. Anticipos R2'!J57+'Reversion Pagos R4'!I79+'Reporte Componentes R1'!K91+'AJUSTES - SF-T'!I47=I9</f>
        <v>1</v>
      </c>
      <c r="J32" s="651" t="b">
        <f>+'BCE SC POR FACT.'!F3+J23=J9</f>
        <v>1</v>
      </c>
      <c r="K32" s="651" t="b">
        <f>('Reporte Componentes R1'!F89+'Rem. Anticipos R2'!E57+'Reversion Pagos R4'!D79+'Reporte Componentes R1'!F91-('Reporte Componentes R1'!G89+'Rem. Anticipos R2'!F57+'Reversion Pagos R4'!E79+'Reporte Componentes R1'!G91+'Reporte Componentes R1'!H89+'Rem. Anticipos R2'!G57+'Reversion Pagos R4'!F79+'Reporte Componentes R1'!H91+'Reporte Componentes R1'!I89+'Rem. Anticipos R2'!H57+'Reversion Pagos R4'!G79+'Reporte Componentes R1'!I91+'Reporte Componentes R1'!J89+'Rem. Anticipos R2'!I57+'Reversion Pagos R4'!H79+'Reporte Componentes R1'!J91+'Reporte Componentes R1'!K89+'Rem. Anticipos R2'!J57+'Reversion Pagos R4'!I79+'Reporte Componentes R1'!K91+'BCE SC POR FACT.'!F3)+K23)+'AJUSTES - SF-T'!K47=K9</f>
        <v>1</v>
      </c>
      <c r="L32" s="698" t="b">
        <f>INTERVENTORIA!M26+L23=L9</f>
        <v>1</v>
      </c>
      <c r="M32" s="648" t="b">
        <f>((('Reporte Componentes R1'!F89+'Rem. Anticipos R2'!E57+'Reversion Pagos R4'!D79+'Reporte Componentes R1'!F91-('Reporte Componentes R1'!G89+'Rem. Anticipos R2'!F57+'Reversion Pagos R4'!E79+'Reporte Componentes R1'!G91+'Reporte Componentes R1'!H89+'Rem. Anticipos R2'!G57+'Reversion Pagos R4'!F79+'Reporte Componentes R1'!H91+'Reporte Componentes R1'!I89+'Rem. Anticipos R2'!H57+'Reversion Pagos R4'!G79+'Reporte Componentes R1'!I91+'Reporte Componentes R1'!J89+'Rem. Anticipos R2'!I57+'Reversion Pagos R4'!H79+'Reporte Componentes R1'!J91+'Reporte Componentes R1'!K89+'Rem. Anticipos R2'!J57+'Reversion Pagos R4'!I79+'Reporte Componentes R1'!K91+'BCE SC POR FACT.'!F3))-INTERVENTORIA!F15)+M23)+'AJUSTES - SF-T'!M47=M9</f>
        <v>1</v>
      </c>
      <c r="N32" s="648" t="b">
        <f>'Reporte Componentes R1'!L89+'Rem. Anticipos R2'!K57+'Reversion Pagos R4'!P79+'Reporte Componentes R1'!L91+N23=N9</f>
        <v>1</v>
      </c>
      <c r="O32" s="648" t="b">
        <f>((('Reporte Componentes R1'!F89+'Rem. Anticipos R2'!E57+'Reversion Pagos R4'!D79+'Reporte Componentes R1'!F91-('Reporte Componentes R1'!G89+'Rem. Anticipos R2'!F57+'Reversion Pagos R4'!E79+'Reporte Componentes R1'!G91+'Reporte Componentes R1'!H89+'Rem. Anticipos R2'!G57+'Reversion Pagos R4'!F79+'Reporte Componentes R1'!H91+'Reporte Componentes R1'!I89+'Rem. Anticipos R2'!H57+'Reversion Pagos R4'!G79+'Reporte Componentes R1'!I91+'Reporte Componentes R1'!J89+'Rem. Anticipos R2'!I57+'Reversion Pagos R4'!H79+'Reporte Componentes R1'!J91+'Reporte Componentes R1'!K89+'Rem. Anticipos R2'!J57+'Reversion Pagos R4'!I79+'Reporte Componentes R1'!K91+'BCE SC POR FACT.'!F3))-INTERVENTORIA!M26))+'Reporte Componentes R1'!L89+'Rem. Anticipos R2'!K57+'Reversion Pagos R4'!P79+'Reporte Componentes R1'!L91+O23+'AJUSTES - SF-T'!O47=O9</f>
        <v>1</v>
      </c>
    </row>
    <row r="33" spans="2:15" x14ac:dyDescent="0.3">
      <c r="B33" s="610" t="s">
        <v>116</v>
      </c>
      <c r="C33" s="338" t="s">
        <v>11</v>
      </c>
      <c r="D33" s="651" t="b">
        <f>+D24+'Reporte Componentes R1'!F323+'Rem. Anticipos R2'!E178+'Reversion Pagos R4'!D180+'Reporte Componentes R1'!F325+'AJUSTES - SF-T'!D48=D10</f>
        <v>1</v>
      </c>
      <c r="E33" s="651" t="b">
        <f>+E24+'Reporte Componentes R1'!G323+'Rem. Anticipos R2'!F178+'Reversion Pagos R4'!E180+'Reporte Componentes R1'!G325+'AJUSTES - SF-T'!E48=E10</f>
        <v>1</v>
      </c>
      <c r="F33" s="651" t="b">
        <f>+F24+'Reporte Componentes R1'!H323+'Rem. Anticipos R2'!G178+'Reversion Pagos R4'!F180+'Reporte Componentes R1'!H325+'AJUSTES - SF-T'!F48=F10</f>
        <v>1</v>
      </c>
      <c r="G33" s="651" t="b">
        <f>+G24+'Reporte Componentes R1'!I323+'Rem. Anticipos R2'!H178+'Reversion Pagos R4'!G180+'Reporte Componentes R1'!I325+'AJUSTES - SF-T'!G48=G10</f>
        <v>1</v>
      </c>
      <c r="H33" s="651" t="b">
        <f>+H24+'Reporte Componentes R1'!J323+'Rem. Anticipos R2'!I178+'Reversion Pagos R4'!H180+'Reporte Componentes R1'!J325+'AJUSTES - SF-T'!H48=H10</f>
        <v>1</v>
      </c>
      <c r="I33" s="651" t="b">
        <f>+I24+'Reporte Componentes R1'!K323+'Rem. Anticipos R2'!J178+'Reversion Pagos R4'!I180+'Reporte Componentes R1'!K325+'AJUSTES - SF-T'!I48=I10</f>
        <v>1</v>
      </c>
      <c r="J33" s="651" t="b">
        <f>+'BCE SC POR FACT.'!F4+J24=J10</f>
        <v>1</v>
      </c>
      <c r="K33" s="648" t="b">
        <f>('Reporte Componentes R1'!F323+'Rem. Anticipos R2'!E178+'Reversion Pagos R4'!D180+'Reporte Componentes R1'!F325-('Reporte Componentes R1'!G323+'Rem. Anticipos R2'!F178+'Reversion Pagos R4'!E180+'Reporte Componentes R1'!G325+'Reporte Componentes R1'!H323+'Rem. Anticipos R2'!G178+'Reversion Pagos R4'!F180+'Reporte Componentes R1'!H325+'Reporte Componentes R1'!I323+'Rem. Anticipos R2'!H178+'Reversion Pagos R4'!G180+'Reporte Componentes R1'!I325+'Reporte Componentes R1'!J323+'Rem. Anticipos R2'!I178+'Reversion Pagos R4'!H180+'Reporte Componentes R1'!J325+'Reporte Componentes R1'!K323+'Rem. Anticipos R2'!J178+'Reversion Pagos R4'!I180+'Reporte Componentes R1'!K325+'BCE SC POR FACT.'!F4)+K24)+'AJUSTES - SF-T'!K48=K10</f>
        <v>1</v>
      </c>
      <c r="L33" s="698" t="b">
        <f>INTERVENTORIA!M27+L24=L10</f>
        <v>1</v>
      </c>
      <c r="M33" s="648" t="b">
        <f>((('Reporte Componentes R1'!F323+'Rem. Anticipos R2'!E178+'Reversion Pagos R4'!D180+'Reporte Componentes R1'!F325-('Reporte Componentes R1'!G323+'Rem. Anticipos R2'!F178+'Reversion Pagos R4'!E180+'Reporte Componentes R1'!G325+'Reporte Componentes R1'!H323+'Rem. Anticipos R2'!G178+'Reversion Pagos R4'!F180+'Reporte Componentes R1'!H325+'Reporte Componentes R1'!I323+'Rem. Anticipos R2'!H178+'Reversion Pagos R4'!G180+'Reporte Componentes R1'!I325+'Reporte Componentes R1'!J323+'Rem. Anticipos R2'!I178+'Reversion Pagos R4'!H180+'Reporte Componentes R1'!J325+'Reporte Componentes R1'!K323+'Rem. Anticipos R2'!J178+'Reversion Pagos R4'!I180+'Reporte Componentes R1'!K325+'BCE SC POR FACT.'!F4))+M24)-INTERVENTORIA!F16)+'AJUSTES - SF-T'!M48=M10</f>
        <v>1</v>
      </c>
      <c r="N33" s="648" t="b">
        <f>+'Reporte Componentes R1'!L323+'Rem. Anticipos R2'!K178+'Reversion Pagos R4'!P180+'Reporte Componentes R1'!L325+N24=N10</f>
        <v>1</v>
      </c>
      <c r="O33" s="648" t="b">
        <f>((('Reporte Componentes R1'!F323+'Rem. Anticipos R2'!E178+'Reversion Pagos R4'!D180+'Reporte Componentes R1'!F325-('Reporte Componentes R1'!G323+'Rem. Anticipos R2'!F178+'Reversion Pagos R4'!E180+'Reporte Componentes R1'!G325+'Reporte Componentes R1'!H323+'Rem. Anticipos R2'!G178+'Reversion Pagos R4'!F180+'Reporte Componentes R1'!H325+'Reporte Componentes R1'!I323+'Rem. Anticipos R2'!H178+'Reversion Pagos R4'!G180+'Reporte Componentes R1'!I325+'Reporte Componentes R1'!J323+'Rem. Anticipos R2'!I178+'Reversion Pagos R4'!H180+'Reporte Componentes R1'!J325+'Reporte Componentes R1'!K323+'Rem. Anticipos R2'!J178+'Reversion Pagos R4'!I180+'Reporte Componentes R1'!K325+'BCE SC POR FACT.'!F4)))-INTERVENTORIA!M27)+O24+'Reporte Componentes R1'!L323+'Rem. Anticipos R2'!K178+'Reversion Pagos R4'!P180+'Reporte Componentes R1'!L325+'AJUSTES - SF-T'!O48=O10</f>
        <v>1</v>
      </c>
    </row>
    <row r="34" spans="2:15" x14ac:dyDescent="0.3">
      <c r="B34" s="610" t="s">
        <v>117</v>
      </c>
      <c r="C34" s="338" t="s">
        <v>12</v>
      </c>
      <c r="D34" s="651" t="b">
        <f>+'Reporte Componentes R1'!F484+'Reporte Componentes R1'!F486+'Rem. Anticipos R2'!E299+'Reversion Pagos R4'!D217+D25+'AJUSTES - SF-T'!D49=D11</f>
        <v>1</v>
      </c>
      <c r="E34" s="651" t="b">
        <f>+'Reporte Componentes R1'!G484+'Reporte Componentes R1'!G486+'Rem. Anticipos R2'!F299+'Reversion Pagos R4'!E217+E25+'AJUSTES - SF-T'!E49=E11</f>
        <v>1</v>
      </c>
      <c r="F34" s="651" t="b">
        <f>+'Reporte Componentes R1'!H484+'Reporte Componentes R1'!H486+'Rem. Anticipos R2'!G299+'Reversion Pagos R4'!F217+F25+'AJUSTES - SF-T'!F49=F11</f>
        <v>1</v>
      </c>
      <c r="G34" s="651" t="b">
        <f>+'Reporte Componentes R1'!I484+'Reporte Componentes R1'!I486+'Rem. Anticipos R2'!H299+'Reversion Pagos R4'!G217+G25+'AJUSTES - SF-T'!G49=G11</f>
        <v>1</v>
      </c>
      <c r="H34" s="651" t="b">
        <f>+'Reporte Componentes R1'!J484+'Reporte Componentes R1'!J486+'Rem. Anticipos R2'!I299+'Reversion Pagos R4'!H217+H25+'AJUSTES - SF-T'!H49=H11</f>
        <v>1</v>
      </c>
      <c r="I34" s="651" t="b">
        <f>+'Reporte Componentes R1'!K484+'Reporte Componentes R1'!K486+'Rem. Anticipos R2'!J299+'Reversion Pagos R4'!I217+I25+'AJUSTES - SF-T'!I49=I11</f>
        <v>1</v>
      </c>
      <c r="J34" s="651" t="b">
        <f>+'BCE SC POR FACT.'!F5+J25=J11</f>
        <v>1</v>
      </c>
      <c r="K34" s="648" t="b">
        <f>+'Reporte Componentes R1'!F484+'Reporte Componentes R1'!F486+'Rem. Anticipos R2'!E299+'Reversion Pagos R4'!D217-('Reporte Componentes R1'!G484+'Reporte Componentes R1'!G486+'Rem. Anticipos R2'!F299+'Reversion Pagos R4'!E217+'Reporte Componentes R1'!H484+'Reporte Componentes R1'!H486+'Rem. Anticipos R2'!G299+'Reversion Pagos R4'!F217+'Reporte Componentes R1'!I484+'Reporte Componentes R1'!I486+'Rem. Anticipos R2'!H299+'Reversion Pagos R4'!G217+'Reporte Componentes R1'!J484+'Reporte Componentes R1'!J486+'Rem. Anticipos R2'!I299+'Reversion Pagos R4'!H217+'Reporte Componentes R1'!K484+'Reporte Componentes R1'!K486+'Rem. Anticipos R2'!J299+'Reversion Pagos R4'!I217+'BCE SC POR FACT.'!F5)+K25+'AJUSTES - SF-T'!K49=K11</f>
        <v>1</v>
      </c>
      <c r="L34" s="698" t="b">
        <f>INTERVENTORIA!M28+L25=L11</f>
        <v>1</v>
      </c>
      <c r="M34" s="648" t="b">
        <f>((('Reporte Componentes R1'!F484+'Reporte Componentes R1'!F486+'Rem. Anticipos R2'!E299+'Reversion Pagos R4'!D217-('Reporte Componentes R1'!G484+'Reporte Componentes R1'!G486+'Rem. Anticipos R2'!F299+'Reversion Pagos R4'!E217+'Reporte Componentes R1'!H484+'Reporte Componentes R1'!H486+'Rem. Anticipos R2'!G299+'Reversion Pagos R4'!F217+'Reporte Componentes R1'!I484+'Reporte Componentes R1'!I486+'Rem. Anticipos R2'!H299+'Reversion Pagos R4'!G217+'Reporte Componentes R1'!J484+'Reporte Componentes R1'!J486+'Rem. Anticipos R2'!I299+'Reversion Pagos R4'!H217+'Reporte Componentes R1'!K484+'Reporte Componentes R1'!K486+'Rem. Anticipos R2'!J299+'Reversion Pagos R4'!I217+'BCE SC POR FACT.'!F5))+M25)-INTERVENTORIA!F17)+'AJUSTES - SF-T'!M49=M11</f>
        <v>1</v>
      </c>
      <c r="N34" s="648" t="b">
        <f>+'Reporte Componentes R1'!L484+'Reporte Componentes R1'!L486+'Rem. Anticipos R2'!K299+'Reversion Pagos R4'!P217+N25=N11</f>
        <v>1</v>
      </c>
      <c r="O34" s="648" t="b">
        <f>((('Reporte Componentes R1'!F484+'Reporte Componentes R1'!F486+'Rem. Anticipos R2'!E299+'Reversion Pagos R4'!D217-('Reporte Componentes R1'!G484+'Reporte Componentes R1'!G486+'Rem. Anticipos R2'!F299+'Reversion Pagos R4'!E217+'Reporte Componentes R1'!H484+'Reporte Componentes R1'!H486+'Rem. Anticipos R2'!G299+'Reversion Pagos R4'!F217+'Reporte Componentes R1'!I484+'Reporte Componentes R1'!I486+'Rem. Anticipos R2'!H299+'Reversion Pagos R4'!G217+'Reporte Componentes R1'!J484+'Reporte Componentes R1'!J486+'Rem. Anticipos R2'!I299+'Reversion Pagos R4'!H217+'Reporte Componentes R1'!K484+'Reporte Componentes R1'!K486+'Rem. Anticipos R2'!J299+'Reversion Pagos R4'!I217+'BCE SC POR FACT.'!F5)))-INTERVENTORIA!M28)++'Reporte Componentes R1'!L484+'Reporte Componentes R1'!L486+'Rem. Anticipos R2'!K299+'Reversion Pagos R4'!P217+O25+'AJUSTES - SF-T'!O49=O11</f>
        <v>1</v>
      </c>
    </row>
    <row r="35" spans="2:15" x14ac:dyDescent="0.3">
      <c r="B35" s="610" t="s">
        <v>247</v>
      </c>
      <c r="C35" s="338" t="s">
        <v>13</v>
      </c>
      <c r="D35" s="651" t="b">
        <f>+'Reporte Componentes R1'!F692+'Reporte Componentes R1'!F694+'Rem. Anticipos R2'!E423+'Reversion Pagos R4'!D332+D26+'AJUSTES - SF-T'!D50=D12</f>
        <v>1</v>
      </c>
      <c r="E35" s="651" t="b">
        <f>+'Reporte Componentes R1'!G692+'Reporte Componentes R1'!G694+'Rem. Anticipos R2'!F423+'Reversion Pagos R4'!E332+E26+'AJUSTES - SF-T'!E50=E12</f>
        <v>1</v>
      </c>
      <c r="F35" s="651" t="b">
        <f>+'Reporte Componentes R1'!H692+'Reporte Componentes R1'!H694+'Rem. Anticipos R2'!G423+'Reversion Pagos R4'!F332+F26+'AJUSTES - SF-T'!F50=F12</f>
        <v>1</v>
      </c>
      <c r="G35" s="651" t="b">
        <f>+'Reporte Componentes R1'!I692+'Reporte Componentes R1'!I694+'Rem. Anticipos R2'!H423+'Reversion Pagos R4'!G332+G26+'AJUSTES - SF-T'!G50=G12</f>
        <v>1</v>
      </c>
      <c r="H35" s="651" t="b">
        <f>+'Reporte Componentes R1'!J692+'Reporte Componentes R1'!J694+'Rem. Anticipos R2'!I423+'Reversion Pagos R4'!H332+H26+'AJUSTES - SF-T'!H50=H12</f>
        <v>1</v>
      </c>
      <c r="I35" s="651" t="b">
        <f>+'Reporte Componentes R1'!K692+'Reporte Componentes R1'!K694+'Rem. Anticipos R2'!J423+'Reversion Pagos R4'!I332+I26+'AJUSTES - SF-T'!I50=I12</f>
        <v>1</v>
      </c>
      <c r="J35" s="651" t="b">
        <f>+J26+'BCE SC POR FACT.'!F6=J12</f>
        <v>1</v>
      </c>
      <c r="K35" s="648" t="b">
        <f>+'Reporte Componentes R1'!F692+'Reporte Componentes R1'!F694+'Rem. Anticipos R2'!E423+'Reversion Pagos R4'!D332-('Reporte Componentes R1'!G692+'Reporte Componentes R1'!G694+'Rem. Anticipos R2'!F423+'Reversion Pagos R4'!E332+'Reporte Componentes R1'!H692+'Reporte Componentes R1'!H694+'Rem. Anticipos R2'!G423+'Reversion Pagos R4'!F332+'Reporte Componentes R1'!I692+'Reporte Componentes R1'!I694+'Rem. Anticipos R2'!H423+'Reversion Pagos R4'!G332+'Reporte Componentes R1'!J692+'Reporte Componentes R1'!J694+'Rem. Anticipos R2'!I423+'Reversion Pagos R4'!H332+'Reporte Componentes R1'!K692+'Reporte Componentes R1'!K694+'Rem. Anticipos R2'!J423+'Reversion Pagos R4'!I332+'BCE SC POR FACT.'!F6)+K26+'AJUSTES - SF-T'!K50=K12</f>
        <v>1</v>
      </c>
      <c r="L35" s="698" t="b">
        <f>INTERVENTORIA!M29+L26=L12</f>
        <v>1</v>
      </c>
      <c r="M35" s="648" t="b">
        <f>((('Reporte Componentes R1'!F692+'Reporte Componentes R1'!F694+'Rem. Anticipos R2'!E423+'Reversion Pagos R4'!D332-('Reporte Componentes R1'!G692+'Reporte Componentes R1'!G694+'Rem. Anticipos R2'!F423+'Reversion Pagos R4'!E332+'Reporte Componentes R1'!H692+'Reporte Componentes R1'!H694+'Rem. Anticipos R2'!G423+'Reversion Pagos R4'!F332+'Reporte Componentes R1'!I692+'Reporte Componentes R1'!I694+'Rem. Anticipos R2'!H423+'Reversion Pagos R4'!G332+'Reporte Componentes R1'!J692+'Reporte Componentes R1'!J694+'Rem. Anticipos R2'!I423+'Reversion Pagos R4'!H332+'Reporte Componentes R1'!K692+'Reporte Componentes R1'!K694+'Rem. Anticipos R2'!J423+'Reversion Pagos R4'!I332+'BCE SC POR FACT.'!F6))+M26)-INTERVENTORIA!F18)+'AJUSTES - SF-T'!M50=M12</f>
        <v>1</v>
      </c>
      <c r="N35" s="648" t="b">
        <f>+'Reporte Componentes R1'!L692+'Reporte Componentes R1'!L694+'Rem. Anticipos R2'!K423+'Reversion Pagos R4'!P332+N26=N12</f>
        <v>1</v>
      </c>
      <c r="O35" s="648" t="b">
        <f>((('Reporte Componentes R1'!F692+'Reporte Componentes R1'!F694+'Rem. Anticipos R2'!E423+'Reversion Pagos R4'!D332-('Reporte Componentes R1'!G692+'Reporte Componentes R1'!G694+'Rem. Anticipos R2'!F423+'Reversion Pagos R4'!E332+'Reporte Componentes R1'!H692+'Reporte Componentes R1'!H694+'Rem. Anticipos R2'!G423+'Reversion Pagos R4'!F332+'Reporte Componentes R1'!I692+'Reporte Componentes R1'!I694+'Rem. Anticipos R2'!H423+'Reversion Pagos R4'!G332+'Reporte Componentes R1'!J692+'Reporte Componentes R1'!J694+'Rem. Anticipos R2'!I423+'Reversion Pagos R4'!H332+'Reporte Componentes R1'!K692+'Reporte Componentes R1'!K694+'Rem. Anticipos R2'!J423+'Reversion Pagos R4'!I332+'BCE SC POR FACT.'!F6)))-INTERVENTORIA!M29)+'Reporte Componentes R1'!L692+'Reporte Componentes R1'!L694+'Rem. Anticipos R2'!K423+'Reversion Pagos R4'!P332+O26+'AJUSTES - SF-T'!O50=O12</f>
        <v>1</v>
      </c>
    </row>
    <row r="36" spans="2:15" x14ac:dyDescent="0.3">
      <c r="B36" s="610" t="s">
        <v>118</v>
      </c>
      <c r="C36" s="338" t="s">
        <v>14</v>
      </c>
      <c r="D36" s="651" t="b">
        <f>+D27+'Reporte Componentes R1'!F811+'Reporte Componentes R1'!F813+'Rem. Anticipos R2'!E510+'Reversion Pagos R4'!D373+'AJUSTES - SF-T'!D51=D13</f>
        <v>1</v>
      </c>
      <c r="E36" s="651" t="b">
        <f>+E27+'Reporte Componentes R1'!G811+'Reporte Componentes R1'!G813+'Rem. Anticipos R2'!F510+'Reversion Pagos R4'!E373+'AJUSTES - SF-T'!E51=E13</f>
        <v>1</v>
      </c>
      <c r="F36" s="651" t="b">
        <f>+F27+'Reporte Componentes R1'!H811+'Reporte Componentes R1'!H813+'Rem. Anticipos R2'!G510+'Reversion Pagos R4'!F373+'AJUSTES - SF-T'!F51=F13</f>
        <v>1</v>
      </c>
      <c r="G36" s="651" t="b">
        <f>+G27+'Reporte Componentes R1'!I811+'Reporte Componentes R1'!I813+'Rem. Anticipos R2'!H510+'Reversion Pagos R4'!G373+'AJUSTES - SF-T'!G51=G13</f>
        <v>1</v>
      </c>
      <c r="H36" s="651" t="b">
        <f>+H27+'Reporte Componentes R1'!J811+'Reporte Componentes R1'!J813+'Rem. Anticipos R2'!I510+'Reversion Pagos R4'!H373+'AJUSTES - SF-T'!H51=H13</f>
        <v>1</v>
      </c>
      <c r="I36" s="651" t="b">
        <f>+I27+'Reporte Componentes R1'!K811+'Reporte Componentes R1'!K813+'Rem. Anticipos R2'!J510+'Reversion Pagos R4'!I373+'AJUSTES - SF-T'!I51=I13</f>
        <v>1</v>
      </c>
      <c r="J36" s="651" t="b">
        <f>+'BCE SC POR FACT.'!F7+J27=J13</f>
        <v>1</v>
      </c>
      <c r="K36" s="648" t="b">
        <f>+'Reporte Componentes R1'!F811+'Reporte Componentes R1'!F813+'Rem. Anticipos R2'!E510+'Reversion Pagos R4'!D373-('Reporte Componentes R1'!G811+'Reporte Componentes R1'!G813+'Rem. Anticipos R2'!F510+'Reversion Pagos R4'!E373+'Reporte Componentes R1'!H811+'Reporte Componentes R1'!H813+'Rem. Anticipos R2'!G510+'Reversion Pagos R4'!F373+'Reporte Componentes R1'!I811+'Reporte Componentes R1'!I813+'Rem. Anticipos R2'!H510+'Reversion Pagos R4'!G373+'Reporte Componentes R1'!J811+'Reporte Componentes R1'!J813+'Rem. Anticipos R2'!I510+'Reversion Pagos R4'!H373+'Reporte Componentes R1'!K811+'Reporte Componentes R1'!K813+'Rem. Anticipos R2'!J510+'Reversion Pagos R4'!I373+'BCE SC POR FACT.'!F7)+K27+'AJUSTES - SF-T'!K51=K13</f>
        <v>1</v>
      </c>
      <c r="L36" s="698" t="b">
        <f>INTERVENTORIA!M30+L27=L13</f>
        <v>1</v>
      </c>
      <c r="M36" s="648" t="b">
        <f>((('Reporte Componentes R1'!F811+'Reporte Componentes R1'!F813+'Rem. Anticipos R2'!E510+'Reversion Pagos R4'!D373-('Reporte Componentes R1'!G811+'Reporte Componentes R1'!G813+'Rem. Anticipos R2'!F510+'Reversion Pagos R4'!E373+'Reporte Componentes R1'!H811+'Reporte Componentes R1'!H813+'Rem. Anticipos R2'!G510+'Reversion Pagos R4'!F373+'Reporte Componentes R1'!I811+'Reporte Componentes R1'!I813+'Rem. Anticipos R2'!H510+'Reversion Pagos R4'!G373+'Reporte Componentes R1'!J811+'Reporte Componentes R1'!J813+'Rem. Anticipos R2'!I510+'Reversion Pagos R4'!H373+'Reporte Componentes R1'!K811+'Reporte Componentes R1'!K813+'Rem. Anticipos R2'!J510+'Reversion Pagos R4'!I373+'BCE SC POR FACT.'!F7))+M27)-INTERVENTORIA!F19)+'AJUSTES - SF-T'!M51=M13</f>
        <v>1</v>
      </c>
      <c r="N36" s="648" t="b">
        <f>+'Reporte Componentes R1'!L811+'Reporte Componentes R1'!L813+'Rem. Anticipos R2'!K510+'Reversion Pagos R4'!P373+N27=N13</f>
        <v>1</v>
      </c>
      <c r="O36" s="648" t="b">
        <f>((('Reporte Componentes R1'!F811+'Reporte Componentes R1'!F813+'Rem. Anticipos R2'!E510+'Reversion Pagos R4'!D373-('Reporte Componentes R1'!G811+'Reporte Componentes R1'!G813+'Rem. Anticipos R2'!F510+'Reversion Pagos R4'!E373+'Reporte Componentes R1'!H811+'Reporte Componentes R1'!H813+'Rem. Anticipos R2'!G510+'Reversion Pagos R4'!F373+'Reporte Componentes R1'!I811+'Reporte Componentes R1'!I813+'Rem. Anticipos R2'!H510+'Reversion Pagos R4'!G373+'Reporte Componentes R1'!J811+'Reporte Componentes R1'!J813+'Rem. Anticipos R2'!I510+'Reversion Pagos R4'!H373+'Reporte Componentes R1'!K811+'Reporte Componentes R1'!K813+'Rem. Anticipos R2'!J510+'Reversion Pagos R4'!I373+'BCE SC POR FACT.'!F7)))-INTERVENTORIA!M30)+'Reporte Componentes R1'!L811+'Reporte Componentes R1'!L813+'Rem. Anticipos R2'!K510+'Reversion Pagos R4'!P373+O27+'AJUSTES - SF-T'!O51=O13</f>
        <v>1</v>
      </c>
    </row>
    <row r="38" spans="2:15" x14ac:dyDescent="0.3">
      <c r="N38" s="652"/>
    </row>
    <row r="39" spans="2:15" x14ac:dyDescent="0.3">
      <c r="D39" s="652"/>
      <c r="L39" s="697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A10" workbookViewId="0">
      <selection activeCell="A28" sqref="A28"/>
    </sheetView>
  </sheetViews>
  <sheetFormatPr baseColWidth="10" defaultColWidth="11.441406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44140625" style="609"/>
  </cols>
  <sheetData>
    <row r="1" spans="2:15" customFormat="1" ht="13.2" x14ac:dyDescent="0.25"/>
    <row r="2" spans="2:15" customFormat="1" ht="13.2" x14ac:dyDescent="0.25"/>
    <row r="3" spans="2:15" customFormat="1" x14ac:dyDescent="0.25">
      <c r="F3" s="660" t="s">
        <v>8</v>
      </c>
      <c r="H3" s="660" t="s">
        <v>16</v>
      </c>
      <c r="J3" s="660" t="s">
        <v>227</v>
      </c>
      <c r="K3" s="660" t="s">
        <v>340</v>
      </c>
    </row>
    <row r="4" spans="2:15" customFormat="1" x14ac:dyDescent="0.25">
      <c r="F4" s="660" t="s">
        <v>29</v>
      </c>
    </row>
    <row r="5" spans="2:15" customFormat="1" x14ac:dyDescent="0.25">
      <c r="F5" s="660" t="s">
        <v>228</v>
      </c>
    </row>
    <row r="6" spans="2:15" customFormat="1" x14ac:dyDescent="0.25">
      <c r="C6" s="660" t="s">
        <v>229</v>
      </c>
      <c r="D6" s="660" t="s">
        <v>341</v>
      </c>
      <c r="F6" s="660" t="s">
        <v>230</v>
      </c>
    </row>
    <row r="7" spans="2:15" customFormat="1" x14ac:dyDescent="0.25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15" customFormat="1" ht="43.2" x14ac:dyDescent="0.25">
      <c r="B8" s="661" t="s">
        <v>3</v>
      </c>
      <c r="C8" s="661" t="s">
        <v>233</v>
      </c>
      <c r="D8" s="661" t="s">
        <v>250</v>
      </c>
      <c r="E8" s="661" t="s">
        <v>251</v>
      </c>
      <c r="F8" s="661" t="s">
        <v>252</v>
      </c>
      <c r="G8" s="661" t="s">
        <v>253</v>
      </c>
      <c r="H8" s="661" t="s">
        <v>254</v>
      </c>
      <c r="I8" s="661" t="s">
        <v>255</v>
      </c>
      <c r="J8" s="661" t="s">
        <v>256</v>
      </c>
      <c r="K8" s="661" t="s">
        <v>244</v>
      </c>
      <c r="L8" s="661" t="s">
        <v>257</v>
      </c>
      <c r="M8" s="661" t="s">
        <v>258</v>
      </c>
      <c r="N8" s="661" t="s">
        <v>245</v>
      </c>
      <c r="O8" s="661" t="s">
        <v>259</v>
      </c>
    </row>
    <row r="9" spans="2:15" customFormat="1" ht="13.2" x14ac:dyDescent="0.25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15" customFormat="1" ht="13.2" x14ac:dyDescent="0.25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15" customFormat="1" ht="13.2" x14ac:dyDescent="0.25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15" customFormat="1" ht="13.2" x14ac:dyDescent="0.25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15" customFormat="1" ht="13.2" x14ac:dyDescent="0.25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15" customFormat="1" ht="13.2" x14ac:dyDescent="0.25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6" spans="2:15" x14ac:dyDescent="0.3">
      <c r="B16" s="610" t="s">
        <v>115</v>
      </c>
      <c r="C16" s="610" t="s">
        <v>10</v>
      </c>
      <c r="D16" s="648">
        <f>D9-'CONSOLIDADO_TOTAL RECAUDO'!U104</f>
        <v>0</v>
      </c>
      <c r="E16" s="648">
        <f>E9-'CONSOLIDADO_TOTAL RECAUDO'!V104</f>
        <v>0</v>
      </c>
      <c r="F16" s="648">
        <f>F9-'CONSOLIDADO_TOTAL RECAUDO'!W104</f>
        <v>0</v>
      </c>
      <c r="G16" s="648">
        <f>G9-'CONSOLIDADO_TOTAL RECAUDO'!X104</f>
        <v>0</v>
      </c>
      <c r="H16" s="648">
        <f>H9-'CONSOLIDADO_TOTAL RECAUDO'!Y104</f>
        <v>0</v>
      </c>
      <c r="I16" s="648">
        <f>I9-'CONSOLIDADO_TOTAL RECAUDO'!Z104</f>
        <v>189185988</v>
      </c>
      <c r="J16" s="648">
        <f>J9-'CONSOLIDADO_TOTAL RECAUDO'!AA104-'CONSOLIDADO_TOTAL RECAUDO'!AC104</f>
        <v>0</v>
      </c>
      <c r="K16" s="648">
        <f>K9-'CONSOLIDADO_TOTAL RECAUDO'!AB104</f>
        <v>0</v>
      </c>
      <c r="L16" s="648">
        <f>L9-'CONSOLIDADO_TOTAL RECAUDO'!AE104</f>
        <v>0</v>
      </c>
      <c r="M16" s="648">
        <f>M9-'CONSOLIDADO_TOTAL RECAUDO'!AD104</f>
        <v>0</v>
      </c>
      <c r="N16" s="648">
        <f>N9-'CONSOLIDADO_TOTAL RECAUDO'!AF104</f>
        <v>189185988</v>
      </c>
      <c r="O16" s="648">
        <f>O9-'CONSOLIDADO_TOTAL RECAUDO'!AG104</f>
        <v>0</v>
      </c>
    </row>
    <row r="17" spans="2:16" x14ac:dyDescent="0.3">
      <c r="B17" s="610" t="s">
        <v>116</v>
      </c>
      <c r="C17" s="610" t="s">
        <v>11</v>
      </c>
      <c r="D17" s="648">
        <f>D10-'CONSOLIDADO_TOTAL RECAUDO'!U105</f>
        <v>0</v>
      </c>
      <c r="E17" s="648">
        <f>E10-'CONSOLIDADO_TOTAL RECAUDO'!V105</f>
        <v>0</v>
      </c>
      <c r="F17" s="648">
        <f>F10-'CONSOLIDADO_TOTAL RECAUDO'!W105</f>
        <v>0</v>
      </c>
      <c r="G17" s="648">
        <f>G10-'CONSOLIDADO_TOTAL RECAUDO'!X105</f>
        <v>0</v>
      </c>
      <c r="H17" s="648">
        <f>H10-'CONSOLIDADO_TOTAL RECAUDO'!Y105</f>
        <v>0</v>
      </c>
      <c r="I17" s="648">
        <f>I10-'CONSOLIDADO_TOTAL RECAUDO'!Z105</f>
        <v>266580256</v>
      </c>
      <c r="J17" s="648">
        <f>J10-'CONSOLIDADO_TOTAL RECAUDO'!AA105-'CONSOLIDADO_TOTAL RECAUDO'!AC105</f>
        <v>0</v>
      </c>
      <c r="K17" s="648">
        <f>K10-'CONSOLIDADO_TOTAL RECAUDO'!AB105</f>
        <v>0</v>
      </c>
      <c r="L17" s="648">
        <f>L10-'CONSOLIDADO_TOTAL RECAUDO'!AE105</f>
        <v>0</v>
      </c>
      <c r="M17" s="648">
        <f>M10-'CONSOLIDADO_TOTAL RECAUDO'!AD105</f>
        <v>0</v>
      </c>
      <c r="N17" s="648">
        <f>N10-'CONSOLIDADO_TOTAL RECAUDO'!AF105</f>
        <v>266580256</v>
      </c>
      <c r="O17" s="648">
        <f>O10-'CONSOLIDADO_TOTAL RECAUDO'!AG105</f>
        <v>0</v>
      </c>
    </row>
    <row r="18" spans="2:16" x14ac:dyDescent="0.3">
      <c r="B18" s="610" t="s">
        <v>117</v>
      </c>
      <c r="C18" s="610" t="s">
        <v>246</v>
      </c>
      <c r="D18" s="648">
        <f>D11-'CONSOLIDADO_TOTAL RECAUDO'!U106</f>
        <v>0</v>
      </c>
      <c r="E18" s="648">
        <f>E11-'CONSOLIDADO_TOTAL RECAUDO'!V106</f>
        <v>0</v>
      </c>
      <c r="F18" s="648">
        <f>F11-'CONSOLIDADO_TOTAL RECAUDO'!W106</f>
        <v>0</v>
      </c>
      <c r="G18" s="648">
        <f>G11-'CONSOLIDADO_TOTAL RECAUDO'!X106</f>
        <v>0</v>
      </c>
      <c r="H18" s="648">
        <f>H11-'CONSOLIDADO_TOTAL RECAUDO'!Y106</f>
        <v>0</v>
      </c>
      <c r="I18" s="648">
        <f>I11-'CONSOLIDADO_TOTAL RECAUDO'!Z106</f>
        <v>154788536</v>
      </c>
      <c r="J18" s="648">
        <f>J11-'CONSOLIDADO_TOTAL RECAUDO'!AA106-'CONSOLIDADO_TOTAL RECAUDO'!AC106</f>
        <v>0</v>
      </c>
      <c r="K18" s="648">
        <f>K11-'CONSOLIDADO_TOTAL RECAUDO'!AB106</f>
        <v>0</v>
      </c>
      <c r="L18" s="648">
        <f>L11-'CONSOLIDADO_TOTAL RECAUDO'!AE106</f>
        <v>0</v>
      </c>
      <c r="M18" s="648">
        <f>M11-'CONSOLIDADO_TOTAL RECAUDO'!AD106</f>
        <v>0</v>
      </c>
      <c r="N18" s="648">
        <f>N11-'CONSOLIDADO_TOTAL RECAUDO'!AF106</f>
        <v>154788536</v>
      </c>
      <c r="O18" s="648">
        <f>O11-'CONSOLIDADO_TOTAL RECAUDO'!AG106</f>
        <v>0</v>
      </c>
    </row>
    <row r="19" spans="2:16" x14ac:dyDescent="0.3">
      <c r="B19" s="610" t="s">
        <v>247</v>
      </c>
      <c r="C19" s="610" t="s">
        <v>13</v>
      </c>
      <c r="D19" s="648">
        <f>D12-'CONSOLIDADO_TOTAL RECAUDO'!U107</f>
        <v>0</v>
      </c>
      <c r="E19" s="648">
        <f>E12-'CONSOLIDADO_TOTAL RECAUDO'!V107</f>
        <v>0</v>
      </c>
      <c r="F19" s="648">
        <f>F12-'CONSOLIDADO_TOTAL RECAUDO'!W107</f>
        <v>0</v>
      </c>
      <c r="G19" s="648">
        <f>G12-'CONSOLIDADO_TOTAL RECAUDO'!X107</f>
        <v>0</v>
      </c>
      <c r="H19" s="648">
        <f>H12-'CONSOLIDADO_TOTAL RECAUDO'!Y107</f>
        <v>0</v>
      </c>
      <c r="I19" s="648">
        <f>I12-'CONSOLIDADO_TOTAL RECAUDO'!Z107</f>
        <v>120391083</v>
      </c>
      <c r="J19" s="648">
        <f>J12-'CONSOLIDADO_TOTAL RECAUDO'!AA107-'CONSOLIDADO_TOTAL RECAUDO'!AC107</f>
        <v>0</v>
      </c>
      <c r="K19" s="648">
        <f>K12-'CONSOLIDADO_TOTAL RECAUDO'!AB107</f>
        <v>0</v>
      </c>
      <c r="L19" s="648">
        <f>L12-'CONSOLIDADO_TOTAL RECAUDO'!AE107</f>
        <v>0</v>
      </c>
      <c r="M19" s="648">
        <f>M12-'CONSOLIDADO_TOTAL RECAUDO'!AD107</f>
        <v>0</v>
      </c>
      <c r="N19" s="648">
        <f>N12-'CONSOLIDADO_TOTAL RECAUDO'!AF107</f>
        <v>120391083</v>
      </c>
      <c r="O19" s="648">
        <f>O12-'CONSOLIDADO_TOTAL RECAUDO'!AG107</f>
        <v>0</v>
      </c>
    </row>
    <row r="20" spans="2:16" x14ac:dyDescent="0.3">
      <c r="B20" s="610" t="s">
        <v>118</v>
      </c>
      <c r="C20" s="610" t="s">
        <v>14</v>
      </c>
      <c r="D20" s="648">
        <f>D13-'CONSOLIDADO_TOTAL RECAUDO'!U108</f>
        <v>0</v>
      </c>
      <c r="E20" s="648">
        <f>E13-'CONSOLIDADO_TOTAL RECAUDO'!V108</f>
        <v>0</v>
      </c>
      <c r="F20" s="648">
        <f>F13-'CONSOLIDADO_TOTAL RECAUDO'!W108</f>
        <v>0</v>
      </c>
      <c r="G20" s="648">
        <f>G13-'CONSOLIDADO_TOTAL RECAUDO'!X108</f>
        <v>0</v>
      </c>
      <c r="H20" s="648">
        <f>H13-'CONSOLIDADO_TOTAL RECAUDO'!Y108</f>
        <v>0</v>
      </c>
      <c r="I20" s="648">
        <f>I13-'CONSOLIDADO_TOTAL RECAUDO'!Z108</f>
        <v>128990446</v>
      </c>
      <c r="J20" s="648">
        <f>J13-'CONSOLIDADO_TOTAL RECAUDO'!AA108-'CONSOLIDADO_TOTAL RECAUDO'!AC108</f>
        <v>0</v>
      </c>
      <c r="K20" s="648">
        <f>K13-'CONSOLIDADO_TOTAL RECAUDO'!AB108</f>
        <v>0</v>
      </c>
      <c r="L20" s="648">
        <f>L13-'CONSOLIDADO_TOTAL RECAUDO'!AE108</f>
        <v>0</v>
      </c>
      <c r="M20" s="648">
        <f>M13-'CONSOLIDADO_TOTAL RECAUDO'!AD108</f>
        <v>0</v>
      </c>
      <c r="N20" s="648">
        <f>N13-'CONSOLIDADO_TOTAL RECAUDO'!AF108</f>
        <v>128990446</v>
      </c>
      <c r="O20" s="648">
        <f>O13-'CONSOLIDADO_TOTAL RECAUDO'!AG108</f>
        <v>0</v>
      </c>
    </row>
    <row r="21" spans="2:16" x14ac:dyDescent="0.3">
      <c r="B21" s="610" t="s">
        <v>248</v>
      </c>
      <c r="C21" s="610" t="s">
        <v>70</v>
      </c>
      <c r="D21" s="648">
        <f>D14-'CONSOLIDADO_TOTAL RECAUDO'!U109</f>
        <v>0</v>
      </c>
      <c r="E21" s="648">
        <f>E14-'CONSOLIDADO_TOTAL RECAUDO'!V109</f>
        <v>0</v>
      </c>
      <c r="F21" s="648">
        <f>F14-'CONSOLIDADO_TOTAL RECAUDO'!W109</f>
        <v>0</v>
      </c>
      <c r="G21" s="648">
        <f>G14-'CONSOLIDADO_TOTAL RECAUDO'!X109</f>
        <v>0</v>
      </c>
      <c r="H21" s="648">
        <f>H14-'CONSOLIDADO_TOTAL RECAUDO'!Y109</f>
        <v>0</v>
      </c>
      <c r="I21" s="648">
        <f>I14-'CONSOLIDADO_TOTAL RECAUDO'!Z109</f>
        <v>859936309</v>
      </c>
      <c r="J21" s="648">
        <f>J14-'CONSOLIDADO_TOTAL RECAUDO'!AA109-'CONSOLIDADO_TOTAL RECAUDO'!AC109</f>
        <v>0</v>
      </c>
      <c r="K21" s="648">
        <f>K14-'CONSOLIDADO_TOTAL RECAUDO'!AB109</f>
        <v>0</v>
      </c>
      <c r="L21" s="648">
        <f>L14-'CONSOLIDADO_TOTAL RECAUDO'!AE109</f>
        <v>0</v>
      </c>
      <c r="M21" s="648">
        <f>M14-'CONSOLIDADO_TOTAL RECAUDO'!AD109</f>
        <v>0</v>
      </c>
      <c r="N21" s="648">
        <f>N14-'CONSOLIDADO_TOTAL RECAUDO'!AF109</f>
        <v>859936309</v>
      </c>
      <c r="O21" s="648">
        <f>O14-'CONSOLIDADO_TOTAL RECAUDO'!AG109</f>
        <v>0</v>
      </c>
    </row>
    <row r="22" spans="2:16" ht="15" thickBot="1" x14ac:dyDescent="0.35">
      <c r="M22" s="652"/>
    </row>
    <row r="23" spans="2:16" ht="36.6" thickBot="1" x14ac:dyDescent="0.35">
      <c r="C23" s="27" t="s">
        <v>9</v>
      </c>
      <c r="D23" s="162" t="s">
        <v>39</v>
      </c>
      <c r="E23" s="580" t="s">
        <v>40</v>
      </c>
      <c r="F23" s="580" t="s">
        <v>41</v>
      </c>
      <c r="G23" s="163" t="s">
        <v>42</v>
      </c>
      <c r="H23" s="164" t="s">
        <v>43</v>
      </c>
      <c r="I23" s="554" t="s">
        <v>21</v>
      </c>
      <c r="J23" s="65" t="s">
        <v>46</v>
      </c>
      <c r="K23" s="65" t="s">
        <v>7</v>
      </c>
      <c r="L23" s="85" t="s">
        <v>168</v>
      </c>
      <c r="M23" s="121" t="s">
        <v>105</v>
      </c>
      <c r="N23" s="121" t="s">
        <v>104</v>
      </c>
      <c r="O23" s="39" t="s">
        <v>23</v>
      </c>
    </row>
    <row r="24" spans="2:16" x14ac:dyDescent="0.3">
      <c r="B24" s="610" t="s">
        <v>115</v>
      </c>
      <c r="C24" s="338" t="s">
        <v>10</v>
      </c>
      <c r="D24" s="663" t="b">
        <f>+'Reporte Componentes R1'!M89+'Reporte Componentes R1'!M91+'Rem. Anticipos R2'!L57+'Reversion Pagos R4'!J79+D16+'AJUSTES - SF-T'!U47=D9</f>
        <v>1</v>
      </c>
      <c r="E24" s="648" t="b">
        <f>+'Reporte Componentes R1'!N89+'Reporte Componentes R1'!N91+'Rem. Anticipos R2'!M57+'Reversion Pagos R4'!K79+E16+'AJUSTES - SF-T'!V47=E9</f>
        <v>1</v>
      </c>
      <c r="F24" s="648" t="b">
        <f>+'Reporte Componentes R1'!O89+'Reporte Componentes R1'!O91+'Rem. Anticipos R2'!N57+'Reversion Pagos R4'!L79+F16+'AJUSTES - SF-T'!W47=F9</f>
        <v>1</v>
      </c>
      <c r="G24" s="648" t="b">
        <f>+'Reporte Componentes R1'!P89+'Reporte Componentes R1'!P91+'Rem. Anticipos R2'!O57+'Reversion Pagos R4'!M79+G16+'AJUSTES - SF-T'!X47=G9</f>
        <v>1</v>
      </c>
      <c r="H24" s="648" t="b">
        <f>+'Reporte Componentes R1'!Q89+'Reporte Componentes R1'!Q91+'Rem. Anticipos R2'!P57+'Reversion Pagos R4'!N79+H16+'AJUSTES - SF-T'!Y47=H9</f>
        <v>1</v>
      </c>
      <c r="I24" s="698" t="b">
        <f>-INTERVENTORIA!M26+I16=I9</f>
        <v>1</v>
      </c>
      <c r="J24" s="648" t="b">
        <f>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SF-T'!AA47+J16=J9</f>
        <v>1</v>
      </c>
      <c r="K24" s="648" t="b">
        <f>+DetRetri2026092!N32</f>
        <v>1</v>
      </c>
      <c r="L24" s="648" t="b">
        <f>'Reporte Componentes R1'!F90+'Rem. Anticipos R2'!E58+'Reporte Componentes R1'!F92+'Reversion Pagos R4'!D80+'AJUSTES - SF-T'!AD47+L16=L9</f>
        <v>1</v>
      </c>
      <c r="M24" s="648" t="b">
        <f>-'BCE SC POR FACT.'!F3+'Reporte Componentes R1'!F90+'Rem. Anticipos R2'!E58+'Reporte Componentes R1'!F92+'Reversion Pagos R4'!D80+'AJUSTES - SF-T'!AD47+M16=M9</f>
        <v>1</v>
      </c>
      <c r="N24" s="648" t="b">
        <f>'Reporte Componentes R1'!F90+'Rem. Anticipos R2'!E58+'Reporte Componentes R1'!F92+'Reversion Pagos R4'!D80+'AJUSTES - SF-T'!AD47+L16=L9</f>
        <v>1</v>
      </c>
      <c r="O24" s="648" t="b">
        <f>'Reporte Componentes R1'!M89+'Reporte Componentes R1'!M91+'Rem. Anticipos R2'!L57+'Reversion Pagos R4'!J79+'Reporte Componentes R1'!N89+'Reporte Componentes R1'!N91+'Rem. Anticipos R2'!M57+'Reversion Pagos R4'!K79+'Reporte Componentes R1'!O89+'Reporte Componentes R1'!O91+'Rem. Anticipos R2'!N57+'Reversion Pagos R4'!L79+'Reporte Componentes R1'!P89+'Reporte Componentes R1'!P91+'Rem. Anticipos R2'!O57+'Reversion Pagos R4'!M79+'Reporte Componentes R1'!Q89+'Reporte Componentes R1'!Q91+'Rem. Anticipos R2'!P57+'Reversion Pagos R4'!N79-INTERVENTORIA!J4+'Reporte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SF-T'!AA47+'Reporte Componentes R1'!L89+'Rem. Anticipos R2'!K57+'Reversion Pagos R4'!P79+'Reporte Componentes R1'!L91-'BCE SC POR FACT.'!F3+'Reporte Componentes R1'!F90+'Rem. Anticipos R2'!E58+'Reporte Componentes R1'!F92+'Reversion Pagos R4'!D80+'AJUSTES - SF-T'!AD47+N16=N9</f>
        <v>1</v>
      </c>
    </row>
    <row r="25" spans="2:16" x14ac:dyDescent="0.3">
      <c r="B25" s="610" t="s">
        <v>116</v>
      </c>
      <c r="C25" s="338" t="s">
        <v>11</v>
      </c>
      <c r="D25" s="654" t="b">
        <f>+'Reporte Componentes R1'!M323+'Rem. Anticipos R2'!L178+'Reversion Pagos R4'!J180+'Reporte Componentes R1'!M325+D17+'AJUSTES - SF-T'!U48=D10</f>
        <v>1</v>
      </c>
      <c r="E25" s="654" t="b">
        <f>+'Reporte Componentes R1'!N323+'Rem. Anticipos R2'!M178+'Reversion Pagos R4'!K180+'Reporte Componentes R1'!N325+E17+'AJUSTES - SF-T'!V48=E10</f>
        <v>1</v>
      </c>
      <c r="F25" s="654" t="b">
        <f>+'Reporte Componentes R1'!O323+'Rem. Anticipos R2'!N178+'Reversion Pagos R4'!L180+'Reporte Componentes R1'!O325+F17+'AJUSTES - SF-T'!W48=F10</f>
        <v>1</v>
      </c>
      <c r="G25" s="654" t="b">
        <f>+'Reporte Componentes R1'!P323+'Rem. Anticipos R2'!O178+'Reversion Pagos R4'!M180+'Reporte Componentes R1'!P325+G17+'AJUSTES - SF-T'!X48=G10</f>
        <v>1</v>
      </c>
      <c r="H25" s="654" t="b">
        <f>+'Reporte Componentes R1'!Q323+'Rem. Anticipos R2'!P178+'Reversion Pagos R4'!N180+'Reporte Componentes R1'!Q325+H17+'AJUSTES - SF-T'!Y48=H10</f>
        <v>1</v>
      </c>
      <c r="I25" s="698" t="b">
        <f>-INTERVENTORIA!M27+I17=I10</f>
        <v>1</v>
      </c>
      <c r="J25" s="654" t="b">
        <f>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SF-T'!AA48+J17=J10</f>
        <v>1</v>
      </c>
      <c r="K25" s="654" t="b">
        <f>+DetRetri2026092!N33</f>
        <v>1</v>
      </c>
      <c r="L25" s="648" t="b">
        <f>+'Reporte Componentes R1'!F324+'Rem. Anticipos R2'!E179+'Reporte Componentes R1'!F326+'Reversion Pagos R4'!D181+'AJUSTES - SF-T'!AD48+L17=L10</f>
        <v>1</v>
      </c>
      <c r="M25" s="715">
        <f>-'BCE SC POR FACT.'!F4+'Reporte Componentes R1'!F324+'Rem. Anticipos R2'!E179+'Reporte Componentes R1'!F326+'Reversion Pagos R4'!D181+'AJUSTES - SF-T'!AD48+M17-M10</f>
        <v>0</v>
      </c>
      <c r="N25" s="648" t="b">
        <f>'Reporte Componentes R1'!F324+'Rem. Anticipos R2'!E179+'Reporte Componentes R1'!F326+'Reversion Pagos R4'!D181+'AJUSTES - SF-T'!AD48+L17=L10</f>
        <v>1</v>
      </c>
      <c r="O25" s="648" t="b">
        <f>'Reporte Componentes R1'!M323+'Rem. Anticipos R2'!L178+'Reversion Pagos R4'!J180+'Reporte Componentes R1'!M325+'Reporte Componentes R1'!N323+'Rem. Anticipos R2'!M178+'Reversion Pagos R4'!K180+'Reporte Componentes R1'!N325+'Reporte Componentes R1'!O323+'Rem. Anticipos R2'!N178+'Reversion Pagos R4'!L180+'Reporte Componentes R1'!O325+'Reporte Componentes R1'!P323+'Rem. Anticipos R2'!O178+'Reversion Pagos R4'!M180+'Reporte Componentes R1'!P325+'Reporte Componentes R1'!Q323+'Rem. Anticipos R2'!P178+'Reversion Pagos R4'!N180+'Reporte Componentes R1'!Q325-INTERVENTORIA!I5+'Reporte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SF-T'!AA48+'Reporte Componentes R1'!L323+'Rem. Anticipos R2'!K178+'Reversion Pagos R4'!P180+'Reporte Componentes R1'!L325-'BCE SC POR FACT.'!F4+'Reporte Componentes R1'!F324+'Rem. Anticipos R2'!E179+'Reporte Componentes R1'!F326+'Reversion Pagos R4'!D181+'AJUSTES - SF-T'!AD48+N17=N10</f>
        <v>0</v>
      </c>
      <c r="P25" s="653"/>
    </row>
    <row r="26" spans="2:16" x14ac:dyDescent="0.3">
      <c r="B26" s="610" t="s">
        <v>117</v>
      </c>
      <c r="C26" s="338" t="s">
        <v>12</v>
      </c>
      <c r="D26" s="648" t="b">
        <f>+'Reporte Componentes R1'!M484+'Reporte Componentes R1'!M486+'Rem. Anticipos R2'!L299+'Reversion Pagos R4'!J217+D18+'AJUSTES - SF-T'!U49=D11</f>
        <v>1</v>
      </c>
      <c r="E26" s="648" t="b">
        <f>+'Reporte Componentes R1'!N484+'Reporte Componentes R1'!N486+'Rem. Anticipos R2'!M299+'Reversion Pagos R4'!K217+E18+'AJUSTES - SF-T'!V49=E11</f>
        <v>1</v>
      </c>
      <c r="F26" s="648" t="b">
        <f>+'Reporte Componentes R1'!O484+'Reporte Componentes R1'!O486+'Rem. Anticipos R2'!N299+'Reversion Pagos R4'!L217+F18+'AJUSTES - SF-T'!W49=F11</f>
        <v>1</v>
      </c>
      <c r="G26" s="648" t="b">
        <f>+'Reporte Componentes R1'!P484+'Reporte Componentes R1'!P486+'Rem. Anticipos R2'!O299+'Reversion Pagos R4'!M217+G18+'AJUSTES - SF-T'!X49=G11</f>
        <v>1</v>
      </c>
      <c r="H26" s="648" t="b">
        <f>+'Reporte Componentes R1'!Q484+'Reporte Componentes R1'!Q486+'Rem. Anticipos R2'!P299+'Reversion Pagos R4'!N217+H18+'AJUSTES - SF-T'!Y49=H11</f>
        <v>1</v>
      </c>
      <c r="I26" s="698" t="b">
        <f>-INTERVENTORIA!M28+I18=I11</f>
        <v>1</v>
      </c>
      <c r="J26" s="648" t="b">
        <f>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SF-T'!AA49+J18=J11</f>
        <v>1</v>
      </c>
      <c r="K26" s="648" t="b">
        <f>+DetRetri2026092!N34</f>
        <v>1</v>
      </c>
      <c r="L26" s="648" t="b">
        <f>+'Reporte Componentes R1'!F485+'Rem. Anticipos R2'!E300+'Reporte Componentes R1'!F487+'Reversion Pagos R4'!D218+'AJUSTES - SF-T'!AD49+L18=L11</f>
        <v>1</v>
      </c>
      <c r="M26" s="715">
        <f>-'BCE SC POR FACT.'!F5+'Reporte Componentes R1'!F485+'Rem. Anticipos R2'!E300+'Reporte Componentes R1'!F487+'Reversion Pagos R4'!D218+'AJUSTES - SF-T'!AD49+M18-M11</f>
        <v>0</v>
      </c>
      <c r="N26" s="648" t="b">
        <f>'Reporte Componentes R1'!F485+'Rem. Anticipos R2'!E300+'Reporte Componentes R1'!F487+'Reversion Pagos R4'!D218+'AJUSTES - SF-T'!AD49+L18=L11</f>
        <v>1</v>
      </c>
      <c r="O26" s="712" t="b">
        <f>'Reporte Componentes R1'!M484+'Reporte Componentes R1'!M486+'Rem. Anticipos R2'!L299+'Reversion Pagos R4'!J217+'Reporte Componentes R1'!N484+'Reporte Componentes R1'!N486+'Rem. Anticipos R2'!M299+'Reversion Pagos R4'!K217+'Reporte Componentes R1'!O484+'Reporte Componentes R1'!O486+'Rem. Anticipos R2'!N299+'Reversion Pagos R4'!L217+'Reporte Componentes R1'!P484+'Reporte Componentes R1'!P486+'Rem. Anticipos R2'!O299+'Reversion Pagos R4'!M217+'Reporte Componentes R1'!Q484+'Reporte Componentes R1'!Q486+'Rem. Anticipos R2'!P299+'Reversion Pagos R4'!N217-INTERVENTORIA!I6+'Reporte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SF-T'!AA49+'Reporte Componentes R1'!L484+'Reporte Componentes R1'!L486+'Rem. Anticipos R2'!K299+'Reversion Pagos R4'!P217-'BCE SC POR FACT.'!F5+'Reporte Componentes R1'!F485+'Rem. Anticipos R2'!E300+'Reporte Componentes R1'!F487+'Reversion Pagos R4'!D218+'AJUSTES - SF-T'!AD49+N18=N11</f>
        <v>0</v>
      </c>
    </row>
    <row r="27" spans="2:16" x14ac:dyDescent="0.3">
      <c r="B27" s="610" t="s">
        <v>247</v>
      </c>
      <c r="C27" s="338" t="s">
        <v>13</v>
      </c>
      <c r="D27" s="648" t="b">
        <f>+'Reporte Componentes R1'!M692+'Reporte Componentes R1'!M694+'Rem. Anticipos R2'!L423+'Reversion Pagos R4'!J332+D19+'AJUSTES - SF-T'!U50=D12</f>
        <v>1</v>
      </c>
      <c r="E27" s="648" t="b">
        <f>+'Reporte Componentes R1'!N692+'Reporte Componentes R1'!N694+'Rem. Anticipos R2'!M423+'Reversion Pagos R4'!K332+E19+'AJUSTES - SF-T'!V50=E12</f>
        <v>1</v>
      </c>
      <c r="F27" s="648" t="b">
        <f>+'Reporte Componentes R1'!O692+'Reporte Componentes R1'!O694+'Rem. Anticipos R2'!N423+'Reversion Pagos R4'!L332+F19+'AJUSTES - SF-T'!W50=F12</f>
        <v>1</v>
      </c>
      <c r="G27" s="648" t="b">
        <f>+'Reporte Componentes R1'!P692+'Reporte Componentes R1'!P694+'Rem. Anticipos R2'!O423+'Reversion Pagos R4'!M332+G19+'AJUSTES - SF-T'!X50=G12</f>
        <v>1</v>
      </c>
      <c r="H27" s="648" t="b">
        <f>+'Reporte Componentes R1'!Q692+'Reporte Componentes R1'!Q694+'Rem. Anticipos R2'!P423+'Reversion Pagos R4'!N332+H19+'AJUSTES - SF-T'!Y50=H12</f>
        <v>1</v>
      </c>
      <c r="I27" s="698" t="b">
        <f>-INTERVENTORIA!M29+I19=I12</f>
        <v>1</v>
      </c>
      <c r="J27" s="648" t="b">
        <f>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R4'!R332+'AJUSTES - SF-T'!AA50+J19=J12</f>
        <v>1</v>
      </c>
      <c r="K27" s="648" t="b">
        <f>+DetRetri2026092!N35</f>
        <v>1</v>
      </c>
      <c r="L27" s="648" t="b">
        <f>+'Reporte Componentes R1'!F693+'Rem. Anticipos R2'!E424+'Reporte Componentes R1'!F695+'Reversion Pagos R4'!D333+'AJUSTES - SF-T'!AD50+L19=L12</f>
        <v>1</v>
      </c>
      <c r="M27" s="715">
        <f>-'BCE SC POR FACT.'!F6+'Reporte Componentes R1'!F693+'Rem. Anticipos R2'!E424+'Reporte Componentes R1'!F695+'Reversion Pagos R4'!D333+'AJUSTES - SF-T'!AD50+M19-M12</f>
        <v>0</v>
      </c>
      <c r="N27" s="648" t="b">
        <f>'Reporte Componentes R1'!F693+'Rem. Anticipos R2'!E424+'Reporte Componentes R1'!F695+'Reversion Pagos R4'!D333+'AJUSTES - SF-T'!AD50+L19=L12</f>
        <v>1</v>
      </c>
      <c r="O27" s="712" t="b">
        <f>'Reporte Componentes R1'!M692+'Reporte Componentes R1'!M694+'Rem. Anticipos R2'!L423+'Reversion Pagos R4'!J332+'Reporte Componentes R1'!N692+'Reporte Componentes R1'!N694+'Rem. Anticipos R2'!M423+'Reversion Pagos R4'!K332+'Reporte Componentes R1'!O692+'Reporte Componentes R1'!O694+'Rem. Anticipos R2'!N423+'Reversion Pagos R4'!L332+'Reporte Componentes R1'!P692+'Reporte Componentes R1'!P694+'Rem. Anticipos R2'!O423+'Reversion Pagos R4'!M332+'Reporte Componentes R1'!Q692+'Reporte Componentes R1'!Q694+'Rem. Anticipos R2'!P423+'Reversion Pagos R4'!N332-INTERVENTORIA!I7+'Reporte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R4'!R332+'AJUSTES - SF-T'!AA50+'Reporte Componentes R1'!L692+'Reporte Componentes R1'!L694+'Rem. Anticipos R2'!K423+'Reversion Pagos R4'!P332-'BCE SC POR FACT.'!F6+'Reporte Componentes R1'!F693+'Rem. Anticipos R2'!E424+'Reporte Componentes R1'!F695+'Reversion Pagos R4'!D333+'AJUSTES - SF-T'!AD50+N19=N12</f>
        <v>1</v>
      </c>
    </row>
    <row r="28" spans="2:16" x14ac:dyDescent="0.3">
      <c r="B28" s="610" t="s">
        <v>118</v>
      </c>
      <c r="C28" s="338" t="s">
        <v>14</v>
      </c>
      <c r="D28" s="648" t="b">
        <f>+'Reporte Componentes R1'!M811+'Reporte Componentes R1'!M813+'Rem. Anticipos R2'!L510+'Reversion Pagos R4'!J373+D20+'AJUSTES - SF-T'!U51=D13</f>
        <v>1</v>
      </c>
      <c r="E28" s="648" t="b">
        <f>+'Reporte Componentes R1'!N811+'Reporte Componentes R1'!N813+'Rem. Anticipos R2'!M510+'Reversion Pagos R4'!K373+E20+'AJUSTES - SF-T'!V51=E13</f>
        <v>1</v>
      </c>
      <c r="F28" s="648" t="b">
        <f>+'Reporte Componentes R1'!O811+'Reporte Componentes R1'!O813+'Rem. Anticipos R2'!N510+'Reversion Pagos R4'!L373+F20+'AJUSTES - SF-T'!W51=F13</f>
        <v>1</v>
      </c>
      <c r="G28" s="648" t="b">
        <f>+'Reporte Componentes R1'!P811+'Reporte Componentes R1'!P813+'Rem. Anticipos R2'!O510+'Reversion Pagos R4'!M373+G20+'AJUSTES - SF-T'!X51=G13</f>
        <v>1</v>
      </c>
      <c r="H28" s="648" t="b">
        <f>+'Reporte Componentes R1'!Q811+'Reporte Componentes R1'!Q813+'Rem. Anticipos R2'!P510+'Reversion Pagos R4'!N373+H20+'AJUSTES - SF-T'!Y51=H13</f>
        <v>1</v>
      </c>
      <c r="I28" s="698" t="b">
        <f>-INTERVENTORIA!M30+I20=I13</f>
        <v>1</v>
      </c>
      <c r="J28" s="650" t="b">
        <f>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SF-T'!AA51+J20=J13</f>
        <v>1</v>
      </c>
      <c r="K28" s="648" t="b">
        <f>+DetRetri2026092!N36</f>
        <v>1</v>
      </c>
      <c r="L28" s="648" t="b">
        <f>+'Reporte Componentes R1'!F812+'Rem. Anticipos R2'!E511+'Reporte Componentes R1'!F814+'Reversion Pagos R4'!D374+'AJUSTES - SF-T'!AD51+L20=L13</f>
        <v>1</v>
      </c>
      <c r="M28" s="648" t="b">
        <f>-'BCE SC POR FACT.'!F7+'Reporte Componentes R1'!F812+'Rem. Anticipos R2'!E511+'Reporte Componentes R1'!F814+'Reversion Pagos R4'!D374+'AJUSTES - SF-T'!AD51+M20=M13</f>
        <v>1</v>
      </c>
      <c r="N28" s="648" t="b">
        <f>'Reporte Componentes R1'!F812+'Rem. Anticipos R2'!E511+'Reporte Componentes R1'!F814+'Reversion Pagos R4'!D374+'AJUSTES - SF-T'!AD51+L20=L13</f>
        <v>1</v>
      </c>
      <c r="O28" s="648" t="b">
        <f>'Reporte Componentes R1'!M811+'Reporte Componentes R1'!M813+'Rem. Anticipos R2'!L510+'Reversion Pagos R4'!J373+'Reporte Componentes R1'!N811+'Reporte Componentes R1'!N813+'Rem. Anticipos R2'!M510+'Reversion Pagos R4'!K373+'Reporte Componentes R1'!O811+'Reporte Componentes R1'!O813+'Rem. Anticipos R2'!N510+'Reversion Pagos R4'!L373+'Reporte Componentes R1'!P811+'Reporte Componentes R1'!P813+'Rem. Anticipos R2'!O510+'Reversion Pagos R4'!M373+'Reporte Componentes R1'!Q811+'Reporte Componentes R1'!Q813+'Rem. Anticipos R2'!P510+'Reversion Pagos R4'!N373-INTERVENTORIA!I8+'Reporte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SF-T'!AA51+'Reporte Componentes R1'!L811+'Reporte Componentes R1'!L813+'Rem. Anticipos R2'!K510+'Reversion Pagos R4'!P373-'BCE SC POR FACT.'!F7+'Reporte Componentes R1'!F812+'Rem. Anticipos R2'!E511+'Reporte Componentes R1'!F814+'Reversion Pagos R4'!D374+'AJUSTES - SF-T'!AD51+N20=N13</f>
        <v>0</v>
      </c>
    </row>
    <row r="29" spans="2:16" x14ac:dyDescent="0.3">
      <c r="C29" s="649" t="s">
        <v>2</v>
      </c>
      <c r="D29" s="648" t="b">
        <f>'Reporte Componentes R1'!M89+'Reporte Componentes R1'!M91+'Rem. Anticipos R2'!L57+'Reversion Pagos R4'!J79+'Reporte Componentes R1'!M323+'Rem. Anticipos R2'!L178+'Reversion Pagos R4'!J180+'Reporte Componentes R1'!M325+'Reporte Componentes R1'!M484+'Reporte Componentes R1'!M486+'Rem. Anticipos R2'!L299+'Reversion Pagos R4'!J217+'Reporte Componentes R1'!M692+'Reporte Componentes R1'!M694+'Rem. Anticipos R2'!L423+'Reversion Pagos R4'!J332+'Reporte Componentes R1'!M811+'Reporte Componentes R1'!M813+'Rem. Anticipos R2'!L510+'Reversion Pagos R4'!J373+D21+'AJUSTES - SF-T'!U52=D14</f>
        <v>1</v>
      </c>
      <c r="E29" s="648" t="b">
        <f>'Reporte Componentes R1'!N89+'Reporte Componentes R1'!N91+'Rem. Anticipos R2'!M57+'Reversion Pagos R4'!K79+'Reporte Componentes R1'!N323+'Rem. Anticipos R2'!M178+'Reversion Pagos R4'!K180+'Reporte Componentes R1'!N325+'Reporte Componentes R1'!N484+'Reporte Componentes R1'!N486+'Rem. Anticipos R2'!M299+'Reversion Pagos R4'!K217+'Reporte Componentes R1'!N692+'Reporte Componentes R1'!N694+'Rem. Anticipos R2'!M423+'Reversion Pagos R4'!K332+'Reporte Componentes R1'!N811+'Reporte Componentes R1'!N813+'Rem. Anticipos R2'!M510+'Reversion Pagos R4'!K373+E21+'AJUSTES - SF-T'!V52=E14</f>
        <v>1</v>
      </c>
      <c r="F29" s="648" t="b">
        <f>'Reporte Componentes R1'!O89+'Reporte Componentes R1'!O91+'Rem. Anticipos R2'!N57+'Reversion Pagos R4'!L79+'Reporte Componentes R1'!O323+'Rem. Anticipos R2'!N178+'Reversion Pagos R4'!L180+'Reporte Componentes R1'!O325+'Reporte Componentes R1'!O484+'Reporte Componentes R1'!O486+'Rem. Anticipos R2'!N299+'Reversion Pagos R4'!L217+'Reporte Componentes R1'!O692+'Reporte Componentes R1'!O694+'Rem. Anticipos R2'!N423+'Reversion Pagos R4'!L332+'Reporte Componentes R1'!O811+'Reporte Componentes R1'!O813+'Rem. Anticipos R2'!N510+'Reversion Pagos R4'!L373+F21+'AJUSTES - SF-T'!W52=F14</f>
        <v>1</v>
      </c>
      <c r="G29" s="648" t="b">
        <f>'Reporte Componentes R1'!P89+'Reporte Componentes R1'!P91+'Rem. Anticipos R2'!O57+'Reversion Pagos R4'!M79+'Reporte Componentes R1'!P323+'Rem. Anticipos R2'!O178+'Reversion Pagos R4'!M180+'Reporte Componentes R1'!P325+'Reporte Componentes R1'!P484+'Reporte Componentes R1'!P486+'Rem. Anticipos R2'!O299+'Reversion Pagos R4'!M217+'Reporte Componentes R1'!P692+'Reporte Componentes R1'!P694+'Rem. Anticipos R2'!O423+'Reversion Pagos R4'!M332+'Reporte Componentes R1'!P811+'Reporte Componentes R1'!P813+'Rem. Anticipos R2'!O510+'Reversion Pagos R4'!M373+G21+'AJUSTES - SF-T'!X52=G14</f>
        <v>1</v>
      </c>
      <c r="H29" s="648" t="b">
        <f>'Reporte Componentes R1'!Q89+'Reporte Componentes R1'!Q91+'Rem. Anticipos R2'!P57+'Reversion Pagos R4'!N79+'Reporte Componentes R1'!Q323+'Rem. Anticipos R2'!P178+'Reversion Pagos R4'!N180+'Reporte Componentes R1'!Q325+'Reporte Componentes R1'!Q484+'Reporte Componentes R1'!Q486+'Rem. Anticipos R2'!P299+'Reversion Pagos R4'!N217+'Reporte Componentes R1'!Q692+'Reporte Componentes R1'!Q694+'Rem. Anticipos R2'!P423+'Reversion Pagos R4'!N332+'Reporte Componentes R1'!Q811+'Reporte Componentes R1'!Q813+'Rem. Anticipos R2'!P510+'Reversion Pagos R4'!N373+H21+'AJUSTES - SF-T'!Y52=H14</f>
        <v>1</v>
      </c>
      <c r="I29" s="698" t="b">
        <f>-INTERVENTORIA!M31+I21=I14</f>
        <v>1</v>
      </c>
      <c r="J29" s="648" t="b">
        <f>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SF-T'!AA52+J21=J14</f>
        <v>1</v>
      </c>
      <c r="K29" s="648" t="b">
        <f>'Reporte Componentes R1'!L89+'Rem. Anticipos R2'!K57+'Reversion Pagos R4'!P79+'Reporte Componentes R1'!L91+'Reporte Componentes R1'!L323+'Rem. Anticipos R2'!K178+'Reversion Pagos R4'!P180+'Reporte Componentes R1'!L325+'Reporte Componentes R1'!L484+'Reporte Componentes R1'!L486+'Rem. Anticipos R2'!K299+'Reversion Pagos R4'!P217+'Reporte Componentes R1'!L692+'Reporte Componentes R1'!L694+'Rem. Anticipos R2'!K423+'Reversion Pagos R4'!P332+'Reporte Componentes R1'!L811+'Reporte Componentes R1'!L813+'Rem. Anticipos R2'!K510+'Reversion Pagos R4'!P373+K21=K14</f>
        <v>1</v>
      </c>
      <c r="L29" s="711" t="b">
        <f>'Reporte Componentes R1'!F90+'Rem. Anticipos R2'!E58+'Reporte Componentes R1'!F92+'Reversion Pagos R4'!D80+'AJUSTES - SF-T'!AD47+'Reporte Componentes R1'!F324+'Rem. Anticipos R2'!E179+'Reporte Componentes R1'!F326+'Reversion Pagos R4'!D181+'AJUSTES - SF-T'!AD48+'Reporte Componentes R1'!F485+'Rem. Anticipos R2'!E300+'Reporte Componentes R1'!F487+'Reversion Pagos R4'!D218+'AJUSTES - SF-T'!AD49+'Reporte Componentes R1'!F693+'Rem. Anticipos R2'!E424+'Reporte Componentes R1'!F695+'Reversion Pagos R4'!D333+'AJUSTES - SF-T'!AD50+'Reporte Componentes R1'!F812+'Rem. Anticipos R2'!E511+'Reporte Componentes R1'!F814+'Reversion Pagos R4'!D374+'AJUSTES - SF-T'!AD51+L21=L14</f>
        <v>1</v>
      </c>
      <c r="M29" s="648" t="b">
        <f>-'BCE SC POR FACT.'!F3+'Reporte Componentes R1'!F90+'Rem. Anticipos R2'!E58+'Reporte Componentes R1'!F92+'Reversion Pagos R4'!D80+'AJUSTES - SF-T'!AD47-'BCE SC POR FACT.'!F4+'Reporte Componentes R1'!F324+'Rem. Anticipos R2'!E179+'Reporte Componentes R1'!F326+'Reversion Pagos R4'!D181+'AJUSTES - SF-T'!AD48-'BCE SC POR FACT.'!F5+'Reporte Componentes R1'!F485+'Rem. Anticipos R2'!E300+'Reporte Componentes R1'!F487+'Reversion Pagos R4'!D218+'AJUSTES - SF-T'!AD49-'BCE SC POR FACT.'!F6+'Reporte Componentes R1'!F693+'Rem. Anticipos R2'!E424+'Reporte Componentes R1'!F695+'Reversion Pagos R4'!D333+'AJUSTES - SF-T'!AD50-'BCE SC POR FACT.'!F7+'Reporte Componentes R1'!F812+'Rem. Anticipos R2'!E511+'Reporte Componentes R1'!F814+'Reversion Pagos R4'!D374+'AJUSTES - SF-T'!AD51+M21=M14</f>
        <v>1</v>
      </c>
      <c r="N29" s="648" t="b">
        <f>'Reporte Componentes R1'!F90+'Rem. Anticipos R2'!E58+'Reporte Componentes R1'!F92+'Reversion Pagos R4'!D80+'AJUSTES - SF-T'!AD47+'Reporte Componentes R1'!F324+'Rem. Anticipos R2'!E179+'Reporte Componentes R1'!F326+'Reversion Pagos R4'!D181+'AJUSTES - SF-T'!AD48+'Reporte Componentes R1'!F485+'Rem. Anticipos R2'!E300+'Reporte Componentes R1'!F487+'Reversion Pagos R4'!D218+'AJUSTES - SF-T'!AD49+'Reporte Componentes R1'!F693+'Rem. Anticipos R2'!E424+'Reporte Componentes R1'!F695+'Reversion Pagos R4'!D333+'AJUSTES - SF-T'!AD50+'Reporte Componentes R1'!F812+'Rem. Anticipos R2'!E511+'Reporte Componentes R1'!F814+'Reversion Pagos R4'!D374+'AJUSTES - SF-T'!AD51+L21=L14</f>
        <v>1</v>
      </c>
      <c r="O29" s="648" t="b">
        <f>'Reporte Componentes R1'!M89+'Reporte Componentes R1'!M91+'Rem. Anticipos R2'!L57+'Reversion Pagos R4'!J79+'Reporte Componentes R1'!N89+'Reporte Componentes R1'!N91+'Rem. Anticipos R2'!M57+'Reversion Pagos R4'!K79+'Reporte Componentes R1'!O89+'Reporte Componentes R1'!O91+'Rem. Anticipos R2'!N57+'Reversion Pagos R4'!L79+'Reporte Componentes R1'!P89+'Reporte Componentes R1'!P91+'Rem. Anticipos R2'!O57+'Reversion Pagos R4'!M79+'Reporte Componentes R1'!Q89+'Reporte Componentes R1'!Q91+'Rem. Anticipos R2'!P57+'Reversion Pagos R4'!N79-INTERVENTORIA!K15+'Reporte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SF-T'!AA47+'Reporte Componentes R1'!L89+'Rem. Anticipos R2'!K57+'Reversion Pagos R4'!P79+'Reporte Componentes R1'!L91-'BCE SC POR FACT.'!F3+'Reporte Componentes R1'!F90+'Rem. Anticipos R2'!E58+'Reporte Componentes R1'!F92+'Reversion Pagos R4'!D80+'AJUSTES - SF-T'!AD47+'Reporte Componentes R1'!M323+'Rem. Anticipos R2'!L178+'Reversion Pagos R4'!J180+'Reporte Componentes R1'!M325+'Reporte Componentes R1'!N323+'Rem. Anticipos R2'!M178+'Reversion Pagos R4'!K180+'Reporte Componentes R1'!N325+'Reporte Componentes R1'!O323+'Rem. Anticipos R2'!N178+'Reversion Pagos R4'!L180+'Reporte Componentes R1'!O325+'Reporte Componentes R1'!P323+'Rem. Anticipos R2'!O178+'Reversion Pagos R4'!M180+'Reporte Componentes R1'!P325+'Reporte Componentes R1'!Q323+'Rem. Anticipos R2'!P178+'Reversion Pagos R4'!N180+'Reporte Componentes R1'!Q325-INTERVENTORIA!K16+'Reporte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SF-T'!AA48+'Reporte Componentes R1'!L323+'Rem. Anticipos R2'!K178+'Reversion Pagos R4'!P180+'Reporte Componentes R1'!L325-'BCE SC POR FACT.'!F4+'Reporte Componentes R1'!F324+'Rem. Anticipos R2'!E179+'Reporte Componentes R1'!F326+'Reversion Pagos R4'!D181+'AJUSTES - SF-T'!AD48+'Reporte Componentes R1'!M484+'Reporte Componentes R1'!M486+'Rem. Anticipos R2'!L299+'Reversion Pagos R4'!J217+'Reporte Componentes R1'!N484+'Reporte Componentes R1'!N486+'Rem. Anticipos R2'!M299+'Reversion Pagos R4'!K217+'Reporte Componentes R1'!O484+'Reporte Componentes R1'!O486+'Rem. Anticipos R2'!N299+'Reversion Pagos R4'!L217+'Reporte Componentes R1'!P484+'Reporte Componentes R1'!P486+'Rem. Anticipos R2'!O299+'Reversion Pagos R4'!M217+'Reporte Componentes R1'!Q484+'Reporte Componentes R1'!Q486+'Rem. Anticipos R2'!P299+'Reversion Pagos R4'!N217-INTERVENTORIA!K17+'Reporte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SF-T'!AA49+'Reporte Componentes R1'!L484+'Reporte Componentes R1'!L486+'Rem. Anticipos R2'!K299+'Reversion Pagos R4'!P217-'BCE SC POR FACT.'!F5+'Reporte Componentes R1'!F485+'Rem. Anticipos R2'!E300+'Reporte Componentes R1'!F487+'Reversion Pagos R4'!D218+'AJUSTES - SF-T'!AD49+'Reporte Componentes R1'!M692+'Reporte Componentes R1'!M694+'Rem. Anticipos R2'!L423+'Reversion Pagos R4'!J332+'Reporte Componentes R1'!N692+'Reporte Componentes R1'!N694+'Rem. Anticipos R2'!M423+'Reversion Pagos R4'!K332+'Reporte Componentes R1'!O692+'Reporte Componentes R1'!O694+'Rem. Anticipos R2'!N423+'Reversion Pagos R4'!L332+'Reporte Componentes R1'!P692+'Reporte Componentes R1'!P694+'Rem. Anticipos R2'!O423+'Reversion Pagos R4'!M332+'Reporte Componentes R1'!Q692+'Reporte Componentes R1'!Q694+'Rem. Anticipos R2'!P423+'Reversion Pagos R4'!N332-INTERVENTORIA!K18+'Reporte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R4'!R332+'AJUSTES - SF-T'!AA50+'Reporte Componentes R1'!L692+'Reporte Componentes R1'!L694+'Rem. Anticipos R2'!K423+'Reversion Pagos R4'!P332-'BCE SC POR FACT.'!F6+'Reporte Componentes R1'!F693+'Rem. Anticipos R2'!E424+'Reporte Componentes R1'!F695+'Reversion Pagos R4'!D333+'AJUSTES - SF-T'!AD50+'Reporte Componentes R1'!M811+'Reporte Componentes R1'!M813+'Rem. Anticipos R2'!L510+'Reversion Pagos R4'!J373+'Reporte Componentes R1'!N811+'Reporte Componentes R1'!N813+'Rem. Anticipos R2'!M510+'Reversion Pagos R4'!K373+'Reporte Componentes R1'!O811+'Reporte Componentes R1'!O813+'Rem. Anticipos R2'!N510+'Reversion Pagos R4'!L373+'Reporte Componentes R1'!P811+'Reporte Componentes R1'!P813+'Rem. Anticipos R2'!O510+'Reversion Pagos R4'!M373+'Reporte Componentes R1'!Q811+'Reporte Componentes R1'!Q813+'Rem. Anticipos R2'!P510+'Reversion Pagos R4'!N373-INTERVENTORIA!Q19+'Reporte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SF-T'!AA51+'Reporte Componentes R1'!L811+'Reporte Componentes R1'!L813+'Rem. Anticipos R2'!K510+'Reversion Pagos R4'!P373-'BCE SC POR FACT.'!F7+'Reporte Componentes R1'!F812+'Rem. Anticipos R2'!E511+'Reporte Componentes R1'!F814+'Reversion Pagos R4'!D374+'AJUSTES - SF-T'!AD51+N21=N14</f>
        <v>0</v>
      </c>
    </row>
    <row r="30" spans="2:16" x14ac:dyDescent="0.3">
      <c r="M30" s="655"/>
    </row>
    <row r="31" spans="2:16" x14ac:dyDescent="0.3">
      <c r="I31" s="697"/>
      <c r="J31" s="699"/>
    </row>
    <row r="32" spans="2:16" x14ac:dyDescent="0.3">
      <c r="J32" s="700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A112" sqref="A112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3.88671875" style="1" bestFit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471" t="s">
        <v>121</v>
      </c>
      <c r="G6" s="471"/>
      <c r="H6" s="472"/>
      <c r="I6" s="473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105</v>
      </c>
      <c r="AE8" s="121" t="s">
        <v>104</v>
      </c>
      <c r="AF8" s="39" t="s">
        <v>23</v>
      </c>
      <c r="AG8" s="273"/>
      <c r="AI8" s="4"/>
    </row>
    <row r="9" spans="2:39" s="305" customFormat="1" ht="12" x14ac:dyDescent="0.25">
      <c r="B9" s="303">
        <v>1</v>
      </c>
      <c r="C9" s="304" t="s">
        <v>10</v>
      </c>
      <c r="D9" s="291">
        <f>'CONSOLIDADO_TOTAL RECAUDO'!D104</f>
        <v>0</v>
      </c>
      <c r="E9" s="292">
        <f>'CONSOLIDADO_TOTAL RECAUDO'!E104</f>
        <v>0</v>
      </c>
      <c r="F9" s="292">
        <f>'CONSOLIDADO_TOTAL RECAUDO'!F104</f>
        <v>0</v>
      </c>
      <c r="G9" s="292">
        <f>'CONSOLIDADO_TOTAL RECAUDO'!G104</f>
        <v>0</v>
      </c>
      <c r="H9" s="292">
        <f>'CONSOLIDADO_TOTAL RECAUDO'!H104</f>
        <v>0</v>
      </c>
      <c r="I9" s="292">
        <f>'CONSOLIDADO_TOTAL RECAUDO'!I104</f>
        <v>0</v>
      </c>
      <c r="J9" s="288">
        <f>'CONSOLIDADO_TOTAL RECAUDO'!J104</f>
        <v>0</v>
      </c>
      <c r="K9" s="293">
        <f>'CONSOLIDADO_TOTAL RECAUDO'!K104</f>
        <v>0</v>
      </c>
      <c r="L9" s="294">
        <f>'CONSOLIDADO_TOTAL RECAUDO'!L104</f>
        <v>189185988</v>
      </c>
      <c r="M9" s="293">
        <f>'CONSOLIDADO_TOTAL RECAUDO'!M104</f>
        <v>-189185988</v>
      </c>
      <c r="N9" s="294">
        <f>'CONSOLIDADO_TOTAL RECAUDO'!N104</f>
        <v>0</v>
      </c>
      <c r="O9" s="293">
        <f>'CONSOLIDADO_TOTAL RECAUDO'!O104</f>
        <v>-189185988</v>
      </c>
      <c r="Q9" s="306"/>
      <c r="S9" s="303">
        <v>1</v>
      </c>
      <c r="T9" s="304" t="s">
        <v>10</v>
      </c>
      <c r="U9" s="307">
        <f>'CONSOLIDADO_TOTAL RECAUDO'!U104</f>
        <v>0</v>
      </c>
      <c r="V9" s="308">
        <f>'CONSOLIDADO_TOTAL RECAUDO'!V104</f>
        <v>0</v>
      </c>
      <c r="W9" s="308">
        <f>'CONSOLIDADO_TOTAL RECAUDO'!W104</f>
        <v>0</v>
      </c>
      <c r="X9" s="308">
        <f>'CONSOLIDADO_TOTAL RECAUDO'!X104</f>
        <v>0</v>
      </c>
      <c r="Y9" s="309">
        <f>'CONSOLIDADO_TOTAL RECAUDO'!Y104</f>
        <v>0</v>
      </c>
      <c r="Z9" s="310">
        <f>'CONSOLIDADO_TOTAL RECAUDO'!Z104</f>
        <v>-189185988</v>
      </c>
      <c r="AA9" s="311">
        <f>'CONSOLIDADO_TOTAL RECAUDO'!AA104</f>
        <v>0</v>
      </c>
      <c r="AB9" s="294">
        <f>'CONSOLIDADO_TOTAL RECAUDO'!AB104</f>
        <v>0</v>
      </c>
      <c r="AC9" s="311">
        <f>'CONSOLIDADO_TOTAL RECAUDO'!AC104</f>
        <v>0</v>
      </c>
      <c r="AD9" s="291">
        <f>'CONSOLIDADO_TOTAL RECAUDO'!AD104</f>
        <v>0</v>
      </c>
      <c r="AE9" s="291">
        <f>'CONSOLIDADO_TOTAL RECAUDO'!AE104</f>
        <v>0</v>
      </c>
      <c r="AF9" s="313">
        <f>'CONSOLIDADO_TOTAL RECAUDO'!AF104</f>
        <v>-189185988</v>
      </c>
      <c r="AG9" s="521">
        <f>'CONSOLIDADO_TOTAL RECAUDO'!AG104</f>
        <v>0</v>
      </c>
      <c r="AH9" s="1" t="s">
        <v>1</v>
      </c>
      <c r="AI9" s="306"/>
      <c r="AM9" s="333"/>
    </row>
    <row r="10" spans="2:39" s="305" customFormat="1" ht="12" x14ac:dyDescent="0.25">
      <c r="B10" s="314">
        <v>2</v>
      </c>
      <c r="C10" s="315" t="s">
        <v>11</v>
      </c>
      <c r="D10" s="291">
        <f>'CONSOLIDADO_TOTAL RECAUDO'!D105</f>
        <v>0</v>
      </c>
      <c r="E10" s="292">
        <f>'CONSOLIDADO_TOTAL RECAUDO'!E105</f>
        <v>0</v>
      </c>
      <c r="F10" s="292">
        <f>'CONSOLIDADO_TOTAL RECAUDO'!F105</f>
        <v>0</v>
      </c>
      <c r="G10" s="292">
        <f>'CONSOLIDADO_TOTAL RECAUDO'!G105</f>
        <v>0</v>
      </c>
      <c r="H10" s="292">
        <f>'CONSOLIDADO_TOTAL RECAUDO'!H105</f>
        <v>0</v>
      </c>
      <c r="I10" s="292">
        <f>'CONSOLIDADO_TOTAL RECAUDO'!I105</f>
        <v>0</v>
      </c>
      <c r="J10" s="288">
        <f>'CONSOLIDADO_TOTAL RECAUDO'!J105</f>
        <v>0</v>
      </c>
      <c r="K10" s="295">
        <f>'CONSOLIDADO_TOTAL RECAUDO'!K105</f>
        <v>0</v>
      </c>
      <c r="L10" s="294">
        <f>'CONSOLIDADO_TOTAL RECAUDO'!L105</f>
        <v>266580256</v>
      </c>
      <c r="M10" s="295">
        <f>'CONSOLIDADO_TOTAL RECAUDO'!M105</f>
        <v>-266580256</v>
      </c>
      <c r="N10" s="294">
        <f>'CONSOLIDADO_TOTAL RECAUDO'!N105</f>
        <v>0</v>
      </c>
      <c r="O10" s="295">
        <f>'CONSOLIDADO_TOTAL RECAUDO'!O105</f>
        <v>-266580256</v>
      </c>
      <c r="Q10" s="306"/>
      <c r="S10" s="314">
        <v>2</v>
      </c>
      <c r="T10" s="315" t="s">
        <v>11</v>
      </c>
      <c r="U10" s="316">
        <f>'CONSOLIDADO_TOTAL RECAUDO'!U105</f>
        <v>0</v>
      </c>
      <c r="V10" s="317">
        <f>'CONSOLIDADO_TOTAL RECAUDO'!V105</f>
        <v>0</v>
      </c>
      <c r="W10" s="317">
        <f>'CONSOLIDADO_TOTAL RECAUDO'!W105</f>
        <v>0</v>
      </c>
      <c r="X10" s="317">
        <f>'CONSOLIDADO_TOTAL RECAUDO'!X105</f>
        <v>0</v>
      </c>
      <c r="Y10" s="318">
        <f>'CONSOLIDADO_TOTAL RECAUDO'!Y105</f>
        <v>0</v>
      </c>
      <c r="Z10" s="319">
        <f>'CONSOLIDADO_TOTAL RECAUDO'!Z105</f>
        <v>-266580256</v>
      </c>
      <c r="AA10" s="320">
        <f>'CONSOLIDADO_TOTAL RECAUDO'!AA105</f>
        <v>0</v>
      </c>
      <c r="AB10" s="294">
        <f>'CONSOLIDADO_TOTAL RECAUDO'!AB105</f>
        <v>0</v>
      </c>
      <c r="AC10" s="320">
        <f>'CONSOLIDADO_TOTAL RECAUDO'!AC105</f>
        <v>0</v>
      </c>
      <c r="AD10" s="291">
        <f>'CONSOLIDADO_TOTAL RECAUDO'!AD105</f>
        <v>0</v>
      </c>
      <c r="AE10" s="291">
        <f>'CONSOLIDADO_TOTAL RECAUDO'!AE105</f>
        <v>0</v>
      </c>
      <c r="AF10" s="322">
        <f>'CONSOLIDADO_TOTAL RECAUDO'!AF105</f>
        <v>-266580256</v>
      </c>
      <c r="AG10" s="522">
        <f>'CONSOLIDADO_TOTAL RECAUDO'!AG105</f>
        <v>0</v>
      </c>
      <c r="AH10" s="1" t="s">
        <v>1</v>
      </c>
      <c r="AI10" s="306"/>
      <c r="AM10" s="333"/>
    </row>
    <row r="11" spans="2:39" s="305" customFormat="1" ht="12" x14ac:dyDescent="0.25">
      <c r="B11" s="314">
        <v>3</v>
      </c>
      <c r="C11" s="315" t="s">
        <v>12</v>
      </c>
      <c r="D11" s="291">
        <f>'CONSOLIDADO_TOTAL RECAUDO'!D106</f>
        <v>0</v>
      </c>
      <c r="E11" s="292">
        <f>'CONSOLIDADO_TOTAL RECAUDO'!E106</f>
        <v>0</v>
      </c>
      <c r="F11" s="292">
        <f>'CONSOLIDADO_TOTAL RECAUDO'!F106</f>
        <v>0</v>
      </c>
      <c r="G11" s="292">
        <f>'CONSOLIDADO_TOTAL RECAUDO'!G106</f>
        <v>0</v>
      </c>
      <c r="H11" s="292">
        <f>'CONSOLIDADO_TOTAL RECAUDO'!H106</f>
        <v>0</v>
      </c>
      <c r="I11" s="292">
        <f>'CONSOLIDADO_TOTAL RECAUDO'!I106</f>
        <v>0</v>
      </c>
      <c r="J11" s="288">
        <f>'CONSOLIDADO_TOTAL RECAUDO'!J106</f>
        <v>0</v>
      </c>
      <c r="K11" s="295">
        <f>'CONSOLIDADO_TOTAL RECAUDO'!K106</f>
        <v>0</v>
      </c>
      <c r="L11" s="294">
        <f>'CONSOLIDADO_TOTAL RECAUDO'!L106</f>
        <v>154788536</v>
      </c>
      <c r="M11" s="295">
        <f>'CONSOLIDADO_TOTAL RECAUDO'!M106</f>
        <v>-154788536</v>
      </c>
      <c r="N11" s="294">
        <f>'CONSOLIDADO_TOTAL RECAUDO'!N106</f>
        <v>0</v>
      </c>
      <c r="O11" s="295">
        <f>'CONSOLIDADO_TOTAL RECAUDO'!O106</f>
        <v>-154788536</v>
      </c>
      <c r="Q11" s="306"/>
      <c r="S11" s="314">
        <v>3</v>
      </c>
      <c r="T11" s="315" t="s">
        <v>12</v>
      </c>
      <c r="U11" s="316">
        <f>'CONSOLIDADO_TOTAL RECAUDO'!U106</f>
        <v>0</v>
      </c>
      <c r="V11" s="317">
        <f>'CONSOLIDADO_TOTAL RECAUDO'!V106</f>
        <v>0</v>
      </c>
      <c r="W11" s="317">
        <f>'CONSOLIDADO_TOTAL RECAUDO'!W106</f>
        <v>0</v>
      </c>
      <c r="X11" s="317">
        <f>'CONSOLIDADO_TOTAL RECAUDO'!X106</f>
        <v>0</v>
      </c>
      <c r="Y11" s="318">
        <f>'CONSOLIDADO_TOTAL RECAUDO'!Y106</f>
        <v>0</v>
      </c>
      <c r="Z11" s="319">
        <f>'CONSOLIDADO_TOTAL RECAUDO'!Z106</f>
        <v>-154788536</v>
      </c>
      <c r="AA11" s="320">
        <f>'CONSOLIDADO_TOTAL RECAUDO'!AA106</f>
        <v>0</v>
      </c>
      <c r="AB11" s="294">
        <f>'CONSOLIDADO_TOTAL RECAUDO'!AB106</f>
        <v>0</v>
      </c>
      <c r="AC11" s="320">
        <f>'CONSOLIDADO_TOTAL RECAUDO'!AC106</f>
        <v>0</v>
      </c>
      <c r="AD11" s="291">
        <f>'CONSOLIDADO_TOTAL RECAUDO'!AD106</f>
        <v>0</v>
      </c>
      <c r="AE11" s="291">
        <f>'CONSOLIDADO_TOTAL RECAUDO'!AE106</f>
        <v>0</v>
      </c>
      <c r="AF11" s="322">
        <f>'CONSOLIDADO_TOTAL RECAUDO'!AF106</f>
        <v>-154788536</v>
      </c>
      <c r="AG11" s="522">
        <f>'CONSOLIDADO_TOTAL RECAUDO'!AG106</f>
        <v>0</v>
      </c>
      <c r="AH11" s="1" t="s">
        <v>1</v>
      </c>
      <c r="AI11" s="306"/>
      <c r="AM11" s="333"/>
    </row>
    <row r="12" spans="2:39" s="305" customFormat="1" ht="12" x14ac:dyDescent="0.25">
      <c r="B12" s="314">
        <v>4</v>
      </c>
      <c r="C12" s="315" t="s">
        <v>13</v>
      </c>
      <c r="D12" s="291">
        <f>'CONSOLIDADO_TOTAL RECAUDO'!D107</f>
        <v>0</v>
      </c>
      <c r="E12" s="292">
        <f>'CONSOLIDADO_TOTAL RECAUDO'!E107</f>
        <v>0</v>
      </c>
      <c r="F12" s="292">
        <f>'CONSOLIDADO_TOTAL RECAUDO'!F107</f>
        <v>0</v>
      </c>
      <c r="G12" s="292">
        <f>'CONSOLIDADO_TOTAL RECAUDO'!G107</f>
        <v>0</v>
      </c>
      <c r="H12" s="292">
        <f>'CONSOLIDADO_TOTAL RECAUDO'!H107</f>
        <v>0</v>
      </c>
      <c r="I12" s="292">
        <f>'CONSOLIDADO_TOTAL RECAUDO'!I107</f>
        <v>0</v>
      </c>
      <c r="J12" s="288">
        <f>'CONSOLIDADO_TOTAL RECAUDO'!J107</f>
        <v>0</v>
      </c>
      <c r="K12" s="295">
        <f>'CONSOLIDADO_TOTAL RECAUDO'!K107</f>
        <v>0</v>
      </c>
      <c r="L12" s="294">
        <f>'CONSOLIDADO_TOTAL RECAUDO'!L107</f>
        <v>120391083</v>
      </c>
      <c r="M12" s="295">
        <f>'CONSOLIDADO_TOTAL RECAUDO'!M107</f>
        <v>-120391083</v>
      </c>
      <c r="N12" s="294">
        <f>'CONSOLIDADO_TOTAL RECAUDO'!N107</f>
        <v>0</v>
      </c>
      <c r="O12" s="295">
        <f>'CONSOLIDADO_TOTAL RECAUDO'!O107</f>
        <v>-120391083</v>
      </c>
      <c r="Q12" s="306"/>
      <c r="S12" s="314">
        <v>4</v>
      </c>
      <c r="T12" s="315" t="s">
        <v>13</v>
      </c>
      <c r="U12" s="316">
        <f>'CONSOLIDADO_TOTAL RECAUDO'!U107</f>
        <v>0</v>
      </c>
      <c r="V12" s="317">
        <f>'CONSOLIDADO_TOTAL RECAUDO'!V107</f>
        <v>0</v>
      </c>
      <c r="W12" s="317">
        <f>'CONSOLIDADO_TOTAL RECAUDO'!W107</f>
        <v>0</v>
      </c>
      <c r="X12" s="317">
        <f>'CONSOLIDADO_TOTAL RECAUDO'!X107</f>
        <v>0</v>
      </c>
      <c r="Y12" s="318">
        <f>'CONSOLIDADO_TOTAL RECAUDO'!Y107</f>
        <v>0</v>
      </c>
      <c r="Z12" s="319">
        <f>'CONSOLIDADO_TOTAL RECAUDO'!Z107</f>
        <v>-120391083</v>
      </c>
      <c r="AA12" s="320">
        <f>'CONSOLIDADO_TOTAL RECAUDO'!AA107</f>
        <v>0</v>
      </c>
      <c r="AB12" s="294">
        <f>'CONSOLIDADO_TOTAL RECAUDO'!AB107</f>
        <v>0</v>
      </c>
      <c r="AC12" s="320">
        <f>'CONSOLIDADO_TOTAL RECAUDO'!AC107</f>
        <v>0</v>
      </c>
      <c r="AD12" s="291">
        <f>'CONSOLIDADO_TOTAL RECAUDO'!AD107</f>
        <v>0</v>
      </c>
      <c r="AE12" s="291">
        <f>'CONSOLIDADO_TOTAL RECAUDO'!AE107</f>
        <v>0</v>
      </c>
      <c r="AF12" s="322">
        <f>'CONSOLIDADO_TOTAL RECAUDO'!AF107</f>
        <v>-120391083</v>
      </c>
      <c r="AG12" s="522">
        <f>'CONSOLIDADO_TOTAL RECAUDO'!AG107</f>
        <v>0</v>
      </c>
      <c r="AH12" s="1" t="s">
        <v>1</v>
      </c>
      <c r="AI12" s="306"/>
      <c r="AM12" s="333"/>
    </row>
    <row r="13" spans="2:39" s="305" customFormat="1" ht="12.6" thickBot="1" x14ac:dyDescent="0.3">
      <c r="B13" s="324">
        <v>5</v>
      </c>
      <c r="C13" s="325" t="s">
        <v>14</v>
      </c>
      <c r="D13" s="296">
        <f>'CONSOLIDADO_TOTAL RECAUDO'!D108</f>
        <v>0</v>
      </c>
      <c r="E13" s="297">
        <f>'CONSOLIDADO_TOTAL RECAUDO'!E108</f>
        <v>0</v>
      </c>
      <c r="F13" s="297">
        <f>'CONSOLIDADO_TOTAL RECAUDO'!F108</f>
        <v>0</v>
      </c>
      <c r="G13" s="297">
        <f>'CONSOLIDADO_TOTAL RECAUDO'!G108</f>
        <v>0</v>
      </c>
      <c r="H13" s="297">
        <f>'CONSOLIDADO_TOTAL RECAUDO'!H108</f>
        <v>0</v>
      </c>
      <c r="I13" s="297">
        <f>'CONSOLIDADO_TOTAL RECAUDO'!I108</f>
        <v>0</v>
      </c>
      <c r="J13" s="289">
        <f>'CONSOLIDADO_TOTAL RECAUDO'!J108</f>
        <v>0</v>
      </c>
      <c r="K13" s="295">
        <f>'CONSOLIDADO_TOTAL RECAUDO'!K108</f>
        <v>0</v>
      </c>
      <c r="L13" s="294">
        <f>'CONSOLIDADO_TOTAL RECAUDO'!L108</f>
        <v>128990446</v>
      </c>
      <c r="M13" s="298">
        <f>'CONSOLIDADO_TOTAL RECAUDO'!M108</f>
        <v>-128990446</v>
      </c>
      <c r="N13" s="299">
        <f>'CONSOLIDADO_TOTAL RECAUDO'!N108</f>
        <v>0</v>
      </c>
      <c r="O13" s="298">
        <f>'CONSOLIDADO_TOTAL RECAUDO'!O108</f>
        <v>-128990446</v>
      </c>
      <c r="Q13" s="306"/>
      <c r="S13" s="324">
        <v>5</v>
      </c>
      <c r="T13" s="325" t="s">
        <v>14</v>
      </c>
      <c r="U13" s="296">
        <f>'CONSOLIDADO_TOTAL RECAUDO'!U108</f>
        <v>0</v>
      </c>
      <c r="V13" s="297">
        <f>'CONSOLIDADO_TOTAL RECAUDO'!V108</f>
        <v>0</v>
      </c>
      <c r="W13" s="297">
        <f>'CONSOLIDADO_TOTAL RECAUDO'!W108</f>
        <v>0</v>
      </c>
      <c r="X13" s="297">
        <f>'CONSOLIDADO_TOTAL RECAUDO'!X108</f>
        <v>0</v>
      </c>
      <c r="Y13" s="289">
        <f>'CONSOLIDADO_TOTAL RECAUDO'!Y108</f>
        <v>0</v>
      </c>
      <c r="Z13" s="319">
        <f>'CONSOLIDADO_TOTAL RECAUDO'!Z108</f>
        <v>-128990446</v>
      </c>
      <c r="AA13" s="320">
        <f>'CONSOLIDADO_TOTAL RECAUDO'!AA108</f>
        <v>0</v>
      </c>
      <c r="AB13" s="294">
        <f>'CONSOLIDADO_TOTAL RECAUDO'!AB108</f>
        <v>0</v>
      </c>
      <c r="AC13" s="320">
        <f>'CONSOLIDADO_TOTAL RECAUDO'!AC108</f>
        <v>0</v>
      </c>
      <c r="AD13" s="291">
        <f>'CONSOLIDADO_TOTAL RECAUDO'!AD108</f>
        <v>0</v>
      </c>
      <c r="AE13" s="291">
        <f>'CONSOLIDADO_TOTAL RECAUDO'!AE108</f>
        <v>0</v>
      </c>
      <c r="AF13" s="322">
        <f>'CONSOLIDADO_TOTAL RECAUDO'!AF108</f>
        <v>-128990446</v>
      </c>
      <c r="AG13" s="523">
        <f>'CONSOLIDADO_TOTAL RECAUDO'!AG108</f>
        <v>0</v>
      </c>
      <c r="AH13" s="1" t="s">
        <v>1</v>
      </c>
      <c r="AI13" s="306"/>
      <c r="AM13" s="333"/>
    </row>
    <row r="14" spans="2:39" s="305" customFormat="1" ht="13.8" thickBot="1" x14ac:dyDescent="0.3">
      <c r="B14" s="327"/>
      <c r="C14" s="328" t="s">
        <v>2</v>
      </c>
      <c r="D14" s="290">
        <f>'CONSOLIDADO_TOTAL RECAUDO'!D109</f>
        <v>0</v>
      </c>
      <c r="E14" s="290">
        <f>'CONSOLIDADO_TOTAL RECAUDO'!E109</f>
        <v>0</v>
      </c>
      <c r="F14" s="290">
        <f>'CONSOLIDADO_TOTAL RECAUDO'!F109</f>
        <v>0</v>
      </c>
      <c r="G14" s="290">
        <f>'CONSOLIDADO_TOTAL RECAUDO'!G109</f>
        <v>0</v>
      </c>
      <c r="H14" s="290">
        <f>'CONSOLIDADO_TOTAL RECAUDO'!H109</f>
        <v>0</v>
      </c>
      <c r="I14" s="290">
        <f>'CONSOLIDADO_TOTAL RECAUDO'!I109</f>
        <v>0</v>
      </c>
      <c r="J14" s="290">
        <f>'CONSOLIDADO_TOTAL RECAUDO'!J109</f>
        <v>0</v>
      </c>
      <c r="K14" s="300">
        <f>'CONSOLIDADO_TOTAL RECAUDO'!K109</f>
        <v>0</v>
      </c>
      <c r="L14" s="301">
        <f>'CONSOLIDADO_TOTAL RECAUDO'!L109</f>
        <v>859936309</v>
      </c>
      <c r="M14" s="302">
        <f>'CONSOLIDADO_TOTAL RECAUDO'!M109</f>
        <v>-859936309</v>
      </c>
      <c r="N14" s="301">
        <f>'CONSOLIDADO_TOTAL RECAUDO'!N109</f>
        <v>0</v>
      </c>
      <c r="O14" s="302">
        <f>'CONSOLIDADO_TOTAL RECAUDO'!O109</f>
        <v>-859936309</v>
      </c>
      <c r="P14" s="329"/>
      <c r="Q14" s="306"/>
      <c r="S14" s="327"/>
      <c r="T14" s="328" t="s">
        <v>2</v>
      </c>
      <c r="U14" s="330">
        <f>'CONSOLIDADO_TOTAL RECAUDO'!U109</f>
        <v>0</v>
      </c>
      <c r="V14" s="330">
        <f>'CONSOLIDADO_TOTAL RECAUDO'!V109</f>
        <v>0</v>
      </c>
      <c r="W14" s="330">
        <f>'CONSOLIDADO_TOTAL RECAUDO'!W109</f>
        <v>0</v>
      </c>
      <c r="X14" s="330">
        <f>'CONSOLIDADO_TOTAL RECAUDO'!X109</f>
        <v>0</v>
      </c>
      <c r="Y14" s="330">
        <f>'CONSOLIDADO_TOTAL RECAUDO'!Y109</f>
        <v>0</v>
      </c>
      <c r="Z14" s="290">
        <f>'CONSOLIDADO_TOTAL RECAUDO'!Z109</f>
        <v>-859936309</v>
      </c>
      <c r="AA14" s="290">
        <f>'CONSOLIDADO_TOTAL RECAUDO'!AA109</f>
        <v>0</v>
      </c>
      <c r="AB14" s="290">
        <f>'CONSOLIDADO_TOTAL RECAUDO'!AB109</f>
        <v>0</v>
      </c>
      <c r="AC14" s="290">
        <f>'CONSOLIDADO_TOTAL RECAUDO'!AC109</f>
        <v>0</v>
      </c>
      <c r="AD14" s="290">
        <f>'CONSOLIDADO_TOTAL RECAUDO'!AD109</f>
        <v>0</v>
      </c>
      <c r="AE14" s="290">
        <f>'CONSOLIDADO_TOTAL RECAUDO'!AE109</f>
        <v>0</v>
      </c>
      <c r="AF14" s="331">
        <f>'CONSOLIDADO_TOTAL RECAUDO'!AF109</f>
        <v>-859936309</v>
      </c>
      <c r="AG14" s="524">
        <f>'CONSOLIDADO_TOTAL RECAUDO'!AG109</f>
        <v>0</v>
      </c>
      <c r="AH14" s="1" t="s">
        <v>1</v>
      </c>
      <c r="AI14" s="306"/>
      <c r="AM14" s="333"/>
    </row>
    <row r="15" spans="2:39" ht="12" x14ac:dyDescent="0.25">
      <c r="B15" s="2"/>
      <c r="C15" s="2"/>
      <c r="D15" s="448"/>
      <c r="E15" s="448"/>
      <c r="F15" s="448"/>
      <c r="G15" s="448"/>
      <c r="H15" s="448"/>
      <c r="I15" s="448"/>
      <c r="K15" s="448"/>
      <c r="L15" s="448"/>
      <c r="M15" s="448"/>
      <c r="N15" s="448"/>
      <c r="O15" s="448"/>
      <c r="Q15" s="4"/>
      <c r="S15" s="2"/>
      <c r="T15" s="2"/>
      <c r="U15" s="448"/>
      <c r="V15" s="448"/>
      <c r="W15" s="448"/>
      <c r="X15" s="448"/>
      <c r="Y15" s="448"/>
      <c r="AF15" s="448"/>
      <c r="AH15" s="1" t="s">
        <v>1</v>
      </c>
      <c r="AI15" s="4"/>
    </row>
    <row r="16" spans="2:39" ht="12" x14ac:dyDescent="0.25">
      <c r="B16" s="2"/>
      <c r="C16" s="2" t="s">
        <v>1</v>
      </c>
      <c r="D16" s="549"/>
      <c r="E16" s="549"/>
      <c r="F16" s="549"/>
      <c r="G16" s="549"/>
      <c r="H16" s="549"/>
      <c r="I16" s="549"/>
      <c r="K16" s="549"/>
      <c r="L16" s="549"/>
      <c r="M16" s="549"/>
      <c r="N16" s="549"/>
      <c r="O16" s="549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474"/>
      <c r="E17" s="474"/>
      <c r="F17" s="474"/>
      <c r="G17" s="474"/>
      <c r="H17" s="474"/>
      <c r="I17" s="474"/>
      <c r="J17" s="4"/>
      <c r="K17" s="474"/>
      <c r="L17" s="474"/>
      <c r="M17" s="474"/>
      <c r="N17" s="474"/>
      <c r="O17" s="47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475" t="s">
        <v>187</v>
      </c>
      <c r="G23" s="475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168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5" customFormat="1" ht="12" x14ac:dyDescent="0.25">
      <c r="B26" s="303">
        <v>1</v>
      </c>
      <c r="C26" s="304" t="s">
        <v>10</v>
      </c>
      <c r="D26" s="291">
        <f>'REMUNERACION Reciprocidad EAAB'!D104</f>
        <v>0</v>
      </c>
      <c r="E26" s="292">
        <f>'REMUNERACION Reciprocidad EAAB'!E104</f>
        <v>0</v>
      </c>
      <c r="F26" s="292">
        <f>'REMUNERACION Reciprocidad EAAB'!F104</f>
        <v>0</v>
      </c>
      <c r="G26" s="292">
        <f>'REMUNERACION Reciprocidad EAAB'!G104</f>
        <v>0</v>
      </c>
      <c r="H26" s="292">
        <f>'REMUNERACION Reciprocidad EAAB'!H104</f>
        <v>0</v>
      </c>
      <c r="I26" s="292">
        <f>'REMUNERACION Reciprocidad EAAB'!I104</f>
        <v>0</v>
      </c>
      <c r="J26" s="288">
        <f>'REMUNERACION Reciprocidad EAAB'!J104</f>
        <v>0</v>
      </c>
      <c r="K26" s="293">
        <f>'REMUNERACION Reciprocidad EAAB'!K104</f>
        <v>0</v>
      </c>
      <c r="L26" s="294">
        <f>'REMUNERACION Reciprocidad EAAB'!L104</f>
        <v>0</v>
      </c>
      <c r="M26" s="293">
        <f>'REMUNERACION Reciprocidad EAAB'!M104</f>
        <v>0</v>
      </c>
      <c r="N26" s="294">
        <f>'REMUNERACION Reciprocidad EAAB'!N104</f>
        <v>0</v>
      </c>
      <c r="O26" s="293">
        <f>'REMUNERACION Reciprocidad EAAB'!O104</f>
        <v>0</v>
      </c>
      <c r="Q26" s="306"/>
      <c r="S26" s="303">
        <v>1</v>
      </c>
      <c r="T26" s="304" t="s">
        <v>10</v>
      </c>
      <c r="U26" s="307">
        <f>'REMUNERACION Reciprocidad EAAB'!U104</f>
        <v>0</v>
      </c>
      <c r="V26" s="308">
        <f>'REMUNERACION Reciprocidad EAAB'!V104</f>
        <v>0</v>
      </c>
      <c r="W26" s="308">
        <f>'REMUNERACION Reciprocidad EAAB'!W104</f>
        <v>0</v>
      </c>
      <c r="X26" s="308">
        <f>'REMUNERACION Reciprocidad EAAB'!X104</f>
        <v>0</v>
      </c>
      <c r="Y26" s="309">
        <f>'REMUNERACION Reciprocidad EAAB'!Y104</f>
        <v>0</v>
      </c>
      <c r="Z26" s="310">
        <f>'REMUNERACION Reciprocidad EAAB'!Z104</f>
        <v>0</v>
      </c>
      <c r="AA26" s="311">
        <f>'REMUNERACION Reciprocidad EAAB'!AA104</f>
        <v>0</v>
      </c>
      <c r="AB26" s="294">
        <f>'REMUNERACION Reciprocidad EAAB'!AB104</f>
        <v>0</v>
      </c>
      <c r="AC26" s="311">
        <f>'REMUNERACION Reciprocidad EAAB'!AC104</f>
        <v>0</v>
      </c>
      <c r="AD26" s="291">
        <f>'REMUNERACION Reciprocidad EAAB'!AD104</f>
        <v>0</v>
      </c>
      <c r="AE26" s="291">
        <f>'REMUNERACION Reciprocidad EAAB'!AE104</f>
        <v>0</v>
      </c>
      <c r="AF26" s="313">
        <f>'REMUNERACION Reciprocidad EAAB'!AF104</f>
        <v>0</v>
      </c>
      <c r="AG26" s="521">
        <f>'REMUNERACION Reciprocidad EAAB'!AG104</f>
        <v>0</v>
      </c>
      <c r="AH26" s="1"/>
      <c r="AI26" s="306"/>
      <c r="AM26" s="333"/>
    </row>
    <row r="27" spans="1:39" s="305" customFormat="1" ht="12" x14ac:dyDescent="0.25">
      <c r="B27" s="314">
        <v>2</v>
      </c>
      <c r="C27" s="315" t="s">
        <v>11</v>
      </c>
      <c r="D27" s="291">
        <f>'REMUNERACION Reciprocidad EAAB'!D105</f>
        <v>0</v>
      </c>
      <c r="E27" s="292">
        <f>'REMUNERACION Reciprocidad EAAB'!E105</f>
        <v>0</v>
      </c>
      <c r="F27" s="292">
        <f>'REMUNERACION Reciprocidad EAAB'!F105</f>
        <v>0</v>
      </c>
      <c r="G27" s="292">
        <f>'REMUNERACION Reciprocidad EAAB'!G105</f>
        <v>0</v>
      </c>
      <c r="H27" s="292">
        <f>'REMUNERACION Reciprocidad EAAB'!H105</f>
        <v>0</v>
      </c>
      <c r="I27" s="292">
        <f>'REMUNERACION Reciprocidad EAAB'!I105</f>
        <v>0</v>
      </c>
      <c r="J27" s="288">
        <f>'REMUNERACION Reciprocidad EAAB'!J105</f>
        <v>0</v>
      </c>
      <c r="K27" s="295">
        <f>'REMUNERACION Reciprocidad EAAB'!K105</f>
        <v>0</v>
      </c>
      <c r="L27" s="294">
        <f>'REMUNERACION Reciprocidad EAAB'!L105</f>
        <v>0</v>
      </c>
      <c r="M27" s="295">
        <f>'REMUNERACION Reciprocidad EAAB'!M105</f>
        <v>0</v>
      </c>
      <c r="N27" s="294">
        <f>'REMUNERACION Reciprocidad EAAB'!N105</f>
        <v>0</v>
      </c>
      <c r="O27" s="295">
        <f>'REMUNERACION Reciprocidad EAAB'!O105</f>
        <v>0</v>
      </c>
      <c r="Q27" s="306"/>
      <c r="S27" s="314">
        <v>2</v>
      </c>
      <c r="T27" s="315" t="s">
        <v>11</v>
      </c>
      <c r="U27" s="316">
        <f>'REMUNERACION Reciprocidad EAAB'!U105</f>
        <v>0</v>
      </c>
      <c r="V27" s="317">
        <f>'REMUNERACION Reciprocidad EAAB'!V105</f>
        <v>0</v>
      </c>
      <c r="W27" s="317">
        <f>'REMUNERACION Reciprocidad EAAB'!W105</f>
        <v>0</v>
      </c>
      <c r="X27" s="317">
        <f>'REMUNERACION Reciprocidad EAAB'!X105</f>
        <v>0</v>
      </c>
      <c r="Y27" s="318">
        <f>'REMUNERACION Reciprocidad EAAB'!Y105</f>
        <v>0</v>
      </c>
      <c r="Z27" s="319">
        <f>'REMUNERACION Reciprocidad EAAB'!Z105</f>
        <v>0</v>
      </c>
      <c r="AA27" s="320">
        <f>'REMUNERACION Reciprocidad EAAB'!AA105</f>
        <v>0</v>
      </c>
      <c r="AB27" s="294">
        <f>'REMUNERACION Reciprocidad EAAB'!AB105</f>
        <v>0</v>
      </c>
      <c r="AC27" s="320">
        <f>'REMUNERACION Reciprocidad EAAB'!AC105</f>
        <v>0</v>
      </c>
      <c r="AD27" s="291">
        <f>'REMUNERACION Reciprocidad EAAB'!AD105</f>
        <v>0</v>
      </c>
      <c r="AE27" s="291">
        <f>'REMUNERACION Reciprocidad EAAB'!AE105</f>
        <v>0</v>
      </c>
      <c r="AF27" s="322">
        <f>'REMUNERACION Reciprocidad EAAB'!AF105</f>
        <v>0</v>
      </c>
      <c r="AG27" s="522">
        <f>'REMUNERACION Reciprocidad EAAB'!AG105</f>
        <v>0</v>
      </c>
      <c r="AH27" s="1"/>
      <c r="AI27" s="306"/>
      <c r="AM27" s="333"/>
    </row>
    <row r="28" spans="1:39" s="305" customFormat="1" ht="12" x14ac:dyDescent="0.25">
      <c r="B28" s="314">
        <v>3</v>
      </c>
      <c r="C28" s="315" t="s">
        <v>12</v>
      </c>
      <c r="D28" s="291">
        <f>'REMUNERACION Reciprocidad EAAB'!D106</f>
        <v>0</v>
      </c>
      <c r="E28" s="292">
        <f>'REMUNERACION Reciprocidad EAAB'!E106</f>
        <v>0</v>
      </c>
      <c r="F28" s="292">
        <f>'REMUNERACION Reciprocidad EAAB'!F106</f>
        <v>0</v>
      </c>
      <c r="G28" s="292">
        <f>'REMUNERACION Reciprocidad EAAB'!G106</f>
        <v>0</v>
      </c>
      <c r="H28" s="292">
        <f>'REMUNERACION Reciprocidad EAAB'!H106</f>
        <v>0</v>
      </c>
      <c r="I28" s="292">
        <f>'REMUNERACION Reciprocidad EAAB'!I106</f>
        <v>0</v>
      </c>
      <c r="J28" s="288">
        <f>'REMUNERACION Reciprocidad EAAB'!J106</f>
        <v>0</v>
      </c>
      <c r="K28" s="295">
        <f>'REMUNERACION Reciprocidad EAAB'!K106</f>
        <v>0</v>
      </c>
      <c r="L28" s="294">
        <f>'REMUNERACION Reciprocidad EAAB'!L106</f>
        <v>0</v>
      </c>
      <c r="M28" s="295">
        <f>'REMUNERACION Reciprocidad EAAB'!M106</f>
        <v>0</v>
      </c>
      <c r="N28" s="294">
        <f>'REMUNERACION Reciprocidad EAAB'!N106</f>
        <v>0</v>
      </c>
      <c r="O28" s="295">
        <f>'REMUNERACION Reciprocidad EAAB'!O106</f>
        <v>0</v>
      </c>
      <c r="Q28" s="306"/>
      <c r="S28" s="314">
        <v>3</v>
      </c>
      <c r="T28" s="315" t="s">
        <v>12</v>
      </c>
      <c r="U28" s="316">
        <f>'REMUNERACION Reciprocidad EAAB'!U106</f>
        <v>0</v>
      </c>
      <c r="V28" s="317">
        <f>'REMUNERACION Reciprocidad EAAB'!V106</f>
        <v>0</v>
      </c>
      <c r="W28" s="317">
        <f>'REMUNERACION Reciprocidad EAAB'!W106</f>
        <v>0</v>
      </c>
      <c r="X28" s="317">
        <f>'REMUNERACION Reciprocidad EAAB'!X106</f>
        <v>0</v>
      </c>
      <c r="Y28" s="318">
        <f>'REMUNERACION Reciprocidad EAAB'!Y106</f>
        <v>0</v>
      </c>
      <c r="Z28" s="319">
        <f>'REMUNERACION Reciprocidad EAAB'!Z106</f>
        <v>0</v>
      </c>
      <c r="AA28" s="320">
        <f>'REMUNERACION Reciprocidad EAAB'!AA106</f>
        <v>0</v>
      </c>
      <c r="AB28" s="294">
        <f>'REMUNERACION Reciprocidad EAAB'!AB106</f>
        <v>0</v>
      </c>
      <c r="AC28" s="320">
        <f>'REMUNERACION Reciprocidad EAAB'!AC106</f>
        <v>0</v>
      </c>
      <c r="AD28" s="291">
        <f>'REMUNERACION Reciprocidad EAAB'!AD106</f>
        <v>0</v>
      </c>
      <c r="AE28" s="291">
        <f>'REMUNERACION Reciprocidad EAAB'!AE106</f>
        <v>0</v>
      </c>
      <c r="AF28" s="322">
        <f>'REMUNERACION Reciprocidad EAAB'!AF106</f>
        <v>0</v>
      </c>
      <c r="AG28" s="522">
        <f>'REMUNERACION Reciprocidad EAAB'!AG106</f>
        <v>0</v>
      </c>
      <c r="AH28" s="1"/>
      <c r="AI28" s="306"/>
      <c r="AM28" s="333"/>
    </row>
    <row r="29" spans="1:39" s="305" customFormat="1" ht="12" x14ac:dyDescent="0.25">
      <c r="B29" s="314">
        <v>4</v>
      </c>
      <c r="C29" s="315" t="s">
        <v>13</v>
      </c>
      <c r="D29" s="291">
        <f>'REMUNERACION Reciprocidad EAAB'!D107</f>
        <v>0</v>
      </c>
      <c r="E29" s="292">
        <f>'REMUNERACION Reciprocidad EAAB'!E107</f>
        <v>0</v>
      </c>
      <c r="F29" s="292">
        <f>'REMUNERACION Reciprocidad EAAB'!F107</f>
        <v>0</v>
      </c>
      <c r="G29" s="292">
        <f>'REMUNERACION Reciprocidad EAAB'!G107</f>
        <v>0</v>
      </c>
      <c r="H29" s="292">
        <f>'REMUNERACION Reciprocidad EAAB'!H107</f>
        <v>0</v>
      </c>
      <c r="I29" s="292">
        <f>'REMUNERACION Reciprocidad EAAB'!I107</f>
        <v>0</v>
      </c>
      <c r="J29" s="288">
        <f>'REMUNERACION Reciprocidad EAAB'!J107</f>
        <v>0</v>
      </c>
      <c r="K29" s="295">
        <f>'REMUNERACION Reciprocidad EAAB'!K107</f>
        <v>0</v>
      </c>
      <c r="L29" s="294">
        <f>'REMUNERACION Reciprocidad EAAB'!L107</f>
        <v>0</v>
      </c>
      <c r="M29" s="295">
        <f>'REMUNERACION Reciprocidad EAAB'!M107</f>
        <v>0</v>
      </c>
      <c r="N29" s="294">
        <f>'REMUNERACION Reciprocidad EAAB'!N107</f>
        <v>0</v>
      </c>
      <c r="O29" s="295">
        <f>'REMUNERACION Reciprocidad EAAB'!O107</f>
        <v>0</v>
      </c>
      <c r="Q29" s="306"/>
      <c r="S29" s="314">
        <v>4</v>
      </c>
      <c r="T29" s="315" t="s">
        <v>13</v>
      </c>
      <c r="U29" s="316">
        <f>'REMUNERACION Reciprocidad EAAB'!U107</f>
        <v>0</v>
      </c>
      <c r="V29" s="317">
        <f>'REMUNERACION Reciprocidad EAAB'!V107</f>
        <v>0</v>
      </c>
      <c r="W29" s="317">
        <f>'REMUNERACION Reciprocidad EAAB'!W107</f>
        <v>0</v>
      </c>
      <c r="X29" s="317">
        <f>'REMUNERACION Reciprocidad EAAB'!X107</f>
        <v>0</v>
      </c>
      <c r="Y29" s="318">
        <f>'REMUNERACION Reciprocidad EAAB'!Y107</f>
        <v>0</v>
      </c>
      <c r="Z29" s="319">
        <f>'REMUNERACION Reciprocidad EAAB'!Z107</f>
        <v>0</v>
      </c>
      <c r="AA29" s="320">
        <f>'REMUNERACION Reciprocidad EAAB'!AA107</f>
        <v>0</v>
      </c>
      <c r="AB29" s="294">
        <f>'REMUNERACION Reciprocidad EAAB'!AB107</f>
        <v>0</v>
      </c>
      <c r="AC29" s="320">
        <f>'REMUNERACION Reciprocidad EAAB'!AC107</f>
        <v>0</v>
      </c>
      <c r="AD29" s="291">
        <f>'REMUNERACION Reciprocidad EAAB'!AD107</f>
        <v>0</v>
      </c>
      <c r="AE29" s="291">
        <f>'REMUNERACION Reciprocidad EAAB'!AE107</f>
        <v>0</v>
      </c>
      <c r="AF29" s="322">
        <f>'REMUNERACION Reciprocidad EAAB'!AF107</f>
        <v>0</v>
      </c>
      <c r="AG29" s="522">
        <f>'REMUNERACION Reciprocidad EAAB'!AG107</f>
        <v>0</v>
      </c>
      <c r="AH29" s="1"/>
      <c r="AI29" s="306"/>
      <c r="AM29" s="333"/>
    </row>
    <row r="30" spans="1:39" s="305" customFormat="1" ht="12.6" thickBot="1" x14ac:dyDescent="0.3">
      <c r="B30" s="324">
        <v>5</v>
      </c>
      <c r="C30" s="325" t="s">
        <v>14</v>
      </c>
      <c r="D30" s="296">
        <f>'REMUNERACION Reciprocidad EAAB'!D108</f>
        <v>0</v>
      </c>
      <c r="E30" s="297">
        <f>'REMUNERACION Reciprocidad EAAB'!E108</f>
        <v>0</v>
      </c>
      <c r="F30" s="297">
        <f>'REMUNERACION Reciprocidad EAAB'!F108</f>
        <v>0</v>
      </c>
      <c r="G30" s="297">
        <f>'REMUNERACION Reciprocidad EAAB'!G108</f>
        <v>0</v>
      </c>
      <c r="H30" s="297">
        <f>'REMUNERACION Reciprocidad EAAB'!H108</f>
        <v>0</v>
      </c>
      <c r="I30" s="297">
        <f>'REMUNERACION Reciprocidad EAAB'!I108</f>
        <v>0</v>
      </c>
      <c r="J30" s="289">
        <f>'REMUNERACION Reciprocidad EAAB'!J108</f>
        <v>0</v>
      </c>
      <c r="K30" s="295">
        <f>'REMUNERACION Reciprocidad EAAB'!K108</f>
        <v>0</v>
      </c>
      <c r="L30" s="294">
        <f>'REMUNERACION Reciprocidad EAAB'!L108</f>
        <v>0</v>
      </c>
      <c r="M30" s="298">
        <f>'REMUNERACION Reciprocidad EAAB'!M108</f>
        <v>0</v>
      </c>
      <c r="N30" s="299">
        <f>'REMUNERACION Reciprocidad EAAB'!N108</f>
        <v>0</v>
      </c>
      <c r="O30" s="298">
        <f>'REMUNERACION Reciprocidad EAAB'!O108</f>
        <v>0</v>
      </c>
      <c r="Q30" s="306"/>
      <c r="S30" s="324">
        <v>5</v>
      </c>
      <c r="T30" s="325" t="s">
        <v>14</v>
      </c>
      <c r="U30" s="296">
        <f>'REMUNERACION Reciprocidad EAAB'!U108</f>
        <v>0</v>
      </c>
      <c r="V30" s="297">
        <f>'REMUNERACION Reciprocidad EAAB'!V108</f>
        <v>0</v>
      </c>
      <c r="W30" s="297">
        <f>'REMUNERACION Reciprocidad EAAB'!W108</f>
        <v>0</v>
      </c>
      <c r="X30" s="297">
        <f>'REMUNERACION Reciprocidad EAAB'!X108</f>
        <v>0</v>
      </c>
      <c r="Y30" s="289">
        <f>'REMUNERACION Reciprocidad EAAB'!Y108</f>
        <v>0</v>
      </c>
      <c r="Z30" s="319">
        <f>'REMUNERACION Reciprocidad EAAB'!Z108</f>
        <v>0</v>
      </c>
      <c r="AA30" s="320">
        <f>'REMUNERACION Reciprocidad EAAB'!AA108</f>
        <v>0</v>
      </c>
      <c r="AB30" s="294">
        <f>'REMUNERACION Reciprocidad EAAB'!AB108</f>
        <v>0</v>
      </c>
      <c r="AC30" s="320">
        <f>'REMUNERACION Reciprocidad EAAB'!AC108</f>
        <v>0</v>
      </c>
      <c r="AD30" s="291">
        <f>'REMUNERACION Reciprocidad EAAB'!AD108</f>
        <v>0</v>
      </c>
      <c r="AE30" s="291">
        <f>'REMUNERACION Reciprocidad EAAB'!AE108</f>
        <v>0</v>
      </c>
      <c r="AF30" s="322">
        <f>'REMUNERACION Reciprocidad EAAB'!AF108</f>
        <v>0</v>
      </c>
      <c r="AG30" s="523">
        <f>'REMUNERACION Reciprocidad EAAB'!AG108</f>
        <v>0</v>
      </c>
      <c r="AH30" s="1"/>
      <c r="AI30" s="306"/>
      <c r="AM30" s="333"/>
    </row>
    <row r="31" spans="1:39" s="305" customFormat="1" ht="13.8" thickBot="1" x14ac:dyDescent="0.3">
      <c r="B31" s="327"/>
      <c r="C31" s="328" t="s">
        <v>2</v>
      </c>
      <c r="D31" s="290">
        <f>'REMUNERACION Reciprocidad EAAB'!D109</f>
        <v>0</v>
      </c>
      <c r="E31" s="290">
        <f>'REMUNERACION Reciprocidad EAAB'!E109</f>
        <v>0</v>
      </c>
      <c r="F31" s="290">
        <f>'REMUNERACION Reciprocidad EAAB'!F109</f>
        <v>0</v>
      </c>
      <c r="G31" s="290">
        <f>'REMUNERACION Reciprocidad EAAB'!G109</f>
        <v>0</v>
      </c>
      <c r="H31" s="290">
        <f>'REMUNERACION Reciprocidad EAAB'!H109</f>
        <v>0</v>
      </c>
      <c r="I31" s="290">
        <f>'REMUNERACION Reciprocidad EAAB'!I109</f>
        <v>0</v>
      </c>
      <c r="J31" s="290">
        <f>'REMUNERACION Reciprocidad EAAB'!J109</f>
        <v>0</v>
      </c>
      <c r="K31" s="300">
        <f>'REMUNERACION Reciprocidad EAAB'!K109</f>
        <v>0</v>
      </c>
      <c r="L31" s="301">
        <f>'REMUNERACION Reciprocidad EAAB'!L109</f>
        <v>0</v>
      </c>
      <c r="M31" s="302">
        <f>'REMUNERACION Reciprocidad EAAB'!M109</f>
        <v>0</v>
      </c>
      <c r="N31" s="301">
        <f>'REMUNERACION Reciprocidad EAAB'!N109</f>
        <v>0</v>
      </c>
      <c r="O31" s="302">
        <f>'REMUNERACION Reciprocidad EAAB'!O109</f>
        <v>0</v>
      </c>
      <c r="P31" s="329"/>
      <c r="Q31" s="306"/>
      <c r="S31" s="327"/>
      <c r="T31" s="328" t="s">
        <v>2</v>
      </c>
      <c r="U31" s="330">
        <f>'REMUNERACION Reciprocidad EAAB'!U109</f>
        <v>0</v>
      </c>
      <c r="V31" s="330">
        <f>'REMUNERACION Reciprocidad EAAB'!V109</f>
        <v>0</v>
      </c>
      <c r="W31" s="330">
        <f>'REMUNERACION Reciprocidad EAAB'!W109</f>
        <v>0</v>
      </c>
      <c r="X31" s="330">
        <f>'REMUNERACION Reciprocidad EAAB'!X109</f>
        <v>0</v>
      </c>
      <c r="Y31" s="330">
        <f>'REMUNERACION Reciprocidad EAAB'!Y109</f>
        <v>0</v>
      </c>
      <c r="Z31" s="290">
        <f>'REMUNERACION Reciprocidad EAAB'!Z109</f>
        <v>0</v>
      </c>
      <c r="AA31" s="290">
        <f>'REMUNERACION Reciprocidad EAAB'!AA109</f>
        <v>0</v>
      </c>
      <c r="AB31" s="290">
        <f>'REMUNERACION Reciprocidad EAAB'!AB109</f>
        <v>0</v>
      </c>
      <c r="AC31" s="290">
        <f>'REMUNERACION Reciprocidad EAAB'!AC109</f>
        <v>0</v>
      </c>
      <c r="AD31" s="290">
        <f>'REMUNERACION Reciprocidad EAAB'!AD109</f>
        <v>0</v>
      </c>
      <c r="AE31" s="290">
        <f>'REMUNERACION Reciprocidad EAAB'!AE109</f>
        <v>0</v>
      </c>
      <c r="AF31" s="331">
        <f>'REMUNERACION Reciprocidad EAAB'!AF109</f>
        <v>0</v>
      </c>
      <c r="AG31" s="524">
        <f>'REMUNERACION Reciprocidad EAAB'!AG109</f>
        <v>0</v>
      </c>
      <c r="AH31" s="1"/>
      <c r="AI31" s="306"/>
      <c r="AM31" s="333"/>
    </row>
    <row r="32" spans="1:39" ht="12" x14ac:dyDescent="0.25">
      <c r="B32" s="2"/>
      <c r="C32" s="2"/>
      <c r="D32" s="448"/>
      <c r="E32" s="448"/>
      <c r="F32" s="448"/>
      <c r="G32" s="448"/>
      <c r="H32" s="448"/>
      <c r="I32" s="448"/>
      <c r="K32" s="448"/>
      <c r="L32" s="448"/>
      <c r="M32" s="448"/>
      <c r="N32" s="448"/>
      <c r="O32" s="448"/>
      <c r="Q32" s="4"/>
      <c r="S32" s="2"/>
      <c r="T32" s="2"/>
      <c r="U32" s="448"/>
      <c r="V32" s="448"/>
      <c r="W32" s="448"/>
      <c r="X32" s="448"/>
      <c r="Y32" s="448"/>
      <c r="AF32" s="448"/>
      <c r="AI32" s="4"/>
    </row>
    <row r="33" spans="1:39" ht="12" x14ac:dyDescent="0.25">
      <c r="B33" s="2"/>
      <c r="C33" s="2"/>
      <c r="D33" s="549"/>
      <c r="E33" s="549"/>
      <c r="F33" s="549"/>
      <c r="G33" s="549"/>
      <c r="H33" s="549"/>
      <c r="I33" s="549"/>
      <c r="K33" s="549"/>
      <c r="L33" s="549"/>
      <c r="M33" s="549"/>
      <c r="N33" s="549"/>
      <c r="O33" s="549"/>
      <c r="Q33" s="4"/>
      <c r="AI33" s="4"/>
    </row>
    <row r="34" spans="1:39" ht="12" x14ac:dyDescent="0.25">
      <c r="A34" s="4"/>
      <c r="B34" s="34"/>
      <c r="C34" s="34"/>
      <c r="D34" s="474"/>
      <c r="E34" s="474"/>
      <c r="F34" s="474"/>
      <c r="G34" s="474"/>
      <c r="H34" s="474"/>
      <c r="I34" s="474"/>
      <c r="J34" s="4"/>
      <c r="K34" s="474"/>
      <c r="L34" s="474"/>
      <c r="M34" s="474"/>
      <c r="N34" s="474"/>
      <c r="O34" s="47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168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5" customFormat="1" ht="12" x14ac:dyDescent="0.25">
      <c r="B43" s="303">
        <v>1</v>
      </c>
      <c r="C43" s="304" t="s">
        <v>10</v>
      </c>
      <c r="D43" s="291">
        <f>REMUNERACION_ENEL!D104</f>
        <v>0</v>
      </c>
      <c r="E43" s="292">
        <f>REMUNERACION_ENEL!E104</f>
        <v>0</v>
      </c>
      <c r="F43" s="292">
        <f>REMUNERACION_ENEL!F104</f>
        <v>0</v>
      </c>
      <c r="G43" s="292">
        <f>REMUNERACION_ENEL!G104</f>
        <v>0</v>
      </c>
      <c r="H43" s="292">
        <f>REMUNERACION_ENEL!H104</f>
        <v>0</v>
      </c>
      <c r="I43" s="292">
        <f>REMUNERACION_ENEL!I104</f>
        <v>0</v>
      </c>
      <c r="J43" s="288">
        <f>REMUNERACION_ENEL!J104</f>
        <v>0</v>
      </c>
      <c r="K43" s="293">
        <f>REMUNERACION_ENEL!K104</f>
        <v>0</v>
      </c>
      <c r="L43" s="294">
        <f>REMUNERACION_ENEL!L104</f>
        <v>189185988</v>
      </c>
      <c r="M43" s="293">
        <f>REMUNERACION_ENEL!M104</f>
        <v>-189185988</v>
      </c>
      <c r="N43" s="294">
        <f>REMUNERACION_ENEL!N104</f>
        <v>0</v>
      </c>
      <c r="O43" s="293">
        <f>REMUNERACION_ENEL!O104</f>
        <v>-189185988</v>
      </c>
      <c r="Q43" s="306"/>
      <c r="S43" s="303">
        <v>1</v>
      </c>
      <c r="T43" s="304" t="s">
        <v>10</v>
      </c>
      <c r="U43" s="307">
        <f>REMUNERACION_ENEL!U104</f>
        <v>0</v>
      </c>
      <c r="V43" s="308">
        <f>REMUNERACION_ENEL!V104</f>
        <v>0</v>
      </c>
      <c r="W43" s="308">
        <f>REMUNERACION_ENEL!W104</f>
        <v>0</v>
      </c>
      <c r="X43" s="308">
        <f>REMUNERACION_ENEL!X104</f>
        <v>0</v>
      </c>
      <c r="Y43" s="309">
        <f>REMUNERACION_ENEL!Y104</f>
        <v>0</v>
      </c>
      <c r="Z43" s="310">
        <f>REMUNERACION_ENEL!Z104</f>
        <v>-189185988</v>
      </c>
      <c r="AA43" s="311">
        <f>REMUNERACION_ENEL!AA104</f>
        <v>0</v>
      </c>
      <c r="AB43" s="294">
        <f>REMUNERACION_ENEL!AB104</f>
        <v>0</v>
      </c>
      <c r="AC43" s="311">
        <f>REMUNERACION_ENEL!AC104</f>
        <v>0</v>
      </c>
      <c r="AD43" s="291">
        <f>REMUNERACION_ENEL!AD104</f>
        <v>0</v>
      </c>
      <c r="AE43" s="291">
        <f>REMUNERACION_ENEL!AE104</f>
        <v>0</v>
      </c>
      <c r="AF43" s="313">
        <f>REMUNERACION_ENEL!AF104</f>
        <v>-189185988</v>
      </c>
      <c r="AG43" s="521">
        <f>REMUNERACION_ENEL!AG104</f>
        <v>0</v>
      </c>
      <c r="AH43" s="1"/>
      <c r="AI43" s="306"/>
      <c r="AM43" s="333"/>
    </row>
    <row r="44" spans="1:39" s="305" customFormat="1" ht="12" x14ac:dyDescent="0.25">
      <c r="B44" s="314">
        <v>2</v>
      </c>
      <c r="C44" s="315" t="s">
        <v>11</v>
      </c>
      <c r="D44" s="291">
        <f>REMUNERACION_ENEL!D105</f>
        <v>0</v>
      </c>
      <c r="E44" s="292">
        <f>REMUNERACION_ENEL!E105</f>
        <v>0</v>
      </c>
      <c r="F44" s="292">
        <f>REMUNERACION_ENEL!F105</f>
        <v>0</v>
      </c>
      <c r="G44" s="292">
        <f>REMUNERACION_ENEL!G105</f>
        <v>0</v>
      </c>
      <c r="H44" s="292">
        <f>REMUNERACION_ENEL!H105</f>
        <v>0</v>
      </c>
      <c r="I44" s="292">
        <f>REMUNERACION_ENEL!I105</f>
        <v>0</v>
      </c>
      <c r="J44" s="288">
        <f>REMUNERACION_ENEL!J105</f>
        <v>0</v>
      </c>
      <c r="K44" s="295">
        <f>REMUNERACION_ENEL!K105</f>
        <v>0</v>
      </c>
      <c r="L44" s="294">
        <f>REMUNERACION_ENEL!L105</f>
        <v>266580256</v>
      </c>
      <c r="M44" s="295">
        <f>REMUNERACION_ENEL!M105</f>
        <v>-266580256</v>
      </c>
      <c r="N44" s="294">
        <f>REMUNERACION_ENEL!N105</f>
        <v>0</v>
      </c>
      <c r="O44" s="295">
        <f>REMUNERACION_ENEL!O105</f>
        <v>-266580256</v>
      </c>
      <c r="Q44" s="306"/>
      <c r="S44" s="314">
        <v>2</v>
      </c>
      <c r="T44" s="315" t="s">
        <v>11</v>
      </c>
      <c r="U44" s="316">
        <f>REMUNERACION_ENEL!U105</f>
        <v>0</v>
      </c>
      <c r="V44" s="317">
        <f>REMUNERACION_ENEL!V105</f>
        <v>0</v>
      </c>
      <c r="W44" s="317">
        <f>REMUNERACION_ENEL!W105</f>
        <v>0</v>
      </c>
      <c r="X44" s="317">
        <f>REMUNERACION_ENEL!X105</f>
        <v>0</v>
      </c>
      <c r="Y44" s="318">
        <f>REMUNERACION_ENEL!Y105</f>
        <v>0</v>
      </c>
      <c r="Z44" s="319">
        <f>REMUNERACION_ENEL!Z105</f>
        <v>-266580256</v>
      </c>
      <c r="AA44" s="320">
        <f>REMUNERACION_ENEL!AA105</f>
        <v>0</v>
      </c>
      <c r="AB44" s="294">
        <f>REMUNERACION_ENEL!AB105</f>
        <v>0</v>
      </c>
      <c r="AC44" s="320">
        <f>REMUNERACION_ENEL!AC105</f>
        <v>0</v>
      </c>
      <c r="AD44" s="291">
        <f>REMUNERACION_ENEL!AD105</f>
        <v>0</v>
      </c>
      <c r="AE44" s="291">
        <f>REMUNERACION_ENEL!AE105</f>
        <v>0</v>
      </c>
      <c r="AF44" s="322">
        <f>REMUNERACION_ENEL!AF105</f>
        <v>-266580256</v>
      </c>
      <c r="AG44" s="522">
        <f>REMUNERACION_ENEL!AG105</f>
        <v>0</v>
      </c>
      <c r="AH44" s="1"/>
      <c r="AI44" s="306"/>
      <c r="AM44" s="333"/>
    </row>
    <row r="45" spans="1:39" s="305" customFormat="1" ht="12" x14ac:dyDescent="0.25">
      <c r="B45" s="314">
        <v>3</v>
      </c>
      <c r="C45" s="315" t="s">
        <v>12</v>
      </c>
      <c r="D45" s="291">
        <f>REMUNERACION_ENEL!D106</f>
        <v>0</v>
      </c>
      <c r="E45" s="292">
        <f>REMUNERACION_ENEL!E106</f>
        <v>0</v>
      </c>
      <c r="F45" s="292">
        <f>REMUNERACION_ENEL!F106</f>
        <v>0</v>
      </c>
      <c r="G45" s="292">
        <f>REMUNERACION_ENEL!G106</f>
        <v>0</v>
      </c>
      <c r="H45" s="292">
        <f>REMUNERACION_ENEL!H106</f>
        <v>0</v>
      </c>
      <c r="I45" s="292">
        <f>REMUNERACION_ENEL!I106</f>
        <v>0</v>
      </c>
      <c r="J45" s="288">
        <f>REMUNERACION_ENEL!J106</f>
        <v>0</v>
      </c>
      <c r="K45" s="295">
        <f>REMUNERACION_ENEL!K106</f>
        <v>0</v>
      </c>
      <c r="L45" s="294">
        <f>REMUNERACION_ENEL!L106</f>
        <v>154788536</v>
      </c>
      <c r="M45" s="295">
        <f>REMUNERACION_ENEL!M106</f>
        <v>-154788536</v>
      </c>
      <c r="N45" s="294">
        <f>REMUNERACION_ENEL!N106</f>
        <v>0</v>
      </c>
      <c r="O45" s="295">
        <f>REMUNERACION_ENEL!O106</f>
        <v>-154788536</v>
      </c>
      <c r="Q45" s="306"/>
      <c r="S45" s="314">
        <v>3</v>
      </c>
      <c r="T45" s="315" t="s">
        <v>12</v>
      </c>
      <c r="U45" s="316">
        <f>REMUNERACION_ENEL!U106</f>
        <v>0</v>
      </c>
      <c r="V45" s="317">
        <f>REMUNERACION_ENEL!V106</f>
        <v>0</v>
      </c>
      <c r="W45" s="317">
        <f>REMUNERACION_ENEL!W106</f>
        <v>0</v>
      </c>
      <c r="X45" s="317">
        <f>REMUNERACION_ENEL!X106</f>
        <v>0</v>
      </c>
      <c r="Y45" s="318">
        <f>REMUNERACION_ENEL!Y106</f>
        <v>0</v>
      </c>
      <c r="Z45" s="319">
        <f>REMUNERACION_ENEL!Z106</f>
        <v>-154788536</v>
      </c>
      <c r="AA45" s="320">
        <f>REMUNERACION_ENEL!AA106</f>
        <v>0</v>
      </c>
      <c r="AB45" s="294">
        <f>REMUNERACION_ENEL!AB106</f>
        <v>0</v>
      </c>
      <c r="AC45" s="320">
        <f>REMUNERACION_ENEL!AC106</f>
        <v>0</v>
      </c>
      <c r="AD45" s="291">
        <f>REMUNERACION_ENEL!AD106</f>
        <v>0</v>
      </c>
      <c r="AE45" s="291">
        <f>REMUNERACION_ENEL!AE106</f>
        <v>0</v>
      </c>
      <c r="AF45" s="322">
        <f>REMUNERACION_ENEL!AF106</f>
        <v>-154788536</v>
      </c>
      <c r="AG45" s="522">
        <f>REMUNERACION_ENEL!AG106</f>
        <v>0</v>
      </c>
      <c r="AH45" s="1"/>
      <c r="AI45" s="306"/>
      <c r="AM45" s="333"/>
    </row>
    <row r="46" spans="1:39" s="305" customFormat="1" ht="12" x14ac:dyDescent="0.25">
      <c r="B46" s="314">
        <v>4</v>
      </c>
      <c r="C46" s="315" t="s">
        <v>13</v>
      </c>
      <c r="D46" s="291">
        <f>REMUNERACION_ENEL!D107</f>
        <v>0</v>
      </c>
      <c r="E46" s="292">
        <f>REMUNERACION_ENEL!E107</f>
        <v>0</v>
      </c>
      <c r="F46" s="292">
        <f>REMUNERACION_ENEL!F107</f>
        <v>0</v>
      </c>
      <c r="G46" s="292">
        <f>REMUNERACION_ENEL!G107</f>
        <v>0</v>
      </c>
      <c r="H46" s="292">
        <f>REMUNERACION_ENEL!H107</f>
        <v>0</v>
      </c>
      <c r="I46" s="292">
        <f>REMUNERACION_ENEL!I107</f>
        <v>0</v>
      </c>
      <c r="J46" s="288">
        <f>REMUNERACION_ENEL!J107</f>
        <v>0</v>
      </c>
      <c r="K46" s="295">
        <f>REMUNERACION_ENEL!K107</f>
        <v>0</v>
      </c>
      <c r="L46" s="294">
        <f>REMUNERACION_ENEL!L107</f>
        <v>120391083</v>
      </c>
      <c r="M46" s="295">
        <f>REMUNERACION_ENEL!M107</f>
        <v>-120391083</v>
      </c>
      <c r="N46" s="294">
        <f>REMUNERACION_ENEL!N107</f>
        <v>0</v>
      </c>
      <c r="O46" s="295">
        <f>REMUNERACION_ENEL!O107</f>
        <v>-120391083</v>
      </c>
      <c r="Q46" s="306"/>
      <c r="S46" s="314">
        <v>4</v>
      </c>
      <c r="T46" s="315" t="s">
        <v>13</v>
      </c>
      <c r="U46" s="316">
        <f>REMUNERACION_ENEL!U107</f>
        <v>0</v>
      </c>
      <c r="V46" s="317">
        <f>REMUNERACION_ENEL!V107</f>
        <v>0</v>
      </c>
      <c r="W46" s="317">
        <f>REMUNERACION_ENEL!W107</f>
        <v>0</v>
      </c>
      <c r="X46" s="317">
        <f>REMUNERACION_ENEL!X107</f>
        <v>0</v>
      </c>
      <c r="Y46" s="318">
        <f>REMUNERACION_ENEL!Y107</f>
        <v>0</v>
      </c>
      <c r="Z46" s="319">
        <f>REMUNERACION_ENEL!Z107</f>
        <v>-120391083</v>
      </c>
      <c r="AA46" s="320">
        <f>REMUNERACION_ENEL!AA107</f>
        <v>0</v>
      </c>
      <c r="AB46" s="294">
        <f>REMUNERACION_ENEL!AB107</f>
        <v>0</v>
      </c>
      <c r="AC46" s="320">
        <f>REMUNERACION_ENEL!AC107</f>
        <v>0</v>
      </c>
      <c r="AD46" s="291">
        <f>REMUNERACION_ENEL!AD107</f>
        <v>0</v>
      </c>
      <c r="AE46" s="291">
        <f>REMUNERACION_ENEL!AE107</f>
        <v>0</v>
      </c>
      <c r="AF46" s="322">
        <f>REMUNERACION_ENEL!AF107</f>
        <v>-120391083</v>
      </c>
      <c r="AG46" s="522">
        <f>REMUNERACION_ENEL!AG107</f>
        <v>0</v>
      </c>
      <c r="AH46" s="1"/>
      <c r="AI46" s="306"/>
      <c r="AM46" s="333"/>
    </row>
    <row r="47" spans="1:39" s="305" customFormat="1" ht="12.6" thickBot="1" x14ac:dyDescent="0.3">
      <c r="B47" s="324">
        <v>5</v>
      </c>
      <c r="C47" s="325" t="s">
        <v>14</v>
      </c>
      <c r="D47" s="296">
        <f>REMUNERACION_ENEL!D108</f>
        <v>0</v>
      </c>
      <c r="E47" s="297">
        <f>REMUNERACION_ENEL!E108</f>
        <v>0</v>
      </c>
      <c r="F47" s="297">
        <f>REMUNERACION_ENEL!F108</f>
        <v>0</v>
      </c>
      <c r="G47" s="297">
        <f>REMUNERACION_ENEL!G108</f>
        <v>0</v>
      </c>
      <c r="H47" s="297">
        <f>REMUNERACION_ENEL!H108</f>
        <v>0</v>
      </c>
      <c r="I47" s="297">
        <f>REMUNERACION_ENEL!I108</f>
        <v>0</v>
      </c>
      <c r="J47" s="289">
        <f>REMUNERACION_ENEL!J108</f>
        <v>0</v>
      </c>
      <c r="K47" s="295">
        <f>REMUNERACION_ENEL!K108</f>
        <v>0</v>
      </c>
      <c r="L47" s="294">
        <f>REMUNERACION_ENEL!L108</f>
        <v>128990446</v>
      </c>
      <c r="M47" s="298">
        <f>REMUNERACION_ENEL!M108</f>
        <v>-128990446</v>
      </c>
      <c r="N47" s="299">
        <f>REMUNERACION_ENEL!N108</f>
        <v>0</v>
      </c>
      <c r="O47" s="298">
        <f>REMUNERACION_ENEL!O108</f>
        <v>-128990446</v>
      </c>
      <c r="Q47" s="306"/>
      <c r="S47" s="324">
        <v>5</v>
      </c>
      <c r="T47" s="325" t="s">
        <v>14</v>
      </c>
      <c r="U47" s="296">
        <f>REMUNERACION_ENEL!U108</f>
        <v>0</v>
      </c>
      <c r="V47" s="297">
        <f>REMUNERACION_ENEL!V108</f>
        <v>0</v>
      </c>
      <c r="W47" s="297">
        <f>REMUNERACION_ENEL!W108</f>
        <v>0</v>
      </c>
      <c r="X47" s="297">
        <f>REMUNERACION_ENEL!X108</f>
        <v>0</v>
      </c>
      <c r="Y47" s="289">
        <f>REMUNERACION_ENEL!Y108</f>
        <v>0</v>
      </c>
      <c r="Z47" s="319">
        <f>REMUNERACION_ENEL!Z108</f>
        <v>-128990446</v>
      </c>
      <c r="AA47" s="320">
        <f>REMUNERACION_ENEL!AA108</f>
        <v>0</v>
      </c>
      <c r="AB47" s="294">
        <f>REMUNERACION_ENEL!AB108</f>
        <v>0</v>
      </c>
      <c r="AC47" s="320">
        <f>REMUNERACION_ENEL!AC108</f>
        <v>0</v>
      </c>
      <c r="AD47" s="291">
        <f>REMUNERACION_ENEL!AD108</f>
        <v>0</v>
      </c>
      <c r="AE47" s="291">
        <f>REMUNERACION_ENEL!AE108</f>
        <v>0</v>
      </c>
      <c r="AF47" s="322">
        <f>REMUNERACION_ENEL!AF108</f>
        <v>-128990446</v>
      </c>
      <c r="AG47" s="523">
        <f>REMUNERACION_ENEL!AG108</f>
        <v>0</v>
      </c>
      <c r="AH47" s="1"/>
      <c r="AI47" s="306"/>
      <c r="AM47" s="333"/>
    </row>
    <row r="48" spans="1:39" s="305" customFormat="1" ht="13.8" thickBot="1" x14ac:dyDescent="0.3">
      <c r="B48" s="327"/>
      <c r="C48" s="328" t="s">
        <v>2</v>
      </c>
      <c r="D48" s="290">
        <f>REMUNERACION_ENEL!D109</f>
        <v>0</v>
      </c>
      <c r="E48" s="290">
        <f>REMUNERACION_ENEL!E109</f>
        <v>0</v>
      </c>
      <c r="F48" s="290">
        <f>REMUNERACION_ENEL!F109</f>
        <v>0</v>
      </c>
      <c r="G48" s="290">
        <f>REMUNERACION_ENEL!G109</f>
        <v>0</v>
      </c>
      <c r="H48" s="290">
        <f>REMUNERACION_ENEL!H109</f>
        <v>0</v>
      </c>
      <c r="I48" s="290">
        <f>REMUNERACION_ENEL!I109</f>
        <v>0</v>
      </c>
      <c r="J48" s="290">
        <f>REMUNERACION_ENEL!J109</f>
        <v>0</v>
      </c>
      <c r="K48" s="300">
        <f>REMUNERACION_ENEL!K109</f>
        <v>0</v>
      </c>
      <c r="L48" s="301">
        <f>REMUNERACION_ENEL!L109</f>
        <v>859936309</v>
      </c>
      <c r="M48" s="302">
        <f>REMUNERACION_ENEL!M109</f>
        <v>-859936309</v>
      </c>
      <c r="N48" s="301">
        <f>REMUNERACION_ENEL!N109</f>
        <v>0</v>
      </c>
      <c r="O48" s="302">
        <f>REMUNERACION_ENEL!O109</f>
        <v>-859936309</v>
      </c>
      <c r="P48" s="329"/>
      <c r="Q48" s="306"/>
      <c r="S48" s="327"/>
      <c r="T48" s="328" t="s">
        <v>2</v>
      </c>
      <c r="U48" s="330">
        <f>REMUNERACION_ENEL!U109</f>
        <v>0</v>
      </c>
      <c r="V48" s="330">
        <f>REMUNERACION_ENEL!V109</f>
        <v>0</v>
      </c>
      <c r="W48" s="330">
        <f>REMUNERACION_ENEL!W109</f>
        <v>0</v>
      </c>
      <c r="X48" s="330">
        <f>REMUNERACION_ENEL!X109</f>
        <v>0</v>
      </c>
      <c r="Y48" s="330">
        <f>REMUNERACION_ENEL!Y109</f>
        <v>0</v>
      </c>
      <c r="Z48" s="290">
        <f>REMUNERACION_ENEL!Z109</f>
        <v>-859936309</v>
      </c>
      <c r="AA48" s="290">
        <f>REMUNERACION_ENEL!AA109</f>
        <v>0</v>
      </c>
      <c r="AB48" s="290">
        <f>REMUNERACION_ENEL!AB109</f>
        <v>0</v>
      </c>
      <c r="AC48" s="290">
        <f>REMUNERACION_ENEL!AC109</f>
        <v>0</v>
      </c>
      <c r="AD48" s="290">
        <f>REMUNERACION_ENEL!AD109</f>
        <v>0</v>
      </c>
      <c r="AE48" s="290">
        <f>REMUNERACION_ENEL!AE109</f>
        <v>0</v>
      </c>
      <c r="AF48" s="331">
        <f>REMUNERACION_ENEL!AF109</f>
        <v>-859936309</v>
      </c>
      <c r="AG48" s="524">
        <f>REMUNERACION_ENEL!AG109</f>
        <v>0</v>
      </c>
      <c r="AH48" s="1"/>
      <c r="AI48" s="306"/>
      <c r="AM48" s="333"/>
    </row>
    <row r="49" spans="1:39" ht="12" x14ac:dyDescent="0.25">
      <c r="B49" s="2"/>
      <c r="C49" s="2"/>
      <c r="D49" s="448"/>
      <c r="E49" s="448"/>
      <c r="F49" s="448"/>
      <c r="G49" s="448"/>
      <c r="H49" s="448"/>
      <c r="I49" s="448"/>
      <c r="K49" s="448"/>
      <c r="L49" s="448"/>
      <c r="M49" s="448"/>
      <c r="N49" s="448"/>
      <c r="O49" s="448"/>
      <c r="Q49" s="4"/>
      <c r="S49" s="2"/>
      <c r="T49" s="2"/>
      <c r="U49" s="448"/>
      <c r="V49" s="448"/>
      <c r="W49" s="448"/>
      <c r="X49" s="448"/>
      <c r="Y49" s="448"/>
      <c r="AF49" s="448"/>
      <c r="AI49" s="4"/>
    </row>
    <row r="50" spans="1:39" ht="12" x14ac:dyDescent="0.25">
      <c r="B50" s="2"/>
      <c r="C50" s="2"/>
      <c r="D50" s="549"/>
      <c r="E50" s="549"/>
      <c r="F50" s="549"/>
      <c r="G50" s="549"/>
      <c r="H50" s="549"/>
      <c r="I50" s="549"/>
      <c r="K50" s="549"/>
      <c r="L50" s="549"/>
      <c r="M50" s="549"/>
      <c r="N50" s="549"/>
      <c r="O50" s="549"/>
      <c r="Q50" s="4"/>
      <c r="AI50" s="4"/>
    </row>
    <row r="51" spans="1:39" ht="12" x14ac:dyDescent="0.25">
      <c r="A51" s="4"/>
      <c r="B51" s="34"/>
      <c r="C51" s="34"/>
      <c r="D51" s="474"/>
      <c r="E51" s="474"/>
      <c r="F51" s="474"/>
      <c r="G51" s="474"/>
      <c r="H51" s="474"/>
      <c r="I51" s="474"/>
      <c r="J51" s="4"/>
      <c r="K51" s="474"/>
      <c r="L51" s="474"/>
      <c r="M51" s="474"/>
      <c r="N51" s="474"/>
      <c r="O51" s="47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549"/>
      <c r="E52" s="549"/>
      <c r="F52" s="549"/>
      <c r="G52" s="549"/>
      <c r="H52" s="549"/>
      <c r="I52" s="549"/>
      <c r="K52" s="549"/>
      <c r="L52" s="549"/>
      <c r="M52" s="549"/>
      <c r="N52" s="549"/>
      <c r="O52" s="549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330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168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5" customFormat="1" ht="12" x14ac:dyDescent="0.25">
      <c r="B60" s="303">
        <v>1</v>
      </c>
      <c r="C60" s="304" t="s">
        <v>10</v>
      </c>
      <c r="D60" s="291">
        <f>REMUNERACION_ENERBIT!D104</f>
        <v>0</v>
      </c>
      <c r="E60" s="291">
        <f>REMUNERACION_ENERBIT!E104</f>
        <v>0</v>
      </c>
      <c r="F60" s="291">
        <f>REMUNERACION_ENERBIT!F104</f>
        <v>0</v>
      </c>
      <c r="G60" s="291">
        <f>REMUNERACION_ENERBIT!G104</f>
        <v>0</v>
      </c>
      <c r="H60" s="291">
        <f>REMUNERACION_ENERBIT!H104</f>
        <v>0</v>
      </c>
      <c r="I60" s="291">
        <f>REMUNERACION_ENERBIT!I104</f>
        <v>0</v>
      </c>
      <c r="J60" s="291">
        <f>REMUNERACION_ENERBIT!J104</f>
        <v>0</v>
      </c>
      <c r="K60" s="293">
        <f>REMUNERACION_ENERBIT!K104</f>
        <v>0</v>
      </c>
      <c r="L60" s="294">
        <f>REMUNERACION_ENERBIT!L104</f>
        <v>0</v>
      </c>
      <c r="M60" s="293">
        <f>REMUNERACION_ENERBIT!M104</f>
        <v>0</v>
      </c>
      <c r="N60" s="294">
        <f>REMUNERACION_ENERBIT!N104</f>
        <v>0</v>
      </c>
      <c r="O60" s="293">
        <f>REMUNERACION_ENERBIT!O104</f>
        <v>0</v>
      </c>
      <c r="Q60" s="306"/>
      <c r="S60" s="303">
        <v>1</v>
      </c>
      <c r="T60" s="304" t="s">
        <v>10</v>
      </c>
      <c r="U60" s="307">
        <f>REMUNERACION_ENERBIT!U104</f>
        <v>0</v>
      </c>
      <c r="V60" s="308">
        <f>REMUNERACION_ENERBIT!V104</f>
        <v>0</v>
      </c>
      <c r="W60" s="308">
        <f>REMUNERACION_ENERBIT!W104</f>
        <v>0</v>
      </c>
      <c r="X60" s="308">
        <f>REMUNERACION_ENERBIT!X104</f>
        <v>0</v>
      </c>
      <c r="Y60" s="309">
        <f>REMUNERACION_ENERBIT!Y104</f>
        <v>0</v>
      </c>
      <c r="Z60" s="309">
        <f>REMUNERACION_ENERBIT!Z104</f>
        <v>0</v>
      </c>
      <c r="AA60" s="309">
        <f>REMUNERACION_ENERBIT!AA104</f>
        <v>0</v>
      </c>
      <c r="AB60" s="309">
        <f>REMUNERACION_ENERBIT!AB104</f>
        <v>0</v>
      </c>
      <c r="AC60" s="309">
        <f>REMUNERACION_ENERBIT!AC104</f>
        <v>0</v>
      </c>
      <c r="AD60" s="309">
        <f>REMUNERACION_ENERBIT!AD104</f>
        <v>0</v>
      </c>
      <c r="AE60" s="309">
        <f>REMUNERACION_ENERBIT!AE104</f>
        <v>0</v>
      </c>
      <c r="AF60" s="313">
        <f>REMUNERACION_ENERBIT!AF104</f>
        <v>0</v>
      </c>
      <c r="AG60" s="521">
        <f>REMUNERACION_ENEL!AG121</f>
        <v>0</v>
      </c>
      <c r="AH60" s="1"/>
      <c r="AI60" s="306"/>
      <c r="AM60" s="333"/>
    </row>
    <row r="61" spans="1:39" s="305" customFormat="1" ht="12" x14ac:dyDescent="0.25">
      <c r="B61" s="314">
        <v>2</v>
      </c>
      <c r="C61" s="315" t="s">
        <v>11</v>
      </c>
      <c r="D61" s="291">
        <f>REMUNERACION_ENERBIT!D105</f>
        <v>0</v>
      </c>
      <c r="E61" s="291">
        <f>REMUNERACION_ENERBIT!E105</f>
        <v>0</v>
      </c>
      <c r="F61" s="291">
        <f>REMUNERACION_ENERBIT!F105</f>
        <v>0</v>
      </c>
      <c r="G61" s="291">
        <f>REMUNERACION_ENERBIT!G105</f>
        <v>0</v>
      </c>
      <c r="H61" s="291">
        <f>REMUNERACION_ENERBIT!H105</f>
        <v>0</v>
      </c>
      <c r="I61" s="291">
        <f>REMUNERACION_ENERBIT!I105</f>
        <v>0</v>
      </c>
      <c r="J61" s="291">
        <f>REMUNERACION_ENERBIT!J105</f>
        <v>0</v>
      </c>
      <c r="K61" s="295">
        <f>REMUNERACION_ENERBIT!K105</f>
        <v>0</v>
      </c>
      <c r="L61" s="294">
        <f>REMUNERACION_ENERBIT!L105</f>
        <v>0</v>
      </c>
      <c r="M61" s="295">
        <f>REMUNERACION_ENERBIT!M105</f>
        <v>0</v>
      </c>
      <c r="N61" s="294">
        <f>REMUNERACION_ENERBIT!N105</f>
        <v>0</v>
      </c>
      <c r="O61" s="295">
        <f>REMUNERACION_ENERBIT!O105</f>
        <v>0</v>
      </c>
      <c r="Q61" s="306"/>
      <c r="S61" s="314">
        <v>2</v>
      </c>
      <c r="T61" s="315" t="s">
        <v>11</v>
      </c>
      <c r="U61" s="316">
        <f>REMUNERACION_ENERBIT!U105</f>
        <v>0</v>
      </c>
      <c r="V61" s="317">
        <f>REMUNERACION_ENERBIT!V105</f>
        <v>0</v>
      </c>
      <c r="W61" s="317">
        <f>REMUNERACION_ENERBIT!W105</f>
        <v>0</v>
      </c>
      <c r="X61" s="317">
        <f>REMUNERACION_ENERBIT!X105</f>
        <v>0</v>
      </c>
      <c r="Y61" s="318">
        <f>REMUNERACION_ENERBIT!Y105</f>
        <v>0</v>
      </c>
      <c r="Z61" s="318">
        <f>REMUNERACION_ENERBIT!Z105</f>
        <v>0</v>
      </c>
      <c r="AA61" s="318">
        <f>REMUNERACION_ENERBIT!AA105</f>
        <v>0</v>
      </c>
      <c r="AB61" s="318">
        <f>REMUNERACION_ENERBIT!AB105</f>
        <v>0</v>
      </c>
      <c r="AC61" s="318">
        <f>REMUNERACION_ENERBIT!AC105</f>
        <v>0</v>
      </c>
      <c r="AD61" s="318">
        <f>REMUNERACION_ENERBIT!AD105</f>
        <v>0</v>
      </c>
      <c r="AE61" s="318">
        <f>REMUNERACION_ENERBIT!AE105</f>
        <v>0</v>
      </c>
      <c r="AF61" s="322">
        <f>REMUNERACION_ENERBIT!AF105</f>
        <v>0</v>
      </c>
      <c r="AG61" s="522">
        <f>REMUNERACION_ENEL!AG122</f>
        <v>0</v>
      </c>
      <c r="AH61" s="1"/>
      <c r="AI61" s="306"/>
      <c r="AM61" s="333"/>
    </row>
    <row r="62" spans="1:39" s="305" customFormat="1" ht="12" x14ac:dyDescent="0.25">
      <c r="B62" s="314">
        <v>3</v>
      </c>
      <c r="C62" s="315" t="s">
        <v>12</v>
      </c>
      <c r="D62" s="291">
        <f>REMUNERACION_ENERBIT!D106</f>
        <v>0</v>
      </c>
      <c r="E62" s="291">
        <f>REMUNERACION_ENERBIT!E106</f>
        <v>0</v>
      </c>
      <c r="F62" s="291">
        <f>REMUNERACION_ENERBIT!F106</f>
        <v>0</v>
      </c>
      <c r="G62" s="291">
        <f>REMUNERACION_ENERBIT!G106</f>
        <v>0</v>
      </c>
      <c r="H62" s="291">
        <f>REMUNERACION_ENERBIT!H106</f>
        <v>0</v>
      </c>
      <c r="I62" s="291">
        <f>REMUNERACION_ENERBIT!I106</f>
        <v>0</v>
      </c>
      <c r="J62" s="291">
        <f>REMUNERACION_ENERBIT!J106</f>
        <v>0</v>
      </c>
      <c r="K62" s="295">
        <f>REMUNERACION_ENERBIT!K106</f>
        <v>0</v>
      </c>
      <c r="L62" s="294">
        <f>REMUNERACION_ENERBIT!L106</f>
        <v>0</v>
      </c>
      <c r="M62" s="295">
        <f>REMUNERACION_ENERBIT!M106</f>
        <v>0</v>
      </c>
      <c r="N62" s="294">
        <f>REMUNERACION_ENERBIT!N106</f>
        <v>0</v>
      </c>
      <c r="O62" s="295">
        <f>REMUNERACION_ENERBIT!O106</f>
        <v>0</v>
      </c>
      <c r="Q62" s="306"/>
      <c r="S62" s="314">
        <v>3</v>
      </c>
      <c r="T62" s="315" t="s">
        <v>12</v>
      </c>
      <c r="U62" s="316">
        <f>REMUNERACION_ENERBIT!U106</f>
        <v>0</v>
      </c>
      <c r="V62" s="317">
        <f>REMUNERACION_ENERBIT!V106</f>
        <v>0</v>
      </c>
      <c r="W62" s="317">
        <f>REMUNERACION_ENERBIT!W106</f>
        <v>0</v>
      </c>
      <c r="X62" s="317">
        <f>REMUNERACION_ENERBIT!X106</f>
        <v>0</v>
      </c>
      <c r="Y62" s="318">
        <f>REMUNERACION_ENERBIT!Y106</f>
        <v>0</v>
      </c>
      <c r="Z62" s="318">
        <f>REMUNERACION_ENERBIT!Z106</f>
        <v>0</v>
      </c>
      <c r="AA62" s="318">
        <f>REMUNERACION_ENERBIT!AA106</f>
        <v>0</v>
      </c>
      <c r="AB62" s="318">
        <f>REMUNERACION_ENERBIT!AB106</f>
        <v>0</v>
      </c>
      <c r="AC62" s="318">
        <f>REMUNERACION_ENERBIT!AC106</f>
        <v>0</v>
      </c>
      <c r="AD62" s="318">
        <f>REMUNERACION_ENERBIT!AD106</f>
        <v>0</v>
      </c>
      <c r="AE62" s="318">
        <f>REMUNERACION_ENERBIT!AE106</f>
        <v>0</v>
      </c>
      <c r="AF62" s="322">
        <f>REMUNERACION_ENERBIT!AF106</f>
        <v>0</v>
      </c>
      <c r="AG62" s="522">
        <f>REMUNERACION_ENEL!AG123</f>
        <v>0</v>
      </c>
      <c r="AH62" s="1"/>
      <c r="AI62" s="306"/>
      <c r="AM62" s="333"/>
    </row>
    <row r="63" spans="1:39" s="305" customFormat="1" ht="12" x14ac:dyDescent="0.25">
      <c r="B63" s="314">
        <v>4</v>
      </c>
      <c r="C63" s="315" t="s">
        <v>13</v>
      </c>
      <c r="D63" s="291">
        <f>REMUNERACION_ENERBIT!D107</f>
        <v>0</v>
      </c>
      <c r="E63" s="291">
        <f>REMUNERACION_ENERBIT!E107</f>
        <v>0</v>
      </c>
      <c r="F63" s="291">
        <f>REMUNERACION_ENERBIT!F107</f>
        <v>0</v>
      </c>
      <c r="G63" s="291">
        <f>REMUNERACION_ENERBIT!G107</f>
        <v>0</v>
      </c>
      <c r="H63" s="291">
        <f>REMUNERACION_ENERBIT!H107</f>
        <v>0</v>
      </c>
      <c r="I63" s="291">
        <f>REMUNERACION_ENERBIT!I107</f>
        <v>0</v>
      </c>
      <c r="J63" s="291">
        <f>REMUNERACION_ENERBIT!J107</f>
        <v>0</v>
      </c>
      <c r="K63" s="295">
        <f>REMUNERACION_ENERBIT!K107</f>
        <v>0</v>
      </c>
      <c r="L63" s="294">
        <f>REMUNERACION_ENERBIT!L107</f>
        <v>0</v>
      </c>
      <c r="M63" s="295">
        <f>REMUNERACION_ENERBIT!M107</f>
        <v>0</v>
      </c>
      <c r="N63" s="294">
        <f>REMUNERACION_ENERBIT!N107</f>
        <v>0</v>
      </c>
      <c r="O63" s="295">
        <f>REMUNERACION_ENERBIT!O107</f>
        <v>0</v>
      </c>
      <c r="Q63" s="306"/>
      <c r="S63" s="314">
        <v>4</v>
      </c>
      <c r="T63" s="315" t="s">
        <v>13</v>
      </c>
      <c r="U63" s="316">
        <f>REMUNERACION_ENERBIT!U107</f>
        <v>0</v>
      </c>
      <c r="V63" s="317">
        <f>REMUNERACION_ENERBIT!V107</f>
        <v>0</v>
      </c>
      <c r="W63" s="317">
        <f>REMUNERACION_ENERBIT!W107</f>
        <v>0</v>
      </c>
      <c r="X63" s="317">
        <f>REMUNERACION_ENERBIT!X107</f>
        <v>0</v>
      </c>
      <c r="Y63" s="318">
        <f>REMUNERACION_ENERBIT!Y107</f>
        <v>0</v>
      </c>
      <c r="Z63" s="318">
        <f>REMUNERACION_ENERBIT!Z107</f>
        <v>0</v>
      </c>
      <c r="AA63" s="318">
        <f>REMUNERACION_ENERBIT!AA107</f>
        <v>0</v>
      </c>
      <c r="AB63" s="318">
        <f>REMUNERACION_ENERBIT!AB107</f>
        <v>0</v>
      </c>
      <c r="AC63" s="318">
        <f>REMUNERACION_ENERBIT!AC107</f>
        <v>0</v>
      </c>
      <c r="AD63" s="318">
        <f>REMUNERACION_ENERBIT!AD107</f>
        <v>0</v>
      </c>
      <c r="AE63" s="318">
        <f>REMUNERACION_ENERBIT!AE107</f>
        <v>0</v>
      </c>
      <c r="AF63" s="322">
        <f>REMUNERACION_ENERBIT!AF107</f>
        <v>0</v>
      </c>
      <c r="AG63" s="522">
        <f>REMUNERACION_ENEL!AG124</f>
        <v>0</v>
      </c>
      <c r="AH63" s="1"/>
      <c r="AI63" s="306"/>
      <c r="AM63" s="333"/>
    </row>
    <row r="64" spans="1:39" s="305" customFormat="1" ht="12.6" thickBot="1" x14ac:dyDescent="0.3">
      <c r="B64" s="324">
        <v>5</v>
      </c>
      <c r="C64" s="325" t="s">
        <v>14</v>
      </c>
      <c r="D64" s="291">
        <f>REMUNERACION_ENERBIT!D108</f>
        <v>0</v>
      </c>
      <c r="E64" s="291">
        <f>REMUNERACION_ENERBIT!E108</f>
        <v>0</v>
      </c>
      <c r="F64" s="291">
        <f>REMUNERACION_ENERBIT!F108</f>
        <v>0</v>
      </c>
      <c r="G64" s="291">
        <f>REMUNERACION_ENERBIT!G108</f>
        <v>0</v>
      </c>
      <c r="H64" s="291">
        <f>REMUNERACION_ENERBIT!H108</f>
        <v>0</v>
      </c>
      <c r="I64" s="291">
        <f>REMUNERACION_ENERBIT!I108</f>
        <v>0</v>
      </c>
      <c r="J64" s="291">
        <f>REMUNERACION_ENERBIT!J108</f>
        <v>0</v>
      </c>
      <c r="K64" s="295">
        <f>REMUNERACION_ENERBIT!K108</f>
        <v>0</v>
      </c>
      <c r="L64" s="294">
        <f>REMUNERACION_ENERBIT!L108</f>
        <v>0</v>
      </c>
      <c r="M64" s="298">
        <f>REMUNERACION_ENERBIT!M108</f>
        <v>0</v>
      </c>
      <c r="N64" s="299">
        <f>REMUNERACION_ENERBIT!N108</f>
        <v>0</v>
      </c>
      <c r="O64" s="298">
        <f>REMUNERACION_ENERBIT!O108</f>
        <v>0</v>
      </c>
      <c r="Q64" s="306"/>
      <c r="S64" s="324">
        <v>5</v>
      </c>
      <c r="T64" s="325" t="s">
        <v>14</v>
      </c>
      <c r="U64" s="296">
        <f>REMUNERACION_ENERBIT!U108</f>
        <v>0</v>
      </c>
      <c r="V64" s="297">
        <f>REMUNERACION_ENERBIT!V108</f>
        <v>0</v>
      </c>
      <c r="W64" s="297">
        <f>REMUNERACION_ENERBIT!W108</f>
        <v>0</v>
      </c>
      <c r="X64" s="297">
        <f>REMUNERACION_ENERBIT!X108</f>
        <v>0</v>
      </c>
      <c r="Y64" s="289">
        <f>REMUNERACION_ENERBIT!Y108</f>
        <v>0</v>
      </c>
      <c r="Z64" s="289">
        <f>REMUNERACION_ENERBIT!Z108</f>
        <v>0</v>
      </c>
      <c r="AA64" s="289">
        <f>REMUNERACION_ENERBIT!AA108</f>
        <v>0</v>
      </c>
      <c r="AB64" s="289">
        <f>REMUNERACION_ENERBIT!AB108</f>
        <v>0</v>
      </c>
      <c r="AC64" s="289">
        <f>REMUNERACION_ENERBIT!AC108</f>
        <v>0</v>
      </c>
      <c r="AD64" s="289">
        <f>REMUNERACION_ENERBIT!AD108</f>
        <v>0</v>
      </c>
      <c r="AE64" s="289">
        <f>REMUNERACION_ENERBIT!AE108</f>
        <v>0</v>
      </c>
      <c r="AF64" s="322">
        <f>REMUNERACION_ENERBIT!AF108</f>
        <v>0</v>
      </c>
      <c r="AG64" s="523">
        <f>REMUNERACION_ENEL!AG125</f>
        <v>0</v>
      </c>
      <c r="AH64" s="1"/>
      <c r="AI64" s="306"/>
      <c r="AM64" s="333"/>
    </row>
    <row r="65" spans="1:39" s="305" customFormat="1" ht="13.8" thickBot="1" x14ac:dyDescent="0.3">
      <c r="B65" s="327"/>
      <c r="C65" s="328" t="s">
        <v>2</v>
      </c>
      <c r="D65" s="290">
        <f>REMUNERACION_ENERBIT!D109</f>
        <v>0</v>
      </c>
      <c r="E65" s="290">
        <f>REMUNERACION_ENERBIT!E109</f>
        <v>0</v>
      </c>
      <c r="F65" s="290">
        <f>REMUNERACION_ENERBIT!F109</f>
        <v>0</v>
      </c>
      <c r="G65" s="290">
        <f>REMUNERACION_ENERBIT!G109</f>
        <v>0</v>
      </c>
      <c r="H65" s="290">
        <f>REMUNERACION_ENERBIT!H109</f>
        <v>0</v>
      </c>
      <c r="I65" s="290">
        <f>REMUNERACION_ENERBIT!I109</f>
        <v>0</v>
      </c>
      <c r="J65" s="290">
        <f>REMUNERACION_ENERBIT!J109</f>
        <v>0</v>
      </c>
      <c r="K65" s="300">
        <f>REMUNERACION_ENERBIT!K109</f>
        <v>0</v>
      </c>
      <c r="L65" s="301">
        <f>REMUNERACION_ENERBIT!L109</f>
        <v>0</v>
      </c>
      <c r="M65" s="302">
        <f>REMUNERACION_ENERBIT!M109</f>
        <v>0</v>
      </c>
      <c r="N65" s="301">
        <f>REMUNERACION_ENERBIT!N109</f>
        <v>0</v>
      </c>
      <c r="O65" s="302">
        <f>REMUNERACION_ENERBIT!O109</f>
        <v>0</v>
      </c>
      <c r="P65" s="329"/>
      <c r="Q65" s="306"/>
      <c r="S65" s="327"/>
      <c r="T65" s="328" t="s">
        <v>2</v>
      </c>
      <c r="U65" s="330">
        <f>REMUNERACION_ENERBIT!U109</f>
        <v>0</v>
      </c>
      <c r="V65" s="330">
        <f>REMUNERACION_ENERBIT!V109</f>
        <v>0</v>
      </c>
      <c r="W65" s="330">
        <f>REMUNERACION_ENERBIT!W109</f>
        <v>0</v>
      </c>
      <c r="X65" s="330">
        <f>REMUNERACION_ENERBIT!X109</f>
        <v>0</v>
      </c>
      <c r="Y65" s="330">
        <f>REMUNERACION_ENERBIT!Y109</f>
        <v>0</v>
      </c>
      <c r="Z65" s="330">
        <f>REMUNERACION_ENERBIT!Z109</f>
        <v>0</v>
      </c>
      <c r="AA65" s="330">
        <f>REMUNERACION_ENERBIT!AA109</f>
        <v>0</v>
      </c>
      <c r="AB65" s="330">
        <f>REMUNERACION_ENERBIT!AB109</f>
        <v>0</v>
      </c>
      <c r="AC65" s="330">
        <f>REMUNERACION_ENERBIT!AC109</f>
        <v>0</v>
      </c>
      <c r="AD65" s="330">
        <f>REMUNERACION_ENERBIT!AD109</f>
        <v>0</v>
      </c>
      <c r="AE65" s="330">
        <f>REMUNERACION_ENERBIT!AE109</f>
        <v>0</v>
      </c>
      <c r="AF65" s="331">
        <f>REMUNERACION_ENERBIT!AF109</f>
        <v>0</v>
      </c>
      <c r="AG65" s="524">
        <f>REMUNERACION_ENEL!AG126</f>
        <v>0</v>
      </c>
      <c r="AH65" s="1"/>
      <c r="AI65" s="306"/>
      <c r="AM65" s="333"/>
    </row>
    <row r="66" spans="1:39" ht="12" x14ac:dyDescent="0.25">
      <c r="B66" s="2"/>
      <c r="C66" s="2"/>
      <c r="D66" s="448"/>
      <c r="E66" s="448"/>
      <c r="F66" s="448"/>
      <c r="G66" s="448"/>
      <c r="H66" s="448"/>
      <c r="I66" s="448"/>
      <c r="K66" s="448"/>
      <c r="L66" s="448"/>
      <c r="M66" s="448"/>
      <c r="N66" s="448"/>
      <c r="O66" s="448"/>
      <c r="Q66" s="4"/>
      <c r="S66" s="2"/>
      <c r="T66" s="2"/>
      <c r="U66" s="448"/>
      <c r="V66" s="448"/>
      <c r="W66" s="448"/>
      <c r="X66" s="448"/>
      <c r="Y66" s="448"/>
      <c r="AF66" s="448"/>
      <c r="AI66" s="4"/>
    </row>
    <row r="67" spans="1:39" ht="12" x14ac:dyDescent="0.25">
      <c r="B67" s="2"/>
      <c r="C67" s="2"/>
      <c r="D67" s="549"/>
      <c r="E67" s="549"/>
      <c r="F67" s="549"/>
      <c r="G67" s="549"/>
      <c r="H67" s="549"/>
      <c r="I67" s="549"/>
      <c r="K67" s="549"/>
      <c r="L67" s="549"/>
      <c r="M67" s="549"/>
      <c r="N67" s="549"/>
      <c r="O67" s="549"/>
      <c r="Q67" s="4"/>
      <c r="AI67" s="4"/>
    </row>
    <row r="68" spans="1:39" ht="12.6" thickBot="1" x14ac:dyDescent="0.3">
      <c r="A68" s="4"/>
      <c r="B68" s="34"/>
      <c r="C68" s="34"/>
      <c r="D68" s="474"/>
      <c r="E68" s="474"/>
      <c r="F68" s="474"/>
      <c r="G68" s="474"/>
      <c r="H68" s="474"/>
      <c r="I68" s="474"/>
      <c r="J68" s="4"/>
      <c r="K68" s="474"/>
      <c r="L68" s="474"/>
      <c r="M68" s="474"/>
      <c r="N68" s="474"/>
      <c r="O68" s="47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476" t="s">
        <v>188</v>
      </c>
      <c r="G73" s="476"/>
      <c r="H73" s="477"/>
      <c r="I73" s="478"/>
      <c r="J73" s="477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168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5" customFormat="1" ht="12" x14ac:dyDescent="0.25">
      <c r="B76" s="303">
        <v>1</v>
      </c>
      <c r="C76" s="304" t="s">
        <v>10</v>
      </c>
      <c r="D76" s="291">
        <f>'REMUNERACION_OCCIDENTE_ Directa'!D104</f>
        <v>0</v>
      </c>
      <c r="E76" s="292">
        <f>'REMUNERACION_OCCIDENTE_ Directa'!E104</f>
        <v>0</v>
      </c>
      <c r="F76" s="292">
        <f>'REMUNERACION_OCCIDENTE_ Directa'!F104</f>
        <v>0</v>
      </c>
      <c r="G76" s="292">
        <f>'REMUNERACION_OCCIDENTE_ Directa'!G104</f>
        <v>0</v>
      </c>
      <c r="H76" s="292">
        <f>'REMUNERACION_OCCIDENTE_ Directa'!H104</f>
        <v>0</v>
      </c>
      <c r="I76" s="292">
        <f>'REMUNERACION_OCCIDENTE_ Directa'!I104</f>
        <v>0</v>
      </c>
      <c r="J76" s="288">
        <f>'REMUNERACION_OCCIDENTE_ Directa'!J104</f>
        <v>0</v>
      </c>
      <c r="K76" s="293">
        <f>'REMUNERACION_OCCIDENTE_ Directa'!K104</f>
        <v>0</v>
      </c>
      <c r="L76" s="294">
        <f>'REMUNERACION_OCCIDENTE_ Directa'!L104</f>
        <v>0</v>
      </c>
      <c r="M76" s="293">
        <f>'REMUNERACION_OCCIDENTE_ Directa'!M104</f>
        <v>0</v>
      </c>
      <c r="N76" s="294">
        <f>'REMUNERACION_OCCIDENTE_ Directa'!N104</f>
        <v>0</v>
      </c>
      <c r="O76" s="293">
        <f>'REMUNERACION_OCCIDENTE_ Directa'!O104</f>
        <v>0</v>
      </c>
      <c r="Q76" s="306"/>
      <c r="S76" s="303">
        <v>1</v>
      </c>
      <c r="T76" s="304" t="s">
        <v>10</v>
      </c>
      <c r="U76" s="307">
        <f>'REMUNERACION_OCCIDENTE_ Directa'!U104</f>
        <v>0</v>
      </c>
      <c r="V76" s="308">
        <f>'REMUNERACION_OCCIDENTE_ Directa'!V104</f>
        <v>0</v>
      </c>
      <c r="W76" s="308">
        <f>'REMUNERACION_OCCIDENTE_ Directa'!W104</f>
        <v>0</v>
      </c>
      <c r="X76" s="308">
        <f>'REMUNERACION_OCCIDENTE_ Directa'!X104</f>
        <v>0</v>
      </c>
      <c r="Y76" s="309">
        <f>'REMUNERACION_OCCIDENTE_ Directa'!Y104</f>
        <v>0</v>
      </c>
      <c r="Z76" s="310">
        <f>'REMUNERACION_OCCIDENTE_ Directa'!Z104</f>
        <v>0</v>
      </c>
      <c r="AA76" s="311">
        <f>'REMUNERACION_OCCIDENTE_ Directa'!AA104</f>
        <v>0</v>
      </c>
      <c r="AB76" s="294">
        <f>'REMUNERACION_OCCIDENTE_ Directa'!AB104</f>
        <v>0</v>
      </c>
      <c r="AC76" s="311">
        <f>'REMUNERACION_OCCIDENTE_ Directa'!AC104</f>
        <v>0</v>
      </c>
      <c r="AD76" s="291">
        <f>'REMUNERACION_OCCIDENTE_ Directa'!AD104</f>
        <v>0</v>
      </c>
      <c r="AE76" s="291">
        <f>'REMUNERACION_OCCIDENTE_ Directa'!AE104</f>
        <v>0</v>
      </c>
      <c r="AF76" s="313">
        <f>'REMUNERACION_OCCIDENTE_ Directa'!AF104</f>
        <v>0</v>
      </c>
      <c r="AG76" s="521">
        <f>'REMUNERACION_OCCIDENTE_ Directa'!AG104</f>
        <v>0</v>
      </c>
      <c r="AH76" s="1"/>
      <c r="AI76" s="306"/>
      <c r="AM76" s="333"/>
    </row>
    <row r="77" spans="1:39" s="305" customFormat="1" ht="12" x14ac:dyDescent="0.25">
      <c r="B77" s="314">
        <v>2</v>
      </c>
      <c r="C77" s="315" t="s">
        <v>11</v>
      </c>
      <c r="D77" s="291">
        <f>'REMUNERACION_OCCIDENTE_ Directa'!D105</f>
        <v>0</v>
      </c>
      <c r="E77" s="292">
        <f>'REMUNERACION_OCCIDENTE_ Directa'!E105</f>
        <v>0</v>
      </c>
      <c r="F77" s="292">
        <f>'REMUNERACION_OCCIDENTE_ Directa'!F105</f>
        <v>0</v>
      </c>
      <c r="G77" s="292">
        <f>'REMUNERACION_OCCIDENTE_ Directa'!G105</f>
        <v>0</v>
      </c>
      <c r="H77" s="292">
        <f>'REMUNERACION_OCCIDENTE_ Directa'!H105</f>
        <v>0</v>
      </c>
      <c r="I77" s="292">
        <f>'REMUNERACION_OCCIDENTE_ Directa'!I105</f>
        <v>0</v>
      </c>
      <c r="J77" s="288">
        <f>'REMUNERACION_OCCIDENTE_ Directa'!J105</f>
        <v>0</v>
      </c>
      <c r="K77" s="295">
        <f>'REMUNERACION_OCCIDENTE_ Directa'!K105</f>
        <v>0</v>
      </c>
      <c r="L77" s="294">
        <f>'REMUNERACION_OCCIDENTE_ Directa'!L105</f>
        <v>0</v>
      </c>
      <c r="M77" s="295">
        <f>'REMUNERACION_OCCIDENTE_ Directa'!M105</f>
        <v>0</v>
      </c>
      <c r="N77" s="294">
        <f>'REMUNERACION_OCCIDENTE_ Directa'!N105</f>
        <v>0</v>
      </c>
      <c r="O77" s="295">
        <f>'REMUNERACION_OCCIDENTE_ Directa'!O105</f>
        <v>0</v>
      </c>
      <c r="Q77" s="306"/>
      <c r="S77" s="314">
        <v>2</v>
      </c>
      <c r="T77" s="315" t="s">
        <v>11</v>
      </c>
      <c r="U77" s="316">
        <f>'REMUNERACION_OCCIDENTE_ Directa'!U105</f>
        <v>0</v>
      </c>
      <c r="V77" s="317">
        <f>'REMUNERACION_OCCIDENTE_ Directa'!V105</f>
        <v>0</v>
      </c>
      <c r="W77" s="317">
        <f>'REMUNERACION_OCCIDENTE_ Directa'!W105</f>
        <v>0</v>
      </c>
      <c r="X77" s="317">
        <f>'REMUNERACION_OCCIDENTE_ Directa'!X105</f>
        <v>0</v>
      </c>
      <c r="Y77" s="318">
        <f>'REMUNERACION_OCCIDENTE_ Directa'!Y105</f>
        <v>0</v>
      </c>
      <c r="Z77" s="319">
        <f>'REMUNERACION_OCCIDENTE_ Directa'!Z105</f>
        <v>0</v>
      </c>
      <c r="AA77" s="320">
        <f>'REMUNERACION_OCCIDENTE_ Directa'!AA105</f>
        <v>0</v>
      </c>
      <c r="AB77" s="294">
        <f>'REMUNERACION_OCCIDENTE_ Directa'!AB105</f>
        <v>0</v>
      </c>
      <c r="AC77" s="320">
        <f>'REMUNERACION_OCCIDENTE_ Directa'!AC105</f>
        <v>0</v>
      </c>
      <c r="AD77" s="291">
        <f>'REMUNERACION_OCCIDENTE_ Directa'!AD105</f>
        <v>0</v>
      </c>
      <c r="AE77" s="291">
        <f>'REMUNERACION_OCCIDENTE_ Directa'!AE105</f>
        <v>0</v>
      </c>
      <c r="AF77" s="322">
        <f>'REMUNERACION_OCCIDENTE_ Directa'!AF105</f>
        <v>0</v>
      </c>
      <c r="AG77" s="522">
        <f>'REMUNERACION_OCCIDENTE_ Directa'!AG105</f>
        <v>0</v>
      </c>
      <c r="AH77" s="1"/>
      <c r="AI77" s="306"/>
      <c r="AM77" s="333"/>
    </row>
    <row r="78" spans="1:39" s="305" customFormat="1" ht="12" x14ac:dyDescent="0.25">
      <c r="B78" s="314">
        <v>3</v>
      </c>
      <c r="C78" s="315" t="s">
        <v>12</v>
      </c>
      <c r="D78" s="291">
        <f>'REMUNERACION_OCCIDENTE_ Directa'!D106</f>
        <v>0</v>
      </c>
      <c r="E78" s="292">
        <f>'REMUNERACION_OCCIDENTE_ Directa'!E106</f>
        <v>0</v>
      </c>
      <c r="F78" s="292">
        <f>'REMUNERACION_OCCIDENTE_ Directa'!F106</f>
        <v>0</v>
      </c>
      <c r="G78" s="292">
        <f>'REMUNERACION_OCCIDENTE_ Directa'!G106</f>
        <v>0</v>
      </c>
      <c r="H78" s="292">
        <f>'REMUNERACION_OCCIDENTE_ Directa'!H106</f>
        <v>0</v>
      </c>
      <c r="I78" s="292">
        <f>'REMUNERACION_OCCIDENTE_ Directa'!I106</f>
        <v>0</v>
      </c>
      <c r="J78" s="288">
        <f>'REMUNERACION_OCCIDENTE_ Directa'!J106</f>
        <v>0</v>
      </c>
      <c r="K78" s="295">
        <f>'REMUNERACION_OCCIDENTE_ Directa'!K106</f>
        <v>0</v>
      </c>
      <c r="L78" s="294">
        <f>'REMUNERACION_OCCIDENTE_ Directa'!L106</f>
        <v>0</v>
      </c>
      <c r="M78" s="295">
        <f>'REMUNERACION_OCCIDENTE_ Directa'!M106</f>
        <v>0</v>
      </c>
      <c r="N78" s="294">
        <f>'REMUNERACION_OCCIDENTE_ Directa'!N106</f>
        <v>0</v>
      </c>
      <c r="O78" s="295">
        <f>'REMUNERACION_OCCIDENTE_ Directa'!O106</f>
        <v>0</v>
      </c>
      <c r="Q78" s="306"/>
      <c r="S78" s="314">
        <v>3</v>
      </c>
      <c r="T78" s="315" t="s">
        <v>12</v>
      </c>
      <c r="U78" s="316">
        <f>'REMUNERACION_OCCIDENTE_ Directa'!U106</f>
        <v>0</v>
      </c>
      <c r="V78" s="317">
        <f>'REMUNERACION_OCCIDENTE_ Directa'!V106</f>
        <v>0</v>
      </c>
      <c r="W78" s="317">
        <f>'REMUNERACION_OCCIDENTE_ Directa'!W106</f>
        <v>0</v>
      </c>
      <c r="X78" s="317">
        <f>'REMUNERACION_OCCIDENTE_ Directa'!X106</f>
        <v>0</v>
      </c>
      <c r="Y78" s="318">
        <f>'REMUNERACION_OCCIDENTE_ Directa'!Y106</f>
        <v>0</v>
      </c>
      <c r="Z78" s="319">
        <f>'REMUNERACION_OCCIDENTE_ Directa'!Z106</f>
        <v>0</v>
      </c>
      <c r="AA78" s="320">
        <f>'REMUNERACION_OCCIDENTE_ Directa'!AA106</f>
        <v>0</v>
      </c>
      <c r="AB78" s="294">
        <f>'REMUNERACION_OCCIDENTE_ Directa'!AB106</f>
        <v>0</v>
      </c>
      <c r="AC78" s="320">
        <f>'REMUNERACION_OCCIDENTE_ Directa'!AC106</f>
        <v>0</v>
      </c>
      <c r="AD78" s="291">
        <f>'REMUNERACION_OCCIDENTE_ Directa'!AD106</f>
        <v>0</v>
      </c>
      <c r="AE78" s="291">
        <f>'REMUNERACION_OCCIDENTE_ Directa'!AE106</f>
        <v>0</v>
      </c>
      <c r="AF78" s="322">
        <f>'REMUNERACION_OCCIDENTE_ Directa'!AF106</f>
        <v>0</v>
      </c>
      <c r="AG78" s="522">
        <f>'REMUNERACION_OCCIDENTE_ Directa'!AG106</f>
        <v>0</v>
      </c>
      <c r="AH78" s="1"/>
      <c r="AI78" s="306"/>
      <c r="AM78" s="333"/>
    </row>
    <row r="79" spans="1:39" s="305" customFormat="1" ht="12" x14ac:dyDescent="0.25">
      <c r="B79" s="314">
        <v>4</v>
      </c>
      <c r="C79" s="315" t="s">
        <v>13</v>
      </c>
      <c r="D79" s="291">
        <f>'REMUNERACION_OCCIDENTE_ Directa'!D107</f>
        <v>0</v>
      </c>
      <c r="E79" s="292">
        <f>'REMUNERACION_OCCIDENTE_ Directa'!E107</f>
        <v>0</v>
      </c>
      <c r="F79" s="292">
        <f>'REMUNERACION_OCCIDENTE_ Directa'!F107</f>
        <v>0</v>
      </c>
      <c r="G79" s="292">
        <f>'REMUNERACION_OCCIDENTE_ Directa'!G107</f>
        <v>0</v>
      </c>
      <c r="H79" s="292">
        <f>'REMUNERACION_OCCIDENTE_ Directa'!H107</f>
        <v>0</v>
      </c>
      <c r="I79" s="292">
        <f>'REMUNERACION_OCCIDENTE_ Directa'!I107</f>
        <v>0</v>
      </c>
      <c r="J79" s="288">
        <f>'REMUNERACION_OCCIDENTE_ Directa'!J107</f>
        <v>0</v>
      </c>
      <c r="K79" s="295">
        <f>'REMUNERACION_OCCIDENTE_ Directa'!K107</f>
        <v>0</v>
      </c>
      <c r="L79" s="294">
        <f>'REMUNERACION_OCCIDENTE_ Directa'!L107</f>
        <v>0</v>
      </c>
      <c r="M79" s="295">
        <f>'REMUNERACION_OCCIDENTE_ Directa'!M107</f>
        <v>0</v>
      </c>
      <c r="N79" s="294">
        <f>'REMUNERACION_OCCIDENTE_ Directa'!N107</f>
        <v>0</v>
      </c>
      <c r="O79" s="295">
        <f>'REMUNERACION_OCCIDENTE_ Directa'!O107</f>
        <v>0</v>
      </c>
      <c r="Q79" s="306"/>
      <c r="S79" s="314">
        <v>4</v>
      </c>
      <c r="T79" s="315" t="s">
        <v>13</v>
      </c>
      <c r="U79" s="316">
        <f>'REMUNERACION_OCCIDENTE_ Directa'!U107</f>
        <v>0</v>
      </c>
      <c r="V79" s="317">
        <f>'REMUNERACION_OCCIDENTE_ Directa'!V107</f>
        <v>0</v>
      </c>
      <c r="W79" s="317">
        <f>'REMUNERACION_OCCIDENTE_ Directa'!W107</f>
        <v>0</v>
      </c>
      <c r="X79" s="317">
        <f>'REMUNERACION_OCCIDENTE_ Directa'!X107</f>
        <v>0</v>
      </c>
      <c r="Y79" s="318">
        <f>'REMUNERACION_OCCIDENTE_ Directa'!Y107</f>
        <v>0</v>
      </c>
      <c r="Z79" s="319">
        <f>'REMUNERACION_OCCIDENTE_ Directa'!Z107</f>
        <v>0</v>
      </c>
      <c r="AA79" s="320">
        <f>'REMUNERACION_OCCIDENTE_ Directa'!AA107</f>
        <v>0</v>
      </c>
      <c r="AB79" s="294">
        <f>'REMUNERACION_OCCIDENTE_ Directa'!AB107</f>
        <v>0</v>
      </c>
      <c r="AC79" s="320">
        <f>'REMUNERACION_OCCIDENTE_ Directa'!AC107</f>
        <v>0</v>
      </c>
      <c r="AD79" s="291">
        <f>'REMUNERACION_OCCIDENTE_ Directa'!AD107</f>
        <v>0</v>
      </c>
      <c r="AE79" s="291">
        <f>'REMUNERACION_OCCIDENTE_ Directa'!AE107</f>
        <v>0</v>
      </c>
      <c r="AF79" s="322">
        <f>'REMUNERACION_OCCIDENTE_ Directa'!AF107</f>
        <v>0</v>
      </c>
      <c r="AG79" s="522">
        <f>'REMUNERACION_OCCIDENTE_ Directa'!AG107</f>
        <v>0</v>
      </c>
      <c r="AH79" s="1"/>
      <c r="AI79" s="306"/>
      <c r="AM79" s="333"/>
    </row>
    <row r="80" spans="1:39" s="305" customFormat="1" ht="12.6" thickBot="1" x14ac:dyDescent="0.3">
      <c r="B80" s="324">
        <v>5</v>
      </c>
      <c r="C80" s="325" t="s">
        <v>14</v>
      </c>
      <c r="D80" s="296">
        <f>'REMUNERACION_OCCIDENTE_ Directa'!D108</f>
        <v>0</v>
      </c>
      <c r="E80" s="297">
        <f>'REMUNERACION_OCCIDENTE_ Directa'!E108</f>
        <v>0</v>
      </c>
      <c r="F80" s="297">
        <f>'REMUNERACION_OCCIDENTE_ Directa'!F108</f>
        <v>0</v>
      </c>
      <c r="G80" s="297">
        <f>'REMUNERACION_OCCIDENTE_ Directa'!G108</f>
        <v>0</v>
      </c>
      <c r="H80" s="297">
        <f>'REMUNERACION_OCCIDENTE_ Directa'!H108</f>
        <v>0</v>
      </c>
      <c r="I80" s="297">
        <f>'REMUNERACION_OCCIDENTE_ Directa'!I108</f>
        <v>0</v>
      </c>
      <c r="J80" s="289">
        <f>'REMUNERACION_OCCIDENTE_ Directa'!J108</f>
        <v>0</v>
      </c>
      <c r="K80" s="295">
        <f>'REMUNERACION_OCCIDENTE_ Directa'!K108</f>
        <v>0</v>
      </c>
      <c r="L80" s="294">
        <f>'REMUNERACION_OCCIDENTE_ Directa'!L108</f>
        <v>0</v>
      </c>
      <c r="M80" s="298">
        <f>'REMUNERACION_OCCIDENTE_ Directa'!M108</f>
        <v>0</v>
      </c>
      <c r="N80" s="299">
        <f>'REMUNERACION_OCCIDENTE_ Directa'!N108</f>
        <v>0</v>
      </c>
      <c r="O80" s="298">
        <f>'REMUNERACION_OCCIDENTE_ Directa'!O108</f>
        <v>0</v>
      </c>
      <c r="Q80" s="306"/>
      <c r="S80" s="324">
        <v>5</v>
      </c>
      <c r="T80" s="325" t="s">
        <v>14</v>
      </c>
      <c r="U80" s="296">
        <f>'REMUNERACION_OCCIDENTE_ Directa'!U108</f>
        <v>0</v>
      </c>
      <c r="V80" s="297">
        <f>'REMUNERACION_OCCIDENTE_ Directa'!V108</f>
        <v>0</v>
      </c>
      <c r="W80" s="297">
        <f>'REMUNERACION_OCCIDENTE_ Directa'!W108</f>
        <v>0</v>
      </c>
      <c r="X80" s="297">
        <f>'REMUNERACION_OCCIDENTE_ Directa'!X108</f>
        <v>0</v>
      </c>
      <c r="Y80" s="289">
        <f>'REMUNERACION_OCCIDENTE_ Directa'!Y108</f>
        <v>0</v>
      </c>
      <c r="Z80" s="319">
        <f>'REMUNERACION_OCCIDENTE_ Directa'!Z108</f>
        <v>0</v>
      </c>
      <c r="AA80" s="320">
        <f>'REMUNERACION_OCCIDENTE_ Directa'!AA108</f>
        <v>0</v>
      </c>
      <c r="AB80" s="294">
        <f>'REMUNERACION_OCCIDENTE_ Directa'!AB108</f>
        <v>0</v>
      </c>
      <c r="AC80" s="320">
        <f>'REMUNERACION_OCCIDENTE_ Directa'!AC108</f>
        <v>0</v>
      </c>
      <c r="AD80" s="291">
        <f>'REMUNERACION_OCCIDENTE_ Directa'!AD108</f>
        <v>0</v>
      </c>
      <c r="AE80" s="291">
        <f>'REMUNERACION_OCCIDENTE_ Directa'!AE108</f>
        <v>0</v>
      </c>
      <c r="AF80" s="322">
        <f>'REMUNERACION_OCCIDENTE_ Directa'!AF108</f>
        <v>0</v>
      </c>
      <c r="AG80" s="523">
        <f>'REMUNERACION_OCCIDENTE_ Directa'!AG108</f>
        <v>0</v>
      </c>
      <c r="AH80" s="1"/>
      <c r="AI80" s="306"/>
      <c r="AM80" s="333"/>
    </row>
    <row r="81" spans="1:39" s="305" customFormat="1" ht="13.8" thickBot="1" x14ac:dyDescent="0.3">
      <c r="B81" s="327"/>
      <c r="C81" s="328" t="s">
        <v>2</v>
      </c>
      <c r="D81" s="290">
        <f>'REMUNERACION_OCCIDENTE_ Directa'!D109</f>
        <v>0</v>
      </c>
      <c r="E81" s="290">
        <f>'REMUNERACION_OCCIDENTE_ Directa'!E109</f>
        <v>0</v>
      </c>
      <c r="F81" s="290">
        <f>'REMUNERACION_OCCIDENTE_ Directa'!F109</f>
        <v>0</v>
      </c>
      <c r="G81" s="290">
        <f>'REMUNERACION_OCCIDENTE_ Directa'!G109</f>
        <v>0</v>
      </c>
      <c r="H81" s="290">
        <f>'REMUNERACION_OCCIDENTE_ Directa'!H109</f>
        <v>0</v>
      </c>
      <c r="I81" s="290">
        <f>'REMUNERACION_OCCIDENTE_ Directa'!I109</f>
        <v>0</v>
      </c>
      <c r="J81" s="290">
        <f>'REMUNERACION_OCCIDENTE_ Directa'!J109</f>
        <v>0</v>
      </c>
      <c r="K81" s="300">
        <f>'REMUNERACION_OCCIDENTE_ Directa'!K109</f>
        <v>0</v>
      </c>
      <c r="L81" s="301">
        <f>'REMUNERACION_OCCIDENTE_ Directa'!L109</f>
        <v>0</v>
      </c>
      <c r="M81" s="302">
        <f>'REMUNERACION_OCCIDENTE_ Directa'!M109</f>
        <v>0</v>
      </c>
      <c r="N81" s="301">
        <f>'REMUNERACION_OCCIDENTE_ Directa'!N109</f>
        <v>0</v>
      </c>
      <c r="O81" s="302">
        <f>'REMUNERACION_OCCIDENTE_ Directa'!O109</f>
        <v>0</v>
      </c>
      <c r="P81" s="329"/>
      <c r="Q81" s="306"/>
      <c r="S81" s="327"/>
      <c r="T81" s="328" t="s">
        <v>2</v>
      </c>
      <c r="U81" s="330">
        <f>'REMUNERACION_OCCIDENTE_ Directa'!U109</f>
        <v>0</v>
      </c>
      <c r="V81" s="330">
        <f>'REMUNERACION_OCCIDENTE_ Directa'!V109</f>
        <v>0</v>
      </c>
      <c r="W81" s="330">
        <f>'REMUNERACION_OCCIDENTE_ Directa'!W109</f>
        <v>0</v>
      </c>
      <c r="X81" s="330">
        <f>'REMUNERACION_OCCIDENTE_ Directa'!X109</f>
        <v>0</v>
      </c>
      <c r="Y81" s="330">
        <f>'REMUNERACION_OCCIDENTE_ Directa'!Y109</f>
        <v>0</v>
      </c>
      <c r="Z81" s="290">
        <f>'REMUNERACION_OCCIDENTE_ Directa'!Z109</f>
        <v>0</v>
      </c>
      <c r="AA81" s="290">
        <f>'REMUNERACION_OCCIDENTE_ Directa'!AA109</f>
        <v>0</v>
      </c>
      <c r="AB81" s="290">
        <f>'REMUNERACION_OCCIDENTE_ Directa'!AB109</f>
        <v>0</v>
      </c>
      <c r="AC81" s="290">
        <f>'REMUNERACION_OCCIDENTE_ Directa'!AC109</f>
        <v>0</v>
      </c>
      <c r="AD81" s="290">
        <f>'REMUNERACION_OCCIDENTE_ Directa'!AD109</f>
        <v>0</v>
      </c>
      <c r="AE81" s="290">
        <f>'REMUNERACION_OCCIDENTE_ Directa'!AE109</f>
        <v>0</v>
      </c>
      <c r="AF81" s="331">
        <f>'REMUNERACION_OCCIDENTE_ Directa'!AF109</f>
        <v>0</v>
      </c>
      <c r="AG81" s="524">
        <f>'REMUNERACION_OCCIDENTE_ Directa'!AG109</f>
        <v>0</v>
      </c>
      <c r="AH81" s="1"/>
      <c r="AI81" s="306"/>
      <c r="AM81" s="333"/>
    </row>
    <row r="82" spans="1:39" ht="12.6" thickBot="1" x14ac:dyDescent="0.3">
      <c r="B82" s="2"/>
      <c r="C82" s="2"/>
      <c r="D82" s="448"/>
      <c r="E82" s="448"/>
      <c r="F82" s="448"/>
      <c r="G82" s="448"/>
      <c r="H82" s="448"/>
      <c r="I82" s="448"/>
      <c r="K82" s="448"/>
      <c r="L82" s="448"/>
      <c r="M82" s="448"/>
      <c r="N82" s="448"/>
      <c r="O82" s="448"/>
      <c r="Q82" s="4"/>
      <c r="S82" s="2"/>
      <c r="T82" s="2"/>
      <c r="U82" s="448"/>
      <c r="V82" s="448"/>
      <c r="W82" s="448"/>
      <c r="X82" s="448"/>
      <c r="Y82" s="448"/>
      <c r="AF82" s="448"/>
      <c r="AI82" s="4"/>
    </row>
    <row r="83" spans="1:39" ht="12.6" thickBot="1" x14ac:dyDescent="0.3">
      <c r="B83" s="2"/>
      <c r="C83" s="2"/>
      <c r="D83" s="448"/>
      <c r="E83" s="448"/>
      <c r="F83" s="448"/>
      <c r="G83" s="448"/>
      <c r="H83" s="448"/>
      <c r="I83" s="448"/>
      <c r="K83" s="448"/>
      <c r="L83" s="448"/>
      <c r="M83" s="448"/>
      <c r="N83" s="448"/>
      <c r="O83" s="448"/>
      <c r="Q83" s="4"/>
      <c r="Y83" s="449"/>
      <c r="AI83" s="4"/>
    </row>
    <row r="84" spans="1:39" ht="12" x14ac:dyDescent="0.25">
      <c r="A84" s="4"/>
      <c r="B84" s="34"/>
      <c r="C84" s="34"/>
      <c r="D84" s="474"/>
      <c r="E84" s="474"/>
      <c r="F84" s="474"/>
      <c r="G84" s="474"/>
      <c r="H84" s="474"/>
      <c r="I84" s="474"/>
      <c r="J84" s="4"/>
      <c r="K84" s="474"/>
      <c r="L84" s="474"/>
      <c r="M84" s="474"/>
      <c r="N84" s="474"/>
      <c r="O84" s="47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189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168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5" customFormat="1" ht="12" x14ac:dyDescent="0.25">
      <c r="B93" s="303">
        <v>1</v>
      </c>
      <c r="C93" s="304" t="s">
        <v>10</v>
      </c>
      <c r="D93" s="291">
        <f>'REMUNERACION_EAAB-CL'!D104</f>
        <v>0</v>
      </c>
      <c r="E93" s="292">
        <f>'REMUNERACION_EAAB-CL'!E104</f>
        <v>0</v>
      </c>
      <c r="F93" s="292">
        <f>'REMUNERACION_EAAB-CL'!F104</f>
        <v>0</v>
      </c>
      <c r="G93" s="292">
        <f>'REMUNERACION_EAAB-CL'!G104</f>
        <v>0</v>
      </c>
      <c r="H93" s="292">
        <f>'REMUNERACION_EAAB-CL'!H104</f>
        <v>0</v>
      </c>
      <c r="I93" s="292">
        <f>'REMUNERACION_EAAB-CL'!I104</f>
        <v>0</v>
      </c>
      <c r="J93" s="288">
        <f>'REMUNERACION_EAAB-CL'!J104</f>
        <v>0</v>
      </c>
      <c r="K93" s="293">
        <f>'REMUNERACION_EAAB-CL'!K104</f>
        <v>0</v>
      </c>
      <c r="L93" s="294">
        <f>'REMUNERACION_EAAB-CL'!L104</f>
        <v>0</v>
      </c>
      <c r="M93" s="293">
        <f>'REMUNERACION_EAAB-CL'!M104</f>
        <v>0</v>
      </c>
      <c r="N93" s="294">
        <f>'REMUNERACION_EAAB-CL'!N104</f>
        <v>0</v>
      </c>
      <c r="O93" s="293">
        <f>'REMUNERACION_EAAB-CL'!O104</f>
        <v>0</v>
      </c>
      <c r="Q93" s="306"/>
      <c r="S93" s="303">
        <v>1</v>
      </c>
      <c r="T93" s="304" t="s">
        <v>10</v>
      </c>
      <c r="U93" s="307">
        <f>'REMUNERACION_EAAB-CL'!U104</f>
        <v>0</v>
      </c>
      <c r="V93" s="308">
        <f>'REMUNERACION_EAAB-CL'!V104</f>
        <v>0</v>
      </c>
      <c r="W93" s="308">
        <f>'REMUNERACION_EAAB-CL'!W104</f>
        <v>0</v>
      </c>
      <c r="X93" s="308">
        <f>'REMUNERACION_EAAB-CL'!X104</f>
        <v>0</v>
      </c>
      <c r="Y93" s="309">
        <f>'REMUNERACION_EAAB-CL'!Y104</f>
        <v>0</v>
      </c>
      <c r="Z93" s="310">
        <f>'REMUNERACION_EAAB-CL'!Z104</f>
        <v>0</v>
      </c>
      <c r="AA93" s="311">
        <f>'REMUNERACION_EAAB-CL'!AA104</f>
        <v>0</v>
      </c>
      <c r="AB93" s="294">
        <f>'REMUNERACION_EAAB-CL'!AB104</f>
        <v>0</v>
      </c>
      <c r="AC93" s="311">
        <f>'REMUNERACION_EAAB-CL'!AC104</f>
        <v>0</v>
      </c>
      <c r="AD93" s="291">
        <f>'REMUNERACION_EAAB-CL'!AD104</f>
        <v>0</v>
      </c>
      <c r="AE93" s="291">
        <f>'REMUNERACION_EAAB-CL'!AE104</f>
        <v>0</v>
      </c>
      <c r="AF93" s="313">
        <f>'REMUNERACION_EAAB-CL'!AF104</f>
        <v>0</v>
      </c>
      <c r="AG93" s="521">
        <f>'REMUNERACION_EAAB-CL'!AG104</f>
        <v>0</v>
      </c>
      <c r="AH93" s="1"/>
      <c r="AI93" s="306"/>
      <c r="AM93" s="333"/>
    </row>
    <row r="94" spans="1:39" s="305" customFormat="1" ht="12" x14ac:dyDescent="0.25">
      <c r="B94" s="314">
        <v>2</v>
      </c>
      <c r="C94" s="315" t="s">
        <v>11</v>
      </c>
      <c r="D94" s="291">
        <f>'REMUNERACION_EAAB-CL'!D105</f>
        <v>0</v>
      </c>
      <c r="E94" s="292">
        <f>'REMUNERACION_EAAB-CL'!E105</f>
        <v>0</v>
      </c>
      <c r="F94" s="292">
        <f>'REMUNERACION_EAAB-CL'!F105</f>
        <v>0</v>
      </c>
      <c r="G94" s="292">
        <f>'REMUNERACION_EAAB-CL'!G105</f>
        <v>0</v>
      </c>
      <c r="H94" s="292">
        <f>'REMUNERACION_EAAB-CL'!H105</f>
        <v>0</v>
      </c>
      <c r="I94" s="292">
        <f>'REMUNERACION_EAAB-CL'!I105</f>
        <v>0</v>
      </c>
      <c r="J94" s="288">
        <f>'REMUNERACION_EAAB-CL'!J105</f>
        <v>0</v>
      </c>
      <c r="K94" s="295">
        <f>'REMUNERACION_EAAB-CL'!K105</f>
        <v>0</v>
      </c>
      <c r="L94" s="294">
        <f>'REMUNERACION_EAAB-CL'!L105</f>
        <v>0</v>
      </c>
      <c r="M94" s="295">
        <f>'REMUNERACION_EAAB-CL'!M105</f>
        <v>0</v>
      </c>
      <c r="N94" s="294">
        <f>'REMUNERACION_EAAB-CL'!N105</f>
        <v>0</v>
      </c>
      <c r="O94" s="295">
        <f>'REMUNERACION_EAAB-CL'!O105</f>
        <v>0</v>
      </c>
      <c r="Q94" s="306"/>
      <c r="S94" s="314">
        <v>2</v>
      </c>
      <c r="T94" s="315" t="s">
        <v>11</v>
      </c>
      <c r="U94" s="316">
        <f>'REMUNERACION_EAAB-CL'!U105</f>
        <v>0</v>
      </c>
      <c r="V94" s="317">
        <f>'REMUNERACION_EAAB-CL'!V105</f>
        <v>0</v>
      </c>
      <c r="W94" s="317">
        <f>'REMUNERACION_EAAB-CL'!W105</f>
        <v>0</v>
      </c>
      <c r="X94" s="317">
        <f>'REMUNERACION_EAAB-CL'!X105</f>
        <v>0</v>
      </c>
      <c r="Y94" s="318">
        <f>'REMUNERACION_EAAB-CL'!Y105</f>
        <v>0</v>
      </c>
      <c r="Z94" s="319">
        <f>'REMUNERACION_EAAB-CL'!Z105</f>
        <v>0</v>
      </c>
      <c r="AA94" s="320">
        <f>'REMUNERACION_EAAB-CL'!AA105</f>
        <v>0</v>
      </c>
      <c r="AB94" s="294">
        <f>'REMUNERACION_EAAB-CL'!AB105</f>
        <v>0</v>
      </c>
      <c r="AC94" s="320">
        <f>'REMUNERACION_EAAB-CL'!AC105</f>
        <v>0</v>
      </c>
      <c r="AD94" s="291">
        <f>'REMUNERACION_EAAB-CL'!AD105</f>
        <v>0</v>
      </c>
      <c r="AE94" s="291">
        <f>'REMUNERACION_EAAB-CL'!AE105</f>
        <v>0</v>
      </c>
      <c r="AF94" s="322">
        <f>'REMUNERACION_EAAB-CL'!AF105</f>
        <v>0</v>
      </c>
      <c r="AG94" s="522">
        <f>'REMUNERACION_EAAB-CL'!AG105</f>
        <v>0</v>
      </c>
      <c r="AH94" s="1"/>
      <c r="AI94" s="306"/>
      <c r="AM94" s="333"/>
    </row>
    <row r="95" spans="1:39" s="305" customFormat="1" ht="12" x14ac:dyDescent="0.25">
      <c r="B95" s="314">
        <v>3</v>
      </c>
      <c r="C95" s="315" t="s">
        <v>12</v>
      </c>
      <c r="D95" s="291">
        <f>'REMUNERACION_EAAB-CL'!D106</f>
        <v>0</v>
      </c>
      <c r="E95" s="292">
        <f>'REMUNERACION_EAAB-CL'!E106</f>
        <v>0</v>
      </c>
      <c r="F95" s="292">
        <f>'REMUNERACION_EAAB-CL'!F106</f>
        <v>0</v>
      </c>
      <c r="G95" s="292">
        <f>'REMUNERACION_EAAB-CL'!G106</f>
        <v>0</v>
      </c>
      <c r="H95" s="292">
        <f>'REMUNERACION_EAAB-CL'!H106</f>
        <v>0</v>
      </c>
      <c r="I95" s="292">
        <f>'REMUNERACION_EAAB-CL'!I106</f>
        <v>0</v>
      </c>
      <c r="J95" s="288">
        <f>'REMUNERACION_EAAB-CL'!J106</f>
        <v>0</v>
      </c>
      <c r="K95" s="295">
        <f>'REMUNERACION_EAAB-CL'!K106</f>
        <v>0</v>
      </c>
      <c r="L95" s="294">
        <f>'REMUNERACION_EAAB-CL'!L106</f>
        <v>0</v>
      </c>
      <c r="M95" s="295">
        <f>'REMUNERACION_EAAB-CL'!M106</f>
        <v>0</v>
      </c>
      <c r="N95" s="294">
        <f>'REMUNERACION_EAAB-CL'!N106</f>
        <v>0</v>
      </c>
      <c r="O95" s="295">
        <f>'REMUNERACION_EAAB-CL'!O106</f>
        <v>0</v>
      </c>
      <c r="Q95" s="306"/>
      <c r="S95" s="314">
        <v>3</v>
      </c>
      <c r="T95" s="315" t="s">
        <v>12</v>
      </c>
      <c r="U95" s="316">
        <f>'REMUNERACION_EAAB-CL'!U106</f>
        <v>0</v>
      </c>
      <c r="V95" s="317">
        <f>'REMUNERACION_EAAB-CL'!V106</f>
        <v>0</v>
      </c>
      <c r="W95" s="317">
        <f>'REMUNERACION_EAAB-CL'!W106</f>
        <v>0</v>
      </c>
      <c r="X95" s="317">
        <f>'REMUNERACION_EAAB-CL'!X106</f>
        <v>0</v>
      </c>
      <c r="Y95" s="318">
        <f>'REMUNERACION_EAAB-CL'!Y106</f>
        <v>0</v>
      </c>
      <c r="Z95" s="319">
        <f>'REMUNERACION_EAAB-CL'!Z106</f>
        <v>0</v>
      </c>
      <c r="AA95" s="320">
        <f>'REMUNERACION_EAAB-CL'!AA106</f>
        <v>0</v>
      </c>
      <c r="AB95" s="294">
        <f>'REMUNERACION_EAAB-CL'!AB106</f>
        <v>0</v>
      </c>
      <c r="AC95" s="320">
        <f>'REMUNERACION_EAAB-CL'!AC106</f>
        <v>0</v>
      </c>
      <c r="AD95" s="291">
        <f>'REMUNERACION_EAAB-CL'!AD106</f>
        <v>0</v>
      </c>
      <c r="AE95" s="291">
        <f>'REMUNERACION_EAAB-CL'!AE106</f>
        <v>0</v>
      </c>
      <c r="AF95" s="322">
        <f>'REMUNERACION_EAAB-CL'!AF106</f>
        <v>0</v>
      </c>
      <c r="AG95" s="522">
        <f>'REMUNERACION_EAAB-CL'!AG106</f>
        <v>0</v>
      </c>
      <c r="AH95" s="1"/>
      <c r="AI95" s="306"/>
      <c r="AM95" s="333"/>
    </row>
    <row r="96" spans="1:39" s="305" customFormat="1" ht="12" x14ac:dyDescent="0.25">
      <c r="B96" s="314">
        <v>4</v>
      </c>
      <c r="C96" s="315" t="s">
        <v>13</v>
      </c>
      <c r="D96" s="291">
        <f>'REMUNERACION_EAAB-CL'!D107</f>
        <v>0</v>
      </c>
      <c r="E96" s="292">
        <f>'REMUNERACION_EAAB-CL'!E107</f>
        <v>0</v>
      </c>
      <c r="F96" s="292">
        <f>'REMUNERACION_EAAB-CL'!F107</f>
        <v>0</v>
      </c>
      <c r="G96" s="292">
        <f>'REMUNERACION_EAAB-CL'!G107</f>
        <v>0</v>
      </c>
      <c r="H96" s="292">
        <f>'REMUNERACION_EAAB-CL'!H107</f>
        <v>0</v>
      </c>
      <c r="I96" s="292">
        <f>'REMUNERACION_EAAB-CL'!I107</f>
        <v>0</v>
      </c>
      <c r="J96" s="288">
        <f>'REMUNERACION_EAAB-CL'!J107</f>
        <v>0</v>
      </c>
      <c r="K96" s="295">
        <f>'REMUNERACION_EAAB-CL'!K107</f>
        <v>0</v>
      </c>
      <c r="L96" s="294">
        <f>'REMUNERACION_EAAB-CL'!L107</f>
        <v>0</v>
      </c>
      <c r="M96" s="295">
        <f>'REMUNERACION_EAAB-CL'!M107</f>
        <v>0</v>
      </c>
      <c r="N96" s="294">
        <f>'REMUNERACION_EAAB-CL'!N107</f>
        <v>0</v>
      </c>
      <c r="O96" s="295">
        <f>'REMUNERACION_EAAB-CL'!O107</f>
        <v>0</v>
      </c>
      <c r="Q96" s="306"/>
      <c r="S96" s="314">
        <v>4</v>
      </c>
      <c r="T96" s="315" t="s">
        <v>13</v>
      </c>
      <c r="U96" s="316">
        <f>'REMUNERACION_EAAB-CL'!U107</f>
        <v>0</v>
      </c>
      <c r="V96" s="317">
        <f>'REMUNERACION_EAAB-CL'!V107</f>
        <v>0</v>
      </c>
      <c r="W96" s="317">
        <f>'REMUNERACION_EAAB-CL'!W107</f>
        <v>0</v>
      </c>
      <c r="X96" s="317">
        <f>'REMUNERACION_EAAB-CL'!X107</f>
        <v>0</v>
      </c>
      <c r="Y96" s="318">
        <f>'REMUNERACION_EAAB-CL'!Y107</f>
        <v>0</v>
      </c>
      <c r="Z96" s="319">
        <f>'REMUNERACION_EAAB-CL'!Z107</f>
        <v>0</v>
      </c>
      <c r="AA96" s="320">
        <f>'REMUNERACION_EAAB-CL'!AA107</f>
        <v>0</v>
      </c>
      <c r="AB96" s="294">
        <f>'REMUNERACION_EAAB-CL'!AB107</f>
        <v>0</v>
      </c>
      <c r="AC96" s="320">
        <f>'REMUNERACION_EAAB-CL'!AC107</f>
        <v>0</v>
      </c>
      <c r="AD96" s="291">
        <f>'REMUNERACION_EAAB-CL'!AD107</f>
        <v>0</v>
      </c>
      <c r="AE96" s="291">
        <f>'REMUNERACION_EAAB-CL'!AE107</f>
        <v>0</v>
      </c>
      <c r="AF96" s="322">
        <f>'REMUNERACION_EAAB-CL'!AF107</f>
        <v>0</v>
      </c>
      <c r="AG96" s="522">
        <f>'REMUNERACION_EAAB-CL'!AG107</f>
        <v>0</v>
      </c>
      <c r="AH96" s="1"/>
      <c r="AI96" s="306"/>
      <c r="AM96" s="333"/>
    </row>
    <row r="97" spans="1:39" s="305" customFormat="1" ht="12.6" thickBot="1" x14ac:dyDescent="0.3">
      <c r="B97" s="324">
        <v>5</v>
      </c>
      <c r="C97" s="325" t="s">
        <v>14</v>
      </c>
      <c r="D97" s="296">
        <f>'REMUNERACION_EAAB-CL'!D108</f>
        <v>0</v>
      </c>
      <c r="E97" s="297">
        <f>'REMUNERACION_EAAB-CL'!E108</f>
        <v>0</v>
      </c>
      <c r="F97" s="297">
        <f>'REMUNERACION_EAAB-CL'!F108</f>
        <v>0</v>
      </c>
      <c r="G97" s="297">
        <f>'REMUNERACION_EAAB-CL'!G108</f>
        <v>0</v>
      </c>
      <c r="H97" s="297">
        <f>'REMUNERACION_EAAB-CL'!H108</f>
        <v>0</v>
      </c>
      <c r="I97" s="297">
        <f>'REMUNERACION_EAAB-CL'!I108</f>
        <v>0</v>
      </c>
      <c r="J97" s="289">
        <f>'REMUNERACION_EAAB-CL'!J108</f>
        <v>0</v>
      </c>
      <c r="K97" s="295">
        <f>'REMUNERACION_EAAB-CL'!K108</f>
        <v>0</v>
      </c>
      <c r="L97" s="294">
        <f>'REMUNERACION_EAAB-CL'!L108</f>
        <v>0</v>
      </c>
      <c r="M97" s="298">
        <f>'REMUNERACION_EAAB-CL'!M108</f>
        <v>0</v>
      </c>
      <c r="N97" s="299">
        <f>'REMUNERACION_EAAB-CL'!N108</f>
        <v>0</v>
      </c>
      <c r="O97" s="298">
        <f>'REMUNERACION_EAAB-CL'!O108</f>
        <v>0</v>
      </c>
      <c r="Q97" s="306"/>
      <c r="S97" s="324">
        <v>5</v>
      </c>
      <c r="T97" s="325" t="s">
        <v>14</v>
      </c>
      <c r="U97" s="296">
        <f>'REMUNERACION_EAAB-CL'!U108</f>
        <v>0</v>
      </c>
      <c r="V97" s="297">
        <f>'REMUNERACION_EAAB-CL'!V108</f>
        <v>0</v>
      </c>
      <c r="W97" s="297">
        <f>'REMUNERACION_EAAB-CL'!W108</f>
        <v>0</v>
      </c>
      <c r="X97" s="297">
        <f>'REMUNERACION_EAAB-CL'!X108</f>
        <v>0</v>
      </c>
      <c r="Y97" s="289">
        <f>'REMUNERACION_EAAB-CL'!Y108</f>
        <v>0</v>
      </c>
      <c r="Z97" s="319">
        <f>'REMUNERACION_EAAB-CL'!Z108</f>
        <v>0</v>
      </c>
      <c r="AA97" s="320">
        <f>'REMUNERACION_EAAB-CL'!AA108</f>
        <v>0</v>
      </c>
      <c r="AB97" s="294">
        <f>'REMUNERACION_EAAB-CL'!AB108</f>
        <v>0</v>
      </c>
      <c r="AC97" s="320">
        <f>'REMUNERACION_EAAB-CL'!AC108</f>
        <v>0</v>
      </c>
      <c r="AD97" s="291">
        <f>'REMUNERACION_EAAB-CL'!AD108</f>
        <v>0</v>
      </c>
      <c r="AE97" s="291">
        <f>'REMUNERACION_EAAB-CL'!AE108</f>
        <v>0</v>
      </c>
      <c r="AF97" s="322">
        <f>'REMUNERACION_EAAB-CL'!AF108</f>
        <v>0</v>
      </c>
      <c r="AG97" s="523">
        <f>'REMUNERACION_EAAB-CL'!AG108</f>
        <v>0</v>
      </c>
      <c r="AH97" s="1"/>
      <c r="AI97" s="306"/>
      <c r="AM97" s="333"/>
    </row>
    <row r="98" spans="1:39" s="305" customFormat="1" ht="13.8" thickBot="1" x14ac:dyDescent="0.3">
      <c r="B98" s="327"/>
      <c r="C98" s="328" t="s">
        <v>2</v>
      </c>
      <c r="D98" s="290">
        <f>'REMUNERACION_EAAB-CL'!D109</f>
        <v>0</v>
      </c>
      <c r="E98" s="290">
        <f>'REMUNERACION_EAAB-CL'!E109</f>
        <v>0</v>
      </c>
      <c r="F98" s="290">
        <f>'REMUNERACION_EAAB-CL'!F109</f>
        <v>0</v>
      </c>
      <c r="G98" s="290">
        <f>'REMUNERACION_EAAB-CL'!G109</f>
        <v>0</v>
      </c>
      <c r="H98" s="290">
        <f>'REMUNERACION_EAAB-CL'!H109</f>
        <v>0</v>
      </c>
      <c r="I98" s="290">
        <f>'REMUNERACION_EAAB-CL'!I109</f>
        <v>0</v>
      </c>
      <c r="J98" s="290">
        <f>'REMUNERACION_EAAB-CL'!J109</f>
        <v>0</v>
      </c>
      <c r="K98" s="300">
        <f>'REMUNERACION_EAAB-CL'!K109</f>
        <v>0</v>
      </c>
      <c r="L98" s="301">
        <f>'REMUNERACION_EAAB-CL'!L109</f>
        <v>0</v>
      </c>
      <c r="M98" s="302">
        <f>'REMUNERACION_EAAB-CL'!M109</f>
        <v>0</v>
      </c>
      <c r="N98" s="301">
        <f>'REMUNERACION_EAAB-CL'!N109</f>
        <v>0</v>
      </c>
      <c r="O98" s="302">
        <f>'REMUNERACION_EAAB-CL'!O109</f>
        <v>0</v>
      </c>
      <c r="P98" s="329"/>
      <c r="Q98" s="306"/>
      <c r="S98" s="327"/>
      <c r="T98" s="328" t="s">
        <v>2</v>
      </c>
      <c r="U98" s="330">
        <f>'REMUNERACION_EAAB-CL'!U109</f>
        <v>0</v>
      </c>
      <c r="V98" s="330">
        <f>'REMUNERACION_EAAB-CL'!V109</f>
        <v>0</v>
      </c>
      <c r="W98" s="330">
        <f>'REMUNERACION_EAAB-CL'!W109</f>
        <v>0</v>
      </c>
      <c r="X98" s="330">
        <f>'REMUNERACION_EAAB-CL'!X109</f>
        <v>0</v>
      </c>
      <c r="Y98" s="330">
        <f>'REMUNERACION_EAAB-CL'!Y109</f>
        <v>0</v>
      </c>
      <c r="Z98" s="290">
        <f>'REMUNERACION_EAAB-CL'!Z109</f>
        <v>0</v>
      </c>
      <c r="AA98" s="290">
        <f>'REMUNERACION_EAAB-CL'!AA109</f>
        <v>0</v>
      </c>
      <c r="AB98" s="290">
        <f>'REMUNERACION_EAAB-CL'!AB109</f>
        <v>0</v>
      </c>
      <c r="AC98" s="290">
        <f>'REMUNERACION_EAAB-CL'!AC109</f>
        <v>0</v>
      </c>
      <c r="AD98" s="290">
        <f>'REMUNERACION_EAAB-CL'!AD109</f>
        <v>0</v>
      </c>
      <c r="AE98" s="290">
        <f>'REMUNERACION_EAAB-CL'!AE109</f>
        <v>0</v>
      </c>
      <c r="AF98" s="331">
        <f>'REMUNERACION_EAAB-CL'!AF109</f>
        <v>0</v>
      </c>
      <c r="AG98" s="524">
        <f>'REMUNERACION_EAAB-CL'!AG109</f>
        <v>0</v>
      </c>
      <c r="AH98" s="1"/>
      <c r="AI98" s="306"/>
      <c r="AM98" s="333"/>
    </row>
    <row r="99" spans="1:39" ht="12.6" thickBot="1" x14ac:dyDescent="0.3">
      <c r="B99" s="2"/>
      <c r="C99" s="2"/>
      <c r="D99" s="165"/>
      <c r="E99" s="448"/>
      <c r="F99" s="448"/>
      <c r="G99" s="448"/>
      <c r="H99" s="448"/>
      <c r="I99" s="448"/>
      <c r="J99" s="165"/>
      <c r="K99" s="448"/>
      <c r="L99" s="448"/>
      <c r="M99" s="448"/>
      <c r="N99" s="448"/>
      <c r="O99" s="448"/>
      <c r="Q99" s="4"/>
      <c r="S99" s="2"/>
      <c r="T99" s="2"/>
      <c r="U99" s="448"/>
      <c r="V99" s="448"/>
      <c r="W99" s="448"/>
      <c r="X99" s="448"/>
      <c r="Y99" s="448"/>
      <c r="AF99" s="448"/>
      <c r="AI99" s="4"/>
    </row>
    <row r="100" spans="1:39" ht="12.6" thickBot="1" x14ac:dyDescent="0.3">
      <c r="B100" s="2"/>
      <c r="C100" s="2"/>
      <c r="D100" s="448"/>
      <c r="E100" s="448"/>
      <c r="F100" s="448"/>
      <c r="G100" s="448"/>
      <c r="H100" s="448"/>
      <c r="I100" s="448"/>
      <c r="K100" s="448"/>
      <c r="L100" s="448"/>
      <c r="M100" s="448"/>
      <c r="N100" s="448"/>
      <c r="O100" s="448"/>
      <c r="Q100" s="4"/>
      <c r="Y100" s="449"/>
      <c r="AI100" s="4"/>
    </row>
    <row r="101" spans="1:39" ht="12" x14ac:dyDescent="0.25">
      <c r="A101" s="4"/>
      <c r="B101" s="34"/>
      <c r="C101" s="34"/>
      <c r="D101" s="474"/>
      <c r="E101" s="474"/>
      <c r="F101" s="474"/>
      <c r="G101" s="474"/>
      <c r="H101" s="474"/>
      <c r="I101" s="474"/>
      <c r="J101" s="4"/>
      <c r="K101" s="474"/>
      <c r="L101" s="474"/>
      <c r="M101" s="474"/>
      <c r="N101" s="474"/>
      <c r="O101" s="47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191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191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50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51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54" t="s">
        <v>21</v>
      </c>
      <c r="AA109" s="380" t="s">
        <v>46</v>
      </c>
      <c r="AB109" s="380" t="s">
        <v>7</v>
      </c>
      <c r="AC109" s="554" t="s">
        <v>168</v>
      </c>
      <c r="AD109" s="550" t="s">
        <v>105</v>
      </c>
      <c r="AE109" s="550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552">
        <f>D9-(D26+D60+D43+D76+D93)</f>
        <v>0</v>
      </c>
      <c r="E110" s="552">
        <f t="shared" ref="E110:O110" si="0">E9-(E26+E60+E43+E76+E93)</f>
        <v>0</v>
      </c>
      <c r="F110" s="552">
        <f t="shared" si="0"/>
        <v>0</v>
      </c>
      <c r="G110" s="552">
        <f t="shared" si="0"/>
        <v>0</v>
      </c>
      <c r="H110" s="552">
        <f t="shared" si="0"/>
        <v>0</v>
      </c>
      <c r="I110" s="552">
        <f t="shared" si="0"/>
        <v>0</v>
      </c>
      <c r="J110" s="552">
        <f t="shared" si="0"/>
        <v>0</v>
      </c>
      <c r="K110" s="552">
        <f t="shared" si="0"/>
        <v>0</v>
      </c>
      <c r="L110" s="552">
        <f t="shared" si="0"/>
        <v>0</v>
      </c>
      <c r="M110" s="552">
        <f t="shared" si="0"/>
        <v>0</v>
      </c>
      <c r="N110" s="552">
        <f t="shared" si="0"/>
        <v>0</v>
      </c>
      <c r="O110" s="552">
        <f t="shared" si="0"/>
        <v>0</v>
      </c>
      <c r="P110" s="480"/>
      <c r="Q110" s="481"/>
      <c r="R110" s="480"/>
      <c r="S110" s="482">
        <v>1</v>
      </c>
      <c r="T110" s="483" t="s">
        <v>10</v>
      </c>
      <c r="U110" s="552">
        <f>U9-(U26+U43+U60++U76+U93)</f>
        <v>0</v>
      </c>
      <c r="V110" s="552">
        <f t="shared" ref="V110:AF110" si="1">V9-(V26+V43+V60++V76+V93)</f>
        <v>0</v>
      </c>
      <c r="W110" s="552">
        <f t="shared" si="1"/>
        <v>0</v>
      </c>
      <c r="X110" s="552">
        <f t="shared" si="1"/>
        <v>0</v>
      </c>
      <c r="Y110" s="552">
        <f t="shared" si="1"/>
        <v>0</v>
      </c>
      <c r="Z110" s="552">
        <f t="shared" si="1"/>
        <v>0</v>
      </c>
      <c r="AA110" s="552">
        <f t="shared" si="1"/>
        <v>0</v>
      </c>
      <c r="AB110" s="552">
        <f t="shared" si="1"/>
        <v>0</v>
      </c>
      <c r="AC110" s="552">
        <f t="shared" si="1"/>
        <v>0</v>
      </c>
      <c r="AD110" s="552">
        <f t="shared" ref="AD110:AD115" si="2">AD9-(AD26+AD43+AD60+AD76+AD93)</f>
        <v>0</v>
      </c>
      <c r="AE110" s="552">
        <f t="shared" si="1"/>
        <v>0</v>
      </c>
      <c r="AF110" s="552">
        <f t="shared" si="1"/>
        <v>0</v>
      </c>
      <c r="AG110" s="552">
        <f t="shared" ref="AG110" si="3">AG9-(AG26+AG43+AG60++AG76+AG93)</f>
        <v>0</v>
      </c>
      <c r="AI110" s="481"/>
      <c r="AJ110" s="480"/>
    </row>
    <row r="111" spans="1:39" ht="12" x14ac:dyDescent="0.25">
      <c r="B111" s="16">
        <v>2</v>
      </c>
      <c r="C111" s="62" t="s">
        <v>11</v>
      </c>
      <c r="D111" s="479">
        <f t="shared" ref="D111:O115" si="4">D10-(D27+D61+D44+D77+D94)</f>
        <v>0</v>
      </c>
      <c r="E111" s="479">
        <f t="shared" si="4"/>
        <v>0</v>
      </c>
      <c r="F111" s="479">
        <f t="shared" si="4"/>
        <v>0</v>
      </c>
      <c r="G111" s="479">
        <f t="shared" si="4"/>
        <v>0</v>
      </c>
      <c r="H111" s="479">
        <f t="shared" si="4"/>
        <v>0</v>
      </c>
      <c r="I111" s="479">
        <f t="shared" si="4"/>
        <v>0</v>
      </c>
      <c r="J111" s="479">
        <f t="shared" si="4"/>
        <v>0</v>
      </c>
      <c r="K111" s="479">
        <f t="shared" si="4"/>
        <v>0</v>
      </c>
      <c r="L111" s="479">
        <f t="shared" si="4"/>
        <v>0</v>
      </c>
      <c r="M111" s="479">
        <f t="shared" si="4"/>
        <v>0</v>
      </c>
      <c r="N111" s="479">
        <f t="shared" si="4"/>
        <v>0</v>
      </c>
      <c r="O111" s="479">
        <f t="shared" si="4"/>
        <v>0</v>
      </c>
      <c r="P111" s="480"/>
      <c r="Q111" s="481"/>
      <c r="R111" s="480"/>
      <c r="S111" s="484">
        <v>2</v>
      </c>
      <c r="T111" s="485" t="s">
        <v>11</v>
      </c>
      <c r="U111" s="479">
        <f t="shared" ref="U111:AF115" si="5">U10-(U27+U44+U61++U77+U94)</f>
        <v>0</v>
      </c>
      <c r="V111" s="479">
        <f t="shared" si="5"/>
        <v>0</v>
      </c>
      <c r="W111" s="479">
        <f t="shared" si="5"/>
        <v>0</v>
      </c>
      <c r="X111" s="479">
        <f t="shared" si="5"/>
        <v>0</v>
      </c>
      <c r="Y111" s="479">
        <f t="shared" si="5"/>
        <v>0</v>
      </c>
      <c r="Z111" s="479">
        <f t="shared" si="5"/>
        <v>0</v>
      </c>
      <c r="AA111" s="479">
        <f t="shared" si="5"/>
        <v>0</v>
      </c>
      <c r="AB111" s="479">
        <f t="shared" si="5"/>
        <v>0</v>
      </c>
      <c r="AC111" s="479">
        <f t="shared" si="5"/>
        <v>0</v>
      </c>
      <c r="AD111" s="479">
        <f t="shared" si="2"/>
        <v>0</v>
      </c>
      <c r="AE111" s="479">
        <f t="shared" si="5"/>
        <v>0</v>
      </c>
      <c r="AF111" s="479">
        <f t="shared" si="5"/>
        <v>0</v>
      </c>
      <c r="AG111" s="479">
        <f t="shared" ref="AG111" si="6">AG10-(AG27+AG44+AG61++AG77+AG94)</f>
        <v>0</v>
      </c>
      <c r="AI111" s="481"/>
      <c r="AJ111" s="480"/>
    </row>
    <row r="112" spans="1:39" ht="12" x14ac:dyDescent="0.25">
      <c r="B112" s="16">
        <v>3</v>
      </c>
      <c r="C112" s="62" t="s">
        <v>12</v>
      </c>
      <c r="D112" s="479">
        <f t="shared" si="4"/>
        <v>0</v>
      </c>
      <c r="E112" s="479">
        <f t="shared" si="4"/>
        <v>0</v>
      </c>
      <c r="F112" s="479">
        <f t="shared" si="4"/>
        <v>0</v>
      </c>
      <c r="G112" s="479">
        <f t="shared" si="4"/>
        <v>0</v>
      </c>
      <c r="H112" s="479">
        <f t="shared" si="4"/>
        <v>0</v>
      </c>
      <c r="I112" s="479">
        <f t="shared" si="4"/>
        <v>0</v>
      </c>
      <c r="J112" s="479">
        <f t="shared" si="4"/>
        <v>0</v>
      </c>
      <c r="K112" s="479">
        <f t="shared" si="4"/>
        <v>0</v>
      </c>
      <c r="L112" s="479">
        <f t="shared" si="4"/>
        <v>0</v>
      </c>
      <c r="M112" s="479">
        <f t="shared" si="4"/>
        <v>0</v>
      </c>
      <c r="N112" s="479">
        <f t="shared" si="4"/>
        <v>0</v>
      </c>
      <c r="O112" s="479">
        <f t="shared" si="4"/>
        <v>0</v>
      </c>
      <c r="P112" s="480"/>
      <c r="Q112" s="481"/>
      <c r="R112" s="480"/>
      <c r="S112" s="484">
        <v>3</v>
      </c>
      <c r="T112" s="485" t="s">
        <v>12</v>
      </c>
      <c r="U112" s="479">
        <f t="shared" si="5"/>
        <v>0</v>
      </c>
      <c r="V112" s="479">
        <f t="shared" si="5"/>
        <v>0</v>
      </c>
      <c r="W112" s="479">
        <f t="shared" si="5"/>
        <v>0</v>
      </c>
      <c r="X112" s="479">
        <f t="shared" si="5"/>
        <v>0</v>
      </c>
      <c r="Y112" s="479">
        <f t="shared" si="5"/>
        <v>0</v>
      </c>
      <c r="Z112" s="479">
        <f t="shared" si="5"/>
        <v>0</v>
      </c>
      <c r="AA112" s="479">
        <f t="shared" si="5"/>
        <v>0</v>
      </c>
      <c r="AB112" s="479">
        <f t="shared" si="5"/>
        <v>0</v>
      </c>
      <c r="AC112" s="479">
        <f t="shared" si="5"/>
        <v>0</v>
      </c>
      <c r="AD112" s="479">
        <f t="shared" si="2"/>
        <v>0</v>
      </c>
      <c r="AE112" s="479">
        <f t="shared" si="5"/>
        <v>0</v>
      </c>
      <c r="AF112" s="479">
        <f t="shared" si="5"/>
        <v>0</v>
      </c>
      <c r="AG112" s="479">
        <f t="shared" ref="AG112" si="7">AG11-(AG28+AG45+AG62++AG78+AG95)</f>
        <v>0</v>
      </c>
      <c r="AI112" s="481"/>
      <c r="AJ112" s="480"/>
    </row>
    <row r="113" spans="1:36" ht="12" x14ac:dyDescent="0.25">
      <c r="B113" s="16">
        <v>4</v>
      </c>
      <c r="C113" s="62" t="s">
        <v>13</v>
      </c>
      <c r="D113" s="479">
        <f t="shared" si="4"/>
        <v>0</v>
      </c>
      <c r="E113" s="479">
        <f t="shared" si="4"/>
        <v>0</v>
      </c>
      <c r="F113" s="479">
        <f t="shared" si="4"/>
        <v>0</v>
      </c>
      <c r="G113" s="479">
        <f t="shared" si="4"/>
        <v>0</v>
      </c>
      <c r="H113" s="479">
        <f t="shared" si="4"/>
        <v>0</v>
      </c>
      <c r="I113" s="479">
        <f t="shared" si="4"/>
        <v>0</v>
      </c>
      <c r="J113" s="479">
        <f t="shared" si="4"/>
        <v>0</v>
      </c>
      <c r="K113" s="479">
        <f t="shared" si="4"/>
        <v>0</v>
      </c>
      <c r="L113" s="479">
        <f t="shared" si="4"/>
        <v>0</v>
      </c>
      <c r="M113" s="479">
        <f t="shared" si="4"/>
        <v>0</v>
      </c>
      <c r="N113" s="479">
        <f t="shared" si="4"/>
        <v>0</v>
      </c>
      <c r="O113" s="479">
        <f t="shared" si="4"/>
        <v>0</v>
      </c>
      <c r="P113" s="480"/>
      <c r="Q113" s="481"/>
      <c r="R113" s="480"/>
      <c r="S113" s="484">
        <v>4</v>
      </c>
      <c r="T113" s="485" t="s">
        <v>13</v>
      </c>
      <c r="U113" s="479">
        <f t="shared" si="5"/>
        <v>0</v>
      </c>
      <c r="V113" s="479">
        <f t="shared" si="5"/>
        <v>0</v>
      </c>
      <c r="W113" s="479">
        <f t="shared" si="5"/>
        <v>0</v>
      </c>
      <c r="X113" s="479">
        <f t="shared" si="5"/>
        <v>0</v>
      </c>
      <c r="Y113" s="479">
        <f t="shared" si="5"/>
        <v>0</v>
      </c>
      <c r="Z113" s="479">
        <f t="shared" si="5"/>
        <v>0</v>
      </c>
      <c r="AA113" s="479">
        <f t="shared" si="5"/>
        <v>0</v>
      </c>
      <c r="AB113" s="479">
        <f t="shared" si="5"/>
        <v>0</v>
      </c>
      <c r="AC113" s="479">
        <f t="shared" si="5"/>
        <v>0</v>
      </c>
      <c r="AD113" s="479">
        <f t="shared" si="2"/>
        <v>0</v>
      </c>
      <c r="AE113" s="479">
        <f t="shared" si="5"/>
        <v>0</v>
      </c>
      <c r="AF113" s="479">
        <f t="shared" si="5"/>
        <v>0</v>
      </c>
      <c r="AG113" s="479">
        <f t="shared" ref="AG113" si="8">AG12-(AG29+AG46+AG63++AG79+AG96)</f>
        <v>0</v>
      </c>
      <c r="AI113" s="481"/>
      <c r="AJ113" s="480"/>
    </row>
    <row r="114" spans="1:36" ht="12.6" thickBot="1" x14ac:dyDescent="0.3">
      <c r="B114" s="19">
        <v>5</v>
      </c>
      <c r="C114" s="63" t="s">
        <v>14</v>
      </c>
      <c r="D114" s="479">
        <f t="shared" si="4"/>
        <v>0</v>
      </c>
      <c r="E114" s="479">
        <f t="shared" si="4"/>
        <v>0</v>
      </c>
      <c r="F114" s="479">
        <f t="shared" si="4"/>
        <v>0</v>
      </c>
      <c r="G114" s="479">
        <f t="shared" si="4"/>
        <v>0</v>
      </c>
      <c r="H114" s="479">
        <f t="shared" si="4"/>
        <v>0</v>
      </c>
      <c r="I114" s="479">
        <f t="shared" si="4"/>
        <v>0</v>
      </c>
      <c r="J114" s="479">
        <f t="shared" si="4"/>
        <v>0</v>
      </c>
      <c r="K114" s="479">
        <f t="shared" si="4"/>
        <v>0</v>
      </c>
      <c r="L114" s="479">
        <f t="shared" si="4"/>
        <v>0</v>
      </c>
      <c r="M114" s="479">
        <f t="shared" si="4"/>
        <v>0</v>
      </c>
      <c r="N114" s="479">
        <f t="shared" si="4"/>
        <v>0</v>
      </c>
      <c r="O114" s="479">
        <f t="shared" si="4"/>
        <v>0</v>
      </c>
      <c r="P114" s="480"/>
      <c r="Q114" s="481"/>
      <c r="R114" s="480"/>
      <c r="S114" s="486">
        <v>5</v>
      </c>
      <c r="T114" s="487" t="s">
        <v>14</v>
      </c>
      <c r="U114" s="479">
        <f t="shared" si="5"/>
        <v>0</v>
      </c>
      <c r="V114" s="479">
        <f t="shared" si="5"/>
        <v>0</v>
      </c>
      <c r="W114" s="479">
        <f t="shared" si="5"/>
        <v>0</v>
      </c>
      <c r="X114" s="479">
        <f t="shared" si="5"/>
        <v>0</v>
      </c>
      <c r="Y114" s="479">
        <f t="shared" si="5"/>
        <v>0</v>
      </c>
      <c r="Z114" s="479">
        <f t="shared" si="5"/>
        <v>0</v>
      </c>
      <c r="AA114" s="479">
        <f t="shared" si="5"/>
        <v>0</v>
      </c>
      <c r="AB114" s="479">
        <f t="shared" si="5"/>
        <v>0</v>
      </c>
      <c r="AC114" s="479">
        <f t="shared" si="5"/>
        <v>0</v>
      </c>
      <c r="AD114" s="479">
        <f t="shared" si="2"/>
        <v>0</v>
      </c>
      <c r="AE114" s="479">
        <f t="shared" si="5"/>
        <v>0</v>
      </c>
      <c r="AF114" s="479">
        <f t="shared" si="5"/>
        <v>0</v>
      </c>
      <c r="AG114" s="479">
        <f t="shared" ref="AG114" si="9">AG13-(AG30+AG47+AG64++AG80+AG97)</f>
        <v>0</v>
      </c>
      <c r="AI114" s="481"/>
      <c r="AJ114" s="480"/>
    </row>
    <row r="115" spans="1:36" ht="12.6" thickBot="1" x14ac:dyDescent="0.3">
      <c r="B115" s="21"/>
      <c r="C115" s="22" t="s">
        <v>2</v>
      </c>
      <c r="D115" s="553">
        <f t="shared" si="4"/>
        <v>0</v>
      </c>
      <c r="E115" s="553">
        <f t="shared" si="4"/>
        <v>0</v>
      </c>
      <c r="F115" s="553">
        <f t="shared" si="4"/>
        <v>0</v>
      </c>
      <c r="G115" s="553">
        <f t="shared" si="4"/>
        <v>0</v>
      </c>
      <c r="H115" s="553">
        <f t="shared" si="4"/>
        <v>0</v>
      </c>
      <c r="I115" s="553">
        <f t="shared" si="4"/>
        <v>0</v>
      </c>
      <c r="J115" s="553">
        <f t="shared" si="4"/>
        <v>0</v>
      </c>
      <c r="K115" s="553">
        <f t="shared" si="4"/>
        <v>0</v>
      </c>
      <c r="L115" s="553">
        <f t="shared" si="4"/>
        <v>0</v>
      </c>
      <c r="M115" s="553">
        <f t="shared" si="4"/>
        <v>0</v>
      </c>
      <c r="N115" s="553">
        <f t="shared" si="4"/>
        <v>0</v>
      </c>
      <c r="O115" s="553">
        <f t="shared" si="4"/>
        <v>0</v>
      </c>
      <c r="P115" s="488"/>
      <c r="Q115" s="481"/>
      <c r="R115" s="480"/>
      <c r="S115" s="489"/>
      <c r="T115" s="490" t="s">
        <v>2</v>
      </c>
      <c r="U115" s="553">
        <f t="shared" si="5"/>
        <v>0</v>
      </c>
      <c r="V115" s="553">
        <f t="shared" si="5"/>
        <v>0</v>
      </c>
      <c r="W115" s="553">
        <f t="shared" si="5"/>
        <v>0</v>
      </c>
      <c r="X115" s="553">
        <f t="shared" si="5"/>
        <v>0</v>
      </c>
      <c r="Y115" s="553">
        <f t="shared" si="5"/>
        <v>0</v>
      </c>
      <c r="Z115" s="553">
        <f t="shared" si="5"/>
        <v>0</v>
      </c>
      <c r="AA115" s="553">
        <f t="shared" si="5"/>
        <v>0</v>
      </c>
      <c r="AB115" s="553">
        <f t="shared" si="5"/>
        <v>0</v>
      </c>
      <c r="AC115" s="553">
        <f t="shared" si="5"/>
        <v>0</v>
      </c>
      <c r="AD115" s="553">
        <f t="shared" si="2"/>
        <v>0</v>
      </c>
      <c r="AE115" s="553">
        <f t="shared" si="5"/>
        <v>0</v>
      </c>
      <c r="AF115" s="553">
        <f t="shared" si="5"/>
        <v>0</v>
      </c>
      <c r="AG115" s="553">
        <f t="shared" ref="AG115" si="10">AG14-(AG31+AG48+AG65++AG81+AG98)</f>
        <v>0</v>
      </c>
      <c r="AI115" s="481"/>
      <c r="AJ115" s="480"/>
    </row>
    <row r="116" spans="1:36" ht="12" x14ac:dyDescent="0.25">
      <c r="B116" s="2"/>
      <c r="C116" s="2"/>
      <c r="D116" s="448"/>
      <c r="E116" s="448"/>
      <c r="F116" s="448"/>
      <c r="G116" s="448"/>
      <c r="H116" s="448"/>
      <c r="I116" s="448"/>
      <c r="K116" s="448"/>
      <c r="L116" s="448"/>
      <c r="M116" s="448"/>
      <c r="N116" s="448"/>
      <c r="O116" s="448"/>
      <c r="Q116" s="4"/>
      <c r="S116" s="2"/>
      <c r="T116" s="2"/>
      <c r="U116" s="448"/>
      <c r="V116" s="448"/>
      <c r="W116" s="448"/>
      <c r="X116" s="448"/>
      <c r="Y116" s="448"/>
      <c r="AF116" s="448"/>
      <c r="AI116" s="4"/>
    </row>
    <row r="117" spans="1:36" ht="12" x14ac:dyDescent="0.25">
      <c r="B117" s="2"/>
      <c r="C117" s="2"/>
      <c r="D117" s="448" t="s">
        <v>1</v>
      </c>
      <c r="E117" s="448"/>
      <c r="F117" s="448"/>
      <c r="G117" s="448"/>
      <c r="H117" s="448"/>
      <c r="I117" s="448"/>
      <c r="K117" s="448"/>
      <c r="L117" s="448"/>
      <c r="M117" s="448"/>
      <c r="N117" s="448"/>
      <c r="O117" s="448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474"/>
      <c r="E118" s="474"/>
      <c r="F118" s="474"/>
      <c r="G118" s="474"/>
      <c r="H118" s="474"/>
      <c r="I118" s="474"/>
      <c r="J118" s="4"/>
      <c r="K118" s="474"/>
      <c r="L118" s="474"/>
      <c r="M118" s="474"/>
      <c r="N118" s="474"/>
      <c r="O118" s="47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2026092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2026092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46297</v>
      </c>
      <c r="F124" s="58" t="s">
        <v>189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5"/>
      <c r="C125" s="555" t="s">
        <v>0</v>
      </c>
      <c r="D125" s="556">
        <f>'REMUNERACION_EAAB-CL'!D102</f>
        <v>0.58333333333333337</v>
      </c>
      <c r="E125" s="45"/>
      <c r="F125" s="555" t="s">
        <v>27</v>
      </c>
      <c r="G125" s="557">
        <f>'REMUNERACION_EAAB-CL'!G102</f>
        <v>46281</v>
      </c>
      <c r="H125" s="45"/>
      <c r="I125" s="45"/>
      <c r="J125" s="555" t="s">
        <v>28</v>
      </c>
      <c r="K125" s="557">
        <f>'REMUNERACION_EAAB-CL'!K102</f>
        <v>46295</v>
      </c>
      <c r="L125" s="92"/>
      <c r="M125" s="45"/>
      <c r="N125" s="45"/>
      <c r="O125" s="558"/>
      <c r="P125" s="2"/>
      <c r="Q125" s="4"/>
      <c r="S125" s="95"/>
      <c r="T125" s="45"/>
      <c r="U125" s="45" t="str">
        <f>F125</f>
        <v>Fecha Desde:</v>
      </c>
      <c r="V125" s="557">
        <f>'REMUNERACION_EAAB-CL'!V102</f>
        <v>46281</v>
      </c>
      <c r="W125" s="45" t="s">
        <v>1</v>
      </c>
      <c r="X125" s="45" t="str">
        <f>J125</f>
        <v>Feha Hasta:</v>
      </c>
      <c r="Y125" s="557">
        <f>'REMUNERACION_EAAB-CL'!Y102</f>
        <v>46295</v>
      </c>
      <c r="Z125" s="45" t="s">
        <v>1</v>
      </c>
      <c r="AA125" s="45"/>
      <c r="AB125" s="45"/>
      <c r="AC125" s="45"/>
      <c r="AD125" s="45"/>
      <c r="AE125" s="45"/>
      <c r="AF125" s="559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5" workbookViewId="0">
      <selection activeCell="F106" sqref="F106"/>
    </sheetView>
  </sheetViews>
  <sheetFormatPr baseColWidth="10" defaultRowHeight="13.2" x14ac:dyDescent="0.25"/>
  <cols>
    <col min="1" max="1" width="2.44140625" customWidth="1"/>
    <col min="3" max="3" width="36.88671875" bestFit="1" customWidth="1"/>
    <col min="4" max="4" width="12" bestFit="1" customWidth="1"/>
    <col min="5" max="5" width="12.109375" customWidth="1"/>
    <col min="6" max="6" width="9.109375" customWidth="1"/>
    <col min="7" max="7" width="14.88671875" customWidth="1"/>
    <col min="8" max="8" width="15.109375" customWidth="1"/>
    <col min="9" max="9" width="20.109375" bestFit="1" customWidth="1"/>
    <col min="10" max="10" width="15.44140625" customWidth="1"/>
    <col min="11" max="11" width="17.88671875" customWidth="1"/>
    <col min="12" max="12" width="20.88671875" customWidth="1"/>
    <col min="17" max="17" width="1.10937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4"/>
    </row>
    <row r="3" spans="1:33" s="1" customFormat="1" ht="15.6" x14ac:dyDescent="0.3">
      <c r="B3" s="8"/>
      <c r="F3" s="471" t="s">
        <v>37</v>
      </c>
      <c r="G3" s="471"/>
      <c r="H3" s="472"/>
      <c r="I3" s="473"/>
      <c r="J3" s="472"/>
      <c r="K3" s="473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80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172</v>
      </c>
      <c r="K5" s="73" t="s">
        <v>143</v>
      </c>
      <c r="L5" s="73" t="s">
        <v>144</v>
      </c>
      <c r="O5" s="44"/>
      <c r="P5" s="13"/>
      <c r="Q5" s="4"/>
    </row>
    <row r="6" spans="1:33" s="305" customFormat="1" ht="12" x14ac:dyDescent="0.25">
      <c r="B6" s="334">
        <v>1</v>
      </c>
      <c r="C6" s="335" t="s">
        <v>10</v>
      </c>
      <c r="D6" s="308">
        <f>'CONSOLIDADO_TOTAL RECAUDO'!D125</f>
        <v>0</v>
      </c>
      <c r="E6" s="309">
        <f>'CONSOLIDADO_TOTAL RECAUDO'!E125</f>
        <v>0</v>
      </c>
      <c r="G6" s="336">
        <f>'CONSOLIDADO_TOTAL RECAUDO'!G125</f>
        <v>0</v>
      </c>
      <c r="H6" s="310">
        <f>'CONSOLIDADO_TOTAL RECAUDO'!H125</f>
        <v>0</v>
      </c>
      <c r="I6" s="309">
        <f>'CONSOLIDADO_TOTAL RECAUDO'!I125</f>
        <v>0</v>
      </c>
      <c r="J6" s="309">
        <f>'CONSOLIDADO_TOTAL RECAUDO'!J125</f>
        <v>0</v>
      </c>
      <c r="K6" s="309">
        <f>'CONSOLIDADO_TOTAL RECAUDO'!K125</f>
        <v>0</v>
      </c>
      <c r="L6" s="309">
        <f>'CONSOLIDADO_TOTAL RECAUDO'!L125</f>
        <v>0</v>
      </c>
      <c r="O6" s="337"/>
      <c r="Q6" s="306"/>
    </row>
    <row r="7" spans="1:33" s="305" customFormat="1" ht="12" x14ac:dyDescent="0.25">
      <c r="B7" s="314">
        <v>2</v>
      </c>
      <c r="C7" s="338" t="s">
        <v>11</v>
      </c>
      <c r="D7" s="292">
        <f>'CONSOLIDADO_TOTAL RECAUDO'!D126</f>
        <v>0</v>
      </c>
      <c r="E7" s="288">
        <f>'CONSOLIDADO_TOTAL RECAUDO'!E126</f>
        <v>0</v>
      </c>
      <c r="G7" s="339">
        <f>'CONSOLIDADO_TOTAL RECAUDO'!G126</f>
        <v>0</v>
      </c>
      <c r="H7" s="340">
        <f>'CONSOLIDADO_TOTAL RECAUDO'!H126</f>
        <v>0</v>
      </c>
      <c r="I7" s="288">
        <f>'CONSOLIDADO_TOTAL RECAUDO'!I126</f>
        <v>0</v>
      </c>
      <c r="J7" s="288">
        <f>'CONSOLIDADO_TOTAL RECAUDO'!J126</f>
        <v>0</v>
      </c>
      <c r="K7" s="288">
        <f>'CONSOLIDADO_TOTAL RECAUDO'!K126</f>
        <v>0</v>
      </c>
      <c r="L7" s="288">
        <f>'CONSOLIDADO_TOTAL RECAUDO'!L126</f>
        <v>0</v>
      </c>
      <c r="O7" s="337"/>
      <c r="Q7" s="306"/>
    </row>
    <row r="8" spans="1:33" s="305" customFormat="1" ht="12" x14ac:dyDescent="0.25">
      <c r="B8" s="314">
        <v>3</v>
      </c>
      <c r="C8" s="338" t="s">
        <v>12</v>
      </c>
      <c r="D8" s="292">
        <f>'CONSOLIDADO_TOTAL RECAUDO'!D127</f>
        <v>0</v>
      </c>
      <c r="E8" s="288">
        <f>'CONSOLIDADO_TOTAL RECAUDO'!E127</f>
        <v>0</v>
      </c>
      <c r="G8" s="339">
        <f>'CONSOLIDADO_TOTAL RECAUDO'!G127</f>
        <v>0</v>
      </c>
      <c r="H8" s="340">
        <f>'CONSOLIDADO_TOTAL RECAUDO'!H127</f>
        <v>0</v>
      </c>
      <c r="I8" s="288">
        <f>'CONSOLIDADO_TOTAL RECAUDO'!I127</f>
        <v>0</v>
      </c>
      <c r="J8" s="288">
        <f>'CONSOLIDADO_TOTAL RECAUDO'!J127</f>
        <v>0</v>
      </c>
      <c r="K8" s="288">
        <f>'CONSOLIDADO_TOTAL RECAUDO'!K127</f>
        <v>0</v>
      </c>
      <c r="L8" s="288">
        <f>'CONSOLIDADO_TOTAL RECAUDO'!L127</f>
        <v>0</v>
      </c>
      <c r="O8" s="337"/>
      <c r="Q8" s="306"/>
    </row>
    <row r="9" spans="1:33" s="305" customFormat="1" ht="12" x14ac:dyDescent="0.25">
      <c r="B9" s="314">
        <v>4</v>
      </c>
      <c r="C9" s="338" t="s">
        <v>13</v>
      </c>
      <c r="D9" s="292">
        <f>'CONSOLIDADO_TOTAL RECAUDO'!D128</f>
        <v>0</v>
      </c>
      <c r="E9" s="288">
        <f>'CONSOLIDADO_TOTAL RECAUDO'!E128</f>
        <v>0</v>
      </c>
      <c r="G9" s="339">
        <f>'CONSOLIDADO_TOTAL RECAUDO'!G128</f>
        <v>0</v>
      </c>
      <c r="H9" s="340">
        <f>'CONSOLIDADO_TOTAL RECAUDO'!H128</f>
        <v>0</v>
      </c>
      <c r="I9" s="288">
        <f>'CONSOLIDADO_TOTAL RECAUDO'!I128</f>
        <v>0</v>
      </c>
      <c r="J9" s="288">
        <f>'CONSOLIDADO_TOTAL RECAUDO'!J128</f>
        <v>0</v>
      </c>
      <c r="K9" s="288">
        <f>'CONSOLIDADO_TOTAL RECAUDO'!K128</f>
        <v>0</v>
      </c>
      <c r="L9" s="288">
        <f>'CONSOLIDADO_TOTAL RECAUDO'!L128</f>
        <v>0</v>
      </c>
      <c r="O9" s="337"/>
      <c r="Q9" s="306"/>
    </row>
    <row r="10" spans="1:33" s="305" customFormat="1" ht="12" x14ac:dyDescent="0.25">
      <c r="B10" s="341">
        <v>5</v>
      </c>
      <c r="C10" s="342" t="s">
        <v>14</v>
      </c>
      <c r="D10" s="292">
        <f>'CONSOLIDADO_TOTAL RECAUDO'!D129</f>
        <v>0</v>
      </c>
      <c r="E10" s="344">
        <f>'CONSOLIDADO_TOTAL RECAUDO'!E129</f>
        <v>0</v>
      </c>
      <c r="G10" s="339">
        <f>'CONSOLIDADO_TOTAL RECAUDO'!G129</f>
        <v>0</v>
      </c>
      <c r="H10" s="340">
        <f>'CONSOLIDADO_TOTAL RECAUDO'!H129</f>
        <v>0</v>
      </c>
      <c r="I10" s="288">
        <f>'CONSOLIDADO_TOTAL RECAUDO'!I129</f>
        <v>0</v>
      </c>
      <c r="J10" s="288">
        <f>'CONSOLIDADO_TOTAL RECAUDO'!J129</f>
        <v>0</v>
      </c>
      <c r="K10" s="288">
        <f>'CONSOLIDADO_TOTAL RECAUDO'!K129</f>
        <v>0</v>
      </c>
      <c r="L10" s="288">
        <f>'CONSOLIDADO_TOTAL RECAUDO'!L129</f>
        <v>0</v>
      </c>
      <c r="O10" s="337"/>
      <c r="Q10" s="306"/>
    </row>
    <row r="11" spans="1:33" s="305" customFormat="1" ht="12.6" thickBot="1" x14ac:dyDescent="0.3">
      <c r="B11" s="324" t="s">
        <v>89</v>
      </c>
      <c r="C11" s="345" t="s">
        <v>113</v>
      </c>
      <c r="D11" s="297">
        <f>'CONSOLIDADO_TOTAL RECAUDO'!D130</f>
        <v>0</v>
      </c>
      <c r="E11" s="289">
        <f>'CONSOLIDADO_TOTAL RECAUDO'!E130</f>
        <v>0</v>
      </c>
      <c r="G11" s="346">
        <f>'CONSOLIDADO_TOTAL RECAUDO'!G130</f>
        <v>0</v>
      </c>
      <c r="H11" s="347">
        <f>'CONSOLIDADO_TOTAL RECAUDO'!H130</f>
        <v>0</v>
      </c>
      <c r="I11" s="289">
        <f>'CONSOLIDADO_TOTAL RECAUDO'!I130</f>
        <v>0</v>
      </c>
      <c r="J11" s="289">
        <f>'CONSOLIDADO_TOTAL RECAUDO'!J130</f>
        <v>0</v>
      </c>
      <c r="K11" s="289">
        <f>'CONSOLIDADO_TOTAL RECAUDO'!K130</f>
        <v>0</v>
      </c>
      <c r="L11" s="289">
        <f>'CONSOLIDADO_TOTAL RECAUDO'!L130</f>
        <v>0</v>
      </c>
      <c r="O11" s="337"/>
      <c r="Q11" s="306"/>
    </row>
    <row r="12" spans="1:33" s="305" customFormat="1" ht="12.6" thickBot="1" x14ac:dyDescent="0.3">
      <c r="B12" s="348"/>
      <c r="C12" s="349" t="s">
        <v>2</v>
      </c>
      <c r="D12" s="350">
        <f>'CONSOLIDADO_TOTAL RECAUDO'!D131</f>
        <v>0</v>
      </c>
      <c r="E12" s="350">
        <f>'CONSOLIDADO_TOTAL RECAUDO'!E131</f>
        <v>0</v>
      </c>
      <c r="F12" s="351"/>
      <c r="G12" s="350">
        <f>'CONSOLIDADO_TOTAL RECAUDO'!G131</f>
        <v>0</v>
      </c>
      <c r="H12" s="350">
        <f>'CONSOLIDADO_TOTAL RECAUDO'!H131</f>
        <v>0</v>
      </c>
      <c r="I12" s="350">
        <f>'CONSOLIDADO_TOTAL RECAUDO'!I131</f>
        <v>0</v>
      </c>
      <c r="J12" s="350">
        <f>'CONSOLIDADO_TOTAL RECAUDO'!J131</f>
        <v>0</v>
      </c>
      <c r="K12" s="350">
        <f>'CONSOLIDADO_TOTAL RECAUDO'!K131</f>
        <v>0</v>
      </c>
      <c r="L12" s="350">
        <f>'CONSOLIDADO_TOTAL RECAUDO'!L131</f>
        <v>0</v>
      </c>
      <c r="M12" s="351"/>
      <c r="N12" s="351"/>
      <c r="O12" s="352"/>
      <c r="P12" s="329"/>
      <c r="Q12" s="306"/>
    </row>
    <row r="13" spans="1:33" s="1" customFormat="1" ht="12" x14ac:dyDescent="0.25">
      <c r="B13" s="2"/>
      <c r="C13" s="2"/>
      <c r="D13" s="448"/>
      <c r="Q13" s="4"/>
    </row>
    <row r="14" spans="1:33" s="1" customFormat="1" ht="12" x14ac:dyDescent="0.25">
      <c r="B14" s="2"/>
      <c r="C14" s="2"/>
      <c r="D14" s="448"/>
      <c r="Q14" s="4"/>
    </row>
    <row r="15" spans="1:33" s="1" customFormat="1" ht="12" x14ac:dyDescent="0.25">
      <c r="A15" s="52"/>
      <c r="B15" s="53"/>
      <c r="C15" s="53"/>
      <c r="D15" s="454"/>
      <c r="E15" s="454"/>
      <c r="F15" s="454"/>
      <c r="G15" s="454"/>
      <c r="H15" s="454"/>
      <c r="I15" s="454"/>
      <c r="J15" s="52"/>
      <c r="K15" s="454"/>
      <c r="L15" s="454"/>
      <c r="M15" s="454"/>
      <c r="N15" s="454"/>
      <c r="O15" s="454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4"/>
    </row>
    <row r="18" spans="1:17" s="1" customFormat="1" ht="15.6" x14ac:dyDescent="0.3">
      <c r="B18" s="8"/>
      <c r="F18" s="475" t="s">
        <v>192</v>
      </c>
      <c r="G18" s="475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172</v>
      </c>
      <c r="K20" s="73" t="s">
        <v>143</v>
      </c>
      <c r="L20" s="73" t="s">
        <v>144</v>
      </c>
      <c r="O20" s="44"/>
      <c r="P20" s="13"/>
      <c r="Q20" s="4"/>
    </row>
    <row r="21" spans="1:17" s="305" customFormat="1" ht="12" x14ac:dyDescent="0.25">
      <c r="B21" s="334">
        <v>1</v>
      </c>
      <c r="C21" s="335" t="s">
        <v>10</v>
      </c>
      <c r="D21" s="308">
        <f>'REMUNERACION Reciprocidad EAAB'!D125</f>
        <v>0</v>
      </c>
      <c r="E21" s="309">
        <f>'REMUNERACION Reciprocidad EAAB'!E125</f>
        <v>0</v>
      </c>
      <c r="G21" s="336">
        <f>'REMUNERACION Reciprocidad EAAB'!G125</f>
        <v>0</v>
      </c>
      <c r="H21" s="310">
        <f>'REMUNERACION Reciprocidad EAAB'!H125</f>
        <v>0</v>
      </c>
      <c r="I21" s="309">
        <f>'REMUNERACION Reciprocidad EAAB'!I125</f>
        <v>0</v>
      </c>
      <c r="J21" s="309">
        <f>'REMUNERACION Reciprocidad EAAB'!J125</f>
        <v>0</v>
      </c>
      <c r="K21" s="309">
        <f>'REMUNERACION Reciprocidad EAAB'!K125</f>
        <v>0</v>
      </c>
      <c r="L21" s="309">
        <f>'REMUNERACION Reciprocidad EAAB'!L125</f>
        <v>0</v>
      </c>
      <c r="O21" s="337"/>
      <c r="Q21" s="306"/>
    </row>
    <row r="22" spans="1:17" s="305" customFormat="1" ht="12" x14ac:dyDescent="0.25">
      <c r="B22" s="314">
        <v>2</v>
      </c>
      <c r="C22" s="338" t="s">
        <v>11</v>
      </c>
      <c r="D22" s="292">
        <f>'REMUNERACION Reciprocidad EAAB'!D126</f>
        <v>0</v>
      </c>
      <c r="E22" s="288">
        <f>'REMUNERACION Reciprocidad EAAB'!E126</f>
        <v>0</v>
      </c>
      <c r="G22" s="339">
        <f>'REMUNERACION Reciprocidad EAAB'!G126</f>
        <v>0</v>
      </c>
      <c r="H22" s="340">
        <f>'REMUNERACION Reciprocidad EAAB'!H126</f>
        <v>0</v>
      </c>
      <c r="I22" s="288">
        <f>'REMUNERACION Reciprocidad EAAB'!I126</f>
        <v>0</v>
      </c>
      <c r="J22" s="288">
        <f>'REMUNERACION Reciprocidad EAAB'!J126</f>
        <v>0</v>
      </c>
      <c r="K22" s="288">
        <f>'REMUNERACION Reciprocidad EAAB'!K126</f>
        <v>0</v>
      </c>
      <c r="L22" s="288">
        <f>'REMUNERACION Reciprocidad EAAB'!L126</f>
        <v>0</v>
      </c>
      <c r="O22" s="337"/>
      <c r="Q22" s="306"/>
    </row>
    <row r="23" spans="1:17" s="305" customFormat="1" ht="12" x14ac:dyDescent="0.25">
      <c r="B23" s="314">
        <v>3</v>
      </c>
      <c r="C23" s="338" t="s">
        <v>12</v>
      </c>
      <c r="D23" s="292">
        <f>'REMUNERACION Reciprocidad EAAB'!D127</f>
        <v>0</v>
      </c>
      <c r="E23" s="288">
        <f>'REMUNERACION Reciprocidad EAAB'!E127</f>
        <v>0</v>
      </c>
      <c r="G23" s="339">
        <f>'REMUNERACION Reciprocidad EAAB'!G127</f>
        <v>0</v>
      </c>
      <c r="H23" s="340">
        <f>'REMUNERACION Reciprocidad EAAB'!H127</f>
        <v>0</v>
      </c>
      <c r="I23" s="288">
        <f>'REMUNERACION Reciprocidad EAAB'!I127</f>
        <v>0</v>
      </c>
      <c r="J23" s="288">
        <f>'REMUNERACION Reciprocidad EAAB'!J127</f>
        <v>0</v>
      </c>
      <c r="K23" s="288">
        <f>'REMUNERACION Reciprocidad EAAB'!K127</f>
        <v>0</v>
      </c>
      <c r="L23" s="288">
        <f>'REMUNERACION Reciprocidad EAAB'!L127</f>
        <v>0</v>
      </c>
      <c r="O23" s="337"/>
      <c r="Q23" s="306"/>
    </row>
    <row r="24" spans="1:17" s="305" customFormat="1" ht="12" x14ac:dyDescent="0.25">
      <c r="B24" s="314">
        <v>4</v>
      </c>
      <c r="C24" s="338" t="s">
        <v>13</v>
      </c>
      <c r="D24" s="292">
        <f>'REMUNERACION Reciprocidad EAAB'!D128</f>
        <v>0</v>
      </c>
      <c r="E24" s="288">
        <f>'REMUNERACION Reciprocidad EAAB'!E128</f>
        <v>0</v>
      </c>
      <c r="G24" s="339">
        <f>'REMUNERACION Reciprocidad EAAB'!G128</f>
        <v>0</v>
      </c>
      <c r="H24" s="340">
        <f>'REMUNERACION Reciprocidad EAAB'!H128</f>
        <v>0</v>
      </c>
      <c r="I24" s="288">
        <f>'REMUNERACION Reciprocidad EAAB'!I128</f>
        <v>0</v>
      </c>
      <c r="J24" s="288">
        <f>'REMUNERACION Reciprocidad EAAB'!J128</f>
        <v>0</v>
      </c>
      <c r="K24" s="288">
        <f>'REMUNERACION Reciprocidad EAAB'!K128</f>
        <v>0</v>
      </c>
      <c r="L24" s="288">
        <f>'REMUNERACION Reciprocidad EAAB'!L128</f>
        <v>0</v>
      </c>
      <c r="O24" s="337"/>
      <c r="Q24" s="306"/>
    </row>
    <row r="25" spans="1:17" s="305" customFormat="1" ht="12" x14ac:dyDescent="0.25">
      <c r="B25" s="341">
        <v>5</v>
      </c>
      <c r="C25" s="342" t="s">
        <v>14</v>
      </c>
      <c r="D25" s="292">
        <f>'REMUNERACION Reciprocidad EAAB'!D129</f>
        <v>0</v>
      </c>
      <c r="E25" s="344">
        <f>'REMUNERACION Reciprocidad EAAB'!E129</f>
        <v>0</v>
      </c>
      <c r="G25" s="339">
        <f>'REMUNERACION Reciprocidad EAAB'!G129</f>
        <v>0</v>
      </c>
      <c r="H25" s="340">
        <f>'REMUNERACION Reciprocidad EAAB'!H129</f>
        <v>0</v>
      </c>
      <c r="I25" s="288">
        <f>'REMUNERACION Reciprocidad EAAB'!I129</f>
        <v>0</v>
      </c>
      <c r="J25" s="288">
        <f>'REMUNERACION Reciprocidad EAAB'!J129</f>
        <v>0</v>
      </c>
      <c r="K25" s="288">
        <f>'REMUNERACION Reciprocidad EAAB'!K129</f>
        <v>0</v>
      </c>
      <c r="L25" s="288">
        <f>'REMUNERACION Reciprocidad EAAB'!L129</f>
        <v>0</v>
      </c>
      <c r="O25" s="337"/>
      <c r="Q25" s="306"/>
    </row>
    <row r="26" spans="1:17" s="305" customFormat="1" ht="12.6" thickBot="1" x14ac:dyDescent="0.3">
      <c r="B26" s="324" t="s">
        <v>89</v>
      </c>
      <c r="C26" s="345" t="s">
        <v>113</v>
      </c>
      <c r="D26" s="297">
        <f>'REMUNERACION Reciprocidad EAAB'!D130</f>
        <v>0</v>
      </c>
      <c r="E26" s="289">
        <f>'REMUNERACION Reciprocidad EAAB'!E130</f>
        <v>0</v>
      </c>
      <c r="G26" s="346">
        <f>'REMUNERACION Reciprocidad EAAB'!G130</f>
        <v>0</v>
      </c>
      <c r="H26" s="347">
        <f>'REMUNERACION Reciprocidad EAAB'!H130</f>
        <v>0</v>
      </c>
      <c r="I26" s="289">
        <f>'REMUNERACION Reciprocidad EAAB'!I130</f>
        <v>0</v>
      </c>
      <c r="J26" s="289">
        <f>'REMUNERACION Reciprocidad EAAB'!J130</f>
        <v>0</v>
      </c>
      <c r="K26" s="289">
        <f>'REMUNERACION Reciprocidad EAAB'!K130</f>
        <v>0</v>
      </c>
      <c r="L26" s="289">
        <f>'REMUNERACION Reciprocidad EAAB'!L130</f>
        <v>0</v>
      </c>
      <c r="O26" s="337"/>
      <c r="Q26" s="306"/>
    </row>
    <row r="27" spans="1:17" s="305" customFormat="1" ht="12.6" thickBot="1" x14ac:dyDescent="0.3">
      <c r="B27" s="348"/>
      <c r="C27" s="349" t="s">
        <v>2</v>
      </c>
      <c r="D27" s="350">
        <f>'REMUNERACION Reciprocidad EAAB'!D131</f>
        <v>0</v>
      </c>
      <c r="E27" s="350">
        <f>'REMUNERACION Reciprocidad EAAB'!E131</f>
        <v>0</v>
      </c>
      <c r="F27" s="351"/>
      <c r="G27" s="350">
        <f>'REMUNERACION Reciprocidad EAAB'!G131</f>
        <v>0</v>
      </c>
      <c r="H27" s="350">
        <f>'REMUNERACION Reciprocidad EAAB'!H131</f>
        <v>0</v>
      </c>
      <c r="I27" s="350">
        <f>'REMUNERACION Reciprocidad EAAB'!I131</f>
        <v>0</v>
      </c>
      <c r="J27" s="350">
        <f>'REMUNERACION Reciprocidad EAAB'!J131</f>
        <v>0</v>
      </c>
      <c r="K27" s="350">
        <f>'REMUNERACION Reciprocidad EAAB'!K131</f>
        <v>0</v>
      </c>
      <c r="L27" s="350">
        <f>'REMUNERACION Reciprocidad EAAB'!L131</f>
        <v>0</v>
      </c>
      <c r="M27" s="351"/>
      <c r="N27" s="351"/>
      <c r="O27" s="352"/>
      <c r="P27" s="329"/>
      <c r="Q27" s="306"/>
    </row>
    <row r="28" spans="1:17" s="1" customFormat="1" ht="12" x14ac:dyDescent="0.25">
      <c r="B28" s="2"/>
      <c r="C28" s="2"/>
      <c r="D28" s="448"/>
      <c r="Q28" s="4"/>
    </row>
    <row r="29" spans="1:17" s="1" customFormat="1" ht="12" x14ac:dyDescent="0.25">
      <c r="B29" s="2"/>
      <c r="C29" s="2"/>
      <c r="D29" s="448"/>
      <c r="Q29" s="4"/>
    </row>
    <row r="30" spans="1:17" s="1" customFormat="1" ht="12" x14ac:dyDescent="0.25">
      <c r="A30" s="52"/>
      <c r="B30" s="53"/>
      <c r="C30" s="53"/>
      <c r="D30" s="454"/>
      <c r="E30" s="454"/>
      <c r="F30" s="454"/>
      <c r="G30" s="454"/>
      <c r="H30" s="454"/>
      <c r="I30" s="454"/>
      <c r="J30" s="52"/>
      <c r="K30" s="454"/>
      <c r="L30" s="454"/>
      <c r="M30" s="454"/>
      <c r="N30" s="454"/>
      <c r="O30" s="454"/>
      <c r="P30" s="52"/>
      <c r="Q30" s="4"/>
    </row>
    <row r="32" spans="1:17" s="1" customFormat="1" ht="15.6" x14ac:dyDescent="0.3">
      <c r="B32" s="8"/>
      <c r="F32" s="491" t="s">
        <v>193</v>
      </c>
      <c r="G32" s="491"/>
      <c r="H32" s="492"/>
      <c r="I32" s="493"/>
      <c r="J32" s="492"/>
      <c r="K32" s="493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172</v>
      </c>
      <c r="K34" s="73" t="s">
        <v>143</v>
      </c>
      <c r="L34" s="73" t="s">
        <v>144</v>
      </c>
      <c r="O34" s="44"/>
      <c r="P34" s="13"/>
      <c r="Q34" s="4"/>
    </row>
    <row r="35" spans="1:17" s="305" customFormat="1" ht="12" x14ac:dyDescent="0.25">
      <c r="B35" s="334">
        <v>1</v>
      </c>
      <c r="C35" s="335" t="s">
        <v>10</v>
      </c>
      <c r="D35" s="308">
        <f>REMUNERACION_ENEL!D125</f>
        <v>0</v>
      </c>
      <c r="E35" s="309">
        <f>REMUNERACION_ENEL!E125</f>
        <v>0</v>
      </c>
      <c r="G35" s="336">
        <f>REMUNERACION_ENEL!G125</f>
        <v>0</v>
      </c>
      <c r="H35" s="310">
        <f>REMUNERACION_ENEL!H125</f>
        <v>0</v>
      </c>
      <c r="I35" s="309">
        <f>REMUNERACION_ENEL!I125</f>
        <v>0</v>
      </c>
      <c r="J35" s="309">
        <f>REMUNERACION_ENEL!J125</f>
        <v>0</v>
      </c>
      <c r="K35" s="309">
        <f>REMUNERACION_ENEL!K125</f>
        <v>0</v>
      </c>
      <c r="L35" s="309">
        <f>REMUNERACION_ENEL!L125</f>
        <v>0</v>
      </c>
      <c r="O35" s="337"/>
      <c r="Q35" s="306"/>
    </row>
    <row r="36" spans="1:17" s="305" customFormat="1" ht="12" x14ac:dyDescent="0.25">
      <c r="B36" s="314">
        <v>2</v>
      </c>
      <c r="C36" s="338" t="s">
        <v>11</v>
      </c>
      <c r="D36" s="292">
        <f>REMUNERACION_ENEL!D126</f>
        <v>0</v>
      </c>
      <c r="E36" s="288">
        <f>REMUNERACION_ENEL!E126</f>
        <v>0</v>
      </c>
      <c r="G36" s="339">
        <f>REMUNERACION_ENEL!G126</f>
        <v>0</v>
      </c>
      <c r="H36" s="340">
        <f>REMUNERACION_ENEL!H126</f>
        <v>0</v>
      </c>
      <c r="I36" s="288">
        <f>REMUNERACION_ENEL!I126</f>
        <v>0</v>
      </c>
      <c r="J36" s="288">
        <f>REMUNERACION_ENEL!J126</f>
        <v>0</v>
      </c>
      <c r="K36" s="288">
        <f>REMUNERACION_ENEL!K126</f>
        <v>0</v>
      </c>
      <c r="L36" s="288">
        <f>REMUNERACION_ENEL!L126</f>
        <v>0</v>
      </c>
      <c r="O36" s="337"/>
      <c r="Q36" s="306"/>
    </row>
    <row r="37" spans="1:17" s="305" customFormat="1" ht="12" x14ac:dyDescent="0.25">
      <c r="B37" s="314">
        <v>3</v>
      </c>
      <c r="C37" s="338" t="s">
        <v>12</v>
      </c>
      <c r="D37" s="292">
        <f>REMUNERACION_ENEL!D127</f>
        <v>0</v>
      </c>
      <c r="E37" s="288">
        <f>REMUNERACION_ENEL!E127</f>
        <v>0</v>
      </c>
      <c r="G37" s="339">
        <f>REMUNERACION_ENEL!G127</f>
        <v>0</v>
      </c>
      <c r="H37" s="340">
        <f>REMUNERACION_ENEL!H127</f>
        <v>0</v>
      </c>
      <c r="I37" s="288">
        <f>REMUNERACION_ENEL!I127</f>
        <v>0</v>
      </c>
      <c r="J37" s="288">
        <f>REMUNERACION_ENEL!J127</f>
        <v>0</v>
      </c>
      <c r="K37" s="288">
        <f>REMUNERACION_ENEL!K127</f>
        <v>0</v>
      </c>
      <c r="L37" s="288">
        <f>REMUNERACION_ENEL!L127</f>
        <v>0</v>
      </c>
      <c r="O37" s="337"/>
      <c r="Q37" s="306"/>
    </row>
    <row r="38" spans="1:17" s="305" customFormat="1" ht="12" x14ac:dyDescent="0.25">
      <c r="B38" s="314">
        <v>4</v>
      </c>
      <c r="C38" s="338" t="s">
        <v>13</v>
      </c>
      <c r="D38" s="292">
        <f>REMUNERACION_ENEL!D128</f>
        <v>0</v>
      </c>
      <c r="E38" s="288">
        <f>REMUNERACION_ENEL!E128</f>
        <v>0</v>
      </c>
      <c r="G38" s="339">
        <f>REMUNERACION_ENEL!G128</f>
        <v>0</v>
      </c>
      <c r="H38" s="340">
        <f>REMUNERACION_ENEL!H128</f>
        <v>0</v>
      </c>
      <c r="I38" s="288">
        <f>REMUNERACION_ENEL!I128</f>
        <v>0</v>
      </c>
      <c r="J38" s="288">
        <f>REMUNERACION_ENEL!J128</f>
        <v>0</v>
      </c>
      <c r="K38" s="288">
        <f>REMUNERACION_ENEL!K128</f>
        <v>0</v>
      </c>
      <c r="L38" s="288">
        <f>REMUNERACION_ENEL!L128</f>
        <v>0</v>
      </c>
      <c r="O38" s="337"/>
      <c r="Q38" s="306"/>
    </row>
    <row r="39" spans="1:17" s="305" customFormat="1" ht="12" x14ac:dyDescent="0.25">
      <c r="B39" s="341">
        <v>5</v>
      </c>
      <c r="C39" s="342" t="s">
        <v>14</v>
      </c>
      <c r="D39" s="292">
        <f>REMUNERACION_ENEL!D129</f>
        <v>0</v>
      </c>
      <c r="E39" s="344">
        <f>REMUNERACION_ENEL!E129</f>
        <v>0</v>
      </c>
      <c r="G39" s="339">
        <f>REMUNERACION_ENEL!G129</f>
        <v>0</v>
      </c>
      <c r="H39" s="340">
        <f>REMUNERACION_ENEL!H129</f>
        <v>0</v>
      </c>
      <c r="I39" s="288">
        <f>REMUNERACION_ENEL!I129</f>
        <v>0</v>
      </c>
      <c r="J39" s="288">
        <f>REMUNERACION_ENEL!J129</f>
        <v>0</v>
      </c>
      <c r="K39" s="288">
        <f>REMUNERACION_ENEL!K129</f>
        <v>0</v>
      </c>
      <c r="L39" s="288">
        <f>REMUNERACION_ENEL!L129</f>
        <v>0</v>
      </c>
      <c r="O39" s="337"/>
      <c r="Q39" s="306"/>
    </row>
    <row r="40" spans="1:17" s="305" customFormat="1" ht="12.6" thickBot="1" x14ac:dyDescent="0.3">
      <c r="B40" s="324" t="s">
        <v>89</v>
      </c>
      <c r="C40" s="345" t="s">
        <v>113</v>
      </c>
      <c r="D40" s="297">
        <f>REMUNERACION_ENEL!D130</f>
        <v>0</v>
      </c>
      <c r="E40" s="289">
        <f>REMUNERACION_ENEL!E130</f>
        <v>0</v>
      </c>
      <c r="G40" s="346">
        <f>REMUNERACION_ENEL!G130</f>
        <v>0</v>
      </c>
      <c r="H40" s="347">
        <f>REMUNERACION_ENEL!H130</f>
        <v>0</v>
      </c>
      <c r="I40" s="289">
        <f>REMUNERACION_ENEL!I130</f>
        <v>0</v>
      </c>
      <c r="J40" s="289">
        <f>REMUNERACION_ENEL!J130</f>
        <v>0</v>
      </c>
      <c r="K40" s="289">
        <f>REMUNERACION_ENEL!K130</f>
        <v>0</v>
      </c>
      <c r="L40" s="289">
        <f>REMUNERACION_ENEL!L130</f>
        <v>0</v>
      </c>
      <c r="O40" s="337"/>
      <c r="Q40" s="306"/>
    </row>
    <row r="41" spans="1:17" s="305" customFormat="1" ht="12.6" thickBot="1" x14ac:dyDescent="0.3">
      <c r="B41" s="348"/>
      <c r="C41" s="349" t="s">
        <v>2</v>
      </c>
      <c r="D41" s="350">
        <f>REMUNERACION_ENEL!D131</f>
        <v>0</v>
      </c>
      <c r="E41" s="350">
        <f>REMUNERACION_ENEL!E131</f>
        <v>0</v>
      </c>
      <c r="F41" s="351"/>
      <c r="G41" s="350">
        <f>REMUNERACION_ENEL!G131</f>
        <v>0</v>
      </c>
      <c r="H41" s="350">
        <f>REMUNERACION_ENEL!H131</f>
        <v>0</v>
      </c>
      <c r="I41" s="350">
        <f>REMUNERACION_ENEL!I131</f>
        <v>0</v>
      </c>
      <c r="J41" s="350">
        <f>REMUNERACION_ENEL!J131</f>
        <v>0</v>
      </c>
      <c r="K41" s="350">
        <f>REMUNERACION_ENEL!K131</f>
        <v>0</v>
      </c>
      <c r="L41" s="350">
        <f>REMUNERACION_ENEL!L131</f>
        <v>0</v>
      </c>
      <c r="M41" s="351"/>
      <c r="N41" s="351"/>
      <c r="O41" s="352"/>
      <c r="P41" s="329"/>
      <c r="Q41" s="306"/>
    </row>
    <row r="42" spans="1:17" s="1" customFormat="1" ht="12" x14ac:dyDescent="0.25">
      <c r="B42" s="2"/>
      <c r="C42" s="2"/>
      <c r="D42" s="448"/>
      <c r="Q42" s="4"/>
    </row>
    <row r="43" spans="1:17" s="1" customFormat="1" ht="12" x14ac:dyDescent="0.25">
      <c r="B43" s="2"/>
      <c r="C43" s="2"/>
      <c r="D43" s="448"/>
      <c r="Q43" s="4"/>
    </row>
    <row r="44" spans="1:17" s="1" customFormat="1" ht="12" x14ac:dyDescent="0.25">
      <c r="A44" s="52"/>
      <c r="B44" s="53"/>
      <c r="C44" s="53"/>
      <c r="D44" s="454"/>
      <c r="E44" s="454"/>
      <c r="F44" s="454"/>
      <c r="G44" s="454"/>
      <c r="H44" s="454"/>
      <c r="I44" s="454"/>
      <c r="J44" s="52"/>
      <c r="K44" s="454"/>
      <c r="L44" s="454"/>
      <c r="M44" s="454"/>
      <c r="N44" s="454"/>
      <c r="O44" s="454"/>
      <c r="P44" s="52"/>
      <c r="Q44" s="4"/>
    </row>
    <row r="45" spans="1:17" s="1" customFormat="1" ht="12" x14ac:dyDescent="0.25">
      <c r="B45" s="2"/>
      <c r="C45" s="2"/>
      <c r="D45" s="448"/>
      <c r="Q45" s="4"/>
    </row>
    <row r="46" spans="1:17" s="1" customFormat="1" ht="15.6" x14ac:dyDescent="0.3">
      <c r="B46" s="8"/>
      <c r="F46" s="491" t="s">
        <v>331</v>
      </c>
      <c r="G46" s="491"/>
      <c r="H46" s="492"/>
      <c r="I46" s="493"/>
      <c r="J46" s="492"/>
      <c r="K46" s="493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172</v>
      </c>
      <c r="K48" s="73" t="s">
        <v>143</v>
      </c>
      <c r="L48" s="73" t="s">
        <v>144</v>
      </c>
      <c r="O48" s="44"/>
      <c r="P48" s="13"/>
      <c r="Q48" s="4"/>
    </row>
    <row r="49" spans="1:17" s="305" customFormat="1" ht="12" x14ac:dyDescent="0.25">
      <c r="B49" s="334">
        <v>1</v>
      </c>
      <c r="C49" s="335" t="s">
        <v>10</v>
      </c>
      <c r="D49" s="308">
        <f>REMUNERACION_ENERBIT!D125</f>
        <v>0</v>
      </c>
      <c r="E49" s="308">
        <f>REMUNERACION_ENERBIT!E125</f>
        <v>0</v>
      </c>
      <c r="G49" s="336">
        <f>REMUNERACION_ENERBIT!G125</f>
        <v>0</v>
      </c>
      <c r="H49" s="336">
        <f>REMUNERACION_ENERBIT!H125</f>
        <v>0</v>
      </c>
      <c r="I49" s="336">
        <f>REMUNERACION_ENERBIT!I125</f>
        <v>0</v>
      </c>
      <c r="J49" s="336">
        <f>REMUNERACION_ENERBIT!J125</f>
        <v>0</v>
      </c>
      <c r="K49" s="336">
        <f>REMUNERACION_ENERBIT!K125</f>
        <v>0</v>
      </c>
      <c r="L49" s="336">
        <f>REMUNERACION_ENERBIT!L125</f>
        <v>0</v>
      </c>
      <c r="O49" s="337"/>
      <c r="Q49" s="306"/>
    </row>
    <row r="50" spans="1:17" s="305" customFormat="1" ht="12" x14ac:dyDescent="0.25">
      <c r="B50" s="314">
        <v>2</v>
      </c>
      <c r="C50" s="338" t="s">
        <v>11</v>
      </c>
      <c r="D50" s="292">
        <f>REMUNERACION_ENERBIT!D126</f>
        <v>0</v>
      </c>
      <c r="E50" s="292">
        <f>REMUNERACION_ENERBIT!E126</f>
        <v>0</v>
      </c>
      <c r="G50" s="339">
        <f>REMUNERACION_ENERBIT!G126</f>
        <v>0</v>
      </c>
      <c r="H50" s="339">
        <f>REMUNERACION_ENERBIT!H126</f>
        <v>0</v>
      </c>
      <c r="I50" s="339">
        <f>REMUNERACION_ENERBIT!I126</f>
        <v>0</v>
      </c>
      <c r="J50" s="339">
        <f>REMUNERACION_ENERBIT!J126</f>
        <v>0</v>
      </c>
      <c r="K50" s="339">
        <f>REMUNERACION_ENERBIT!K126</f>
        <v>0</v>
      </c>
      <c r="L50" s="339">
        <f>REMUNERACION_ENERBIT!L126</f>
        <v>0</v>
      </c>
      <c r="O50" s="337"/>
      <c r="Q50" s="306"/>
    </row>
    <row r="51" spans="1:17" s="305" customFormat="1" ht="12" x14ac:dyDescent="0.25">
      <c r="B51" s="314">
        <v>3</v>
      </c>
      <c r="C51" s="338" t="s">
        <v>12</v>
      </c>
      <c r="D51" s="292">
        <f>REMUNERACION_ENERBIT!D127</f>
        <v>0</v>
      </c>
      <c r="E51" s="292">
        <f>REMUNERACION_ENERBIT!E127</f>
        <v>0</v>
      </c>
      <c r="G51" s="339">
        <f>REMUNERACION_ENERBIT!G127</f>
        <v>0</v>
      </c>
      <c r="H51" s="339">
        <f>REMUNERACION_ENERBIT!H127</f>
        <v>0</v>
      </c>
      <c r="I51" s="339">
        <f>REMUNERACION_ENERBIT!I127</f>
        <v>0</v>
      </c>
      <c r="J51" s="339">
        <f>REMUNERACION_ENERBIT!J127</f>
        <v>0</v>
      </c>
      <c r="K51" s="339">
        <f>REMUNERACION_ENERBIT!K127</f>
        <v>0</v>
      </c>
      <c r="L51" s="339">
        <f>REMUNERACION_ENERBIT!L127</f>
        <v>0</v>
      </c>
      <c r="O51" s="337"/>
      <c r="Q51" s="306"/>
    </row>
    <row r="52" spans="1:17" s="305" customFormat="1" ht="12" x14ac:dyDescent="0.25">
      <c r="B52" s="314">
        <v>4</v>
      </c>
      <c r="C52" s="338" t="s">
        <v>13</v>
      </c>
      <c r="D52" s="292">
        <f>REMUNERACION_ENERBIT!D128</f>
        <v>0</v>
      </c>
      <c r="E52" s="292">
        <f>REMUNERACION_ENERBIT!E128</f>
        <v>0</v>
      </c>
      <c r="G52" s="339">
        <f>REMUNERACION_ENERBIT!G128</f>
        <v>0</v>
      </c>
      <c r="H52" s="339">
        <f>REMUNERACION_ENERBIT!H128</f>
        <v>0</v>
      </c>
      <c r="I52" s="339">
        <f>REMUNERACION_ENERBIT!I128</f>
        <v>0</v>
      </c>
      <c r="J52" s="339">
        <f>REMUNERACION_ENERBIT!J128</f>
        <v>0</v>
      </c>
      <c r="K52" s="339">
        <f>REMUNERACION_ENERBIT!K128</f>
        <v>0</v>
      </c>
      <c r="L52" s="339">
        <f>REMUNERACION_ENERBIT!L128</f>
        <v>0</v>
      </c>
      <c r="O52" s="337"/>
      <c r="Q52" s="306"/>
    </row>
    <row r="53" spans="1:17" s="305" customFormat="1" ht="12" x14ac:dyDescent="0.25">
      <c r="B53" s="341">
        <v>5</v>
      </c>
      <c r="C53" s="342" t="s">
        <v>14</v>
      </c>
      <c r="D53" s="292">
        <f>REMUNERACION_ENERBIT!D129</f>
        <v>0</v>
      </c>
      <c r="E53" s="292">
        <f>REMUNERACION_ENERBIT!E129</f>
        <v>0</v>
      </c>
      <c r="G53" s="339">
        <f>REMUNERACION_ENERBIT!G129</f>
        <v>0</v>
      </c>
      <c r="H53" s="339">
        <f>REMUNERACION_ENERBIT!H129</f>
        <v>0</v>
      </c>
      <c r="I53" s="339">
        <f>REMUNERACION_ENERBIT!I129</f>
        <v>0</v>
      </c>
      <c r="J53" s="339">
        <f>REMUNERACION_ENERBIT!J129</f>
        <v>0</v>
      </c>
      <c r="K53" s="339">
        <f>REMUNERACION_ENERBIT!K129</f>
        <v>0</v>
      </c>
      <c r="L53" s="339">
        <f>REMUNERACION_ENERBIT!L129</f>
        <v>0</v>
      </c>
      <c r="O53" s="337"/>
      <c r="Q53" s="306"/>
    </row>
    <row r="54" spans="1:17" s="305" customFormat="1" ht="12.6" thickBot="1" x14ac:dyDescent="0.3">
      <c r="B54" s="324" t="s">
        <v>89</v>
      </c>
      <c r="C54" s="345" t="s">
        <v>113</v>
      </c>
      <c r="D54" s="297">
        <f>REMUNERACION_ENERBIT!D130</f>
        <v>0</v>
      </c>
      <c r="E54" s="297">
        <f>REMUNERACION_ENERBIT!E130</f>
        <v>0</v>
      </c>
      <c r="G54" s="346">
        <f>REMUNERACION_ENERBIT!G130</f>
        <v>0</v>
      </c>
      <c r="H54" s="346">
        <f>REMUNERACION_ENERBIT!H130</f>
        <v>0</v>
      </c>
      <c r="I54" s="346">
        <f>REMUNERACION_ENERBIT!I130</f>
        <v>0</v>
      </c>
      <c r="J54" s="346">
        <f>REMUNERACION_ENERBIT!J130</f>
        <v>0</v>
      </c>
      <c r="K54" s="346">
        <f>REMUNERACION_ENERBIT!K130</f>
        <v>0</v>
      </c>
      <c r="L54" s="346">
        <f>REMUNERACION_ENERBIT!L130</f>
        <v>0</v>
      </c>
      <c r="O54" s="337"/>
      <c r="Q54" s="306"/>
    </row>
    <row r="55" spans="1:17" s="305" customFormat="1" ht="12.6" thickBot="1" x14ac:dyDescent="0.3">
      <c r="B55" s="348"/>
      <c r="C55" s="349" t="s">
        <v>2</v>
      </c>
      <c r="D55" s="350">
        <f>REMUNERACION_ENERBIT!D131</f>
        <v>0</v>
      </c>
      <c r="E55" s="350">
        <f>REMUNERACION_ENERBIT!E131</f>
        <v>0</v>
      </c>
      <c r="F55" s="351"/>
      <c r="G55" s="350">
        <f>REMUNERACION_ENERBIT!G131</f>
        <v>0</v>
      </c>
      <c r="H55" s="350">
        <f>REMUNERACION_ENERBIT!H131</f>
        <v>0</v>
      </c>
      <c r="I55" s="350">
        <f>REMUNERACION_ENERBIT!I131</f>
        <v>0</v>
      </c>
      <c r="J55" s="350">
        <f>REMUNERACION_ENERBIT!J131</f>
        <v>0</v>
      </c>
      <c r="K55" s="350">
        <f>REMUNERACION_ENERBIT!K131</f>
        <v>0</v>
      </c>
      <c r="L55" s="350">
        <f>REMUNERACION_ENERBIT!L131</f>
        <v>0</v>
      </c>
      <c r="M55" s="351"/>
      <c r="N55" s="351"/>
      <c r="O55" s="352"/>
      <c r="P55" s="329"/>
      <c r="Q55" s="306"/>
    </row>
    <row r="56" spans="1:17" s="1" customFormat="1" ht="12" x14ac:dyDescent="0.25">
      <c r="B56" s="2"/>
      <c r="C56" s="2"/>
      <c r="D56" s="448"/>
      <c r="Q56" s="4"/>
    </row>
    <row r="57" spans="1:17" s="1" customFormat="1" ht="12" x14ac:dyDescent="0.25">
      <c r="B57" s="2"/>
      <c r="C57" s="2"/>
      <c r="D57" s="448"/>
      <c r="Q57" s="4"/>
    </row>
    <row r="58" spans="1:17" s="1" customFormat="1" ht="12" x14ac:dyDescent="0.25">
      <c r="A58" s="52"/>
      <c r="B58" s="53"/>
      <c r="C58" s="53"/>
      <c r="D58" s="454"/>
      <c r="E58" s="454"/>
      <c r="F58" s="454"/>
      <c r="G58" s="454"/>
      <c r="H58" s="454"/>
      <c r="I58" s="454"/>
      <c r="J58" s="52"/>
      <c r="K58" s="454"/>
      <c r="L58" s="454"/>
      <c r="M58" s="454"/>
      <c r="N58" s="454"/>
      <c r="O58" s="454"/>
      <c r="P58" s="52"/>
      <c r="Q58" s="4"/>
    </row>
    <row r="60" spans="1:17" s="1" customFormat="1" ht="15.6" x14ac:dyDescent="0.3">
      <c r="B60" s="8"/>
      <c r="F60" s="476" t="s">
        <v>194</v>
      </c>
      <c r="G60" s="476"/>
      <c r="H60" s="477"/>
      <c r="I60" s="478"/>
      <c r="J60" s="477"/>
      <c r="K60" s="478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172</v>
      </c>
      <c r="K62" s="73" t="s">
        <v>143</v>
      </c>
      <c r="L62" s="73" t="s">
        <v>144</v>
      </c>
      <c r="O62" s="44"/>
      <c r="P62" s="13"/>
      <c r="Q62" s="4"/>
    </row>
    <row r="63" spans="1:17" s="305" customFormat="1" ht="12" x14ac:dyDescent="0.25">
      <c r="B63" s="334">
        <v>1</v>
      </c>
      <c r="C63" s="335" t="s">
        <v>10</v>
      </c>
      <c r="D63" s="308">
        <f>'REMUNERACION_OCCIDENTE_ Directa'!D125</f>
        <v>0</v>
      </c>
      <c r="E63" s="309">
        <f>'REMUNERACION_OCCIDENTE_ Directa'!E125</f>
        <v>0</v>
      </c>
      <c r="G63" s="336">
        <f>'REMUNERACION_OCCIDENTE_ Directa'!G125</f>
        <v>0</v>
      </c>
      <c r="H63" s="310">
        <f>'REMUNERACION_OCCIDENTE_ Directa'!H125</f>
        <v>0</v>
      </c>
      <c r="I63" s="309">
        <f>'REMUNERACION_OCCIDENTE_ Directa'!I125</f>
        <v>0</v>
      </c>
      <c r="J63" s="309">
        <f>'REMUNERACION_OCCIDENTE_ Directa'!J125</f>
        <v>0</v>
      </c>
      <c r="K63" s="309">
        <f>'REMUNERACION_OCCIDENTE_ Directa'!K125</f>
        <v>0</v>
      </c>
      <c r="L63" s="309">
        <f>'REMUNERACION_OCCIDENTE_ Directa'!L125</f>
        <v>0</v>
      </c>
      <c r="O63" s="337"/>
      <c r="Q63" s="306"/>
    </row>
    <row r="64" spans="1:17" s="305" customFormat="1" ht="12" x14ac:dyDescent="0.25">
      <c r="B64" s="314">
        <v>2</v>
      </c>
      <c r="C64" s="338" t="s">
        <v>11</v>
      </c>
      <c r="D64" s="292">
        <f>'REMUNERACION_OCCIDENTE_ Directa'!D126</f>
        <v>0</v>
      </c>
      <c r="E64" s="288">
        <f>'REMUNERACION_OCCIDENTE_ Directa'!E126</f>
        <v>0</v>
      </c>
      <c r="G64" s="339">
        <f>'REMUNERACION_OCCIDENTE_ Directa'!G126</f>
        <v>0</v>
      </c>
      <c r="H64" s="340">
        <f>'REMUNERACION_OCCIDENTE_ Directa'!H126</f>
        <v>0</v>
      </c>
      <c r="I64" s="288">
        <f>'REMUNERACION_OCCIDENTE_ Directa'!I126</f>
        <v>0</v>
      </c>
      <c r="J64" s="288">
        <f>'REMUNERACION_OCCIDENTE_ Directa'!J126</f>
        <v>0</v>
      </c>
      <c r="K64" s="288">
        <f>'REMUNERACION_OCCIDENTE_ Directa'!K126</f>
        <v>0</v>
      </c>
      <c r="L64" s="288">
        <f>'REMUNERACION_OCCIDENTE_ Directa'!L126</f>
        <v>0</v>
      </c>
      <c r="O64" s="337"/>
      <c r="Q64" s="306"/>
    </row>
    <row r="65" spans="1:17" s="305" customFormat="1" ht="12" x14ac:dyDescent="0.25">
      <c r="B65" s="314">
        <v>3</v>
      </c>
      <c r="C65" s="338" t="s">
        <v>12</v>
      </c>
      <c r="D65" s="292">
        <f>'REMUNERACION_OCCIDENTE_ Directa'!D127</f>
        <v>0</v>
      </c>
      <c r="E65" s="288">
        <f>'REMUNERACION_OCCIDENTE_ Directa'!E127</f>
        <v>0</v>
      </c>
      <c r="G65" s="339">
        <f>'REMUNERACION_OCCIDENTE_ Directa'!G127</f>
        <v>0</v>
      </c>
      <c r="H65" s="340">
        <f>'REMUNERACION_OCCIDENTE_ Directa'!H127</f>
        <v>0</v>
      </c>
      <c r="I65" s="288">
        <f>'REMUNERACION_OCCIDENTE_ Directa'!I127</f>
        <v>0</v>
      </c>
      <c r="J65" s="288">
        <f>'REMUNERACION_OCCIDENTE_ Directa'!J127</f>
        <v>0</v>
      </c>
      <c r="K65" s="288">
        <f>'REMUNERACION_OCCIDENTE_ Directa'!K127</f>
        <v>0</v>
      </c>
      <c r="L65" s="288">
        <f>'REMUNERACION_OCCIDENTE_ Directa'!L127</f>
        <v>0</v>
      </c>
      <c r="O65" s="337"/>
      <c r="Q65" s="306"/>
    </row>
    <row r="66" spans="1:17" s="305" customFormat="1" ht="12" x14ac:dyDescent="0.25">
      <c r="B66" s="314">
        <v>4</v>
      </c>
      <c r="C66" s="338" t="s">
        <v>13</v>
      </c>
      <c r="D66" s="292">
        <f>'REMUNERACION_OCCIDENTE_ Directa'!D128</f>
        <v>0</v>
      </c>
      <c r="E66" s="288">
        <f>'REMUNERACION_OCCIDENTE_ Directa'!E128</f>
        <v>0</v>
      </c>
      <c r="G66" s="339">
        <f>'REMUNERACION_OCCIDENTE_ Directa'!G128</f>
        <v>0</v>
      </c>
      <c r="H66" s="340">
        <f>'REMUNERACION_OCCIDENTE_ Directa'!H128</f>
        <v>0</v>
      </c>
      <c r="I66" s="288">
        <f>'REMUNERACION_OCCIDENTE_ Directa'!I128</f>
        <v>0</v>
      </c>
      <c r="J66" s="288">
        <f>'REMUNERACION_OCCIDENTE_ Directa'!J128</f>
        <v>0</v>
      </c>
      <c r="K66" s="288">
        <f>'REMUNERACION_OCCIDENTE_ Directa'!K128</f>
        <v>0</v>
      </c>
      <c r="L66" s="288">
        <f>'REMUNERACION_OCCIDENTE_ Directa'!L128</f>
        <v>0</v>
      </c>
      <c r="O66" s="337"/>
      <c r="Q66" s="306"/>
    </row>
    <row r="67" spans="1:17" s="305" customFormat="1" ht="12" x14ac:dyDescent="0.25">
      <c r="B67" s="341">
        <v>5</v>
      </c>
      <c r="C67" s="342" t="s">
        <v>14</v>
      </c>
      <c r="D67" s="292">
        <f>'REMUNERACION_OCCIDENTE_ Directa'!D129</f>
        <v>0</v>
      </c>
      <c r="E67" s="344">
        <f>'REMUNERACION_OCCIDENTE_ Directa'!E129</f>
        <v>0</v>
      </c>
      <c r="G67" s="339">
        <f>'REMUNERACION_OCCIDENTE_ Directa'!G129</f>
        <v>0</v>
      </c>
      <c r="H67" s="340">
        <f>'REMUNERACION_OCCIDENTE_ Directa'!H129</f>
        <v>0</v>
      </c>
      <c r="I67" s="288">
        <f>'REMUNERACION_OCCIDENTE_ Directa'!I129</f>
        <v>0</v>
      </c>
      <c r="J67" s="288">
        <f>'REMUNERACION_OCCIDENTE_ Directa'!J129</f>
        <v>0</v>
      </c>
      <c r="K67" s="288">
        <f>'REMUNERACION_OCCIDENTE_ Directa'!K129</f>
        <v>0</v>
      </c>
      <c r="L67" s="288">
        <f>'REMUNERACION_OCCIDENTE_ Directa'!L129</f>
        <v>0</v>
      </c>
      <c r="O67" s="337"/>
      <c r="Q67" s="306"/>
    </row>
    <row r="68" spans="1:17" s="305" customFormat="1" ht="12.6" thickBot="1" x14ac:dyDescent="0.3">
      <c r="B68" s="324" t="s">
        <v>89</v>
      </c>
      <c r="C68" s="345" t="s">
        <v>113</v>
      </c>
      <c r="D68" s="297">
        <f>'REMUNERACION_OCCIDENTE_ Directa'!D130</f>
        <v>0</v>
      </c>
      <c r="E68" s="289">
        <f>'REMUNERACION_OCCIDENTE_ Directa'!E130</f>
        <v>0</v>
      </c>
      <c r="G68" s="346">
        <f>'REMUNERACION_OCCIDENTE_ Directa'!G130</f>
        <v>0</v>
      </c>
      <c r="H68" s="347">
        <f>'REMUNERACION_OCCIDENTE_ Directa'!H130</f>
        <v>0</v>
      </c>
      <c r="I68" s="289">
        <f>'REMUNERACION_OCCIDENTE_ Directa'!I130</f>
        <v>0</v>
      </c>
      <c r="J68" s="289">
        <f>'REMUNERACION_OCCIDENTE_ Directa'!J130</f>
        <v>0</v>
      </c>
      <c r="K68" s="289">
        <f>'REMUNERACION_OCCIDENTE_ Directa'!K130</f>
        <v>0</v>
      </c>
      <c r="L68" s="289">
        <f>'REMUNERACION_OCCIDENTE_ Directa'!L130</f>
        <v>0</v>
      </c>
      <c r="O68" s="337"/>
      <c r="Q68" s="306"/>
    </row>
    <row r="69" spans="1:17" s="305" customFormat="1" ht="12.6" thickBot="1" x14ac:dyDescent="0.3">
      <c r="B69" s="348"/>
      <c r="C69" s="349" t="s">
        <v>2</v>
      </c>
      <c r="D69" s="350">
        <f>'REMUNERACION_OCCIDENTE_ Directa'!D131</f>
        <v>0</v>
      </c>
      <c r="E69" s="350">
        <f>'REMUNERACION_OCCIDENTE_ Directa'!E131</f>
        <v>0</v>
      </c>
      <c r="F69" s="351"/>
      <c r="G69" s="350">
        <f>'REMUNERACION_OCCIDENTE_ Directa'!G131</f>
        <v>0</v>
      </c>
      <c r="H69" s="350">
        <f>'REMUNERACION_OCCIDENTE_ Directa'!H131</f>
        <v>0</v>
      </c>
      <c r="I69" s="350">
        <f>'REMUNERACION_OCCIDENTE_ Directa'!I131</f>
        <v>0</v>
      </c>
      <c r="J69" s="350">
        <f>'REMUNERACION_OCCIDENTE_ Directa'!J131</f>
        <v>0</v>
      </c>
      <c r="K69" s="350">
        <f>'REMUNERACION_OCCIDENTE_ Directa'!K131</f>
        <v>0</v>
      </c>
      <c r="L69" s="350">
        <f>'REMUNERACION_OCCIDENTE_ Directa'!L131</f>
        <v>0</v>
      </c>
      <c r="M69" s="351"/>
      <c r="N69" s="351"/>
      <c r="O69" s="352"/>
      <c r="P69" s="329"/>
      <c r="Q69" s="306"/>
    </row>
    <row r="70" spans="1:17" s="1" customFormat="1" ht="12" x14ac:dyDescent="0.25">
      <c r="B70" s="2"/>
      <c r="C70" s="2"/>
      <c r="D70" s="448"/>
      <c r="Q70" s="4"/>
    </row>
    <row r="71" spans="1:17" s="1" customFormat="1" ht="12" x14ac:dyDescent="0.25">
      <c r="B71" s="2"/>
      <c r="C71" s="2"/>
      <c r="D71" s="448"/>
      <c r="Q71" s="4"/>
    </row>
    <row r="72" spans="1:17" s="1" customFormat="1" ht="12" x14ac:dyDescent="0.25">
      <c r="A72" s="52"/>
      <c r="B72" s="53"/>
      <c r="C72" s="53"/>
      <c r="D72" s="454"/>
      <c r="E72" s="454"/>
      <c r="F72" s="454"/>
      <c r="G72" s="454"/>
      <c r="H72" s="454"/>
      <c r="I72" s="454"/>
      <c r="J72" s="52"/>
      <c r="K72" s="454"/>
      <c r="L72" s="454"/>
      <c r="M72" s="454"/>
      <c r="N72" s="454"/>
      <c r="O72" s="454"/>
      <c r="P72" s="52"/>
      <c r="Q72" s="4"/>
    </row>
    <row r="74" spans="1:17" s="1" customFormat="1" ht="15.6" x14ac:dyDescent="0.3">
      <c r="B74" s="8"/>
      <c r="F74" s="58" t="s">
        <v>195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172</v>
      </c>
      <c r="K76" s="73" t="s">
        <v>143</v>
      </c>
      <c r="L76" s="73" t="s">
        <v>144</v>
      </c>
      <c r="O76" s="44"/>
      <c r="P76" s="13"/>
      <c r="Q76" s="4"/>
    </row>
    <row r="77" spans="1:17" s="305" customFormat="1" ht="12" x14ac:dyDescent="0.25">
      <c r="B77" s="334">
        <v>1</v>
      </c>
      <c r="C77" s="335" t="s">
        <v>10</v>
      </c>
      <c r="D77" s="308">
        <f>'REMUNERACION_EAAB-CL'!D125</f>
        <v>0</v>
      </c>
      <c r="E77" s="309">
        <f>'REMUNERACION_EAAB-CL'!E125</f>
        <v>0</v>
      </c>
      <c r="G77" s="336">
        <f>'REMUNERACION_EAAB-CL'!G125</f>
        <v>0</v>
      </c>
      <c r="H77" s="310">
        <f>'REMUNERACION_EAAB-CL'!H125</f>
        <v>0</v>
      </c>
      <c r="I77" s="309">
        <f>'REMUNERACION_EAAB-CL'!I125</f>
        <v>0</v>
      </c>
      <c r="J77" s="309">
        <f>'REMUNERACION_EAAB-CL'!J125</f>
        <v>0</v>
      </c>
      <c r="K77" s="309">
        <f>'REMUNERACION_EAAB-CL'!K125</f>
        <v>0</v>
      </c>
      <c r="L77" s="309">
        <f>'REMUNERACION_EAAB-CL'!L125</f>
        <v>0</v>
      </c>
      <c r="O77" s="337"/>
      <c r="Q77" s="306"/>
    </row>
    <row r="78" spans="1:17" s="305" customFormat="1" ht="12" x14ac:dyDescent="0.25">
      <c r="B78" s="314">
        <v>2</v>
      </c>
      <c r="C78" s="338" t="s">
        <v>11</v>
      </c>
      <c r="D78" s="292">
        <f>'REMUNERACION_EAAB-CL'!D126</f>
        <v>0</v>
      </c>
      <c r="E78" s="288">
        <f>'REMUNERACION_EAAB-CL'!E126</f>
        <v>0</v>
      </c>
      <c r="G78" s="339">
        <f>'REMUNERACION_EAAB-CL'!G126</f>
        <v>0</v>
      </c>
      <c r="H78" s="340">
        <f>'REMUNERACION_EAAB-CL'!H126</f>
        <v>0</v>
      </c>
      <c r="I78" s="288">
        <f>'REMUNERACION_EAAB-CL'!I126</f>
        <v>0</v>
      </c>
      <c r="J78" s="288">
        <f>'REMUNERACION_EAAB-CL'!J126</f>
        <v>0</v>
      </c>
      <c r="K78" s="288">
        <f>'REMUNERACION_EAAB-CL'!K126</f>
        <v>0</v>
      </c>
      <c r="L78" s="288">
        <f>'REMUNERACION_EAAB-CL'!L126</f>
        <v>0</v>
      </c>
      <c r="O78" s="337"/>
      <c r="Q78" s="306"/>
    </row>
    <row r="79" spans="1:17" s="305" customFormat="1" ht="12" x14ac:dyDescent="0.25">
      <c r="B79" s="314">
        <v>3</v>
      </c>
      <c r="C79" s="338" t="s">
        <v>12</v>
      </c>
      <c r="D79" s="292">
        <f>'REMUNERACION_EAAB-CL'!D127</f>
        <v>0</v>
      </c>
      <c r="E79" s="288">
        <f>'REMUNERACION_EAAB-CL'!E127</f>
        <v>0</v>
      </c>
      <c r="G79" s="339">
        <f>'REMUNERACION_EAAB-CL'!G127</f>
        <v>0</v>
      </c>
      <c r="H79" s="340">
        <f>'REMUNERACION_EAAB-CL'!H127</f>
        <v>0</v>
      </c>
      <c r="I79" s="288">
        <f>'REMUNERACION_EAAB-CL'!I127</f>
        <v>0</v>
      </c>
      <c r="J79" s="288">
        <f>'REMUNERACION_EAAB-CL'!J127</f>
        <v>0</v>
      </c>
      <c r="K79" s="288">
        <f>'REMUNERACION_EAAB-CL'!K127</f>
        <v>0</v>
      </c>
      <c r="L79" s="288">
        <f>'REMUNERACION_EAAB-CL'!L127</f>
        <v>0</v>
      </c>
      <c r="O79" s="337"/>
      <c r="Q79" s="306"/>
    </row>
    <row r="80" spans="1:17" s="305" customFormat="1" ht="12" x14ac:dyDescent="0.25">
      <c r="B80" s="314">
        <v>4</v>
      </c>
      <c r="C80" s="338" t="s">
        <v>13</v>
      </c>
      <c r="D80" s="292">
        <f>'REMUNERACION_EAAB-CL'!D128</f>
        <v>0</v>
      </c>
      <c r="E80" s="288">
        <f>'REMUNERACION_EAAB-CL'!E128</f>
        <v>0</v>
      </c>
      <c r="G80" s="339">
        <f>'REMUNERACION_EAAB-CL'!G128</f>
        <v>0</v>
      </c>
      <c r="H80" s="340">
        <f>'REMUNERACION_EAAB-CL'!H128</f>
        <v>0</v>
      </c>
      <c r="I80" s="288">
        <f>'REMUNERACION_EAAB-CL'!I128</f>
        <v>0</v>
      </c>
      <c r="J80" s="288">
        <f>'REMUNERACION_EAAB-CL'!J128</f>
        <v>0</v>
      </c>
      <c r="K80" s="288">
        <f>'REMUNERACION_EAAB-CL'!K128</f>
        <v>0</v>
      </c>
      <c r="L80" s="288">
        <f>'REMUNERACION_EAAB-CL'!L128</f>
        <v>0</v>
      </c>
      <c r="O80" s="337"/>
      <c r="Q80" s="306"/>
    </row>
    <row r="81" spans="1:17" s="305" customFormat="1" ht="12" x14ac:dyDescent="0.25">
      <c r="B81" s="341">
        <v>5</v>
      </c>
      <c r="C81" s="342" t="s">
        <v>14</v>
      </c>
      <c r="D81" s="292">
        <f>'REMUNERACION_EAAB-CL'!D129</f>
        <v>0</v>
      </c>
      <c r="E81" s="344">
        <f>'REMUNERACION_EAAB-CL'!E129</f>
        <v>0</v>
      </c>
      <c r="G81" s="339">
        <f>'REMUNERACION_EAAB-CL'!G129</f>
        <v>0</v>
      </c>
      <c r="H81" s="340">
        <f>'REMUNERACION_EAAB-CL'!H129</f>
        <v>0</v>
      </c>
      <c r="I81" s="288">
        <f>'REMUNERACION_EAAB-CL'!I129</f>
        <v>0</v>
      </c>
      <c r="J81" s="288">
        <f>'REMUNERACION_EAAB-CL'!J129</f>
        <v>0</v>
      </c>
      <c r="K81" s="288">
        <f>'REMUNERACION_EAAB-CL'!K129</f>
        <v>0</v>
      </c>
      <c r="L81" s="288">
        <f>'REMUNERACION_EAAB-CL'!L129</f>
        <v>0</v>
      </c>
      <c r="O81" s="337"/>
      <c r="Q81" s="306"/>
    </row>
    <row r="82" spans="1:17" s="305" customFormat="1" ht="12.6" thickBot="1" x14ac:dyDescent="0.3">
      <c r="B82" s="324" t="s">
        <v>89</v>
      </c>
      <c r="C82" s="345" t="s">
        <v>113</v>
      </c>
      <c r="D82" s="297">
        <f>'REMUNERACION_EAAB-CL'!D130</f>
        <v>0</v>
      </c>
      <c r="E82" s="289">
        <f>'REMUNERACION_EAAB-CL'!E130</f>
        <v>0</v>
      </c>
      <c r="G82" s="346">
        <f>'REMUNERACION_EAAB-CL'!G130</f>
        <v>0</v>
      </c>
      <c r="H82" s="347">
        <f>'REMUNERACION_EAAB-CL'!H130</f>
        <v>0</v>
      </c>
      <c r="I82" s="289">
        <f>'REMUNERACION_EAAB-CL'!I130</f>
        <v>0</v>
      </c>
      <c r="J82" s="289">
        <f>'REMUNERACION_EAAB-CL'!J130</f>
        <v>0</v>
      </c>
      <c r="K82" s="289">
        <f>'REMUNERACION_EAAB-CL'!K130</f>
        <v>0</v>
      </c>
      <c r="L82" s="289">
        <f>'REMUNERACION_EAAB-CL'!L130</f>
        <v>0</v>
      </c>
      <c r="O82" s="337"/>
      <c r="Q82" s="306"/>
    </row>
    <row r="83" spans="1:17" s="305" customFormat="1" ht="12.6" thickBot="1" x14ac:dyDescent="0.3">
      <c r="B83" s="348"/>
      <c r="C83" s="349" t="s">
        <v>2</v>
      </c>
      <c r="D83" s="350">
        <f>'REMUNERACION_EAAB-CL'!D131</f>
        <v>0</v>
      </c>
      <c r="E83" s="350">
        <f>'REMUNERACION_EAAB-CL'!E131</f>
        <v>0</v>
      </c>
      <c r="F83" s="351"/>
      <c r="G83" s="350">
        <f>'REMUNERACION_EAAB-CL'!G131</f>
        <v>0</v>
      </c>
      <c r="H83" s="350">
        <f>'REMUNERACION_EAAB-CL'!H131</f>
        <v>0</v>
      </c>
      <c r="I83" s="350">
        <f>'REMUNERACION_EAAB-CL'!I131</f>
        <v>0</v>
      </c>
      <c r="J83" s="350">
        <f>'REMUNERACION_EAAB-CL'!J131</f>
        <v>0</v>
      </c>
      <c r="K83" s="350">
        <f>'REMUNERACION_EAAB-CL'!K131</f>
        <v>0</v>
      </c>
      <c r="L83" s="350">
        <f>'REMUNERACION_EAAB-CL'!L131</f>
        <v>0</v>
      </c>
      <c r="M83" s="351"/>
      <c r="N83" s="351"/>
      <c r="O83" s="352"/>
      <c r="P83" s="329"/>
      <c r="Q83" s="306"/>
    </row>
    <row r="84" spans="1:17" s="1" customFormat="1" ht="12" x14ac:dyDescent="0.25">
      <c r="B84" s="2"/>
      <c r="C84" s="2"/>
      <c r="D84" s="448"/>
      <c r="Q84" s="4"/>
    </row>
    <row r="85" spans="1:17" s="1" customFormat="1" ht="12" x14ac:dyDescent="0.25">
      <c r="B85" s="2"/>
      <c r="C85" s="2"/>
      <c r="D85" s="448"/>
      <c r="Q85" s="4"/>
    </row>
    <row r="86" spans="1:17" s="1" customFormat="1" ht="12" x14ac:dyDescent="0.25">
      <c r="A86" s="52"/>
      <c r="B86" s="53"/>
      <c r="C86" s="53"/>
      <c r="D86" s="454"/>
      <c r="E86" s="454"/>
      <c r="F86" s="454"/>
      <c r="G86" s="454"/>
      <c r="H86" s="454"/>
      <c r="I86" s="454"/>
      <c r="J86" s="52"/>
      <c r="K86" s="454"/>
      <c r="L86" s="454"/>
      <c r="M86" s="454"/>
      <c r="N86" s="454"/>
      <c r="O86" s="454"/>
      <c r="P86" s="52"/>
      <c r="Q86" s="4"/>
    </row>
    <row r="88" spans="1:17" ht="15.6" x14ac:dyDescent="0.3">
      <c r="F88" s="41" t="s">
        <v>191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172</v>
      </c>
      <c r="K91" s="73" t="s">
        <v>143</v>
      </c>
      <c r="L91" s="73" t="s">
        <v>144</v>
      </c>
      <c r="O91" s="44"/>
      <c r="P91" s="13"/>
      <c r="Q91" s="4"/>
    </row>
    <row r="92" spans="1:17" s="305" customFormat="1" ht="12" x14ac:dyDescent="0.25">
      <c r="B92" s="334">
        <v>1</v>
      </c>
      <c r="C92" s="335" t="s">
        <v>10</v>
      </c>
      <c r="D92" s="308">
        <f>D6-(D21+D35+D49++D63+D77)</f>
        <v>0</v>
      </c>
      <c r="E92" s="308">
        <f>E6-(E21+E35+E49++E63+E77)</f>
        <v>0</v>
      </c>
      <c r="G92" s="336">
        <f>G6-(G21+G35+G49+G63+G77)</f>
        <v>0</v>
      </c>
      <c r="H92" s="336">
        <f t="shared" ref="H92:L92" si="0">H6-(H21+H35+H49+H63+H77)</f>
        <v>0</v>
      </c>
      <c r="I92" s="336">
        <f t="shared" si="0"/>
        <v>0</v>
      </c>
      <c r="J92" s="336">
        <f t="shared" si="0"/>
        <v>0</v>
      </c>
      <c r="K92" s="336">
        <f t="shared" si="0"/>
        <v>0</v>
      </c>
      <c r="L92" s="336">
        <f t="shared" si="0"/>
        <v>0</v>
      </c>
      <c r="O92" s="337"/>
      <c r="Q92" s="306"/>
    </row>
    <row r="93" spans="1:17" s="305" customFormat="1" ht="12" x14ac:dyDescent="0.25">
      <c r="B93" s="314">
        <v>2</v>
      </c>
      <c r="C93" s="338" t="s">
        <v>11</v>
      </c>
      <c r="D93" s="292">
        <f t="shared" ref="D93:E98" si="1">D7-(D22+D36+D50++D64+D78)</f>
        <v>0</v>
      </c>
      <c r="E93" s="292">
        <f t="shared" si="1"/>
        <v>0</v>
      </c>
      <c r="G93" s="339">
        <f t="shared" ref="G93:L98" si="2">G7-(G22+G36+G50+G64+G78)</f>
        <v>0</v>
      </c>
      <c r="H93" s="339">
        <f t="shared" si="2"/>
        <v>0</v>
      </c>
      <c r="I93" s="339">
        <f t="shared" si="2"/>
        <v>0</v>
      </c>
      <c r="J93" s="339">
        <f t="shared" si="2"/>
        <v>0</v>
      </c>
      <c r="K93" s="339">
        <f t="shared" si="2"/>
        <v>0</v>
      </c>
      <c r="L93" s="339">
        <f t="shared" si="2"/>
        <v>0</v>
      </c>
      <c r="O93" s="337"/>
      <c r="Q93" s="306"/>
    </row>
    <row r="94" spans="1:17" s="305" customFormat="1" ht="12" x14ac:dyDescent="0.25">
      <c r="B94" s="314">
        <v>3</v>
      </c>
      <c r="C94" s="338" t="s">
        <v>12</v>
      </c>
      <c r="D94" s="292">
        <f t="shared" si="1"/>
        <v>0</v>
      </c>
      <c r="E94" s="292">
        <f t="shared" si="1"/>
        <v>0</v>
      </c>
      <c r="G94" s="339">
        <f t="shared" si="2"/>
        <v>0</v>
      </c>
      <c r="H94" s="339">
        <f t="shared" si="2"/>
        <v>0</v>
      </c>
      <c r="I94" s="339">
        <f t="shared" si="2"/>
        <v>0</v>
      </c>
      <c r="J94" s="339">
        <f t="shared" si="2"/>
        <v>0</v>
      </c>
      <c r="K94" s="339">
        <f t="shared" si="2"/>
        <v>0</v>
      </c>
      <c r="L94" s="339">
        <f t="shared" si="2"/>
        <v>0</v>
      </c>
      <c r="O94" s="337"/>
      <c r="Q94" s="306"/>
    </row>
    <row r="95" spans="1:17" s="305" customFormat="1" ht="12" x14ac:dyDescent="0.25">
      <c r="B95" s="314">
        <v>4</v>
      </c>
      <c r="C95" s="338" t="s">
        <v>13</v>
      </c>
      <c r="D95" s="292">
        <f t="shared" si="1"/>
        <v>0</v>
      </c>
      <c r="E95" s="292">
        <f t="shared" si="1"/>
        <v>0</v>
      </c>
      <c r="G95" s="339">
        <f t="shared" si="2"/>
        <v>0</v>
      </c>
      <c r="H95" s="339">
        <f t="shared" si="2"/>
        <v>0</v>
      </c>
      <c r="I95" s="339">
        <f t="shared" si="2"/>
        <v>0</v>
      </c>
      <c r="J95" s="339">
        <f t="shared" si="2"/>
        <v>0</v>
      </c>
      <c r="K95" s="339">
        <f t="shared" si="2"/>
        <v>0</v>
      </c>
      <c r="L95" s="339">
        <f t="shared" si="2"/>
        <v>0</v>
      </c>
      <c r="O95" s="337"/>
      <c r="Q95" s="306"/>
    </row>
    <row r="96" spans="1:17" s="305" customFormat="1" ht="12" x14ac:dyDescent="0.25">
      <c r="B96" s="341">
        <v>5</v>
      </c>
      <c r="C96" s="342" t="s">
        <v>14</v>
      </c>
      <c r="D96" s="292">
        <f t="shared" si="1"/>
        <v>0</v>
      </c>
      <c r="E96" s="292">
        <f t="shared" si="1"/>
        <v>0</v>
      </c>
      <c r="G96" s="339">
        <f t="shared" si="2"/>
        <v>0</v>
      </c>
      <c r="H96" s="339">
        <f t="shared" si="2"/>
        <v>0</v>
      </c>
      <c r="I96" s="339">
        <f t="shared" si="2"/>
        <v>0</v>
      </c>
      <c r="J96" s="339">
        <f t="shared" si="2"/>
        <v>0</v>
      </c>
      <c r="K96" s="339">
        <f t="shared" si="2"/>
        <v>0</v>
      </c>
      <c r="L96" s="339">
        <f t="shared" si="2"/>
        <v>0</v>
      </c>
      <c r="O96" s="337"/>
      <c r="Q96" s="306"/>
    </row>
    <row r="97" spans="1:17" s="305" customFormat="1" ht="12.6" thickBot="1" x14ac:dyDescent="0.3">
      <c r="B97" s="324" t="s">
        <v>89</v>
      </c>
      <c r="C97" s="345" t="s">
        <v>113</v>
      </c>
      <c r="D97" s="297">
        <f t="shared" si="1"/>
        <v>0</v>
      </c>
      <c r="E97" s="297">
        <f t="shared" si="1"/>
        <v>0</v>
      </c>
      <c r="G97" s="346">
        <f t="shared" si="2"/>
        <v>0</v>
      </c>
      <c r="H97" s="346">
        <f t="shared" si="2"/>
        <v>0</v>
      </c>
      <c r="I97" s="346">
        <f t="shared" si="2"/>
        <v>0</v>
      </c>
      <c r="J97" s="346">
        <f t="shared" si="2"/>
        <v>0</v>
      </c>
      <c r="K97" s="346">
        <f t="shared" si="2"/>
        <v>0</v>
      </c>
      <c r="L97" s="346">
        <f t="shared" si="2"/>
        <v>0</v>
      </c>
      <c r="O97" s="337"/>
      <c r="Q97" s="306"/>
    </row>
    <row r="98" spans="1:17" s="305" customFormat="1" ht="12.6" thickBot="1" x14ac:dyDescent="0.3">
      <c r="B98" s="348"/>
      <c r="C98" s="349" t="s">
        <v>2</v>
      </c>
      <c r="D98" s="350">
        <f t="shared" si="1"/>
        <v>0</v>
      </c>
      <c r="E98" s="350">
        <f t="shared" si="1"/>
        <v>0</v>
      </c>
      <c r="F98" s="351"/>
      <c r="G98" s="350">
        <f t="shared" si="2"/>
        <v>0</v>
      </c>
      <c r="H98" s="350">
        <f t="shared" si="2"/>
        <v>0</v>
      </c>
      <c r="I98" s="350">
        <f t="shared" si="2"/>
        <v>0</v>
      </c>
      <c r="J98" s="350">
        <f t="shared" si="2"/>
        <v>0</v>
      </c>
      <c r="K98" s="350">
        <f t="shared" si="2"/>
        <v>0</v>
      </c>
      <c r="L98" s="350">
        <f t="shared" si="2"/>
        <v>0</v>
      </c>
      <c r="M98" s="351"/>
      <c r="N98" s="351"/>
      <c r="O98" s="352"/>
      <c r="P98" s="329"/>
      <c r="Q98" s="306"/>
    </row>
    <row r="99" spans="1:17" s="1" customFormat="1" ht="12" x14ac:dyDescent="0.25">
      <c r="B99" s="2"/>
      <c r="C99" s="2"/>
      <c r="D99" s="448"/>
      <c r="Q99" s="4"/>
    </row>
    <row r="100" spans="1:17" s="1" customFormat="1" ht="12" x14ac:dyDescent="0.25">
      <c r="B100" s="2"/>
      <c r="C100" s="2"/>
      <c r="D100" s="448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454"/>
      <c r="E101" s="454"/>
      <c r="F101" s="454"/>
      <c r="G101" s="454"/>
      <c r="H101" s="454"/>
      <c r="I101" s="454"/>
      <c r="J101" s="52"/>
      <c r="K101" s="454"/>
      <c r="L101" s="454"/>
      <c r="M101" s="454"/>
      <c r="N101" s="454"/>
      <c r="O101" s="454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E14" sqref="E14"/>
    </sheetView>
  </sheetViews>
  <sheetFormatPr baseColWidth="10" defaultRowHeight="13.2" x14ac:dyDescent="0.25"/>
  <cols>
    <col min="1" max="1" width="4.88671875" customWidth="1"/>
    <col min="2" max="2" width="10" customWidth="1"/>
    <col min="3" max="3" width="20.44140625" bestFit="1" customWidth="1"/>
    <col min="4" max="4" width="17.109375" customWidth="1"/>
    <col min="5" max="5" width="16.109375" customWidth="1"/>
    <col min="6" max="6" width="21" bestFit="1" customWidth="1"/>
  </cols>
  <sheetData>
    <row r="1" spans="2:9" ht="13.8" thickBot="1" x14ac:dyDescent="0.3"/>
    <row r="2" spans="2:9" ht="15" thickBot="1" x14ac:dyDescent="0.35">
      <c r="C2" s="526">
        <v>2026092</v>
      </c>
      <c r="D2" s="527" t="s">
        <v>223</v>
      </c>
      <c r="E2" s="527" t="s">
        <v>202</v>
      </c>
      <c r="F2" s="143"/>
      <c r="G2" s="143"/>
      <c r="H2" s="143"/>
      <c r="I2" s="143"/>
    </row>
    <row r="3" spans="2:9" ht="14.4" x14ac:dyDescent="0.3">
      <c r="B3" s="577">
        <v>0</v>
      </c>
      <c r="C3" s="537" t="s">
        <v>203</v>
      </c>
      <c r="D3" s="528">
        <v>0</v>
      </c>
      <c r="E3" s="538">
        <v>0</v>
      </c>
      <c r="F3" s="529"/>
      <c r="G3" s="143"/>
      <c r="H3" s="143"/>
      <c r="I3" s="143"/>
    </row>
    <row r="4" spans="2:9" ht="14.4" x14ac:dyDescent="0.3">
      <c r="B4" s="578">
        <v>0</v>
      </c>
      <c r="C4" s="539" t="s">
        <v>203</v>
      </c>
      <c r="D4" s="530">
        <v>0</v>
      </c>
      <c r="E4" s="540"/>
      <c r="F4" s="532"/>
      <c r="G4" s="143"/>
      <c r="H4" s="143"/>
      <c r="I4" s="143"/>
    </row>
    <row r="5" spans="2:9" ht="14.4" x14ac:dyDescent="0.3">
      <c r="B5" s="578">
        <v>0</v>
      </c>
      <c r="C5" s="541" t="s">
        <v>204</v>
      </c>
      <c r="D5" s="542">
        <v>0</v>
      </c>
      <c r="E5" s="543">
        <v>0</v>
      </c>
      <c r="F5" s="532"/>
      <c r="G5" s="143"/>
      <c r="H5" s="143"/>
      <c r="I5" s="143"/>
    </row>
    <row r="6" spans="2:9" ht="15" thickBot="1" x14ac:dyDescent="0.35">
      <c r="B6" s="579">
        <v>0</v>
      </c>
      <c r="C6" s="541" t="s">
        <v>204</v>
      </c>
      <c r="D6" s="542">
        <v>0</v>
      </c>
      <c r="E6" s="544"/>
      <c r="F6" s="532"/>
      <c r="G6" s="143"/>
      <c r="H6" s="143"/>
      <c r="I6" s="143"/>
    </row>
    <row r="7" spans="2:9" ht="14.4" x14ac:dyDescent="0.3">
      <c r="B7" t="s">
        <v>1</v>
      </c>
      <c r="C7" s="545" t="s">
        <v>339</v>
      </c>
      <c r="D7" s="546">
        <v>0</v>
      </c>
      <c r="E7" s="533">
        <f>SUM(D7:D9)</f>
        <v>0</v>
      </c>
      <c r="F7" s="534" t="b">
        <v>1</v>
      </c>
      <c r="G7" s="143"/>
      <c r="H7" s="143"/>
      <c r="I7" s="143"/>
    </row>
    <row r="8" spans="2:9" ht="14.4" x14ac:dyDescent="0.3">
      <c r="C8" s="545" t="s">
        <v>326</v>
      </c>
      <c r="D8" s="546">
        <v>0</v>
      </c>
      <c r="E8" s="758"/>
      <c r="F8" s="534"/>
      <c r="G8" s="143"/>
      <c r="H8" s="143"/>
      <c r="I8" s="143"/>
    </row>
    <row r="9" spans="2:9" ht="14.4" x14ac:dyDescent="0.3">
      <c r="B9" t="s">
        <v>1</v>
      </c>
      <c r="C9" s="545" t="s">
        <v>205</v>
      </c>
      <c r="D9" s="546">
        <v>0</v>
      </c>
      <c r="E9" s="531"/>
      <c r="F9" s="532"/>
      <c r="G9" s="143"/>
      <c r="H9" s="143"/>
      <c r="I9" s="143"/>
    </row>
    <row r="10" spans="2:9" ht="15" thickBot="1" x14ac:dyDescent="0.35">
      <c r="C10" s="547" t="s">
        <v>206</v>
      </c>
      <c r="D10" s="535">
        <v>0</v>
      </c>
      <c r="E10" s="535">
        <f>SUM(D10)</f>
        <v>0</v>
      </c>
      <c r="F10" s="536">
        <f>E7+E10</f>
        <v>0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202609-2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DetRetri2026092</vt:lpstr>
      <vt:lpstr>DetValiRetri2026092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2026-10-26T22:35:25Z</dcterms:modified>
</cp:coreProperties>
</file>