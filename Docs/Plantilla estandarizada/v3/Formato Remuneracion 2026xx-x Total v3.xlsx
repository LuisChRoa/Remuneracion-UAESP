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FC4E2474-8DF6-4680-AFB7-1A8101EC0014}" xr6:coauthVersionLast="46" xr6:coauthVersionMax="47" xr10:uidLastSave="{00000000-0000-0000-0000-000000000000}"/>
  <bookViews>
    <workbookView xWindow="-120" yWindow="-120" windowWidth="20730" windowHeight="11160" tabRatio="780" firstSheet="13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2" sheetId="93" r:id="rId36"/>
    <sheet name="DetValiRetri202609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R382" i="61" l="1"/>
  <c r="Q382" i="61"/>
  <c r="P382" i="61"/>
  <c r="O382" i="61"/>
  <c r="N382" i="61"/>
  <c r="M382" i="61"/>
  <c r="L382" i="61"/>
  <c r="K382" i="61"/>
  <c r="J382" i="61"/>
  <c r="I382" i="61"/>
  <c r="H382" i="61"/>
  <c r="G382" i="61"/>
  <c r="F382" i="61"/>
  <c r="E382" i="61"/>
  <c r="D383" i="61"/>
  <c r="D382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D89" i="61"/>
  <c r="D88" i="61"/>
  <c r="E85" i="61"/>
  <c r="D86" i="61"/>
  <c r="D85" i="61"/>
  <c r="E79" i="61"/>
  <c r="D80" i="61"/>
  <c r="D79" i="61"/>
  <c r="E63" i="59"/>
  <c r="E57" i="59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7" i="55"/>
  <c r="F106" i="55"/>
  <c r="F514" i="55"/>
  <c r="F496" i="55"/>
  <c r="F494" i="55"/>
  <c r="F353" i="55"/>
  <c r="F328" i="55"/>
  <c r="G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E520" i="59"/>
  <c r="E519" i="59"/>
  <c r="F516" i="59"/>
  <c r="E517" i="59"/>
  <c r="E516" i="59"/>
  <c r="F510" i="59"/>
  <c r="E510" i="59"/>
  <c r="E429" i="59"/>
  <c r="E426" i="59"/>
  <c r="E430" i="59"/>
  <c r="F426" i="59"/>
  <c r="E427" i="59"/>
  <c r="F423" i="59"/>
  <c r="E424" i="59"/>
  <c r="E423" i="59"/>
  <c r="E311" i="59"/>
  <c r="F305" i="59"/>
  <c r="E306" i="59"/>
  <c r="E305" i="59"/>
  <c r="F299" i="59"/>
  <c r="E300" i="59"/>
  <c r="E299" i="59"/>
  <c r="E190" i="59"/>
  <c r="F184" i="59"/>
  <c r="E184" i="59"/>
  <c r="F181" i="59"/>
  <c r="E182" i="59"/>
  <c r="E181" i="59"/>
  <c r="F178" i="59"/>
  <c r="E179" i="59"/>
  <c r="E178" i="59"/>
  <c r="F66" i="59"/>
  <c r="E67" i="59"/>
  <c r="E66" i="59"/>
  <c r="F63" i="59"/>
  <c r="E64" i="59"/>
  <c r="F57" i="59"/>
  <c r="E58" i="59"/>
  <c r="F833" i="55" l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2" i="55"/>
  <c r="F831" i="55"/>
  <c r="G828" i="55"/>
  <c r="F829" i="55"/>
  <c r="F828" i="55"/>
  <c r="G826" i="55"/>
  <c r="F826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4" i="55"/>
  <c r="F823" i="55"/>
  <c r="G821" i="55"/>
  <c r="F821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F822" i="55"/>
  <c r="G813" i="55"/>
  <c r="G811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F814" i="55"/>
  <c r="F813" i="55"/>
  <c r="F714" i="55"/>
  <c r="G712" i="55"/>
  <c r="F713" i="55"/>
  <c r="F712" i="55"/>
  <c r="G704" i="55"/>
  <c r="F705" i="55"/>
  <c r="F704" i="55"/>
  <c r="G702" i="55"/>
  <c r="F703" i="55"/>
  <c r="F702" i="55"/>
  <c r="G699" i="55"/>
  <c r="F700" i="55"/>
  <c r="F699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8" i="55"/>
  <c r="F697" i="55"/>
  <c r="G694" i="55"/>
  <c r="F694" i="55"/>
  <c r="G692" i="55"/>
  <c r="F693" i="55"/>
  <c r="F692" i="55"/>
  <c r="G328" i="55"/>
  <c r="G325" i="55"/>
  <c r="F326" i="55"/>
  <c r="F325" i="55"/>
  <c r="F324" i="55"/>
  <c r="F323" i="55"/>
  <c r="F484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343" i="55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G333" i="55"/>
  <c r="F334" i="55"/>
  <c r="F333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1" i="55"/>
  <c r="F330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F329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833" i="55" l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F827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F812" i="55"/>
  <c r="F811" i="55"/>
  <c r="F99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G89" i="55"/>
  <c r="F90" i="55"/>
  <c r="F89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101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F834" i="55"/>
  <c r="F10" i="92"/>
  <c r="E10" i="92"/>
  <c r="E7" i="92"/>
  <c r="L14" i="22"/>
  <c r="L10" i="22"/>
  <c r="L11" i="22"/>
  <c r="L12" i="22"/>
  <c r="L13" i="22"/>
  <c r="L9" i="22"/>
  <c r="D10" i="68"/>
  <c r="C11" i="68"/>
  <c r="C10" i="68"/>
  <c r="R385" i="61"/>
  <c r="Q385" i="61"/>
  <c r="P385" i="61"/>
  <c r="O385" i="61"/>
  <c r="N385" i="61"/>
  <c r="M385" i="61"/>
  <c r="L385" i="61"/>
  <c r="K385" i="61"/>
  <c r="J385" i="61"/>
  <c r="I385" i="61"/>
  <c r="H385" i="61"/>
  <c r="G385" i="61"/>
  <c r="F385" i="61"/>
  <c r="E385" i="61"/>
  <c r="D386" i="61"/>
  <c r="D385" i="61"/>
  <c r="E379" i="61"/>
  <c r="D380" i="61"/>
  <c r="D379" i="61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R229" i="61"/>
  <c r="Q229" i="61"/>
  <c r="P229" i="61"/>
  <c r="O229" i="61"/>
  <c r="N229" i="61"/>
  <c r="M229" i="61"/>
  <c r="L229" i="61"/>
  <c r="K229" i="61"/>
  <c r="J229" i="61"/>
  <c r="I229" i="61"/>
  <c r="H229" i="61"/>
  <c r="G229" i="61"/>
  <c r="F229" i="61"/>
  <c r="E229" i="61"/>
  <c r="D230" i="61"/>
  <c r="D229" i="61"/>
  <c r="D224" i="61"/>
  <c r="E223" i="61"/>
  <c r="D223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186" i="61"/>
  <c r="D187" i="61"/>
  <c r="D186" i="61"/>
  <c r="E183" i="61"/>
  <c r="D184" i="61"/>
  <c r="D183" i="61"/>
  <c r="D181" i="61"/>
  <c r="E180" i="61"/>
  <c r="D180" i="61"/>
  <c r="E91" i="61"/>
  <c r="D92" i="61"/>
  <c r="D91" i="61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695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7" i="55"/>
  <c r="F506" i="55"/>
  <c r="F504" i="55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7" i="55"/>
  <c r="G494" i="55"/>
  <c r="F495" i="55"/>
  <c r="G486" i="55"/>
  <c r="F486" i="55"/>
  <c r="G484" i="55"/>
  <c r="F485" i="55"/>
  <c r="F101" i="55"/>
  <c r="G91" i="55"/>
  <c r="F91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2" i="55"/>
  <c r="F111" i="55"/>
  <c r="G109" i="55"/>
  <c r="F110" i="55"/>
  <c r="F109" i="55"/>
  <c r="F102" i="55"/>
  <c r="G99" i="55"/>
  <c r="F100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F92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C37" i="68"/>
  <c r="D36" i="68"/>
  <c r="C36" i="68"/>
  <c r="D345" i="61"/>
  <c r="E344" i="61"/>
  <c r="D344" i="61"/>
  <c r="E338" i="61"/>
  <c r="D339" i="61"/>
  <c r="D338" i="61"/>
  <c r="E335" i="61"/>
  <c r="D336" i="61"/>
  <c r="D335" i="61"/>
  <c r="E332" i="61"/>
  <c r="D333" i="61"/>
  <c r="D332" i="61"/>
  <c r="E192" i="61"/>
  <c r="D193" i="61"/>
  <c r="D192" i="61"/>
  <c r="R183" i="61"/>
  <c r="Q183" i="61"/>
  <c r="P183" i="61"/>
  <c r="O183" i="61"/>
  <c r="N183" i="61"/>
  <c r="M183" i="61"/>
  <c r="L183" i="61"/>
  <c r="K183" i="61"/>
  <c r="J183" i="61"/>
  <c r="I183" i="61"/>
  <c r="H183" i="61"/>
  <c r="G183" i="61"/>
  <c r="F183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91" i="61"/>
  <c r="Q91" i="61"/>
  <c r="P91" i="61"/>
  <c r="O91" i="61"/>
  <c r="N91" i="61"/>
  <c r="M91" i="61"/>
  <c r="L91" i="61"/>
  <c r="K91" i="61"/>
  <c r="J91" i="61"/>
  <c r="I91" i="61"/>
  <c r="H91" i="61"/>
  <c r="G91" i="61"/>
  <c r="F91" i="61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E435" i="59"/>
  <c r="G504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F487" i="55"/>
  <c r="F336" i="55"/>
  <c r="H17" i="62"/>
  <c r="R31" i="95"/>
  <c r="R30" i="95"/>
  <c r="R29" i="95"/>
  <c r="R28" i="95"/>
  <c r="R27" i="95"/>
  <c r="R26" i="95"/>
  <c r="O49" i="68"/>
  <c r="O62" i="68"/>
  <c r="P510" i="59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5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J704" i="55"/>
  <c r="I704" i="55"/>
  <c r="H704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6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R344" i="61"/>
  <c r="Q344" i="61"/>
  <c r="P344" i="61"/>
  <c r="O344" i="61"/>
  <c r="N344" i="61"/>
  <c r="M344" i="61"/>
  <c r="L344" i="61"/>
  <c r="K344" i="61"/>
  <c r="J344" i="61"/>
  <c r="I344" i="61"/>
  <c r="H344" i="61"/>
  <c r="G344" i="61"/>
  <c r="F344" i="61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F841" i="55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U514" i="55"/>
  <c r="V514" i="55"/>
  <c r="W514" i="55"/>
  <c r="X514" i="55"/>
  <c r="Y514" i="55"/>
  <c r="Z514" i="55"/>
  <c r="D23" i="68"/>
  <c r="C24" i="68"/>
  <c r="C23" i="68"/>
  <c r="E69" i="59"/>
  <c r="AC50" i="79" l="1"/>
  <c r="F3" i="64"/>
  <c r="R335" i="61"/>
  <c r="Q335" i="61"/>
  <c r="P335" i="61"/>
  <c r="O335" i="61"/>
  <c r="N335" i="61"/>
  <c r="M335" i="61"/>
  <c r="L335" i="61"/>
  <c r="K335" i="61"/>
  <c r="J335" i="61"/>
  <c r="I335" i="61"/>
  <c r="H335" i="61"/>
  <c r="G335" i="61"/>
  <c r="F335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511" i="59" l="1"/>
  <c r="F311" i="59"/>
  <c r="E312" i="59"/>
  <c r="F190" i="59"/>
  <c r="E191" i="59"/>
  <c r="E185" i="59"/>
  <c r="E70" i="59"/>
  <c r="F69" i="59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F3" i="70"/>
  <c r="D31" i="66"/>
  <c r="D33" i="71" l="1"/>
  <c r="R192" i="61" l="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C67" i="62"/>
  <c r="AC50" i="22" l="1"/>
  <c r="L13" i="79"/>
  <c r="L10" i="79"/>
  <c r="L11" i="79"/>
  <c r="L12" i="79"/>
  <c r="O36" i="68"/>
  <c r="O23" i="68"/>
  <c r="O10" i="68"/>
  <c r="L826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R519" i="59"/>
  <c r="Q519" i="59"/>
  <c r="P519" i="59"/>
  <c r="O519" i="59"/>
  <c r="N519" i="59"/>
  <c r="M519" i="59"/>
  <c r="L519" i="59"/>
  <c r="K519" i="59"/>
  <c r="J519" i="59"/>
  <c r="I519" i="59"/>
  <c r="H519" i="59"/>
  <c r="G519" i="59"/>
  <c r="F519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K826" i="55"/>
  <c r="J826" i="55"/>
  <c r="I826" i="55"/>
  <c r="H826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I178" i="59"/>
  <c r="R178" i="59"/>
  <c r="Q178" i="59"/>
  <c r="P178" i="59"/>
  <c r="O178" i="59"/>
  <c r="N178" i="59"/>
  <c r="M178" i="59"/>
  <c r="L178" i="59"/>
  <c r="K178" i="59"/>
  <c r="J178" i="59"/>
  <c r="H178" i="59"/>
  <c r="G178" i="59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AB11" i="97"/>
  <c r="AD11" i="97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505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522" i="59"/>
  <c r="Q522" i="59"/>
  <c r="P522" i="59"/>
  <c r="O522" i="59"/>
  <c r="N522" i="59"/>
  <c r="M522" i="59"/>
  <c r="L522" i="59"/>
  <c r="K522" i="59"/>
  <c r="J522" i="59"/>
  <c r="I522" i="59"/>
  <c r="H522" i="59"/>
  <c r="G522" i="59"/>
  <c r="F522" i="59"/>
  <c r="E523" i="59"/>
  <c r="E522" i="59"/>
  <c r="R510" i="59"/>
  <c r="Q510" i="59"/>
  <c r="O510" i="59"/>
  <c r="N510" i="59"/>
  <c r="M510" i="59"/>
  <c r="L510" i="59"/>
  <c r="K510" i="59"/>
  <c r="J510" i="59"/>
  <c r="I510" i="59"/>
  <c r="H510" i="59"/>
  <c r="G510" i="59"/>
  <c r="AF14" i="97" l="1"/>
  <c r="AG9" i="97"/>
  <c r="E393" i="61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AH9" i="97" l="1"/>
  <c r="AG14" i="97"/>
  <c r="AH14" i="97" s="1"/>
  <c r="S69" i="59" l="1"/>
  <c r="R69" i="59"/>
  <c r="Q69" i="59"/>
  <c r="P69" i="59"/>
  <c r="O69" i="59"/>
  <c r="N69" i="59"/>
  <c r="M69" i="59"/>
  <c r="L69" i="59"/>
  <c r="K69" i="59"/>
  <c r="J69" i="59"/>
  <c r="I69" i="59"/>
  <c r="H69" i="59"/>
  <c r="G69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AB68" i="97" l="1"/>
  <c r="J127" i="97"/>
  <c r="G144" i="97"/>
  <c r="K68" i="97"/>
  <c r="M68" i="97" s="1"/>
  <c r="O68" i="97" s="1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79" i="61"/>
  <c r="Q379" i="61"/>
  <c r="P379" i="61"/>
  <c r="O379" i="61"/>
  <c r="N379" i="61"/>
  <c r="M379" i="61"/>
  <c r="L379" i="61"/>
  <c r="K379" i="61"/>
  <c r="J379" i="61"/>
  <c r="I379" i="61"/>
  <c r="H379" i="61"/>
  <c r="G379" i="61"/>
  <c r="F379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93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94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93" i="61"/>
  <c r="Q393" i="61"/>
  <c r="P393" i="61"/>
  <c r="O393" i="61"/>
  <c r="N393" i="61"/>
  <c r="M393" i="61"/>
  <c r="L393" i="61"/>
  <c r="K393" i="61"/>
  <c r="J393" i="61"/>
  <c r="I393" i="61"/>
  <c r="H393" i="61"/>
  <c r="G393" i="61"/>
  <c r="F393" i="61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34" i="36" l="1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<sst xmlns="http://schemas.openxmlformats.org/spreadsheetml/2006/main" count="7999" uniqueCount="345">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</sst>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3.5" thickBot="1" x14ac:dyDescent="0.25"/>
    <row r="2" spans="2:13" s="102" customFormat="1" ht="13.5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5" thickBot="1" x14ac:dyDescent="0.25">
      <c r="C8" s="182" t="s">
        <v>89</v>
      </c>
      <c r="D8" s="183"/>
      <c r="E8" s="184"/>
      <c r="F8" s="184"/>
      <c r="G8" s="185"/>
      <c r="J8" s="728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5" thickBot="1" x14ac:dyDescent="0.25"/>
    <row r="11" spans="2:13" s="102" customFormat="1" ht="13.5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5" thickBot="1" x14ac:dyDescent="0.25">
      <c r="C17" s="182" t="s">
        <v>89</v>
      </c>
      <c r="D17" s="183"/>
      <c r="E17" s="184"/>
      <c r="F17" s="184"/>
      <c r="G17" s="185"/>
    </row>
    <row r="18" spans="1:11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3.5" thickBot="1" x14ac:dyDescent="0.25"/>
    <row r="20" spans="1:11" ht="13.5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2578125" defaultRowHeight="12.75" x14ac:dyDescent="0.2"/>
  <cols>
    <col min="1" max="1" width="2.140625" style="213" customWidth="1"/>
    <col min="2" max="2" width="25" style="213" bestFit="1" customWidth="1"/>
    <col min="3" max="3" width="4.85546875" style="213" bestFit="1" customWidth="1"/>
    <col min="4" max="4" width="13.85546875" style="167" bestFit="1" customWidth="1"/>
    <col min="5" max="5" width="19" style="167" bestFit="1" customWidth="1"/>
    <col min="6" max="6" width="13.85546875" style="167" bestFit="1" customWidth="1"/>
    <col min="7" max="7" width="19" style="167" bestFit="1" customWidth="1"/>
    <col min="8" max="8" width="3.85546875" style="167" customWidth="1"/>
    <col min="9" max="9" width="20" style="167" bestFit="1" customWidth="1"/>
    <col min="10" max="10" width="26.5703125" style="167" bestFit="1" customWidth="1"/>
    <col min="11" max="13" width="19.85546875" style="167" customWidth="1"/>
    <col min="14" max="16384" width="11.42578125" style="213"/>
  </cols>
  <sheetData>
    <row r="1" spans="2:13" ht="13.5" thickBot="1" x14ac:dyDescent="0.25"/>
    <row r="2" spans="2:13" s="214" customFormat="1" ht="13.5" thickBot="1" x14ac:dyDescent="0.2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183"/>
      <c r="E8" s="184"/>
      <c r="F8" s="184"/>
      <c r="G8" s="185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/>
    <row r="11" spans="2:13" s="214" customFormat="1" ht="13.5" thickBot="1" x14ac:dyDescent="0.2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82" t="s">
        <v>89</v>
      </c>
      <c r="D17" s="183"/>
      <c r="E17" s="184"/>
      <c r="F17" s="184"/>
      <c r="G17" s="185"/>
    </row>
    <row r="18" spans="1:13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3" ht="13.5" thickBot="1" x14ac:dyDescent="0.25"/>
    <row r="20" spans="1:13" ht="13.5" thickBot="1" x14ac:dyDescent="0.2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2578125" defaultRowHeight="12.75" x14ac:dyDescent="0.2"/>
  <cols>
    <col min="1" max="1" width="2.140625" style="166" customWidth="1"/>
    <col min="2" max="2" width="12.85546875" style="166" bestFit="1" customWidth="1"/>
    <col min="3" max="3" width="7.140625" style="166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  <col min="14" max="16384" width="11.42578125" style="166"/>
  </cols>
  <sheetData>
    <row r="1" spans="2:13" ht="13.5" thickBot="1" x14ac:dyDescent="0.25"/>
    <row r="2" spans="2:13" s="168" customFormat="1" ht="13.5" thickBot="1" x14ac:dyDescent="0.2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>
      <c r="D10" s="280"/>
    </row>
    <row r="11" spans="2:13" s="168" customFormat="1" ht="13.5" thickBot="1" x14ac:dyDescent="0.2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25">
      <c r="D18" s="198">
        <v>0</v>
      </c>
      <c r="E18" s="198">
        <v>0</v>
      </c>
      <c r="F18" s="198">
        <v>0</v>
      </c>
      <c r="G18" s="198">
        <v>0</v>
      </c>
    </row>
    <row r="19" spans="1:13" ht="13.5" thickBot="1" x14ac:dyDescent="0.25"/>
    <row r="20" spans="1:13" ht="13.5" thickBot="1" x14ac:dyDescent="0.2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2.75" x14ac:dyDescent="0.2"/>
  <cols>
    <col min="1" max="1" width="6" customWidth="1"/>
    <col min="2" max="2" width="47.85546875" bestFit="1" customWidth="1"/>
    <col min="3" max="9" width="22.7109375" customWidth="1"/>
    <col min="10" max="10" width="17.85546875" customWidth="1"/>
  </cols>
  <sheetData>
    <row r="1" spans="1:10" x14ac:dyDescent="0.2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">
      <c r="B10" s="97" t="s">
        <v>99</v>
      </c>
      <c r="H10" s="212"/>
    </row>
    <row r="11" spans="1:10" x14ac:dyDescent="0.2">
      <c r="B11" s="114" t="s">
        <v>96</v>
      </c>
    </row>
    <row r="12" spans="1:10" x14ac:dyDescent="0.2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">
      <c r="B18" s="89"/>
      <c r="C18" s="113"/>
      <c r="D18" s="113"/>
      <c r="E18" s="113"/>
      <c r="F18" s="113"/>
      <c r="G18" s="113"/>
      <c r="H18" s="113"/>
      <c r="I18" s="113"/>
    </row>
    <row r="19" spans="2:11" x14ac:dyDescent="0.2">
      <c r="C19" s="143"/>
      <c r="D19" s="212"/>
      <c r="I19" s="212"/>
    </row>
    <row r="20" spans="2:11" x14ac:dyDescent="0.2">
      <c r="B20" t="s">
        <v>100</v>
      </c>
    </row>
    <row r="21" spans="2:11" x14ac:dyDescent="0.2">
      <c r="B21" s="114" t="s">
        <v>96</v>
      </c>
    </row>
    <row r="22" spans="2:11" x14ac:dyDescent="0.2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">
      <c r="B29" t="s">
        <v>101</v>
      </c>
      <c r="H29" s="212"/>
      <c r="I29" s="212"/>
    </row>
    <row r="30" spans="2:11" x14ac:dyDescent="0.2">
      <c r="B30" s="114" t="s">
        <v>96</v>
      </c>
    </row>
    <row r="31" spans="2:11" x14ac:dyDescent="0.2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">
      <c r="B38" t="s">
        <v>102</v>
      </c>
    </row>
    <row r="39" spans="2:10" x14ac:dyDescent="0.2">
      <c r="B39" s="114" t="s">
        <v>96</v>
      </c>
    </row>
    <row r="40" spans="2:10" x14ac:dyDescent="0.2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">
      <c r="B46" s="89"/>
      <c r="C46" s="113"/>
      <c r="D46" s="113"/>
      <c r="E46" s="113"/>
      <c r="F46" s="113"/>
      <c r="G46" s="113"/>
      <c r="H46" s="113"/>
    </row>
    <row r="47" spans="2:10" x14ac:dyDescent="0.2">
      <c r="F47" s="212"/>
      <c r="G47" s="212"/>
    </row>
    <row r="48" spans="2:10" x14ac:dyDescent="0.2">
      <c r="B48" t="s">
        <v>103</v>
      </c>
    </row>
    <row r="49" spans="2:10" x14ac:dyDescent="0.2">
      <c r="B49" s="114" t="s">
        <v>96</v>
      </c>
    </row>
    <row r="50" spans="2:10" x14ac:dyDescent="0.2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">
      <c r="H57" s="212"/>
      <c r="I57" s="212"/>
    </row>
    <row r="58" spans="2:10" x14ac:dyDescent="0.2">
      <c r="F58" s="212"/>
      <c r="G58" s="212"/>
      <c r="H58" s="212"/>
      <c r="I58" s="212"/>
    </row>
    <row r="59" spans="2:10" x14ac:dyDescent="0.2">
      <c r="B59" s="743" t="s">
        <v>333</v>
      </c>
      <c r="C59" s="209">
        <v>2</v>
      </c>
      <c r="D59" s="744" t="s">
        <v>334</v>
      </c>
      <c r="H59" s="167"/>
    </row>
    <row r="60" spans="2:10" x14ac:dyDescent="0.2">
      <c r="H60" s="212"/>
    </row>
    <row r="61" spans="2:10" x14ac:dyDescent="0.2">
      <c r="B61" t="s">
        <v>1</v>
      </c>
      <c r="C61" s="143"/>
      <c r="E61" s="142"/>
    </row>
    <row r="62" spans="2:10" x14ac:dyDescent="0.2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">
      <c r="C74" s="167"/>
    </row>
    <row r="75" spans="2:7" x14ac:dyDescent="0.2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2.75" x14ac:dyDescent="0.2"/>
  <cols>
    <col min="1" max="1" width="3.42578125" customWidth="1"/>
    <col min="2" max="2" width="20.85546875" bestFit="1" customWidth="1"/>
    <col min="3" max="3" width="13.140625" bestFit="1" customWidth="1"/>
    <col min="4" max="6" width="12.85546875" bestFit="1" customWidth="1"/>
    <col min="7" max="7" width="12.5703125" customWidth="1"/>
    <col min="8" max="14" width="12.85546875" bestFit="1" customWidth="1"/>
    <col min="16" max="16" width="12.85546875" bestFit="1" customWidth="1"/>
  </cols>
  <sheetData>
    <row r="1" spans="1:16" ht="13.5" thickBot="1" x14ac:dyDescent="0.25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5" thickBot="1" x14ac:dyDescent="0.25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5" thickBot="1" x14ac:dyDescent="0.25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5" x14ac:dyDescent="0.25">
      <c r="B8" s="208" t="s">
        <v>148</v>
      </c>
      <c r="C8" s="209"/>
    </row>
    <row r="9" spans="1:16" x14ac:dyDescent="0.2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">
      <c r="E14" s="212"/>
    </row>
    <row r="16" spans="1:16" ht="15" x14ac:dyDescent="0.25">
      <c r="B16" s="208" t="s">
        <v>153</v>
      </c>
      <c r="C16" s="209"/>
    </row>
    <row r="17" spans="2:14" x14ac:dyDescent="0.2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5" x14ac:dyDescent="0.25">
      <c r="B24" s="208" t="s">
        <v>154</v>
      </c>
      <c r="C24" s="209"/>
    </row>
    <row r="25" spans="2:14" x14ac:dyDescent="0.2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">
      <c r="B32" s="209" t="s">
        <v>155</v>
      </c>
    </row>
    <row r="33" spans="2:14" x14ac:dyDescent="0.2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">
      <c r="L39" s="212"/>
    </row>
    <row r="40" spans="2:14" x14ac:dyDescent="0.2">
      <c r="B40" s="742" t="s">
        <v>326</v>
      </c>
    </row>
    <row r="41" spans="2:14" x14ac:dyDescent="0.2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85546875" bestFit="1" customWidth="1"/>
    <col min="4" max="4" width="1.85546875" style="238" customWidth="1"/>
    <col min="5" max="5" width="14.85546875" customWidth="1"/>
    <col min="6" max="6" width="15.85546875" bestFit="1" customWidth="1"/>
    <col min="7" max="7" width="1.85546875" style="238" customWidth="1"/>
    <col min="8" max="8" width="9.140625" customWidth="1"/>
    <col min="9" max="9" width="15.85546875" bestFit="1" customWidth="1"/>
    <col min="10" max="10" width="1.85546875" style="238" customWidth="1"/>
    <col min="11" max="11" width="14.140625" customWidth="1"/>
    <col min="12" max="12" width="17.42578125" customWidth="1"/>
    <col min="13" max="13" width="1.85546875" style="238" customWidth="1"/>
    <col min="14" max="14" width="14.140625" customWidth="1"/>
    <col min="15" max="15" width="17.42578125" customWidth="1"/>
    <col min="16" max="16" width="1.85546875" style="238" customWidth="1"/>
    <col min="17" max="17" width="20.140625" customWidth="1"/>
    <col min="18" max="18" width="15.85546875" bestFit="1" customWidth="1"/>
    <col min="19" max="19" width="3.5703125" customWidth="1"/>
    <col min="20" max="20" width="48.42578125" bestFit="1" customWidth="1"/>
  </cols>
  <sheetData>
    <row r="1" spans="2:20" ht="13.5" thickBot="1" x14ac:dyDescent="0.25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75" thickBot="1" x14ac:dyDescent="0.25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5" thickBot="1" x14ac:dyDescent="0.25"/>
    <row r="11" spans="2:20" ht="48.75" thickBot="1" x14ac:dyDescent="0.25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5" thickBot="1" x14ac:dyDescent="0.25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5" thickBot="1" x14ac:dyDescent="0.25"/>
    <row r="20" spans="2:20" ht="36.75" thickBot="1" x14ac:dyDescent="0.25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5" thickBot="1" x14ac:dyDescent="0.25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2.75" x14ac:dyDescent="0.2"/>
  <cols>
    <col min="3" max="3" width="11.42578125" style="123"/>
    <col min="4" max="4" width="19.140625" customWidth="1"/>
    <col min="5" max="5" width="18.140625" customWidth="1"/>
    <col min="6" max="7" width="18" customWidth="1"/>
    <col min="8" max="8" width="27.85546875" customWidth="1"/>
    <col min="9" max="9" width="33.5703125" customWidth="1"/>
    <col min="13" max="13" width="28.42578125" customWidth="1"/>
    <col min="17" max="17" width="12.85546875" bestFit="1" customWidth="1"/>
  </cols>
  <sheetData>
    <row r="1" spans="1:17" ht="13.5" thickBot="1" x14ac:dyDescent="0.25">
      <c r="H1" s="503" t="s">
        <v>1</v>
      </c>
    </row>
    <row r="2" spans="1:17" ht="15.75" thickBot="1" x14ac:dyDescent="0.3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DetRetri2026092!J9</f>
        <v>0</v>
      </c>
      <c r="I3" s="276">
        <f>F3-H3</f>
        <v>0</v>
      </c>
    </row>
    <row r="4" spans="1:17" x14ac:dyDescent="0.2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DetRetri2026092!J10</f>
        <v>0</v>
      </c>
      <c r="I4" s="276">
        <f t="shared" ref="I4:I7" si="0">F4-H4</f>
        <v>0</v>
      </c>
    </row>
    <row r="5" spans="1:17" x14ac:dyDescent="0.2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DetRetri2026092!J11</f>
        <v>0</v>
      </c>
      <c r="I5" s="276">
        <f t="shared" si="0"/>
        <v>0</v>
      </c>
    </row>
    <row r="6" spans="1:17" x14ac:dyDescent="0.2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DetRetri2026092!J12</f>
        <v>0</v>
      </c>
      <c r="I6" s="276">
        <f t="shared" si="0"/>
        <v>0</v>
      </c>
    </row>
    <row r="7" spans="1:17" ht="13.5" thickBot="1" x14ac:dyDescent="0.25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DetRetri2026092!J13</f>
        <v>0</v>
      </c>
      <c r="I7" s="276">
        <f t="shared" si="0"/>
        <v>0</v>
      </c>
    </row>
    <row r="8" spans="1:17" ht="13.5" thickBot="1" x14ac:dyDescent="0.25">
      <c r="D8" s="144"/>
      <c r="E8" s="144"/>
      <c r="F8" s="144"/>
      <c r="G8" s="500"/>
      <c r="H8" s="143"/>
      <c r="I8" s="276"/>
    </row>
    <row r="9" spans="1:17" ht="13.5" thickBot="1" x14ac:dyDescent="0.25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5" thickBot="1" x14ac:dyDescent="0.25">
      <c r="D10" s="144"/>
      <c r="E10" s="144"/>
      <c r="F10" s="144"/>
      <c r="G10" s="500"/>
      <c r="H10" s="265" t="b">
        <f>H9=DetRetri2026092!J14</f>
        <v>1</v>
      </c>
    </row>
    <row r="11" spans="1:17" ht="13.5" thickBot="1" x14ac:dyDescent="0.25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">
      <c r="D12" s="144"/>
      <c r="E12" s="144"/>
      <c r="F12" s="265" t="b">
        <f>ROUND(F11,2)=ROUND(F9,2)</f>
        <v>1</v>
      </c>
      <c r="H12" s="144"/>
    </row>
    <row r="13" spans="1:17" x14ac:dyDescent="0.2">
      <c r="D13" s="144"/>
      <c r="E13" s="144"/>
      <c r="F13" s="595">
        <f>ROUND(F11,2)-ROUND(F9,2)</f>
        <v>0</v>
      </c>
      <c r="G13" s="500"/>
      <c r="H13" s="144"/>
    </row>
    <row r="14" spans="1:17" x14ac:dyDescent="0.2">
      <c r="H14" s="143"/>
      <c r="I14" s="137"/>
    </row>
    <row r="15" spans="1:17" x14ac:dyDescent="0.2">
      <c r="H15" s="143"/>
      <c r="I15" s="137"/>
    </row>
    <row r="16" spans="1:17" x14ac:dyDescent="0.2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5" thickBot="1" x14ac:dyDescent="0.25">
      <c r="D17" s="266"/>
      <c r="E17" s="266"/>
      <c r="F17" s="266"/>
      <c r="G17" s="266"/>
      <c r="H17" s="143"/>
      <c r="I17" s="137"/>
    </row>
    <row r="18" spans="4:9" ht="15.75" thickBot="1" x14ac:dyDescent="0.3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5" thickBot="1" x14ac:dyDescent="0.25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5" thickBot="1" x14ac:dyDescent="0.25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">
      <c r="F26" s="137"/>
    </row>
    <row r="28" spans="4:9" x14ac:dyDescent="0.2">
      <c r="F28" s="266"/>
    </row>
    <row r="29" spans="4:9" x14ac:dyDescent="0.2">
      <c r="F29" s="266"/>
    </row>
    <row r="30" spans="4:9" x14ac:dyDescent="0.2">
      <c r="F30" s="266"/>
    </row>
    <row r="31" spans="4:9" x14ac:dyDescent="0.2">
      <c r="F31" s="266"/>
    </row>
    <row r="32" spans="4:9" x14ac:dyDescent="0.2">
      <c r="F32" s="266"/>
    </row>
    <row r="33" spans="6:7" x14ac:dyDescent="0.2">
      <c r="F33" s="266"/>
    </row>
    <row r="34" spans="6:7" x14ac:dyDescent="0.2">
      <c r="F34" s="266"/>
      <c r="G34" s="137"/>
    </row>
    <row r="35" spans="6:7" x14ac:dyDescent="0.2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C25" sqref="C25"/>
    </sheetView>
  </sheetViews>
  <sheetFormatPr baseColWidth="10" defaultRowHeight="12.75" x14ac:dyDescent="0.2"/>
  <cols>
    <col min="1" max="1" width="13.85546875" customWidth="1"/>
    <col min="2" max="2" width="16.85546875" customWidth="1"/>
    <col min="3" max="3" width="15.85546875" bestFit="1" customWidth="1"/>
    <col min="4" max="4" width="16.85546875" bestFit="1" customWidth="1"/>
    <col min="5" max="5" width="17" bestFit="1" customWidth="1"/>
    <col min="6" max="6" width="17.42578125" bestFit="1" customWidth="1"/>
    <col min="7" max="7" width="16.85546875" bestFit="1" customWidth="1"/>
    <col min="8" max="8" width="16.140625" bestFit="1" customWidth="1"/>
    <col min="9" max="9" width="19.140625" customWidth="1"/>
    <col min="10" max="10" width="17" customWidth="1"/>
    <col min="11" max="11" width="17.140625" bestFit="1" customWidth="1"/>
    <col min="12" max="12" width="22.42578125" bestFit="1" customWidth="1"/>
    <col min="13" max="13" width="16.85546875" bestFit="1" customWidth="1"/>
    <col min="14" max="14" width="20.42578125" bestFit="1" customWidth="1"/>
    <col min="15" max="15" width="20.42578125" customWidth="1"/>
    <col min="16" max="16" width="20.42578125" bestFit="1" customWidth="1"/>
    <col min="17" max="17" width="25.140625" customWidth="1"/>
    <col min="18" max="18" width="17.140625" customWidth="1"/>
    <col min="19" max="19" width="24" customWidth="1"/>
    <col min="20" max="22" width="23.85546875" customWidth="1"/>
    <col min="23" max="24" width="20" bestFit="1" customWidth="1"/>
    <col min="25" max="25" width="18.85546875" customWidth="1"/>
    <col min="26" max="26" width="14.140625" bestFit="1" customWidth="1"/>
  </cols>
  <sheetData>
    <row r="1" spans="2:26" x14ac:dyDescent="0.2">
      <c r="F1" s="638"/>
    </row>
    <row r="3" spans="2:26" s="238" customFormat="1" x14ac:dyDescent="0.2"/>
    <row r="4" spans="2:26" ht="13.5" customHeight="1" x14ac:dyDescent="0.2">
      <c r="B4" s="97" t="s">
        <v>74</v>
      </c>
    </row>
    <row r="5" spans="2:26" ht="12" customHeight="1" x14ac:dyDescent="0.2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">
      <c r="E32" s="89" t="s">
        <v>72</v>
      </c>
      <c r="F32" s="371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">
      <c r="E33" t="s">
        <v>81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">
      <c r="D34" t="s">
        <v>87</v>
      </c>
      <c r="E34" s="89" t="s">
        <v>70</v>
      </c>
      <c r="F34" s="371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">
      <c r="C35" s="101" t="s">
        <v>119</v>
      </c>
      <c r="D35" s="101" t="s">
        <v>70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">
      <c r="B36" s="378" t="s">
        <v>122</v>
      </c>
      <c r="C36" s="378" t="s">
        <v>70</v>
      </c>
      <c r="E36" s="376"/>
      <c r="F36" s="710">
        <v>0</v>
      </c>
      <c r="G36" s="377">
        <v>0</v>
      </c>
      <c r="H36" s="377">
        <v>0</v>
      </c>
      <c r="I36" s="377">
        <v>0</v>
      </c>
      <c r="J36" s="377">
        <v>0</v>
      </c>
      <c r="K36" s="377">
        <v>0</v>
      </c>
      <c r="L36" s="377">
        <v>0</v>
      </c>
      <c r="M36" s="377">
        <v>0</v>
      </c>
      <c r="N36" s="377">
        <v>0</v>
      </c>
      <c r="O36" s="377">
        <v>0</v>
      </c>
      <c r="P36" s="377">
        <v>0</v>
      </c>
      <c r="Q36" s="377">
        <v>0</v>
      </c>
      <c r="R36" s="377">
        <v>0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">
      <c r="E37" s="89" t="s">
        <v>72</v>
      </c>
      <c r="F37" s="371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2:26" ht="12.75" customHeight="1" x14ac:dyDescent="0.2">
      <c r="D39" t="s">
        <v>156</v>
      </c>
      <c r="E39" s="89" t="s">
        <v>70</v>
      </c>
      <c r="F39" s="89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2:26" s="286" customFormat="1" ht="12.75" customHeight="1" x14ac:dyDescent="0.2">
      <c r="C40" s="286" t="s">
        <v>155</v>
      </c>
      <c r="D40" s="286" t="s">
        <v>70</v>
      </c>
      <c r="E40" s="229"/>
      <c r="F40" s="229">
        <v>0</v>
      </c>
      <c r="G40" s="23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0</v>
      </c>
    </row>
    <row r="41" spans="2:26" ht="12.75" customHeight="1" x14ac:dyDescent="0.2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">
      <c r="E45" s="89" t="s">
        <v>72</v>
      </c>
      <c r="F45" s="89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">
      <c r="E46" s="89" t="s">
        <v>81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">
      <c r="D47" s="89" t="s">
        <v>82</v>
      </c>
      <c r="E47" s="89" t="s">
        <v>70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">
      <c r="E48" s="89" t="s">
        <v>72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">
      <c r="E49" s="89" t="s">
        <v>81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">
      <c r="D50" s="89" t="s">
        <v>86</v>
      </c>
      <c r="E50" s="89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">
      <c r="C51" s="89"/>
      <c r="D51" s="89"/>
      <c r="E51" t="s">
        <v>72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">
      <c r="B52" s="89"/>
      <c r="C52" s="89"/>
      <c r="E52" t="s">
        <v>81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">
      <c r="C53" s="89"/>
      <c r="D53" s="89" t="s">
        <v>87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">
      <c r="C54" s="101" t="s">
        <v>119</v>
      </c>
      <c r="D54" s="101" t="s">
        <v>70</v>
      </c>
      <c r="F54" s="93">
        <v>0</v>
      </c>
      <c r="G54" s="93">
        <v>0</v>
      </c>
      <c r="H54" s="93">
        <v>0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">
      <c r="B55" s="98" t="s">
        <v>112</v>
      </c>
      <c r="C55" s="98" t="s">
        <v>70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</row>
    <row r="56" spans="1:26" ht="12.6" customHeight="1" x14ac:dyDescent="0.2">
      <c r="A56" t="s">
        <v>78</v>
      </c>
      <c r="B56" t="s">
        <v>70</v>
      </c>
      <c r="E56" s="89"/>
      <c r="F56" s="89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</row>
    <row r="57" spans="1:26" x14ac:dyDescent="0.2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">
      <c r="E71" s="89" t="s">
        <v>73</v>
      </c>
      <c r="F71" s="384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">
      <c r="D72" t="s">
        <v>156</v>
      </c>
      <c r="E72" s="89" t="s">
        <v>70</v>
      </c>
      <c r="F72" s="384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">
      <c r="C73" s="286" t="s">
        <v>155</v>
      </c>
      <c r="D73" s="286" t="s">
        <v>70</v>
      </c>
      <c r="E73" s="229"/>
      <c r="F73" s="229">
        <v>0</v>
      </c>
      <c r="G73" s="230">
        <v>0</v>
      </c>
      <c r="H73" s="230">
        <v>0</v>
      </c>
      <c r="I73" s="230">
        <v>0</v>
      </c>
      <c r="J73" s="230">
        <v>0</v>
      </c>
      <c r="K73" s="230">
        <v>0</v>
      </c>
      <c r="L73" s="230">
        <v>0</v>
      </c>
      <c r="M73" s="230">
        <v>0</v>
      </c>
      <c r="N73" s="230">
        <v>0</v>
      </c>
      <c r="O73" s="230">
        <v>0</v>
      </c>
      <c r="P73" s="230">
        <v>0</v>
      </c>
      <c r="Q73" s="230">
        <v>0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">
      <c r="D77" s="89"/>
      <c r="E77" s="89" t="s">
        <v>73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">
      <c r="D78" t="s">
        <v>82</v>
      </c>
      <c r="E78" s="89" t="s">
        <v>70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">
      <c r="D79" s="89"/>
      <c r="E79" s="89" t="s">
        <v>73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">
      <c r="D80" t="s">
        <v>86</v>
      </c>
      <c r="E80" s="89" t="s">
        <v>70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">
      <c r="D81" s="89"/>
      <c r="E81" s="89" t="s">
        <v>73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">
      <c r="C82" s="89"/>
      <c r="D82" s="89" t="s">
        <v>87</v>
      </c>
      <c r="E82" t="s">
        <v>70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">
      <c r="C83" s="101" t="s">
        <v>119</v>
      </c>
      <c r="D83" s="101" t="s">
        <v>70</v>
      </c>
      <c r="F83" s="93">
        <v>0</v>
      </c>
      <c r="G83" s="93">
        <v>0</v>
      </c>
      <c r="H83" s="93">
        <v>0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">
      <c r="B84" s="98" t="s">
        <v>112</v>
      </c>
      <c r="C84" s="98" t="s">
        <v>70</v>
      </c>
      <c r="F84" s="100">
        <v>0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0">
        <v>0</v>
      </c>
      <c r="P84" s="100">
        <v>0</v>
      </c>
      <c r="Q84" s="100">
        <v>0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">
      <c r="A85" s="89" t="s">
        <v>79</v>
      </c>
      <c r="B85" t="s">
        <v>70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">
      <c r="A86" s="89" t="s">
        <v>70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>
        <v>0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0</v>
      </c>
    </row>
    <row r="87" spans="1:42" ht="12.75" customHeight="1" x14ac:dyDescent="0.2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">
      <c r="C89" s="779" t="s">
        <v>2</v>
      </c>
      <c r="D89" s="776" t="s">
        <v>132</v>
      </c>
      <c r="E89" s="98" t="s">
        <v>70</v>
      </c>
      <c r="F89" s="100">
        <f>F55+F84+F16-L16-L55</f>
        <v>0</v>
      </c>
      <c r="G89" s="100">
        <f t="shared" ref="G89:AP89" si="0">G55+G16</f>
        <v>0</v>
      </c>
      <c r="H89" s="100">
        <f t="shared" si="0"/>
        <v>0</v>
      </c>
      <c r="I89" s="100">
        <f t="shared" si="0"/>
        <v>0</v>
      </c>
      <c r="J89" s="100">
        <f t="shared" si="0"/>
        <v>0</v>
      </c>
      <c r="K89" s="100">
        <f t="shared" si="0"/>
        <v>0</v>
      </c>
      <c r="L89" s="100">
        <f t="shared" si="0"/>
        <v>0</v>
      </c>
      <c r="M89" s="100">
        <f t="shared" si="0"/>
        <v>0</v>
      </c>
      <c r="N89" s="100">
        <f t="shared" si="0"/>
        <v>0</v>
      </c>
      <c r="O89" s="100">
        <f t="shared" si="0"/>
        <v>0</v>
      </c>
      <c r="P89" s="100">
        <f t="shared" si="0"/>
        <v>0</v>
      </c>
      <c r="Q89" s="100">
        <f t="shared" si="0"/>
        <v>0</v>
      </c>
      <c r="R89" s="100">
        <f t="shared" si="0"/>
        <v>0</v>
      </c>
      <c r="S89" s="100">
        <f t="shared" si="0"/>
        <v>0</v>
      </c>
      <c r="T89" s="100">
        <f t="shared" si="0"/>
        <v>0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0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">
      <c r="C90" s="779"/>
      <c r="D90" s="776"/>
      <c r="E90" s="98" t="s">
        <v>73</v>
      </c>
      <c r="F90" s="100">
        <f>F84</f>
        <v>0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">
      <c r="C91" s="779"/>
      <c r="D91" s="776" t="s">
        <v>133</v>
      </c>
      <c r="E91" s="233" t="s">
        <v>70</v>
      </c>
      <c r="F91" s="234">
        <f>F70+F36-L36</f>
        <v>0</v>
      </c>
      <c r="G91" s="234">
        <f t="shared" ref="G91:AP91" si="1">G36</f>
        <v>0</v>
      </c>
      <c r="H91" s="234">
        <f t="shared" si="1"/>
        <v>0</v>
      </c>
      <c r="I91" s="234">
        <f t="shared" si="1"/>
        <v>0</v>
      </c>
      <c r="J91" s="234">
        <f t="shared" si="1"/>
        <v>0</v>
      </c>
      <c r="K91" s="234">
        <f t="shared" si="1"/>
        <v>0</v>
      </c>
      <c r="L91" s="234">
        <f t="shared" si="1"/>
        <v>0</v>
      </c>
      <c r="M91" s="234">
        <f t="shared" si="1"/>
        <v>0</v>
      </c>
      <c r="N91" s="234">
        <f t="shared" si="1"/>
        <v>0</v>
      </c>
      <c r="O91" s="234">
        <f t="shared" si="1"/>
        <v>0</v>
      </c>
      <c r="P91" s="234">
        <f t="shared" si="1"/>
        <v>0</v>
      </c>
      <c r="Q91" s="234">
        <f t="shared" si="1"/>
        <v>0</v>
      </c>
      <c r="R91" s="234">
        <f t="shared" si="1"/>
        <v>0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">
      <c r="C92" s="779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">
      <c r="C99" s="779" t="s">
        <v>155</v>
      </c>
      <c r="D99" s="776" t="s">
        <v>132</v>
      </c>
      <c r="E99" s="221" t="s">
        <v>70</v>
      </c>
      <c r="F99" s="222">
        <f>F73+F40+F8-L8-L40</f>
        <v>0</v>
      </c>
      <c r="G99" s="222">
        <f t="shared" ref="G99:AP99" si="2">G40+G8</f>
        <v>0</v>
      </c>
      <c r="H99" s="222">
        <f t="shared" si="2"/>
        <v>0</v>
      </c>
      <c r="I99" s="222">
        <f t="shared" si="2"/>
        <v>0</v>
      </c>
      <c r="J99" s="222">
        <f t="shared" si="2"/>
        <v>0</v>
      </c>
      <c r="K99" s="222">
        <f t="shared" si="2"/>
        <v>0</v>
      </c>
      <c r="L99" s="222">
        <f t="shared" si="2"/>
        <v>0</v>
      </c>
      <c r="M99" s="222">
        <f t="shared" si="2"/>
        <v>0</v>
      </c>
      <c r="N99" s="222">
        <f t="shared" si="2"/>
        <v>0</v>
      </c>
      <c r="O99" s="222">
        <f t="shared" si="2"/>
        <v>0</v>
      </c>
      <c r="P99" s="222">
        <f t="shared" si="2"/>
        <v>0</v>
      </c>
      <c r="Q99" s="222">
        <f t="shared" si="2"/>
        <v>0</v>
      </c>
      <c r="R99" s="222">
        <f t="shared" si="2"/>
        <v>0</v>
      </c>
      <c r="S99" s="222">
        <f t="shared" si="2"/>
        <v>0</v>
      </c>
      <c r="T99" s="222">
        <f t="shared" si="2"/>
        <v>0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0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">
      <c r="C100" s="779"/>
      <c r="D100" s="776"/>
      <c r="E100" s="221" t="s">
        <v>73</v>
      </c>
      <c r="F100" s="222">
        <f>F73</f>
        <v>0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">
      <c r="B101" s="150"/>
      <c r="C101" s="779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">
      <c r="B102" s="150"/>
      <c r="C102" s="779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">
      <c r="C104" s="777" t="s">
        <v>326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">
      <c r="C109" s="779" t="s">
        <v>119</v>
      </c>
      <c r="D109" s="776" t="s">
        <v>132</v>
      </c>
      <c r="E109" s="101" t="s">
        <v>70</v>
      </c>
      <c r="F109" s="93">
        <f>F83+F54+F15-L15-L54</f>
        <v>0</v>
      </c>
      <c r="G109" s="93">
        <f t="shared" ref="G109:AP109" si="6">G54+G15</f>
        <v>0</v>
      </c>
      <c r="H109" s="93">
        <f t="shared" si="6"/>
        <v>0</v>
      </c>
      <c r="I109" s="93">
        <f t="shared" si="6"/>
        <v>0</v>
      </c>
      <c r="J109" s="93">
        <f t="shared" si="6"/>
        <v>0</v>
      </c>
      <c r="K109" s="93">
        <f t="shared" si="6"/>
        <v>0</v>
      </c>
      <c r="L109" s="93">
        <f t="shared" si="6"/>
        <v>0</v>
      </c>
      <c r="M109" s="93">
        <f t="shared" si="6"/>
        <v>0</v>
      </c>
      <c r="N109" s="93">
        <f t="shared" si="6"/>
        <v>0</v>
      </c>
      <c r="O109" s="93">
        <f t="shared" si="6"/>
        <v>0</v>
      </c>
      <c r="P109" s="93">
        <f t="shared" si="6"/>
        <v>0</v>
      </c>
      <c r="Q109" s="93">
        <f t="shared" si="6"/>
        <v>0</v>
      </c>
      <c r="R109" s="93">
        <f t="shared" si="6"/>
        <v>0</v>
      </c>
      <c r="S109" s="93">
        <f t="shared" si="6"/>
        <v>0</v>
      </c>
      <c r="T109" s="93">
        <f t="shared" si="6"/>
        <v>0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">
      <c r="C110" s="779"/>
      <c r="D110" s="776"/>
      <c r="E110" s="101" t="s">
        <v>73</v>
      </c>
      <c r="F110" s="93">
        <f>F83</f>
        <v>0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">
      <c r="C111" s="779"/>
      <c r="D111" s="776" t="s">
        <v>133</v>
      </c>
      <c r="E111" s="235" t="s">
        <v>70</v>
      </c>
      <c r="F111" s="236">
        <f>F69+F35-L35</f>
        <v>0</v>
      </c>
      <c r="G111" s="236">
        <f t="shared" ref="G111:AP111" si="7">G35</f>
        <v>0</v>
      </c>
      <c r="H111" s="236">
        <f t="shared" si="7"/>
        <v>0</v>
      </c>
      <c r="I111" s="236">
        <f t="shared" si="7"/>
        <v>0</v>
      </c>
      <c r="J111" s="236">
        <f t="shared" si="7"/>
        <v>0</v>
      </c>
      <c r="K111" s="236">
        <f t="shared" si="7"/>
        <v>0</v>
      </c>
      <c r="L111" s="236">
        <f t="shared" si="7"/>
        <v>0</v>
      </c>
      <c r="M111" s="236">
        <f t="shared" si="7"/>
        <v>0</v>
      </c>
      <c r="N111" s="236">
        <f t="shared" si="7"/>
        <v>0</v>
      </c>
      <c r="O111" s="236">
        <f t="shared" si="7"/>
        <v>0</v>
      </c>
      <c r="P111" s="236">
        <f t="shared" si="7"/>
        <v>0</v>
      </c>
      <c r="Q111" s="236">
        <f t="shared" si="7"/>
        <v>0</v>
      </c>
      <c r="R111" s="236">
        <f t="shared" si="7"/>
        <v>0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">
      <c r="D119" s="458" t="s">
        <v>186</v>
      </c>
      <c r="E119" s="459" t="s">
        <v>70</v>
      </c>
      <c r="F119" s="460">
        <f>F16</f>
        <v>0</v>
      </c>
      <c r="G119" s="460">
        <f t="shared" ref="G119:AP119" si="8">G16</f>
        <v>0</v>
      </c>
      <c r="H119" s="460">
        <f t="shared" si="8"/>
        <v>0</v>
      </c>
      <c r="I119" s="460">
        <f t="shared" si="8"/>
        <v>0</v>
      </c>
      <c r="J119" s="460">
        <f t="shared" si="8"/>
        <v>0</v>
      </c>
      <c r="K119" s="460">
        <f t="shared" si="8"/>
        <v>0</v>
      </c>
      <c r="L119" s="460">
        <f t="shared" si="8"/>
        <v>0</v>
      </c>
      <c r="M119" s="460">
        <f t="shared" si="8"/>
        <v>0</v>
      </c>
      <c r="N119" s="460">
        <f t="shared" si="8"/>
        <v>0</v>
      </c>
      <c r="O119" s="460">
        <f t="shared" si="8"/>
        <v>0</v>
      </c>
      <c r="P119" s="460">
        <f t="shared" si="8"/>
        <v>0</v>
      </c>
      <c r="Q119" s="460">
        <f t="shared" si="8"/>
        <v>0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">
      <c r="E124" t="s">
        <v>72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">
      <c r="D125" t="s">
        <v>156</v>
      </c>
      <c r="E125" t="s">
        <v>70</v>
      </c>
      <c r="F125" s="384">
        <v>0</v>
      </c>
      <c r="G125" s="89">
        <v>0</v>
      </c>
      <c r="H125" s="89">
        <v>0</v>
      </c>
      <c r="I125" s="664">
        <v>0</v>
      </c>
      <c r="J125" s="89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0</v>
      </c>
      <c r="Q125" s="89">
        <v>0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">
      <c r="C126" s="656" t="s">
        <v>155</v>
      </c>
      <c r="D126" s="656" t="s">
        <v>70</v>
      </c>
      <c r="F126" s="736">
        <v>0</v>
      </c>
      <c r="G126" s="657">
        <v>0</v>
      </c>
      <c r="H126" s="657">
        <v>0</v>
      </c>
      <c r="I126" s="737">
        <v>0</v>
      </c>
      <c r="J126" s="657">
        <v>0</v>
      </c>
      <c r="K126" s="657">
        <v>0</v>
      </c>
      <c r="L126" s="657">
        <v>0</v>
      </c>
      <c r="M126" s="657">
        <v>0</v>
      </c>
      <c r="N126" s="657">
        <v>0</v>
      </c>
      <c r="O126" s="657">
        <v>0</v>
      </c>
      <c r="P126" s="657">
        <v>0</v>
      </c>
      <c r="Q126" s="657">
        <v>0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">
      <c r="E142" s="89" t="s">
        <v>72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">
      <c r="D143" t="s">
        <v>82</v>
      </c>
      <c r="E143" s="89" t="s">
        <v>70</v>
      </c>
      <c r="F143" s="371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">
      <c r="E144" s="89" t="s">
        <v>72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">
      <c r="D145" t="s">
        <v>86</v>
      </c>
      <c r="E145" s="89" t="s">
        <v>70</v>
      </c>
      <c r="F145" s="371">
        <v>0</v>
      </c>
      <c r="G145" s="90">
        <v>0</v>
      </c>
      <c r="H145" s="90">
        <v>0</v>
      </c>
      <c r="I145" s="90">
        <v>0</v>
      </c>
      <c r="J145" s="90">
        <v>0</v>
      </c>
      <c r="K145" s="90">
        <v>0</v>
      </c>
      <c r="L145" s="90">
        <v>0</v>
      </c>
      <c r="M145" s="90">
        <v>0</v>
      </c>
      <c r="N145" s="90">
        <v>0</v>
      </c>
      <c r="O145" s="90">
        <v>0</v>
      </c>
      <c r="P145" s="90">
        <v>0</v>
      </c>
      <c r="Q145" s="90">
        <v>0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">
      <c r="C148" s="94" t="s">
        <v>119</v>
      </c>
      <c r="D148" s="94" t="s">
        <v>70</v>
      </c>
      <c r="E148" s="101"/>
      <c r="F148" s="93">
        <v>0</v>
      </c>
      <c r="G148" s="93">
        <v>0</v>
      </c>
      <c r="H148" s="93">
        <v>0</v>
      </c>
      <c r="I148" s="93">
        <v>0</v>
      </c>
      <c r="J148" s="93">
        <v>0</v>
      </c>
      <c r="K148" s="93">
        <v>0</v>
      </c>
      <c r="L148" s="93">
        <v>0</v>
      </c>
      <c r="M148" s="93">
        <v>0</v>
      </c>
      <c r="N148" s="93">
        <v>0</v>
      </c>
      <c r="O148" s="93">
        <v>0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">
      <c r="B149" s="89" t="s">
        <v>112</v>
      </c>
      <c r="C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">
      <c r="A150" s="458" t="s">
        <v>186</v>
      </c>
      <c r="B150" s="459" t="s">
        <v>70</v>
      </c>
      <c r="C150" s="459"/>
      <c r="F150" s="460">
        <v>0</v>
      </c>
      <c r="G150" s="460">
        <v>0</v>
      </c>
      <c r="H150" s="460">
        <v>0</v>
      </c>
      <c r="I150" s="460">
        <v>0</v>
      </c>
      <c r="J150" s="460">
        <v>0</v>
      </c>
      <c r="K150" s="460">
        <v>0</v>
      </c>
      <c r="L150" s="460">
        <v>0</v>
      </c>
      <c r="M150" s="460">
        <v>0</v>
      </c>
      <c r="N150" s="460">
        <v>0</v>
      </c>
      <c r="O150" s="460">
        <v>0</v>
      </c>
      <c r="P150" s="460">
        <v>0</v>
      </c>
      <c r="Q150" s="460">
        <v>0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">
      <c r="E188" s="89" t="s">
        <v>72</v>
      </c>
      <c r="F188" s="371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">
      <c r="E189" s="89" t="s">
        <v>81</v>
      </c>
      <c r="F189" s="90">
        <v>0</v>
      </c>
      <c r="G189" s="90">
        <v>0</v>
      </c>
      <c r="H189" s="90">
        <v>0</v>
      </c>
      <c r="I189" s="90">
        <v>0</v>
      </c>
      <c r="J189" s="90">
        <v>0</v>
      </c>
      <c r="K189" s="90">
        <v>0</v>
      </c>
      <c r="L189" s="90">
        <v>0</v>
      </c>
      <c r="M189" s="90">
        <v>0</v>
      </c>
      <c r="N189" s="90">
        <v>0</v>
      </c>
      <c r="O189" s="90">
        <v>0</v>
      </c>
      <c r="P189" s="90">
        <v>0</v>
      </c>
      <c r="Q189" s="90">
        <v>0</v>
      </c>
      <c r="R189" s="90">
        <v>0</v>
      </c>
      <c r="S189" s="90">
        <v>0</v>
      </c>
      <c r="T189" s="90">
        <v>0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0</v>
      </c>
    </row>
    <row r="190" spans="2:26" ht="12.75" customHeight="1" x14ac:dyDescent="0.2">
      <c r="D190" t="s">
        <v>156</v>
      </c>
      <c r="E190" s="89" t="s">
        <v>70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 s="90">
        <v>0</v>
      </c>
      <c r="S190" s="90">
        <v>0</v>
      </c>
      <c r="T190" s="90">
        <v>0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0</v>
      </c>
    </row>
    <row r="191" spans="2:26" s="656" customFormat="1" ht="12.75" customHeight="1" x14ac:dyDescent="0.2">
      <c r="C191" s="656" t="s">
        <v>155</v>
      </c>
      <c r="D191" s="657" t="s">
        <v>70</v>
      </c>
      <c r="E191" s="657"/>
      <c r="F191" s="658">
        <v>0</v>
      </c>
      <c r="G191" s="658">
        <v>0</v>
      </c>
      <c r="H191" s="658">
        <v>0</v>
      </c>
      <c r="I191" s="658">
        <v>0</v>
      </c>
      <c r="J191" s="658">
        <v>0</v>
      </c>
      <c r="K191" s="658">
        <v>0</v>
      </c>
      <c r="L191" s="658">
        <v>0</v>
      </c>
      <c r="M191" s="658">
        <v>0</v>
      </c>
      <c r="N191" s="658">
        <v>0</v>
      </c>
      <c r="O191" s="658">
        <v>0</v>
      </c>
      <c r="P191" s="658">
        <v>0</v>
      </c>
      <c r="Q191" s="658">
        <v>0</v>
      </c>
      <c r="R191" s="658">
        <v>0</v>
      </c>
      <c r="S191" s="658">
        <v>0</v>
      </c>
      <c r="T191" s="658">
        <v>0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0</v>
      </c>
    </row>
    <row r="192" spans="2:26" ht="12.75" customHeight="1" x14ac:dyDescent="0.2">
      <c r="D192" s="89"/>
      <c r="E192" s="89" t="s">
        <v>72</v>
      </c>
      <c r="F192" s="371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">
      <c r="D193" s="89"/>
      <c r="E193" s="89" t="s">
        <v>81</v>
      </c>
      <c r="F193" s="371">
        <v>0</v>
      </c>
      <c r="G193" s="90">
        <v>0</v>
      </c>
      <c r="H193" s="90">
        <v>0</v>
      </c>
      <c r="I193" s="90">
        <v>0</v>
      </c>
      <c r="J193" s="90">
        <v>0</v>
      </c>
      <c r="K193" s="90">
        <v>0</v>
      </c>
      <c r="L193" s="90">
        <v>0</v>
      </c>
      <c r="M193" s="90">
        <v>0</v>
      </c>
      <c r="N193" s="90">
        <v>0</v>
      </c>
      <c r="O193" s="90">
        <v>0</v>
      </c>
      <c r="P193" s="90">
        <v>0</v>
      </c>
      <c r="Q193" s="90">
        <v>0</v>
      </c>
      <c r="R193" s="90">
        <v>0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">
      <c r="D194" s="89" t="s">
        <v>115</v>
      </c>
      <c r="E194" s="89" t="s">
        <v>70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">
      <c r="D195" s="89"/>
      <c r="E195" s="89" t="s">
        <v>72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">
      <c r="D196" s="89"/>
      <c r="E196" s="89" t="s">
        <v>81</v>
      </c>
      <c r="F196" s="90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">
      <c r="D197" t="s">
        <v>116</v>
      </c>
      <c r="E197" s="89" t="s">
        <v>70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">
      <c r="D204" s="89"/>
      <c r="E204" s="89" t="s">
        <v>72</v>
      </c>
      <c r="F204" s="371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">
      <c r="D205" s="89"/>
      <c r="E205" s="89" t="s">
        <v>81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4:26" ht="12.75" customHeight="1" x14ac:dyDescent="0.2">
      <c r="D206" t="s">
        <v>118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4:26" ht="12.75" customHeight="1" x14ac:dyDescent="0.2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">
      <c r="C213" s="223" t="s">
        <v>120</v>
      </c>
      <c r="D213" s="223" t="s">
        <v>70</v>
      </c>
      <c r="F213" s="225">
        <v>0</v>
      </c>
      <c r="G213" s="225">
        <v>0</v>
      </c>
      <c r="H213" s="225">
        <v>0</v>
      </c>
      <c r="I213" s="225">
        <v>0</v>
      </c>
      <c r="J213" s="225">
        <v>0</v>
      </c>
      <c r="K213" s="225">
        <v>0</v>
      </c>
      <c r="L213" s="225">
        <v>0</v>
      </c>
      <c r="M213" s="225">
        <v>0</v>
      </c>
      <c r="N213" s="225">
        <v>0</v>
      </c>
      <c r="O213" s="225">
        <v>0</v>
      </c>
      <c r="P213" s="225">
        <v>0</v>
      </c>
      <c r="Q213" s="225">
        <v>0</v>
      </c>
      <c r="R213" s="225">
        <v>0</v>
      </c>
      <c r="S213" s="225">
        <v>0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0</v>
      </c>
    </row>
    <row r="214" spans="2:26" ht="12.75" customHeight="1" x14ac:dyDescent="0.2">
      <c r="E214" s="89" t="s">
        <v>72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">
      <c r="C215" s="89"/>
      <c r="D215" s="89"/>
      <c r="E215" t="s">
        <v>81</v>
      </c>
      <c r="F215" s="90">
        <v>0</v>
      </c>
      <c r="G215" s="90">
        <v>0</v>
      </c>
      <c r="H215" s="90">
        <v>0</v>
      </c>
      <c r="I215" s="90">
        <v>0</v>
      </c>
      <c r="J215" s="90">
        <v>0</v>
      </c>
      <c r="K215" s="90">
        <v>0</v>
      </c>
      <c r="L215" s="90">
        <v>0</v>
      </c>
      <c r="M215" s="90">
        <v>0</v>
      </c>
      <c r="N215" s="90">
        <v>0</v>
      </c>
      <c r="O215" s="90">
        <v>0</v>
      </c>
      <c r="P215" s="90">
        <v>0</v>
      </c>
      <c r="Q215" s="90">
        <v>0</v>
      </c>
      <c r="R215" s="90">
        <v>0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0</v>
      </c>
    </row>
    <row r="216" spans="2:26" ht="12.75" customHeight="1" x14ac:dyDescent="0.2">
      <c r="D216" t="s">
        <v>82</v>
      </c>
      <c r="E216" s="89" t="s">
        <v>70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0</v>
      </c>
    </row>
    <row r="217" spans="2:26" ht="12.75" customHeight="1" x14ac:dyDescent="0.2">
      <c r="E217" s="89" t="s">
        <v>72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 s="90">
        <v>0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">
      <c r="D218" s="89"/>
      <c r="E218" s="89" t="s">
        <v>81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0</v>
      </c>
    </row>
    <row r="219" spans="2:26" ht="12.75" customHeight="1" x14ac:dyDescent="0.2">
      <c r="D219" t="s">
        <v>86</v>
      </c>
      <c r="E219" s="89" t="s">
        <v>70</v>
      </c>
      <c r="F219" s="90">
        <v>0</v>
      </c>
      <c r="G219" s="90">
        <v>0</v>
      </c>
      <c r="H219" s="90">
        <v>0</v>
      </c>
      <c r="I219" s="90">
        <v>0</v>
      </c>
      <c r="J219" s="90">
        <v>0</v>
      </c>
      <c r="K219" s="90">
        <v>0</v>
      </c>
      <c r="L219" s="90">
        <v>0</v>
      </c>
      <c r="M219" s="90">
        <v>0</v>
      </c>
      <c r="N219" s="90">
        <v>0</v>
      </c>
      <c r="O219" s="90">
        <v>0</v>
      </c>
      <c r="P219" s="90">
        <v>0</v>
      </c>
      <c r="Q219" s="90">
        <v>0</v>
      </c>
      <c r="R219" s="90">
        <v>0</v>
      </c>
      <c r="S219" s="90">
        <v>0</v>
      </c>
      <c r="T219" s="90">
        <v>0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0</v>
      </c>
    </row>
    <row r="220" spans="2:26" ht="12.75" customHeight="1" x14ac:dyDescent="0.2">
      <c r="E220" s="89" t="s">
        <v>72</v>
      </c>
      <c r="F220" s="90">
        <v>0</v>
      </c>
      <c r="G220" s="90">
        <v>0</v>
      </c>
      <c r="H220" s="90">
        <v>0</v>
      </c>
      <c r="I220" s="90">
        <v>0</v>
      </c>
      <c r="J220" s="90">
        <v>0</v>
      </c>
      <c r="K220" s="90">
        <v>0</v>
      </c>
      <c r="L220" s="90">
        <v>0</v>
      </c>
      <c r="M220" s="90">
        <v>0</v>
      </c>
      <c r="N220" s="90">
        <v>0</v>
      </c>
      <c r="O220" s="90">
        <v>0</v>
      </c>
      <c r="P220" s="90">
        <v>0</v>
      </c>
      <c r="Q220" s="90">
        <v>0</v>
      </c>
      <c r="R220" s="90">
        <v>0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">
      <c r="D221" s="89"/>
      <c r="E221" s="89" t="s">
        <v>81</v>
      </c>
      <c r="F221" s="90">
        <v>0</v>
      </c>
      <c r="G221" s="90">
        <v>0</v>
      </c>
      <c r="H221" s="90">
        <v>0</v>
      </c>
      <c r="I221" s="90">
        <v>0</v>
      </c>
      <c r="J221" s="90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 s="90">
        <v>0</v>
      </c>
      <c r="S221" s="90">
        <v>0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0</v>
      </c>
    </row>
    <row r="222" spans="2:26" ht="12.75" customHeight="1" x14ac:dyDescent="0.2">
      <c r="D222" t="s">
        <v>87</v>
      </c>
      <c r="E222" s="89" t="s">
        <v>70</v>
      </c>
      <c r="F222" s="90">
        <v>0</v>
      </c>
      <c r="G222" s="90">
        <v>0</v>
      </c>
      <c r="H222" s="90">
        <v>0</v>
      </c>
      <c r="I222" s="90">
        <v>0</v>
      </c>
      <c r="J222" s="90">
        <v>0</v>
      </c>
      <c r="K222" s="90">
        <v>0</v>
      </c>
      <c r="L222" s="90">
        <v>0</v>
      </c>
      <c r="M222" s="90">
        <v>0</v>
      </c>
      <c r="N222" s="90">
        <v>0</v>
      </c>
      <c r="O222" s="90">
        <v>0</v>
      </c>
      <c r="P222" s="90">
        <v>0</v>
      </c>
      <c r="Q222" s="90">
        <v>0</v>
      </c>
      <c r="R222" s="90">
        <v>0</v>
      </c>
      <c r="S222" s="90">
        <v>0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0</v>
      </c>
    </row>
    <row r="223" spans="2:26" s="94" customFormat="1" ht="12.75" customHeight="1" x14ac:dyDescent="0.2">
      <c r="C223" s="94" t="s">
        <v>119</v>
      </c>
      <c r="D223" s="94" t="s">
        <v>70</v>
      </c>
      <c r="E223" s="101"/>
      <c r="F223" s="93">
        <v>0</v>
      </c>
      <c r="G223" s="93">
        <v>0</v>
      </c>
      <c r="H223" s="93">
        <v>0</v>
      </c>
      <c r="I223" s="93">
        <v>0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0</v>
      </c>
    </row>
    <row r="224" spans="2:26" s="226" customFormat="1" ht="12.75" customHeight="1" x14ac:dyDescent="0.2">
      <c r="B224" s="98" t="s">
        <v>112</v>
      </c>
      <c r="C224" s="98" t="s">
        <v>70</v>
      </c>
      <c r="F224" s="100">
        <v>0</v>
      </c>
      <c r="G224" s="100">
        <v>0</v>
      </c>
      <c r="H224" s="100">
        <v>0</v>
      </c>
      <c r="I224" s="100">
        <v>0</v>
      </c>
      <c r="J224" s="100">
        <v>0</v>
      </c>
      <c r="K224" s="100">
        <v>0</v>
      </c>
      <c r="L224" s="100">
        <v>0</v>
      </c>
      <c r="M224" s="100">
        <v>0</v>
      </c>
      <c r="N224" s="100">
        <v>0</v>
      </c>
      <c r="O224" s="100">
        <v>0</v>
      </c>
      <c r="P224" s="100">
        <v>0</v>
      </c>
      <c r="Q224" s="100">
        <v>0</v>
      </c>
      <c r="R224" s="100">
        <v>0</v>
      </c>
      <c r="S224" s="100">
        <v>0</v>
      </c>
      <c r="T224" s="100">
        <v>0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0</v>
      </c>
    </row>
    <row r="225" spans="1:26" ht="12.75" customHeight="1" x14ac:dyDescent="0.2">
      <c r="A225" t="s">
        <v>78</v>
      </c>
      <c r="B225" s="89" t="s">
        <v>70</v>
      </c>
      <c r="C225" s="89"/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90">
        <v>0</v>
      </c>
      <c r="M225" s="90">
        <v>0</v>
      </c>
      <c r="N225" s="90">
        <v>0</v>
      </c>
      <c r="O225" s="90">
        <v>0</v>
      </c>
      <c r="P225" s="90">
        <v>0</v>
      </c>
      <c r="Q225" s="90">
        <v>0</v>
      </c>
      <c r="R225" s="90">
        <v>0</v>
      </c>
      <c r="S225" s="90">
        <v>0</v>
      </c>
      <c r="T225" s="90">
        <v>0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0</v>
      </c>
    </row>
    <row r="226" spans="1:26" ht="12.75" customHeight="1" x14ac:dyDescent="0.2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">
      <c r="E252" s="89" t="s">
        <v>73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">
      <c r="D253" s="89" t="s">
        <v>156</v>
      </c>
      <c r="E253" s="89" t="s">
        <v>70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">
      <c r="C254" s="656" t="s">
        <v>155</v>
      </c>
      <c r="D254" s="657" t="s">
        <v>70</v>
      </c>
      <c r="E254" s="657"/>
      <c r="F254" s="738">
        <v>0</v>
      </c>
      <c r="G254" s="658">
        <v>0</v>
      </c>
      <c r="H254" s="658">
        <v>0</v>
      </c>
      <c r="I254" s="658">
        <v>0</v>
      </c>
      <c r="J254" s="658">
        <v>0</v>
      </c>
      <c r="K254" s="658">
        <v>0</v>
      </c>
      <c r="L254" s="658">
        <v>0</v>
      </c>
      <c r="M254" s="658">
        <v>0</v>
      </c>
      <c r="N254" s="658">
        <v>0</v>
      </c>
      <c r="O254" s="658">
        <v>0</v>
      </c>
      <c r="P254" s="658">
        <v>0</v>
      </c>
      <c r="Q254" s="658">
        <v>0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">
      <c r="D255" s="89"/>
      <c r="E255" s="89" t="s">
        <v>73</v>
      </c>
      <c r="F255" s="371">
        <v>0</v>
      </c>
      <c r="G255" s="90">
        <v>0</v>
      </c>
      <c r="H255" s="90">
        <v>0</v>
      </c>
      <c r="I255" s="90">
        <v>0</v>
      </c>
      <c r="J255" s="90">
        <v>0</v>
      </c>
      <c r="K255" s="90">
        <v>0</v>
      </c>
      <c r="L255" s="90">
        <v>0</v>
      </c>
      <c r="M255" s="90">
        <v>0</v>
      </c>
      <c r="N255" s="90">
        <v>0</v>
      </c>
      <c r="O255" s="90">
        <v>0</v>
      </c>
      <c r="P255" s="90">
        <v>0</v>
      </c>
      <c r="Q255" s="90">
        <v>0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">
      <c r="D256" s="89" t="s">
        <v>115</v>
      </c>
      <c r="E256" s="89" t="s">
        <v>70</v>
      </c>
      <c r="F256" s="371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0</v>
      </c>
      <c r="O256" s="90">
        <v>0</v>
      </c>
      <c r="P256" s="90">
        <v>0</v>
      </c>
      <c r="Q256" s="90">
        <v>0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">
      <c r="D257" s="89"/>
      <c r="E257" s="89" t="s">
        <v>73</v>
      </c>
      <c r="F257" s="371">
        <v>0</v>
      </c>
      <c r="G257" s="90">
        <v>0</v>
      </c>
      <c r="H257" s="90">
        <v>0</v>
      </c>
      <c r="I257" s="90">
        <v>0</v>
      </c>
      <c r="J257" s="90">
        <v>0</v>
      </c>
      <c r="K257" s="90">
        <v>0</v>
      </c>
      <c r="L257" s="90">
        <v>0</v>
      </c>
      <c r="M257" s="90">
        <v>0</v>
      </c>
      <c r="N257" s="90">
        <v>0</v>
      </c>
      <c r="O257" s="90">
        <v>0</v>
      </c>
      <c r="P257" s="90">
        <v>0</v>
      </c>
      <c r="Q257" s="90">
        <v>0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">
      <c r="D258" s="89" t="s">
        <v>116</v>
      </c>
      <c r="E258" s="89" t="s">
        <v>70</v>
      </c>
      <c r="F258" s="371">
        <v>0</v>
      </c>
      <c r="G258" s="90">
        <v>0</v>
      </c>
      <c r="H258" s="90">
        <v>0</v>
      </c>
      <c r="I258" s="90">
        <v>0</v>
      </c>
      <c r="J258" s="90">
        <v>0</v>
      </c>
      <c r="K258" s="90">
        <v>0</v>
      </c>
      <c r="L258" s="90">
        <v>0</v>
      </c>
      <c r="M258" s="90">
        <v>0</v>
      </c>
      <c r="N258" s="90">
        <v>0</v>
      </c>
      <c r="O258" s="90">
        <v>0</v>
      </c>
      <c r="P258" s="90">
        <v>0</v>
      </c>
      <c r="Q258" s="90">
        <v>0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">
      <c r="D263" s="89"/>
      <c r="E263" s="89" t="s">
        <v>73</v>
      </c>
      <c r="F263" s="371">
        <v>0</v>
      </c>
      <c r="G263" s="90">
        <v>0</v>
      </c>
      <c r="H263" s="90">
        <v>0</v>
      </c>
      <c r="I263" s="90">
        <v>0</v>
      </c>
      <c r="J263" s="90">
        <v>0</v>
      </c>
      <c r="K263" s="90">
        <v>0</v>
      </c>
      <c r="L263" s="90">
        <v>0</v>
      </c>
      <c r="M263" s="90">
        <v>0</v>
      </c>
      <c r="N263" s="90">
        <v>0</v>
      </c>
      <c r="O263" s="90">
        <v>0</v>
      </c>
      <c r="P263" s="90">
        <v>0</v>
      </c>
      <c r="Q263" s="90">
        <v>0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">
      <c r="D264" s="89" t="s">
        <v>118</v>
      </c>
      <c r="E264" s="89" t="s">
        <v>70</v>
      </c>
      <c r="F264" s="371">
        <v>0</v>
      </c>
      <c r="G264" s="90">
        <v>0</v>
      </c>
      <c r="H264" s="90">
        <v>0</v>
      </c>
      <c r="I264" s="90">
        <v>0</v>
      </c>
      <c r="J264" s="90">
        <v>0</v>
      </c>
      <c r="K264" s="90">
        <v>0</v>
      </c>
      <c r="L264" s="90">
        <v>0</v>
      </c>
      <c r="M264" s="90">
        <v>0</v>
      </c>
      <c r="N264" s="90">
        <v>0</v>
      </c>
      <c r="O264" s="90">
        <v>0</v>
      </c>
      <c r="P264" s="90">
        <v>0</v>
      </c>
      <c r="Q264" s="90">
        <v>0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">
      <c r="C269" s="223" t="s">
        <v>120</v>
      </c>
      <c r="D269" s="223" t="s">
        <v>70</v>
      </c>
      <c r="F269" s="225">
        <v>0</v>
      </c>
      <c r="G269" s="225">
        <v>0</v>
      </c>
      <c r="H269" s="225">
        <v>0</v>
      </c>
      <c r="I269" s="225">
        <v>0</v>
      </c>
      <c r="J269" s="225">
        <v>0</v>
      </c>
      <c r="K269" s="225">
        <v>0</v>
      </c>
      <c r="L269" s="225">
        <v>0</v>
      </c>
      <c r="M269" s="225">
        <v>0</v>
      </c>
      <c r="N269" s="225">
        <v>0</v>
      </c>
      <c r="O269" s="225">
        <v>0</v>
      </c>
      <c r="P269" s="225">
        <v>0</v>
      </c>
      <c r="Q269" s="225">
        <v>0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">
      <c r="E270" s="89" t="s">
        <v>73</v>
      </c>
      <c r="F270" s="90">
        <v>0</v>
      </c>
      <c r="G270" s="90">
        <v>0</v>
      </c>
      <c r="H270" s="90">
        <v>0</v>
      </c>
      <c r="I270" s="90">
        <v>0</v>
      </c>
      <c r="J270" s="90">
        <v>0</v>
      </c>
      <c r="K270" s="90">
        <v>0</v>
      </c>
      <c r="L270" s="90">
        <v>0</v>
      </c>
      <c r="M270" s="90">
        <v>0</v>
      </c>
      <c r="N270" s="90">
        <v>0</v>
      </c>
      <c r="O270" s="90">
        <v>0</v>
      </c>
      <c r="P270" s="90">
        <v>0</v>
      </c>
      <c r="Q270" s="90">
        <v>0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">
      <c r="D271" s="89" t="s">
        <v>82</v>
      </c>
      <c r="E271" s="89" t="s">
        <v>70</v>
      </c>
      <c r="F271" s="90">
        <v>0</v>
      </c>
      <c r="G271" s="90">
        <v>0</v>
      </c>
      <c r="H271" s="90">
        <v>0</v>
      </c>
      <c r="I271" s="90">
        <v>0</v>
      </c>
      <c r="J271" s="90">
        <v>0</v>
      </c>
      <c r="K271" s="90">
        <v>0</v>
      </c>
      <c r="L271" s="90">
        <v>0</v>
      </c>
      <c r="M271" s="90">
        <v>0</v>
      </c>
      <c r="N271" s="90">
        <v>0</v>
      </c>
      <c r="O271" s="90">
        <v>0</v>
      </c>
      <c r="P271" s="90">
        <v>0</v>
      </c>
      <c r="Q271" s="90">
        <v>0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">
      <c r="E272" s="89" t="s">
        <v>73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">
      <c r="D273" s="89" t="s">
        <v>86</v>
      </c>
      <c r="E273" s="89" t="s">
        <v>70</v>
      </c>
      <c r="F273" s="90">
        <v>0</v>
      </c>
      <c r="G273" s="90">
        <v>0</v>
      </c>
      <c r="H273" s="90">
        <v>0</v>
      </c>
      <c r="I273" s="90">
        <v>0</v>
      </c>
      <c r="J273" s="90">
        <v>0</v>
      </c>
      <c r="K273" s="90">
        <v>0</v>
      </c>
      <c r="L273" s="90">
        <v>0</v>
      </c>
      <c r="M273" s="90">
        <v>0</v>
      </c>
      <c r="N273" s="90">
        <v>0</v>
      </c>
      <c r="O273" s="90">
        <v>0</v>
      </c>
      <c r="P273" s="90">
        <v>0</v>
      </c>
      <c r="Q273" s="90">
        <v>0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">
      <c r="E274" s="89" t="s">
        <v>73</v>
      </c>
      <c r="F274" s="90">
        <v>0</v>
      </c>
      <c r="G274" s="90">
        <v>0</v>
      </c>
      <c r="H274" s="90">
        <v>0</v>
      </c>
      <c r="I274" s="90">
        <v>0</v>
      </c>
      <c r="J274" s="90">
        <v>0</v>
      </c>
      <c r="K274" s="90">
        <v>0</v>
      </c>
      <c r="L274" s="90">
        <v>0</v>
      </c>
      <c r="M274" s="90">
        <v>0</v>
      </c>
      <c r="N274" s="90">
        <v>0</v>
      </c>
      <c r="O274" s="90">
        <v>0</v>
      </c>
      <c r="P274" s="90">
        <v>0</v>
      </c>
      <c r="Q274" s="90">
        <v>0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">
      <c r="D275" s="89" t="s">
        <v>87</v>
      </c>
      <c r="E275" s="89" t="s">
        <v>70</v>
      </c>
      <c r="F275" s="90">
        <v>0</v>
      </c>
      <c r="G275" s="90">
        <v>0</v>
      </c>
      <c r="H275" s="90">
        <v>0</v>
      </c>
      <c r="I275" s="90">
        <v>0</v>
      </c>
      <c r="J275" s="90">
        <v>0</v>
      </c>
      <c r="K275" s="90">
        <v>0</v>
      </c>
      <c r="L275" s="90">
        <v>0</v>
      </c>
      <c r="M275" s="90">
        <v>0</v>
      </c>
      <c r="N275" s="90">
        <v>0</v>
      </c>
      <c r="O275" s="90">
        <v>0</v>
      </c>
      <c r="P275" s="90">
        <v>0</v>
      </c>
      <c r="Q275" s="90">
        <v>0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">
      <c r="C276" s="101" t="s">
        <v>119</v>
      </c>
      <c r="D276" s="101" t="s">
        <v>70</v>
      </c>
      <c r="F276" s="93">
        <v>0</v>
      </c>
      <c r="G276" s="93">
        <v>0</v>
      </c>
      <c r="H276" s="93">
        <v>0</v>
      </c>
      <c r="I276" s="93">
        <v>0</v>
      </c>
      <c r="J276" s="93">
        <v>0</v>
      </c>
      <c r="K276" s="93">
        <v>0</v>
      </c>
      <c r="L276" s="93">
        <v>0</v>
      </c>
      <c r="M276" s="93">
        <v>0</v>
      </c>
      <c r="N276" s="93">
        <v>0</v>
      </c>
      <c r="O276" s="93">
        <v>0</v>
      </c>
      <c r="P276" s="93">
        <v>0</v>
      </c>
      <c r="Q276" s="93">
        <v>0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">
      <c r="B277" s="98" t="s">
        <v>112</v>
      </c>
      <c r="C277" s="98" t="s">
        <v>70</v>
      </c>
      <c r="F277" s="100">
        <v>0</v>
      </c>
      <c r="G277" s="100">
        <v>0</v>
      </c>
      <c r="H277" s="100">
        <v>0</v>
      </c>
      <c r="I277" s="100">
        <v>0</v>
      </c>
      <c r="J277" s="100">
        <v>0</v>
      </c>
      <c r="K277" s="100">
        <v>0</v>
      </c>
      <c r="L277" s="100">
        <v>0</v>
      </c>
      <c r="M277" s="100">
        <v>0</v>
      </c>
      <c r="N277" s="100">
        <v>0</v>
      </c>
      <c r="O277" s="100">
        <v>0</v>
      </c>
      <c r="P277" s="100">
        <v>0</v>
      </c>
      <c r="Q277" s="100">
        <v>0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">
      <c r="A278" s="89" t="s">
        <v>79</v>
      </c>
      <c r="B278" s="89" t="s">
        <v>70</v>
      </c>
      <c r="F278" s="90">
        <v>0</v>
      </c>
      <c r="G278" s="90">
        <v>0</v>
      </c>
      <c r="H278" s="90">
        <v>0</v>
      </c>
      <c r="I278" s="90">
        <v>0</v>
      </c>
      <c r="J278" s="90">
        <v>0</v>
      </c>
      <c r="K278" s="90">
        <v>0</v>
      </c>
      <c r="L278" s="90">
        <v>0</v>
      </c>
      <c r="M278" s="90">
        <v>0</v>
      </c>
      <c r="N278" s="90">
        <v>0</v>
      </c>
      <c r="O278" s="90">
        <v>0</v>
      </c>
      <c r="P278" s="90">
        <v>0</v>
      </c>
      <c r="Q278" s="90">
        <v>0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">
      <c r="A279" s="89" t="s">
        <v>70</v>
      </c>
      <c r="F279" s="90">
        <v>0</v>
      </c>
      <c r="G279" s="90">
        <v>0</v>
      </c>
      <c r="H279" s="90">
        <v>0</v>
      </c>
      <c r="I279" s="90">
        <v>0</v>
      </c>
      <c r="J279" s="90">
        <v>0</v>
      </c>
      <c r="K279" s="90">
        <v>0</v>
      </c>
      <c r="L279" s="90">
        <v>0</v>
      </c>
      <c r="M279" s="90">
        <v>0</v>
      </c>
      <c r="N279" s="90">
        <v>0</v>
      </c>
      <c r="O279" s="90">
        <v>0</v>
      </c>
      <c r="P279" s="90">
        <v>0</v>
      </c>
      <c r="Q279" s="90">
        <v>0</v>
      </c>
      <c r="R279" s="90">
        <v>0</v>
      </c>
      <c r="S279" s="90">
        <v>0</v>
      </c>
      <c r="T279" s="90">
        <v>0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0</v>
      </c>
    </row>
    <row r="280" spans="1:26" ht="12.75" customHeight="1" x14ac:dyDescent="0.2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">
      <c r="C323" s="779" t="s">
        <v>2</v>
      </c>
      <c r="D323" s="776" t="s">
        <v>132</v>
      </c>
      <c r="E323" s="98" t="s">
        <v>70</v>
      </c>
      <c r="F323" s="100">
        <f>F224+F277-L224+F149-L149</f>
        <v>0</v>
      </c>
      <c r="G323" s="100">
        <f>G224+G149</f>
        <v>0</v>
      </c>
      <c r="H323" s="100">
        <f t="shared" ref="H323:AP323" si="9">H224+H149</f>
        <v>0</v>
      </c>
      <c r="I323" s="100">
        <f t="shared" si="9"/>
        <v>0</v>
      </c>
      <c r="J323" s="100">
        <f t="shared" si="9"/>
        <v>0</v>
      </c>
      <c r="K323" s="100">
        <f t="shared" si="9"/>
        <v>0</v>
      </c>
      <c r="L323" s="100">
        <f t="shared" si="9"/>
        <v>0</v>
      </c>
      <c r="M323" s="100">
        <f t="shared" si="9"/>
        <v>0</v>
      </c>
      <c r="N323" s="100">
        <f t="shared" si="9"/>
        <v>0</v>
      </c>
      <c r="O323" s="100">
        <f t="shared" si="9"/>
        <v>0</v>
      </c>
      <c r="P323" s="100">
        <f t="shared" si="9"/>
        <v>0</v>
      </c>
      <c r="Q323" s="100">
        <f t="shared" si="9"/>
        <v>0</v>
      </c>
      <c r="R323" s="100">
        <f t="shared" si="9"/>
        <v>0</v>
      </c>
      <c r="S323" s="100">
        <f t="shared" si="9"/>
        <v>0</v>
      </c>
      <c r="T323" s="100">
        <f t="shared" si="9"/>
        <v>0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0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">
      <c r="C324" s="779"/>
      <c r="D324" s="776"/>
      <c r="E324" s="98" t="s">
        <v>73</v>
      </c>
      <c r="F324" s="100">
        <f>F277</f>
        <v>0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">
      <c r="C325" s="779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">
      <c r="C326" s="779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">
      <c r="C328" s="779" t="s">
        <v>160</v>
      </c>
      <c r="D328" s="776" t="s">
        <v>132</v>
      </c>
      <c r="E328" s="223" t="s">
        <v>70</v>
      </c>
      <c r="F328" s="225">
        <f>F269+F213+F141-L141-M213</f>
        <v>0</v>
      </c>
      <c r="G328" s="225">
        <f>G213+G141</f>
        <v>0</v>
      </c>
      <c r="H328" s="225">
        <f t="shared" ref="H328:AP328" si="11">H213+H141</f>
        <v>0</v>
      </c>
      <c r="I328" s="225">
        <f t="shared" si="11"/>
        <v>0</v>
      </c>
      <c r="J328" s="225">
        <f t="shared" si="11"/>
        <v>0</v>
      </c>
      <c r="K328" s="225">
        <f t="shared" si="11"/>
        <v>0</v>
      </c>
      <c r="L328" s="225">
        <f t="shared" si="11"/>
        <v>0</v>
      </c>
      <c r="M328" s="225">
        <f t="shared" si="11"/>
        <v>0</v>
      </c>
      <c r="N328" s="225">
        <f t="shared" si="11"/>
        <v>0</v>
      </c>
      <c r="O328" s="225">
        <f t="shared" si="11"/>
        <v>0</v>
      </c>
      <c r="P328" s="225">
        <f t="shared" si="11"/>
        <v>0</v>
      </c>
      <c r="Q328" s="225">
        <f t="shared" si="11"/>
        <v>0</v>
      </c>
      <c r="R328" s="225">
        <f t="shared" si="11"/>
        <v>0</v>
      </c>
      <c r="S328" s="225">
        <f t="shared" si="11"/>
        <v>0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0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">
      <c r="C329" s="779"/>
      <c r="D329" s="776"/>
      <c r="E329" s="223" t="s">
        <v>73</v>
      </c>
      <c r="F329" s="225">
        <f>F269</f>
        <v>0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">
      <c r="C333" s="779" t="s">
        <v>155</v>
      </c>
      <c r="D333" s="776" t="s">
        <v>132</v>
      </c>
      <c r="E333" s="221" t="s">
        <v>70</v>
      </c>
      <c r="F333" s="222">
        <f>F254+F191+F126--L126-L191</f>
        <v>0</v>
      </c>
      <c r="G333" s="222">
        <f t="shared" ref="G333:AA333" si="13">G191+G126</f>
        <v>0</v>
      </c>
      <c r="H333" s="222">
        <f t="shared" si="13"/>
        <v>0</v>
      </c>
      <c r="I333" s="222">
        <f t="shared" si="13"/>
        <v>0</v>
      </c>
      <c r="J333" s="222">
        <f t="shared" si="13"/>
        <v>0</v>
      </c>
      <c r="K333" s="222">
        <f t="shared" si="13"/>
        <v>0</v>
      </c>
      <c r="L333" s="222">
        <f t="shared" si="13"/>
        <v>0</v>
      </c>
      <c r="M333" s="222">
        <f t="shared" si="13"/>
        <v>0</v>
      </c>
      <c r="N333" s="222">
        <f t="shared" si="13"/>
        <v>0</v>
      </c>
      <c r="O333" s="222">
        <f t="shared" si="13"/>
        <v>0</v>
      </c>
      <c r="P333" s="222">
        <f t="shared" si="13"/>
        <v>0</v>
      </c>
      <c r="Q333" s="222">
        <f t="shared" si="13"/>
        <v>0</v>
      </c>
      <c r="R333" s="222">
        <f t="shared" si="13"/>
        <v>0</v>
      </c>
      <c r="S333" s="222">
        <f t="shared" si="13"/>
        <v>0</v>
      </c>
      <c r="T333" s="222">
        <f t="shared" si="13"/>
        <v>0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0</v>
      </c>
      <c r="AA333" s="222">
        <f t="shared" si="13"/>
        <v>0</v>
      </c>
    </row>
    <row r="334" spans="1:42" ht="12.75" customHeight="1" x14ac:dyDescent="0.2">
      <c r="C334" s="779"/>
      <c r="D334" s="776"/>
      <c r="E334" s="221" t="s">
        <v>73</v>
      </c>
      <c r="F334" s="222">
        <f>F254</f>
        <v>0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">
      <c r="C335" s="779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">
      <c r="C336" s="779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">
      <c r="C338" s="777" t="s">
        <v>326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">
      <c r="C343" s="779" t="s">
        <v>119</v>
      </c>
      <c r="D343" s="776" t="s">
        <v>132</v>
      </c>
      <c r="E343" s="101" t="s">
        <v>70</v>
      </c>
      <c r="F343" s="93">
        <f>F276+F223+F148-L148-L223</f>
        <v>0</v>
      </c>
      <c r="G343" s="93">
        <f t="shared" ref="G343:AP343" si="15">G223+G148</f>
        <v>0</v>
      </c>
      <c r="H343" s="93">
        <f t="shared" si="15"/>
        <v>0</v>
      </c>
      <c r="I343" s="93">
        <f t="shared" si="15"/>
        <v>0</v>
      </c>
      <c r="J343" s="93">
        <f t="shared" si="15"/>
        <v>0</v>
      </c>
      <c r="K343" s="93">
        <f t="shared" si="15"/>
        <v>0</v>
      </c>
      <c r="L343" s="93">
        <f t="shared" si="15"/>
        <v>0</v>
      </c>
      <c r="M343" s="93">
        <f t="shared" si="15"/>
        <v>0</v>
      </c>
      <c r="N343" s="93">
        <f t="shared" si="15"/>
        <v>0</v>
      </c>
      <c r="O343" s="93">
        <f t="shared" si="15"/>
        <v>0</v>
      </c>
      <c r="P343" s="93">
        <f t="shared" si="15"/>
        <v>0</v>
      </c>
      <c r="Q343" s="93">
        <f t="shared" si="15"/>
        <v>0</v>
      </c>
      <c r="R343" s="93">
        <f t="shared" si="15"/>
        <v>0</v>
      </c>
      <c r="S343" s="93">
        <f t="shared" si="15"/>
        <v>0</v>
      </c>
      <c r="T343" s="93">
        <f t="shared" si="15"/>
        <v>0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0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">
      <c r="C344" s="779"/>
      <c r="D344" s="776"/>
      <c r="E344" s="101" t="s">
        <v>73</v>
      </c>
      <c r="F344" s="93">
        <f>F276</f>
        <v>0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">
      <c r="C345" s="779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">
      <c r="C346" s="779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">
      <c r="D353" s="458" t="s">
        <v>186</v>
      </c>
      <c r="E353" s="459" t="s">
        <v>70</v>
      </c>
      <c r="F353" s="460">
        <f>F149</f>
        <v>0</v>
      </c>
      <c r="G353" s="460">
        <f t="shared" ref="G353:AA353" si="17">G149</f>
        <v>0</v>
      </c>
      <c r="H353" s="460">
        <f t="shared" si="17"/>
        <v>0</v>
      </c>
      <c r="I353" s="460">
        <f t="shared" si="17"/>
        <v>0</v>
      </c>
      <c r="J353" s="460">
        <f t="shared" si="17"/>
        <v>0</v>
      </c>
      <c r="K353" s="460">
        <f t="shared" si="17"/>
        <v>0</v>
      </c>
      <c r="L353" s="460">
        <f t="shared" si="17"/>
        <v>0</v>
      </c>
      <c r="M353" s="460">
        <f t="shared" si="17"/>
        <v>0</v>
      </c>
      <c r="N353" s="460">
        <f t="shared" si="17"/>
        <v>0</v>
      </c>
      <c r="O353" s="460">
        <f t="shared" si="17"/>
        <v>0</v>
      </c>
      <c r="P353" s="460">
        <f t="shared" si="17"/>
        <v>0</v>
      </c>
      <c r="Q353" s="460">
        <f t="shared" si="17"/>
        <v>0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">
      <c r="E363" s="89" t="s">
        <v>72</v>
      </c>
      <c r="F363" s="371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">
      <c r="D364" t="s">
        <v>86</v>
      </c>
      <c r="E364" s="89" t="s">
        <v>70</v>
      </c>
      <c r="F364" s="371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">
      <c r="C367" s="101" t="s">
        <v>119</v>
      </c>
      <c r="D367" s="101" t="s">
        <v>70</v>
      </c>
      <c r="F367" s="93">
        <v>0</v>
      </c>
      <c r="G367" s="93"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">
      <c r="B368" t="s">
        <v>112</v>
      </c>
      <c r="C368" t="s">
        <v>70</v>
      </c>
      <c r="E368" s="89"/>
      <c r="F368" s="371">
        <v>0</v>
      </c>
      <c r="G368" s="90">
        <v>0</v>
      </c>
      <c r="H368" s="90">
        <v>0</v>
      </c>
      <c r="I368" s="90">
        <v>0</v>
      </c>
      <c r="J368" s="90">
        <v>0</v>
      </c>
      <c r="K368" s="90">
        <v>0</v>
      </c>
      <c r="L368" s="90">
        <v>0</v>
      </c>
      <c r="M368" s="90">
        <v>0</v>
      </c>
      <c r="N368" s="90">
        <v>0</v>
      </c>
      <c r="O368" s="90">
        <v>0</v>
      </c>
      <c r="P368" s="90">
        <v>0</v>
      </c>
      <c r="Q368" s="90">
        <v>0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">
      <c r="A369" s="458" t="s">
        <v>186</v>
      </c>
      <c r="B369" s="458" t="s">
        <v>70</v>
      </c>
      <c r="F369" s="458">
        <v>0</v>
      </c>
      <c r="G369" s="458">
        <v>0</v>
      </c>
      <c r="H369" s="458">
        <v>0</v>
      </c>
      <c r="I369" s="458">
        <v>0</v>
      </c>
      <c r="J369" s="458">
        <v>0</v>
      </c>
      <c r="K369" s="458">
        <v>0</v>
      </c>
      <c r="L369" s="458">
        <v>0</v>
      </c>
      <c r="M369" s="458">
        <v>0</v>
      </c>
      <c r="N369" s="458">
        <v>0</v>
      </c>
      <c r="O369" s="458">
        <v>0</v>
      </c>
      <c r="P369" s="458">
        <v>0</v>
      </c>
      <c r="Q369" s="458">
        <v>0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">
      <c r="E370" t="s">
        <v>72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 s="90">
        <v>0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">
      <c r="E371" t="s">
        <v>81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 s="90">
        <v>0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">
      <c r="D372" t="s">
        <v>156</v>
      </c>
      <c r="E372" t="s">
        <v>70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 s="90">
        <v>0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">
      <c r="C373" s="286" t="s">
        <v>155</v>
      </c>
      <c r="D373" s="286" t="s">
        <v>70</v>
      </c>
      <c r="F373" s="230">
        <v>0</v>
      </c>
      <c r="G373" s="230">
        <v>0</v>
      </c>
      <c r="H373" s="230">
        <v>0</v>
      </c>
      <c r="I373" s="230">
        <v>0</v>
      </c>
      <c r="J373" s="230">
        <v>0</v>
      </c>
      <c r="K373" s="230">
        <v>0</v>
      </c>
      <c r="L373" s="230">
        <v>0</v>
      </c>
      <c r="M373" s="230">
        <v>0</v>
      </c>
      <c r="N373" s="230">
        <v>0</v>
      </c>
      <c r="O373" s="230">
        <v>0</v>
      </c>
      <c r="P373" s="230">
        <v>0</v>
      </c>
      <c r="Q373" s="230">
        <v>0</v>
      </c>
      <c r="R373" s="230">
        <v>0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">
      <c r="E374" t="s">
        <v>72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370.08</v>
      </c>
      <c r="R374" s="90">
        <v>-1.95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">
      <c r="E375" t="s">
        <v>81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7.0000000000000007E-2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">
      <c r="D376" t="s">
        <v>82</v>
      </c>
      <c r="E376" t="s">
        <v>70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370.15</v>
      </c>
      <c r="R376" s="90">
        <v>-1.95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">
      <c r="C383" s="101" t="s">
        <v>119</v>
      </c>
      <c r="D383" s="101" t="s">
        <v>70</v>
      </c>
      <c r="F383" s="93">
        <v>0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">
      <c r="B384" s="378" t="s">
        <v>122</v>
      </c>
      <c r="C384" s="378" t="s">
        <v>70</v>
      </c>
      <c r="E384" s="376"/>
      <c r="F384" s="710">
        <v>0</v>
      </c>
      <c r="G384" s="377">
        <v>0</v>
      </c>
      <c r="H384" s="377">
        <v>0</v>
      </c>
      <c r="I384" s="377">
        <v>0</v>
      </c>
      <c r="J384" s="377">
        <v>0</v>
      </c>
      <c r="K384" s="377">
        <v>0</v>
      </c>
      <c r="L384" s="377">
        <v>0</v>
      </c>
      <c r="M384" s="377">
        <v>0</v>
      </c>
      <c r="N384" s="377">
        <v>0</v>
      </c>
      <c r="O384" s="377">
        <v>0</v>
      </c>
      <c r="P384" s="377">
        <v>0</v>
      </c>
      <c r="Q384" s="377">
        <v>0</v>
      </c>
      <c r="R384" s="377">
        <v>0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">
      <c r="E385" s="89" t="s">
        <v>72</v>
      </c>
      <c r="F385" s="371">
        <v>0</v>
      </c>
      <c r="G385" s="90">
        <v>0</v>
      </c>
      <c r="H385" s="90">
        <v>0</v>
      </c>
      <c r="I385" s="90">
        <v>0</v>
      </c>
      <c r="J385" s="90">
        <v>0</v>
      </c>
      <c r="K385" s="90">
        <v>0</v>
      </c>
      <c r="L385" s="90">
        <v>0</v>
      </c>
      <c r="M385" s="90">
        <v>0</v>
      </c>
      <c r="N385" s="90">
        <v>0</v>
      </c>
      <c r="O385" s="90">
        <v>0</v>
      </c>
      <c r="P385" s="90">
        <v>0</v>
      </c>
      <c r="Q385" s="90">
        <v>0</v>
      </c>
      <c r="R385" s="90">
        <v>0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">
      <c r="E386" s="89" t="s">
        <v>81</v>
      </c>
      <c r="F386" s="371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 s="90">
        <v>0</v>
      </c>
      <c r="S386" s="90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">
      <c r="D387" t="s">
        <v>156</v>
      </c>
      <c r="E387" s="89" t="s">
        <v>70</v>
      </c>
      <c r="F387" s="90">
        <v>0</v>
      </c>
      <c r="G387" s="90">
        <v>0</v>
      </c>
      <c r="H387" s="90">
        <v>0</v>
      </c>
      <c r="I387" s="90">
        <v>0</v>
      </c>
      <c r="J387" s="90">
        <v>0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0</v>
      </c>
      <c r="Q387" s="90">
        <v>0</v>
      </c>
      <c r="R387" s="90">
        <v>0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">
      <c r="C388" s="286" t="s">
        <v>155</v>
      </c>
      <c r="D388" s="286" t="s">
        <v>70</v>
      </c>
      <c r="E388" s="229"/>
      <c r="F388" s="229">
        <v>0</v>
      </c>
      <c r="G388" s="230">
        <v>0</v>
      </c>
      <c r="H388" s="230">
        <v>0</v>
      </c>
      <c r="I388" s="230">
        <v>0</v>
      </c>
      <c r="J388" s="230">
        <v>0</v>
      </c>
      <c r="K388" s="230">
        <v>0</v>
      </c>
      <c r="L388" s="230">
        <v>0</v>
      </c>
      <c r="M388" s="230">
        <v>0</v>
      </c>
      <c r="N388" s="230">
        <v>0</v>
      </c>
      <c r="O388" s="230">
        <v>0</v>
      </c>
      <c r="P388" s="230">
        <v>0</v>
      </c>
      <c r="Q388" s="230">
        <v>0</v>
      </c>
      <c r="R388" s="230">
        <v>0</v>
      </c>
      <c r="S388" s="230">
        <v>0</v>
      </c>
      <c r="T388" s="230">
        <v>0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">
      <c r="E389" s="89" t="s">
        <v>72</v>
      </c>
      <c r="F389" s="90">
        <v>0</v>
      </c>
      <c r="G389" s="90">
        <v>0</v>
      </c>
      <c r="H389" s="90">
        <v>0</v>
      </c>
      <c r="I389" s="90">
        <v>0</v>
      </c>
      <c r="J389" s="90">
        <v>0</v>
      </c>
      <c r="K389" s="90">
        <v>0</v>
      </c>
      <c r="L389" s="90">
        <v>0</v>
      </c>
      <c r="M389" s="90">
        <v>0</v>
      </c>
      <c r="N389" s="90">
        <v>0</v>
      </c>
      <c r="O389" s="90">
        <v>0</v>
      </c>
      <c r="P389" s="90">
        <v>0</v>
      </c>
      <c r="Q389" s="90">
        <v>0</v>
      </c>
      <c r="R389" s="90">
        <v>0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">
      <c r="E390" s="89" t="s">
        <v>81</v>
      </c>
      <c r="F390" s="90">
        <v>0</v>
      </c>
      <c r="G390" s="90">
        <v>0</v>
      </c>
      <c r="H390" s="90">
        <v>0</v>
      </c>
      <c r="I390" s="90">
        <v>0</v>
      </c>
      <c r="J390" s="90">
        <v>0</v>
      </c>
      <c r="K390" s="90">
        <v>0</v>
      </c>
      <c r="L390" s="90">
        <v>0</v>
      </c>
      <c r="M390" s="90">
        <v>0</v>
      </c>
      <c r="N390" s="90">
        <v>0</v>
      </c>
      <c r="O390" s="90">
        <v>0</v>
      </c>
      <c r="P390" s="90">
        <v>0</v>
      </c>
      <c r="Q390" s="90">
        <v>0</v>
      </c>
      <c r="R390" s="90">
        <v>0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">
      <c r="D391" s="89" t="s">
        <v>82</v>
      </c>
      <c r="E391" s="89" t="s">
        <v>70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  <c r="L391" s="90">
        <v>0</v>
      </c>
      <c r="M391" s="90">
        <v>0</v>
      </c>
      <c r="N391" s="90">
        <v>0</v>
      </c>
      <c r="O391" s="90">
        <v>0</v>
      </c>
      <c r="P391" s="90">
        <v>0</v>
      </c>
      <c r="Q391" s="90">
        <v>0</v>
      </c>
      <c r="R391" s="90">
        <v>0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">
      <c r="D392" s="89"/>
      <c r="E392" s="89" t="s">
        <v>72</v>
      </c>
      <c r="F392" s="90">
        <v>0</v>
      </c>
      <c r="G392" s="90">
        <v>0</v>
      </c>
      <c r="H392" s="90">
        <v>0</v>
      </c>
      <c r="I392" s="90">
        <v>0</v>
      </c>
      <c r="J392" s="90">
        <v>0</v>
      </c>
      <c r="K392" s="90">
        <v>0</v>
      </c>
      <c r="L392" s="90">
        <v>0</v>
      </c>
      <c r="M392" s="90">
        <v>0</v>
      </c>
      <c r="N392" s="90">
        <v>0</v>
      </c>
      <c r="O392" s="90">
        <v>0</v>
      </c>
      <c r="P392" s="90">
        <v>0</v>
      </c>
      <c r="Q392" s="90">
        <v>0</v>
      </c>
      <c r="R392" s="90">
        <v>0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">
      <c r="E393" s="89" t="s">
        <v>81</v>
      </c>
      <c r="F393" s="90">
        <v>0</v>
      </c>
      <c r="G393" s="90">
        <v>0</v>
      </c>
      <c r="H393" s="90">
        <v>0</v>
      </c>
      <c r="I393" s="90">
        <v>0</v>
      </c>
      <c r="J393" s="90">
        <v>0</v>
      </c>
      <c r="K393" s="90">
        <v>0</v>
      </c>
      <c r="L393" s="90">
        <v>0</v>
      </c>
      <c r="M393" s="90">
        <v>0</v>
      </c>
      <c r="N393" s="90">
        <v>0</v>
      </c>
      <c r="O393" s="90">
        <v>0</v>
      </c>
      <c r="P393" s="90">
        <v>0</v>
      </c>
      <c r="Q393" s="90">
        <v>0</v>
      </c>
      <c r="R393" s="90">
        <v>0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">
      <c r="D394" s="89" t="s">
        <v>86</v>
      </c>
      <c r="E394" s="89" t="s">
        <v>70</v>
      </c>
      <c r="F394" s="90">
        <v>0</v>
      </c>
      <c r="G394" s="90">
        <v>0</v>
      </c>
      <c r="H394" s="90">
        <v>0</v>
      </c>
      <c r="I394" s="90">
        <v>0</v>
      </c>
      <c r="J394" s="90">
        <v>0</v>
      </c>
      <c r="K394" s="90">
        <v>0</v>
      </c>
      <c r="L394" s="90">
        <v>0</v>
      </c>
      <c r="M394" s="90">
        <v>0</v>
      </c>
      <c r="N394" s="90">
        <v>0</v>
      </c>
      <c r="O394" s="90">
        <v>0</v>
      </c>
      <c r="P394" s="90">
        <v>0</v>
      </c>
      <c r="Q394" s="90">
        <v>0</v>
      </c>
      <c r="R394" s="90">
        <v>0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">
      <c r="E395" s="89" t="s">
        <v>72</v>
      </c>
      <c r="F395" s="90">
        <v>0</v>
      </c>
      <c r="G395" s="90">
        <v>0</v>
      </c>
      <c r="H395" s="90">
        <v>0</v>
      </c>
      <c r="I395" s="90">
        <v>0</v>
      </c>
      <c r="J395" s="90">
        <v>0</v>
      </c>
      <c r="K395" s="90">
        <v>0</v>
      </c>
      <c r="L395" s="90">
        <v>0</v>
      </c>
      <c r="M395" s="90">
        <v>0</v>
      </c>
      <c r="N395" s="90">
        <v>0</v>
      </c>
      <c r="O395" s="90">
        <v>0</v>
      </c>
      <c r="P395" s="90">
        <v>0</v>
      </c>
      <c r="Q395" s="90">
        <v>0</v>
      </c>
      <c r="R395" s="90">
        <v>0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">
      <c r="E396" s="89" t="s">
        <v>81</v>
      </c>
      <c r="F396" s="90">
        <v>0</v>
      </c>
      <c r="G396" s="90">
        <v>0</v>
      </c>
      <c r="H396" s="90">
        <v>0</v>
      </c>
      <c r="I396" s="90">
        <v>0</v>
      </c>
      <c r="J396" s="90">
        <v>0</v>
      </c>
      <c r="K396" s="90">
        <v>0</v>
      </c>
      <c r="L396" s="90">
        <v>0</v>
      </c>
      <c r="M396" s="90">
        <v>0</v>
      </c>
      <c r="N396" s="90">
        <v>0</v>
      </c>
      <c r="O396" s="90">
        <v>0</v>
      </c>
      <c r="P396" s="90">
        <v>0</v>
      </c>
      <c r="Q396" s="90">
        <v>0</v>
      </c>
      <c r="R396" s="90">
        <v>0</v>
      </c>
      <c r="S396" s="90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">
      <c r="D397" s="89" t="s">
        <v>87</v>
      </c>
      <c r="E397" s="89" t="s">
        <v>70</v>
      </c>
      <c r="F397" s="90">
        <v>0</v>
      </c>
      <c r="G397" s="90">
        <v>0</v>
      </c>
      <c r="H397" s="90">
        <v>0</v>
      </c>
      <c r="I397" s="90">
        <v>0</v>
      </c>
      <c r="J397" s="90">
        <v>0</v>
      </c>
      <c r="K397" s="90">
        <v>0</v>
      </c>
      <c r="L397" s="90">
        <v>0</v>
      </c>
      <c r="M397" s="90">
        <v>0</v>
      </c>
      <c r="N397" s="90">
        <v>0</v>
      </c>
      <c r="O397" s="90">
        <v>0</v>
      </c>
      <c r="P397" s="90">
        <v>0</v>
      </c>
      <c r="Q397" s="90">
        <v>0</v>
      </c>
      <c r="R397" s="90">
        <v>0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">
      <c r="C398" s="101" t="s">
        <v>119</v>
      </c>
      <c r="D398" s="101" t="s">
        <v>70</v>
      </c>
      <c r="F398" s="93">
        <v>0</v>
      </c>
      <c r="G398" s="93">
        <v>0</v>
      </c>
      <c r="H398" s="93">
        <v>0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4">
        <v>0</v>
      </c>
      <c r="U398" s="94">
        <v>0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">
      <c r="B399" s="98" t="s">
        <v>112</v>
      </c>
      <c r="C399" s="98" t="s">
        <v>70</v>
      </c>
      <c r="F399" s="100">
        <v>0</v>
      </c>
      <c r="G399" s="100">
        <v>0</v>
      </c>
      <c r="H399" s="100">
        <v>0</v>
      </c>
      <c r="I399" s="100">
        <v>0</v>
      </c>
      <c r="J399" s="100">
        <v>0</v>
      </c>
      <c r="K399" s="100">
        <v>0</v>
      </c>
      <c r="L399" s="100">
        <v>0</v>
      </c>
      <c r="M399" s="100">
        <v>0</v>
      </c>
      <c r="N399" s="100">
        <v>0</v>
      </c>
      <c r="O399" s="100">
        <v>0</v>
      </c>
      <c r="P399" s="100">
        <v>0</v>
      </c>
      <c r="Q399" s="100">
        <v>0</v>
      </c>
      <c r="R399" s="100">
        <v>0</v>
      </c>
      <c r="S399" s="100">
        <v>0</v>
      </c>
      <c r="T399" s="226">
        <v>0</v>
      </c>
      <c r="U399" s="226">
        <v>0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">
      <c r="A400" s="89" t="s">
        <v>78</v>
      </c>
      <c r="B400" s="89" t="s">
        <v>70</v>
      </c>
      <c r="F400" s="90">
        <v>0</v>
      </c>
      <c r="G400" s="90">
        <v>0</v>
      </c>
      <c r="H400" s="90">
        <v>0</v>
      </c>
      <c r="I400" s="90">
        <v>0</v>
      </c>
      <c r="J400" s="90">
        <v>0</v>
      </c>
      <c r="K400" s="90">
        <v>0</v>
      </c>
      <c r="L400" s="90">
        <v>0</v>
      </c>
      <c r="M400" s="90">
        <v>0</v>
      </c>
      <c r="N400" s="90">
        <v>0</v>
      </c>
      <c r="O400" s="90">
        <v>0</v>
      </c>
      <c r="P400" s="90">
        <v>0</v>
      </c>
      <c r="Q400" s="90">
        <v>0</v>
      </c>
      <c r="R400" s="90">
        <v>0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">
      <c r="E401" t="s">
        <v>73</v>
      </c>
      <c r="F401" s="90">
        <v>0</v>
      </c>
      <c r="G401" s="90">
        <v>0</v>
      </c>
      <c r="H401" s="90">
        <v>0</v>
      </c>
      <c r="I401" s="90">
        <v>0</v>
      </c>
      <c r="J401" s="90">
        <v>0</v>
      </c>
      <c r="K401" s="90">
        <v>0</v>
      </c>
      <c r="L401" s="90">
        <v>0</v>
      </c>
      <c r="M401" s="90">
        <v>0</v>
      </c>
      <c r="N401" s="90">
        <v>0</v>
      </c>
      <c r="O401" s="90">
        <v>0</v>
      </c>
      <c r="P401" s="90">
        <v>0</v>
      </c>
      <c r="Q401" s="90">
        <v>0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">
      <c r="D402" t="s">
        <v>156</v>
      </c>
      <c r="E402" t="s">
        <v>70</v>
      </c>
      <c r="F402" s="90">
        <v>0</v>
      </c>
      <c r="G402" s="90">
        <v>0</v>
      </c>
      <c r="H402" s="90">
        <v>0</v>
      </c>
      <c r="I402" s="90">
        <v>0</v>
      </c>
      <c r="J402" s="90">
        <v>0</v>
      </c>
      <c r="K402" s="90">
        <v>0</v>
      </c>
      <c r="L402" s="90">
        <v>0</v>
      </c>
      <c r="M402" s="90">
        <v>0</v>
      </c>
      <c r="N402" s="90">
        <v>0</v>
      </c>
      <c r="O402" s="90">
        <v>0</v>
      </c>
      <c r="P402" s="90">
        <v>0</v>
      </c>
      <c r="Q402" s="90">
        <v>0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">
      <c r="C403" s="286" t="s">
        <v>155</v>
      </c>
      <c r="D403" s="286" t="s">
        <v>70</v>
      </c>
      <c r="E403" s="229"/>
      <c r="F403" s="229">
        <v>0</v>
      </c>
      <c r="G403" s="230">
        <v>0</v>
      </c>
      <c r="H403" s="230">
        <v>0</v>
      </c>
      <c r="I403" s="230">
        <v>0</v>
      </c>
      <c r="J403" s="230">
        <v>0</v>
      </c>
      <c r="K403" s="230">
        <v>0</v>
      </c>
      <c r="L403" s="230">
        <v>0</v>
      </c>
      <c r="M403" s="230">
        <v>0</v>
      </c>
      <c r="N403" s="230">
        <v>0</v>
      </c>
      <c r="O403" s="230">
        <v>0</v>
      </c>
      <c r="P403" s="230">
        <v>0</v>
      </c>
      <c r="Q403" s="230">
        <v>0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">
      <c r="E404" t="s">
        <v>73</v>
      </c>
      <c r="F404" s="90">
        <v>0</v>
      </c>
      <c r="G404" s="90">
        <v>0</v>
      </c>
      <c r="H404" s="90">
        <v>0</v>
      </c>
      <c r="I404" s="90">
        <v>0</v>
      </c>
      <c r="J404" s="90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">
      <c r="D405" t="s">
        <v>82</v>
      </c>
      <c r="E405" t="s">
        <v>70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">
      <c r="C410" s="101" t="s">
        <v>119</v>
      </c>
      <c r="D410" s="101" t="s">
        <v>70</v>
      </c>
      <c r="F410" s="93">
        <v>0</v>
      </c>
      <c r="G410" s="93">
        <v>0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">
      <c r="B411" s="378" t="s">
        <v>122</v>
      </c>
      <c r="C411" s="378" t="s">
        <v>70</v>
      </c>
      <c r="E411" s="376"/>
      <c r="F411" s="710">
        <v>0</v>
      </c>
      <c r="G411" s="377">
        <v>0</v>
      </c>
      <c r="H411" s="377">
        <v>0</v>
      </c>
      <c r="I411" s="377">
        <v>0</v>
      </c>
      <c r="J411" s="377">
        <v>0</v>
      </c>
      <c r="K411" s="377">
        <v>0</v>
      </c>
      <c r="L411" s="377">
        <v>0</v>
      </c>
      <c r="M411" s="377">
        <v>0</v>
      </c>
      <c r="N411" s="377">
        <v>0</v>
      </c>
      <c r="O411" s="377">
        <v>0</v>
      </c>
      <c r="P411" s="377">
        <v>0</v>
      </c>
      <c r="Q411" s="377">
        <v>0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">
      <c r="E412" s="89" t="s">
        <v>73</v>
      </c>
      <c r="F412" s="371">
        <v>0</v>
      </c>
      <c r="G412" s="90">
        <v>0</v>
      </c>
      <c r="H412" s="90">
        <v>0</v>
      </c>
      <c r="I412" s="90">
        <v>0</v>
      </c>
      <c r="J412" s="90">
        <v>0</v>
      </c>
      <c r="K412" s="90">
        <v>0</v>
      </c>
      <c r="L412" s="90">
        <v>0</v>
      </c>
      <c r="M412" s="90">
        <v>0</v>
      </c>
      <c r="N412" s="90">
        <v>0</v>
      </c>
      <c r="O412" s="90">
        <v>0</v>
      </c>
      <c r="P412" s="90">
        <v>0</v>
      </c>
      <c r="Q412" s="90">
        <v>0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">
      <c r="D413" t="s">
        <v>156</v>
      </c>
      <c r="E413" s="89" t="s">
        <v>70</v>
      </c>
      <c r="F413" s="371">
        <v>0</v>
      </c>
      <c r="G413" s="90">
        <v>0</v>
      </c>
      <c r="H413" s="90">
        <v>0</v>
      </c>
      <c r="I413" s="90">
        <v>0</v>
      </c>
      <c r="J413" s="90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">
      <c r="C414" s="286" t="s">
        <v>155</v>
      </c>
      <c r="D414" s="286" t="s">
        <v>70</v>
      </c>
      <c r="E414" s="229"/>
      <c r="F414" s="229">
        <v>0</v>
      </c>
      <c r="G414" s="230">
        <v>0</v>
      </c>
      <c r="H414" s="230">
        <v>0</v>
      </c>
      <c r="I414" s="230">
        <v>0</v>
      </c>
      <c r="J414" s="230">
        <v>0</v>
      </c>
      <c r="K414" s="230">
        <v>0</v>
      </c>
      <c r="L414" s="230">
        <v>0</v>
      </c>
      <c r="M414" s="230">
        <v>0</v>
      </c>
      <c r="N414" s="230">
        <v>0</v>
      </c>
      <c r="O414" s="230">
        <v>0</v>
      </c>
      <c r="P414" s="230">
        <v>0</v>
      </c>
      <c r="Q414" s="230">
        <v>0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">
      <c r="D415" s="89"/>
      <c r="E415" s="89" t="s">
        <v>73</v>
      </c>
      <c r="F415" s="90">
        <v>0</v>
      </c>
      <c r="G415" s="90">
        <v>0</v>
      </c>
      <c r="H415" s="90">
        <v>0</v>
      </c>
      <c r="I415" s="90">
        <v>0</v>
      </c>
      <c r="J415" s="90">
        <v>0</v>
      </c>
      <c r="K415" s="90">
        <v>0</v>
      </c>
      <c r="L415" s="90">
        <v>0</v>
      </c>
      <c r="M415" s="90">
        <v>0</v>
      </c>
      <c r="N415" s="90">
        <v>0</v>
      </c>
      <c r="O415" s="90">
        <v>0</v>
      </c>
      <c r="P415" s="90">
        <v>0</v>
      </c>
      <c r="Q415" s="90">
        <v>0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">
      <c r="D416" t="s">
        <v>82</v>
      </c>
      <c r="E416" s="89" t="s">
        <v>70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">
      <c r="D417" s="89"/>
      <c r="E417" s="89" t="s">
        <v>73</v>
      </c>
      <c r="F417" s="90">
        <v>0</v>
      </c>
      <c r="G417" s="90">
        <v>0</v>
      </c>
      <c r="H417" s="90">
        <v>0</v>
      </c>
      <c r="I417" s="90">
        <v>0</v>
      </c>
      <c r="J417" s="90">
        <v>0</v>
      </c>
      <c r="K417" s="90">
        <v>0</v>
      </c>
      <c r="L417" s="90">
        <v>0</v>
      </c>
      <c r="M417" s="90">
        <v>0</v>
      </c>
      <c r="N417" s="90">
        <v>0</v>
      </c>
      <c r="O417" s="90">
        <v>0</v>
      </c>
      <c r="P417" s="90">
        <v>0</v>
      </c>
      <c r="Q417" s="90">
        <v>0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">
      <c r="D418" t="s">
        <v>86</v>
      </c>
      <c r="E418" s="89" t="s">
        <v>70</v>
      </c>
      <c r="F418" s="90">
        <v>0</v>
      </c>
      <c r="G418" s="90">
        <v>0</v>
      </c>
      <c r="H418" s="90">
        <v>0</v>
      </c>
      <c r="I418" s="90">
        <v>0</v>
      </c>
      <c r="J418" s="90">
        <v>0</v>
      </c>
      <c r="K418" s="90">
        <v>0</v>
      </c>
      <c r="L418" s="90">
        <v>0</v>
      </c>
      <c r="M418" s="90">
        <v>0</v>
      </c>
      <c r="N418" s="90">
        <v>0</v>
      </c>
      <c r="O418" s="90">
        <v>0</v>
      </c>
      <c r="P418" s="90">
        <v>0</v>
      </c>
      <c r="Q418" s="90">
        <v>0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">
      <c r="D419" s="89"/>
      <c r="E419" s="89" t="s">
        <v>73</v>
      </c>
      <c r="F419" s="90">
        <v>0</v>
      </c>
      <c r="G419" s="90">
        <v>0</v>
      </c>
      <c r="H419" s="90">
        <v>0</v>
      </c>
      <c r="I419" s="90">
        <v>0</v>
      </c>
      <c r="J419" s="90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">
      <c r="C420" s="89"/>
      <c r="D420" s="89" t="s">
        <v>87</v>
      </c>
      <c r="E420" t="s">
        <v>70</v>
      </c>
      <c r="F420" s="90">
        <v>0</v>
      </c>
      <c r="G420" s="90">
        <v>0</v>
      </c>
      <c r="H420" s="90">
        <v>0</v>
      </c>
      <c r="I420" s="90">
        <v>0</v>
      </c>
      <c r="J420" s="90">
        <v>0</v>
      </c>
      <c r="K420" s="90">
        <v>0</v>
      </c>
      <c r="L420" s="90">
        <v>0</v>
      </c>
      <c r="M420" s="90">
        <v>0</v>
      </c>
      <c r="N420" s="90">
        <v>0</v>
      </c>
      <c r="O420" s="90">
        <v>0</v>
      </c>
      <c r="P420" s="90">
        <v>0</v>
      </c>
      <c r="Q420" s="90">
        <v>0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">
      <c r="C421" s="101" t="s">
        <v>119</v>
      </c>
      <c r="D421" s="101" t="s">
        <v>70</v>
      </c>
      <c r="F421" s="93">
        <v>0</v>
      </c>
      <c r="G421" s="93">
        <v>0</v>
      </c>
      <c r="H421" s="93">
        <v>0</v>
      </c>
      <c r="I421" s="93">
        <v>0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">
      <c r="A422" s="98"/>
      <c r="B422" s="98" t="s">
        <v>112</v>
      </c>
      <c r="C422" s="226" t="s">
        <v>70</v>
      </c>
      <c r="F422" s="100">
        <v>0</v>
      </c>
      <c r="G422" s="100">
        <v>0</v>
      </c>
      <c r="H422" s="100">
        <v>0</v>
      </c>
      <c r="I422" s="100">
        <v>0</v>
      </c>
      <c r="J422" s="100">
        <v>0</v>
      </c>
      <c r="K422" s="100">
        <v>0</v>
      </c>
      <c r="L422" s="100">
        <v>0</v>
      </c>
      <c r="M422" s="100">
        <v>0</v>
      </c>
      <c r="N422" s="100">
        <v>0</v>
      </c>
      <c r="O422" s="100">
        <v>0</v>
      </c>
      <c r="P422" s="100">
        <v>0</v>
      </c>
      <c r="Q422" s="100">
        <v>0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">
      <c r="A423" s="89" t="s">
        <v>79</v>
      </c>
      <c r="B423" t="s">
        <v>70</v>
      </c>
      <c r="F423" s="90">
        <v>0</v>
      </c>
      <c r="G423" s="90">
        <v>0</v>
      </c>
      <c r="H423" s="90">
        <v>0</v>
      </c>
      <c r="I423" s="90">
        <v>0</v>
      </c>
      <c r="J423" s="90">
        <v>0</v>
      </c>
      <c r="K423" s="90">
        <v>0</v>
      </c>
      <c r="L423" s="90">
        <v>0</v>
      </c>
      <c r="M423" s="90">
        <v>0</v>
      </c>
      <c r="N423" s="90">
        <v>0</v>
      </c>
      <c r="O423" s="90">
        <v>0</v>
      </c>
      <c r="P423" s="90">
        <v>0</v>
      </c>
      <c r="Q423" s="90">
        <v>0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">
      <c r="A424" t="s">
        <v>70</v>
      </c>
      <c r="E424" s="89"/>
      <c r="F424" s="90">
        <v>0</v>
      </c>
      <c r="G424" s="90">
        <v>0</v>
      </c>
      <c r="H424" s="90">
        <v>0</v>
      </c>
      <c r="I424" s="90">
        <v>0</v>
      </c>
      <c r="J424" s="90">
        <v>0</v>
      </c>
      <c r="K424" s="90">
        <v>0</v>
      </c>
      <c r="L424" s="90">
        <v>0</v>
      </c>
      <c r="M424" s="90">
        <v>0</v>
      </c>
      <c r="N424" s="90">
        <v>0</v>
      </c>
      <c r="O424" s="90">
        <v>0</v>
      </c>
      <c r="P424" s="90">
        <v>0</v>
      </c>
      <c r="Q424" s="90">
        <v>0</v>
      </c>
      <c r="R424" s="90">
        <v>0</v>
      </c>
      <c r="S424" s="90">
        <v>0</v>
      </c>
      <c r="T424" s="150">
        <v>0</v>
      </c>
      <c r="U424" s="150">
        <v>0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">
      <c r="C484" s="779" t="s">
        <v>2</v>
      </c>
      <c r="D484" s="776" t="s">
        <v>132</v>
      </c>
      <c r="E484" s="98" t="s">
        <v>70</v>
      </c>
      <c r="F484" s="100">
        <f>F399+F422+F368-L368-L399</f>
        <v>0</v>
      </c>
      <c r="G484" s="100">
        <f t="shared" ref="G484:AO484" si="18">G399+G368</f>
        <v>0</v>
      </c>
      <c r="H484" s="100">
        <f t="shared" si="18"/>
        <v>0</v>
      </c>
      <c r="I484" s="100">
        <f t="shared" si="18"/>
        <v>0</v>
      </c>
      <c r="J484" s="100">
        <f t="shared" si="18"/>
        <v>0</v>
      </c>
      <c r="K484" s="100">
        <f t="shared" si="18"/>
        <v>0</v>
      </c>
      <c r="L484" s="100">
        <f t="shared" si="18"/>
        <v>0</v>
      </c>
      <c r="M484" s="100">
        <f t="shared" si="18"/>
        <v>0</v>
      </c>
      <c r="N484" s="100">
        <f t="shared" si="18"/>
        <v>0</v>
      </c>
      <c r="O484" s="100">
        <f t="shared" si="18"/>
        <v>0</v>
      </c>
      <c r="P484" s="100">
        <f t="shared" si="18"/>
        <v>0</v>
      </c>
      <c r="Q484" s="100">
        <f t="shared" si="18"/>
        <v>0</v>
      </c>
      <c r="R484" s="100">
        <f t="shared" si="18"/>
        <v>0</v>
      </c>
      <c r="S484" s="100">
        <f t="shared" si="18"/>
        <v>0</v>
      </c>
      <c r="T484" s="100">
        <f t="shared" si="18"/>
        <v>0</v>
      </c>
      <c r="U484" s="100">
        <f t="shared" si="18"/>
        <v>0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">
      <c r="C485" s="779"/>
      <c r="D485" s="776"/>
      <c r="E485" s="98" t="s">
        <v>73</v>
      </c>
      <c r="F485" s="100">
        <f>F422</f>
        <v>0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">
      <c r="A486" s="90"/>
      <c r="C486" s="779"/>
      <c r="D486" s="776" t="s">
        <v>133</v>
      </c>
      <c r="E486" s="233" t="s">
        <v>70</v>
      </c>
      <c r="F486" s="234">
        <f>F411+F384-L384</f>
        <v>0</v>
      </c>
      <c r="G486" s="234">
        <f>G384</f>
        <v>0</v>
      </c>
      <c r="H486" s="234">
        <f t="shared" ref="H486:AO486" si="19">H384</f>
        <v>0</v>
      </c>
      <c r="I486" s="234">
        <f t="shared" si="19"/>
        <v>0</v>
      </c>
      <c r="J486" s="234">
        <f t="shared" si="19"/>
        <v>0</v>
      </c>
      <c r="K486" s="234">
        <f t="shared" si="19"/>
        <v>0</v>
      </c>
      <c r="L486" s="234">
        <f t="shared" si="19"/>
        <v>0</v>
      </c>
      <c r="M486" s="234">
        <f t="shared" si="19"/>
        <v>0</v>
      </c>
      <c r="N486" s="234">
        <f t="shared" si="19"/>
        <v>0</v>
      </c>
      <c r="O486" s="234">
        <f t="shared" si="19"/>
        <v>0</v>
      </c>
      <c r="P486" s="234">
        <f t="shared" si="19"/>
        <v>0</v>
      </c>
      <c r="Q486" s="234">
        <f t="shared" si="19"/>
        <v>0</v>
      </c>
      <c r="R486" s="234">
        <f t="shared" si="19"/>
        <v>0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">
      <c r="C487" s="779"/>
      <c r="D487" s="776"/>
      <c r="E487" s="233" t="s">
        <v>73</v>
      </c>
      <c r="F487" s="234">
        <f>F411</f>
        <v>0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">
      <c r="C494" s="779" t="s">
        <v>155</v>
      </c>
      <c r="D494" s="776" t="s">
        <v>132</v>
      </c>
      <c r="E494" s="221" t="s">
        <v>70</v>
      </c>
      <c r="F494" s="222">
        <f>F414+F388+F360-L360-L388</f>
        <v>0</v>
      </c>
      <c r="G494" s="222">
        <f t="shared" ref="G494:AO494" si="20">G388+G360</f>
        <v>0</v>
      </c>
      <c r="H494" s="222">
        <f t="shared" si="20"/>
        <v>0</v>
      </c>
      <c r="I494" s="222">
        <f t="shared" si="20"/>
        <v>0</v>
      </c>
      <c r="J494" s="222">
        <f t="shared" si="20"/>
        <v>0</v>
      </c>
      <c r="K494" s="222">
        <f t="shared" si="20"/>
        <v>0</v>
      </c>
      <c r="L494" s="222">
        <f t="shared" si="20"/>
        <v>0</v>
      </c>
      <c r="M494" s="222">
        <f t="shared" si="20"/>
        <v>0</v>
      </c>
      <c r="N494" s="222">
        <f t="shared" si="20"/>
        <v>0</v>
      </c>
      <c r="O494" s="222">
        <f t="shared" si="20"/>
        <v>0</v>
      </c>
      <c r="P494" s="222">
        <f t="shared" si="20"/>
        <v>0</v>
      </c>
      <c r="Q494" s="222">
        <f t="shared" si="20"/>
        <v>0</v>
      </c>
      <c r="R494" s="222">
        <f t="shared" si="20"/>
        <v>0</v>
      </c>
      <c r="S494" s="222">
        <f t="shared" si="20"/>
        <v>0</v>
      </c>
      <c r="T494" s="222">
        <f t="shared" si="20"/>
        <v>0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">
      <c r="C495" s="779"/>
      <c r="D495" s="776"/>
      <c r="E495" s="221" t="s">
        <v>73</v>
      </c>
      <c r="F495" s="222">
        <f>F414</f>
        <v>0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">
      <c r="C496" s="779"/>
      <c r="D496" s="776" t="s">
        <v>133</v>
      </c>
      <c r="E496" s="229" t="s">
        <v>70</v>
      </c>
      <c r="F496" s="230">
        <f>F403+F373-L373</f>
        <v>0</v>
      </c>
      <c r="G496" s="230">
        <f>G373</f>
        <v>0</v>
      </c>
      <c r="H496" s="230">
        <f t="shared" ref="H496:AO496" si="21">H373</f>
        <v>0</v>
      </c>
      <c r="I496" s="230">
        <f t="shared" si="21"/>
        <v>0</v>
      </c>
      <c r="J496" s="230">
        <f t="shared" si="21"/>
        <v>0</v>
      </c>
      <c r="K496" s="230">
        <f t="shared" si="21"/>
        <v>0</v>
      </c>
      <c r="L496" s="230">
        <f t="shared" si="21"/>
        <v>0</v>
      </c>
      <c r="M496" s="230">
        <f t="shared" si="21"/>
        <v>0</v>
      </c>
      <c r="N496" s="230">
        <f t="shared" si="21"/>
        <v>0</v>
      </c>
      <c r="O496" s="230">
        <f t="shared" si="21"/>
        <v>0</v>
      </c>
      <c r="P496" s="230">
        <f t="shared" si="21"/>
        <v>0</v>
      </c>
      <c r="Q496" s="230">
        <f t="shared" si="21"/>
        <v>0</v>
      </c>
      <c r="R496" s="230">
        <f t="shared" si="21"/>
        <v>0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">
      <c r="C497" s="779"/>
      <c r="D497" s="776"/>
      <c r="E497" s="229" t="s">
        <v>73</v>
      </c>
      <c r="F497" s="230">
        <f>F403</f>
        <v>0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">
      <c r="C499" s="777" t="s">
        <v>326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">
      <c r="C504" s="779" t="s">
        <v>119</v>
      </c>
      <c r="D504" s="776" t="s">
        <v>132</v>
      </c>
      <c r="E504" s="101" t="s">
        <v>70</v>
      </c>
      <c r="F504" s="93">
        <f>F421+F398+F367-L367-L398</f>
        <v>0</v>
      </c>
      <c r="G504" s="93">
        <f t="shared" ref="G504:AO504" si="22">G398+G367</f>
        <v>0</v>
      </c>
      <c r="H504" s="93">
        <f t="shared" si="22"/>
        <v>0</v>
      </c>
      <c r="I504" s="93">
        <f t="shared" si="22"/>
        <v>0</v>
      </c>
      <c r="J504" s="93">
        <f t="shared" si="22"/>
        <v>0</v>
      </c>
      <c r="K504" s="93">
        <f t="shared" si="22"/>
        <v>0</v>
      </c>
      <c r="L504" s="93">
        <f t="shared" si="22"/>
        <v>0</v>
      </c>
      <c r="M504" s="93">
        <f t="shared" si="22"/>
        <v>0</v>
      </c>
      <c r="N504" s="93">
        <f t="shared" si="22"/>
        <v>0</v>
      </c>
      <c r="O504" s="93">
        <f t="shared" si="22"/>
        <v>0</v>
      </c>
      <c r="P504" s="93">
        <f t="shared" si="22"/>
        <v>0</v>
      </c>
      <c r="Q504" s="93">
        <f t="shared" si="22"/>
        <v>0</v>
      </c>
      <c r="R504" s="93">
        <f t="shared" si="22"/>
        <v>0</v>
      </c>
      <c r="S504" s="93">
        <f t="shared" si="22"/>
        <v>0</v>
      </c>
      <c r="T504" s="93">
        <f t="shared" si="22"/>
        <v>0</v>
      </c>
      <c r="U504" s="93">
        <f t="shared" si="22"/>
        <v>0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">
      <c r="C505" s="779"/>
      <c r="D505" s="776"/>
      <c r="E505" s="101" t="s">
        <v>73</v>
      </c>
      <c r="F505" s="93">
        <f>F421</f>
        <v>0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">
      <c r="C506" s="779"/>
      <c r="D506" s="776" t="s">
        <v>133</v>
      </c>
      <c r="E506" s="235" t="s">
        <v>70</v>
      </c>
      <c r="F506" s="236">
        <f>F410+F383-L383</f>
        <v>0</v>
      </c>
      <c r="G506" s="236">
        <f>G383</f>
        <v>0</v>
      </c>
      <c r="H506" s="236">
        <f t="shared" ref="H506:AO506" si="23">H383</f>
        <v>0</v>
      </c>
      <c r="I506" s="236">
        <f t="shared" si="23"/>
        <v>0</v>
      </c>
      <c r="J506" s="236">
        <f t="shared" si="23"/>
        <v>0</v>
      </c>
      <c r="K506" s="236">
        <f t="shared" si="23"/>
        <v>0</v>
      </c>
      <c r="L506" s="236">
        <f t="shared" si="23"/>
        <v>0</v>
      </c>
      <c r="M506" s="236">
        <f t="shared" si="23"/>
        <v>0</v>
      </c>
      <c r="N506" s="236">
        <f t="shared" si="23"/>
        <v>0</v>
      </c>
      <c r="O506" s="236">
        <f t="shared" si="23"/>
        <v>0</v>
      </c>
      <c r="P506" s="236">
        <f t="shared" si="23"/>
        <v>0</v>
      </c>
      <c r="Q506" s="236">
        <f t="shared" si="23"/>
        <v>0</v>
      </c>
      <c r="R506" s="236">
        <f t="shared" si="23"/>
        <v>0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">
      <c r="C507" s="779"/>
      <c r="D507" s="776"/>
      <c r="E507" s="235" t="s">
        <v>73</v>
      </c>
      <c r="F507" s="236">
        <f>F410</f>
        <v>0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">
      <c r="D514" s="458" t="s">
        <v>186</v>
      </c>
      <c r="E514" s="459" t="s">
        <v>70</v>
      </c>
      <c r="F514" s="460">
        <f>F368</f>
        <v>0</v>
      </c>
      <c r="G514" s="460">
        <f t="shared" ref="G514:Z514" si="24">G368</f>
        <v>0</v>
      </c>
      <c r="H514" s="460">
        <f t="shared" si="24"/>
        <v>0</v>
      </c>
      <c r="I514" s="460">
        <f t="shared" si="24"/>
        <v>0</v>
      </c>
      <c r="J514" s="460">
        <f t="shared" si="24"/>
        <v>0</v>
      </c>
      <c r="K514" s="460">
        <f t="shared" si="24"/>
        <v>0</v>
      </c>
      <c r="L514" s="460">
        <f t="shared" si="24"/>
        <v>0</v>
      </c>
      <c r="M514" s="460">
        <f t="shared" si="24"/>
        <v>0</v>
      </c>
      <c r="N514" s="460">
        <f t="shared" si="24"/>
        <v>0</v>
      </c>
      <c r="O514" s="460">
        <f t="shared" si="24"/>
        <v>0</v>
      </c>
      <c r="P514" s="460">
        <f t="shared" si="24"/>
        <v>0</v>
      </c>
      <c r="Q514" s="460">
        <f t="shared" si="24"/>
        <v>0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">
      <c r="E519" t="s">
        <v>72</v>
      </c>
      <c r="F519" s="384">
        <v>0</v>
      </c>
      <c r="G519" s="89">
        <v>0</v>
      </c>
      <c r="H519" s="89">
        <v>0</v>
      </c>
      <c r="I519" s="664">
        <v>0</v>
      </c>
      <c r="J519" s="89">
        <v>0</v>
      </c>
      <c r="K519" s="89">
        <v>0</v>
      </c>
      <c r="L519" s="89">
        <v>0</v>
      </c>
      <c r="M519" s="89">
        <v>0</v>
      </c>
      <c r="N519" s="89">
        <v>0</v>
      </c>
      <c r="O519" s="89">
        <v>0</v>
      </c>
      <c r="P519" s="89">
        <v>0</v>
      </c>
      <c r="Q519" s="89">
        <v>0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">
      <c r="D520" t="s">
        <v>156</v>
      </c>
      <c r="E520" t="s">
        <v>70</v>
      </c>
      <c r="F520" s="384">
        <v>0</v>
      </c>
      <c r="G520" s="89">
        <v>0</v>
      </c>
      <c r="H520" s="89">
        <v>0</v>
      </c>
      <c r="I520" s="664">
        <v>0</v>
      </c>
      <c r="J520" s="89">
        <v>0</v>
      </c>
      <c r="K520" s="89">
        <v>0</v>
      </c>
      <c r="L520" s="89">
        <v>0</v>
      </c>
      <c r="M520" s="89">
        <v>0</v>
      </c>
      <c r="N520" s="89">
        <v>0</v>
      </c>
      <c r="O520" s="89">
        <v>0</v>
      </c>
      <c r="P520" s="89">
        <v>0</v>
      </c>
      <c r="Q520" s="89">
        <v>0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">
      <c r="C521" s="656" t="s">
        <v>155</v>
      </c>
      <c r="D521" s="656" t="s">
        <v>70</v>
      </c>
      <c r="F521" s="736">
        <v>0</v>
      </c>
      <c r="G521" s="657">
        <v>0</v>
      </c>
      <c r="H521" s="657">
        <v>0</v>
      </c>
      <c r="I521" s="737">
        <v>0</v>
      </c>
      <c r="J521" s="657">
        <v>0</v>
      </c>
      <c r="K521" s="657">
        <v>0</v>
      </c>
      <c r="L521" s="657">
        <v>0</v>
      </c>
      <c r="M521" s="657">
        <v>0</v>
      </c>
      <c r="N521" s="657">
        <v>0</v>
      </c>
      <c r="O521" s="657">
        <v>0</v>
      </c>
      <c r="P521" s="657">
        <v>0</v>
      </c>
      <c r="Q521" s="657">
        <v>0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">
      <c r="E539" s="89" t="s">
        <v>72</v>
      </c>
      <c r="F539" s="371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">
      <c r="D540" t="s">
        <v>86</v>
      </c>
      <c r="E540" s="89" t="s">
        <v>70</v>
      </c>
      <c r="F540" s="371">
        <v>0</v>
      </c>
      <c r="G540" s="90">
        <v>0</v>
      </c>
      <c r="H540" s="90">
        <v>0</v>
      </c>
      <c r="I540" s="90">
        <v>0</v>
      </c>
      <c r="J540" s="90">
        <v>0</v>
      </c>
      <c r="K540" s="90">
        <v>0</v>
      </c>
      <c r="L540" s="90">
        <v>0</v>
      </c>
      <c r="M540" s="90">
        <v>0</v>
      </c>
      <c r="N540" s="90">
        <v>0</v>
      </c>
      <c r="O540" s="90">
        <v>0</v>
      </c>
      <c r="P540" s="90">
        <v>0</v>
      </c>
      <c r="Q540" s="90">
        <v>0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">
      <c r="C543" s="101" t="s">
        <v>119</v>
      </c>
      <c r="D543" s="101" t="s">
        <v>70</v>
      </c>
      <c r="F543" s="93">
        <v>0</v>
      </c>
      <c r="G543" s="93">
        <v>0</v>
      </c>
      <c r="H543" s="93">
        <v>0</v>
      </c>
      <c r="I543" s="93">
        <v>0</v>
      </c>
      <c r="J543" s="93">
        <v>0</v>
      </c>
      <c r="K543" s="93">
        <v>0</v>
      </c>
      <c r="L543" s="93">
        <v>0</v>
      </c>
      <c r="M543" s="93">
        <v>0</v>
      </c>
      <c r="N543" s="93">
        <v>0</v>
      </c>
      <c r="O543" s="93">
        <v>0</v>
      </c>
      <c r="P543" s="93">
        <v>0</v>
      </c>
      <c r="Q543" s="93">
        <v>0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">
      <c r="B544" t="s">
        <v>112</v>
      </c>
      <c r="C544" t="s">
        <v>70</v>
      </c>
      <c r="E544" s="89"/>
      <c r="F544" s="371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">
      <c r="A545" s="458" t="s">
        <v>186</v>
      </c>
      <c r="B545" s="459" t="s">
        <v>70</v>
      </c>
      <c r="C545" s="459"/>
      <c r="F545" s="460">
        <v>0</v>
      </c>
      <c r="G545" s="460">
        <v>0</v>
      </c>
      <c r="H545" s="460">
        <v>0</v>
      </c>
      <c r="I545" s="460">
        <v>0</v>
      </c>
      <c r="J545" s="460">
        <v>0</v>
      </c>
      <c r="K545" s="460">
        <v>0</v>
      </c>
      <c r="L545" s="460">
        <v>0</v>
      </c>
      <c r="M545" s="460">
        <v>0</v>
      </c>
      <c r="N545" s="460">
        <v>0</v>
      </c>
      <c r="O545" s="460">
        <v>0</v>
      </c>
      <c r="P545" s="460">
        <v>0</v>
      </c>
      <c r="Q545" s="460">
        <v>0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">
      <c r="E546" s="89" t="s">
        <v>72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">
      <c r="E547" s="89" t="s">
        <v>81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90">
        <v>0</v>
      </c>
      <c r="L547" s="90">
        <v>0</v>
      </c>
      <c r="M547" s="90">
        <v>0</v>
      </c>
      <c r="N547" s="90">
        <v>0</v>
      </c>
      <c r="O547" s="90">
        <v>0</v>
      </c>
      <c r="P547" s="90">
        <v>0</v>
      </c>
      <c r="Q547" s="90">
        <v>0</v>
      </c>
      <c r="R547" s="90">
        <v>0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">
      <c r="D548" t="s">
        <v>156</v>
      </c>
      <c r="E548" s="89" t="s">
        <v>70</v>
      </c>
      <c r="F548" s="90">
        <v>0</v>
      </c>
      <c r="G548" s="90">
        <v>0</v>
      </c>
      <c r="H548" s="90">
        <v>0</v>
      </c>
      <c r="I548" s="90">
        <v>0</v>
      </c>
      <c r="J548" s="90">
        <v>0</v>
      </c>
      <c r="K548" s="90">
        <v>0</v>
      </c>
      <c r="L548" s="90">
        <v>0</v>
      </c>
      <c r="M548" s="90">
        <v>0</v>
      </c>
      <c r="N548" s="90">
        <v>0</v>
      </c>
      <c r="O548" s="90">
        <v>0</v>
      </c>
      <c r="P548" s="90">
        <v>0</v>
      </c>
      <c r="Q548" s="90">
        <v>0</v>
      </c>
      <c r="R548" s="90">
        <v>0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">
      <c r="C549" s="656" t="s">
        <v>155</v>
      </c>
      <c r="D549" s="657" t="s">
        <v>70</v>
      </c>
      <c r="E549" s="657"/>
      <c r="F549" s="658">
        <v>0</v>
      </c>
      <c r="G549" s="658">
        <v>0</v>
      </c>
      <c r="H549" s="658">
        <v>0</v>
      </c>
      <c r="I549" s="658">
        <v>0</v>
      </c>
      <c r="J549" s="658">
        <v>0</v>
      </c>
      <c r="K549" s="658">
        <v>0</v>
      </c>
      <c r="L549" s="658">
        <v>0</v>
      </c>
      <c r="M549" s="658">
        <v>0</v>
      </c>
      <c r="N549" s="658">
        <v>0</v>
      </c>
      <c r="O549" s="658">
        <v>0</v>
      </c>
      <c r="P549" s="658">
        <v>0</v>
      </c>
      <c r="Q549" s="658">
        <v>0</v>
      </c>
      <c r="R549" s="658">
        <v>0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">
      <c r="D550" s="89"/>
      <c r="E550" s="89" t="s">
        <v>72</v>
      </c>
      <c r="F550" s="371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">
      <c r="D552" s="89" t="s">
        <v>115</v>
      </c>
      <c r="E552" s="89" t="s">
        <v>70</v>
      </c>
      <c r="F552" s="371">
        <v>0</v>
      </c>
      <c r="G552" s="90">
        <v>0</v>
      </c>
      <c r="H552" s="90">
        <v>0</v>
      </c>
      <c r="I552" s="90">
        <v>0</v>
      </c>
      <c r="J552" s="90">
        <v>0</v>
      </c>
      <c r="K552" s="90">
        <v>0</v>
      </c>
      <c r="L552" s="90">
        <v>0</v>
      </c>
      <c r="M552" s="90">
        <v>0</v>
      </c>
      <c r="N552" s="90">
        <v>0</v>
      </c>
      <c r="O552" s="90">
        <v>0</v>
      </c>
      <c r="P552" s="90">
        <v>0</v>
      </c>
      <c r="Q552" s="90">
        <v>0</v>
      </c>
      <c r="R552" s="90">
        <v>0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">
      <c r="D553" s="89"/>
      <c r="E553" s="89" t="s">
        <v>72</v>
      </c>
      <c r="F553" s="371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">
      <c r="D554" s="89"/>
      <c r="E554" s="89" t="s">
        <v>81</v>
      </c>
      <c r="F554" s="90">
        <v>0</v>
      </c>
      <c r="G554" s="90">
        <v>0</v>
      </c>
      <c r="H554" s="90">
        <v>0</v>
      </c>
      <c r="I554" s="90">
        <v>0</v>
      </c>
      <c r="J554" s="90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">
      <c r="D555" t="s">
        <v>116</v>
      </c>
      <c r="E555" s="89" t="s">
        <v>70</v>
      </c>
      <c r="F555" s="90">
        <v>0</v>
      </c>
      <c r="G555" s="90">
        <v>0</v>
      </c>
      <c r="H555" s="90">
        <v>0</v>
      </c>
      <c r="I555" s="90">
        <v>0</v>
      </c>
      <c r="J555" s="90">
        <v>0</v>
      </c>
      <c r="K555" s="90">
        <v>0</v>
      </c>
      <c r="L555" s="90">
        <v>0</v>
      </c>
      <c r="M555" s="90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0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">
      <c r="D562" s="89"/>
      <c r="E562" s="89" t="s">
        <v>72</v>
      </c>
      <c r="F562" s="371">
        <v>0</v>
      </c>
      <c r="G562" s="90">
        <v>0</v>
      </c>
      <c r="H562" s="90">
        <v>0</v>
      </c>
      <c r="I562" s="90">
        <v>0</v>
      </c>
      <c r="J562" s="90">
        <v>0</v>
      </c>
      <c r="K562" s="90">
        <v>0</v>
      </c>
      <c r="L562" s="90">
        <v>0</v>
      </c>
      <c r="M562" s="90">
        <v>0</v>
      </c>
      <c r="N562" s="90">
        <v>0</v>
      </c>
      <c r="O562" s="90">
        <v>0</v>
      </c>
      <c r="P562" s="90">
        <v>0</v>
      </c>
      <c r="Q562" s="90">
        <v>0</v>
      </c>
      <c r="R562" s="90">
        <v>0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">
      <c r="D563" s="89"/>
      <c r="E563" s="89" t="s">
        <v>81</v>
      </c>
      <c r="F563" s="90">
        <v>0</v>
      </c>
      <c r="G563" s="90">
        <v>0</v>
      </c>
      <c r="H563" s="90">
        <v>0</v>
      </c>
      <c r="I563" s="90">
        <v>0</v>
      </c>
      <c r="J563" s="90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0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">
      <c r="D564" t="s">
        <v>118</v>
      </c>
      <c r="E564" s="89" t="s">
        <v>70</v>
      </c>
      <c r="F564" s="90">
        <v>0</v>
      </c>
      <c r="G564" s="90">
        <v>0</v>
      </c>
      <c r="H564" s="90">
        <v>0</v>
      </c>
      <c r="I564" s="90">
        <v>0</v>
      </c>
      <c r="J564" s="90">
        <v>0</v>
      </c>
      <c r="K564" s="90">
        <v>0</v>
      </c>
      <c r="L564" s="90">
        <v>0</v>
      </c>
      <c r="M564" s="90">
        <v>0</v>
      </c>
      <c r="N564" s="90">
        <v>0</v>
      </c>
      <c r="O564" s="90">
        <v>0</v>
      </c>
      <c r="P564" s="90">
        <v>0</v>
      </c>
      <c r="Q564" s="90">
        <v>0</v>
      </c>
      <c r="R564" s="90">
        <v>0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">
      <c r="C571" s="223" t="s">
        <v>120</v>
      </c>
      <c r="D571" s="223" t="s">
        <v>70</v>
      </c>
      <c r="F571" s="225">
        <v>0</v>
      </c>
      <c r="G571" s="225">
        <v>0</v>
      </c>
      <c r="H571" s="225">
        <v>0</v>
      </c>
      <c r="I571" s="225">
        <v>0</v>
      </c>
      <c r="J571" s="225">
        <v>0</v>
      </c>
      <c r="K571" s="225">
        <v>0</v>
      </c>
      <c r="L571" s="225">
        <v>0</v>
      </c>
      <c r="M571" s="225">
        <v>0</v>
      </c>
      <c r="N571" s="225">
        <v>0</v>
      </c>
      <c r="O571" s="225">
        <v>0</v>
      </c>
      <c r="P571" s="225">
        <v>0</v>
      </c>
      <c r="Q571" s="225">
        <v>0</v>
      </c>
      <c r="R571" s="225">
        <v>0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">
      <c r="E575" s="89" t="s">
        <v>72</v>
      </c>
      <c r="F575" s="371">
        <v>0</v>
      </c>
      <c r="G575" s="90">
        <v>0</v>
      </c>
      <c r="H575" s="90">
        <v>0</v>
      </c>
      <c r="I575" s="90">
        <v>0</v>
      </c>
      <c r="J575" s="90">
        <v>0</v>
      </c>
      <c r="K575" s="90">
        <v>0</v>
      </c>
      <c r="L575" s="90">
        <v>0</v>
      </c>
      <c r="M575" s="90">
        <v>0</v>
      </c>
      <c r="N575" s="90">
        <v>0</v>
      </c>
      <c r="O575" s="90">
        <v>0</v>
      </c>
      <c r="P575" s="90">
        <v>0</v>
      </c>
      <c r="Q575" s="90">
        <v>0</v>
      </c>
      <c r="R575" s="90">
        <v>0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">
      <c r="E576" s="89" t="s">
        <v>81</v>
      </c>
      <c r="F576" s="371">
        <v>0</v>
      </c>
      <c r="G576" s="90">
        <v>0</v>
      </c>
      <c r="H576" s="90">
        <v>0</v>
      </c>
      <c r="I576" s="90">
        <v>0</v>
      </c>
      <c r="J576" s="90">
        <v>0</v>
      </c>
      <c r="K576" s="90">
        <v>0</v>
      </c>
      <c r="L576" s="90">
        <v>0</v>
      </c>
      <c r="M576" s="90">
        <v>0</v>
      </c>
      <c r="N576" s="90">
        <v>0</v>
      </c>
      <c r="O576" s="90">
        <v>0</v>
      </c>
      <c r="P576" s="90">
        <v>0</v>
      </c>
      <c r="Q576" s="90">
        <v>0</v>
      </c>
      <c r="R576" s="90">
        <v>0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">
      <c r="D577" t="s">
        <v>86</v>
      </c>
      <c r="E577" s="89" t="s">
        <v>70</v>
      </c>
      <c r="F577" s="371">
        <v>0</v>
      </c>
      <c r="G577" s="90">
        <v>0</v>
      </c>
      <c r="H577" s="90">
        <v>0</v>
      </c>
      <c r="I577" s="90">
        <v>0</v>
      </c>
      <c r="J577" s="90">
        <v>0</v>
      </c>
      <c r="K577" s="90">
        <v>0</v>
      </c>
      <c r="L577" s="90">
        <v>0</v>
      </c>
      <c r="M577" s="90">
        <v>0</v>
      </c>
      <c r="N577" s="90">
        <v>0</v>
      </c>
      <c r="O577" s="90">
        <v>0</v>
      </c>
      <c r="P577" s="90">
        <v>0</v>
      </c>
      <c r="Q577" s="90">
        <v>0</v>
      </c>
      <c r="R577" s="90">
        <v>0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">
      <c r="C581" s="94" t="s">
        <v>119</v>
      </c>
      <c r="D581" s="94" t="s">
        <v>70</v>
      </c>
      <c r="E581" s="101"/>
      <c r="F581" s="93">
        <v>0</v>
      </c>
      <c r="G581" s="93">
        <v>0</v>
      </c>
      <c r="H581" s="93">
        <v>0</v>
      </c>
      <c r="I581" s="93">
        <v>0</v>
      </c>
      <c r="J581" s="93">
        <v>0</v>
      </c>
      <c r="K581" s="93">
        <v>0</v>
      </c>
      <c r="L581" s="93">
        <v>0</v>
      </c>
      <c r="M581" s="93">
        <v>0</v>
      </c>
      <c r="N581" s="93">
        <v>0</v>
      </c>
      <c r="O581" s="93">
        <v>0</v>
      </c>
      <c r="P581" s="93">
        <v>0</v>
      </c>
      <c r="Q581" s="93">
        <v>0</v>
      </c>
      <c r="R581" s="93">
        <v>0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">
      <c r="B582" s="378" t="s">
        <v>122</v>
      </c>
      <c r="C582" s="378" t="s">
        <v>70</v>
      </c>
      <c r="E582" s="376"/>
      <c r="F582" s="377">
        <v>0</v>
      </c>
      <c r="G582" s="377">
        <v>0</v>
      </c>
      <c r="H582" s="377">
        <v>0</v>
      </c>
      <c r="I582" s="377">
        <v>0</v>
      </c>
      <c r="J582" s="377">
        <v>0</v>
      </c>
      <c r="K582" s="377">
        <v>0</v>
      </c>
      <c r="L582" s="377">
        <v>0</v>
      </c>
      <c r="M582" s="377">
        <v>0</v>
      </c>
      <c r="N582" s="377">
        <v>0</v>
      </c>
      <c r="O582" s="377">
        <v>0</v>
      </c>
      <c r="P582" s="377">
        <v>0</v>
      </c>
      <c r="Q582" s="377">
        <v>0</v>
      </c>
      <c r="R582" s="377">
        <v>0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">
      <c r="E583" s="89" t="s">
        <v>72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90">
        <v>0</v>
      </c>
      <c r="M583" s="90">
        <v>0</v>
      </c>
      <c r="N583" s="90">
        <v>0</v>
      </c>
      <c r="O583" s="90">
        <v>0</v>
      </c>
      <c r="P583" s="90">
        <v>0</v>
      </c>
      <c r="Q583" s="90">
        <v>0</v>
      </c>
      <c r="R583" s="90">
        <v>0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">
      <c r="E584" s="89" t="s">
        <v>81</v>
      </c>
      <c r="F584" s="371">
        <v>0</v>
      </c>
      <c r="G584" s="90">
        <v>0</v>
      </c>
      <c r="H584" s="90">
        <v>0</v>
      </c>
      <c r="I584" s="90">
        <v>0</v>
      </c>
      <c r="J584" s="90">
        <v>0</v>
      </c>
      <c r="K584" s="90">
        <v>0</v>
      </c>
      <c r="L584" s="90">
        <v>0</v>
      </c>
      <c r="M584" s="90">
        <v>0</v>
      </c>
      <c r="N584" s="90">
        <v>0</v>
      </c>
      <c r="O584" s="90">
        <v>0</v>
      </c>
      <c r="P584" s="90">
        <v>0</v>
      </c>
      <c r="Q584" s="90">
        <v>0</v>
      </c>
      <c r="R584" s="90">
        <v>0</v>
      </c>
      <c r="S584" s="90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0</v>
      </c>
    </row>
    <row r="585" spans="2:26" ht="12.75" customHeight="1" x14ac:dyDescent="0.2">
      <c r="D585" t="s">
        <v>156</v>
      </c>
      <c r="E585" s="89" t="s">
        <v>70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90">
        <v>0</v>
      </c>
      <c r="L585" s="90">
        <v>0</v>
      </c>
      <c r="M585" s="90">
        <v>0</v>
      </c>
      <c r="N585" s="90">
        <v>0</v>
      </c>
      <c r="O585" s="90">
        <v>0</v>
      </c>
      <c r="P585" s="90">
        <v>0</v>
      </c>
      <c r="Q585" s="90">
        <v>0</v>
      </c>
      <c r="R585" s="90">
        <v>0</v>
      </c>
      <c r="S585" s="90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0</v>
      </c>
    </row>
    <row r="586" spans="2:26" s="656" customFormat="1" ht="12.75" customHeight="1" x14ac:dyDescent="0.2">
      <c r="C586" s="656" t="s">
        <v>155</v>
      </c>
      <c r="D586" s="657" t="s">
        <v>70</v>
      </c>
      <c r="E586" s="657"/>
      <c r="F586" s="658">
        <v>0</v>
      </c>
      <c r="G586" s="658">
        <v>0</v>
      </c>
      <c r="H586" s="658">
        <v>0</v>
      </c>
      <c r="I586" s="658">
        <v>0</v>
      </c>
      <c r="J586" s="658">
        <v>0</v>
      </c>
      <c r="K586" s="658">
        <v>0</v>
      </c>
      <c r="L586" s="658">
        <v>0</v>
      </c>
      <c r="M586" s="658">
        <v>0</v>
      </c>
      <c r="N586" s="658">
        <v>0</v>
      </c>
      <c r="O586" s="658">
        <v>0</v>
      </c>
      <c r="P586" s="658">
        <v>0</v>
      </c>
      <c r="Q586" s="658">
        <v>0</v>
      </c>
      <c r="R586" s="658">
        <v>0</v>
      </c>
      <c r="S586" s="658">
        <v>0</v>
      </c>
      <c r="T586" s="656">
        <v>0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0</v>
      </c>
    </row>
    <row r="587" spans="2:26" ht="12.75" customHeight="1" x14ac:dyDescent="0.2">
      <c r="D587" s="89"/>
      <c r="E587" s="89" t="s">
        <v>72</v>
      </c>
      <c r="F587" s="371">
        <v>0</v>
      </c>
      <c r="G587" s="90">
        <v>0</v>
      </c>
      <c r="H587" s="90">
        <v>0</v>
      </c>
      <c r="I587" s="90">
        <v>0</v>
      </c>
      <c r="J587" s="90">
        <v>0</v>
      </c>
      <c r="K587" s="90">
        <v>0</v>
      </c>
      <c r="L587" s="90">
        <v>0</v>
      </c>
      <c r="M587" s="90">
        <v>0</v>
      </c>
      <c r="N587" s="90">
        <v>0</v>
      </c>
      <c r="O587" s="90">
        <v>0</v>
      </c>
      <c r="P587" s="90">
        <v>0</v>
      </c>
      <c r="Q587" s="90">
        <v>0</v>
      </c>
      <c r="R587" s="90">
        <v>0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">
      <c r="D588" s="89"/>
      <c r="E588" s="89" t="s">
        <v>81</v>
      </c>
      <c r="F588" s="371">
        <v>0</v>
      </c>
      <c r="G588" s="90">
        <v>0</v>
      </c>
      <c r="H588" s="90">
        <v>0</v>
      </c>
      <c r="I588" s="90">
        <v>0</v>
      </c>
      <c r="J588" s="90">
        <v>0</v>
      </c>
      <c r="K588" s="90">
        <v>0</v>
      </c>
      <c r="L588" s="90">
        <v>0</v>
      </c>
      <c r="M588" s="90">
        <v>0</v>
      </c>
      <c r="N588" s="90">
        <v>0</v>
      </c>
      <c r="O588" s="90">
        <v>0</v>
      </c>
      <c r="P588" s="90">
        <v>0</v>
      </c>
      <c r="Q588" s="90">
        <v>0</v>
      </c>
      <c r="R588" s="90">
        <v>0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">
      <c r="D589" s="89" t="s">
        <v>115</v>
      </c>
      <c r="E589" s="89" t="s">
        <v>70</v>
      </c>
      <c r="F589" s="371">
        <v>0</v>
      </c>
      <c r="G589" s="90">
        <v>0</v>
      </c>
      <c r="H589" s="90">
        <v>0</v>
      </c>
      <c r="I589" s="90">
        <v>0</v>
      </c>
      <c r="J589" s="90">
        <v>0</v>
      </c>
      <c r="K589" s="90">
        <v>0</v>
      </c>
      <c r="L589" s="90">
        <v>0</v>
      </c>
      <c r="M589" s="90">
        <v>0</v>
      </c>
      <c r="N589" s="90">
        <v>0</v>
      </c>
      <c r="O589" s="90">
        <v>0</v>
      </c>
      <c r="P589" s="90">
        <v>0</v>
      </c>
      <c r="Q589" s="90">
        <v>0</v>
      </c>
      <c r="R589" s="90">
        <v>0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">
      <c r="D599" s="89"/>
      <c r="E599" s="89" t="s">
        <v>72</v>
      </c>
      <c r="F599" s="371">
        <v>0</v>
      </c>
      <c r="G599" s="90">
        <v>0</v>
      </c>
      <c r="H599" s="90">
        <v>0</v>
      </c>
      <c r="I599" s="90">
        <v>0</v>
      </c>
      <c r="J599" s="90">
        <v>0</v>
      </c>
      <c r="K599" s="90">
        <v>0</v>
      </c>
      <c r="L599" s="90">
        <v>0</v>
      </c>
      <c r="M599" s="90">
        <v>0</v>
      </c>
      <c r="N599" s="90">
        <v>0</v>
      </c>
      <c r="O599" s="90">
        <v>0</v>
      </c>
      <c r="P599" s="90">
        <v>0</v>
      </c>
      <c r="Q599" s="90">
        <v>0</v>
      </c>
      <c r="R599" s="90">
        <v>0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">
      <c r="D600" s="89"/>
      <c r="E600" s="89" t="s">
        <v>81</v>
      </c>
      <c r="F600" s="90">
        <v>0</v>
      </c>
      <c r="G600" s="90">
        <v>0</v>
      </c>
      <c r="H600" s="90">
        <v>0</v>
      </c>
      <c r="I600" s="90">
        <v>0</v>
      </c>
      <c r="J600" s="90">
        <v>0</v>
      </c>
      <c r="K600" s="90">
        <v>0</v>
      </c>
      <c r="L600" s="90">
        <v>0</v>
      </c>
      <c r="M600" s="90">
        <v>0</v>
      </c>
      <c r="N600" s="90">
        <v>0</v>
      </c>
      <c r="O600" s="90">
        <v>0</v>
      </c>
      <c r="P600" s="90">
        <v>0</v>
      </c>
      <c r="Q600" s="90">
        <v>0</v>
      </c>
      <c r="R600" s="90">
        <v>0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">
      <c r="D601" t="s">
        <v>118</v>
      </c>
      <c r="E601" s="89" t="s">
        <v>70</v>
      </c>
      <c r="F601" s="90">
        <v>0</v>
      </c>
      <c r="G601" s="90">
        <v>0</v>
      </c>
      <c r="H601" s="90">
        <v>0</v>
      </c>
      <c r="I601" s="90">
        <v>0</v>
      </c>
      <c r="J601" s="90">
        <v>0</v>
      </c>
      <c r="K601" s="90">
        <v>0</v>
      </c>
      <c r="L601" s="90">
        <v>0</v>
      </c>
      <c r="M601" s="90">
        <v>0</v>
      </c>
      <c r="N601" s="90">
        <v>0</v>
      </c>
      <c r="O601" s="90">
        <v>0</v>
      </c>
      <c r="P601" s="90">
        <v>0</v>
      </c>
      <c r="Q601" s="90">
        <v>0</v>
      </c>
      <c r="R601" s="90">
        <v>0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">
      <c r="C608" s="223" t="s">
        <v>120</v>
      </c>
      <c r="D608" s="223" t="s">
        <v>70</v>
      </c>
      <c r="F608" s="225">
        <v>0</v>
      </c>
      <c r="G608" s="225">
        <v>0</v>
      </c>
      <c r="H608" s="225">
        <v>0</v>
      </c>
      <c r="I608" s="225">
        <v>0</v>
      </c>
      <c r="J608" s="225">
        <v>0</v>
      </c>
      <c r="K608" s="225">
        <v>0</v>
      </c>
      <c r="L608" s="225">
        <v>0</v>
      </c>
      <c r="M608" s="225">
        <v>0</v>
      </c>
      <c r="N608" s="225">
        <v>0</v>
      </c>
      <c r="O608" s="225">
        <v>0</v>
      </c>
      <c r="P608" s="225">
        <v>0</v>
      </c>
      <c r="Q608" s="225">
        <v>0</v>
      </c>
      <c r="R608" s="225">
        <v>0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">
      <c r="E609" s="89" t="s">
        <v>72</v>
      </c>
      <c r="F609" s="90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">
      <c r="D610" s="89"/>
      <c r="E610" s="89" t="s">
        <v>81</v>
      </c>
      <c r="F610" s="90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">
      <c r="D611" t="s">
        <v>82</v>
      </c>
      <c r="E611" s="89" t="s">
        <v>70</v>
      </c>
      <c r="F611" s="90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">
      <c r="E612" s="89" t="s">
        <v>72</v>
      </c>
      <c r="F612" s="90">
        <v>0</v>
      </c>
      <c r="G612" s="90">
        <v>0</v>
      </c>
      <c r="H612" s="90">
        <v>0</v>
      </c>
      <c r="I612" s="90">
        <v>0</v>
      </c>
      <c r="J612" s="90">
        <v>0</v>
      </c>
      <c r="K612" s="90">
        <v>0</v>
      </c>
      <c r="L612" s="90">
        <v>0</v>
      </c>
      <c r="M612" s="90">
        <v>0</v>
      </c>
      <c r="N612" s="90">
        <v>0</v>
      </c>
      <c r="O612" s="90">
        <v>0</v>
      </c>
      <c r="P612" s="90">
        <v>0</v>
      </c>
      <c r="Q612" s="90">
        <v>0</v>
      </c>
      <c r="R612" s="90">
        <v>0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">
      <c r="D613" s="89"/>
      <c r="E613" s="89" t="s">
        <v>81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">
      <c r="C614" s="89"/>
      <c r="D614" s="89" t="s">
        <v>86</v>
      </c>
      <c r="E614" t="s">
        <v>70</v>
      </c>
      <c r="F614" s="90">
        <v>0</v>
      </c>
      <c r="G614" s="90">
        <v>0</v>
      </c>
      <c r="H614" s="90">
        <v>0</v>
      </c>
      <c r="I614" s="90">
        <v>0</v>
      </c>
      <c r="J614" s="90">
        <v>0</v>
      </c>
      <c r="K614" s="90">
        <v>0</v>
      </c>
      <c r="L614" s="90">
        <v>0</v>
      </c>
      <c r="M614" s="90">
        <v>0</v>
      </c>
      <c r="N614" s="90">
        <v>0</v>
      </c>
      <c r="O614" s="90">
        <v>0</v>
      </c>
      <c r="P614" s="90">
        <v>0</v>
      </c>
      <c r="Q614" s="90">
        <v>0</v>
      </c>
      <c r="R614" s="90">
        <v>0</v>
      </c>
      <c r="S614" s="90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">
      <c r="B615" s="89"/>
      <c r="C615" s="89"/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">
      <c r="A616" s="89"/>
      <c r="B616" s="89"/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">
      <c r="A617" s="89"/>
      <c r="B617" s="89"/>
      <c r="D617" t="s">
        <v>87</v>
      </c>
      <c r="E617" t="s">
        <v>70</v>
      </c>
      <c r="F617" s="371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">
      <c r="C618" s="101" t="s">
        <v>119</v>
      </c>
      <c r="D618" s="101" t="s">
        <v>70</v>
      </c>
      <c r="F618" s="93">
        <v>0</v>
      </c>
      <c r="G618" s="93">
        <v>0</v>
      </c>
      <c r="H618" s="93">
        <v>0</v>
      </c>
      <c r="I618" s="93">
        <v>0</v>
      </c>
      <c r="J618" s="93">
        <v>0</v>
      </c>
      <c r="K618" s="93">
        <v>0</v>
      </c>
      <c r="L618" s="93">
        <v>0</v>
      </c>
      <c r="M618" s="93">
        <v>0</v>
      </c>
      <c r="N618" s="93">
        <v>0</v>
      </c>
      <c r="O618" s="93">
        <v>0</v>
      </c>
      <c r="P618" s="93">
        <v>0</v>
      </c>
      <c r="Q618" s="93">
        <v>0</v>
      </c>
      <c r="R618" s="93">
        <v>0</v>
      </c>
      <c r="S618" s="93">
        <v>0</v>
      </c>
      <c r="T618" s="94">
        <v>0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">
      <c r="B619" s="98" t="s">
        <v>112</v>
      </c>
      <c r="C619" s="98" t="s">
        <v>70</v>
      </c>
      <c r="F619" s="100">
        <v>0</v>
      </c>
      <c r="G619" s="100">
        <v>0</v>
      </c>
      <c r="H619" s="100">
        <v>0</v>
      </c>
      <c r="I619" s="100">
        <v>0</v>
      </c>
      <c r="J619" s="100">
        <v>0</v>
      </c>
      <c r="K619" s="100">
        <v>0</v>
      </c>
      <c r="L619" s="100">
        <v>0</v>
      </c>
      <c r="M619" s="100">
        <v>0</v>
      </c>
      <c r="N619" s="100">
        <v>0</v>
      </c>
      <c r="O619" s="100">
        <v>0</v>
      </c>
      <c r="P619" s="100">
        <v>0</v>
      </c>
      <c r="Q619" s="100">
        <v>0</v>
      </c>
      <c r="R619" s="100">
        <v>0</v>
      </c>
      <c r="S619" s="100">
        <v>0</v>
      </c>
      <c r="T619" s="226">
        <v>0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0</v>
      </c>
    </row>
    <row r="620" spans="1:26" ht="12" customHeight="1" x14ac:dyDescent="0.2">
      <c r="A620" s="89" t="s">
        <v>78</v>
      </c>
      <c r="B620" s="89" t="s">
        <v>70</v>
      </c>
      <c r="F620" s="371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0</v>
      </c>
      <c r="R620" s="90">
        <v>0</v>
      </c>
      <c r="S620" s="9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0</v>
      </c>
    </row>
    <row r="621" spans="1:26" ht="12.75" customHeight="1" x14ac:dyDescent="0.2">
      <c r="B621" s="89"/>
      <c r="C621" s="89"/>
      <c r="E621" t="s">
        <v>73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0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">
      <c r="B622" s="89"/>
      <c r="C622" s="89"/>
      <c r="D622" t="s">
        <v>156</v>
      </c>
      <c r="E622" t="s">
        <v>70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0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">
      <c r="C623" s="656" t="s">
        <v>155</v>
      </c>
      <c r="D623" s="657" t="s">
        <v>70</v>
      </c>
      <c r="E623" s="657"/>
      <c r="F623" s="658">
        <v>0</v>
      </c>
      <c r="G623" s="658">
        <v>0</v>
      </c>
      <c r="H623" s="658">
        <v>0</v>
      </c>
      <c r="I623" s="658">
        <v>0</v>
      </c>
      <c r="J623" s="658">
        <v>0</v>
      </c>
      <c r="K623" s="658">
        <v>0</v>
      </c>
      <c r="L623" s="658">
        <v>0</v>
      </c>
      <c r="M623" s="658">
        <v>0</v>
      </c>
      <c r="N623" s="658">
        <v>0</v>
      </c>
      <c r="O623" s="658">
        <v>0</v>
      </c>
      <c r="P623" s="658">
        <v>0</v>
      </c>
      <c r="Q623" s="658">
        <v>0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">
      <c r="E624" s="89" t="s">
        <v>73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0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">
      <c r="D625" t="s">
        <v>115</v>
      </c>
      <c r="E625" s="89" t="s">
        <v>70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">
      <c r="E626" s="89" t="s">
        <v>73</v>
      </c>
      <c r="F626" s="371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">
      <c r="D627" s="772">
        <v>2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">
      <c r="D632" s="772"/>
      <c r="E632" s="89" t="s">
        <v>73</v>
      </c>
      <c r="F632" s="371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">
      <c r="D633" s="772" t="s">
        <v>118</v>
      </c>
      <c r="E633" s="89" t="s">
        <v>70</v>
      </c>
      <c r="F633" s="371">
        <v>0</v>
      </c>
      <c r="G633" s="90">
        <v>0</v>
      </c>
      <c r="H633" s="90">
        <v>0</v>
      </c>
      <c r="I633" s="90">
        <v>0</v>
      </c>
      <c r="J633" s="90">
        <v>0</v>
      </c>
      <c r="K633" s="90">
        <v>0</v>
      </c>
      <c r="L633" s="90">
        <v>0</v>
      </c>
      <c r="M633" s="90">
        <v>0</v>
      </c>
      <c r="N633" s="90">
        <v>0</v>
      </c>
      <c r="O633" s="90">
        <v>0</v>
      </c>
      <c r="P633" s="90">
        <v>0</v>
      </c>
      <c r="Q633" s="90">
        <v>0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">
      <c r="C638" s="223" t="s">
        <v>120</v>
      </c>
      <c r="D638" s="223" t="s">
        <v>70</v>
      </c>
      <c r="F638" s="225">
        <v>0</v>
      </c>
      <c r="G638" s="225">
        <v>0</v>
      </c>
      <c r="H638" s="225">
        <v>0</v>
      </c>
      <c r="I638" s="225">
        <v>0</v>
      </c>
      <c r="J638" s="225">
        <v>0</v>
      </c>
      <c r="K638" s="225">
        <v>0</v>
      </c>
      <c r="L638" s="225">
        <v>0</v>
      </c>
      <c r="M638" s="225">
        <v>0</v>
      </c>
      <c r="N638" s="225">
        <v>0</v>
      </c>
      <c r="O638" s="225">
        <v>0</v>
      </c>
      <c r="P638" s="225">
        <v>0</v>
      </c>
      <c r="Q638" s="225">
        <v>0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">
      <c r="D641" s="89"/>
      <c r="E641" s="89" t="s">
        <v>73</v>
      </c>
      <c r="F641" s="371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">
      <c r="D642" s="89" t="s">
        <v>86</v>
      </c>
      <c r="E642" s="89" t="s">
        <v>70</v>
      </c>
      <c r="F642" s="371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">
      <c r="C645" s="94" t="s">
        <v>119</v>
      </c>
      <c r="D645" s="94" t="s">
        <v>70</v>
      </c>
      <c r="E645" s="101"/>
      <c r="F645" s="93">
        <v>0</v>
      </c>
      <c r="G645" s="93">
        <v>0</v>
      </c>
      <c r="H645" s="93">
        <v>0</v>
      </c>
      <c r="I645" s="93">
        <v>0</v>
      </c>
      <c r="J645" s="93">
        <v>0</v>
      </c>
      <c r="K645" s="93">
        <v>0</v>
      </c>
      <c r="L645" s="93">
        <v>0</v>
      </c>
      <c r="M645" s="93">
        <v>0</v>
      </c>
      <c r="N645" s="93">
        <v>0</v>
      </c>
      <c r="O645" s="93">
        <v>0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">
      <c r="B646" s="378" t="s">
        <v>122</v>
      </c>
      <c r="C646" s="378" t="s">
        <v>70</v>
      </c>
      <c r="E646" s="376"/>
      <c r="F646" s="377">
        <v>0</v>
      </c>
      <c r="G646" s="377">
        <v>0</v>
      </c>
      <c r="H646" s="377">
        <v>0</v>
      </c>
      <c r="I646" s="377">
        <v>0</v>
      </c>
      <c r="J646" s="377">
        <v>0</v>
      </c>
      <c r="K646" s="377">
        <v>0</v>
      </c>
      <c r="L646" s="377">
        <v>0</v>
      </c>
      <c r="M646" s="377">
        <v>0</v>
      </c>
      <c r="N646" s="377">
        <v>0</v>
      </c>
      <c r="O646" s="377">
        <v>0</v>
      </c>
      <c r="P646" s="377">
        <v>0</v>
      </c>
      <c r="Q646" s="377">
        <v>0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">
      <c r="E647" s="89" t="s">
        <v>73</v>
      </c>
      <c r="F647" s="90">
        <v>0</v>
      </c>
      <c r="G647" s="90">
        <v>0</v>
      </c>
      <c r="H647" s="90">
        <v>0</v>
      </c>
      <c r="I647" s="90">
        <v>0</v>
      </c>
      <c r="J647" s="90">
        <v>0</v>
      </c>
      <c r="K647" s="90">
        <v>0</v>
      </c>
      <c r="L647" s="90">
        <v>0</v>
      </c>
      <c r="M647" s="90">
        <v>0</v>
      </c>
      <c r="N647" s="90">
        <v>0</v>
      </c>
      <c r="O647" s="90">
        <v>0</v>
      </c>
      <c r="P647" s="90">
        <v>0</v>
      </c>
      <c r="Q647" s="90">
        <v>0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">
      <c r="D648" s="89" t="s">
        <v>156</v>
      </c>
      <c r="E648" s="89" t="s">
        <v>70</v>
      </c>
      <c r="F648" s="90">
        <v>0</v>
      </c>
      <c r="G648" s="90">
        <v>0</v>
      </c>
      <c r="H648" s="90">
        <v>0</v>
      </c>
      <c r="I648" s="90">
        <v>0</v>
      </c>
      <c r="J648" s="90">
        <v>0</v>
      </c>
      <c r="K648" s="90">
        <v>0</v>
      </c>
      <c r="L648" s="90">
        <v>0</v>
      </c>
      <c r="M648" s="90">
        <v>0</v>
      </c>
      <c r="N648" s="90">
        <v>0</v>
      </c>
      <c r="O648" s="90">
        <v>0</v>
      </c>
      <c r="P648" s="90">
        <v>0</v>
      </c>
      <c r="Q648" s="90">
        <v>0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">
      <c r="C649" s="656" t="s">
        <v>155</v>
      </c>
      <c r="D649" s="657" t="s">
        <v>70</v>
      </c>
      <c r="E649" s="657"/>
      <c r="F649" s="738">
        <v>0</v>
      </c>
      <c r="G649" s="658">
        <v>0</v>
      </c>
      <c r="H649" s="658">
        <v>0</v>
      </c>
      <c r="I649" s="658">
        <v>0</v>
      </c>
      <c r="J649" s="658">
        <v>0</v>
      </c>
      <c r="K649" s="658">
        <v>0</v>
      </c>
      <c r="L649" s="658">
        <v>0</v>
      </c>
      <c r="M649" s="658">
        <v>0</v>
      </c>
      <c r="N649" s="658">
        <v>0</v>
      </c>
      <c r="O649" s="658">
        <v>0</v>
      </c>
      <c r="P649" s="658">
        <v>0</v>
      </c>
      <c r="Q649" s="658">
        <v>0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">
      <c r="D650" s="89"/>
      <c r="E650" s="89" t="s">
        <v>73</v>
      </c>
      <c r="F650" s="371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">
      <c r="D651" s="89" t="s">
        <v>115</v>
      </c>
      <c r="E651" s="89" t="s">
        <v>70</v>
      </c>
      <c r="F651" s="371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">
      <c r="D658" s="89"/>
      <c r="E658" s="89" t="s">
        <v>73</v>
      </c>
      <c r="F658" s="371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">
      <c r="D659" s="89" t="s">
        <v>118</v>
      </c>
      <c r="E659" s="89" t="s">
        <v>70</v>
      </c>
      <c r="F659" s="371">
        <v>0</v>
      </c>
      <c r="G659" s="90">
        <v>0</v>
      </c>
      <c r="H659" s="90">
        <v>0</v>
      </c>
      <c r="I659" s="90">
        <v>0</v>
      </c>
      <c r="J659" s="90">
        <v>0</v>
      </c>
      <c r="K659" s="90">
        <v>0</v>
      </c>
      <c r="L659" s="90">
        <v>0</v>
      </c>
      <c r="M659" s="90">
        <v>0</v>
      </c>
      <c r="N659" s="90">
        <v>0</v>
      </c>
      <c r="O659" s="90">
        <v>0</v>
      </c>
      <c r="P659" s="90">
        <v>0</v>
      </c>
      <c r="Q659" s="90">
        <v>0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">
      <c r="C664" s="223" t="s">
        <v>120</v>
      </c>
      <c r="D664" s="223" t="s">
        <v>70</v>
      </c>
      <c r="F664" s="225">
        <v>0</v>
      </c>
      <c r="G664" s="225">
        <v>0</v>
      </c>
      <c r="H664" s="225">
        <v>0</v>
      </c>
      <c r="I664" s="225">
        <v>0</v>
      </c>
      <c r="J664" s="225">
        <v>0</v>
      </c>
      <c r="K664" s="225">
        <v>0</v>
      </c>
      <c r="L664" s="225">
        <v>0</v>
      </c>
      <c r="M664" s="225">
        <v>0</v>
      </c>
      <c r="N664" s="225">
        <v>0</v>
      </c>
      <c r="O664" s="225">
        <v>0</v>
      </c>
      <c r="P664" s="225">
        <v>0</v>
      </c>
      <c r="Q664" s="225">
        <v>0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">
      <c r="E665" s="89" t="s">
        <v>73</v>
      </c>
      <c r="F665" s="90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">
      <c r="D666" s="89" t="s">
        <v>82</v>
      </c>
      <c r="E666" s="89" t="s">
        <v>70</v>
      </c>
      <c r="F666" s="90">
        <v>0</v>
      </c>
      <c r="G666" s="90">
        <v>0</v>
      </c>
      <c r="H666" s="90">
        <v>0</v>
      </c>
      <c r="I666" s="90">
        <v>0</v>
      </c>
      <c r="J666" s="90">
        <v>0</v>
      </c>
      <c r="K666" s="90">
        <v>0</v>
      </c>
      <c r="L666" s="90">
        <v>0</v>
      </c>
      <c r="M666" s="90">
        <v>0</v>
      </c>
      <c r="N666" s="90">
        <v>0</v>
      </c>
      <c r="O666" s="90">
        <v>0</v>
      </c>
      <c r="P666" s="90">
        <v>0</v>
      </c>
      <c r="Q666" s="90">
        <v>0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">
      <c r="E667" s="89" t="s">
        <v>73</v>
      </c>
      <c r="F667" s="90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">
      <c r="D668" s="89" t="s">
        <v>86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">
      <c r="D670" s="89" t="s">
        <v>87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">
      <c r="C671" s="101" t="s">
        <v>119</v>
      </c>
      <c r="D671" s="101" t="s">
        <v>70</v>
      </c>
      <c r="F671" s="93">
        <v>0</v>
      </c>
      <c r="G671" s="93">
        <v>0</v>
      </c>
      <c r="H671" s="93">
        <v>0</v>
      </c>
      <c r="I671" s="93">
        <v>0</v>
      </c>
      <c r="J671" s="93">
        <v>0</v>
      </c>
      <c r="K671" s="93">
        <v>0</v>
      </c>
      <c r="L671" s="93">
        <v>0</v>
      </c>
      <c r="M671" s="93">
        <v>0</v>
      </c>
      <c r="N671" s="93">
        <v>0</v>
      </c>
      <c r="O671" s="93">
        <v>0</v>
      </c>
      <c r="P671" s="93">
        <v>0</v>
      </c>
      <c r="Q671" s="93">
        <v>0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">
      <c r="B672" s="98" t="s">
        <v>112</v>
      </c>
      <c r="C672" s="98" t="s">
        <v>70</v>
      </c>
      <c r="F672" s="100">
        <v>0</v>
      </c>
      <c r="G672" s="100">
        <v>0</v>
      </c>
      <c r="H672" s="100">
        <v>0</v>
      </c>
      <c r="I672" s="100">
        <v>0</v>
      </c>
      <c r="J672" s="100">
        <v>0</v>
      </c>
      <c r="K672" s="100">
        <v>0</v>
      </c>
      <c r="L672" s="100">
        <v>0</v>
      </c>
      <c r="M672" s="100">
        <v>0</v>
      </c>
      <c r="N672" s="100">
        <v>0</v>
      </c>
      <c r="O672" s="100">
        <v>0</v>
      </c>
      <c r="P672" s="100">
        <v>0</v>
      </c>
      <c r="Q672" s="100">
        <v>0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">
      <c r="A673" s="89" t="s">
        <v>79</v>
      </c>
      <c r="B673" s="89" t="s">
        <v>70</v>
      </c>
      <c r="F673" s="90">
        <v>0</v>
      </c>
      <c r="G673" s="90">
        <v>0</v>
      </c>
      <c r="H673" s="90">
        <v>0</v>
      </c>
      <c r="I673" s="90">
        <v>0</v>
      </c>
      <c r="J673" s="90">
        <v>0</v>
      </c>
      <c r="K673" s="90">
        <v>0</v>
      </c>
      <c r="L673" s="90">
        <v>0</v>
      </c>
      <c r="M673" s="90">
        <v>0</v>
      </c>
      <c r="N673" s="90">
        <v>0</v>
      </c>
      <c r="O673" s="90">
        <v>0</v>
      </c>
      <c r="P673" s="90">
        <v>0</v>
      </c>
      <c r="Q673" s="90">
        <v>0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">
      <c r="A674" s="89" t="s">
        <v>70</v>
      </c>
      <c r="F674" s="90">
        <v>0</v>
      </c>
      <c r="G674" s="90">
        <v>0</v>
      </c>
      <c r="H674" s="90">
        <v>0</v>
      </c>
      <c r="I674" s="90">
        <v>0</v>
      </c>
      <c r="J674" s="90">
        <v>0</v>
      </c>
      <c r="K674" s="90">
        <v>0</v>
      </c>
      <c r="L674" s="90">
        <v>0</v>
      </c>
      <c r="M674" s="90">
        <v>0</v>
      </c>
      <c r="N674" s="90">
        <v>0</v>
      </c>
      <c r="O674" s="90">
        <v>0</v>
      </c>
      <c r="P674" s="90">
        <v>0</v>
      </c>
      <c r="Q674" s="90">
        <v>0</v>
      </c>
      <c r="R674" s="90">
        <v>0</v>
      </c>
      <c r="S674" s="90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0</v>
      </c>
    </row>
    <row r="675" spans="1:26" ht="12.75" customHeight="1" x14ac:dyDescent="0.2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">
      <c r="C692" s="779" t="s">
        <v>2</v>
      </c>
      <c r="D692" s="776" t="s">
        <v>132</v>
      </c>
      <c r="E692" s="98" t="s">
        <v>70</v>
      </c>
      <c r="F692" s="100">
        <f>F619+F672+F544-L544-L619</f>
        <v>0</v>
      </c>
      <c r="G692" s="100">
        <f t="shared" ref="G692:AO692" si="25">G619+G544</f>
        <v>0</v>
      </c>
      <c r="H692" s="100">
        <f t="shared" si="25"/>
        <v>0</v>
      </c>
      <c r="I692" s="100">
        <f t="shared" si="25"/>
        <v>0</v>
      </c>
      <c r="J692" s="100">
        <f t="shared" si="25"/>
        <v>0</v>
      </c>
      <c r="K692" s="100">
        <f t="shared" si="25"/>
        <v>0</v>
      </c>
      <c r="L692" s="100">
        <f t="shared" si="25"/>
        <v>0</v>
      </c>
      <c r="M692" s="100">
        <f t="shared" si="25"/>
        <v>0</v>
      </c>
      <c r="N692" s="100">
        <f t="shared" si="25"/>
        <v>0</v>
      </c>
      <c r="O692" s="100">
        <f t="shared" si="25"/>
        <v>0</v>
      </c>
      <c r="P692" s="100">
        <f t="shared" si="25"/>
        <v>0</v>
      </c>
      <c r="Q692" s="100">
        <f t="shared" si="25"/>
        <v>0</v>
      </c>
      <c r="R692" s="100">
        <f t="shared" si="25"/>
        <v>0</v>
      </c>
      <c r="S692" s="100">
        <f t="shared" si="25"/>
        <v>0</v>
      </c>
      <c r="T692" s="100">
        <f t="shared" si="25"/>
        <v>0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0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">
      <c r="C693" s="779"/>
      <c r="D693" s="776"/>
      <c r="E693" s="98" t="s">
        <v>73</v>
      </c>
      <c r="F693" s="100">
        <f>F672</f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">
      <c r="C694" s="779"/>
      <c r="D694" s="776" t="s">
        <v>133</v>
      </c>
      <c r="E694" s="233" t="s">
        <v>70</v>
      </c>
      <c r="F694" s="234">
        <f>F646+F582-L582</f>
        <v>0</v>
      </c>
      <c r="G694" s="234">
        <f t="shared" ref="G694:AA694" si="26">G582</f>
        <v>0</v>
      </c>
      <c r="H694" s="234">
        <f t="shared" si="26"/>
        <v>0</v>
      </c>
      <c r="I694" s="234">
        <f t="shared" si="26"/>
        <v>0</v>
      </c>
      <c r="J694" s="234">
        <f t="shared" si="26"/>
        <v>0</v>
      </c>
      <c r="K694" s="234">
        <f t="shared" si="26"/>
        <v>0</v>
      </c>
      <c r="L694" s="234">
        <f t="shared" si="26"/>
        <v>0</v>
      </c>
      <c r="M694" s="234">
        <f t="shared" si="26"/>
        <v>0</v>
      </c>
      <c r="N694" s="234">
        <f t="shared" si="26"/>
        <v>0</v>
      </c>
      <c r="O694" s="234">
        <f t="shared" si="26"/>
        <v>0</v>
      </c>
      <c r="P694" s="234">
        <f t="shared" si="26"/>
        <v>0</v>
      </c>
      <c r="Q694" s="234">
        <f t="shared" si="26"/>
        <v>0</v>
      </c>
      <c r="R694" s="234">
        <f t="shared" si="26"/>
        <v>0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">
      <c r="C695" s="779"/>
      <c r="D695" s="776"/>
      <c r="E695" s="233" t="s">
        <v>73</v>
      </c>
      <c r="F695" s="234">
        <f>F646</f>
        <v>0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">
      <c r="C697" s="779" t="s">
        <v>160</v>
      </c>
      <c r="D697" s="776" t="s">
        <v>132</v>
      </c>
      <c r="E697" s="223" t="s">
        <v>70</v>
      </c>
      <c r="F697" s="225">
        <f>F664+F608+F536-L536-L608</f>
        <v>0</v>
      </c>
      <c r="G697" s="225">
        <f>G608+G536</f>
        <v>0</v>
      </c>
      <c r="H697" s="225">
        <f t="shared" ref="H697:AO697" si="27">H608+H536</f>
        <v>0</v>
      </c>
      <c r="I697" s="225">
        <f t="shared" si="27"/>
        <v>0</v>
      </c>
      <c r="J697" s="225">
        <f t="shared" si="27"/>
        <v>0</v>
      </c>
      <c r="K697" s="225">
        <f t="shared" si="27"/>
        <v>0</v>
      </c>
      <c r="L697" s="225">
        <f t="shared" si="27"/>
        <v>0</v>
      </c>
      <c r="M697" s="225">
        <f t="shared" si="27"/>
        <v>0</v>
      </c>
      <c r="N697" s="225">
        <f t="shared" si="27"/>
        <v>0</v>
      </c>
      <c r="O697" s="225">
        <f t="shared" si="27"/>
        <v>0</v>
      </c>
      <c r="P697" s="225">
        <f t="shared" si="27"/>
        <v>0</v>
      </c>
      <c r="Q697" s="225">
        <f t="shared" si="27"/>
        <v>0</v>
      </c>
      <c r="R697" s="225">
        <f t="shared" si="27"/>
        <v>0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">
      <c r="C698" s="779"/>
      <c r="D698" s="776"/>
      <c r="E698" s="223" t="s">
        <v>73</v>
      </c>
      <c r="F698" s="225">
        <f>F664</f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">
      <c r="C699" s="779"/>
      <c r="D699" s="776" t="s">
        <v>133</v>
      </c>
      <c r="E699" s="227" t="s">
        <v>70</v>
      </c>
      <c r="F699" s="228">
        <f>F638+F571-L571</f>
        <v>0</v>
      </c>
      <c r="G699" s="228">
        <f t="shared" ref="G699:Z699" si="28">G571</f>
        <v>0</v>
      </c>
      <c r="H699" s="228">
        <f t="shared" si="28"/>
        <v>0</v>
      </c>
      <c r="I699" s="228">
        <f t="shared" si="28"/>
        <v>0</v>
      </c>
      <c r="J699" s="228">
        <f t="shared" si="28"/>
        <v>0</v>
      </c>
      <c r="K699" s="228">
        <f t="shared" si="28"/>
        <v>0</v>
      </c>
      <c r="L699" s="228">
        <f t="shared" si="28"/>
        <v>0</v>
      </c>
      <c r="M699" s="228">
        <f t="shared" si="28"/>
        <v>0</v>
      </c>
      <c r="N699" s="228">
        <f t="shared" si="28"/>
        <v>0</v>
      </c>
      <c r="O699" s="228">
        <f t="shared" si="28"/>
        <v>0</v>
      </c>
      <c r="P699" s="228">
        <f t="shared" si="28"/>
        <v>0</v>
      </c>
      <c r="Q699" s="228">
        <f t="shared" si="28"/>
        <v>0</v>
      </c>
      <c r="R699" s="228">
        <f t="shared" si="28"/>
        <v>0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">
      <c r="C700" s="779"/>
      <c r="D700" s="776"/>
      <c r="E700" s="227" t="s">
        <v>73</v>
      </c>
      <c r="F700" s="228">
        <f>F638</f>
        <v>0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">
      <c r="C702" s="779" t="s">
        <v>155</v>
      </c>
      <c r="D702" s="776" t="s">
        <v>132</v>
      </c>
      <c r="E702" s="221" t="s">
        <v>70</v>
      </c>
      <c r="F702" s="222">
        <f>F649+F586+F521-L521-L586</f>
        <v>0</v>
      </c>
      <c r="G702" s="222">
        <f t="shared" ref="G702:Z702" si="29">G586+G521</f>
        <v>0</v>
      </c>
      <c r="H702" s="222">
        <f t="shared" si="29"/>
        <v>0</v>
      </c>
      <c r="I702" s="222">
        <f t="shared" si="29"/>
        <v>0</v>
      </c>
      <c r="J702" s="222">
        <f t="shared" si="29"/>
        <v>0</v>
      </c>
      <c r="K702" s="222">
        <f t="shared" si="29"/>
        <v>0</v>
      </c>
      <c r="L702" s="222">
        <f t="shared" si="29"/>
        <v>0</v>
      </c>
      <c r="M702" s="222">
        <f t="shared" si="29"/>
        <v>0</v>
      </c>
      <c r="N702" s="222">
        <f t="shared" si="29"/>
        <v>0</v>
      </c>
      <c r="O702" s="222">
        <f t="shared" si="29"/>
        <v>0</v>
      </c>
      <c r="P702" s="222">
        <f t="shared" si="29"/>
        <v>0</v>
      </c>
      <c r="Q702" s="222">
        <f t="shared" si="29"/>
        <v>0</v>
      </c>
      <c r="R702" s="222">
        <f t="shared" si="29"/>
        <v>0</v>
      </c>
      <c r="S702" s="222">
        <f t="shared" si="29"/>
        <v>0</v>
      </c>
      <c r="T702" s="222">
        <f t="shared" si="29"/>
        <v>0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0</v>
      </c>
    </row>
    <row r="703" spans="1:41" ht="12.75" customHeight="1" x14ac:dyDescent="0.2">
      <c r="C703" s="779"/>
      <c r="D703" s="776"/>
      <c r="E703" s="221" t="s">
        <v>73</v>
      </c>
      <c r="F703" s="222">
        <f>F649</f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">
      <c r="C704" s="779"/>
      <c r="D704" s="776" t="s">
        <v>133</v>
      </c>
      <c r="E704" s="229" t="s">
        <v>70</v>
      </c>
      <c r="F704" s="230">
        <f>F623+F549-L549</f>
        <v>0</v>
      </c>
      <c r="G704" s="230">
        <f t="shared" ref="G704:Z704" si="30">G549</f>
        <v>0</v>
      </c>
      <c r="H704" s="230">
        <f t="shared" si="30"/>
        <v>0</v>
      </c>
      <c r="I704" s="230">
        <f t="shared" si="30"/>
        <v>0</v>
      </c>
      <c r="J704" s="230">
        <f t="shared" si="30"/>
        <v>0</v>
      </c>
      <c r="K704" s="230">
        <f t="shared" si="30"/>
        <v>0</v>
      </c>
      <c r="L704" s="230">
        <f t="shared" si="30"/>
        <v>0</v>
      </c>
      <c r="M704" s="230">
        <f t="shared" si="30"/>
        <v>0</v>
      </c>
      <c r="N704" s="230">
        <f t="shared" si="30"/>
        <v>0</v>
      </c>
      <c r="O704" s="230">
        <f t="shared" si="30"/>
        <v>0</v>
      </c>
      <c r="P704" s="230">
        <f t="shared" si="30"/>
        <v>0</v>
      </c>
      <c r="Q704" s="230">
        <f t="shared" si="30"/>
        <v>0</v>
      </c>
      <c r="R704" s="230">
        <f t="shared" si="30"/>
        <v>0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">
      <c r="C705" s="779"/>
      <c r="D705" s="776"/>
      <c r="E705" s="229" t="s">
        <v>73</v>
      </c>
      <c r="F705" s="230">
        <f>F623</f>
        <v>0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">
      <c r="C707" s="777" t="s">
        <v>326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">
      <c r="C712" s="779" t="s">
        <v>119</v>
      </c>
      <c r="D712" s="776" t="s">
        <v>132</v>
      </c>
      <c r="E712" s="101" t="s">
        <v>70</v>
      </c>
      <c r="F712" s="93">
        <f>F671+F618+F543-L543-L618</f>
        <v>0</v>
      </c>
      <c r="G712" s="93">
        <f t="shared" ref="G712:AO712" si="31">G618+G543</f>
        <v>0</v>
      </c>
      <c r="H712" s="93">
        <f t="shared" si="31"/>
        <v>0</v>
      </c>
      <c r="I712" s="93">
        <f t="shared" si="31"/>
        <v>0</v>
      </c>
      <c r="J712" s="93">
        <f t="shared" si="31"/>
        <v>0</v>
      </c>
      <c r="K712" s="93">
        <f t="shared" si="31"/>
        <v>0</v>
      </c>
      <c r="L712" s="93">
        <f t="shared" si="31"/>
        <v>0</v>
      </c>
      <c r="M712" s="93">
        <f t="shared" si="31"/>
        <v>0</v>
      </c>
      <c r="N712" s="93">
        <f t="shared" si="31"/>
        <v>0</v>
      </c>
      <c r="O712" s="93">
        <f t="shared" si="31"/>
        <v>0</v>
      </c>
      <c r="P712" s="93">
        <f t="shared" si="31"/>
        <v>0</v>
      </c>
      <c r="Q712" s="93">
        <f t="shared" si="31"/>
        <v>0</v>
      </c>
      <c r="R712" s="93">
        <f t="shared" si="31"/>
        <v>0</v>
      </c>
      <c r="S712" s="93">
        <f t="shared" si="31"/>
        <v>0</v>
      </c>
      <c r="T712" s="93">
        <f t="shared" si="31"/>
        <v>0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">
      <c r="C713" s="779"/>
      <c r="D713" s="776"/>
      <c r="E713" s="101" t="s">
        <v>73</v>
      </c>
      <c r="F713" s="93">
        <f>F671</f>
        <v>0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">
      <c r="C714" s="779"/>
      <c r="D714" s="776" t="s">
        <v>133</v>
      </c>
      <c r="E714" s="235" t="s">
        <v>70</v>
      </c>
      <c r="F714" s="236">
        <f>F645+F581-L581</f>
        <v>0</v>
      </c>
      <c r="G714" s="236">
        <f t="shared" ref="G714:Z714" si="32">G581</f>
        <v>0</v>
      </c>
      <c r="H714" s="236">
        <f t="shared" si="32"/>
        <v>0</v>
      </c>
      <c r="I714" s="236">
        <f t="shared" si="32"/>
        <v>0</v>
      </c>
      <c r="J714" s="236">
        <f t="shared" si="32"/>
        <v>0</v>
      </c>
      <c r="K714" s="236">
        <f t="shared" si="32"/>
        <v>0</v>
      </c>
      <c r="L714" s="236">
        <f t="shared" si="32"/>
        <v>0</v>
      </c>
      <c r="M714" s="236">
        <f t="shared" si="32"/>
        <v>0</v>
      </c>
      <c r="N714" s="236">
        <f t="shared" si="32"/>
        <v>0</v>
      </c>
      <c r="O714" s="236">
        <f t="shared" si="32"/>
        <v>0</v>
      </c>
      <c r="P714" s="236">
        <f t="shared" si="32"/>
        <v>0</v>
      </c>
      <c r="Q714" s="236">
        <f t="shared" si="32"/>
        <v>0</v>
      </c>
      <c r="R714" s="236">
        <f t="shared" si="32"/>
        <v>0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">
      <c r="C715" s="779"/>
      <c r="D715" s="776"/>
      <c r="E715" s="235" t="s">
        <v>73</v>
      </c>
      <c r="F715" s="236">
        <f>F645</f>
        <v>0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">
      <c r="D722" s="458" t="s">
        <v>186</v>
      </c>
      <c r="E722" s="459" t="s">
        <v>70</v>
      </c>
      <c r="F722" s="460">
        <f t="shared" ref="F722:Z722" si="33">F544</f>
        <v>0</v>
      </c>
      <c r="G722" s="460">
        <f t="shared" si="33"/>
        <v>0</v>
      </c>
      <c r="H722" s="460">
        <f t="shared" si="33"/>
        <v>0</v>
      </c>
      <c r="I722" s="460">
        <f t="shared" si="33"/>
        <v>0</v>
      </c>
      <c r="J722" s="460">
        <f t="shared" si="33"/>
        <v>0</v>
      </c>
      <c r="K722" s="460">
        <f t="shared" si="33"/>
        <v>0</v>
      </c>
      <c r="L722" s="460">
        <f t="shared" si="33"/>
        <v>0</v>
      </c>
      <c r="M722" s="460">
        <f t="shared" si="33"/>
        <v>0</v>
      </c>
      <c r="N722" s="460">
        <f t="shared" si="33"/>
        <v>0</v>
      </c>
      <c r="O722" s="460">
        <f t="shared" si="33"/>
        <v>0</v>
      </c>
      <c r="P722" s="460">
        <f t="shared" si="33"/>
        <v>0</v>
      </c>
      <c r="Q722" s="460">
        <f t="shared" si="33"/>
        <v>0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">
      <c r="E727" t="s">
        <v>72</v>
      </c>
      <c r="F727" s="90">
        <v>0</v>
      </c>
      <c r="G727" s="90">
        <v>0</v>
      </c>
      <c r="H727" s="90">
        <v>0</v>
      </c>
      <c r="I727" s="90">
        <v>0</v>
      </c>
      <c r="J727" s="90">
        <v>0</v>
      </c>
      <c r="K727" s="90">
        <v>0</v>
      </c>
      <c r="L727" s="90">
        <v>0</v>
      </c>
      <c r="M727" s="90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">
      <c r="D728" t="s">
        <v>156</v>
      </c>
      <c r="E728" t="s">
        <v>70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">
      <c r="C729" s="286" t="s">
        <v>155</v>
      </c>
      <c r="D729" s="286" t="s">
        <v>70</v>
      </c>
      <c r="F729" s="230">
        <v>0</v>
      </c>
      <c r="G729" s="23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30">
        <v>0</v>
      </c>
      <c r="N729" s="230">
        <v>0</v>
      </c>
      <c r="O729" s="230">
        <v>0</v>
      </c>
      <c r="P729" s="230">
        <v>0</v>
      </c>
      <c r="Q729" s="230">
        <v>0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">
      <c r="E732" s="89" t="s">
        <v>72</v>
      </c>
      <c r="F732" s="371">
        <v>0</v>
      </c>
      <c r="G732" s="90">
        <v>0</v>
      </c>
      <c r="H732" s="90">
        <v>0</v>
      </c>
      <c r="I732" s="90">
        <v>0</v>
      </c>
      <c r="J732" s="90">
        <v>0</v>
      </c>
      <c r="K732" s="90">
        <v>0</v>
      </c>
      <c r="L732" s="90">
        <v>0</v>
      </c>
      <c r="M732" s="90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">
      <c r="D733" t="s">
        <v>86</v>
      </c>
      <c r="E733" s="89" t="s">
        <v>70</v>
      </c>
      <c r="F733" s="371">
        <v>0</v>
      </c>
      <c r="G733" s="90">
        <v>0</v>
      </c>
      <c r="H733" s="90">
        <v>0</v>
      </c>
      <c r="I733" s="90">
        <v>0</v>
      </c>
      <c r="J733" s="90">
        <v>0</v>
      </c>
      <c r="K733" s="90">
        <v>0</v>
      </c>
      <c r="L733" s="90">
        <v>0</v>
      </c>
      <c r="M733" s="90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">
      <c r="C736" s="101" t="s">
        <v>119</v>
      </c>
      <c r="D736" s="101" t="s">
        <v>70</v>
      </c>
      <c r="F736" s="93">
        <v>0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">
      <c r="B737" t="s">
        <v>112</v>
      </c>
      <c r="C737" t="s">
        <v>70</v>
      </c>
      <c r="E737" s="89"/>
      <c r="F737" s="371">
        <v>0</v>
      </c>
      <c r="G737" s="90">
        <v>0</v>
      </c>
      <c r="H737" s="90">
        <v>0</v>
      </c>
      <c r="I737" s="90">
        <v>0</v>
      </c>
      <c r="J737" s="90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">
      <c r="A738" s="458" t="s">
        <v>186</v>
      </c>
      <c r="B738" s="458" t="s">
        <v>70</v>
      </c>
      <c r="F738" s="458">
        <v>0</v>
      </c>
      <c r="G738" s="458">
        <v>0</v>
      </c>
      <c r="H738" s="458">
        <v>0</v>
      </c>
      <c r="I738" s="458">
        <v>0</v>
      </c>
      <c r="J738" s="458">
        <v>0</v>
      </c>
      <c r="K738" s="458">
        <v>0</v>
      </c>
      <c r="L738" s="458">
        <v>0</v>
      </c>
      <c r="M738" s="458">
        <v>0</v>
      </c>
      <c r="N738" s="458">
        <v>0</v>
      </c>
      <c r="O738" s="458">
        <v>0</v>
      </c>
      <c r="P738" s="458">
        <v>0</v>
      </c>
      <c r="Q738" s="458">
        <v>0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">
      <c r="E750" t="s">
        <v>72</v>
      </c>
      <c r="F750" s="90">
        <v>0</v>
      </c>
      <c r="G750" s="90">
        <v>0</v>
      </c>
      <c r="H750" s="90">
        <v>0</v>
      </c>
      <c r="I750" s="90">
        <v>0</v>
      </c>
      <c r="J750" s="90">
        <v>0</v>
      </c>
      <c r="K750" s="90">
        <v>0</v>
      </c>
      <c r="L750" s="90">
        <v>0</v>
      </c>
      <c r="M750" s="90">
        <v>0</v>
      </c>
      <c r="N750" s="90">
        <v>0</v>
      </c>
      <c r="O750" s="90">
        <v>0</v>
      </c>
      <c r="P750" s="90">
        <v>0</v>
      </c>
      <c r="Q750" s="90">
        <v>370.08</v>
      </c>
      <c r="R750" s="90">
        <v>-1.95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">
      <c r="D752" t="s">
        <v>86</v>
      </c>
      <c r="E752" t="s">
        <v>70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  <c r="P752" s="90">
        <v>0</v>
      </c>
      <c r="Q752" s="90">
        <v>370.15</v>
      </c>
      <c r="R752" s="90">
        <v>-1.95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">
      <c r="E753" s="89" t="s">
        <v>72</v>
      </c>
      <c r="F753" s="371">
        <v>0</v>
      </c>
      <c r="G753" s="90">
        <v>0</v>
      </c>
      <c r="H753" s="90">
        <v>0</v>
      </c>
      <c r="I753" s="90">
        <v>0</v>
      </c>
      <c r="J753" s="90">
        <v>0</v>
      </c>
      <c r="K753" s="90">
        <v>0</v>
      </c>
      <c r="L753" s="90">
        <v>0</v>
      </c>
      <c r="M753" s="90">
        <v>0</v>
      </c>
      <c r="N753" s="90">
        <v>0</v>
      </c>
      <c r="O753" s="90">
        <v>0</v>
      </c>
      <c r="P753" s="90">
        <v>0</v>
      </c>
      <c r="Q753" s="90">
        <v>0</v>
      </c>
      <c r="R753" s="90">
        <v>0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">
      <c r="D755" t="s">
        <v>87</v>
      </c>
      <c r="E755" s="89" t="s">
        <v>70</v>
      </c>
      <c r="F755" s="371">
        <v>0</v>
      </c>
      <c r="G755" s="90">
        <v>0</v>
      </c>
      <c r="H755" s="90">
        <v>0</v>
      </c>
      <c r="I755" s="90">
        <v>0</v>
      </c>
      <c r="J755" s="90">
        <v>0</v>
      </c>
      <c r="K755" s="90">
        <v>0</v>
      </c>
      <c r="L755" s="90">
        <v>0</v>
      </c>
      <c r="M755" s="90">
        <v>0</v>
      </c>
      <c r="N755" s="90">
        <v>0</v>
      </c>
      <c r="O755" s="90">
        <v>0</v>
      </c>
      <c r="P755" s="90">
        <v>0</v>
      </c>
      <c r="Q755" s="90">
        <v>0</v>
      </c>
      <c r="R755" s="90">
        <v>0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">
      <c r="C756" s="101" t="s">
        <v>119</v>
      </c>
      <c r="D756" s="101" t="s">
        <v>70</v>
      </c>
      <c r="F756" s="93">
        <v>0</v>
      </c>
      <c r="G756" s="93">
        <v>0</v>
      </c>
      <c r="H756" s="93">
        <v>0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">
      <c r="B757" s="378" t="s">
        <v>122</v>
      </c>
      <c r="C757" s="378" t="s">
        <v>70</v>
      </c>
      <c r="E757" s="376"/>
      <c r="F757" s="710">
        <v>0</v>
      </c>
      <c r="G757" s="377">
        <v>0</v>
      </c>
      <c r="H757" s="377">
        <v>0</v>
      </c>
      <c r="I757" s="377">
        <v>0</v>
      </c>
      <c r="J757" s="377">
        <v>0</v>
      </c>
      <c r="K757" s="377">
        <v>0</v>
      </c>
      <c r="L757" s="377">
        <v>0</v>
      </c>
      <c r="M757" s="377">
        <v>0</v>
      </c>
      <c r="N757" s="377">
        <v>0</v>
      </c>
      <c r="O757" s="377">
        <v>0</v>
      </c>
      <c r="P757" s="377">
        <v>0</v>
      </c>
      <c r="Q757" s="377">
        <v>0</v>
      </c>
      <c r="R757" s="377">
        <v>0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">
      <c r="C758" s="89"/>
      <c r="D758" s="89"/>
      <c r="E758" t="s">
        <v>72</v>
      </c>
      <c r="F758" s="371">
        <v>0</v>
      </c>
      <c r="G758" s="90">
        <v>0</v>
      </c>
      <c r="H758" s="90">
        <v>0</v>
      </c>
      <c r="I758" s="90">
        <v>0</v>
      </c>
      <c r="J758" s="90">
        <v>0</v>
      </c>
      <c r="K758" s="90">
        <v>0</v>
      </c>
      <c r="L758" s="90">
        <v>0</v>
      </c>
      <c r="M758" s="90">
        <v>0</v>
      </c>
      <c r="N758" s="90">
        <v>0</v>
      </c>
      <c r="O758" s="90">
        <v>0</v>
      </c>
      <c r="P758" s="90">
        <v>0</v>
      </c>
      <c r="Q758" s="90">
        <v>0</v>
      </c>
      <c r="R758" s="90">
        <v>0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">
      <c r="C759" s="89"/>
      <c r="D759" s="89"/>
      <c r="E759" t="s">
        <v>81</v>
      </c>
      <c r="F759" s="90">
        <v>0</v>
      </c>
      <c r="G759" s="90">
        <v>0</v>
      </c>
      <c r="H759" s="90">
        <v>0</v>
      </c>
      <c r="I759" s="90">
        <v>0</v>
      </c>
      <c r="J759" s="90">
        <v>0</v>
      </c>
      <c r="K759" s="90">
        <v>0</v>
      </c>
      <c r="L759" s="90">
        <v>0</v>
      </c>
      <c r="M759" s="90">
        <v>0</v>
      </c>
      <c r="N759" s="90">
        <v>0</v>
      </c>
      <c r="O759" s="90">
        <v>0</v>
      </c>
      <c r="P759" s="90">
        <v>0</v>
      </c>
      <c r="Q759" s="90">
        <v>0</v>
      </c>
      <c r="R759" s="90">
        <v>0</v>
      </c>
      <c r="S759" s="90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ht="12.75" customHeight="1" x14ac:dyDescent="0.2">
      <c r="D760" t="s">
        <v>156</v>
      </c>
      <c r="E760" s="89" t="s">
        <v>70</v>
      </c>
      <c r="F760" s="90">
        <v>0</v>
      </c>
      <c r="G760" s="90">
        <v>0</v>
      </c>
      <c r="H760" s="90">
        <v>0</v>
      </c>
      <c r="I760" s="90">
        <v>0</v>
      </c>
      <c r="J760" s="90">
        <v>0</v>
      </c>
      <c r="K760" s="90">
        <v>0</v>
      </c>
      <c r="L760" s="90">
        <v>0</v>
      </c>
      <c r="M760" s="90">
        <v>0</v>
      </c>
      <c r="N760" s="90">
        <v>0</v>
      </c>
      <c r="O760" s="90">
        <v>0</v>
      </c>
      <c r="P760" s="90">
        <v>0</v>
      </c>
      <c r="Q760" s="90">
        <v>0</v>
      </c>
      <c r="R760" s="90">
        <v>0</v>
      </c>
      <c r="S760" s="9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s="656" customFormat="1" ht="12.75" customHeight="1" x14ac:dyDescent="0.2">
      <c r="A761" s="657"/>
      <c r="B761" s="657"/>
      <c r="C761" s="656" t="s">
        <v>155</v>
      </c>
      <c r="D761" s="656" t="s">
        <v>70</v>
      </c>
      <c r="F761" s="658">
        <v>0</v>
      </c>
      <c r="G761" s="658">
        <v>0</v>
      </c>
      <c r="H761" s="658">
        <v>0</v>
      </c>
      <c r="I761" s="658">
        <v>0</v>
      </c>
      <c r="J761" s="658">
        <v>0</v>
      </c>
      <c r="K761" s="658">
        <v>0</v>
      </c>
      <c r="L761" s="658">
        <v>0</v>
      </c>
      <c r="M761" s="658">
        <v>0</v>
      </c>
      <c r="N761" s="658">
        <v>0</v>
      </c>
      <c r="O761" s="658">
        <v>0</v>
      </c>
      <c r="P761" s="658">
        <v>0</v>
      </c>
      <c r="Q761" s="658">
        <v>0</v>
      </c>
      <c r="R761" s="658">
        <v>0</v>
      </c>
      <c r="S761" s="658">
        <v>0</v>
      </c>
      <c r="T761" s="656">
        <v>0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0</v>
      </c>
    </row>
    <row r="762" spans="1:26" ht="12.75" customHeight="1" x14ac:dyDescent="0.2">
      <c r="E762" s="89" t="s">
        <v>72</v>
      </c>
      <c r="F762" s="90">
        <v>0</v>
      </c>
      <c r="G762" s="90">
        <v>0</v>
      </c>
      <c r="H762" s="90">
        <v>0</v>
      </c>
      <c r="I762" s="90">
        <v>0</v>
      </c>
      <c r="J762" s="90">
        <v>0</v>
      </c>
      <c r="K762" s="90">
        <v>0</v>
      </c>
      <c r="L762" s="90">
        <v>0</v>
      </c>
      <c r="M762" s="90">
        <v>0</v>
      </c>
      <c r="N762" s="90">
        <v>0</v>
      </c>
      <c r="O762" s="90">
        <v>0</v>
      </c>
      <c r="P762" s="90">
        <v>0</v>
      </c>
      <c r="Q762" s="90">
        <v>0</v>
      </c>
      <c r="R762" s="90">
        <v>0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">
      <c r="E763" s="89" t="s">
        <v>81</v>
      </c>
      <c r="F763" s="371">
        <v>0</v>
      </c>
      <c r="G763" s="90">
        <v>0</v>
      </c>
      <c r="H763" s="90">
        <v>0</v>
      </c>
      <c r="I763" s="90">
        <v>0</v>
      </c>
      <c r="J763" s="90">
        <v>0</v>
      </c>
      <c r="K763" s="90">
        <v>0</v>
      </c>
      <c r="L763" s="90">
        <v>0</v>
      </c>
      <c r="M763" s="90">
        <v>0</v>
      </c>
      <c r="N763" s="90">
        <v>0</v>
      </c>
      <c r="O763" s="90">
        <v>0</v>
      </c>
      <c r="P763" s="90">
        <v>0</v>
      </c>
      <c r="Q763" s="90">
        <v>0</v>
      </c>
      <c r="R763" s="90">
        <v>0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">
      <c r="D764" t="s">
        <v>156</v>
      </c>
      <c r="E764" s="89" t="s">
        <v>70</v>
      </c>
      <c r="F764" s="371">
        <v>0</v>
      </c>
      <c r="G764" s="90">
        <v>0</v>
      </c>
      <c r="H764" s="90">
        <v>0</v>
      </c>
      <c r="I764" s="90">
        <v>0</v>
      </c>
      <c r="J764" s="90">
        <v>0</v>
      </c>
      <c r="K764" s="90">
        <v>0</v>
      </c>
      <c r="L764" s="90">
        <v>0</v>
      </c>
      <c r="M764" s="90">
        <v>0</v>
      </c>
      <c r="N764" s="90">
        <v>0</v>
      </c>
      <c r="O764" s="90">
        <v>0</v>
      </c>
      <c r="P764" s="90">
        <v>0</v>
      </c>
      <c r="Q764" s="90">
        <v>0</v>
      </c>
      <c r="R764" s="90">
        <v>0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">
      <c r="C765" s="739" t="s">
        <v>326</v>
      </c>
      <c r="D765" s="739" t="s">
        <v>70</v>
      </c>
      <c r="E765" s="231"/>
      <c r="F765" s="740">
        <v>0</v>
      </c>
      <c r="G765" s="232">
        <v>0</v>
      </c>
      <c r="H765" s="232">
        <v>0</v>
      </c>
      <c r="I765" s="232">
        <v>0</v>
      </c>
      <c r="J765" s="232">
        <v>0</v>
      </c>
      <c r="K765" s="232">
        <v>0</v>
      </c>
      <c r="L765" s="232">
        <v>0</v>
      </c>
      <c r="M765" s="232">
        <v>0</v>
      </c>
      <c r="N765" s="232">
        <v>0</v>
      </c>
      <c r="O765" s="232">
        <v>0</v>
      </c>
      <c r="P765" s="232">
        <v>0</v>
      </c>
      <c r="Q765" s="232">
        <v>0</v>
      </c>
      <c r="R765" s="232">
        <v>0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">
      <c r="E766" s="89" t="s">
        <v>72</v>
      </c>
      <c r="F766" s="371">
        <v>0</v>
      </c>
      <c r="G766" s="90">
        <v>0</v>
      </c>
      <c r="H766" s="90">
        <v>0</v>
      </c>
      <c r="I766" s="90">
        <v>0</v>
      </c>
      <c r="J766" s="90">
        <v>0</v>
      </c>
      <c r="K766" s="90">
        <v>0</v>
      </c>
      <c r="L766" s="90">
        <v>0</v>
      </c>
      <c r="M766" s="90">
        <v>0</v>
      </c>
      <c r="N766" s="90">
        <v>0</v>
      </c>
      <c r="O766" s="90">
        <v>0</v>
      </c>
      <c r="P766" s="90">
        <v>0</v>
      </c>
      <c r="Q766" s="90">
        <v>0</v>
      </c>
      <c r="R766" s="90">
        <v>0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">
      <c r="E767" s="89" t="s">
        <v>81</v>
      </c>
      <c r="F767" s="90">
        <v>0</v>
      </c>
      <c r="G767" s="90">
        <v>0</v>
      </c>
      <c r="H767" s="90">
        <v>0</v>
      </c>
      <c r="I767" s="90">
        <v>0</v>
      </c>
      <c r="J767" s="90">
        <v>0</v>
      </c>
      <c r="K767" s="90">
        <v>0</v>
      </c>
      <c r="L767" s="90">
        <v>0</v>
      </c>
      <c r="M767" s="90">
        <v>0</v>
      </c>
      <c r="N767" s="90">
        <v>0</v>
      </c>
      <c r="O767" s="90">
        <v>0</v>
      </c>
      <c r="P767" s="90">
        <v>0</v>
      </c>
      <c r="Q767" s="90">
        <v>0</v>
      </c>
      <c r="R767" s="90">
        <v>0</v>
      </c>
      <c r="S767" s="90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">
      <c r="D768" s="89" t="s">
        <v>82</v>
      </c>
      <c r="E768" s="89" t="s">
        <v>70</v>
      </c>
      <c r="F768" s="90">
        <v>0</v>
      </c>
      <c r="G768" s="90">
        <v>0</v>
      </c>
      <c r="H768" s="90">
        <v>0</v>
      </c>
      <c r="I768" s="90">
        <v>0</v>
      </c>
      <c r="J768" s="90">
        <v>0</v>
      </c>
      <c r="K768" s="90">
        <v>0</v>
      </c>
      <c r="L768" s="90">
        <v>0</v>
      </c>
      <c r="M768" s="90">
        <v>0</v>
      </c>
      <c r="N768" s="90">
        <v>0</v>
      </c>
      <c r="O768" s="90">
        <v>0</v>
      </c>
      <c r="P768" s="90">
        <v>0</v>
      </c>
      <c r="Q768" s="90">
        <v>0</v>
      </c>
      <c r="R768" s="90">
        <v>0</v>
      </c>
      <c r="S768" s="90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">
      <c r="C769" s="89"/>
      <c r="D769" s="89"/>
      <c r="E769" t="s">
        <v>72</v>
      </c>
      <c r="F769" s="90">
        <v>0</v>
      </c>
      <c r="G769" s="90">
        <v>0</v>
      </c>
      <c r="H769" s="90">
        <v>0</v>
      </c>
      <c r="I769" s="90">
        <v>0</v>
      </c>
      <c r="J769" s="90">
        <v>0</v>
      </c>
      <c r="K769" s="90">
        <v>0</v>
      </c>
      <c r="L769" s="90">
        <v>0</v>
      </c>
      <c r="M769" s="90">
        <v>0</v>
      </c>
      <c r="N769" s="90">
        <v>0</v>
      </c>
      <c r="O769" s="90">
        <v>0</v>
      </c>
      <c r="P769" s="90">
        <v>0</v>
      </c>
      <c r="Q769" s="90">
        <v>0</v>
      </c>
      <c r="R769" s="90">
        <v>0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">
      <c r="B770" s="89"/>
      <c r="C770" s="89"/>
      <c r="E770" t="s">
        <v>81</v>
      </c>
      <c r="F770" s="90">
        <v>0</v>
      </c>
      <c r="G770" s="90">
        <v>0</v>
      </c>
      <c r="H770" s="90">
        <v>0</v>
      </c>
      <c r="I770" s="90">
        <v>0</v>
      </c>
      <c r="J770" s="90">
        <v>0</v>
      </c>
      <c r="K770" s="90">
        <v>0</v>
      </c>
      <c r="L770" s="90">
        <v>0</v>
      </c>
      <c r="M770" s="90">
        <v>0</v>
      </c>
      <c r="N770" s="90">
        <v>0</v>
      </c>
      <c r="O770" s="90">
        <v>0</v>
      </c>
      <c r="P770" s="90">
        <v>0</v>
      </c>
      <c r="Q770" s="90">
        <v>0</v>
      </c>
      <c r="R770" s="90">
        <v>0</v>
      </c>
      <c r="S770" s="9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t="12.75" customHeight="1" x14ac:dyDescent="0.2">
      <c r="A771" s="89"/>
      <c r="B771" s="89"/>
      <c r="D771" t="s">
        <v>86</v>
      </c>
      <c r="E771" t="s">
        <v>70</v>
      </c>
      <c r="F771" s="90">
        <v>0</v>
      </c>
      <c r="G771" s="90">
        <v>0</v>
      </c>
      <c r="H771" s="90">
        <v>0</v>
      </c>
      <c r="I771" s="90">
        <v>0</v>
      </c>
      <c r="J771" s="90">
        <v>0</v>
      </c>
      <c r="K771" s="90">
        <v>0</v>
      </c>
      <c r="L771" s="90">
        <v>0</v>
      </c>
      <c r="M771" s="90">
        <v>0</v>
      </c>
      <c r="N771" s="90">
        <v>0</v>
      </c>
      <c r="O771" s="90">
        <v>0</v>
      </c>
      <c r="P771" s="90">
        <v>0</v>
      </c>
      <c r="Q771" s="90">
        <v>0</v>
      </c>
      <c r="R771" s="90">
        <v>0</v>
      </c>
      <c r="S771" s="90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t="12.75" customHeight="1" x14ac:dyDescent="0.2">
      <c r="E772" s="89" t="s">
        <v>72</v>
      </c>
      <c r="F772" s="90">
        <v>0</v>
      </c>
      <c r="G772" s="90">
        <v>0</v>
      </c>
      <c r="H772" s="90">
        <v>0</v>
      </c>
      <c r="I772" s="90">
        <v>0</v>
      </c>
      <c r="J772" s="90">
        <v>0</v>
      </c>
      <c r="K772" s="90">
        <v>0</v>
      </c>
      <c r="L772" s="90">
        <v>0</v>
      </c>
      <c r="M772" s="90">
        <v>0</v>
      </c>
      <c r="N772" s="90">
        <v>0</v>
      </c>
      <c r="O772" s="90">
        <v>0</v>
      </c>
      <c r="P772" s="90">
        <v>0</v>
      </c>
      <c r="Q772" s="90">
        <v>0</v>
      </c>
      <c r="R772" s="90">
        <v>0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">
      <c r="A773" s="89"/>
      <c r="B773" s="89"/>
      <c r="E773" t="s">
        <v>81</v>
      </c>
      <c r="F773" s="90">
        <v>0</v>
      </c>
      <c r="G773" s="90">
        <v>0</v>
      </c>
      <c r="H773" s="90">
        <v>0</v>
      </c>
      <c r="I773" s="90">
        <v>0</v>
      </c>
      <c r="J773" s="90">
        <v>0</v>
      </c>
      <c r="K773" s="90">
        <v>0</v>
      </c>
      <c r="L773" s="90">
        <v>0</v>
      </c>
      <c r="M773" s="90">
        <v>0</v>
      </c>
      <c r="N773" s="90">
        <v>0</v>
      </c>
      <c r="O773" s="90">
        <v>0</v>
      </c>
      <c r="P773" s="90">
        <v>0</v>
      </c>
      <c r="Q773" s="90">
        <v>0</v>
      </c>
      <c r="R773" s="90">
        <v>0</v>
      </c>
      <c r="S773" s="90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">
      <c r="D774" t="s">
        <v>87</v>
      </c>
      <c r="E774" s="89" t="s">
        <v>70</v>
      </c>
      <c r="F774" s="90">
        <v>0</v>
      </c>
      <c r="G774" s="90">
        <v>0</v>
      </c>
      <c r="H774" s="90">
        <v>0</v>
      </c>
      <c r="I774" s="90">
        <v>0</v>
      </c>
      <c r="J774" s="90">
        <v>0</v>
      </c>
      <c r="K774" s="90">
        <v>0</v>
      </c>
      <c r="L774" s="90">
        <v>0</v>
      </c>
      <c r="M774" s="90">
        <v>0</v>
      </c>
      <c r="N774" s="90">
        <v>0</v>
      </c>
      <c r="O774" s="90">
        <v>0</v>
      </c>
      <c r="P774" s="90">
        <v>0</v>
      </c>
      <c r="Q774" s="90">
        <v>0</v>
      </c>
      <c r="R774" s="90">
        <v>0</v>
      </c>
      <c r="S774" s="90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">
      <c r="A775" s="101"/>
      <c r="B775" s="101"/>
      <c r="C775" s="94" t="s">
        <v>119</v>
      </c>
      <c r="D775" s="94" t="s">
        <v>70</v>
      </c>
      <c r="F775" s="93">
        <v>0</v>
      </c>
      <c r="G775" s="93">
        <v>0</v>
      </c>
      <c r="H775" s="93">
        <v>0</v>
      </c>
      <c r="I775" s="93">
        <v>0</v>
      </c>
      <c r="J775" s="93">
        <v>0</v>
      </c>
      <c r="K775" s="93">
        <v>0</v>
      </c>
      <c r="L775" s="93">
        <v>0</v>
      </c>
      <c r="M775" s="93">
        <v>0</v>
      </c>
      <c r="N775" s="93">
        <v>0</v>
      </c>
      <c r="O775" s="93">
        <v>0</v>
      </c>
      <c r="P775" s="93">
        <v>0</v>
      </c>
      <c r="Q775" s="93">
        <v>0</v>
      </c>
      <c r="R775" s="93">
        <v>0</v>
      </c>
      <c r="S775" s="93">
        <v>0</v>
      </c>
      <c r="T775" s="94">
        <v>0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0</v>
      </c>
    </row>
    <row r="776" spans="1:26" s="226" customFormat="1" ht="12.75" customHeight="1" x14ac:dyDescent="0.2">
      <c r="B776" s="226" t="s">
        <v>112</v>
      </c>
      <c r="C776" s="226" t="s">
        <v>70</v>
      </c>
      <c r="E776" s="98"/>
      <c r="F776" s="100">
        <v>0</v>
      </c>
      <c r="G776" s="100">
        <v>0</v>
      </c>
      <c r="H776" s="100">
        <v>0</v>
      </c>
      <c r="I776" s="100">
        <v>0</v>
      </c>
      <c r="J776" s="100">
        <v>0</v>
      </c>
      <c r="K776" s="100">
        <v>0</v>
      </c>
      <c r="L776" s="100">
        <v>0</v>
      </c>
      <c r="M776" s="100">
        <v>0</v>
      </c>
      <c r="N776" s="100">
        <v>0</v>
      </c>
      <c r="O776" s="100">
        <v>0</v>
      </c>
      <c r="P776" s="100">
        <v>0</v>
      </c>
      <c r="Q776" s="100">
        <v>0</v>
      </c>
      <c r="R776" s="100">
        <v>0</v>
      </c>
      <c r="S776" s="100">
        <v>0</v>
      </c>
      <c r="T776" s="226">
        <v>0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0</v>
      </c>
    </row>
    <row r="777" spans="1:26" ht="13.5" customHeight="1" x14ac:dyDescent="0.2">
      <c r="A777" t="s">
        <v>78</v>
      </c>
      <c r="B777" t="s">
        <v>70</v>
      </c>
      <c r="E777" s="89"/>
      <c r="F777" s="90">
        <v>0</v>
      </c>
      <c r="G777" s="90">
        <v>0</v>
      </c>
      <c r="H777" s="90">
        <v>0</v>
      </c>
      <c r="I777" s="90">
        <v>0</v>
      </c>
      <c r="J777" s="90">
        <v>0</v>
      </c>
      <c r="K777" s="90">
        <v>0</v>
      </c>
      <c r="L777" s="90">
        <v>0</v>
      </c>
      <c r="M777" s="90">
        <v>0</v>
      </c>
      <c r="N777" s="90">
        <v>0</v>
      </c>
      <c r="O777" s="90">
        <v>0</v>
      </c>
      <c r="P777" s="90">
        <v>0</v>
      </c>
      <c r="Q777" s="90">
        <v>0</v>
      </c>
      <c r="R777" s="90">
        <v>0</v>
      </c>
      <c r="S777" s="90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">
      <c r="E786" t="s">
        <v>73</v>
      </c>
      <c r="F786" s="90">
        <v>0</v>
      </c>
      <c r="G786" s="90">
        <v>0</v>
      </c>
      <c r="H786" s="90">
        <v>0</v>
      </c>
      <c r="I786" s="90">
        <v>0</v>
      </c>
      <c r="J786" s="90">
        <v>0</v>
      </c>
      <c r="K786" s="90">
        <v>0</v>
      </c>
      <c r="L786" s="90">
        <v>0</v>
      </c>
      <c r="M786" s="90">
        <v>0</v>
      </c>
      <c r="N786" s="90">
        <v>0</v>
      </c>
      <c r="O786" s="90">
        <v>0</v>
      </c>
      <c r="P786" s="90">
        <v>0</v>
      </c>
      <c r="Q786" s="90">
        <v>0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">
      <c r="D787" t="s">
        <v>86</v>
      </c>
      <c r="E787" t="s">
        <v>70</v>
      </c>
      <c r="F787" s="90">
        <v>0</v>
      </c>
      <c r="G787" s="90">
        <v>0</v>
      </c>
      <c r="H787" s="90">
        <v>0</v>
      </c>
      <c r="I787" s="90">
        <v>0</v>
      </c>
      <c r="J787" s="90">
        <v>0</v>
      </c>
      <c r="K787" s="90">
        <v>0</v>
      </c>
      <c r="L787" s="90">
        <v>0</v>
      </c>
      <c r="M787" s="90">
        <v>0</v>
      </c>
      <c r="N787" s="90">
        <v>0</v>
      </c>
      <c r="O787" s="90">
        <v>0</v>
      </c>
      <c r="P787" s="90">
        <v>0</v>
      </c>
      <c r="Q787" s="90">
        <v>0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">
      <c r="E788" t="s">
        <v>73</v>
      </c>
      <c r="F788" s="90">
        <v>0</v>
      </c>
      <c r="G788" s="90">
        <v>0</v>
      </c>
      <c r="H788" s="90">
        <v>0</v>
      </c>
      <c r="I788" s="90">
        <v>0</v>
      </c>
      <c r="J788" s="90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">
      <c r="D789" t="s">
        <v>87</v>
      </c>
      <c r="E789" t="s">
        <v>70</v>
      </c>
      <c r="F789" s="90">
        <v>0</v>
      </c>
      <c r="G789" s="90">
        <v>0</v>
      </c>
      <c r="H789" s="90">
        <v>0</v>
      </c>
      <c r="I789" s="90">
        <v>0</v>
      </c>
      <c r="J789" s="90">
        <v>0</v>
      </c>
      <c r="K789" s="90">
        <v>0</v>
      </c>
      <c r="L789" s="90">
        <v>0</v>
      </c>
      <c r="M789" s="90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">
      <c r="C790" s="101" t="s">
        <v>119</v>
      </c>
      <c r="D790" s="101" t="s">
        <v>70</v>
      </c>
      <c r="F790" s="93">
        <v>0</v>
      </c>
      <c r="G790" s="93">
        <v>0</v>
      </c>
      <c r="H790" s="93">
        <v>0</v>
      </c>
      <c r="I790" s="93">
        <v>0</v>
      </c>
      <c r="J790" s="93">
        <v>0</v>
      </c>
      <c r="K790" s="93">
        <v>0</v>
      </c>
      <c r="L790" s="93">
        <v>0</v>
      </c>
      <c r="M790" s="93">
        <v>0</v>
      </c>
      <c r="N790" s="93">
        <v>0</v>
      </c>
      <c r="O790" s="93">
        <v>0</v>
      </c>
      <c r="P790" s="93">
        <v>0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">
      <c r="B791" s="378" t="s">
        <v>122</v>
      </c>
      <c r="C791" s="378" t="s">
        <v>70</v>
      </c>
      <c r="E791" s="376"/>
      <c r="F791" s="710">
        <v>0</v>
      </c>
      <c r="G791" s="377">
        <v>0</v>
      </c>
      <c r="H791" s="377">
        <v>0</v>
      </c>
      <c r="I791" s="377">
        <v>0</v>
      </c>
      <c r="J791" s="377">
        <v>0</v>
      </c>
      <c r="K791" s="377">
        <v>0</v>
      </c>
      <c r="L791" s="377">
        <v>0</v>
      </c>
      <c r="M791" s="377">
        <v>0</v>
      </c>
      <c r="N791" s="377">
        <v>0</v>
      </c>
      <c r="O791" s="377">
        <v>0</v>
      </c>
      <c r="P791" s="377">
        <v>0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">
      <c r="E792" s="89" t="s">
        <v>73</v>
      </c>
      <c r="F792" s="371">
        <v>0</v>
      </c>
      <c r="G792" s="90">
        <v>0</v>
      </c>
      <c r="H792" s="90">
        <v>0</v>
      </c>
      <c r="I792" s="90">
        <v>0</v>
      </c>
      <c r="J792" s="90">
        <v>0</v>
      </c>
      <c r="K792" s="90">
        <v>0</v>
      </c>
      <c r="L792" s="90">
        <v>0</v>
      </c>
      <c r="M792" s="90">
        <v>0</v>
      </c>
      <c r="N792" s="90">
        <v>0</v>
      </c>
      <c r="O792" s="90">
        <v>0</v>
      </c>
      <c r="P792" s="90">
        <v>0</v>
      </c>
      <c r="Q792" s="90">
        <v>0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">
      <c r="D793" t="s">
        <v>156</v>
      </c>
      <c r="E793" s="89" t="s">
        <v>70</v>
      </c>
      <c r="F793" s="371">
        <v>0</v>
      </c>
      <c r="G793" s="90">
        <v>0</v>
      </c>
      <c r="H793" s="90">
        <v>0</v>
      </c>
      <c r="I793" s="90">
        <v>0</v>
      </c>
      <c r="J793" s="90">
        <v>0</v>
      </c>
      <c r="K793" s="90">
        <v>0</v>
      </c>
      <c r="L793" s="90">
        <v>0</v>
      </c>
      <c r="M793" s="90">
        <v>0</v>
      </c>
      <c r="N793" s="90">
        <v>0</v>
      </c>
      <c r="O793" s="90">
        <v>0</v>
      </c>
      <c r="P793" s="90">
        <v>0</v>
      </c>
      <c r="Q793" s="90">
        <v>0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">
      <c r="A794" s="657"/>
      <c r="B794" s="657"/>
      <c r="C794" s="656" t="s">
        <v>155</v>
      </c>
      <c r="D794" s="656" t="s">
        <v>70</v>
      </c>
      <c r="F794" s="658">
        <v>0</v>
      </c>
      <c r="G794" s="658">
        <v>0</v>
      </c>
      <c r="H794" s="658">
        <v>0</v>
      </c>
      <c r="I794" s="658">
        <v>0</v>
      </c>
      <c r="J794" s="658">
        <v>0</v>
      </c>
      <c r="K794" s="658">
        <v>0</v>
      </c>
      <c r="L794" s="658">
        <v>0</v>
      </c>
      <c r="M794" s="658">
        <v>0</v>
      </c>
      <c r="N794" s="658">
        <v>0</v>
      </c>
      <c r="O794" s="658">
        <v>0</v>
      </c>
      <c r="P794" s="658">
        <v>0</v>
      </c>
      <c r="Q794" s="658">
        <v>0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">
      <c r="E795" s="89" t="s">
        <v>73</v>
      </c>
      <c r="F795" s="371">
        <v>0</v>
      </c>
      <c r="G795" s="90">
        <v>0</v>
      </c>
      <c r="H795" s="90">
        <v>0</v>
      </c>
      <c r="I795" s="90">
        <v>0</v>
      </c>
      <c r="J795" s="90">
        <v>0</v>
      </c>
      <c r="K795" s="90">
        <v>0</v>
      </c>
      <c r="L795" s="90">
        <v>0</v>
      </c>
      <c r="M795" s="90">
        <v>0</v>
      </c>
      <c r="N795" s="90">
        <v>0</v>
      </c>
      <c r="O795" s="90">
        <v>0</v>
      </c>
      <c r="P795" s="90">
        <v>0</v>
      </c>
      <c r="Q795" s="90">
        <v>0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">
      <c r="D796" t="s">
        <v>156</v>
      </c>
      <c r="E796" s="89" t="s">
        <v>70</v>
      </c>
      <c r="F796" s="371">
        <v>0</v>
      </c>
      <c r="G796" s="90">
        <v>0</v>
      </c>
      <c r="H796" s="90">
        <v>0</v>
      </c>
      <c r="I796" s="90">
        <v>0</v>
      </c>
      <c r="J796" s="90">
        <v>0</v>
      </c>
      <c r="K796" s="90">
        <v>0</v>
      </c>
      <c r="L796" s="90">
        <v>0</v>
      </c>
      <c r="M796" s="90">
        <v>0</v>
      </c>
      <c r="N796" s="90">
        <v>0</v>
      </c>
      <c r="O796" s="90">
        <v>0</v>
      </c>
      <c r="P796" s="90">
        <v>0</v>
      </c>
      <c r="Q796" s="90">
        <v>0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">
      <c r="C797" s="739" t="s">
        <v>326</v>
      </c>
      <c r="D797" s="739" t="s">
        <v>70</v>
      </c>
      <c r="E797" s="231"/>
      <c r="F797" s="740">
        <v>0</v>
      </c>
      <c r="G797" s="232">
        <v>0</v>
      </c>
      <c r="H797" s="232">
        <v>0</v>
      </c>
      <c r="I797" s="232">
        <v>0</v>
      </c>
      <c r="J797" s="232">
        <v>0</v>
      </c>
      <c r="K797" s="232">
        <v>0</v>
      </c>
      <c r="L797" s="232">
        <v>0</v>
      </c>
      <c r="M797" s="232">
        <v>0</v>
      </c>
      <c r="N797" s="232">
        <v>0</v>
      </c>
      <c r="O797" s="232">
        <v>0</v>
      </c>
      <c r="P797" s="232">
        <v>0</v>
      </c>
      <c r="Q797" s="232">
        <v>0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">
      <c r="E798" s="89" t="s">
        <v>73</v>
      </c>
      <c r="F798" s="371">
        <v>0</v>
      </c>
      <c r="G798" s="90">
        <v>0</v>
      </c>
      <c r="H798" s="90">
        <v>0</v>
      </c>
      <c r="I798" s="90">
        <v>0</v>
      </c>
      <c r="J798" s="90">
        <v>0</v>
      </c>
      <c r="K798" s="90">
        <v>0</v>
      </c>
      <c r="L798" s="90">
        <v>0</v>
      </c>
      <c r="M798" s="90">
        <v>0</v>
      </c>
      <c r="N798" s="90">
        <v>0</v>
      </c>
      <c r="O798" s="90">
        <v>0</v>
      </c>
      <c r="P798" s="90">
        <v>0</v>
      </c>
      <c r="Q798" s="90">
        <v>0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">
      <c r="D799" s="89" t="s">
        <v>82</v>
      </c>
      <c r="E799" s="89" t="s">
        <v>70</v>
      </c>
      <c r="F799" s="90">
        <v>0</v>
      </c>
      <c r="G799" s="90">
        <v>0</v>
      </c>
      <c r="H799" s="90">
        <v>0</v>
      </c>
      <c r="I799" s="90">
        <v>0</v>
      </c>
      <c r="J799" s="90">
        <v>0</v>
      </c>
      <c r="K799" s="90">
        <v>0</v>
      </c>
      <c r="L799" s="90">
        <v>0</v>
      </c>
      <c r="M799" s="90">
        <v>0</v>
      </c>
      <c r="N799" s="90">
        <v>0</v>
      </c>
      <c r="O799" s="90">
        <v>0</v>
      </c>
      <c r="P799" s="90">
        <v>0</v>
      </c>
      <c r="Q799" s="90">
        <v>0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">
      <c r="E800" s="89" t="s">
        <v>73</v>
      </c>
      <c r="F800" s="90">
        <v>0</v>
      </c>
      <c r="G800" s="90">
        <v>0</v>
      </c>
      <c r="H800" s="90">
        <v>0</v>
      </c>
      <c r="I800" s="90">
        <v>0</v>
      </c>
      <c r="J800" s="90">
        <v>0</v>
      </c>
      <c r="K800" s="90">
        <v>0</v>
      </c>
      <c r="L800" s="90">
        <v>0</v>
      </c>
      <c r="M800" s="90">
        <v>0</v>
      </c>
      <c r="N800" s="90">
        <v>0</v>
      </c>
      <c r="O800" s="90">
        <v>0</v>
      </c>
      <c r="P800" s="90">
        <v>0</v>
      </c>
      <c r="Q800" s="90">
        <v>0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">
      <c r="D801" s="89" t="s">
        <v>86</v>
      </c>
      <c r="E801" s="89" t="s">
        <v>70</v>
      </c>
      <c r="F801" s="90">
        <v>0</v>
      </c>
      <c r="G801" s="90">
        <v>0</v>
      </c>
      <c r="H801" s="90">
        <v>0</v>
      </c>
      <c r="I801" s="90">
        <v>0</v>
      </c>
      <c r="J801" s="90">
        <v>0</v>
      </c>
      <c r="K801" s="90">
        <v>0</v>
      </c>
      <c r="L801" s="90">
        <v>0</v>
      </c>
      <c r="M801" s="90">
        <v>0</v>
      </c>
      <c r="N801" s="90">
        <v>0</v>
      </c>
      <c r="O801" s="90">
        <v>0</v>
      </c>
      <c r="P801" s="90">
        <v>0</v>
      </c>
      <c r="Q801" s="90">
        <v>0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">
      <c r="E802" s="89" t="s">
        <v>73</v>
      </c>
      <c r="F802" s="90">
        <v>0</v>
      </c>
      <c r="G802" s="90">
        <v>0</v>
      </c>
      <c r="H802" s="90">
        <v>0</v>
      </c>
      <c r="I802" s="90">
        <v>0</v>
      </c>
      <c r="J802" s="90">
        <v>0</v>
      </c>
      <c r="K802" s="90">
        <v>0</v>
      </c>
      <c r="L802" s="90">
        <v>0</v>
      </c>
      <c r="M802" s="90">
        <v>0</v>
      </c>
      <c r="N802" s="90">
        <v>0</v>
      </c>
      <c r="O802" s="90">
        <v>0</v>
      </c>
      <c r="P802" s="90">
        <v>0</v>
      </c>
      <c r="Q802" s="90">
        <v>0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">
      <c r="D803" s="89" t="s">
        <v>87</v>
      </c>
      <c r="E803" s="89" t="s">
        <v>70</v>
      </c>
      <c r="F803" s="90">
        <v>0</v>
      </c>
      <c r="G803" s="90">
        <v>0</v>
      </c>
      <c r="H803" s="90">
        <v>0</v>
      </c>
      <c r="I803" s="90">
        <v>0</v>
      </c>
      <c r="J803" s="90">
        <v>0</v>
      </c>
      <c r="K803" s="90">
        <v>0</v>
      </c>
      <c r="L803" s="90">
        <v>0</v>
      </c>
      <c r="M803" s="90">
        <v>0</v>
      </c>
      <c r="N803" s="90">
        <v>0</v>
      </c>
      <c r="O803" s="90">
        <v>0</v>
      </c>
      <c r="P803" s="90">
        <v>0</v>
      </c>
      <c r="Q803" s="90">
        <v>0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">
      <c r="C804" s="94" t="s">
        <v>119</v>
      </c>
      <c r="D804" s="94" t="s">
        <v>70</v>
      </c>
      <c r="E804" s="101"/>
      <c r="F804" s="93">
        <v>0</v>
      </c>
      <c r="G804" s="93">
        <v>0</v>
      </c>
      <c r="H804" s="93">
        <v>0</v>
      </c>
      <c r="I804" s="93">
        <v>0</v>
      </c>
      <c r="J804" s="93">
        <v>0</v>
      </c>
      <c r="K804" s="93">
        <v>0</v>
      </c>
      <c r="L804" s="93">
        <v>0</v>
      </c>
      <c r="M804" s="93">
        <v>0</v>
      </c>
      <c r="N804" s="93">
        <v>0</v>
      </c>
      <c r="O804" s="93">
        <v>0</v>
      </c>
      <c r="P804" s="93">
        <v>0</v>
      </c>
      <c r="Q804" s="93">
        <v>0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">
      <c r="B805" s="98" t="s">
        <v>112</v>
      </c>
      <c r="C805" s="98" t="s">
        <v>70</v>
      </c>
      <c r="F805" s="100">
        <v>0</v>
      </c>
      <c r="G805" s="100">
        <v>0</v>
      </c>
      <c r="H805" s="100">
        <v>0</v>
      </c>
      <c r="I805" s="100">
        <v>0</v>
      </c>
      <c r="J805" s="100">
        <v>0</v>
      </c>
      <c r="K805" s="100">
        <v>0</v>
      </c>
      <c r="L805" s="100">
        <v>0</v>
      </c>
      <c r="M805" s="100">
        <v>0</v>
      </c>
      <c r="N805" s="100">
        <v>0</v>
      </c>
      <c r="O805" s="100">
        <v>0</v>
      </c>
      <c r="P805" s="100">
        <v>0</v>
      </c>
      <c r="Q805" s="100">
        <v>0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">
      <c r="A806" s="89" t="s">
        <v>79</v>
      </c>
      <c r="B806" s="89" t="s">
        <v>70</v>
      </c>
      <c r="F806" s="90">
        <v>0</v>
      </c>
      <c r="G806" s="90">
        <v>0</v>
      </c>
      <c r="H806" s="90">
        <v>0</v>
      </c>
      <c r="I806" s="90">
        <v>0</v>
      </c>
      <c r="J806" s="90">
        <v>0</v>
      </c>
      <c r="K806" s="90">
        <v>0</v>
      </c>
      <c r="L806" s="90">
        <v>0</v>
      </c>
      <c r="M806" s="90">
        <v>0</v>
      </c>
      <c r="N806" s="90">
        <v>0</v>
      </c>
      <c r="O806" s="90">
        <v>0</v>
      </c>
      <c r="P806" s="90">
        <v>0</v>
      </c>
      <c r="Q806" s="90">
        <v>0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">
      <c r="A807" s="89" t="s">
        <v>70</v>
      </c>
      <c r="F807" s="90">
        <v>0</v>
      </c>
      <c r="G807" s="90">
        <v>0</v>
      </c>
      <c r="H807" s="90">
        <v>0</v>
      </c>
      <c r="I807" s="90">
        <v>0</v>
      </c>
      <c r="J807" s="90">
        <v>0</v>
      </c>
      <c r="K807" s="90">
        <v>0</v>
      </c>
      <c r="L807" s="90">
        <v>0</v>
      </c>
      <c r="M807" s="90">
        <v>0</v>
      </c>
      <c r="N807" s="90">
        <v>0</v>
      </c>
      <c r="O807" s="90">
        <v>0</v>
      </c>
      <c r="P807" s="90">
        <v>0</v>
      </c>
      <c r="Q807" s="90">
        <v>0</v>
      </c>
      <c r="R807" s="90">
        <v>0</v>
      </c>
      <c r="S807" s="90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41" ht="12.75" customHeight="1" x14ac:dyDescent="0.2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">
      <c r="C811" s="779" t="s">
        <v>2</v>
      </c>
      <c r="D811" s="776" t="s">
        <v>132</v>
      </c>
      <c r="E811" s="98" t="s">
        <v>70</v>
      </c>
      <c r="F811" s="100">
        <f>F805+F776+F737-L737-L776</f>
        <v>0</v>
      </c>
      <c r="G811" s="100">
        <f>G776+G737</f>
        <v>0</v>
      </c>
      <c r="H811" s="100">
        <f t="shared" ref="H811:AO811" si="34">H776+H737</f>
        <v>0</v>
      </c>
      <c r="I811" s="100">
        <f t="shared" si="34"/>
        <v>0</v>
      </c>
      <c r="J811" s="100">
        <f t="shared" si="34"/>
        <v>0</v>
      </c>
      <c r="K811" s="100">
        <f t="shared" si="34"/>
        <v>0</v>
      </c>
      <c r="L811" s="100">
        <f t="shared" si="34"/>
        <v>0</v>
      </c>
      <c r="M811" s="100">
        <f t="shared" si="34"/>
        <v>0</v>
      </c>
      <c r="N811" s="100">
        <f t="shared" si="34"/>
        <v>0</v>
      </c>
      <c r="O811" s="100">
        <f t="shared" si="34"/>
        <v>0</v>
      </c>
      <c r="P811" s="100">
        <f t="shared" si="34"/>
        <v>0</v>
      </c>
      <c r="Q811" s="100">
        <f t="shared" si="34"/>
        <v>0</v>
      </c>
      <c r="R811" s="100">
        <f t="shared" si="34"/>
        <v>0</v>
      </c>
      <c r="S811" s="100">
        <f t="shared" si="34"/>
        <v>0</v>
      </c>
      <c r="T811" s="100">
        <f t="shared" si="34"/>
        <v>0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0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">
      <c r="C812" s="779"/>
      <c r="D812" s="776"/>
      <c r="E812" s="98" t="s">
        <v>73</v>
      </c>
      <c r="F812" s="100">
        <f>F805</f>
        <v>0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">
      <c r="C813" s="779"/>
      <c r="D813" s="776" t="s">
        <v>133</v>
      </c>
      <c r="E813" s="233" t="s">
        <v>70</v>
      </c>
      <c r="F813" s="234">
        <f>F791+F757-L757</f>
        <v>0</v>
      </c>
      <c r="G813" s="234">
        <f>G757</f>
        <v>0</v>
      </c>
      <c r="H813" s="234">
        <f t="shared" ref="H813:AO813" si="35">H757</f>
        <v>0</v>
      </c>
      <c r="I813" s="234">
        <f t="shared" si="35"/>
        <v>0</v>
      </c>
      <c r="J813" s="234">
        <f t="shared" si="35"/>
        <v>0</v>
      </c>
      <c r="K813" s="234">
        <f t="shared" si="35"/>
        <v>0</v>
      </c>
      <c r="L813" s="234">
        <f t="shared" si="35"/>
        <v>0</v>
      </c>
      <c r="M813" s="234">
        <f t="shared" si="35"/>
        <v>0</v>
      </c>
      <c r="N813" s="234">
        <f t="shared" si="35"/>
        <v>0</v>
      </c>
      <c r="O813" s="234">
        <f t="shared" si="35"/>
        <v>0</v>
      </c>
      <c r="P813" s="234">
        <f t="shared" si="35"/>
        <v>0</v>
      </c>
      <c r="Q813" s="234">
        <f t="shared" si="35"/>
        <v>0</v>
      </c>
      <c r="R813" s="234">
        <f t="shared" si="35"/>
        <v>0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">
      <c r="C814" s="779"/>
      <c r="D814" s="776"/>
      <c r="E814" s="233" t="s">
        <v>73</v>
      </c>
      <c r="F814" s="234">
        <f>F791</f>
        <v>0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">
      <c r="C821" s="779" t="s">
        <v>155</v>
      </c>
      <c r="D821" s="776" t="s">
        <v>132</v>
      </c>
      <c r="E821" s="221" t="s">
        <v>70</v>
      </c>
      <c r="F821" s="222">
        <f>F794+F761+F729-L729-L761</f>
        <v>0</v>
      </c>
      <c r="G821" s="222">
        <f>G761+G729</f>
        <v>0</v>
      </c>
      <c r="H821" s="222">
        <f t="shared" ref="H821:AO821" si="36">H761+H729</f>
        <v>0</v>
      </c>
      <c r="I821" s="222">
        <f t="shared" si="36"/>
        <v>0</v>
      </c>
      <c r="J821" s="222">
        <f t="shared" si="36"/>
        <v>0</v>
      </c>
      <c r="K821" s="222">
        <f t="shared" si="36"/>
        <v>0</v>
      </c>
      <c r="L821" s="222">
        <f t="shared" si="36"/>
        <v>0</v>
      </c>
      <c r="M821" s="222">
        <f t="shared" si="36"/>
        <v>0</v>
      </c>
      <c r="N821" s="222">
        <f t="shared" si="36"/>
        <v>0</v>
      </c>
      <c r="O821" s="222">
        <f t="shared" si="36"/>
        <v>0</v>
      </c>
      <c r="P821" s="222">
        <f t="shared" si="36"/>
        <v>0</v>
      </c>
      <c r="Q821" s="222">
        <f t="shared" si="36"/>
        <v>0</v>
      </c>
      <c r="R821" s="222">
        <f t="shared" si="36"/>
        <v>0</v>
      </c>
      <c r="S821" s="222">
        <f t="shared" si="36"/>
        <v>0</v>
      </c>
      <c r="T821" s="222">
        <f t="shared" si="36"/>
        <v>0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0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">
      <c r="C822" s="779"/>
      <c r="D822" s="776"/>
      <c r="E822" s="221" t="s">
        <v>73</v>
      </c>
      <c r="F822" s="222">
        <f>F794</f>
        <v>0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">
      <c r="C826" s="777" t="s">
        <v>326</v>
      </c>
      <c r="D826" s="776" t="s">
        <v>132</v>
      </c>
      <c r="E826" s="373" t="s">
        <v>70</v>
      </c>
      <c r="F826" s="374">
        <f>F797+F765-L765</f>
        <v>0</v>
      </c>
      <c r="G826" s="374">
        <f>G765</f>
        <v>0</v>
      </c>
      <c r="H826" s="374">
        <f t="shared" ref="H826:AO826" si="38">H765</f>
        <v>0</v>
      </c>
      <c r="I826" s="374">
        <f t="shared" si="38"/>
        <v>0</v>
      </c>
      <c r="J826" s="374">
        <f t="shared" si="38"/>
        <v>0</v>
      </c>
      <c r="K826" s="374">
        <f t="shared" si="38"/>
        <v>0</v>
      </c>
      <c r="L826" s="374">
        <f>L765</f>
        <v>0</v>
      </c>
      <c r="M826" s="374">
        <f t="shared" si="38"/>
        <v>0</v>
      </c>
      <c r="N826" s="374">
        <f t="shared" si="38"/>
        <v>0</v>
      </c>
      <c r="O826" s="374">
        <f t="shared" si="38"/>
        <v>0</v>
      </c>
      <c r="P826" s="374">
        <f t="shared" si="38"/>
        <v>0</v>
      </c>
      <c r="Q826" s="374">
        <f t="shared" si="38"/>
        <v>0</v>
      </c>
      <c r="R826" s="374">
        <f t="shared" si="38"/>
        <v>0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">
      <c r="C827" s="777"/>
      <c r="D827" s="776"/>
      <c r="E827" s="373" t="s">
        <v>73</v>
      </c>
      <c r="F827" s="374">
        <f>F797</f>
        <v>0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">
      <c r="C831" s="779" t="s">
        <v>119</v>
      </c>
      <c r="D831" s="776" t="s">
        <v>132</v>
      </c>
      <c r="E831" s="101" t="s">
        <v>70</v>
      </c>
      <c r="F831" s="93">
        <f>F775+F804+F736-L736-L775</f>
        <v>0</v>
      </c>
      <c r="G831" s="93">
        <f>G775+G736</f>
        <v>0</v>
      </c>
      <c r="H831" s="93">
        <f t="shared" ref="H831:AO831" si="40">H775+H736</f>
        <v>0</v>
      </c>
      <c r="I831" s="93">
        <f t="shared" si="40"/>
        <v>0</v>
      </c>
      <c r="J831" s="93">
        <f t="shared" si="40"/>
        <v>0</v>
      </c>
      <c r="K831" s="93">
        <f t="shared" si="40"/>
        <v>0</v>
      </c>
      <c r="L831" s="93">
        <f t="shared" si="40"/>
        <v>0</v>
      </c>
      <c r="M831" s="93">
        <f t="shared" si="40"/>
        <v>0</v>
      </c>
      <c r="N831" s="93">
        <f t="shared" si="40"/>
        <v>0</v>
      </c>
      <c r="O831" s="93">
        <f t="shared" si="40"/>
        <v>0</v>
      </c>
      <c r="P831" s="93">
        <f t="shared" si="40"/>
        <v>0</v>
      </c>
      <c r="Q831" s="93">
        <f t="shared" si="40"/>
        <v>0</v>
      </c>
      <c r="R831" s="93">
        <f t="shared" si="40"/>
        <v>0</v>
      </c>
      <c r="S831" s="93">
        <f t="shared" si="40"/>
        <v>0</v>
      </c>
      <c r="T831" s="93">
        <f t="shared" si="40"/>
        <v>0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0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">
      <c r="C832" s="779"/>
      <c r="D832" s="776"/>
      <c r="E832" s="101" t="s">
        <v>73</v>
      </c>
      <c r="F832" s="93">
        <f>F804</f>
        <v>0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">
      <c r="C833" s="779"/>
      <c r="D833" s="776" t="s">
        <v>133</v>
      </c>
      <c r="E833" s="235" t="s">
        <v>70</v>
      </c>
      <c r="F833" s="236">
        <f>F790+F756-L756</f>
        <v>0</v>
      </c>
      <c r="G833" s="236">
        <f>G756</f>
        <v>0</v>
      </c>
      <c r="H833" s="236">
        <f t="shared" ref="H833:AO833" si="41">H756</f>
        <v>0</v>
      </c>
      <c r="I833" s="236">
        <f t="shared" si="41"/>
        <v>0</v>
      </c>
      <c r="J833" s="236">
        <f t="shared" si="41"/>
        <v>0</v>
      </c>
      <c r="K833" s="236">
        <f t="shared" si="41"/>
        <v>0</v>
      </c>
      <c r="L833" s="236">
        <f t="shared" si="41"/>
        <v>0</v>
      </c>
      <c r="M833" s="236">
        <f t="shared" si="41"/>
        <v>0</v>
      </c>
      <c r="N833" s="236">
        <f t="shared" si="41"/>
        <v>0</v>
      </c>
      <c r="O833" s="236">
        <f t="shared" si="41"/>
        <v>0</v>
      </c>
      <c r="P833" s="236">
        <f t="shared" si="41"/>
        <v>0</v>
      </c>
      <c r="Q833" s="236">
        <f t="shared" si="41"/>
        <v>0</v>
      </c>
      <c r="R833" s="236">
        <f t="shared" si="41"/>
        <v>0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">
      <c r="C834" s="779"/>
      <c r="D834" s="776"/>
      <c r="E834" s="235" t="s">
        <v>73</v>
      </c>
      <c r="F834" s="236">
        <f>F790</f>
        <v>0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">
      <c r="D841" s="458" t="s">
        <v>186</v>
      </c>
      <c r="E841" s="459" t="s">
        <v>70</v>
      </c>
      <c r="F841" s="460">
        <f>F738</f>
        <v>0</v>
      </c>
      <c r="G841" s="460">
        <f t="shared" ref="G841:AA841" si="42">G738</f>
        <v>0</v>
      </c>
      <c r="H841" s="460">
        <f t="shared" si="42"/>
        <v>0</v>
      </c>
      <c r="I841" s="460">
        <f t="shared" si="42"/>
        <v>0</v>
      </c>
      <c r="J841" s="460">
        <f t="shared" si="42"/>
        <v>0</v>
      </c>
      <c r="K841" s="460">
        <f t="shared" si="42"/>
        <v>0</v>
      </c>
      <c r="L841" s="460">
        <f t="shared" si="42"/>
        <v>0</v>
      </c>
      <c r="M841" s="460">
        <f t="shared" si="42"/>
        <v>0</v>
      </c>
      <c r="N841" s="460">
        <f t="shared" si="42"/>
        <v>0</v>
      </c>
      <c r="O841" s="460">
        <f t="shared" si="42"/>
        <v>0</v>
      </c>
      <c r="P841" s="460">
        <f t="shared" si="42"/>
        <v>0</v>
      </c>
      <c r="Q841" s="460">
        <f t="shared" si="42"/>
        <v>0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2.75" x14ac:dyDescent="0.2"/>
  <cols>
    <col min="2" max="2" width="22.42578125" bestFit="1" customWidth="1"/>
    <col min="3" max="3" width="18.85546875" customWidth="1"/>
    <col min="4" max="4" width="23.140625" bestFit="1" customWidth="1"/>
    <col min="5" max="5" width="15.140625" bestFit="1" customWidth="1"/>
    <col min="6" max="6" width="15.42578125" bestFit="1" customWidth="1"/>
    <col min="7" max="8" width="16.140625" bestFit="1" customWidth="1"/>
    <col min="9" max="9" width="15.140625" bestFit="1" customWidth="1"/>
    <col min="10" max="10" width="17" bestFit="1" customWidth="1"/>
    <col min="11" max="11" width="13.5703125" bestFit="1" customWidth="1"/>
    <col min="12" max="12" width="15.5703125" bestFit="1" customWidth="1"/>
    <col min="13" max="15" width="15.140625" bestFit="1" customWidth="1"/>
    <col min="16" max="16" width="20.42578125" bestFit="1" customWidth="1"/>
    <col min="17" max="17" width="11.5703125" customWidth="1"/>
    <col min="18" max="18" width="13.5703125" bestFit="1" customWidth="1"/>
  </cols>
  <sheetData>
    <row r="1" spans="2:19" x14ac:dyDescent="0.2">
      <c r="B1" s="97" t="s">
        <v>74</v>
      </c>
    </row>
    <row r="2" spans="2:19" ht="12.75" customHeight="1" x14ac:dyDescent="0.2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9" ht="12.75" customHeight="1" x14ac:dyDescent="0.2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9" ht="12.75" customHeight="1" x14ac:dyDescent="0.2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9" s="286" customFormat="1" ht="12.75" customHeight="1" x14ac:dyDescent="0.2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9" ht="12.75" customHeight="1" x14ac:dyDescent="0.2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">
      <c r="B15" s="142"/>
      <c r="D15" t="s">
        <v>72</v>
      </c>
      <c r="E15" s="142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9" ht="12.75" customHeight="1" x14ac:dyDescent="0.2">
      <c r="B16" s="142"/>
      <c r="D16" t="s">
        <v>81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">
      <c r="B17" s="142"/>
      <c r="C17" t="s">
        <v>82</v>
      </c>
      <c r="D17" t="s">
        <v>70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">
      <c r="B18" s="142"/>
      <c r="D18" t="s">
        <v>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">
      <c r="B20" s="142"/>
      <c r="C20" t="s">
        <v>86</v>
      </c>
      <c r="D20" t="s">
        <v>70</v>
      </c>
      <c r="E20" s="142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ht="12.75" customHeight="1" x14ac:dyDescent="0.2">
      <c r="B21" s="142"/>
      <c r="D21" t="s">
        <v>72</v>
      </c>
      <c r="E21" s="142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ht="12.75" customHeight="1" x14ac:dyDescent="0.2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">
      <c r="B23" s="142"/>
      <c r="C23" s="89" t="s">
        <v>87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94" customFormat="1" ht="12.75" customHeight="1" x14ac:dyDescent="0.2">
      <c r="B24" s="101" t="s">
        <v>119</v>
      </c>
      <c r="C24" s="101" t="s">
        <v>70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4">
        <v>0</v>
      </c>
    </row>
    <row r="25" spans="1:18" s="226" customFormat="1" ht="12.75" customHeight="1" x14ac:dyDescent="0.2">
      <c r="A25" s="98" t="s">
        <v>78</v>
      </c>
      <c r="B25" s="98" t="s">
        <v>70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100">
        <v>0</v>
      </c>
      <c r="O25" s="100">
        <v>0</v>
      </c>
      <c r="P25" s="100">
        <v>0</v>
      </c>
      <c r="Q25" s="100">
        <v>0</v>
      </c>
      <c r="R25" s="226">
        <v>0</v>
      </c>
    </row>
    <row r="26" spans="1:18" ht="12.75" customHeight="1" x14ac:dyDescent="0.2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">
      <c r="D29" s="89" t="s">
        <v>73</v>
      </c>
      <c r="E29" s="371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">
      <c r="C30" s="89" t="s">
        <v>156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286" customFormat="1" ht="12.75" customHeight="1" x14ac:dyDescent="0.2">
      <c r="B31" s="286" t="s">
        <v>155</v>
      </c>
      <c r="C31" s="286" t="s">
        <v>70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</row>
    <row r="32" spans="1:18" ht="12.75" customHeight="1" x14ac:dyDescent="0.2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">
      <c r="D35" s="89" t="s">
        <v>73</v>
      </c>
      <c r="E35" s="371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>
        <v>0</v>
      </c>
    </row>
    <row r="36" spans="1:19" ht="12.75" customHeight="1" x14ac:dyDescent="0.2">
      <c r="C36" s="89" t="s">
        <v>82</v>
      </c>
      <c r="D36" s="89" t="s">
        <v>70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>
        <v>0</v>
      </c>
    </row>
    <row r="37" spans="1:19" ht="12.75" customHeight="1" x14ac:dyDescent="0.2">
      <c r="D37" s="89" t="s">
        <v>73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>
        <v>0</v>
      </c>
    </row>
    <row r="38" spans="1:19" ht="12.75" customHeight="1" x14ac:dyDescent="0.2">
      <c r="C38" s="89" t="s">
        <v>86</v>
      </c>
      <c r="D38" s="89" t="s">
        <v>70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>
        <v>0</v>
      </c>
    </row>
    <row r="39" spans="1:19" ht="12.75" customHeight="1" x14ac:dyDescent="0.2">
      <c r="D39" s="89" t="s">
        <v>73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>
        <v>0</v>
      </c>
    </row>
    <row r="40" spans="1:19" ht="12.75" customHeight="1" x14ac:dyDescent="0.2">
      <c r="C40" s="89" t="s">
        <v>87</v>
      </c>
      <c r="D40" s="89" t="s">
        <v>70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>
        <v>0</v>
      </c>
    </row>
    <row r="41" spans="1:19" s="94" customFormat="1" ht="12.75" customHeight="1" x14ac:dyDescent="0.2">
      <c r="B41" s="101" t="s">
        <v>119</v>
      </c>
      <c r="C41" s="101" t="s">
        <v>70</v>
      </c>
      <c r="E41" s="93">
        <v>0</v>
      </c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4">
        <v>0</v>
      </c>
    </row>
    <row r="42" spans="1:19" s="226" customFormat="1" ht="12.75" customHeight="1" x14ac:dyDescent="0.2">
      <c r="A42" s="98" t="s">
        <v>79</v>
      </c>
      <c r="B42" s="98" t="s">
        <v>70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100">
        <v>0</v>
      </c>
      <c r="N42" s="100">
        <v>0</v>
      </c>
      <c r="O42" s="100">
        <v>0</v>
      </c>
      <c r="P42" s="100">
        <v>0</v>
      </c>
      <c r="Q42" s="100">
        <v>0</v>
      </c>
      <c r="R42" s="226">
        <v>0</v>
      </c>
    </row>
    <row r="43" spans="1:19" ht="12.75" customHeight="1" x14ac:dyDescent="0.2">
      <c r="A43" s="89" t="s">
        <v>70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144">
        <v>0</v>
      </c>
    </row>
    <row r="44" spans="1:19" ht="12.75" customHeight="1" x14ac:dyDescent="0.2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">
      <c r="B57" s="779" t="s">
        <v>2</v>
      </c>
      <c r="C57" s="776" t="s">
        <v>132</v>
      </c>
      <c r="D57" s="98" t="s">
        <v>70</v>
      </c>
      <c r="E57" s="100">
        <f>E25+E42-K25</f>
        <v>0</v>
      </c>
      <c r="F57" s="100">
        <f>F25</f>
        <v>0</v>
      </c>
      <c r="G57" s="100">
        <f t="shared" ref="G57:S57" si="0">G25</f>
        <v>0</v>
      </c>
      <c r="H57" s="100">
        <f t="shared" si="0"/>
        <v>0</v>
      </c>
      <c r="I57" s="100">
        <f t="shared" si="0"/>
        <v>0</v>
      </c>
      <c r="J57" s="100">
        <f t="shared" si="0"/>
        <v>0</v>
      </c>
      <c r="K57" s="100">
        <f t="shared" si="0"/>
        <v>0</v>
      </c>
      <c r="L57" s="100">
        <f t="shared" si="0"/>
        <v>0</v>
      </c>
      <c r="M57" s="100">
        <f t="shared" si="0"/>
        <v>0</v>
      </c>
      <c r="N57" s="100">
        <f t="shared" si="0"/>
        <v>0</v>
      </c>
      <c r="O57" s="100">
        <f t="shared" si="0"/>
        <v>0</v>
      </c>
      <c r="P57" s="100">
        <f t="shared" si="0"/>
        <v>0</v>
      </c>
      <c r="Q57" s="100">
        <f t="shared" si="0"/>
        <v>0</v>
      </c>
      <c r="R57" s="100">
        <f t="shared" si="0"/>
        <v>0</v>
      </c>
      <c r="S57" s="100">
        <f t="shared" si="0"/>
        <v>0</v>
      </c>
    </row>
    <row r="58" spans="1:19" ht="12.75" customHeight="1" x14ac:dyDescent="0.2">
      <c r="B58" s="779"/>
      <c r="C58" s="776"/>
      <c r="D58" s="98" t="s">
        <v>73</v>
      </c>
      <c r="E58" s="100">
        <f>E42</f>
        <v>0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">
      <c r="B63" s="779" t="s">
        <v>155</v>
      </c>
      <c r="C63" s="776" t="s">
        <v>132</v>
      </c>
      <c r="D63" s="221" t="s">
        <v>70</v>
      </c>
      <c r="E63" s="222">
        <f>E31+E28+E10+E6-K6-K10</f>
        <v>0</v>
      </c>
      <c r="F63" s="222">
        <f>F10+F6</f>
        <v>0</v>
      </c>
      <c r="G63" s="222">
        <f t="shared" ref="G63:S63" si="1">G10+G6</f>
        <v>0</v>
      </c>
      <c r="H63" s="222">
        <f t="shared" si="1"/>
        <v>0</v>
      </c>
      <c r="I63" s="222">
        <f t="shared" si="1"/>
        <v>0</v>
      </c>
      <c r="J63" s="222">
        <f t="shared" si="1"/>
        <v>0</v>
      </c>
      <c r="K63" s="222">
        <f t="shared" si="1"/>
        <v>0</v>
      </c>
      <c r="L63" s="222">
        <f t="shared" si="1"/>
        <v>0</v>
      </c>
      <c r="M63" s="222">
        <f t="shared" si="1"/>
        <v>0</v>
      </c>
      <c r="N63" s="222">
        <f t="shared" si="1"/>
        <v>0</v>
      </c>
      <c r="O63" s="222">
        <f t="shared" si="1"/>
        <v>0</v>
      </c>
      <c r="P63" s="222">
        <f t="shared" si="1"/>
        <v>0</v>
      </c>
      <c r="Q63" s="222">
        <f t="shared" si="1"/>
        <v>0</v>
      </c>
      <c r="R63" s="222">
        <f t="shared" si="1"/>
        <v>0</v>
      </c>
      <c r="S63" s="222">
        <f t="shared" si="1"/>
        <v>0</v>
      </c>
    </row>
    <row r="64" spans="1:19" ht="12.75" customHeight="1" x14ac:dyDescent="0.2">
      <c r="B64" s="779"/>
      <c r="C64" s="776"/>
      <c r="D64" s="221" t="s">
        <v>73</v>
      </c>
      <c r="E64" s="222">
        <f>E31+E28</f>
        <v>0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">
      <c r="B66" s="777" t="s">
        <v>326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">
      <c r="B69" s="779" t="s">
        <v>119</v>
      </c>
      <c r="C69" s="776" t="s">
        <v>132</v>
      </c>
      <c r="D69" s="101" t="s">
        <v>70</v>
      </c>
      <c r="E69" s="93">
        <f>E24+E41-K24</f>
        <v>0</v>
      </c>
      <c r="F69" s="93">
        <f>F24</f>
        <v>0</v>
      </c>
      <c r="G69" s="93">
        <f t="shared" ref="G69:S69" si="2">G24</f>
        <v>0</v>
      </c>
      <c r="H69" s="93">
        <f t="shared" si="2"/>
        <v>0</v>
      </c>
      <c r="I69" s="93">
        <f t="shared" si="2"/>
        <v>0</v>
      </c>
      <c r="J69" s="93">
        <f t="shared" si="2"/>
        <v>0</v>
      </c>
      <c r="K69" s="93">
        <f t="shared" si="2"/>
        <v>0</v>
      </c>
      <c r="L69" s="93">
        <f t="shared" si="2"/>
        <v>0</v>
      </c>
      <c r="M69" s="93">
        <f t="shared" si="2"/>
        <v>0</v>
      </c>
      <c r="N69" s="93">
        <f t="shared" si="2"/>
        <v>0</v>
      </c>
      <c r="O69" s="93">
        <f t="shared" si="2"/>
        <v>0</v>
      </c>
      <c r="P69" s="93">
        <f t="shared" si="2"/>
        <v>0</v>
      </c>
      <c r="Q69" s="93">
        <f t="shared" si="2"/>
        <v>0</v>
      </c>
      <c r="R69" s="93">
        <f t="shared" si="2"/>
        <v>0</v>
      </c>
      <c r="S69" s="93">
        <f t="shared" si="2"/>
        <v>0</v>
      </c>
    </row>
    <row r="70" spans="1:19" ht="12.75" customHeight="1" x14ac:dyDescent="0.2">
      <c r="B70" s="779"/>
      <c r="C70" s="776"/>
      <c r="D70" s="101" t="s">
        <v>73</v>
      </c>
      <c r="E70" s="93">
        <f>E41</f>
        <v>0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"/>
    <row r="75" spans="1:19" x14ac:dyDescent="0.2">
      <c r="B75" s="97" t="s">
        <v>75</v>
      </c>
    </row>
    <row r="76" spans="1:19" ht="12.75" customHeight="1" x14ac:dyDescent="0.2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">
      <c r="C79" t="s">
        <v>332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">
      <c r="B81" s="142"/>
      <c r="D81" s="89" t="s">
        <v>72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2:18" ht="12.75" customHeight="1" x14ac:dyDescent="0.2">
      <c r="B82" s="142"/>
      <c r="D82" s="89" t="s">
        <v>81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2:18" ht="12.75" customHeight="1" x14ac:dyDescent="0.2">
      <c r="B83" s="142"/>
      <c r="C83" t="s">
        <v>156</v>
      </c>
      <c r="D83" s="89" t="s">
        <v>70</v>
      </c>
      <c r="E83" s="371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>
        <v>0</v>
      </c>
    </row>
    <row r="84" spans="2:18" s="286" customFormat="1" ht="12.75" customHeight="1" x14ac:dyDescent="0.2">
      <c r="B84" s="751" t="s">
        <v>155</v>
      </c>
      <c r="C84" s="286" t="s">
        <v>70</v>
      </c>
      <c r="D84" s="229"/>
      <c r="E84" s="752">
        <v>0</v>
      </c>
      <c r="F84" s="230">
        <v>0</v>
      </c>
      <c r="G84" s="230">
        <v>0</v>
      </c>
      <c r="H84" s="230">
        <v>0</v>
      </c>
      <c r="I84" s="230">
        <v>0</v>
      </c>
      <c r="J84" s="230">
        <v>0</v>
      </c>
      <c r="K84" s="230">
        <v>0</v>
      </c>
      <c r="L84" s="230">
        <v>0</v>
      </c>
      <c r="M84" s="230">
        <v>0</v>
      </c>
      <c r="N84" s="230">
        <v>0</v>
      </c>
      <c r="O84" s="230">
        <v>0</v>
      </c>
      <c r="P84" s="230">
        <v>0</v>
      </c>
      <c r="Q84" s="230">
        <v>0</v>
      </c>
      <c r="R84" s="286">
        <v>0</v>
      </c>
    </row>
    <row r="85" spans="2:18" ht="12.6" customHeight="1" x14ac:dyDescent="0.2">
      <c r="B85" s="142"/>
      <c r="D85" s="89" t="s">
        <v>72</v>
      </c>
      <c r="E85" s="371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>
        <v>0</v>
      </c>
    </row>
    <row r="86" spans="2:18" ht="12.75" customHeight="1" x14ac:dyDescent="0.2">
      <c r="B86" s="142"/>
      <c r="D86" s="89" t="s">
        <v>81</v>
      </c>
      <c r="E86" s="371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>
        <v>0</v>
      </c>
    </row>
    <row r="87" spans="2:18" ht="12.75" customHeight="1" x14ac:dyDescent="0.2">
      <c r="B87" s="142"/>
      <c r="C87" t="s">
        <v>115</v>
      </c>
      <c r="D87" s="89" t="s">
        <v>70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>
        <v>0</v>
      </c>
    </row>
    <row r="88" spans="2:18" ht="12.75" customHeight="1" x14ac:dyDescent="0.2">
      <c r="B88" s="142"/>
      <c r="C88" s="89"/>
      <c r="D88" s="89" t="s">
        <v>72</v>
      </c>
      <c r="E88" s="371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>
        <v>0</v>
      </c>
    </row>
    <row r="89" spans="2:18" ht="12.75" customHeight="1" x14ac:dyDescent="0.2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">
      <c r="B90" s="142"/>
      <c r="C90" s="89" t="s">
        <v>116</v>
      </c>
      <c r="D90" s="89" t="s">
        <v>70</v>
      </c>
      <c r="E90" s="371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>
        <v>0</v>
      </c>
    </row>
    <row r="91" spans="2:18" ht="12.75" customHeight="1" x14ac:dyDescent="0.2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">
      <c r="B97" s="142"/>
      <c r="C97" s="89"/>
      <c r="D97" s="89" t="s">
        <v>72</v>
      </c>
      <c r="E97" s="371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>
        <v>0</v>
      </c>
    </row>
    <row r="98" spans="2:18" ht="12.75" customHeight="1" x14ac:dyDescent="0.2">
      <c r="B98" s="142"/>
      <c r="C98" s="89"/>
      <c r="D98" s="89" t="s">
        <v>81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2:18" ht="12.75" customHeight="1" x14ac:dyDescent="0.2">
      <c r="B99" s="142"/>
      <c r="C99" s="89" t="s">
        <v>118</v>
      </c>
      <c r="D99" s="89" t="s">
        <v>70</v>
      </c>
      <c r="E99" s="371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2:18" ht="12.75" customHeight="1" x14ac:dyDescent="0.2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">
      <c r="B106" s="224" t="s">
        <v>120</v>
      </c>
      <c r="C106" s="224" t="s">
        <v>70</v>
      </c>
      <c r="E106" s="224">
        <v>0</v>
      </c>
      <c r="F106" s="224">
        <v>0</v>
      </c>
      <c r="G106" s="224">
        <v>0</v>
      </c>
      <c r="H106" s="224">
        <v>0</v>
      </c>
      <c r="I106" s="224">
        <v>0</v>
      </c>
      <c r="J106" s="224">
        <v>0</v>
      </c>
      <c r="K106" s="224">
        <v>0</v>
      </c>
      <c r="L106" s="224">
        <v>0</v>
      </c>
      <c r="M106" s="224">
        <v>0</v>
      </c>
      <c r="N106" s="224">
        <v>0</v>
      </c>
      <c r="O106" s="224">
        <v>0</v>
      </c>
      <c r="P106" s="224">
        <v>0</v>
      </c>
      <c r="Q106" s="224">
        <v>0</v>
      </c>
      <c r="R106" s="224">
        <v>0</v>
      </c>
    </row>
    <row r="107" spans="2:18" ht="12.75" customHeight="1" x14ac:dyDescent="0.2">
      <c r="D107" t="s">
        <v>72</v>
      </c>
      <c r="E107" s="142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 ht="12.75" customHeight="1" x14ac:dyDescent="0.2">
      <c r="D108" t="s">
        <v>81</v>
      </c>
      <c r="E108" s="142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 ht="12.75" customHeight="1" x14ac:dyDescent="0.2">
      <c r="C109" t="s">
        <v>82</v>
      </c>
      <c r="D109" t="s">
        <v>70</v>
      </c>
      <c r="E109" s="142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2:18" ht="12.75" customHeight="1" x14ac:dyDescent="0.2">
      <c r="D110" t="s">
        <v>72</v>
      </c>
      <c r="E110" s="142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 ht="12.75" customHeight="1" x14ac:dyDescent="0.2">
      <c r="D111" t="s">
        <v>81</v>
      </c>
      <c r="E111" s="142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 ht="12.75" customHeight="1" x14ac:dyDescent="0.2">
      <c r="C112" t="s">
        <v>86</v>
      </c>
      <c r="D112" t="s">
        <v>70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ht="12.75" customHeight="1" x14ac:dyDescent="0.2">
      <c r="D113" t="s">
        <v>72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ht="12.75" customHeight="1" x14ac:dyDescent="0.2">
      <c r="D114" t="s">
        <v>81</v>
      </c>
      <c r="E114" s="142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2.75" customHeight="1" x14ac:dyDescent="0.2">
      <c r="C115" s="89" t="s">
        <v>87</v>
      </c>
      <c r="D115" s="89" t="s">
        <v>70</v>
      </c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>
        <v>0</v>
      </c>
    </row>
    <row r="116" spans="1:18" s="94" customFormat="1" ht="12.75" customHeight="1" x14ac:dyDescent="0.2">
      <c r="B116" s="94" t="s">
        <v>119</v>
      </c>
      <c r="C116" s="101" t="s">
        <v>70</v>
      </c>
      <c r="D116" s="101"/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4">
        <v>0</v>
      </c>
    </row>
    <row r="117" spans="1:18" s="226" customFormat="1" ht="12.75" customHeight="1" x14ac:dyDescent="0.2">
      <c r="A117" s="98" t="s">
        <v>78</v>
      </c>
      <c r="B117" s="98" t="s">
        <v>70</v>
      </c>
      <c r="E117" s="100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100">
        <v>0</v>
      </c>
      <c r="N117" s="100">
        <v>0</v>
      </c>
      <c r="O117" s="100">
        <v>0</v>
      </c>
      <c r="P117" s="100">
        <v>0</v>
      </c>
      <c r="Q117" s="100">
        <v>0</v>
      </c>
      <c r="R117" s="226">
        <v>0</v>
      </c>
    </row>
    <row r="118" spans="1:18" ht="12.75" customHeight="1" x14ac:dyDescent="0.2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">
      <c r="B119" s="89"/>
      <c r="C119" s="89" t="s">
        <v>332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">
      <c r="C121" s="89"/>
      <c r="D121" s="89" t="s">
        <v>73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>
        <v>0</v>
      </c>
    </row>
    <row r="122" spans="1:18" ht="12.75" customHeight="1" x14ac:dyDescent="0.2">
      <c r="C122" s="89" t="s">
        <v>156</v>
      </c>
      <c r="D122" s="89" t="s">
        <v>70</v>
      </c>
      <c r="E122" s="371">
        <v>0</v>
      </c>
      <c r="F122" s="90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>
        <v>0</v>
      </c>
    </row>
    <row r="123" spans="1:18" s="286" customFormat="1" ht="12.75" customHeight="1" x14ac:dyDescent="0.2">
      <c r="B123" s="286" t="s">
        <v>155</v>
      </c>
      <c r="C123" s="229" t="s">
        <v>70</v>
      </c>
      <c r="D123" s="229"/>
      <c r="E123" s="752">
        <v>0</v>
      </c>
      <c r="F123" s="230">
        <v>0</v>
      </c>
      <c r="G123" s="230">
        <v>0</v>
      </c>
      <c r="H123" s="230">
        <v>0</v>
      </c>
      <c r="I123" s="230">
        <v>0</v>
      </c>
      <c r="J123" s="230">
        <v>0</v>
      </c>
      <c r="K123" s="230">
        <v>0</v>
      </c>
      <c r="L123" s="230">
        <v>0</v>
      </c>
      <c r="M123" s="230">
        <v>0</v>
      </c>
      <c r="N123" s="230">
        <v>0</v>
      </c>
      <c r="O123" s="230">
        <v>0</v>
      </c>
      <c r="P123" s="230">
        <v>0</v>
      </c>
      <c r="Q123" s="230">
        <v>0</v>
      </c>
      <c r="R123" s="286">
        <v>0</v>
      </c>
    </row>
    <row r="124" spans="1:18" ht="12.75" customHeight="1" x14ac:dyDescent="0.2">
      <c r="C124" s="89"/>
      <c r="D124" s="89" t="s">
        <v>73</v>
      </c>
      <c r="E124" s="371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>
        <v>0</v>
      </c>
    </row>
    <row r="125" spans="1:18" ht="12.75" customHeight="1" x14ac:dyDescent="0.2">
      <c r="C125" s="89" t="s">
        <v>115</v>
      </c>
      <c r="D125" s="89" t="s">
        <v>70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0</v>
      </c>
      <c r="Q125" s="90">
        <v>0</v>
      </c>
      <c r="R125">
        <v>0</v>
      </c>
    </row>
    <row r="126" spans="1:18" ht="12.75" customHeight="1" x14ac:dyDescent="0.2">
      <c r="C126" s="89"/>
      <c r="D126" s="89" t="s">
        <v>73</v>
      </c>
      <c r="E126" s="371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>
        <v>0</v>
      </c>
    </row>
    <row r="127" spans="1:18" ht="12.75" customHeight="1" x14ac:dyDescent="0.2">
      <c r="C127" s="89" t="s">
        <v>116</v>
      </c>
      <c r="D127" s="89" t="s">
        <v>70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>
        <v>0</v>
      </c>
    </row>
    <row r="128" spans="1:18" ht="12.75" customHeight="1" x14ac:dyDescent="0.2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">
      <c r="C132" s="89"/>
      <c r="D132" s="89" t="s">
        <v>73</v>
      </c>
      <c r="E132" s="371">
        <v>0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>
        <v>0</v>
      </c>
    </row>
    <row r="133" spans="2:18" ht="12.75" customHeight="1" x14ac:dyDescent="0.2">
      <c r="C133" s="89" t="s">
        <v>118</v>
      </c>
      <c r="D133" s="89" t="s">
        <v>70</v>
      </c>
      <c r="E133" s="371">
        <v>0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>
        <v>0</v>
      </c>
    </row>
    <row r="134" spans="2:18" ht="12.75" customHeight="1" x14ac:dyDescent="0.2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">
      <c r="B138" s="223" t="s">
        <v>120</v>
      </c>
      <c r="C138" s="223" t="s">
        <v>70</v>
      </c>
      <c r="E138" s="225">
        <v>0</v>
      </c>
      <c r="F138" s="225">
        <v>0</v>
      </c>
      <c r="G138" s="225">
        <v>0</v>
      </c>
      <c r="H138" s="225">
        <v>0</v>
      </c>
      <c r="I138" s="225">
        <v>0</v>
      </c>
      <c r="J138" s="225">
        <v>0</v>
      </c>
      <c r="K138" s="225">
        <v>0</v>
      </c>
      <c r="L138" s="225">
        <v>0</v>
      </c>
      <c r="M138" s="225">
        <v>0</v>
      </c>
      <c r="N138" s="225">
        <v>0</v>
      </c>
      <c r="O138" s="225">
        <v>0</v>
      </c>
      <c r="P138" s="225">
        <v>0</v>
      </c>
      <c r="Q138" s="225">
        <v>0</v>
      </c>
      <c r="R138" s="224">
        <v>0</v>
      </c>
    </row>
    <row r="139" spans="2:18" ht="12.75" customHeight="1" x14ac:dyDescent="0.2">
      <c r="D139" s="89" t="s">
        <v>73</v>
      </c>
      <c r="E139" s="371">
        <v>0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>
        <v>0</v>
      </c>
    </row>
    <row r="140" spans="2:18" ht="12.75" customHeight="1" x14ac:dyDescent="0.2">
      <c r="C140" t="s">
        <v>82</v>
      </c>
      <c r="D140" s="89" t="s">
        <v>70</v>
      </c>
      <c r="E140" s="371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>
        <v>0</v>
      </c>
    </row>
    <row r="141" spans="2:18" ht="12.75" customHeight="1" x14ac:dyDescent="0.2">
      <c r="D141" s="89" t="s">
        <v>73</v>
      </c>
      <c r="E141" s="371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>
        <v>0</v>
      </c>
    </row>
    <row r="142" spans="2:18" ht="12.75" customHeight="1" x14ac:dyDescent="0.2">
      <c r="C142" t="s">
        <v>86</v>
      </c>
      <c r="D142" s="89" t="s">
        <v>70</v>
      </c>
      <c r="E142" s="371">
        <v>0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>
        <v>0</v>
      </c>
    </row>
    <row r="143" spans="2:18" ht="12.75" customHeight="1" x14ac:dyDescent="0.2">
      <c r="D143" s="89" t="s">
        <v>73</v>
      </c>
      <c r="E143" s="371">
        <v>0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>
        <v>0</v>
      </c>
    </row>
    <row r="144" spans="2:18" ht="12.75" customHeight="1" x14ac:dyDescent="0.2">
      <c r="C144" t="s">
        <v>87</v>
      </c>
      <c r="D144" s="89" t="s">
        <v>70</v>
      </c>
      <c r="E144" s="90">
        <v>0</v>
      </c>
      <c r="F144" s="90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>
        <v>0</v>
      </c>
    </row>
    <row r="145" spans="1:19" s="94" customFormat="1" ht="12.75" customHeight="1" x14ac:dyDescent="0.2">
      <c r="B145" s="101" t="s">
        <v>119</v>
      </c>
      <c r="C145" s="101" t="s">
        <v>70</v>
      </c>
      <c r="E145" s="93">
        <v>0</v>
      </c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4">
        <v>0</v>
      </c>
    </row>
    <row r="146" spans="1:19" s="226" customFormat="1" ht="12.75" customHeight="1" x14ac:dyDescent="0.2">
      <c r="A146" s="98" t="s">
        <v>79</v>
      </c>
      <c r="B146" s="98" t="s">
        <v>70</v>
      </c>
      <c r="E146" s="100">
        <v>0</v>
      </c>
      <c r="F146" s="100">
        <v>0</v>
      </c>
      <c r="G146" s="100">
        <v>0</v>
      </c>
      <c r="H146" s="100">
        <v>0</v>
      </c>
      <c r="I146" s="100">
        <v>0</v>
      </c>
      <c r="J146" s="100">
        <v>0</v>
      </c>
      <c r="K146" s="100">
        <v>0</v>
      </c>
      <c r="L146" s="100">
        <v>0</v>
      </c>
      <c r="M146" s="100">
        <v>0</v>
      </c>
      <c r="N146" s="100">
        <v>0</v>
      </c>
      <c r="O146" s="100">
        <v>0</v>
      </c>
      <c r="P146" s="100">
        <v>0</v>
      </c>
      <c r="Q146" s="100">
        <v>0</v>
      </c>
      <c r="R146" s="226">
        <v>0</v>
      </c>
    </row>
    <row r="147" spans="1:19" ht="12.75" customHeight="1" x14ac:dyDescent="0.2">
      <c r="A147" s="89" t="s">
        <v>70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>
        <v>0</v>
      </c>
    </row>
    <row r="148" spans="1:19" ht="12.75" customHeight="1" x14ac:dyDescent="0.2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">
      <c r="B178" s="779" t="s">
        <v>2</v>
      </c>
      <c r="C178" s="776" t="s">
        <v>132</v>
      </c>
      <c r="D178" s="98" t="s">
        <v>70</v>
      </c>
      <c r="E178" s="100">
        <f>E117+E146-K117</f>
        <v>0</v>
      </c>
      <c r="F178" s="100">
        <f t="shared" ref="F178:R178" si="3">F117</f>
        <v>0</v>
      </c>
      <c r="G178" s="100">
        <f t="shared" si="3"/>
        <v>0</v>
      </c>
      <c r="H178" s="100">
        <f t="shared" si="3"/>
        <v>0</v>
      </c>
      <c r="I178" s="100">
        <f t="shared" si="3"/>
        <v>0</v>
      </c>
      <c r="J178" s="100">
        <f t="shared" si="3"/>
        <v>0</v>
      </c>
      <c r="K178" s="100">
        <f t="shared" si="3"/>
        <v>0</v>
      </c>
      <c r="L178" s="100">
        <f t="shared" si="3"/>
        <v>0</v>
      </c>
      <c r="M178" s="100">
        <f t="shared" si="3"/>
        <v>0</v>
      </c>
      <c r="N178" s="100">
        <f t="shared" si="3"/>
        <v>0</v>
      </c>
      <c r="O178" s="100">
        <f t="shared" si="3"/>
        <v>0</v>
      </c>
      <c r="P178" s="100">
        <f t="shared" si="3"/>
        <v>0</v>
      </c>
      <c r="Q178" s="100">
        <f t="shared" si="3"/>
        <v>0</v>
      </c>
      <c r="R178" s="100">
        <f t="shared" si="3"/>
        <v>0</v>
      </c>
    </row>
    <row r="179" spans="1:19" ht="12.75" customHeight="1" x14ac:dyDescent="0.2">
      <c r="B179" s="779"/>
      <c r="C179" s="776"/>
      <c r="D179" s="98" t="s">
        <v>73</v>
      </c>
      <c r="E179" s="100">
        <f>E146</f>
        <v>0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">
      <c r="B181" s="779" t="s">
        <v>160</v>
      </c>
      <c r="C181" s="776" t="s">
        <v>132</v>
      </c>
      <c r="D181" s="223" t="s">
        <v>70</v>
      </c>
      <c r="E181" s="225">
        <f>E138+E120+E106+E80-K80-K106</f>
        <v>0</v>
      </c>
      <c r="F181" s="225">
        <f>F106+F80</f>
        <v>0</v>
      </c>
      <c r="G181" s="225">
        <f t="shared" ref="G181:R181" si="4">G106+G80</f>
        <v>0</v>
      </c>
      <c r="H181" s="225">
        <f t="shared" si="4"/>
        <v>0</v>
      </c>
      <c r="I181" s="225">
        <f t="shared" si="4"/>
        <v>0</v>
      </c>
      <c r="J181" s="225">
        <f t="shared" si="4"/>
        <v>0</v>
      </c>
      <c r="K181" s="225">
        <f t="shared" si="4"/>
        <v>0</v>
      </c>
      <c r="L181" s="225">
        <f t="shared" si="4"/>
        <v>0</v>
      </c>
      <c r="M181" s="225">
        <f t="shared" si="4"/>
        <v>0</v>
      </c>
      <c r="N181" s="225">
        <f t="shared" si="4"/>
        <v>0</v>
      </c>
      <c r="O181" s="225">
        <f t="shared" si="4"/>
        <v>0</v>
      </c>
      <c r="P181" s="225">
        <f t="shared" si="4"/>
        <v>0</v>
      </c>
      <c r="Q181" s="225">
        <f t="shared" si="4"/>
        <v>0</v>
      </c>
      <c r="R181" s="225">
        <f t="shared" si="4"/>
        <v>0</v>
      </c>
    </row>
    <row r="182" spans="1:19" ht="12.75" customHeight="1" x14ac:dyDescent="0.2">
      <c r="B182" s="779"/>
      <c r="C182" s="776"/>
      <c r="D182" s="223" t="s">
        <v>73</v>
      </c>
      <c r="E182" s="225">
        <f>E138+E120</f>
        <v>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">
      <c r="B184" s="779" t="s">
        <v>155</v>
      </c>
      <c r="C184" s="776" t="s">
        <v>132</v>
      </c>
      <c r="D184" s="221" t="s">
        <v>70</v>
      </c>
      <c r="E184" s="222">
        <f>E123+E84-K84</f>
        <v>0</v>
      </c>
      <c r="F184" s="222">
        <f>F84</f>
        <v>0</v>
      </c>
      <c r="G184" s="222">
        <f t="shared" ref="G184:R184" si="5">G84</f>
        <v>0</v>
      </c>
      <c r="H184" s="222">
        <f t="shared" si="5"/>
        <v>0</v>
      </c>
      <c r="I184" s="222">
        <f t="shared" si="5"/>
        <v>0</v>
      </c>
      <c r="J184" s="222">
        <f t="shared" si="5"/>
        <v>0</v>
      </c>
      <c r="K184" s="222">
        <f t="shared" si="5"/>
        <v>0</v>
      </c>
      <c r="L184" s="222">
        <f t="shared" si="5"/>
        <v>0</v>
      </c>
      <c r="M184" s="222">
        <f t="shared" si="5"/>
        <v>0</v>
      </c>
      <c r="N184" s="222">
        <f t="shared" si="5"/>
        <v>0</v>
      </c>
      <c r="O184" s="222">
        <f t="shared" si="5"/>
        <v>0</v>
      </c>
      <c r="P184" s="222">
        <f t="shared" si="5"/>
        <v>0</v>
      </c>
      <c r="Q184" s="222">
        <f t="shared" si="5"/>
        <v>0</v>
      </c>
      <c r="R184" s="222">
        <f t="shared" si="5"/>
        <v>0</v>
      </c>
    </row>
    <row r="185" spans="1:19" ht="12.75" customHeight="1" x14ac:dyDescent="0.2">
      <c r="B185" s="779"/>
      <c r="C185" s="776"/>
      <c r="D185" s="221" t="s">
        <v>73</v>
      </c>
      <c r="E185" s="222">
        <f>E123</f>
        <v>0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">
      <c r="B187" s="777" t="s">
        <v>326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">
      <c r="B190" s="779" t="s">
        <v>119</v>
      </c>
      <c r="C190" s="776" t="s">
        <v>132</v>
      </c>
      <c r="D190" s="101" t="s">
        <v>70</v>
      </c>
      <c r="E190" s="93">
        <f>E116+E145-K116</f>
        <v>0</v>
      </c>
      <c r="F190" s="93">
        <f t="shared" ref="F190:R190" si="6">F116</f>
        <v>0</v>
      </c>
      <c r="G190" s="93">
        <f t="shared" si="6"/>
        <v>0</v>
      </c>
      <c r="H190" s="93">
        <f t="shared" si="6"/>
        <v>0</v>
      </c>
      <c r="I190" s="93">
        <f t="shared" si="6"/>
        <v>0</v>
      </c>
      <c r="J190" s="93">
        <f t="shared" si="6"/>
        <v>0</v>
      </c>
      <c r="K190" s="93">
        <f t="shared" si="6"/>
        <v>0</v>
      </c>
      <c r="L190" s="93">
        <f t="shared" si="6"/>
        <v>0</v>
      </c>
      <c r="M190" s="93">
        <f t="shared" si="6"/>
        <v>0</v>
      </c>
      <c r="N190" s="93">
        <f t="shared" si="6"/>
        <v>0</v>
      </c>
      <c r="O190" s="93">
        <f t="shared" si="6"/>
        <v>0</v>
      </c>
      <c r="P190" s="93">
        <f t="shared" si="6"/>
        <v>0</v>
      </c>
      <c r="Q190" s="93">
        <f t="shared" si="6"/>
        <v>0</v>
      </c>
      <c r="R190" s="93">
        <f t="shared" si="6"/>
        <v>0</v>
      </c>
    </row>
    <row r="191" spans="1:19" ht="12.75" customHeight="1" x14ac:dyDescent="0.2">
      <c r="B191" s="779"/>
      <c r="C191" s="776"/>
      <c r="D191" s="101" t="s">
        <v>73</v>
      </c>
      <c r="E191" s="93">
        <f>E145</f>
        <v>0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"/>
    <row r="196" spans="2:18" x14ac:dyDescent="0.2">
      <c r="B196" s="97" t="s">
        <v>76</v>
      </c>
    </row>
    <row r="197" spans="2:18" ht="12.6" customHeight="1" x14ac:dyDescent="0.2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">
      <c r="D202" t="s">
        <v>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2:18" ht="12.75" customHeight="1" x14ac:dyDescent="0.2">
      <c r="D203" t="s">
        <v>81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2:18" ht="12.75" customHeight="1" x14ac:dyDescent="0.2">
      <c r="C204" t="s">
        <v>156</v>
      </c>
      <c r="D204" s="89" t="s">
        <v>70</v>
      </c>
      <c r="E204" s="371">
        <v>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>
        <v>0</v>
      </c>
    </row>
    <row r="205" spans="2:18" s="656" customFormat="1" ht="12.75" customHeight="1" x14ac:dyDescent="0.2">
      <c r="B205" s="656" t="s">
        <v>155</v>
      </c>
      <c r="C205" s="656" t="s">
        <v>70</v>
      </c>
      <c r="E205" s="741">
        <v>0</v>
      </c>
      <c r="F205" s="656">
        <v>0</v>
      </c>
      <c r="G205" s="656">
        <v>0</v>
      </c>
      <c r="H205" s="656">
        <v>0</v>
      </c>
      <c r="I205" s="656">
        <v>0</v>
      </c>
      <c r="J205" s="656">
        <v>0</v>
      </c>
      <c r="K205" s="656">
        <v>0</v>
      </c>
      <c r="L205" s="656">
        <v>0</v>
      </c>
      <c r="M205" s="656">
        <v>0</v>
      </c>
      <c r="N205" s="656">
        <v>0</v>
      </c>
      <c r="O205" s="656">
        <v>0</v>
      </c>
      <c r="P205" s="656">
        <v>0</v>
      </c>
      <c r="Q205" s="656">
        <v>0</v>
      </c>
      <c r="R205" s="656">
        <v>0</v>
      </c>
    </row>
    <row r="206" spans="2:18" ht="12.75" customHeight="1" x14ac:dyDescent="0.2">
      <c r="D206" t="s">
        <v>72</v>
      </c>
      <c r="E206" s="142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2:18" ht="12.75" customHeight="1" x14ac:dyDescent="0.2">
      <c r="D207" t="s">
        <v>81</v>
      </c>
      <c r="E207" s="142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 ht="12.75" customHeight="1" x14ac:dyDescent="0.2">
      <c r="C208" t="s">
        <v>82</v>
      </c>
      <c r="D208" t="s">
        <v>70</v>
      </c>
      <c r="E208" s="142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ht="12.75" customHeight="1" x14ac:dyDescent="0.2">
      <c r="D209" t="s">
        <v>72</v>
      </c>
      <c r="E209" s="142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2.75" customHeight="1" x14ac:dyDescent="0.2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">
      <c r="C211" t="s">
        <v>86</v>
      </c>
      <c r="D211" t="s">
        <v>70</v>
      </c>
      <c r="E211" s="142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2.75" customHeight="1" x14ac:dyDescent="0.2">
      <c r="D212" t="s">
        <v>72</v>
      </c>
      <c r="E212" s="14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ht="12.75" customHeight="1" x14ac:dyDescent="0.2">
      <c r="D213" t="s">
        <v>81</v>
      </c>
      <c r="E213" s="142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ht="12.75" customHeight="1" x14ac:dyDescent="0.2">
      <c r="A214" s="89"/>
      <c r="B214" s="89"/>
      <c r="C214" t="s">
        <v>87</v>
      </c>
      <c r="D214" t="s">
        <v>70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>
        <v>0</v>
      </c>
    </row>
    <row r="215" spans="1:18" s="94" customFormat="1" ht="12.75" customHeight="1" x14ac:dyDescent="0.2">
      <c r="A215" s="101"/>
      <c r="B215" s="101" t="s">
        <v>119</v>
      </c>
      <c r="C215" s="94" t="s">
        <v>70</v>
      </c>
      <c r="E215" s="93">
        <v>0</v>
      </c>
      <c r="F215" s="93">
        <v>0</v>
      </c>
      <c r="G215" s="93">
        <v>0</v>
      </c>
      <c r="H215" s="93">
        <v>0</v>
      </c>
      <c r="I215" s="93">
        <v>0</v>
      </c>
      <c r="J215" s="93">
        <v>0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4">
        <v>0</v>
      </c>
    </row>
    <row r="216" spans="1:18" s="226" customFormat="1" ht="12.75" customHeight="1" x14ac:dyDescent="0.2">
      <c r="A216" s="226" t="s">
        <v>78</v>
      </c>
      <c r="B216" s="226" t="s">
        <v>70</v>
      </c>
      <c r="D216" s="98"/>
      <c r="E216" s="100">
        <v>0</v>
      </c>
      <c r="F216" s="100">
        <v>0</v>
      </c>
      <c r="G216" s="100">
        <v>0</v>
      </c>
      <c r="H216" s="100">
        <v>0</v>
      </c>
      <c r="I216" s="100">
        <v>0</v>
      </c>
      <c r="J216" s="100">
        <v>0</v>
      </c>
      <c r="K216" s="100">
        <v>0</v>
      </c>
      <c r="L216" s="100">
        <v>0</v>
      </c>
      <c r="M216" s="100">
        <v>0</v>
      </c>
      <c r="N216" s="100">
        <v>0</v>
      </c>
      <c r="O216" s="100">
        <v>0</v>
      </c>
      <c r="P216" s="100">
        <v>0</v>
      </c>
      <c r="Q216" s="100">
        <v>0</v>
      </c>
      <c r="R216" s="226">
        <v>0</v>
      </c>
    </row>
    <row r="217" spans="1:18" ht="12.75" customHeight="1" x14ac:dyDescent="0.2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">
      <c r="C220" s="89"/>
      <c r="D220" s="89" t="s">
        <v>73</v>
      </c>
      <c r="E220" s="371">
        <v>0</v>
      </c>
      <c r="F220" s="90">
        <v>0</v>
      </c>
      <c r="G220" s="90">
        <v>0</v>
      </c>
      <c r="H220" s="90">
        <v>0</v>
      </c>
      <c r="I220" s="90">
        <v>0</v>
      </c>
      <c r="J220" s="90">
        <v>0</v>
      </c>
      <c r="K220" s="90">
        <v>0</v>
      </c>
      <c r="L220" s="90">
        <v>0</v>
      </c>
      <c r="M220" s="90">
        <v>0</v>
      </c>
      <c r="N220" s="90">
        <v>0</v>
      </c>
      <c r="O220" s="90">
        <v>0</v>
      </c>
      <c r="P220" s="90">
        <v>0</v>
      </c>
      <c r="Q220" s="90">
        <v>0</v>
      </c>
      <c r="R220">
        <v>0</v>
      </c>
    </row>
    <row r="221" spans="1:18" ht="12.75" customHeight="1" x14ac:dyDescent="0.2">
      <c r="C221" s="89" t="s">
        <v>156</v>
      </c>
      <c r="D221" s="89" t="s">
        <v>70</v>
      </c>
      <c r="E221" s="371">
        <v>0</v>
      </c>
      <c r="F221" s="90">
        <v>0</v>
      </c>
      <c r="G221" s="90">
        <v>0</v>
      </c>
      <c r="H221" s="90">
        <v>0</v>
      </c>
      <c r="I221" s="90">
        <v>0</v>
      </c>
      <c r="J221" s="90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>
        <v>0</v>
      </c>
    </row>
    <row r="222" spans="1:18" s="237" customFormat="1" ht="12.75" customHeight="1" x14ac:dyDescent="0.2">
      <c r="B222" s="237" t="s">
        <v>155</v>
      </c>
      <c r="C222" s="221" t="s">
        <v>70</v>
      </c>
      <c r="D222" s="221"/>
      <c r="E222" s="566">
        <v>0</v>
      </c>
      <c r="F222" s="222">
        <v>0</v>
      </c>
      <c r="G222" s="222">
        <v>0</v>
      </c>
      <c r="H222" s="222">
        <v>0</v>
      </c>
      <c r="I222" s="222">
        <v>0</v>
      </c>
      <c r="J222" s="222">
        <v>0</v>
      </c>
      <c r="K222" s="222">
        <v>0</v>
      </c>
      <c r="L222" s="222">
        <v>0</v>
      </c>
      <c r="M222" s="222">
        <v>0</v>
      </c>
      <c r="N222" s="222">
        <v>0</v>
      </c>
      <c r="O222" s="222">
        <v>0</v>
      </c>
      <c r="P222" s="222">
        <v>0</v>
      </c>
      <c r="Q222" s="222">
        <v>0</v>
      </c>
      <c r="R222" s="237">
        <v>0</v>
      </c>
    </row>
    <row r="223" spans="1:18" ht="12.75" customHeight="1" x14ac:dyDescent="0.2">
      <c r="C223" s="89"/>
      <c r="D223" s="89" t="s">
        <v>73</v>
      </c>
      <c r="E223" s="371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  <c r="N223" s="90">
        <v>0</v>
      </c>
      <c r="O223" s="90">
        <v>0</v>
      </c>
      <c r="P223" s="90">
        <v>0</v>
      </c>
      <c r="Q223" s="90">
        <v>0</v>
      </c>
      <c r="R223">
        <v>0</v>
      </c>
    </row>
    <row r="224" spans="1:18" ht="12.75" customHeight="1" x14ac:dyDescent="0.2">
      <c r="C224" t="s">
        <v>82</v>
      </c>
      <c r="D224" t="s">
        <v>70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t="12.75" customHeight="1" x14ac:dyDescent="0.2">
      <c r="D225" t="s">
        <v>73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2.75" customHeight="1" x14ac:dyDescent="0.2">
      <c r="C226" t="s">
        <v>86</v>
      </c>
      <c r="D226" t="s">
        <v>70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t="12.75" customHeight="1" x14ac:dyDescent="0.2">
      <c r="D227" s="89" t="s">
        <v>73</v>
      </c>
      <c r="E227" s="90">
        <v>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>
        <v>0</v>
      </c>
    </row>
    <row r="228" spans="1:18" ht="12.75" customHeight="1" x14ac:dyDescent="0.2">
      <c r="C228" t="s">
        <v>87</v>
      </c>
      <c r="D228" s="89" t="s">
        <v>70</v>
      </c>
      <c r="E228" s="90">
        <v>0</v>
      </c>
      <c r="F228" s="90">
        <v>0</v>
      </c>
      <c r="G228" s="90">
        <v>0</v>
      </c>
      <c r="H228" s="90">
        <v>0</v>
      </c>
      <c r="I228" s="90">
        <v>0</v>
      </c>
      <c r="J228" s="90">
        <v>0</v>
      </c>
      <c r="K228" s="90">
        <v>0</v>
      </c>
      <c r="L228" s="90">
        <v>0</v>
      </c>
      <c r="M228" s="90">
        <v>0</v>
      </c>
      <c r="N228" s="90">
        <v>0</v>
      </c>
      <c r="O228" s="90">
        <v>0</v>
      </c>
      <c r="P228" s="90">
        <v>0</v>
      </c>
      <c r="Q228" s="90">
        <v>0</v>
      </c>
      <c r="R228">
        <v>0</v>
      </c>
    </row>
    <row r="229" spans="1:18" s="94" customFormat="1" ht="12.75" customHeight="1" x14ac:dyDescent="0.2">
      <c r="B229" s="101" t="s">
        <v>119</v>
      </c>
      <c r="C229" s="101" t="s">
        <v>70</v>
      </c>
      <c r="E229" s="93">
        <v>0</v>
      </c>
      <c r="F229" s="93">
        <v>0</v>
      </c>
      <c r="G229" s="93">
        <v>0</v>
      </c>
      <c r="H229" s="93">
        <v>0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4">
        <v>0</v>
      </c>
    </row>
    <row r="230" spans="1:18" s="226" customFormat="1" ht="12.75" customHeight="1" x14ac:dyDescent="0.2">
      <c r="A230" s="98" t="s">
        <v>79</v>
      </c>
      <c r="B230" s="98" t="s">
        <v>70</v>
      </c>
      <c r="E230" s="100">
        <v>0</v>
      </c>
      <c r="F230" s="100">
        <v>0</v>
      </c>
      <c r="G230" s="100">
        <v>0</v>
      </c>
      <c r="H230" s="100">
        <v>0</v>
      </c>
      <c r="I230" s="100">
        <v>0</v>
      </c>
      <c r="J230" s="100">
        <v>0</v>
      </c>
      <c r="K230" s="100">
        <v>0</v>
      </c>
      <c r="L230" s="100">
        <v>0</v>
      </c>
      <c r="M230" s="100">
        <v>0</v>
      </c>
      <c r="N230" s="100">
        <v>0</v>
      </c>
      <c r="O230" s="100">
        <v>0</v>
      </c>
      <c r="P230" s="100">
        <v>0</v>
      </c>
      <c r="Q230" s="100">
        <v>0</v>
      </c>
      <c r="R230" s="226">
        <v>0</v>
      </c>
    </row>
    <row r="231" spans="1:18" ht="12.75" customHeight="1" x14ac:dyDescent="0.2">
      <c r="A231" s="89" t="s">
        <v>70</v>
      </c>
      <c r="E231" s="90">
        <v>0</v>
      </c>
      <c r="F231" s="90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>
        <v>0</v>
      </c>
    </row>
    <row r="232" spans="1:18" ht="12.75" customHeight="1" x14ac:dyDescent="0.2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">
      <c r="B299" s="779" t="s">
        <v>2</v>
      </c>
      <c r="C299" s="776" t="s">
        <v>132</v>
      </c>
      <c r="D299" s="98" t="s">
        <v>70</v>
      </c>
      <c r="E299" s="100">
        <f>E216+E230-K216</f>
        <v>0</v>
      </c>
      <c r="F299" s="100">
        <f>F216</f>
        <v>0</v>
      </c>
      <c r="G299" s="100">
        <f t="shared" ref="G299:R299" si="7">G216</f>
        <v>0</v>
      </c>
      <c r="H299" s="100">
        <f t="shared" si="7"/>
        <v>0</v>
      </c>
      <c r="I299" s="100">
        <f t="shared" si="7"/>
        <v>0</v>
      </c>
      <c r="J299" s="100">
        <f t="shared" si="7"/>
        <v>0</v>
      </c>
      <c r="K299" s="100">
        <f t="shared" si="7"/>
        <v>0</v>
      </c>
      <c r="L299" s="100">
        <f t="shared" si="7"/>
        <v>0</v>
      </c>
      <c r="M299" s="100">
        <f t="shared" si="7"/>
        <v>0</v>
      </c>
      <c r="N299" s="100">
        <f t="shared" si="7"/>
        <v>0</v>
      </c>
      <c r="O299" s="100">
        <f t="shared" si="7"/>
        <v>0</v>
      </c>
      <c r="P299" s="100">
        <f t="shared" si="7"/>
        <v>0</v>
      </c>
      <c r="Q299" s="100">
        <f t="shared" si="7"/>
        <v>0</v>
      </c>
      <c r="R299" s="100">
        <f t="shared" si="7"/>
        <v>0</v>
      </c>
    </row>
    <row r="300" spans="1:18" ht="12.75" customHeight="1" x14ac:dyDescent="0.2">
      <c r="B300" s="779"/>
      <c r="C300" s="776"/>
      <c r="D300" s="98" t="s">
        <v>73</v>
      </c>
      <c r="E300" s="100">
        <f>E230</f>
        <v>0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">
      <c r="B305" s="779" t="s">
        <v>155</v>
      </c>
      <c r="C305" s="776" t="s">
        <v>132</v>
      </c>
      <c r="D305" s="221" t="s">
        <v>70</v>
      </c>
      <c r="E305" s="222">
        <f>E222+E219+E205+E201-K205-K201</f>
        <v>0</v>
      </c>
      <c r="F305" s="222">
        <f>F201+F205</f>
        <v>0</v>
      </c>
      <c r="G305" s="222">
        <f t="shared" ref="G305:R305" si="8">G201+G205</f>
        <v>0</v>
      </c>
      <c r="H305" s="222">
        <f t="shared" si="8"/>
        <v>0</v>
      </c>
      <c r="I305" s="222">
        <f t="shared" si="8"/>
        <v>0</v>
      </c>
      <c r="J305" s="222">
        <f t="shared" si="8"/>
        <v>0</v>
      </c>
      <c r="K305" s="222">
        <f t="shared" si="8"/>
        <v>0</v>
      </c>
      <c r="L305" s="222">
        <f t="shared" si="8"/>
        <v>0</v>
      </c>
      <c r="M305" s="222">
        <f t="shared" si="8"/>
        <v>0</v>
      </c>
      <c r="N305" s="222">
        <f t="shared" si="8"/>
        <v>0</v>
      </c>
      <c r="O305" s="222">
        <f t="shared" si="8"/>
        <v>0</v>
      </c>
      <c r="P305" s="222">
        <f t="shared" si="8"/>
        <v>0</v>
      </c>
      <c r="Q305" s="222">
        <f t="shared" si="8"/>
        <v>0</v>
      </c>
      <c r="R305" s="222">
        <f t="shared" si="8"/>
        <v>0</v>
      </c>
    </row>
    <row r="306" spans="1:18" ht="12.75" customHeight="1" x14ac:dyDescent="0.2">
      <c r="B306" s="779"/>
      <c r="C306" s="776"/>
      <c r="D306" s="221" t="s">
        <v>73</v>
      </c>
      <c r="E306" s="222">
        <f>E222+E219</f>
        <v>0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">
      <c r="B308" s="777" t="s">
        <v>326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">
      <c r="B311" s="779" t="s">
        <v>119</v>
      </c>
      <c r="C311" s="776" t="s">
        <v>132</v>
      </c>
      <c r="D311" s="101" t="s">
        <v>70</v>
      </c>
      <c r="E311" s="93">
        <f>E215+E229-K215</f>
        <v>0</v>
      </c>
      <c r="F311" s="93">
        <f>F215</f>
        <v>0</v>
      </c>
      <c r="G311" s="93">
        <f t="shared" ref="G311:R311" si="9">G215</f>
        <v>0</v>
      </c>
      <c r="H311" s="93">
        <f t="shared" si="9"/>
        <v>0</v>
      </c>
      <c r="I311" s="93">
        <f t="shared" si="9"/>
        <v>0</v>
      </c>
      <c r="J311" s="93">
        <f t="shared" si="9"/>
        <v>0</v>
      </c>
      <c r="K311" s="93">
        <f t="shared" si="9"/>
        <v>0</v>
      </c>
      <c r="L311" s="93">
        <f t="shared" si="9"/>
        <v>0</v>
      </c>
      <c r="M311" s="93">
        <f t="shared" si="9"/>
        <v>0</v>
      </c>
      <c r="N311" s="93">
        <f t="shared" si="9"/>
        <v>0</v>
      </c>
      <c r="O311" s="93">
        <f t="shared" si="9"/>
        <v>0</v>
      </c>
      <c r="P311" s="93">
        <f t="shared" si="9"/>
        <v>0</v>
      </c>
      <c r="Q311" s="93">
        <f t="shared" si="9"/>
        <v>0</v>
      </c>
      <c r="R311" s="93">
        <f t="shared" si="9"/>
        <v>0</v>
      </c>
    </row>
    <row r="312" spans="1:18" ht="12.75" customHeight="1" x14ac:dyDescent="0.2">
      <c r="B312" s="779"/>
      <c r="C312" s="776"/>
      <c r="D312" s="101" t="s">
        <v>73</v>
      </c>
      <c r="E312" s="93">
        <f>E229</f>
        <v>0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"/>
    <row r="317" spans="1:18" ht="15" customHeight="1" x14ac:dyDescent="0.2">
      <c r="B317" s="97" t="s">
        <v>88</v>
      </c>
    </row>
    <row r="318" spans="1:18" ht="11.45" customHeight="1" x14ac:dyDescent="0.2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5" customHeight="1" x14ac:dyDescent="0.2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5" customHeight="1" x14ac:dyDescent="0.2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5" customHeight="1" x14ac:dyDescent="0.2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5" customHeight="1" x14ac:dyDescent="0.2">
      <c r="D323" t="s">
        <v>72</v>
      </c>
      <c r="E323" s="384">
        <v>0</v>
      </c>
      <c r="F323" s="89">
        <v>0</v>
      </c>
      <c r="G323" s="89">
        <v>0</v>
      </c>
      <c r="H323" s="384">
        <v>0</v>
      </c>
      <c r="I323" s="89">
        <v>0</v>
      </c>
      <c r="J323" s="89">
        <v>0</v>
      </c>
      <c r="K323" s="89">
        <v>0</v>
      </c>
      <c r="L323" s="89">
        <v>0</v>
      </c>
      <c r="M323" s="89">
        <v>0</v>
      </c>
      <c r="N323" s="89">
        <v>0</v>
      </c>
      <c r="O323" s="89">
        <v>0</v>
      </c>
      <c r="P323" s="89">
        <v>0</v>
      </c>
      <c r="Q323" s="89">
        <v>0</v>
      </c>
      <c r="R323" s="384">
        <v>0</v>
      </c>
    </row>
    <row r="324" spans="2:18" ht="12.75" customHeight="1" x14ac:dyDescent="0.2">
      <c r="D324" t="s">
        <v>81</v>
      </c>
      <c r="E324" s="384">
        <v>0</v>
      </c>
      <c r="F324" s="89">
        <v>0</v>
      </c>
      <c r="G324" s="89">
        <v>0</v>
      </c>
      <c r="H324" s="384">
        <v>0</v>
      </c>
      <c r="I324" s="89">
        <v>0</v>
      </c>
      <c r="J324" s="89">
        <v>0</v>
      </c>
      <c r="K324" s="89">
        <v>0</v>
      </c>
      <c r="L324" s="89">
        <v>0</v>
      </c>
      <c r="M324" s="89">
        <v>0</v>
      </c>
      <c r="N324" s="89">
        <v>0</v>
      </c>
      <c r="O324" s="89">
        <v>0</v>
      </c>
      <c r="P324" s="89">
        <v>0</v>
      </c>
      <c r="Q324" s="89">
        <v>0</v>
      </c>
      <c r="R324" s="384">
        <v>0</v>
      </c>
    </row>
    <row r="325" spans="2:18" ht="12.75" customHeight="1" x14ac:dyDescent="0.2">
      <c r="C325" t="s">
        <v>156</v>
      </c>
      <c r="D325" t="s">
        <v>70</v>
      </c>
      <c r="E325" s="384">
        <v>0</v>
      </c>
      <c r="F325" s="89">
        <v>0</v>
      </c>
      <c r="G325" s="89">
        <v>0</v>
      </c>
      <c r="H325" s="384">
        <v>0</v>
      </c>
      <c r="I325" s="89">
        <v>0</v>
      </c>
      <c r="J325" s="89">
        <v>0</v>
      </c>
      <c r="K325" s="89">
        <v>0</v>
      </c>
      <c r="L325" s="89">
        <v>0</v>
      </c>
      <c r="M325" s="89">
        <v>0</v>
      </c>
      <c r="N325" s="89">
        <v>0</v>
      </c>
      <c r="O325" s="89">
        <v>0</v>
      </c>
      <c r="P325" s="89">
        <v>0</v>
      </c>
      <c r="Q325" s="89">
        <v>0</v>
      </c>
      <c r="R325">
        <v>0</v>
      </c>
    </row>
    <row r="326" spans="2:18" s="286" customFormat="1" ht="12.75" customHeight="1" x14ac:dyDescent="0.2">
      <c r="B326" s="286" t="s">
        <v>155</v>
      </c>
      <c r="C326" s="286" t="s">
        <v>70</v>
      </c>
      <c r="E326" s="753">
        <v>0</v>
      </c>
      <c r="F326" s="229">
        <v>0</v>
      </c>
      <c r="G326" s="229">
        <v>0</v>
      </c>
      <c r="H326" s="753">
        <v>0</v>
      </c>
      <c r="I326" s="229">
        <v>0</v>
      </c>
      <c r="J326" s="229">
        <v>0</v>
      </c>
      <c r="K326" s="229">
        <v>0</v>
      </c>
      <c r="L326" s="229">
        <v>0</v>
      </c>
      <c r="M326" s="229">
        <v>0</v>
      </c>
      <c r="N326" s="229">
        <v>0</v>
      </c>
      <c r="O326" s="229">
        <v>0</v>
      </c>
      <c r="P326" s="229">
        <v>0</v>
      </c>
      <c r="Q326" s="229">
        <v>0</v>
      </c>
      <c r="R326" s="286">
        <v>0</v>
      </c>
    </row>
    <row r="327" spans="2:18" ht="12.75" customHeight="1" x14ac:dyDescent="0.2">
      <c r="D327" t="s">
        <v>72</v>
      </c>
      <c r="E327" s="371">
        <v>0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>
        <v>0</v>
      </c>
    </row>
    <row r="328" spans="2:18" ht="12.75" customHeight="1" x14ac:dyDescent="0.2">
      <c r="D328" t="s">
        <v>81</v>
      </c>
      <c r="E328" s="371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2:18" ht="12.75" customHeight="1" x14ac:dyDescent="0.2">
      <c r="C329" t="s">
        <v>115</v>
      </c>
      <c r="D329" t="s">
        <v>70</v>
      </c>
      <c r="E329" s="371">
        <v>0</v>
      </c>
      <c r="F329" s="90">
        <v>0</v>
      </c>
      <c r="G329" s="90">
        <v>0</v>
      </c>
      <c r="H329" s="90">
        <v>0</v>
      </c>
      <c r="I329" s="90">
        <v>0</v>
      </c>
      <c r="J329" s="90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0</v>
      </c>
      <c r="Q329" s="90">
        <v>0</v>
      </c>
      <c r="R329">
        <v>0</v>
      </c>
    </row>
    <row r="330" spans="2:18" ht="12.75" customHeight="1" x14ac:dyDescent="0.2">
      <c r="D330" t="s">
        <v>72</v>
      </c>
      <c r="E330" s="371">
        <v>0</v>
      </c>
      <c r="F330" s="90">
        <v>0</v>
      </c>
      <c r="G330" s="90">
        <v>0</v>
      </c>
      <c r="H330" s="90">
        <v>0</v>
      </c>
      <c r="I330" s="90">
        <v>0</v>
      </c>
      <c r="J330" s="90">
        <v>0</v>
      </c>
      <c r="K330" s="90">
        <v>0</v>
      </c>
      <c r="L330" s="90">
        <v>0</v>
      </c>
      <c r="M330" s="90">
        <v>0</v>
      </c>
      <c r="N330" s="90">
        <v>0</v>
      </c>
      <c r="O330" s="90">
        <v>0</v>
      </c>
      <c r="P330" s="90">
        <v>0</v>
      </c>
      <c r="Q330" s="90">
        <v>0</v>
      </c>
      <c r="R330">
        <v>0</v>
      </c>
    </row>
    <row r="331" spans="2:18" ht="12.75" customHeight="1" x14ac:dyDescent="0.2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">
      <c r="C332" t="s">
        <v>116</v>
      </c>
      <c r="D332" t="s">
        <v>70</v>
      </c>
      <c r="E332" s="371">
        <v>0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>
        <v>0</v>
      </c>
    </row>
    <row r="333" spans="2:18" ht="12.75" customHeight="1" x14ac:dyDescent="0.2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">
      <c r="B339" s="89"/>
      <c r="C339" s="89"/>
      <c r="D339" t="s">
        <v>72</v>
      </c>
      <c r="E339" s="371">
        <v>0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>
        <v>0</v>
      </c>
    </row>
    <row r="340" spans="2:18" ht="12.75" customHeight="1" x14ac:dyDescent="0.2">
      <c r="B340" s="89"/>
      <c r="C340" s="89"/>
      <c r="D340" t="s">
        <v>81</v>
      </c>
      <c r="E340" s="371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>
        <v>0</v>
      </c>
    </row>
    <row r="341" spans="2:18" ht="12.75" customHeight="1" x14ac:dyDescent="0.2">
      <c r="B341" s="89"/>
      <c r="C341" s="89" t="s">
        <v>118</v>
      </c>
      <c r="D341" t="s">
        <v>70</v>
      </c>
      <c r="E341" s="371">
        <v>0</v>
      </c>
      <c r="F341" s="90">
        <v>0</v>
      </c>
      <c r="G341" s="90">
        <v>0</v>
      </c>
      <c r="H341" s="90">
        <v>0</v>
      </c>
      <c r="I341" s="90">
        <v>0</v>
      </c>
      <c r="J341" s="90">
        <v>0</v>
      </c>
      <c r="K341" s="90">
        <v>0</v>
      </c>
      <c r="L341" s="90">
        <v>0</v>
      </c>
      <c r="M341" s="90">
        <v>0</v>
      </c>
      <c r="N341" s="90">
        <v>0</v>
      </c>
      <c r="O341" s="90">
        <v>0</v>
      </c>
      <c r="P341" s="90">
        <v>0</v>
      </c>
      <c r="Q341" s="90">
        <v>0</v>
      </c>
      <c r="R341">
        <v>0</v>
      </c>
    </row>
    <row r="342" spans="2:18" ht="12.75" customHeight="1" x14ac:dyDescent="0.2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">
      <c r="B348" s="224" t="s">
        <v>120</v>
      </c>
      <c r="C348" s="223" t="s">
        <v>70</v>
      </c>
      <c r="D348" s="223"/>
      <c r="E348" s="225">
        <v>0</v>
      </c>
      <c r="F348" s="225">
        <v>0</v>
      </c>
      <c r="G348" s="225">
        <v>0</v>
      </c>
      <c r="H348" s="225">
        <v>0</v>
      </c>
      <c r="I348" s="225">
        <v>0</v>
      </c>
      <c r="J348" s="225">
        <v>0</v>
      </c>
      <c r="K348" s="225">
        <v>0</v>
      </c>
      <c r="L348" s="225">
        <v>0</v>
      </c>
      <c r="M348" s="225">
        <v>0</v>
      </c>
      <c r="N348" s="225">
        <v>0</v>
      </c>
      <c r="O348" s="225">
        <v>0</v>
      </c>
      <c r="P348" s="225">
        <v>0</v>
      </c>
      <c r="Q348" s="225">
        <v>0</v>
      </c>
      <c r="R348" s="224">
        <v>0</v>
      </c>
    </row>
    <row r="349" spans="2:18" ht="12.75" customHeight="1" x14ac:dyDescent="0.2">
      <c r="C349" s="89"/>
      <c r="D349" s="89" t="s">
        <v>72</v>
      </c>
      <c r="E349" s="371">
        <v>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>
        <v>0</v>
      </c>
    </row>
    <row r="350" spans="2:18" ht="12.75" customHeight="1" x14ac:dyDescent="0.2">
      <c r="C350" s="89"/>
      <c r="D350" s="89" t="s">
        <v>81</v>
      </c>
      <c r="E350" s="371">
        <v>0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>
        <v>0</v>
      </c>
    </row>
    <row r="351" spans="2:18" ht="12.75" customHeight="1" x14ac:dyDescent="0.2">
      <c r="C351" s="89" t="s">
        <v>82</v>
      </c>
      <c r="D351" s="89" t="s">
        <v>70</v>
      </c>
      <c r="E351" s="371">
        <v>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>
        <v>0</v>
      </c>
    </row>
    <row r="352" spans="2:18" ht="12.75" customHeight="1" x14ac:dyDescent="0.2">
      <c r="C352" s="89"/>
      <c r="D352" s="89" t="s">
        <v>72</v>
      </c>
      <c r="E352" s="371">
        <v>0</v>
      </c>
      <c r="F352" s="90">
        <v>0</v>
      </c>
      <c r="G352" s="90">
        <v>0</v>
      </c>
      <c r="H352" s="90">
        <v>0</v>
      </c>
      <c r="I352" s="90">
        <v>0</v>
      </c>
      <c r="J352" s="90">
        <v>0</v>
      </c>
      <c r="K352" s="90">
        <v>0</v>
      </c>
      <c r="L352" s="90">
        <v>0</v>
      </c>
      <c r="M352" s="90">
        <v>0</v>
      </c>
      <c r="N352" s="90">
        <v>0</v>
      </c>
      <c r="O352" s="90">
        <v>0</v>
      </c>
      <c r="P352" s="90">
        <v>0</v>
      </c>
      <c r="Q352" s="90">
        <v>0</v>
      </c>
      <c r="R352">
        <v>0</v>
      </c>
    </row>
    <row r="353" spans="1:18" ht="12.75" customHeight="1" x14ac:dyDescent="0.2">
      <c r="C353" s="89"/>
      <c r="D353" s="89" t="s">
        <v>81</v>
      </c>
      <c r="E353" s="371">
        <v>0</v>
      </c>
      <c r="F353" s="90">
        <v>0</v>
      </c>
      <c r="G353" s="90">
        <v>0</v>
      </c>
      <c r="H353" s="90">
        <v>0</v>
      </c>
      <c r="I353" s="90">
        <v>0</v>
      </c>
      <c r="J353" s="90">
        <v>0</v>
      </c>
      <c r="K353" s="90">
        <v>0</v>
      </c>
      <c r="L353" s="90">
        <v>0</v>
      </c>
      <c r="M353" s="90">
        <v>0</v>
      </c>
      <c r="N353" s="90">
        <v>0</v>
      </c>
      <c r="O353" s="90">
        <v>0</v>
      </c>
      <c r="P353" s="90">
        <v>0</v>
      </c>
      <c r="Q353" s="90">
        <v>0</v>
      </c>
      <c r="R353">
        <v>0</v>
      </c>
    </row>
    <row r="354" spans="1:18" ht="12.75" customHeight="1" x14ac:dyDescent="0.2">
      <c r="C354" s="89" t="s">
        <v>86</v>
      </c>
      <c r="D354" s="89" t="s">
        <v>70</v>
      </c>
      <c r="E354" s="371">
        <v>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>
        <v>0</v>
      </c>
    </row>
    <row r="355" spans="1:18" ht="12.75" customHeight="1" x14ac:dyDescent="0.2">
      <c r="C355" s="89"/>
      <c r="D355" s="89" t="s">
        <v>72</v>
      </c>
      <c r="E355" s="371">
        <v>0</v>
      </c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>
        <v>0</v>
      </c>
    </row>
    <row r="356" spans="1:18" ht="12.75" customHeight="1" x14ac:dyDescent="0.2">
      <c r="C356" s="89"/>
      <c r="D356" s="89" t="s">
        <v>81</v>
      </c>
      <c r="E356" s="371">
        <v>0</v>
      </c>
      <c r="F356" s="90">
        <v>0</v>
      </c>
      <c r="G356" s="90">
        <v>0</v>
      </c>
      <c r="H356" s="90">
        <v>0</v>
      </c>
      <c r="I356" s="90">
        <v>0</v>
      </c>
      <c r="J356" s="90">
        <v>0</v>
      </c>
      <c r="K356" s="90">
        <v>0</v>
      </c>
      <c r="L356" s="90">
        <v>0</v>
      </c>
      <c r="M356" s="90">
        <v>0</v>
      </c>
      <c r="N356" s="90">
        <v>0</v>
      </c>
      <c r="O356" s="90">
        <v>0</v>
      </c>
      <c r="P356" s="90">
        <v>0</v>
      </c>
      <c r="Q356" s="90">
        <v>0</v>
      </c>
      <c r="R356">
        <v>0</v>
      </c>
    </row>
    <row r="357" spans="1:18" ht="12.75" customHeight="1" x14ac:dyDescent="0.2">
      <c r="A357" s="89"/>
      <c r="B357" s="89"/>
      <c r="C357" t="s">
        <v>87</v>
      </c>
      <c r="D357" t="s">
        <v>70</v>
      </c>
      <c r="E357" s="90">
        <v>0</v>
      </c>
      <c r="F357" s="90">
        <v>0</v>
      </c>
      <c r="G357" s="90">
        <v>0</v>
      </c>
      <c r="H357" s="90">
        <v>0</v>
      </c>
      <c r="I357" s="90">
        <v>0</v>
      </c>
      <c r="J357" s="90">
        <v>0</v>
      </c>
      <c r="K357" s="90">
        <v>0</v>
      </c>
      <c r="L357" s="90">
        <v>0</v>
      </c>
      <c r="M357" s="90">
        <v>0</v>
      </c>
      <c r="N357" s="90">
        <v>0</v>
      </c>
      <c r="O357" s="90">
        <v>0</v>
      </c>
      <c r="P357" s="90">
        <v>0</v>
      </c>
      <c r="Q357" s="90">
        <v>0</v>
      </c>
      <c r="R357">
        <v>0</v>
      </c>
    </row>
    <row r="358" spans="1:18" s="94" customFormat="1" ht="12.75" customHeight="1" x14ac:dyDescent="0.2">
      <c r="B358" s="101" t="s">
        <v>119</v>
      </c>
      <c r="C358" s="101" t="s">
        <v>70</v>
      </c>
      <c r="E358" s="93">
        <v>0</v>
      </c>
      <c r="F358" s="93">
        <v>0</v>
      </c>
      <c r="G358" s="93">
        <v>0</v>
      </c>
      <c r="H358" s="93">
        <v>0</v>
      </c>
      <c r="I358" s="93">
        <v>0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4">
        <v>0</v>
      </c>
    </row>
    <row r="359" spans="1:18" s="226" customFormat="1" ht="12.75" customHeight="1" x14ac:dyDescent="0.2">
      <c r="A359" s="98" t="s">
        <v>78</v>
      </c>
      <c r="B359" s="98" t="s">
        <v>70</v>
      </c>
      <c r="E359" s="100">
        <v>0</v>
      </c>
      <c r="F359" s="100">
        <v>0</v>
      </c>
      <c r="G359" s="100">
        <v>0</v>
      </c>
      <c r="H359" s="100">
        <v>0</v>
      </c>
      <c r="I359" s="100">
        <v>0</v>
      </c>
      <c r="J359" s="100">
        <v>0</v>
      </c>
      <c r="K359" s="100">
        <v>0</v>
      </c>
      <c r="L359" s="100">
        <v>0</v>
      </c>
      <c r="M359" s="100">
        <v>0</v>
      </c>
      <c r="N359" s="100">
        <v>0</v>
      </c>
      <c r="O359" s="100">
        <v>0</v>
      </c>
      <c r="P359" s="100">
        <v>0</v>
      </c>
      <c r="Q359" s="100">
        <v>0</v>
      </c>
      <c r="R359" s="226">
        <v>0</v>
      </c>
    </row>
    <row r="360" spans="1:18" ht="12.75" customHeight="1" x14ac:dyDescent="0.2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">
      <c r="B363" s="89"/>
      <c r="C363" s="89"/>
      <c r="D363" t="s">
        <v>73</v>
      </c>
      <c r="E363" s="371">
        <v>0</v>
      </c>
      <c r="F363" s="90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>
        <v>0</v>
      </c>
    </row>
    <row r="364" spans="1:18" ht="12.75" customHeight="1" x14ac:dyDescent="0.2">
      <c r="B364" s="89"/>
      <c r="C364" s="89" t="s">
        <v>156</v>
      </c>
      <c r="D364" t="s">
        <v>70</v>
      </c>
      <c r="E364" s="371">
        <v>0</v>
      </c>
      <c r="F364" s="90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>
        <v>0</v>
      </c>
    </row>
    <row r="365" spans="1:18" s="286" customFormat="1" ht="12.75" customHeight="1" x14ac:dyDescent="0.2">
      <c r="B365" s="229" t="s">
        <v>155</v>
      </c>
      <c r="C365" s="229" t="s">
        <v>70</v>
      </c>
      <c r="E365" s="752">
        <v>0</v>
      </c>
      <c r="F365" s="230">
        <v>0</v>
      </c>
      <c r="G365" s="230">
        <v>0</v>
      </c>
      <c r="H365" s="230">
        <v>0</v>
      </c>
      <c r="I365" s="230">
        <v>0</v>
      </c>
      <c r="J365" s="230">
        <v>0</v>
      </c>
      <c r="K365" s="230">
        <v>0</v>
      </c>
      <c r="L365" s="230">
        <v>0</v>
      </c>
      <c r="M365" s="230">
        <v>0</v>
      </c>
      <c r="N365" s="230">
        <v>0</v>
      </c>
      <c r="O365" s="230">
        <v>0</v>
      </c>
      <c r="P365" s="230">
        <v>0</v>
      </c>
      <c r="Q365" s="230">
        <v>0</v>
      </c>
      <c r="R365" s="286">
        <v>0</v>
      </c>
    </row>
    <row r="366" spans="1:18" ht="12.75" customHeight="1" x14ac:dyDescent="0.2">
      <c r="B366" s="89"/>
      <c r="C366" s="89"/>
      <c r="D366" t="s">
        <v>73</v>
      </c>
      <c r="E366" s="371">
        <v>0</v>
      </c>
      <c r="F366" s="90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>
        <v>0</v>
      </c>
    </row>
    <row r="367" spans="1:18" ht="12.75" customHeight="1" x14ac:dyDescent="0.2">
      <c r="B367" s="89"/>
      <c r="C367" s="89" t="s">
        <v>115</v>
      </c>
      <c r="D367" t="s">
        <v>70</v>
      </c>
      <c r="E367" s="371">
        <v>0</v>
      </c>
      <c r="F367" s="90">
        <v>0</v>
      </c>
      <c r="G367" s="90">
        <v>0</v>
      </c>
      <c r="H367" s="90">
        <v>0</v>
      </c>
      <c r="I367" s="90">
        <v>0</v>
      </c>
      <c r="J367" s="90">
        <v>0</v>
      </c>
      <c r="K367" s="90">
        <v>0</v>
      </c>
      <c r="L367" s="90">
        <v>0</v>
      </c>
      <c r="M367" s="90">
        <v>0</v>
      </c>
      <c r="N367" s="90">
        <v>0</v>
      </c>
      <c r="O367" s="90">
        <v>0</v>
      </c>
      <c r="P367" s="90">
        <v>0</v>
      </c>
      <c r="Q367" s="90">
        <v>0</v>
      </c>
      <c r="R367">
        <v>0</v>
      </c>
    </row>
    <row r="368" spans="1:18" ht="12.75" customHeight="1" x14ac:dyDescent="0.2">
      <c r="B368" s="89"/>
      <c r="C368" s="89"/>
      <c r="D368" t="s">
        <v>73</v>
      </c>
      <c r="E368" s="371">
        <v>0</v>
      </c>
      <c r="F368" s="90">
        <v>0</v>
      </c>
      <c r="G368" s="90">
        <v>0</v>
      </c>
      <c r="H368" s="90">
        <v>0</v>
      </c>
      <c r="I368" s="90">
        <v>0</v>
      </c>
      <c r="J368" s="90">
        <v>0</v>
      </c>
      <c r="K368" s="90">
        <v>0</v>
      </c>
      <c r="L368" s="90">
        <v>0</v>
      </c>
      <c r="M368" s="90">
        <v>0</v>
      </c>
      <c r="N368" s="90">
        <v>0</v>
      </c>
      <c r="O368" s="90">
        <v>0</v>
      </c>
      <c r="P368" s="90">
        <v>0</v>
      </c>
      <c r="Q368" s="90">
        <v>0</v>
      </c>
      <c r="R368">
        <v>0</v>
      </c>
    </row>
    <row r="369" spans="2:18" ht="12.75" customHeight="1" x14ac:dyDescent="0.2">
      <c r="B369" s="89"/>
      <c r="C369" s="89" t="s">
        <v>116</v>
      </c>
      <c r="D369" t="s">
        <v>70</v>
      </c>
      <c r="E369" s="371">
        <v>0</v>
      </c>
      <c r="F369" s="90">
        <v>0</v>
      </c>
      <c r="G369" s="90">
        <v>0</v>
      </c>
      <c r="H369" s="90">
        <v>0</v>
      </c>
      <c r="I369" s="90">
        <v>0</v>
      </c>
      <c r="J369" s="90">
        <v>0</v>
      </c>
      <c r="K369" s="90">
        <v>0</v>
      </c>
      <c r="L369" s="90">
        <v>0</v>
      </c>
      <c r="M369" s="90">
        <v>0</v>
      </c>
      <c r="N369" s="90">
        <v>0</v>
      </c>
      <c r="O369" s="90">
        <v>0</v>
      </c>
      <c r="P369" s="90">
        <v>0</v>
      </c>
      <c r="Q369" s="90">
        <v>0</v>
      </c>
      <c r="R369">
        <v>0</v>
      </c>
    </row>
    <row r="370" spans="2:18" ht="12.75" customHeight="1" x14ac:dyDescent="0.2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">
      <c r="B374" s="89"/>
      <c r="C374" s="89"/>
      <c r="D374" t="s">
        <v>73</v>
      </c>
      <c r="E374" s="371">
        <v>0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0</v>
      </c>
      <c r="R374">
        <v>0</v>
      </c>
    </row>
    <row r="375" spans="2:18" ht="12.75" customHeight="1" x14ac:dyDescent="0.2">
      <c r="B375" s="89"/>
      <c r="C375" s="89" t="s">
        <v>118</v>
      </c>
      <c r="D375" t="s">
        <v>70</v>
      </c>
      <c r="E375" s="371">
        <v>0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0</v>
      </c>
      <c r="R375">
        <v>0</v>
      </c>
    </row>
    <row r="376" spans="2:18" ht="12.75" customHeight="1" x14ac:dyDescent="0.2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">
      <c r="B380" s="224" t="s">
        <v>120</v>
      </c>
      <c r="C380" s="224" t="s">
        <v>70</v>
      </c>
      <c r="D380" s="223"/>
      <c r="E380" s="225">
        <v>0</v>
      </c>
      <c r="F380" s="225">
        <v>0</v>
      </c>
      <c r="G380" s="225">
        <v>0</v>
      </c>
      <c r="H380" s="225">
        <v>0</v>
      </c>
      <c r="I380" s="225">
        <v>0</v>
      </c>
      <c r="J380" s="225">
        <v>0</v>
      </c>
      <c r="K380" s="225">
        <v>0</v>
      </c>
      <c r="L380" s="225">
        <v>0</v>
      </c>
      <c r="M380" s="225">
        <v>0</v>
      </c>
      <c r="N380" s="225">
        <v>0</v>
      </c>
      <c r="O380" s="225">
        <v>0</v>
      </c>
      <c r="P380" s="225">
        <v>0</v>
      </c>
      <c r="Q380" s="225">
        <v>0</v>
      </c>
      <c r="R380" s="224">
        <v>0</v>
      </c>
    </row>
    <row r="381" spans="2:18" ht="12.75" customHeight="1" x14ac:dyDescent="0.2">
      <c r="D381" s="89" t="s">
        <v>73</v>
      </c>
      <c r="E381" s="371">
        <v>0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>
        <v>0</v>
      </c>
    </row>
    <row r="382" spans="2:18" ht="12.75" customHeight="1" x14ac:dyDescent="0.2">
      <c r="C382" t="s">
        <v>82</v>
      </c>
      <c r="D382" s="89" t="s">
        <v>70</v>
      </c>
      <c r="E382" s="371">
        <v>0</v>
      </c>
      <c r="F382" s="90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>
        <v>0</v>
      </c>
    </row>
    <row r="383" spans="2:18" ht="12.75" customHeight="1" x14ac:dyDescent="0.2">
      <c r="D383" s="89" t="s">
        <v>73</v>
      </c>
      <c r="E383" s="371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  <c r="P383" s="90">
        <v>0</v>
      </c>
      <c r="Q383" s="90">
        <v>0</v>
      </c>
      <c r="R383">
        <v>0</v>
      </c>
    </row>
    <row r="384" spans="2:18" ht="12.75" customHeight="1" x14ac:dyDescent="0.2">
      <c r="C384" t="s">
        <v>86</v>
      </c>
      <c r="D384" s="89" t="s">
        <v>70</v>
      </c>
      <c r="E384" s="371">
        <v>0</v>
      </c>
      <c r="F384" s="90">
        <v>0</v>
      </c>
      <c r="G384" s="90">
        <v>0</v>
      </c>
      <c r="H384" s="90">
        <v>0</v>
      </c>
      <c r="I384" s="90">
        <v>0</v>
      </c>
      <c r="J384" s="90">
        <v>0</v>
      </c>
      <c r="K384" s="90">
        <v>0</v>
      </c>
      <c r="L384" s="90">
        <v>0</v>
      </c>
      <c r="M384" s="90">
        <v>0</v>
      </c>
      <c r="N384" s="90">
        <v>0</v>
      </c>
      <c r="O384" s="90">
        <v>0</v>
      </c>
      <c r="P384" s="90">
        <v>0</v>
      </c>
      <c r="Q384" s="90">
        <v>0</v>
      </c>
      <c r="R384">
        <v>0</v>
      </c>
    </row>
    <row r="385" spans="1:18" ht="12.75" customHeight="1" x14ac:dyDescent="0.2">
      <c r="C385" s="89"/>
      <c r="D385" s="89" t="s">
        <v>73</v>
      </c>
      <c r="E385" s="90">
        <v>0</v>
      </c>
      <c r="F385" s="90">
        <v>0</v>
      </c>
      <c r="G385" s="90">
        <v>0</v>
      </c>
      <c r="H385" s="90">
        <v>0</v>
      </c>
      <c r="I385" s="90">
        <v>0</v>
      </c>
      <c r="J385" s="90">
        <v>0</v>
      </c>
      <c r="K385" s="90">
        <v>0</v>
      </c>
      <c r="L385" s="90">
        <v>0</v>
      </c>
      <c r="M385" s="90">
        <v>0</v>
      </c>
      <c r="N385" s="90">
        <v>0</v>
      </c>
      <c r="O385" s="90">
        <v>0</v>
      </c>
      <c r="P385" s="90">
        <v>0</v>
      </c>
      <c r="Q385" s="90">
        <v>0</v>
      </c>
      <c r="R385">
        <v>0</v>
      </c>
    </row>
    <row r="386" spans="1:18" ht="12.75" customHeight="1" x14ac:dyDescent="0.2">
      <c r="B386" s="89"/>
      <c r="C386" s="89" t="s">
        <v>87</v>
      </c>
      <c r="D386" t="s">
        <v>70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1:18" s="94" customFormat="1" ht="12.75" customHeight="1" x14ac:dyDescent="0.2">
      <c r="B387" s="101" t="s">
        <v>119</v>
      </c>
      <c r="C387" s="101" t="s">
        <v>70</v>
      </c>
      <c r="E387" s="93">
        <v>0</v>
      </c>
      <c r="F387" s="93">
        <v>0</v>
      </c>
      <c r="G387" s="93">
        <v>0</v>
      </c>
      <c r="H387" s="93">
        <v>0</v>
      </c>
      <c r="I387" s="93">
        <v>0</v>
      </c>
      <c r="J387" s="93">
        <v>0</v>
      </c>
      <c r="K387" s="93">
        <v>0</v>
      </c>
      <c r="L387" s="93">
        <v>0</v>
      </c>
      <c r="M387" s="93">
        <v>0</v>
      </c>
      <c r="N387" s="93">
        <v>0</v>
      </c>
      <c r="O387" s="93">
        <v>0</v>
      </c>
      <c r="P387" s="93">
        <v>0</v>
      </c>
      <c r="Q387" s="93">
        <v>0</v>
      </c>
      <c r="R387" s="94">
        <v>0</v>
      </c>
    </row>
    <row r="388" spans="1:18" s="226" customFormat="1" ht="12.75" customHeight="1" x14ac:dyDescent="0.2">
      <c r="A388" s="98" t="s">
        <v>79</v>
      </c>
      <c r="B388" s="98" t="s">
        <v>70</v>
      </c>
      <c r="E388" s="100">
        <v>0</v>
      </c>
      <c r="F388" s="100">
        <v>0</v>
      </c>
      <c r="G388" s="100">
        <v>0</v>
      </c>
      <c r="H388" s="100">
        <v>0</v>
      </c>
      <c r="I388" s="100">
        <v>0</v>
      </c>
      <c r="J388" s="100">
        <v>0</v>
      </c>
      <c r="K388" s="100">
        <v>0</v>
      </c>
      <c r="L388" s="100">
        <v>0</v>
      </c>
      <c r="M388" s="100">
        <v>0</v>
      </c>
      <c r="N388" s="100">
        <v>0</v>
      </c>
      <c r="O388" s="100">
        <v>0</v>
      </c>
      <c r="P388" s="100">
        <v>0</v>
      </c>
      <c r="Q388" s="100">
        <v>0</v>
      </c>
      <c r="R388" s="226">
        <v>0</v>
      </c>
    </row>
    <row r="389" spans="1:18" ht="12.75" customHeight="1" x14ac:dyDescent="0.2">
      <c r="A389" s="89" t="s">
        <v>70</v>
      </c>
      <c r="E389" s="90">
        <v>0</v>
      </c>
      <c r="F389" s="90">
        <v>0</v>
      </c>
      <c r="G389" s="90">
        <v>0</v>
      </c>
      <c r="H389" s="90">
        <v>0</v>
      </c>
      <c r="I389" s="90">
        <v>0</v>
      </c>
      <c r="J389" s="90">
        <v>0</v>
      </c>
      <c r="K389" s="90">
        <v>0</v>
      </c>
      <c r="L389" s="90">
        <v>0</v>
      </c>
      <c r="M389" s="90">
        <v>0</v>
      </c>
      <c r="N389" s="90">
        <v>0</v>
      </c>
      <c r="O389" s="90">
        <v>0</v>
      </c>
      <c r="P389" s="90">
        <v>0</v>
      </c>
      <c r="Q389" s="90">
        <v>0</v>
      </c>
      <c r="R389">
        <v>0</v>
      </c>
    </row>
    <row r="390" spans="1:18" ht="12.75" customHeight="1" x14ac:dyDescent="0.2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">
      <c r="B423" s="779" t="s">
        <v>2</v>
      </c>
      <c r="C423" s="776" t="s">
        <v>132</v>
      </c>
      <c r="D423" s="98" t="s">
        <v>70</v>
      </c>
      <c r="E423" s="100">
        <f>E359+E388-K359</f>
        <v>0</v>
      </c>
      <c r="F423" s="100">
        <f>F359</f>
        <v>0</v>
      </c>
      <c r="G423" s="100">
        <f t="shared" ref="G423:R423" si="10">G359</f>
        <v>0</v>
      </c>
      <c r="H423" s="100">
        <f t="shared" si="10"/>
        <v>0</v>
      </c>
      <c r="I423" s="100">
        <f t="shared" si="10"/>
        <v>0</v>
      </c>
      <c r="J423" s="100">
        <f t="shared" si="10"/>
        <v>0</v>
      </c>
      <c r="K423" s="100">
        <f t="shared" si="10"/>
        <v>0</v>
      </c>
      <c r="L423" s="100">
        <f t="shared" si="10"/>
        <v>0</v>
      </c>
      <c r="M423" s="100">
        <f t="shared" si="10"/>
        <v>0</v>
      </c>
      <c r="N423" s="100">
        <f t="shared" si="10"/>
        <v>0</v>
      </c>
      <c r="O423" s="100">
        <f t="shared" si="10"/>
        <v>0</v>
      </c>
      <c r="P423" s="100">
        <f t="shared" si="10"/>
        <v>0</v>
      </c>
      <c r="Q423" s="100">
        <f t="shared" si="10"/>
        <v>0</v>
      </c>
      <c r="R423" s="100">
        <f t="shared" si="10"/>
        <v>0</v>
      </c>
    </row>
    <row r="424" spans="1:18" ht="12.75" customHeight="1" x14ac:dyDescent="0.2">
      <c r="B424" s="779"/>
      <c r="C424" s="776"/>
      <c r="D424" s="98" t="s">
        <v>73</v>
      </c>
      <c r="E424" s="100">
        <f>E388</f>
        <v>0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">
      <c r="B426" s="779" t="s">
        <v>160</v>
      </c>
      <c r="C426" s="776" t="s">
        <v>132</v>
      </c>
      <c r="D426" s="223" t="s">
        <v>70</v>
      </c>
      <c r="E426" s="225">
        <f>E380+E362+E348+E322-K322-K348</f>
        <v>0</v>
      </c>
      <c r="F426" s="225">
        <f>F348+F322</f>
        <v>0</v>
      </c>
      <c r="G426" s="225">
        <f t="shared" ref="G426:R426" si="11">G348+G322</f>
        <v>0</v>
      </c>
      <c r="H426" s="225">
        <f t="shared" si="11"/>
        <v>0</v>
      </c>
      <c r="I426" s="225">
        <f t="shared" si="11"/>
        <v>0</v>
      </c>
      <c r="J426" s="225">
        <f t="shared" si="11"/>
        <v>0</v>
      </c>
      <c r="K426" s="225">
        <f t="shared" si="11"/>
        <v>0</v>
      </c>
      <c r="L426" s="225">
        <f t="shared" si="11"/>
        <v>0</v>
      </c>
      <c r="M426" s="225">
        <f t="shared" si="11"/>
        <v>0</v>
      </c>
      <c r="N426" s="225">
        <f t="shared" si="11"/>
        <v>0</v>
      </c>
      <c r="O426" s="225">
        <f t="shared" si="11"/>
        <v>0</v>
      </c>
      <c r="P426" s="225">
        <f t="shared" si="11"/>
        <v>0</v>
      </c>
      <c r="Q426" s="225">
        <f t="shared" si="11"/>
        <v>0</v>
      </c>
      <c r="R426" s="225">
        <f t="shared" si="11"/>
        <v>0</v>
      </c>
    </row>
    <row r="427" spans="1:18" ht="12.75" customHeight="1" x14ac:dyDescent="0.2">
      <c r="B427" s="779"/>
      <c r="C427" s="776"/>
      <c r="D427" s="223" t="s">
        <v>73</v>
      </c>
      <c r="E427" s="225">
        <f>E380+E362</f>
        <v>0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">
      <c r="B429" s="779" t="s">
        <v>155</v>
      </c>
      <c r="C429" s="776" t="s">
        <v>132</v>
      </c>
      <c r="D429" s="221" t="s">
        <v>70</v>
      </c>
      <c r="E429" s="222">
        <f>E365+E326-K326</f>
        <v>0</v>
      </c>
      <c r="F429" s="222">
        <f t="shared" ref="F429:R429" si="12">F326</f>
        <v>0</v>
      </c>
      <c r="G429" s="222">
        <f t="shared" si="12"/>
        <v>0</v>
      </c>
      <c r="H429" s="222">
        <f t="shared" si="12"/>
        <v>0</v>
      </c>
      <c r="I429" s="222">
        <f t="shared" si="12"/>
        <v>0</v>
      </c>
      <c r="J429" s="222">
        <f t="shared" si="12"/>
        <v>0</v>
      </c>
      <c r="K429" s="222">
        <f t="shared" si="12"/>
        <v>0</v>
      </c>
      <c r="L429" s="222">
        <f t="shared" si="12"/>
        <v>0</v>
      </c>
      <c r="M429" s="222">
        <f t="shared" si="12"/>
        <v>0</v>
      </c>
      <c r="N429" s="222">
        <f t="shared" si="12"/>
        <v>0</v>
      </c>
      <c r="O429" s="222">
        <f t="shared" si="12"/>
        <v>0</v>
      </c>
      <c r="P429" s="222">
        <f t="shared" si="12"/>
        <v>0</v>
      </c>
      <c r="Q429" s="222">
        <f t="shared" si="12"/>
        <v>0</v>
      </c>
      <c r="R429" s="222">
        <f t="shared" si="12"/>
        <v>0</v>
      </c>
    </row>
    <row r="430" spans="1:18" ht="12.75" customHeight="1" x14ac:dyDescent="0.2">
      <c r="B430" s="779"/>
      <c r="C430" s="776"/>
      <c r="D430" s="221" t="s">
        <v>73</v>
      </c>
      <c r="E430" s="222">
        <f>E365</f>
        <v>0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">
      <c r="B432" s="777" t="s">
        <v>326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0</v>
      </c>
      <c r="F435" s="93">
        <f t="shared" ref="F435:R435" si="13">F358</f>
        <v>0</v>
      </c>
      <c r="G435" s="93">
        <f t="shared" si="13"/>
        <v>0</v>
      </c>
      <c r="H435" s="93">
        <f t="shared" si="13"/>
        <v>0</v>
      </c>
      <c r="I435" s="93">
        <f t="shared" si="13"/>
        <v>0</v>
      </c>
      <c r="J435" s="93">
        <f t="shared" si="13"/>
        <v>0</v>
      </c>
      <c r="K435" s="93">
        <f t="shared" si="13"/>
        <v>0</v>
      </c>
      <c r="L435" s="93">
        <f t="shared" si="13"/>
        <v>0</v>
      </c>
      <c r="M435" s="93">
        <f t="shared" si="13"/>
        <v>0</v>
      </c>
      <c r="N435" s="93">
        <f t="shared" si="13"/>
        <v>0</v>
      </c>
      <c r="O435" s="93">
        <f t="shared" si="13"/>
        <v>0</v>
      </c>
      <c r="P435" s="93">
        <f t="shared" si="13"/>
        <v>0</v>
      </c>
      <c r="Q435" s="93">
        <f t="shared" si="13"/>
        <v>0</v>
      </c>
      <c r="R435" s="93">
        <f t="shared" si="13"/>
        <v>0</v>
      </c>
    </row>
    <row r="436" spans="1:18" ht="12.75" customHeight="1" x14ac:dyDescent="0.2">
      <c r="B436" s="779"/>
      <c r="C436" s="776"/>
      <c r="D436" s="101" t="s">
        <v>73</v>
      </c>
      <c r="E436" s="93">
        <f>E387</f>
        <v>0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"/>
    <row r="441" spans="1:18" x14ac:dyDescent="0.2">
      <c r="B441" s="97" t="s">
        <v>93</v>
      </c>
    </row>
    <row r="442" spans="1:18" x14ac:dyDescent="0.2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5" customHeight="1" x14ac:dyDescent="0.2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5" customHeight="1" x14ac:dyDescent="0.2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5" customHeight="1" x14ac:dyDescent="0.2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">
      <c r="D447" s="89" t="s">
        <v>72</v>
      </c>
      <c r="E447" s="90">
        <v>0</v>
      </c>
      <c r="F447" s="90">
        <v>0</v>
      </c>
      <c r="G447" s="90">
        <v>0</v>
      </c>
      <c r="H447" s="90">
        <v>0</v>
      </c>
      <c r="I447" s="90">
        <v>0</v>
      </c>
      <c r="J447" s="90">
        <v>0</v>
      </c>
      <c r="K447" s="90">
        <v>0</v>
      </c>
      <c r="L447" s="90">
        <v>0</v>
      </c>
      <c r="M447" s="90">
        <v>0</v>
      </c>
      <c r="N447" s="90">
        <v>0</v>
      </c>
      <c r="O447" s="90">
        <v>0</v>
      </c>
      <c r="P447" s="90">
        <v>0</v>
      </c>
      <c r="Q447" s="90">
        <v>0</v>
      </c>
      <c r="R447">
        <v>0</v>
      </c>
    </row>
    <row r="448" spans="1:18" ht="12.75" customHeight="1" x14ac:dyDescent="0.2">
      <c r="D448" s="89" t="s">
        <v>81</v>
      </c>
      <c r="E448" s="90">
        <v>0</v>
      </c>
      <c r="F448" s="90">
        <v>0</v>
      </c>
      <c r="G448" s="90">
        <v>0</v>
      </c>
      <c r="H448" s="90">
        <v>0</v>
      </c>
      <c r="I448" s="90">
        <v>0</v>
      </c>
      <c r="J448" s="90">
        <v>0</v>
      </c>
      <c r="K448" s="90">
        <v>0</v>
      </c>
      <c r="L448" s="90">
        <v>0</v>
      </c>
      <c r="M448" s="90">
        <v>0</v>
      </c>
      <c r="N448" s="90">
        <v>0</v>
      </c>
      <c r="O448" s="90">
        <v>0</v>
      </c>
      <c r="P448" s="90">
        <v>0</v>
      </c>
      <c r="Q448" s="90">
        <v>0</v>
      </c>
      <c r="R448">
        <v>0</v>
      </c>
    </row>
    <row r="449" spans="2:19" ht="12.75" customHeight="1" x14ac:dyDescent="0.2">
      <c r="B449" s="89"/>
      <c r="C449" s="89" t="s">
        <v>156</v>
      </c>
      <c r="D449" t="s">
        <v>70</v>
      </c>
      <c r="E449" s="90">
        <v>0</v>
      </c>
      <c r="F449" s="90">
        <v>0</v>
      </c>
      <c r="G449" s="90">
        <v>0</v>
      </c>
      <c r="H449" s="90">
        <v>0</v>
      </c>
      <c r="I449" s="90">
        <v>0</v>
      </c>
      <c r="J449" s="90">
        <v>0</v>
      </c>
      <c r="K449" s="90">
        <v>0</v>
      </c>
      <c r="L449" s="90">
        <v>0</v>
      </c>
      <c r="M449" s="90">
        <v>0</v>
      </c>
      <c r="N449" s="90">
        <v>0</v>
      </c>
      <c r="O449" s="90">
        <v>0</v>
      </c>
      <c r="P449" s="90">
        <v>0</v>
      </c>
      <c r="Q449" s="90">
        <v>0</v>
      </c>
      <c r="R449">
        <v>0</v>
      </c>
    </row>
    <row r="450" spans="2:19" s="237" customFormat="1" ht="12.75" customHeight="1" x14ac:dyDescent="0.2">
      <c r="B450" s="221" t="s">
        <v>155</v>
      </c>
      <c r="C450" s="221" t="s">
        <v>70</v>
      </c>
      <c r="E450" s="222">
        <v>0</v>
      </c>
      <c r="F450" s="222">
        <v>0</v>
      </c>
      <c r="G450" s="222">
        <v>0</v>
      </c>
      <c r="H450" s="222">
        <v>0</v>
      </c>
      <c r="I450" s="222">
        <v>0</v>
      </c>
      <c r="J450" s="222">
        <v>0</v>
      </c>
      <c r="K450" s="222">
        <v>0</v>
      </c>
      <c r="L450" s="222">
        <v>0</v>
      </c>
      <c r="M450" s="222">
        <v>0</v>
      </c>
      <c r="N450" s="222">
        <v>0</v>
      </c>
      <c r="O450" s="222">
        <v>0</v>
      </c>
      <c r="P450" s="222">
        <v>0</v>
      </c>
      <c r="Q450" s="222">
        <v>0</v>
      </c>
      <c r="R450" s="237">
        <v>0</v>
      </c>
    </row>
    <row r="451" spans="2:19" ht="12.75" customHeight="1" x14ac:dyDescent="0.2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">
      <c r="D455" t="s">
        <v>72</v>
      </c>
      <c r="E455" s="142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2:19" ht="12.75" customHeight="1" x14ac:dyDescent="0.2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">
      <c r="C457" t="s">
        <v>82</v>
      </c>
      <c r="D457" t="s">
        <v>70</v>
      </c>
      <c r="E457" s="142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2:19" ht="12.75" customHeight="1" x14ac:dyDescent="0.2">
      <c r="D458" t="s">
        <v>72</v>
      </c>
      <c r="E458" s="142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2:19" ht="12.75" customHeight="1" x14ac:dyDescent="0.2">
      <c r="D459" t="s">
        <v>81</v>
      </c>
      <c r="E459" s="142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9" ht="12.75" customHeight="1" x14ac:dyDescent="0.2">
      <c r="C460" t="s">
        <v>86</v>
      </c>
      <c r="D460" t="s">
        <v>70</v>
      </c>
      <c r="E460" s="142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2:19" ht="12.75" customHeight="1" x14ac:dyDescent="0.2">
      <c r="D461" t="s">
        <v>72</v>
      </c>
      <c r="E461" s="142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2:19" ht="12.75" customHeight="1" x14ac:dyDescent="0.2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">
      <c r="B463" s="142"/>
      <c r="C463" t="s">
        <v>87</v>
      </c>
      <c r="D463" t="s">
        <v>70</v>
      </c>
      <c r="E463" s="142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2:19" s="94" customFormat="1" ht="12.75" customHeight="1" x14ac:dyDescent="0.2">
      <c r="B464" s="101" t="s">
        <v>119</v>
      </c>
      <c r="C464" s="101" t="s">
        <v>70</v>
      </c>
      <c r="E464" s="93">
        <v>0</v>
      </c>
      <c r="F464" s="93">
        <v>0</v>
      </c>
      <c r="G464" s="93">
        <v>0</v>
      </c>
      <c r="H464" s="93">
        <v>0</v>
      </c>
      <c r="I464" s="93">
        <v>0</v>
      </c>
      <c r="J464" s="93">
        <v>0</v>
      </c>
      <c r="K464" s="93">
        <v>0</v>
      </c>
      <c r="L464" s="93">
        <v>0</v>
      </c>
      <c r="M464" s="93">
        <v>0</v>
      </c>
      <c r="N464" s="93">
        <v>0</v>
      </c>
      <c r="O464" s="93">
        <v>0</v>
      </c>
      <c r="P464" s="93">
        <v>0</v>
      </c>
      <c r="Q464" s="93">
        <v>0</v>
      </c>
      <c r="R464" s="94">
        <v>0</v>
      </c>
    </row>
    <row r="465" spans="1:19" s="226" customFormat="1" ht="12.75" customHeight="1" x14ac:dyDescent="0.2">
      <c r="A465" s="98" t="s">
        <v>78</v>
      </c>
      <c r="B465" s="98" t="s">
        <v>70</v>
      </c>
      <c r="E465" s="100">
        <v>0</v>
      </c>
      <c r="F465" s="100">
        <v>0</v>
      </c>
      <c r="G465" s="100">
        <v>0</v>
      </c>
      <c r="H465" s="100">
        <v>0</v>
      </c>
      <c r="I465" s="100">
        <v>0</v>
      </c>
      <c r="J465" s="100">
        <v>0</v>
      </c>
      <c r="K465" s="100">
        <v>0</v>
      </c>
      <c r="L465" s="100">
        <v>0</v>
      </c>
      <c r="M465" s="100">
        <v>0</v>
      </c>
      <c r="N465" s="100">
        <v>0</v>
      </c>
      <c r="O465" s="100">
        <v>0</v>
      </c>
      <c r="P465" s="100">
        <v>0</v>
      </c>
      <c r="Q465" s="100">
        <v>0</v>
      </c>
      <c r="R465" s="226">
        <v>0</v>
      </c>
    </row>
    <row r="466" spans="1:19" ht="12.75" customHeight="1" x14ac:dyDescent="0.2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">
      <c r="C469" s="89"/>
      <c r="D469" s="89" t="s">
        <v>73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>
        <v>0</v>
      </c>
    </row>
    <row r="470" spans="1:19" ht="12.75" customHeight="1" x14ac:dyDescent="0.2">
      <c r="B470" s="89"/>
      <c r="C470" s="89" t="s">
        <v>156</v>
      </c>
      <c r="D470" t="s">
        <v>70</v>
      </c>
      <c r="E470" s="90">
        <v>0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>
        <v>0</v>
      </c>
    </row>
    <row r="471" spans="1:19" s="237" customFormat="1" ht="12.75" customHeight="1" x14ac:dyDescent="0.2">
      <c r="B471" s="221" t="s">
        <v>155</v>
      </c>
      <c r="C471" s="221" t="s">
        <v>70</v>
      </c>
      <c r="E471" s="222">
        <v>0</v>
      </c>
      <c r="F471" s="222">
        <v>0</v>
      </c>
      <c r="G471" s="222">
        <v>0</v>
      </c>
      <c r="H471" s="222">
        <v>0</v>
      </c>
      <c r="I471" s="222">
        <v>0</v>
      </c>
      <c r="J471" s="222">
        <v>0</v>
      </c>
      <c r="K471" s="222">
        <v>0</v>
      </c>
      <c r="L471" s="222">
        <v>0</v>
      </c>
      <c r="M471" s="222">
        <v>0</v>
      </c>
      <c r="N471" s="222">
        <v>0</v>
      </c>
      <c r="O471" s="222">
        <v>0</v>
      </c>
      <c r="P471" s="222">
        <v>0</v>
      </c>
      <c r="Q471" s="222">
        <v>0</v>
      </c>
      <c r="R471" s="237">
        <v>0</v>
      </c>
    </row>
    <row r="472" spans="1:19" ht="12.75" customHeight="1" x14ac:dyDescent="0.2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">
      <c r="B475" s="142"/>
      <c r="C475" s="89"/>
      <c r="D475" s="89" t="s">
        <v>73</v>
      </c>
      <c r="E475" s="371">
        <v>0</v>
      </c>
      <c r="F475" s="90">
        <v>0</v>
      </c>
      <c r="G475" s="90">
        <v>0</v>
      </c>
      <c r="H475" s="90">
        <v>0</v>
      </c>
      <c r="I475" s="90">
        <v>0</v>
      </c>
      <c r="J475" s="90">
        <v>0</v>
      </c>
      <c r="K475" s="90">
        <v>0</v>
      </c>
      <c r="L475" s="90">
        <v>0</v>
      </c>
      <c r="M475" s="90">
        <v>0</v>
      </c>
      <c r="N475" s="90">
        <v>0</v>
      </c>
      <c r="O475" s="90">
        <v>0</v>
      </c>
      <c r="P475" s="90">
        <v>0</v>
      </c>
      <c r="Q475" s="90">
        <v>0</v>
      </c>
      <c r="R475">
        <v>0</v>
      </c>
    </row>
    <row r="476" spans="1:19" ht="12.75" customHeight="1" x14ac:dyDescent="0.2">
      <c r="B476" s="142"/>
      <c r="C476" s="89" t="s">
        <v>82</v>
      </c>
      <c r="D476" s="89" t="s">
        <v>70</v>
      </c>
      <c r="E476" s="371">
        <v>0</v>
      </c>
      <c r="F476" s="90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>
        <v>0</v>
      </c>
    </row>
    <row r="477" spans="1:19" ht="12.75" customHeight="1" x14ac:dyDescent="0.2">
      <c r="B477" s="142"/>
      <c r="C477" s="89"/>
      <c r="D477" s="89" t="s">
        <v>73</v>
      </c>
      <c r="E477" s="371">
        <v>0</v>
      </c>
      <c r="F477" s="90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>
        <v>0</v>
      </c>
    </row>
    <row r="478" spans="1:19" ht="12.75" customHeight="1" x14ac:dyDescent="0.2">
      <c r="B478" s="142"/>
      <c r="C478" s="89" t="s">
        <v>86</v>
      </c>
      <c r="D478" s="89" t="s">
        <v>70</v>
      </c>
      <c r="E478" s="371">
        <v>0</v>
      </c>
      <c r="F478" s="90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>
        <v>0</v>
      </c>
    </row>
    <row r="479" spans="1:19" ht="12.75" customHeight="1" x14ac:dyDescent="0.2">
      <c r="B479" s="142"/>
      <c r="C479" s="89"/>
      <c r="D479" s="89" t="s">
        <v>73</v>
      </c>
      <c r="E479" s="371">
        <v>0</v>
      </c>
      <c r="F479" s="90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>
        <v>0</v>
      </c>
    </row>
    <row r="480" spans="1:19" ht="12.75" customHeight="1" x14ac:dyDescent="0.2">
      <c r="B480" s="142"/>
      <c r="C480" s="89" t="s">
        <v>87</v>
      </c>
      <c r="D480" s="89" t="s">
        <v>70</v>
      </c>
      <c r="E480" s="371">
        <v>0</v>
      </c>
      <c r="F480" s="90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>
        <v>0</v>
      </c>
    </row>
    <row r="481" spans="1:18" s="94" customFormat="1" ht="12.75" customHeight="1" x14ac:dyDescent="0.2">
      <c r="B481" s="101" t="s">
        <v>119</v>
      </c>
      <c r="C481" s="101" t="s">
        <v>70</v>
      </c>
      <c r="E481" s="93">
        <v>0</v>
      </c>
      <c r="F481" s="93">
        <v>0</v>
      </c>
      <c r="G481" s="93">
        <v>0</v>
      </c>
      <c r="H481" s="93">
        <v>0</v>
      </c>
      <c r="I481" s="93">
        <v>0</v>
      </c>
      <c r="J481" s="93">
        <v>0</v>
      </c>
      <c r="K481" s="93">
        <v>0</v>
      </c>
      <c r="L481" s="93">
        <v>0</v>
      </c>
      <c r="M481" s="93">
        <v>0</v>
      </c>
      <c r="N481" s="93">
        <v>0</v>
      </c>
      <c r="O481" s="93">
        <v>0</v>
      </c>
      <c r="P481" s="93">
        <v>0</v>
      </c>
      <c r="Q481" s="93">
        <v>0</v>
      </c>
      <c r="R481" s="94">
        <v>0</v>
      </c>
    </row>
    <row r="482" spans="1:18" s="226" customFormat="1" ht="12.75" customHeight="1" x14ac:dyDescent="0.2">
      <c r="A482" s="98" t="s">
        <v>79</v>
      </c>
      <c r="B482" s="98" t="s">
        <v>70</v>
      </c>
      <c r="E482" s="100">
        <v>0</v>
      </c>
      <c r="F482" s="100">
        <v>0</v>
      </c>
      <c r="G482" s="100">
        <v>0</v>
      </c>
      <c r="H482" s="100">
        <v>0</v>
      </c>
      <c r="I482" s="100">
        <v>0</v>
      </c>
      <c r="J482" s="100">
        <v>0</v>
      </c>
      <c r="K482" s="100">
        <v>0</v>
      </c>
      <c r="L482" s="100">
        <v>0</v>
      </c>
      <c r="M482" s="100">
        <v>0</v>
      </c>
      <c r="N482" s="100">
        <v>0</v>
      </c>
      <c r="O482" s="100">
        <v>0</v>
      </c>
      <c r="P482" s="100">
        <v>0</v>
      </c>
      <c r="Q482" s="100">
        <v>0</v>
      </c>
      <c r="R482" s="226">
        <v>0</v>
      </c>
    </row>
    <row r="483" spans="1:18" ht="12.75" customHeight="1" x14ac:dyDescent="0.2">
      <c r="A483" s="89" t="s">
        <v>70</v>
      </c>
      <c r="E483" s="90">
        <v>0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</row>
    <row r="484" spans="1:18" ht="12.75" hidden="1" customHeight="1" x14ac:dyDescent="0.2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">
      <c r="B510" s="779" t="s">
        <v>2</v>
      </c>
      <c r="C510" s="776" t="s">
        <v>132</v>
      </c>
      <c r="D510" s="98" t="s">
        <v>70</v>
      </c>
      <c r="E510" s="100">
        <f>E482+E465-K465</f>
        <v>0</v>
      </c>
      <c r="F510" s="100">
        <f>F465</f>
        <v>0</v>
      </c>
      <c r="G510" s="100">
        <f t="shared" ref="G510:R510" si="14">G465</f>
        <v>0</v>
      </c>
      <c r="H510" s="100">
        <f t="shared" si="14"/>
        <v>0</v>
      </c>
      <c r="I510" s="100">
        <f t="shared" si="14"/>
        <v>0</v>
      </c>
      <c r="J510" s="100">
        <f t="shared" si="14"/>
        <v>0</v>
      </c>
      <c r="K510" s="100">
        <f t="shared" si="14"/>
        <v>0</v>
      </c>
      <c r="L510" s="100">
        <f t="shared" si="14"/>
        <v>0</v>
      </c>
      <c r="M510" s="100">
        <f t="shared" si="14"/>
        <v>0</v>
      </c>
      <c r="N510" s="100">
        <f t="shared" si="14"/>
        <v>0</v>
      </c>
      <c r="O510" s="100">
        <f t="shared" si="14"/>
        <v>0</v>
      </c>
      <c r="P510" s="100">
        <f>P465</f>
        <v>0</v>
      </c>
      <c r="Q510" s="100">
        <f t="shared" si="14"/>
        <v>0</v>
      </c>
      <c r="R510" s="100">
        <f t="shared" si="14"/>
        <v>0</v>
      </c>
    </row>
    <row r="511" spans="1:18" ht="12.75" customHeight="1" x14ac:dyDescent="0.2">
      <c r="B511" s="779"/>
      <c r="C511" s="776"/>
      <c r="D511" s="98" t="s">
        <v>73</v>
      </c>
      <c r="E511" s="100">
        <f>E482</f>
        <v>0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">
      <c r="B516" s="779" t="s">
        <v>155</v>
      </c>
      <c r="C516" s="776" t="s">
        <v>132</v>
      </c>
      <c r="D516" s="221" t="s">
        <v>70</v>
      </c>
      <c r="E516" s="222">
        <f>E471+E468+E450+E446-K446-K450</f>
        <v>0</v>
      </c>
      <c r="F516" s="222">
        <f>F450+F446</f>
        <v>0</v>
      </c>
      <c r="G516" s="222">
        <f t="shared" ref="G516:R516" si="15">G450+G446</f>
        <v>0</v>
      </c>
      <c r="H516" s="222">
        <f t="shared" si="15"/>
        <v>0</v>
      </c>
      <c r="I516" s="222">
        <f t="shared" si="15"/>
        <v>0</v>
      </c>
      <c r="J516" s="222">
        <f t="shared" si="15"/>
        <v>0</v>
      </c>
      <c r="K516" s="222">
        <f t="shared" si="15"/>
        <v>0</v>
      </c>
      <c r="L516" s="222">
        <f t="shared" si="15"/>
        <v>0</v>
      </c>
      <c r="M516" s="222">
        <f t="shared" si="15"/>
        <v>0</v>
      </c>
      <c r="N516" s="222">
        <f t="shared" si="15"/>
        <v>0</v>
      </c>
      <c r="O516" s="222">
        <f t="shared" si="15"/>
        <v>0</v>
      </c>
      <c r="P516" s="222">
        <f t="shared" si="15"/>
        <v>0</v>
      </c>
      <c r="Q516" s="222">
        <f t="shared" si="15"/>
        <v>0</v>
      </c>
      <c r="R516" s="222">
        <f t="shared" si="15"/>
        <v>0</v>
      </c>
    </row>
    <row r="517" spans="1:18" ht="12.75" customHeight="1" x14ac:dyDescent="0.2">
      <c r="B517" s="779"/>
      <c r="C517" s="776"/>
      <c r="D517" s="221" t="s">
        <v>73</v>
      </c>
      <c r="E517" s="222">
        <f>E471+E468</f>
        <v>0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">
      <c r="B519" s="777" t="s">
        <v>326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">
      <c r="B520" s="777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">
      <c r="B522" s="779" t="s">
        <v>119</v>
      </c>
      <c r="C522" s="776" t="s">
        <v>132</v>
      </c>
      <c r="D522" s="101" t="s">
        <v>70</v>
      </c>
      <c r="E522" s="93">
        <f>E464+E481-K464</f>
        <v>0</v>
      </c>
      <c r="F522" s="93">
        <f>F464</f>
        <v>0</v>
      </c>
      <c r="G522" s="93">
        <f t="shared" ref="G522:R522" si="17">G464</f>
        <v>0</v>
      </c>
      <c r="H522" s="93">
        <f t="shared" si="17"/>
        <v>0</v>
      </c>
      <c r="I522" s="93">
        <f t="shared" si="17"/>
        <v>0</v>
      </c>
      <c r="J522" s="93">
        <f t="shared" si="17"/>
        <v>0</v>
      </c>
      <c r="K522" s="93">
        <f t="shared" si="17"/>
        <v>0</v>
      </c>
      <c r="L522" s="93">
        <f t="shared" si="17"/>
        <v>0</v>
      </c>
      <c r="M522" s="93">
        <f t="shared" si="17"/>
        <v>0</v>
      </c>
      <c r="N522" s="93">
        <f t="shared" si="17"/>
        <v>0</v>
      </c>
      <c r="O522" s="93">
        <f t="shared" si="17"/>
        <v>0</v>
      </c>
      <c r="P522" s="93">
        <f t="shared" si="17"/>
        <v>0</v>
      </c>
      <c r="Q522" s="93">
        <f t="shared" si="17"/>
        <v>0</v>
      </c>
      <c r="R522" s="93">
        <f t="shared" si="17"/>
        <v>0</v>
      </c>
    </row>
    <row r="523" spans="1:18" ht="12.75" customHeight="1" x14ac:dyDescent="0.2">
      <c r="B523" s="779"/>
      <c r="C523" s="776"/>
      <c r="D523" s="101" t="s">
        <v>73</v>
      </c>
      <c r="E523" s="93">
        <f>E481</f>
        <v>0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2578125" defaultRowHeight="12.75" x14ac:dyDescent="0.2"/>
  <cols>
    <col min="1" max="1" width="21.140625" style="616" customWidth="1"/>
    <col min="2" max="2" width="19.85546875" style="616" bestFit="1" customWidth="1"/>
    <col min="3" max="3" width="24.85546875" style="616" bestFit="1" customWidth="1"/>
    <col min="4" max="4" width="23.140625" style="616" bestFit="1" customWidth="1"/>
    <col min="5" max="5" width="15.85546875" style="616" bestFit="1" customWidth="1"/>
    <col min="6" max="6" width="15.42578125" style="616" bestFit="1" customWidth="1"/>
    <col min="7" max="7" width="15.42578125" style="616" customWidth="1"/>
    <col min="8" max="8" width="16.42578125" style="616" bestFit="1" customWidth="1"/>
    <col min="9" max="9" width="18" style="616" bestFit="1" customWidth="1"/>
    <col min="10" max="10" width="17" style="616" bestFit="1" customWidth="1"/>
    <col min="11" max="11" width="15.5703125" style="616" bestFit="1" customWidth="1"/>
    <col min="12" max="13" width="15.85546875" style="616" bestFit="1" customWidth="1"/>
    <col min="14" max="14" width="21.42578125" style="616" bestFit="1" customWidth="1"/>
    <col min="15" max="16" width="20.42578125" style="616" bestFit="1" customWidth="1"/>
    <col min="17" max="17" width="20" style="616" bestFit="1" customWidth="1"/>
    <col min="18" max="16384" width="11.42578125" style="616"/>
  </cols>
  <sheetData>
    <row r="1" spans="1:18" x14ac:dyDescent="0.2">
      <c r="B1" s="617" t="s">
        <v>74</v>
      </c>
    </row>
    <row r="2" spans="1:18" ht="12.75" customHeight="1" x14ac:dyDescent="0.2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">
      <c r="C15" s="616" t="s">
        <v>72</v>
      </c>
      <c r="D15" s="618">
        <v>0</v>
      </c>
      <c r="E15" s="618">
        <v>0</v>
      </c>
      <c r="F15" s="618">
        <v>0</v>
      </c>
      <c r="G15" s="620">
        <v>0</v>
      </c>
      <c r="H15" s="618">
        <v>0</v>
      </c>
      <c r="I15" s="618">
        <v>0</v>
      </c>
      <c r="J15" s="618">
        <v>0</v>
      </c>
      <c r="K15" s="618">
        <v>0</v>
      </c>
      <c r="L15" s="618">
        <v>0</v>
      </c>
      <c r="M15" s="618">
        <v>0</v>
      </c>
      <c r="N15" s="618">
        <v>0</v>
      </c>
      <c r="O15" s="618">
        <v>0</v>
      </c>
      <c r="P15" s="618">
        <v>0</v>
      </c>
      <c r="Q15" s="618">
        <v>0</v>
      </c>
      <c r="R15" s="616">
        <v>0</v>
      </c>
    </row>
    <row r="16" spans="1:18" ht="12.6" customHeight="1" x14ac:dyDescent="0.2">
      <c r="C16" s="616" t="s">
        <v>81</v>
      </c>
      <c r="D16" s="618">
        <v>0</v>
      </c>
      <c r="E16" s="618">
        <v>0</v>
      </c>
      <c r="F16" s="618">
        <v>0</v>
      </c>
      <c r="G16" s="620">
        <v>0</v>
      </c>
      <c r="H16" s="618">
        <v>0</v>
      </c>
      <c r="I16" s="618">
        <v>0</v>
      </c>
      <c r="J16" s="618">
        <v>0</v>
      </c>
      <c r="K16" s="618">
        <v>0</v>
      </c>
      <c r="L16" s="618">
        <v>0</v>
      </c>
      <c r="M16" s="618">
        <v>0</v>
      </c>
      <c r="N16" s="618">
        <v>0</v>
      </c>
      <c r="O16" s="618">
        <v>0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">
      <c r="B17" s="622" t="s">
        <v>78</v>
      </c>
      <c r="C17" s="622" t="s">
        <v>70</v>
      </c>
      <c r="D17" s="622">
        <v>0</v>
      </c>
      <c r="E17" s="622">
        <v>0</v>
      </c>
      <c r="F17" s="622">
        <v>0</v>
      </c>
      <c r="G17" s="622">
        <v>0</v>
      </c>
      <c r="H17" s="622">
        <v>0</v>
      </c>
      <c r="I17" s="622">
        <v>0</v>
      </c>
      <c r="J17" s="622">
        <v>0</v>
      </c>
      <c r="K17" s="622">
        <v>0</v>
      </c>
      <c r="L17" s="622">
        <v>0</v>
      </c>
      <c r="M17" s="622">
        <v>0</v>
      </c>
      <c r="N17" s="622">
        <v>0</v>
      </c>
      <c r="O17" s="622">
        <v>0</v>
      </c>
      <c r="P17" s="621">
        <v>0</v>
      </c>
      <c r="Q17" s="622">
        <v>0</v>
      </c>
      <c r="R17" s="622">
        <v>0</v>
      </c>
    </row>
    <row r="18" spans="1:18" ht="12.75" customHeight="1" x14ac:dyDescent="0.2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">
      <c r="A20" s="628" t="s">
        <v>119</v>
      </c>
      <c r="B20" s="628" t="s">
        <v>70</v>
      </c>
      <c r="D20" s="628">
        <v>0</v>
      </c>
      <c r="E20" s="628">
        <v>0</v>
      </c>
      <c r="F20" s="628">
        <v>0</v>
      </c>
      <c r="G20" s="628">
        <v>0</v>
      </c>
      <c r="H20" s="628">
        <v>0</v>
      </c>
      <c r="I20" s="628">
        <v>0</v>
      </c>
      <c r="J20" s="628">
        <v>0</v>
      </c>
      <c r="K20" s="628">
        <v>0</v>
      </c>
      <c r="L20" s="628">
        <v>0</v>
      </c>
      <c r="M20" s="628">
        <v>0</v>
      </c>
      <c r="N20" s="628">
        <v>0</v>
      </c>
      <c r="O20" s="628">
        <v>0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">
      <c r="A21" s="630" t="s">
        <v>70</v>
      </c>
      <c r="D21" s="630">
        <v>0</v>
      </c>
      <c r="E21" s="630">
        <v>0</v>
      </c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1">
        <v>0</v>
      </c>
      <c r="Q21" s="630">
        <v>0</v>
      </c>
      <c r="R21" s="630">
        <v>0</v>
      </c>
    </row>
    <row r="22" spans="1:18" ht="12.75" customHeight="1" x14ac:dyDescent="0.2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">
      <c r="A79" s="782" t="s">
        <v>2</v>
      </c>
      <c r="B79" s="781" t="s">
        <v>132</v>
      </c>
      <c r="C79" s="766" t="s">
        <v>70</v>
      </c>
      <c r="D79" s="766">
        <f>D21-P21</f>
        <v>0</v>
      </c>
      <c r="E79" s="766">
        <f>E5+E17</f>
        <v>0</v>
      </c>
      <c r="F79" s="766">
        <f t="shared" ref="F79:R79" si="0">F5+F17</f>
        <v>0</v>
      </c>
      <c r="G79" s="766">
        <f t="shared" si="0"/>
        <v>0</v>
      </c>
      <c r="H79" s="766">
        <f t="shared" si="0"/>
        <v>0</v>
      </c>
      <c r="I79" s="766">
        <f t="shared" si="0"/>
        <v>0</v>
      </c>
      <c r="J79" s="766">
        <f t="shared" si="0"/>
        <v>0</v>
      </c>
      <c r="K79" s="766">
        <f t="shared" si="0"/>
        <v>0</v>
      </c>
      <c r="L79" s="766">
        <f t="shared" si="0"/>
        <v>0</v>
      </c>
      <c r="M79" s="766">
        <f t="shared" si="0"/>
        <v>0</v>
      </c>
      <c r="N79" s="766">
        <f t="shared" si="0"/>
        <v>0</v>
      </c>
      <c r="O79" s="766">
        <f t="shared" si="0"/>
        <v>0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">
      <c r="A80" s="782"/>
      <c r="B80" s="781"/>
      <c r="C80" s="766" t="s">
        <v>73</v>
      </c>
      <c r="D80" s="766">
        <f>D7+D19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">
      <c r="A85" s="782" t="s">
        <v>155</v>
      </c>
      <c r="B85" s="781" t="s">
        <v>132</v>
      </c>
      <c r="C85" s="633" t="s">
        <v>70</v>
      </c>
      <c r="D85" s="633">
        <f>D8-P8</f>
        <v>0</v>
      </c>
      <c r="E85" s="633">
        <f>E5</f>
        <v>0</v>
      </c>
      <c r="F85" s="633">
        <f t="shared" ref="F85:R85" si="1">F5</f>
        <v>0</v>
      </c>
      <c r="G85" s="633">
        <f t="shared" si="1"/>
        <v>0</v>
      </c>
      <c r="H85" s="633">
        <f t="shared" si="1"/>
        <v>0</v>
      </c>
      <c r="I85" s="633">
        <f t="shared" si="1"/>
        <v>0</v>
      </c>
      <c r="J85" s="633">
        <f t="shared" si="1"/>
        <v>0</v>
      </c>
      <c r="K85" s="633">
        <f t="shared" si="1"/>
        <v>0</v>
      </c>
      <c r="L85" s="633">
        <f t="shared" si="1"/>
        <v>0</v>
      </c>
      <c r="M85" s="633">
        <f t="shared" si="1"/>
        <v>0</v>
      </c>
      <c r="N85" s="633">
        <f t="shared" si="1"/>
        <v>0</v>
      </c>
      <c r="O85" s="633">
        <f t="shared" si="1"/>
        <v>0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">
      <c r="A86" s="782"/>
      <c r="B86" s="781"/>
      <c r="C86" s="633" t="s">
        <v>73</v>
      </c>
      <c r="D86" s="633">
        <f>D7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">
      <c r="A88" s="780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">
      <c r="A91" s="782" t="s">
        <v>119</v>
      </c>
      <c r="B91" s="781" t="s">
        <v>132</v>
      </c>
      <c r="C91" s="628" t="s">
        <v>70</v>
      </c>
      <c r="D91" s="628">
        <f>D20-P20</f>
        <v>0</v>
      </c>
      <c r="E91" s="628">
        <f>E17</f>
        <v>0</v>
      </c>
      <c r="F91" s="628">
        <f t="shared" ref="F91:R91" si="3">F17</f>
        <v>0</v>
      </c>
      <c r="G91" s="628">
        <f t="shared" si="3"/>
        <v>0</v>
      </c>
      <c r="H91" s="628">
        <f t="shared" si="3"/>
        <v>0</v>
      </c>
      <c r="I91" s="628">
        <f t="shared" si="3"/>
        <v>0</v>
      </c>
      <c r="J91" s="628">
        <f t="shared" si="3"/>
        <v>0</v>
      </c>
      <c r="K91" s="628">
        <f t="shared" si="3"/>
        <v>0</v>
      </c>
      <c r="L91" s="628">
        <f t="shared" si="3"/>
        <v>0</v>
      </c>
      <c r="M91" s="628">
        <f t="shared" si="3"/>
        <v>0</v>
      </c>
      <c r="N91" s="628">
        <f t="shared" si="3"/>
        <v>0</v>
      </c>
      <c r="O91" s="628">
        <f t="shared" si="3"/>
        <v>0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"/>
    <row r="97" spans="1:18" x14ac:dyDescent="0.2">
      <c r="B97" s="617" t="s">
        <v>75</v>
      </c>
    </row>
    <row r="98" spans="1:18" ht="12.6" customHeight="1" x14ac:dyDescent="0.2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">
      <c r="C99" s="616" t="s">
        <v>72</v>
      </c>
      <c r="D99" s="618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">
      <c r="C102" s="616" t="s">
        <v>73</v>
      </c>
      <c r="D102" s="618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">
      <c r="A104" s="625" t="s">
        <v>155</v>
      </c>
      <c r="B104" s="625" t="s">
        <v>70</v>
      </c>
      <c r="D104" s="626">
        <v>0</v>
      </c>
      <c r="E104" s="626">
        <v>0</v>
      </c>
      <c r="F104" s="626">
        <v>0</v>
      </c>
      <c r="G104" s="627">
        <v>0</v>
      </c>
      <c r="H104" s="626">
        <v>0</v>
      </c>
      <c r="I104" s="626">
        <v>0</v>
      </c>
      <c r="J104" s="626">
        <v>0</v>
      </c>
      <c r="K104" s="626">
        <v>0</v>
      </c>
      <c r="L104" s="626">
        <v>0</v>
      </c>
      <c r="M104" s="626">
        <v>0</v>
      </c>
      <c r="N104" s="626">
        <v>0</v>
      </c>
      <c r="O104" s="626">
        <v>0</v>
      </c>
      <c r="P104" s="625">
        <v>0</v>
      </c>
      <c r="Q104" s="626">
        <v>0</v>
      </c>
      <c r="R104" s="625">
        <v>0</v>
      </c>
    </row>
    <row r="105" spans="1:18" ht="12.75" customHeight="1" x14ac:dyDescent="0.2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">
      <c r="A117" s="630" t="s">
        <v>70</v>
      </c>
      <c r="D117" s="630">
        <v>0</v>
      </c>
      <c r="E117" s="630">
        <v>0</v>
      </c>
      <c r="F117" s="630">
        <v>0</v>
      </c>
      <c r="G117" s="630">
        <v>0</v>
      </c>
      <c r="H117" s="630">
        <v>0</v>
      </c>
      <c r="I117" s="630">
        <v>0</v>
      </c>
      <c r="J117" s="630">
        <v>0</v>
      </c>
      <c r="K117" s="630">
        <v>0</v>
      </c>
      <c r="L117" s="630">
        <v>0</v>
      </c>
      <c r="M117" s="630">
        <v>0</v>
      </c>
      <c r="N117" s="630">
        <v>0</v>
      </c>
      <c r="O117" s="630">
        <v>0</v>
      </c>
      <c r="P117" s="631">
        <v>0</v>
      </c>
      <c r="Q117" s="630">
        <v>0</v>
      </c>
      <c r="R117" s="630">
        <v>0</v>
      </c>
    </row>
    <row r="118" spans="1:18" ht="12.75" customHeight="1" x14ac:dyDescent="0.2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">
      <c r="A180" s="782" t="s">
        <v>2</v>
      </c>
      <c r="B180" s="781" t="s">
        <v>132</v>
      </c>
      <c r="C180" s="766" t="s">
        <v>70</v>
      </c>
      <c r="D180" s="766">
        <f>D117-P117</f>
        <v>0</v>
      </c>
      <c r="E180" s="766">
        <f>E101+E107+E113</f>
        <v>0</v>
      </c>
      <c r="F180" s="766">
        <f t="shared" ref="F180:R180" si="4">F101+F107+F113</f>
        <v>0</v>
      </c>
      <c r="G180" s="766">
        <f t="shared" si="4"/>
        <v>0</v>
      </c>
      <c r="H180" s="766">
        <f t="shared" si="4"/>
        <v>0</v>
      </c>
      <c r="I180" s="766">
        <f t="shared" si="4"/>
        <v>0</v>
      </c>
      <c r="J180" s="766">
        <f t="shared" si="4"/>
        <v>0</v>
      </c>
      <c r="K180" s="766">
        <f t="shared" si="4"/>
        <v>0</v>
      </c>
      <c r="L180" s="766">
        <f t="shared" si="4"/>
        <v>0</v>
      </c>
      <c r="M180" s="766">
        <f t="shared" si="4"/>
        <v>0</v>
      </c>
      <c r="N180" s="766">
        <f t="shared" si="4"/>
        <v>0</v>
      </c>
      <c r="O180" s="766">
        <f t="shared" si="4"/>
        <v>0</v>
      </c>
      <c r="P180" s="766">
        <f t="shared" si="4"/>
        <v>0</v>
      </c>
      <c r="Q180" s="766">
        <f t="shared" si="4"/>
        <v>0</v>
      </c>
      <c r="R180" s="766">
        <f t="shared" si="4"/>
        <v>0</v>
      </c>
    </row>
    <row r="181" spans="1:18" ht="12.75" customHeight="1" x14ac:dyDescent="0.2">
      <c r="A181" s="782"/>
      <c r="B181" s="781"/>
      <c r="C181" s="766" t="s">
        <v>73</v>
      </c>
      <c r="D181" s="766">
        <f>D103+D109+D115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">
      <c r="A186" s="782" t="s">
        <v>155</v>
      </c>
      <c r="B186" s="781" t="s">
        <v>132</v>
      </c>
      <c r="C186" s="633" t="s">
        <v>70</v>
      </c>
      <c r="D186" s="633">
        <f>D104-P104</f>
        <v>0</v>
      </c>
      <c r="E186" s="633">
        <f>E101</f>
        <v>0</v>
      </c>
      <c r="F186" s="633">
        <f t="shared" ref="F186:R186" si="6">F101</f>
        <v>0</v>
      </c>
      <c r="G186" s="633">
        <f t="shared" si="6"/>
        <v>0</v>
      </c>
      <c r="H186" s="633">
        <f t="shared" si="6"/>
        <v>0</v>
      </c>
      <c r="I186" s="633">
        <f t="shared" si="6"/>
        <v>0</v>
      </c>
      <c r="J186" s="633">
        <f t="shared" si="6"/>
        <v>0</v>
      </c>
      <c r="K186" s="633">
        <f t="shared" si="6"/>
        <v>0</v>
      </c>
      <c r="L186" s="633">
        <f t="shared" si="6"/>
        <v>0</v>
      </c>
      <c r="M186" s="633">
        <f t="shared" si="6"/>
        <v>0</v>
      </c>
      <c r="N186" s="633">
        <f t="shared" si="6"/>
        <v>0</v>
      </c>
      <c r="O186" s="633">
        <f t="shared" si="6"/>
        <v>0</v>
      </c>
      <c r="P186" s="633">
        <f t="shared" si="6"/>
        <v>0</v>
      </c>
      <c r="Q186" s="633">
        <f t="shared" si="6"/>
        <v>0</v>
      </c>
      <c r="R186" s="633">
        <f t="shared" si="6"/>
        <v>0</v>
      </c>
    </row>
    <row r="187" spans="1:18" ht="12.75" customHeight="1" x14ac:dyDescent="0.2">
      <c r="A187" s="782"/>
      <c r="B187" s="781"/>
      <c r="C187" s="633" t="s">
        <v>73</v>
      </c>
      <c r="D187" s="633">
        <f>D103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">
      <c r="A189" s="780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"/>
    <row r="198" spans="1:18" x14ac:dyDescent="0.2">
      <c r="B198" s="617" t="s">
        <v>76</v>
      </c>
    </row>
    <row r="199" spans="1:18" x14ac:dyDescent="0.2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">
      <c r="B200" s="618"/>
      <c r="C200" s="618" t="s">
        <v>72</v>
      </c>
      <c r="D200" s="618">
        <v>0</v>
      </c>
      <c r="E200" s="618">
        <v>0</v>
      </c>
      <c r="F200" s="618">
        <v>0</v>
      </c>
      <c r="G200" s="618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6">
        <v>0</v>
      </c>
      <c r="Q200" s="618">
        <v>0</v>
      </c>
      <c r="R200" s="618">
        <v>0</v>
      </c>
    </row>
    <row r="201" spans="1:18" ht="12.75" customHeight="1" x14ac:dyDescent="0.2">
      <c r="B201" s="618"/>
      <c r="C201" s="618" t="s">
        <v>81</v>
      </c>
      <c r="D201" s="618">
        <v>0</v>
      </c>
      <c r="E201" s="618">
        <v>0</v>
      </c>
      <c r="F201" s="618">
        <v>0</v>
      </c>
      <c r="G201" s="618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">
      <c r="B203" s="618"/>
      <c r="C203" s="618" t="s">
        <v>73</v>
      </c>
      <c r="D203" s="618">
        <v>0</v>
      </c>
      <c r="E203" s="618">
        <v>0</v>
      </c>
      <c r="F203" s="618">
        <v>0</v>
      </c>
      <c r="G203" s="618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">
      <c r="B204" s="623" t="s">
        <v>79</v>
      </c>
      <c r="C204" s="623" t="s">
        <v>70</v>
      </c>
      <c r="D204" s="624">
        <v>0</v>
      </c>
      <c r="E204" s="624">
        <v>0</v>
      </c>
      <c r="F204" s="624">
        <v>0</v>
      </c>
      <c r="G204" s="636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">
      <c r="A205" s="637" t="s">
        <v>155</v>
      </c>
      <c r="B205" s="633" t="s">
        <v>70</v>
      </c>
      <c r="C205" s="633"/>
      <c r="D205" s="633">
        <v>0</v>
      </c>
      <c r="E205" s="633">
        <v>0</v>
      </c>
      <c r="F205" s="633">
        <v>0</v>
      </c>
      <c r="G205" s="633">
        <v>0</v>
      </c>
      <c r="H205" s="633">
        <v>0</v>
      </c>
      <c r="I205" s="633">
        <v>0</v>
      </c>
      <c r="J205" s="633">
        <v>0</v>
      </c>
      <c r="K205" s="633">
        <v>0</v>
      </c>
      <c r="L205" s="633">
        <v>0</v>
      </c>
      <c r="M205" s="633">
        <v>0</v>
      </c>
      <c r="N205" s="633">
        <v>0</v>
      </c>
      <c r="O205" s="633">
        <v>0</v>
      </c>
      <c r="P205" s="637">
        <v>0</v>
      </c>
      <c r="Q205" s="633">
        <v>0</v>
      </c>
      <c r="R205" s="633">
        <v>0</v>
      </c>
    </row>
    <row r="206" spans="1:18" ht="12.75" customHeight="1" x14ac:dyDescent="0.2">
      <c r="C206" s="616" t="s">
        <v>72</v>
      </c>
      <c r="D206" s="618">
        <v>0</v>
      </c>
      <c r="E206" s="618">
        <v>0</v>
      </c>
      <c r="F206" s="618">
        <v>0</v>
      </c>
      <c r="G206" s="620">
        <v>0</v>
      </c>
      <c r="H206" s="618">
        <v>0</v>
      </c>
      <c r="I206" s="618">
        <v>0</v>
      </c>
      <c r="J206" s="618">
        <v>0</v>
      </c>
      <c r="K206" s="618">
        <v>0</v>
      </c>
      <c r="L206" s="618">
        <v>0</v>
      </c>
      <c r="M206" s="618">
        <v>0</v>
      </c>
      <c r="N206" s="618">
        <v>0</v>
      </c>
      <c r="O206" s="618">
        <v>0</v>
      </c>
      <c r="P206" s="618">
        <v>0</v>
      </c>
      <c r="Q206" s="618">
        <v>0</v>
      </c>
      <c r="R206" s="616">
        <v>0</v>
      </c>
    </row>
    <row r="207" spans="1:18" ht="12.6" customHeight="1" x14ac:dyDescent="0.2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">
      <c r="B208" s="622" t="s">
        <v>78</v>
      </c>
      <c r="C208" s="622" t="s">
        <v>70</v>
      </c>
      <c r="D208" s="622">
        <v>0</v>
      </c>
      <c r="E208" s="622">
        <v>0</v>
      </c>
      <c r="F208" s="622">
        <v>0</v>
      </c>
      <c r="G208" s="622">
        <v>0</v>
      </c>
      <c r="H208" s="622">
        <v>0</v>
      </c>
      <c r="I208" s="622">
        <v>0</v>
      </c>
      <c r="J208" s="622">
        <v>0</v>
      </c>
      <c r="K208" s="622">
        <v>0</v>
      </c>
      <c r="L208" s="622">
        <v>0</v>
      </c>
      <c r="M208" s="622">
        <v>0</v>
      </c>
      <c r="N208" s="622">
        <v>0</v>
      </c>
      <c r="O208" s="622">
        <v>0</v>
      </c>
      <c r="P208" s="621">
        <v>0</v>
      </c>
      <c r="Q208" s="622">
        <v>0</v>
      </c>
      <c r="R208" s="622">
        <v>0</v>
      </c>
    </row>
    <row r="209" spans="1:18" ht="12.75" customHeight="1" x14ac:dyDescent="0.2">
      <c r="C209" s="616" t="s">
        <v>73</v>
      </c>
      <c r="D209" s="618">
        <v>0</v>
      </c>
      <c r="E209" s="618">
        <v>0</v>
      </c>
      <c r="F209" s="618">
        <v>0</v>
      </c>
      <c r="G209" s="620">
        <v>0</v>
      </c>
      <c r="H209" s="618">
        <v>0</v>
      </c>
      <c r="I209" s="618">
        <v>0</v>
      </c>
      <c r="J209" s="618">
        <v>0</v>
      </c>
      <c r="K209" s="618">
        <v>0</v>
      </c>
      <c r="L209" s="618">
        <v>0</v>
      </c>
      <c r="M209" s="618">
        <v>0</v>
      </c>
      <c r="N209" s="618">
        <v>0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">
      <c r="B210" s="624" t="s">
        <v>79</v>
      </c>
      <c r="C210" s="624" t="s">
        <v>70</v>
      </c>
      <c r="D210" s="624">
        <v>0</v>
      </c>
      <c r="E210" s="624">
        <v>0</v>
      </c>
      <c r="F210" s="624">
        <v>0</v>
      </c>
      <c r="G210" s="624">
        <v>0</v>
      </c>
      <c r="H210" s="624">
        <v>0</v>
      </c>
      <c r="I210" s="624">
        <v>0</v>
      </c>
      <c r="J210" s="624">
        <v>0</v>
      </c>
      <c r="K210" s="624">
        <v>0</v>
      </c>
      <c r="L210" s="624">
        <v>0</v>
      </c>
      <c r="M210" s="624">
        <v>0</v>
      </c>
      <c r="N210" s="624">
        <v>0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">
      <c r="A211" s="628" t="s">
        <v>119</v>
      </c>
      <c r="B211" s="628" t="s">
        <v>70</v>
      </c>
      <c r="D211" s="628">
        <v>0</v>
      </c>
      <c r="E211" s="628">
        <v>0</v>
      </c>
      <c r="F211" s="628">
        <v>0</v>
      </c>
      <c r="G211" s="628">
        <v>0</v>
      </c>
      <c r="H211" s="628">
        <v>0</v>
      </c>
      <c r="I211" s="628">
        <v>0</v>
      </c>
      <c r="J211" s="628">
        <v>0</v>
      </c>
      <c r="K211" s="628">
        <v>0</v>
      </c>
      <c r="L211" s="628">
        <v>0</v>
      </c>
      <c r="M211" s="628">
        <v>0</v>
      </c>
      <c r="N211" s="628">
        <v>0</v>
      </c>
      <c r="O211" s="628">
        <v>0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">
      <c r="A212" s="630" t="s">
        <v>70</v>
      </c>
      <c r="D212" s="630">
        <v>0</v>
      </c>
      <c r="E212" s="630">
        <v>0</v>
      </c>
      <c r="F212" s="630">
        <v>0</v>
      </c>
      <c r="G212" s="630">
        <v>0</v>
      </c>
      <c r="H212" s="630">
        <v>0</v>
      </c>
      <c r="I212" s="630">
        <v>0</v>
      </c>
      <c r="J212" s="630">
        <v>0</v>
      </c>
      <c r="K212" s="630">
        <v>0</v>
      </c>
      <c r="L212" s="630">
        <v>0</v>
      </c>
      <c r="M212" s="630">
        <v>0</v>
      </c>
      <c r="N212" s="630">
        <v>0</v>
      </c>
      <c r="O212" s="630">
        <v>0</v>
      </c>
      <c r="P212" s="631">
        <v>0</v>
      </c>
      <c r="Q212" s="631">
        <v>0</v>
      </c>
      <c r="R212" s="631">
        <v>0</v>
      </c>
    </row>
    <row r="213" spans="1:18" ht="12.75" customHeight="1" x14ac:dyDescent="0.2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">
      <c r="A217" s="782" t="s">
        <v>2</v>
      </c>
      <c r="B217" s="781" t="s">
        <v>132</v>
      </c>
      <c r="C217" s="766" t="s">
        <v>70</v>
      </c>
      <c r="D217" s="766">
        <f>D212-P212</f>
        <v>0</v>
      </c>
      <c r="E217" s="766">
        <f>E202+E208</f>
        <v>0</v>
      </c>
      <c r="F217" s="766">
        <f t="shared" ref="F217:R217" si="8">F202+F208</f>
        <v>0</v>
      </c>
      <c r="G217" s="766">
        <f t="shared" si="8"/>
        <v>0</v>
      </c>
      <c r="H217" s="766">
        <f t="shared" si="8"/>
        <v>0</v>
      </c>
      <c r="I217" s="766">
        <f t="shared" si="8"/>
        <v>0</v>
      </c>
      <c r="J217" s="766">
        <f t="shared" si="8"/>
        <v>0</v>
      </c>
      <c r="K217" s="766">
        <f t="shared" si="8"/>
        <v>0</v>
      </c>
      <c r="L217" s="766">
        <f t="shared" si="8"/>
        <v>0</v>
      </c>
      <c r="M217" s="766">
        <f t="shared" si="8"/>
        <v>0</v>
      </c>
      <c r="N217" s="766">
        <f t="shared" si="8"/>
        <v>0</v>
      </c>
      <c r="O217" s="766">
        <f t="shared" si="8"/>
        <v>0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">
      <c r="A218" s="782"/>
      <c r="B218" s="781"/>
      <c r="C218" s="766" t="s">
        <v>73</v>
      </c>
      <c r="D218" s="766">
        <f>D204+D210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">
      <c r="A223" s="782" t="s">
        <v>155</v>
      </c>
      <c r="B223" s="781" t="s">
        <v>132</v>
      </c>
      <c r="C223" s="633" t="s">
        <v>70</v>
      </c>
      <c r="D223" s="633">
        <f>D205-P205</f>
        <v>0</v>
      </c>
      <c r="E223" s="633">
        <f>E202</f>
        <v>0</v>
      </c>
      <c r="F223" s="633">
        <f t="shared" ref="F223:R223" si="9">F202</f>
        <v>0</v>
      </c>
      <c r="G223" s="633">
        <f t="shared" si="9"/>
        <v>0</v>
      </c>
      <c r="H223" s="633">
        <f t="shared" si="9"/>
        <v>0</v>
      </c>
      <c r="I223" s="633">
        <f t="shared" si="9"/>
        <v>0</v>
      </c>
      <c r="J223" s="633">
        <f t="shared" si="9"/>
        <v>0</v>
      </c>
      <c r="K223" s="633">
        <f t="shared" si="9"/>
        <v>0</v>
      </c>
      <c r="L223" s="633">
        <f t="shared" si="9"/>
        <v>0</v>
      </c>
      <c r="M223" s="633">
        <f t="shared" si="9"/>
        <v>0</v>
      </c>
      <c r="N223" s="633">
        <f t="shared" si="9"/>
        <v>0</v>
      </c>
      <c r="O223" s="633">
        <f t="shared" si="9"/>
        <v>0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">
      <c r="A224" s="782"/>
      <c r="B224" s="781"/>
      <c r="C224" s="633" t="s">
        <v>73</v>
      </c>
      <c r="D224" s="633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">
      <c r="A226" s="780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">
      <c r="A229" s="782" t="s">
        <v>119</v>
      </c>
      <c r="B229" s="781" t="s">
        <v>132</v>
      </c>
      <c r="C229" s="628" t="s">
        <v>70</v>
      </c>
      <c r="D229" s="628">
        <f>D211-P211</f>
        <v>0</v>
      </c>
      <c r="E229" s="628">
        <f>E208</f>
        <v>0</v>
      </c>
      <c r="F229" s="628">
        <f t="shared" ref="F229:R229" si="10">F208</f>
        <v>0</v>
      </c>
      <c r="G229" s="628">
        <f t="shared" si="10"/>
        <v>0</v>
      </c>
      <c r="H229" s="628">
        <f t="shared" si="10"/>
        <v>0</v>
      </c>
      <c r="I229" s="628">
        <f t="shared" si="10"/>
        <v>0</v>
      </c>
      <c r="J229" s="628">
        <f t="shared" si="10"/>
        <v>0</v>
      </c>
      <c r="K229" s="628">
        <f t="shared" si="10"/>
        <v>0</v>
      </c>
      <c r="L229" s="628">
        <f t="shared" si="10"/>
        <v>0</v>
      </c>
      <c r="M229" s="628">
        <f t="shared" si="10"/>
        <v>0</v>
      </c>
      <c r="N229" s="628">
        <f t="shared" si="10"/>
        <v>0</v>
      </c>
      <c r="O229" s="628">
        <f t="shared" si="10"/>
        <v>0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">
      <c r="A230" s="782"/>
      <c r="B230" s="781"/>
      <c r="C230" s="628" t="s">
        <v>73</v>
      </c>
      <c r="D230" s="628">
        <f>D210</f>
        <v>0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"/>
    <row r="235" spans="1:18" x14ac:dyDescent="0.2">
      <c r="B235" s="617" t="s">
        <v>88</v>
      </c>
    </row>
    <row r="236" spans="1:18" ht="12.75" customHeight="1" x14ac:dyDescent="0.2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">
      <c r="A242" s="755" t="s">
        <v>155</v>
      </c>
      <c r="B242" s="755" t="s">
        <v>70</v>
      </c>
      <c r="D242" s="756">
        <v>0</v>
      </c>
      <c r="E242" s="757">
        <v>0</v>
      </c>
      <c r="F242" s="757">
        <v>0</v>
      </c>
      <c r="G242" s="756">
        <v>0</v>
      </c>
      <c r="H242" s="757">
        <v>0</v>
      </c>
      <c r="I242" s="757">
        <v>0</v>
      </c>
      <c r="J242" s="757">
        <v>0</v>
      </c>
      <c r="K242" s="757">
        <v>0</v>
      </c>
      <c r="L242" s="757">
        <v>0</v>
      </c>
      <c r="M242" s="757">
        <v>0</v>
      </c>
      <c r="N242" s="757">
        <v>0</v>
      </c>
      <c r="O242" s="757">
        <v>0</v>
      </c>
      <c r="P242" s="757">
        <v>0</v>
      </c>
      <c r="Q242" s="757">
        <v>0</v>
      </c>
      <c r="R242" s="755">
        <v>0</v>
      </c>
    </row>
    <row r="243" spans="1:18" ht="12.75" customHeight="1" x14ac:dyDescent="0.2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">
      <c r="C246" s="616" t="s">
        <v>73</v>
      </c>
      <c r="D246" s="620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">
      <c r="A248" s="763" t="s">
        <v>120</v>
      </c>
      <c r="B248" s="763" t="s">
        <v>70</v>
      </c>
      <c r="D248" s="765">
        <v>0</v>
      </c>
      <c r="E248" s="764">
        <v>0</v>
      </c>
      <c r="F248" s="764">
        <v>0</v>
      </c>
      <c r="G248" s="765">
        <v>0</v>
      </c>
      <c r="H248" s="764">
        <v>0</v>
      </c>
      <c r="I248" s="764">
        <v>0</v>
      </c>
      <c r="J248" s="764">
        <v>0</v>
      </c>
      <c r="K248" s="764">
        <v>0</v>
      </c>
      <c r="L248" s="764">
        <v>0</v>
      </c>
      <c r="M248" s="764">
        <v>0</v>
      </c>
      <c r="N248" s="764">
        <v>0</v>
      </c>
      <c r="O248" s="764">
        <v>0</v>
      </c>
      <c r="P248" s="764">
        <v>0</v>
      </c>
      <c r="Q248" s="764">
        <v>0</v>
      </c>
      <c r="R248" s="763">
        <v>0</v>
      </c>
    </row>
    <row r="249" spans="1:18" ht="12.75" customHeight="1" x14ac:dyDescent="0.2">
      <c r="C249" s="616" t="s">
        <v>72</v>
      </c>
      <c r="D249" s="620">
        <v>0</v>
      </c>
      <c r="E249" s="618">
        <v>0</v>
      </c>
      <c r="F249" s="618">
        <v>0</v>
      </c>
      <c r="G249" s="620">
        <v>0</v>
      </c>
      <c r="H249" s="618">
        <v>0</v>
      </c>
      <c r="I249" s="618">
        <v>0</v>
      </c>
      <c r="J249" s="618">
        <v>0</v>
      </c>
      <c r="K249" s="618">
        <v>0</v>
      </c>
      <c r="L249" s="618">
        <v>0</v>
      </c>
      <c r="M249" s="618">
        <v>0</v>
      </c>
      <c r="N249" s="618">
        <v>0</v>
      </c>
      <c r="O249" s="618">
        <v>0</v>
      </c>
      <c r="P249" s="618">
        <v>0</v>
      </c>
      <c r="Q249" s="618">
        <v>0</v>
      </c>
      <c r="R249" s="616">
        <v>0</v>
      </c>
    </row>
    <row r="250" spans="1:18" ht="12.75" customHeight="1" x14ac:dyDescent="0.2">
      <c r="C250" s="616" t="s">
        <v>81</v>
      </c>
      <c r="D250" s="620">
        <v>0</v>
      </c>
      <c r="E250" s="618">
        <v>0</v>
      </c>
      <c r="F250" s="618">
        <v>0</v>
      </c>
      <c r="G250" s="620">
        <v>0</v>
      </c>
      <c r="H250" s="618">
        <v>0</v>
      </c>
      <c r="I250" s="618">
        <v>0</v>
      </c>
      <c r="J250" s="618">
        <v>0</v>
      </c>
      <c r="K250" s="618">
        <v>0</v>
      </c>
      <c r="L250" s="618">
        <v>0</v>
      </c>
      <c r="M250" s="618">
        <v>0</v>
      </c>
      <c r="N250" s="618">
        <v>0</v>
      </c>
      <c r="O250" s="618">
        <v>0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">
      <c r="B251" s="622" t="s">
        <v>78</v>
      </c>
      <c r="C251" s="622" t="s">
        <v>70</v>
      </c>
      <c r="D251" s="622">
        <v>0</v>
      </c>
      <c r="E251" s="622">
        <v>0</v>
      </c>
      <c r="F251" s="622">
        <v>0</v>
      </c>
      <c r="G251" s="622">
        <v>0</v>
      </c>
      <c r="H251" s="622">
        <v>0</v>
      </c>
      <c r="I251" s="622">
        <v>0</v>
      </c>
      <c r="J251" s="622">
        <v>0</v>
      </c>
      <c r="K251" s="622">
        <v>0</v>
      </c>
      <c r="L251" s="622">
        <v>0</v>
      </c>
      <c r="M251" s="622">
        <v>0</v>
      </c>
      <c r="N251" s="622">
        <v>0</v>
      </c>
      <c r="O251" s="622">
        <v>0</v>
      </c>
      <c r="P251" s="621">
        <v>0</v>
      </c>
      <c r="Q251" s="622">
        <v>0</v>
      </c>
      <c r="R251" s="622">
        <v>0</v>
      </c>
    </row>
    <row r="252" spans="1:18" ht="12.75" customHeight="1" x14ac:dyDescent="0.2">
      <c r="C252" s="616" t="s">
        <v>73</v>
      </c>
      <c r="D252" s="618">
        <v>0</v>
      </c>
      <c r="E252" s="618">
        <v>0</v>
      </c>
      <c r="F252" s="618">
        <v>0</v>
      </c>
      <c r="G252" s="620">
        <v>0</v>
      </c>
      <c r="H252" s="618">
        <v>0</v>
      </c>
      <c r="I252" s="618">
        <v>0</v>
      </c>
      <c r="J252" s="618">
        <v>0</v>
      </c>
      <c r="K252" s="618">
        <v>0</v>
      </c>
      <c r="L252" s="618">
        <v>0</v>
      </c>
      <c r="M252" s="618">
        <v>0</v>
      </c>
      <c r="N252" s="618">
        <v>0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">
      <c r="B253" s="624" t="s">
        <v>79</v>
      </c>
      <c r="C253" s="624" t="s">
        <v>70</v>
      </c>
      <c r="D253" s="624">
        <v>0</v>
      </c>
      <c r="E253" s="624">
        <v>0</v>
      </c>
      <c r="F253" s="624">
        <v>0</v>
      </c>
      <c r="G253" s="624">
        <v>0</v>
      </c>
      <c r="H253" s="624">
        <v>0</v>
      </c>
      <c r="I253" s="624">
        <v>0</v>
      </c>
      <c r="J253" s="624">
        <v>0</v>
      </c>
      <c r="K253" s="624">
        <v>0</v>
      </c>
      <c r="L253" s="624">
        <v>0</v>
      </c>
      <c r="M253" s="624">
        <v>0</v>
      </c>
      <c r="N253" s="624">
        <v>0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">
      <c r="A254" s="754" t="s">
        <v>119</v>
      </c>
      <c r="B254" s="628" t="s">
        <v>70</v>
      </c>
      <c r="C254" s="628"/>
      <c r="D254" s="628">
        <v>0</v>
      </c>
      <c r="E254" s="628">
        <v>0</v>
      </c>
      <c r="F254" s="628">
        <v>0</v>
      </c>
      <c r="G254" s="628">
        <v>0</v>
      </c>
      <c r="H254" s="628">
        <v>0</v>
      </c>
      <c r="I254" s="628">
        <v>0</v>
      </c>
      <c r="J254" s="628">
        <v>0</v>
      </c>
      <c r="K254" s="628">
        <v>0</v>
      </c>
      <c r="L254" s="628">
        <v>0</v>
      </c>
      <c r="M254" s="628">
        <v>0</v>
      </c>
      <c r="N254" s="628">
        <v>0</v>
      </c>
      <c r="O254" s="628">
        <v>0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">
      <c r="A255" s="630" t="s">
        <v>70</v>
      </c>
      <c r="D255" s="630">
        <v>0</v>
      </c>
      <c r="E255" s="630">
        <v>0</v>
      </c>
      <c r="F255" s="630">
        <v>0</v>
      </c>
      <c r="G255" s="630">
        <v>0</v>
      </c>
      <c r="H255" s="630">
        <v>0</v>
      </c>
      <c r="I255" s="630">
        <v>0</v>
      </c>
      <c r="J255" s="630">
        <v>0</v>
      </c>
      <c r="K255" s="630">
        <v>0</v>
      </c>
      <c r="L255" s="630">
        <v>0</v>
      </c>
      <c r="M255" s="630">
        <v>0</v>
      </c>
      <c r="N255" s="630">
        <v>0</v>
      </c>
      <c r="O255" s="630">
        <v>0</v>
      </c>
      <c r="P255" s="631">
        <v>0</v>
      </c>
      <c r="Q255" s="631">
        <v>0</v>
      </c>
      <c r="R255" s="631">
        <v>0</v>
      </c>
    </row>
    <row r="256" spans="1:18" ht="12.75" customHeight="1" x14ac:dyDescent="0.2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">
      <c r="A332" s="782" t="s">
        <v>2</v>
      </c>
      <c r="B332" s="781" t="s">
        <v>132</v>
      </c>
      <c r="C332" s="766" t="s">
        <v>70</v>
      </c>
      <c r="D332" s="766">
        <f>D255-P255</f>
        <v>0</v>
      </c>
      <c r="E332" s="766">
        <f>E251+E245+E239</f>
        <v>0</v>
      </c>
      <c r="F332" s="766">
        <f t="shared" ref="F332:R332" si="11">F251+F245+F239</f>
        <v>0</v>
      </c>
      <c r="G332" s="766">
        <f t="shared" si="11"/>
        <v>0</v>
      </c>
      <c r="H332" s="766">
        <f t="shared" si="11"/>
        <v>0</v>
      </c>
      <c r="I332" s="766">
        <f t="shared" si="11"/>
        <v>0</v>
      </c>
      <c r="J332" s="766">
        <f t="shared" si="11"/>
        <v>0</v>
      </c>
      <c r="K332" s="766">
        <f t="shared" si="11"/>
        <v>0</v>
      </c>
      <c r="L332" s="766">
        <f t="shared" si="11"/>
        <v>0</v>
      </c>
      <c r="M332" s="766">
        <f t="shared" si="11"/>
        <v>0</v>
      </c>
      <c r="N332" s="766">
        <f t="shared" si="11"/>
        <v>0</v>
      </c>
      <c r="O332" s="766">
        <f t="shared" si="11"/>
        <v>0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">
      <c r="A333" s="782"/>
      <c r="B333" s="781"/>
      <c r="C333" s="766" t="s">
        <v>73</v>
      </c>
      <c r="D333" s="766">
        <f>D253+D247+D241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">
      <c r="A335" s="782" t="s">
        <v>160</v>
      </c>
      <c r="B335" s="781" t="s">
        <v>132</v>
      </c>
      <c r="C335" s="632" t="s">
        <v>70</v>
      </c>
      <c r="D335" s="632">
        <f>D248-P248</f>
        <v>0</v>
      </c>
      <c r="E335" s="632">
        <f>E245</f>
        <v>0</v>
      </c>
      <c r="F335" s="632">
        <f t="shared" ref="F335:R335" si="12">F245</f>
        <v>0</v>
      </c>
      <c r="G335" s="632">
        <f t="shared" si="12"/>
        <v>0</v>
      </c>
      <c r="H335" s="632">
        <f t="shared" si="12"/>
        <v>0</v>
      </c>
      <c r="I335" s="632">
        <f t="shared" si="12"/>
        <v>0</v>
      </c>
      <c r="J335" s="632">
        <f t="shared" si="12"/>
        <v>0</v>
      </c>
      <c r="K335" s="632">
        <f t="shared" si="12"/>
        <v>0</v>
      </c>
      <c r="L335" s="632">
        <f t="shared" si="12"/>
        <v>0</v>
      </c>
      <c r="M335" s="632">
        <f t="shared" si="12"/>
        <v>0</v>
      </c>
      <c r="N335" s="632">
        <f t="shared" si="12"/>
        <v>0</v>
      </c>
      <c r="O335" s="632">
        <f t="shared" si="12"/>
        <v>0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">
      <c r="A336" s="782"/>
      <c r="B336" s="781"/>
      <c r="C336" s="632" t="s">
        <v>73</v>
      </c>
      <c r="D336" s="714">
        <f>D247</f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">
      <c r="A338" s="782" t="s">
        <v>155</v>
      </c>
      <c r="B338" s="781" t="s">
        <v>132</v>
      </c>
      <c r="C338" s="633" t="s">
        <v>70</v>
      </c>
      <c r="D338" s="633">
        <f>D242-P242</f>
        <v>0</v>
      </c>
      <c r="E338" s="633">
        <f>E239</f>
        <v>0</v>
      </c>
      <c r="F338" s="633">
        <f t="shared" ref="F338:R338" si="13">F239</f>
        <v>0</v>
      </c>
      <c r="G338" s="633">
        <f t="shared" si="13"/>
        <v>0</v>
      </c>
      <c r="H338" s="633">
        <f t="shared" si="13"/>
        <v>0</v>
      </c>
      <c r="I338" s="633">
        <f t="shared" si="13"/>
        <v>0</v>
      </c>
      <c r="J338" s="633">
        <f t="shared" si="13"/>
        <v>0</v>
      </c>
      <c r="K338" s="633">
        <f t="shared" si="13"/>
        <v>0</v>
      </c>
      <c r="L338" s="633">
        <f t="shared" si="13"/>
        <v>0</v>
      </c>
      <c r="M338" s="633">
        <f t="shared" si="13"/>
        <v>0</v>
      </c>
      <c r="N338" s="633">
        <f t="shared" si="13"/>
        <v>0</v>
      </c>
      <c r="O338" s="633">
        <f t="shared" si="13"/>
        <v>0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">
      <c r="A339" s="782"/>
      <c r="B339" s="781"/>
      <c r="C339" s="633" t="s">
        <v>73</v>
      </c>
      <c r="D339" s="633">
        <f>D241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">
      <c r="A341" s="780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">
      <c r="A344" s="782" t="s">
        <v>119</v>
      </c>
      <c r="B344" s="781" t="s">
        <v>132</v>
      </c>
      <c r="C344" s="628" t="s">
        <v>70</v>
      </c>
      <c r="D344" s="628">
        <f>D254-P254</f>
        <v>0</v>
      </c>
      <c r="E344" s="628">
        <f>E251</f>
        <v>0</v>
      </c>
      <c r="F344" s="628">
        <f t="shared" ref="F344:R344" si="14">F251</f>
        <v>0</v>
      </c>
      <c r="G344" s="628">
        <f t="shared" si="14"/>
        <v>0</v>
      </c>
      <c r="H344" s="628">
        <f t="shared" si="14"/>
        <v>0</v>
      </c>
      <c r="I344" s="628">
        <f t="shared" si="14"/>
        <v>0</v>
      </c>
      <c r="J344" s="628">
        <f t="shared" si="14"/>
        <v>0</v>
      </c>
      <c r="K344" s="628">
        <f t="shared" si="14"/>
        <v>0</v>
      </c>
      <c r="L344" s="628">
        <f t="shared" si="14"/>
        <v>0</v>
      </c>
      <c r="M344" s="628">
        <f t="shared" si="14"/>
        <v>0</v>
      </c>
      <c r="N344" s="628">
        <f t="shared" si="14"/>
        <v>0</v>
      </c>
      <c r="O344" s="628">
        <f t="shared" si="14"/>
        <v>0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">
      <c r="A345" s="782"/>
      <c r="B345" s="781"/>
      <c r="C345" s="628" t="s">
        <v>73</v>
      </c>
      <c r="D345" s="628">
        <f>D253</f>
        <v>0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"/>
    <row r="350" spans="1:18" x14ac:dyDescent="0.2">
      <c r="B350" s="617" t="s">
        <v>93</v>
      </c>
    </row>
    <row r="351" spans="1:18" ht="12.75" customHeight="1" x14ac:dyDescent="0.2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">
      <c r="C352" s="618" t="s">
        <v>72</v>
      </c>
      <c r="D352" s="618">
        <v>0</v>
      </c>
      <c r="E352" s="618">
        <v>0</v>
      </c>
      <c r="F352" s="618">
        <v>0</v>
      </c>
      <c r="G352" s="618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6">
        <v>0</v>
      </c>
      <c r="Q352" s="618">
        <v>0</v>
      </c>
      <c r="R352" s="616">
        <v>0</v>
      </c>
    </row>
    <row r="353" spans="1:18" ht="12" customHeight="1" x14ac:dyDescent="0.2">
      <c r="C353" s="618" t="s">
        <v>81</v>
      </c>
      <c r="D353" s="618">
        <v>0</v>
      </c>
      <c r="E353" s="618">
        <v>0</v>
      </c>
      <c r="F353" s="618">
        <v>0</v>
      </c>
      <c r="G353" s="618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">
      <c r="A354" s="622"/>
      <c r="B354" s="621" t="s">
        <v>78</v>
      </c>
      <c r="C354" s="621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1">
        <v>0</v>
      </c>
      <c r="R354" s="621">
        <v>0</v>
      </c>
    </row>
    <row r="355" spans="1:18" ht="12" customHeight="1" x14ac:dyDescent="0.2">
      <c r="C355" s="618" t="s">
        <v>73</v>
      </c>
      <c r="D355" s="618">
        <v>0</v>
      </c>
      <c r="E355" s="618">
        <v>0</v>
      </c>
      <c r="F355" s="618">
        <v>0</v>
      </c>
      <c r="G355" s="618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">
      <c r="A356" s="624"/>
      <c r="B356" s="624" t="s">
        <v>79</v>
      </c>
      <c r="C356" s="623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">
      <c r="A357" s="625" t="s">
        <v>155</v>
      </c>
      <c r="B357" s="625" t="s">
        <v>70</v>
      </c>
      <c r="D357" s="626">
        <v>0</v>
      </c>
      <c r="E357" s="626">
        <v>0</v>
      </c>
      <c r="F357" s="626">
        <v>0</v>
      </c>
      <c r="G357" s="627">
        <v>0</v>
      </c>
      <c r="H357" s="626">
        <v>0</v>
      </c>
      <c r="I357" s="626">
        <v>0</v>
      </c>
      <c r="J357" s="626">
        <v>0</v>
      </c>
      <c r="K357" s="626">
        <v>0</v>
      </c>
      <c r="L357" s="626">
        <v>0</v>
      </c>
      <c r="M357" s="626">
        <v>0</v>
      </c>
      <c r="N357" s="626">
        <v>0</v>
      </c>
      <c r="O357" s="626">
        <v>0</v>
      </c>
      <c r="P357" s="626">
        <v>0</v>
      </c>
      <c r="Q357" s="626">
        <v>0</v>
      </c>
      <c r="R357" s="625">
        <v>0</v>
      </c>
    </row>
    <row r="358" spans="1:18" ht="12.75" customHeight="1" x14ac:dyDescent="0.2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">
      <c r="C364" s="616" t="s">
        <v>72</v>
      </c>
      <c r="D364" s="618">
        <v>0</v>
      </c>
      <c r="E364" s="618">
        <v>0</v>
      </c>
      <c r="F364" s="618">
        <v>0</v>
      </c>
      <c r="G364" s="620">
        <v>0</v>
      </c>
      <c r="H364" s="618">
        <v>0</v>
      </c>
      <c r="I364" s="618">
        <v>0</v>
      </c>
      <c r="J364" s="618">
        <v>0</v>
      </c>
      <c r="K364" s="618">
        <v>0</v>
      </c>
      <c r="L364" s="618">
        <v>0</v>
      </c>
      <c r="M364" s="618">
        <v>0</v>
      </c>
      <c r="N364" s="618">
        <v>0</v>
      </c>
      <c r="O364" s="618">
        <v>0</v>
      </c>
      <c r="P364" s="618">
        <v>0</v>
      </c>
      <c r="Q364" s="618">
        <v>0</v>
      </c>
      <c r="R364" s="616">
        <v>0</v>
      </c>
    </row>
    <row r="365" spans="1:18" ht="12.6" customHeight="1" x14ac:dyDescent="0.2">
      <c r="C365" s="616" t="s">
        <v>81</v>
      </c>
      <c r="D365" s="618">
        <v>0</v>
      </c>
      <c r="E365" s="618">
        <v>0</v>
      </c>
      <c r="F365" s="618">
        <v>0</v>
      </c>
      <c r="G365" s="620">
        <v>0</v>
      </c>
      <c r="H365" s="618">
        <v>0</v>
      </c>
      <c r="I365" s="618">
        <v>0</v>
      </c>
      <c r="J365" s="618">
        <v>0</v>
      </c>
      <c r="K365" s="618">
        <v>0</v>
      </c>
      <c r="L365" s="618">
        <v>0</v>
      </c>
      <c r="M365" s="618">
        <v>0</v>
      </c>
      <c r="N365" s="618">
        <v>0</v>
      </c>
      <c r="O365" s="618">
        <v>0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">
      <c r="B366" s="622" t="s">
        <v>78</v>
      </c>
      <c r="C366" s="622" t="s">
        <v>70</v>
      </c>
      <c r="D366" s="622">
        <v>0</v>
      </c>
      <c r="E366" s="622">
        <v>0</v>
      </c>
      <c r="F366" s="622">
        <v>0</v>
      </c>
      <c r="G366" s="622">
        <v>0</v>
      </c>
      <c r="H366" s="622">
        <v>0</v>
      </c>
      <c r="I366" s="622">
        <v>0</v>
      </c>
      <c r="J366" s="622">
        <v>0</v>
      </c>
      <c r="K366" s="622">
        <v>0</v>
      </c>
      <c r="L366" s="622">
        <v>0</v>
      </c>
      <c r="M366" s="622">
        <v>0</v>
      </c>
      <c r="N366" s="622">
        <v>0</v>
      </c>
      <c r="O366" s="622">
        <v>0</v>
      </c>
      <c r="P366" s="621">
        <v>0</v>
      </c>
      <c r="Q366" s="622">
        <v>0</v>
      </c>
      <c r="R366" s="622">
        <v>0</v>
      </c>
    </row>
    <row r="367" spans="1:18" ht="12.75" customHeight="1" x14ac:dyDescent="0.2">
      <c r="C367" s="616" t="s">
        <v>73</v>
      </c>
      <c r="D367" s="618">
        <v>0</v>
      </c>
      <c r="E367" s="618">
        <v>0</v>
      </c>
      <c r="F367" s="618">
        <v>0</v>
      </c>
      <c r="G367" s="620">
        <v>0</v>
      </c>
      <c r="H367" s="618">
        <v>0</v>
      </c>
      <c r="I367" s="618">
        <v>0</v>
      </c>
      <c r="J367" s="618">
        <v>0</v>
      </c>
      <c r="K367" s="618">
        <v>0</v>
      </c>
      <c r="L367" s="618">
        <v>0</v>
      </c>
      <c r="M367" s="618">
        <v>0</v>
      </c>
      <c r="N367" s="618">
        <v>0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">
      <c r="B368" s="624" t="s">
        <v>79</v>
      </c>
      <c r="C368" s="624" t="s">
        <v>70</v>
      </c>
      <c r="D368" s="624">
        <v>0</v>
      </c>
      <c r="E368" s="624">
        <v>0</v>
      </c>
      <c r="F368" s="624">
        <v>0</v>
      </c>
      <c r="G368" s="624">
        <v>0</v>
      </c>
      <c r="H368" s="624">
        <v>0</v>
      </c>
      <c r="I368" s="624">
        <v>0</v>
      </c>
      <c r="J368" s="624">
        <v>0</v>
      </c>
      <c r="K368" s="624">
        <v>0</v>
      </c>
      <c r="L368" s="624">
        <v>0</v>
      </c>
      <c r="M368" s="624">
        <v>0</v>
      </c>
      <c r="N368" s="624">
        <v>0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">
      <c r="A369" s="628" t="s">
        <v>119</v>
      </c>
      <c r="B369" s="628" t="s">
        <v>70</v>
      </c>
      <c r="D369" s="628">
        <v>0</v>
      </c>
      <c r="E369" s="628">
        <v>0</v>
      </c>
      <c r="F369" s="628">
        <v>0</v>
      </c>
      <c r="G369" s="628">
        <v>0</v>
      </c>
      <c r="H369" s="628">
        <v>0</v>
      </c>
      <c r="I369" s="628">
        <v>0</v>
      </c>
      <c r="J369" s="628">
        <v>0</v>
      </c>
      <c r="K369" s="628">
        <v>0</v>
      </c>
      <c r="L369" s="628">
        <v>0</v>
      </c>
      <c r="M369" s="628">
        <v>0</v>
      </c>
      <c r="N369" s="628">
        <v>0</v>
      </c>
      <c r="O369" s="628">
        <v>0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">
      <c r="A370" s="630" t="s">
        <v>70</v>
      </c>
      <c r="D370" s="630">
        <v>0</v>
      </c>
      <c r="E370" s="630">
        <v>0</v>
      </c>
      <c r="F370" s="630">
        <v>0</v>
      </c>
      <c r="G370" s="630">
        <v>0</v>
      </c>
      <c r="H370" s="630">
        <v>0</v>
      </c>
      <c r="I370" s="630">
        <v>0</v>
      </c>
      <c r="J370" s="630">
        <v>0</v>
      </c>
      <c r="K370" s="630">
        <v>0</v>
      </c>
      <c r="L370" s="630">
        <v>0</v>
      </c>
      <c r="M370" s="630">
        <v>0</v>
      </c>
      <c r="N370" s="630">
        <v>0</v>
      </c>
      <c r="O370" s="630">
        <v>0</v>
      </c>
      <c r="P370" s="631">
        <v>0</v>
      </c>
      <c r="Q370" s="631">
        <v>0</v>
      </c>
      <c r="R370" s="631">
        <v>0</v>
      </c>
    </row>
    <row r="371" spans="1:18" ht="12.75" customHeight="1" x14ac:dyDescent="0.2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">
      <c r="A373" s="782" t="s">
        <v>2</v>
      </c>
      <c r="B373" s="781" t="s">
        <v>132</v>
      </c>
      <c r="C373" s="766" t="s">
        <v>70</v>
      </c>
      <c r="D373" s="766">
        <f>D370-P370</f>
        <v>0</v>
      </c>
      <c r="E373" s="766">
        <f>E354+E366</f>
        <v>0</v>
      </c>
      <c r="F373" s="766">
        <f t="shared" ref="F373:R373" si="15">F354+F366</f>
        <v>0</v>
      </c>
      <c r="G373" s="766">
        <f t="shared" si="15"/>
        <v>0</v>
      </c>
      <c r="H373" s="766">
        <f t="shared" si="15"/>
        <v>0</v>
      </c>
      <c r="I373" s="766">
        <f t="shared" si="15"/>
        <v>0</v>
      </c>
      <c r="J373" s="766">
        <f t="shared" si="15"/>
        <v>0</v>
      </c>
      <c r="K373" s="766">
        <f t="shared" si="15"/>
        <v>0</v>
      </c>
      <c r="L373" s="766">
        <f t="shared" si="15"/>
        <v>0</v>
      </c>
      <c r="M373" s="766">
        <f t="shared" si="15"/>
        <v>0</v>
      </c>
      <c r="N373" s="766">
        <f t="shared" si="15"/>
        <v>0</v>
      </c>
      <c r="O373" s="766">
        <f t="shared" si="15"/>
        <v>0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">
      <c r="A374" s="782"/>
      <c r="B374" s="781"/>
      <c r="C374" s="766" t="s">
        <v>73</v>
      </c>
      <c r="D374" s="767">
        <f>D356+D368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">
      <c r="A379" s="782" t="s">
        <v>155</v>
      </c>
      <c r="B379" s="781" t="s">
        <v>132</v>
      </c>
      <c r="C379" s="633" t="s">
        <v>70</v>
      </c>
      <c r="D379" s="633">
        <f>D357-P357</f>
        <v>0</v>
      </c>
      <c r="E379" s="633">
        <f>E354</f>
        <v>0</v>
      </c>
      <c r="F379" s="633">
        <f t="shared" ref="F379:R379" si="16">F354</f>
        <v>0</v>
      </c>
      <c r="G379" s="633">
        <f t="shared" si="16"/>
        <v>0</v>
      </c>
      <c r="H379" s="633">
        <f t="shared" si="16"/>
        <v>0</v>
      </c>
      <c r="I379" s="633">
        <f t="shared" si="16"/>
        <v>0</v>
      </c>
      <c r="J379" s="633">
        <f t="shared" si="16"/>
        <v>0</v>
      </c>
      <c r="K379" s="633">
        <f t="shared" si="16"/>
        <v>0</v>
      </c>
      <c r="L379" s="633">
        <f t="shared" si="16"/>
        <v>0</v>
      </c>
      <c r="M379" s="633">
        <f t="shared" si="16"/>
        <v>0</v>
      </c>
      <c r="N379" s="633">
        <f t="shared" si="16"/>
        <v>0</v>
      </c>
      <c r="O379" s="633">
        <f t="shared" si="16"/>
        <v>0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">
      <c r="A380" s="782"/>
      <c r="B380" s="781"/>
      <c r="C380" s="633" t="s">
        <v>73</v>
      </c>
      <c r="D380" s="633">
        <f>D356</f>
        <v>0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">
      <c r="A382" s="780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">
      <c r="A385" s="782" t="s">
        <v>119</v>
      </c>
      <c r="B385" s="781" t="s">
        <v>132</v>
      </c>
      <c r="C385" s="628" t="s">
        <v>70</v>
      </c>
      <c r="D385" s="628">
        <f>D369-P369</f>
        <v>0</v>
      </c>
      <c r="E385" s="628">
        <f>E366</f>
        <v>0</v>
      </c>
      <c r="F385" s="628">
        <f t="shared" ref="F385:R385" si="18">F366</f>
        <v>0</v>
      </c>
      <c r="G385" s="628">
        <f t="shared" si="18"/>
        <v>0</v>
      </c>
      <c r="H385" s="628">
        <f t="shared" si="18"/>
        <v>0</v>
      </c>
      <c r="I385" s="628">
        <f t="shared" si="18"/>
        <v>0</v>
      </c>
      <c r="J385" s="628">
        <f t="shared" si="18"/>
        <v>0</v>
      </c>
      <c r="K385" s="628">
        <f t="shared" si="18"/>
        <v>0</v>
      </c>
      <c r="L385" s="628">
        <f t="shared" si="18"/>
        <v>0</v>
      </c>
      <c r="M385" s="628">
        <f t="shared" si="18"/>
        <v>0</v>
      </c>
      <c r="N385" s="628">
        <f t="shared" si="18"/>
        <v>0</v>
      </c>
      <c r="O385" s="628">
        <f t="shared" si="18"/>
        <v>0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">
      <c r="A386" s="782"/>
      <c r="B386" s="781"/>
      <c r="C386" s="628" t="s">
        <v>73</v>
      </c>
      <c r="D386" s="629">
        <f>D368</f>
        <v>0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"/>
    <row r="393" spans="1:18" x14ac:dyDescent="0.2">
      <c r="D393" s="616">
        <f t="shared" ref="D393:R393" si="19">D79+D180+D217+D332+D373</f>
        <v>0</v>
      </c>
      <c r="E393" s="616">
        <f t="shared" si="19"/>
        <v>0</v>
      </c>
      <c r="F393" s="616">
        <f t="shared" si="19"/>
        <v>0</v>
      </c>
      <c r="G393" s="616">
        <f t="shared" si="19"/>
        <v>0</v>
      </c>
      <c r="H393" s="616">
        <f t="shared" si="19"/>
        <v>0</v>
      </c>
      <c r="I393" s="616">
        <f t="shared" si="19"/>
        <v>0</v>
      </c>
      <c r="J393" s="616">
        <f t="shared" si="19"/>
        <v>0</v>
      </c>
      <c r="K393" s="616">
        <f t="shared" si="19"/>
        <v>0</v>
      </c>
      <c r="L393" s="616">
        <f t="shared" si="19"/>
        <v>0</v>
      </c>
      <c r="M393" s="616">
        <f t="shared" si="19"/>
        <v>0</v>
      </c>
      <c r="N393" s="616">
        <f t="shared" si="19"/>
        <v>0</v>
      </c>
      <c r="O393" s="616">
        <f t="shared" si="19"/>
        <v>0</v>
      </c>
      <c r="P393" s="616">
        <f t="shared" si="19"/>
        <v>0</v>
      </c>
      <c r="Q393" s="616">
        <f t="shared" si="19"/>
        <v>0</v>
      </c>
      <c r="R393" s="616">
        <f t="shared" si="19"/>
        <v>0</v>
      </c>
    </row>
    <row r="394" spans="1:18" x14ac:dyDescent="0.2">
      <c r="D394" s="616">
        <f>D80+D181+D218+D333+D374</f>
        <v>0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2.75" x14ac:dyDescent="0.2"/>
  <cols>
    <col min="2" max="2" width="24.42578125" bestFit="1" customWidth="1"/>
    <col min="3" max="3" width="17" style="144" bestFit="1" customWidth="1"/>
    <col min="4" max="4" width="23.140625" bestFit="1" customWidth="1"/>
    <col min="5" max="5" width="15.85546875" bestFit="1" customWidth="1"/>
    <col min="6" max="6" width="16.140625" customWidth="1"/>
    <col min="7" max="7" width="15.42578125" bestFit="1" customWidth="1"/>
    <col min="8" max="8" width="15" bestFit="1" customWidth="1"/>
    <col min="9" max="9" width="15.140625" bestFit="1" customWidth="1"/>
    <col min="10" max="10" width="17" bestFit="1" customWidth="1"/>
    <col min="11" max="12" width="15.5703125" bestFit="1" customWidth="1"/>
    <col min="13" max="13" width="15.140625" bestFit="1" customWidth="1"/>
    <col min="14" max="14" width="17.85546875" bestFit="1" customWidth="1"/>
    <col min="15" max="15" width="15.5703125" customWidth="1"/>
    <col min="16" max="16" width="20.42578125" bestFit="1" customWidth="1"/>
  </cols>
  <sheetData>
    <row r="1" spans="1:16" x14ac:dyDescent="0.2">
      <c r="B1" s="97" t="s">
        <v>74</v>
      </c>
    </row>
    <row r="2" spans="1:16" ht="12.75" customHeight="1" x14ac:dyDescent="0.2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"/>
    <row r="10" spans="1:16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">
      <c r="B11" s="145" t="s">
        <v>73</v>
      </c>
      <c r="C11" s="99">
        <f>C7</f>
        <v>0</v>
      </c>
      <c r="D11" s="150"/>
    </row>
    <row r="12" spans="1:16" x14ac:dyDescent="0.2">
      <c r="D12" s="150"/>
    </row>
    <row r="13" spans="1:16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">
      <c r="B14" s="97" t="s">
        <v>75</v>
      </c>
    </row>
    <row r="15" spans="1:16" ht="12.75" customHeight="1" x14ac:dyDescent="0.2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">
      <c r="B24" s="145" t="s">
        <v>73</v>
      </c>
      <c r="C24" s="99">
        <f>C20</f>
        <v>0</v>
      </c>
    </row>
    <row r="26" spans="1:16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">
      <c r="B27" s="97" t="s">
        <v>76</v>
      </c>
    </row>
    <row r="28" spans="1:16" ht="12.75" customHeight="1" x14ac:dyDescent="0.2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">
      <c r="B37" s="145" t="s">
        <v>73</v>
      </c>
      <c r="C37" s="99">
        <f>C33</f>
        <v>0</v>
      </c>
    </row>
    <row r="39" spans="1:16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">
      <c r="B40" s="97" t="s">
        <v>88</v>
      </c>
    </row>
    <row r="41" spans="1:16" ht="12.75" customHeight="1" x14ac:dyDescent="0.2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">
      <c r="B50" s="145" t="s">
        <v>73</v>
      </c>
      <c r="C50" s="99">
        <f>C46</f>
        <v>0</v>
      </c>
    </row>
    <row r="52" spans="1:16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">
      <c r="B53" s="97" t="s">
        <v>93</v>
      </c>
    </row>
    <row r="54" spans="1:16" ht="12.75" customHeight="1" x14ac:dyDescent="0.2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2.75" x14ac:dyDescent="0.2"/>
  <cols>
    <col min="2" max="2" width="24.42578125" bestFit="1" customWidth="1"/>
    <col min="3" max="3" width="15.140625" style="144" bestFit="1" customWidth="1"/>
    <col min="4" max="4" width="23.140625" bestFit="1" customWidth="1"/>
    <col min="5" max="5" width="15.85546875" bestFit="1" customWidth="1"/>
    <col min="6" max="6" width="16.5703125" customWidth="1"/>
    <col min="7" max="7" width="15.42578125" bestFit="1" customWidth="1"/>
    <col min="8" max="8" width="15" bestFit="1" customWidth="1"/>
    <col min="9" max="10" width="15" customWidth="1"/>
    <col min="11" max="11" width="15.140625" bestFit="1" customWidth="1"/>
    <col min="12" max="12" width="17" bestFit="1" customWidth="1"/>
    <col min="13" max="14" width="15.5703125" bestFit="1" customWidth="1"/>
    <col min="15" max="15" width="15.140625" bestFit="1" customWidth="1"/>
  </cols>
  <sheetData>
    <row r="1" spans="1:15" x14ac:dyDescent="0.2">
      <c r="B1" s="97" t="s">
        <v>74</v>
      </c>
    </row>
    <row r="2" spans="1:15" ht="12.75" customHeight="1" x14ac:dyDescent="0.2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">
      <c r="B11" s="145" t="s">
        <v>73</v>
      </c>
      <c r="C11" s="99">
        <f>C7</f>
        <v>0</v>
      </c>
    </row>
    <row r="13" spans="1:15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">
      <c r="B14" s="97" t="s">
        <v>75</v>
      </c>
    </row>
    <row r="15" spans="1:15" ht="12.75" customHeight="1" x14ac:dyDescent="0.2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">
      <c r="B24" s="145" t="s">
        <v>73</v>
      </c>
      <c r="C24" s="99">
        <f>C20</f>
        <v>0</v>
      </c>
    </row>
    <row r="26" spans="1:15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">
      <c r="B27" s="97" t="s">
        <v>76</v>
      </c>
    </row>
    <row r="28" spans="1:15" ht="12.75" customHeight="1" x14ac:dyDescent="0.2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">
      <c r="B37" s="145" t="s">
        <v>73</v>
      </c>
      <c r="C37" s="99">
        <f>C33</f>
        <v>0</v>
      </c>
    </row>
    <row r="39" spans="1:15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">
      <c r="B40" s="97" t="s">
        <v>88</v>
      </c>
    </row>
    <row r="41" spans="1:15" ht="12.75" customHeight="1" x14ac:dyDescent="0.2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">
      <c r="B50" s="145" t="s">
        <v>73</v>
      </c>
      <c r="C50" s="99">
        <f>C46</f>
        <v>0</v>
      </c>
    </row>
    <row r="52" spans="1:15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">
      <c r="B53" s="97" t="s">
        <v>93</v>
      </c>
    </row>
    <row r="54" spans="1:15" ht="12.75" customHeight="1" x14ac:dyDescent="0.2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9.140625" style="1" bestFit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8" width="16.85546875" style="1" customWidth="1"/>
    <col min="29" max="30" width="15.85546875" style="1" bestFit="1" customWidth="1"/>
    <col min="31" max="31" width="16.140625" style="1" customWidth="1"/>
    <col min="32" max="32" width="18.140625" style="1" customWidth="1"/>
    <col min="33" max="33" width="13.85546875" style="1" customWidth="1"/>
    <col min="34" max="34" width="3.42578125" style="1" customWidth="1"/>
    <col min="35" max="35" width="13.855468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x14ac:dyDescent="0.2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75" thickBot="1" x14ac:dyDescent="0.25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2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2.75" x14ac:dyDescent="0.2"/>
  <cols>
    <col min="1" max="1" width="2.85546875" customWidth="1"/>
    <col min="2" max="2" width="17.42578125" bestFit="1" customWidth="1"/>
    <col min="3" max="3" width="4.85546875" style="151" bestFit="1" customWidth="1"/>
    <col min="4" max="4" width="42.85546875" style="151" bestFit="1" customWidth="1"/>
    <col min="5" max="5" width="9" customWidth="1"/>
    <col min="6" max="6" width="15.85546875" customWidth="1"/>
    <col min="7" max="7" width="17.42578125" bestFit="1" customWidth="1"/>
    <col min="8" max="8" width="14.140625" customWidth="1"/>
    <col min="9" max="9" width="16.140625" bestFit="1" customWidth="1"/>
    <col min="10" max="10" width="16.85546875" customWidth="1"/>
    <col min="11" max="11" width="17.5703125" customWidth="1"/>
    <col min="12" max="12" width="15.5703125" bestFit="1" customWidth="1"/>
    <col min="13" max="13" width="15.85546875" bestFit="1" customWidth="1"/>
    <col min="14" max="14" width="17" customWidth="1"/>
    <col min="15" max="15" width="17.85546875" customWidth="1"/>
    <col min="16" max="16" width="16.85546875" customWidth="1"/>
    <col min="17" max="17" width="18" customWidth="1"/>
    <col min="18" max="18" width="14.140625" bestFit="1" customWidth="1"/>
    <col min="19" max="19" width="15.85546875" bestFit="1" customWidth="1"/>
    <col min="20" max="20" width="14.140625" bestFit="1" customWidth="1"/>
  </cols>
  <sheetData>
    <row r="1" spans="2:19" ht="13.5" thickBot="1" x14ac:dyDescent="0.25"/>
    <row r="2" spans="2:19" s="151" customFormat="1" ht="13.5" thickBot="1" x14ac:dyDescent="0.2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6.25" thickBot="1" x14ac:dyDescent="0.2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2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2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2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2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3.5" thickBot="1" x14ac:dyDescent="0.2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3.5" thickBot="1" x14ac:dyDescent="0.2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2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3.5" thickBot="1" x14ac:dyDescent="0.25"/>
    <row r="13" spans="2:19" s="151" customFormat="1" ht="13.5" thickBot="1" x14ac:dyDescent="0.2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6.25" thickBot="1" x14ac:dyDescent="0.2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2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2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2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2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3.5" thickBot="1" x14ac:dyDescent="0.2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3.5" thickBot="1" x14ac:dyDescent="0.2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3.5" thickBot="1" x14ac:dyDescent="0.2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3.5" thickBot="1" x14ac:dyDescent="0.2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2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2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2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2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2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3.5" thickBot="1" x14ac:dyDescent="0.2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3.5" thickBot="1" x14ac:dyDescent="0.2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2">
      <c r="G32" s="601"/>
      <c r="H32" s="167"/>
      <c r="I32" s="167"/>
      <c r="K32" s="645">
        <f>SUM(M31:N31)</f>
        <v>1719872614</v>
      </c>
      <c r="L32" s="270"/>
    </row>
    <row r="33" spans="7:17" x14ac:dyDescent="0.2">
      <c r="G33" s="601"/>
      <c r="H33" s="167"/>
      <c r="J33" s="270"/>
      <c r="K33" s="270"/>
      <c r="Q33" s="212"/>
    </row>
    <row r="34" spans="7:17" x14ac:dyDescent="0.2">
      <c r="G34" s="601"/>
      <c r="H34" s="167"/>
      <c r="Q34" s="212"/>
    </row>
    <row r="35" spans="7:17" x14ac:dyDescent="0.2">
      <c r="H35" s="167"/>
      <c r="K35" s="695"/>
      <c r="Q35" s="212"/>
    </row>
    <row r="36" spans="7:17" x14ac:dyDescent="0.2">
      <c r="H36" s="167"/>
      <c r="K36" s="695"/>
      <c r="Q36" s="212"/>
    </row>
    <row r="37" spans="7:17" x14ac:dyDescent="0.2">
      <c r="H37" s="167"/>
      <c r="K37" s="695"/>
      <c r="Q37" s="212"/>
    </row>
    <row r="38" spans="7:17" x14ac:dyDescent="0.2">
      <c r="H38" s="167"/>
      <c r="K38" s="695"/>
      <c r="Q38" s="212"/>
    </row>
    <row r="39" spans="7:17" x14ac:dyDescent="0.2">
      <c r="H39" s="167"/>
      <c r="K39" s="695"/>
    </row>
    <row r="40" spans="7:17" x14ac:dyDescent="0.2">
      <c r="H40" s="167"/>
      <c r="K40" s="695"/>
    </row>
    <row r="41" spans="7:17" x14ac:dyDescent="0.2">
      <c r="H41" s="167"/>
    </row>
    <row r="42" spans="7:17" x14ac:dyDescent="0.2">
      <c r="H42" s="167"/>
    </row>
    <row r="43" spans="7:17" x14ac:dyDescent="0.2">
      <c r="H43" s="167"/>
    </row>
    <row r="44" spans="7:17" x14ac:dyDescent="0.2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2578125" defaultRowHeight="12" x14ac:dyDescent="0.2"/>
  <cols>
    <col min="1" max="1" width="3" style="389" customWidth="1"/>
    <col min="2" max="2" width="4.42578125" style="389" bestFit="1" customWidth="1"/>
    <col min="3" max="3" width="38.140625" style="389" customWidth="1"/>
    <col min="4" max="4" width="15.140625" style="389" customWidth="1"/>
    <col min="5" max="5" width="16" style="389" customWidth="1"/>
    <col min="6" max="7" width="14.85546875" style="389" customWidth="1"/>
    <col min="8" max="9" width="16" style="389" customWidth="1"/>
    <col min="10" max="10" width="17.5703125" style="389" customWidth="1"/>
    <col min="11" max="11" width="3.85546875" style="389" customWidth="1"/>
    <col min="12" max="12" width="2.85546875" style="389" customWidth="1"/>
    <col min="13" max="13" width="4.5703125" style="389" customWidth="1"/>
    <col min="14" max="14" width="11.140625" style="389" customWidth="1"/>
    <col min="15" max="15" width="37.5703125" style="389" bestFit="1" customWidth="1"/>
    <col min="16" max="16" width="19.140625" style="389" customWidth="1"/>
    <col min="17" max="17" width="17.85546875" style="389" customWidth="1"/>
    <col min="18" max="18" width="16.42578125" style="389" customWidth="1"/>
    <col min="19" max="19" width="17.140625" style="389" customWidth="1"/>
    <col min="20" max="20" width="15.85546875" style="389" customWidth="1"/>
    <col min="21" max="21" width="16.140625" style="389" customWidth="1"/>
    <col min="22" max="22" width="13.140625" style="391" customWidth="1"/>
    <col min="23" max="23" width="13.85546875" style="389" customWidth="1"/>
    <col min="24" max="24" width="3.42578125" style="389" customWidth="1"/>
    <col min="25" max="25" width="13.85546875" style="389" bestFit="1" customWidth="1"/>
    <col min="26" max="27" width="11.42578125" style="389"/>
    <col min="28" max="28" width="15.85546875" style="389" bestFit="1" customWidth="1"/>
    <col min="29" max="16384" width="11.425781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.75" thickBot="1" x14ac:dyDescent="0.25">
      <c r="L3" s="390"/>
      <c r="X3" s="390"/>
    </row>
    <row r="4" spans="2:28" x14ac:dyDescent="0.2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75" x14ac:dyDescent="0.2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75" x14ac:dyDescent="0.2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75" x14ac:dyDescent="0.2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75" x14ac:dyDescent="0.2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75" x14ac:dyDescent="0.2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3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75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">
      <c r="B12" s="422">
        <v>1</v>
      </c>
      <c r="C12" s="423" t="s">
        <v>10</v>
      </c>
      <c r="D12" s="424">
        <f>'Reporte Componentes R1'!F119*$D$24</f>
        <v>0</v>
      </c>
      <c r="E12" s="424">
        <f>'Reporte Componentes R1'!G119*$D$24</f>
        <v>0</v>
      </c>
      <c r="F12" s="425">
        <f>'Reporte Componentes R1'!H119*$D$24</f>
        <v>0</v>
      </c>
      <c r="G12" s="425">
        <f>'Reporte Componentes R1'!I119*$D$24</f>
        <v>0</v>
      </c>
      <c r="H12" s="425">
        <f>'Reporte Componentes R1'!J119*$D$24</f>
        <v>0</v>
      </c>
      <c r="I12" s="425">
        <f>'Reporte Componentes R1'!K119*$D$24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R1'!M119*$P$24</f>
        <v>0</v>
      </c>
      <c r="Q12" s="430">
        <f>'Reporte Componentes R1'!N119*$P$24</f>
        <v>0</v>
      </c>
      <c r="R12" s="430">
        <f>'Reporte Componentes R1'!O119*$P$24</f>
        <v>0</v>
      </c>
      <c r="S12" s="430">
        <f>'Reporte Componentes R1'!P119*$P$24</f>
        <v>0</v>
      </c>
      <c r="T12" s="430">
        <f>'Reporte Componentes R1'!Q119*$P$24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">
      <c r="B13" s="432">
        <v>2</v>
      </c>
      <c r="C13" s="433" t="s">
        <v>11</v>
      </c>
      <c r="D13" s="424">
        <f>'Reporte Componentes R1'!F353*$D$24</f>
        <v>0</v>
      </c>
      <c r="E13" s="425">
        <f>'Reporte Componentes R1'!G353*$D$24</f>
        <v>0</v>
      </c>
      <c r="F13" s="425">
        <f>'Reporte Componentes R1'!H353*$D$24</f>
        <v>0</v>
      </c>
      <c r="G13" s="425">
        <f>'Reporte Componentes R1'!I353*$D$24</f>
        <v>0</v>
      </c>
      <c r="H13" s="425">
        <f>'Reporte Componentes R1'!J353*$D$24</f>
        <v>0</v>
      </c>
      <c r="I13" s="425">
        <f>'Reporte Componentes R1'!K353*$D$24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R1'!M353*$P$24</f>
        <v>0</v>
      </c>
      <c r="Q13" s="435">
        <f>'Reporte Componentes R1'!N353*$P$24</f>
        <v>0</v>
      </c>
      <c r="R13" s="435">
        <f>'Reporte Componentes R1'!O353*$P$24</f>
        <v>0</v>
      </c>
      <c r="S13" s="435">
        <f>'Reporte Componentes R1'!P353*$P$24</f>
        <v>0</v>
      </c>
      <c r="T13" s="435">
        <f>'Reporte Componentes R1'!Q353*$P$24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">
      <c r="B14" s="432">
        <v>3</v>
      </c>
      <c r="C14" s="433" t="s">
        <v>12</v>
      </c>
      <c r="D14" s="424">
        <f>'Reporte Componentes R1'!F514*$D$24</f>
        <v>0</v>
      </c>
      <c r="E14" s="424">
        <f>'Reporte Componentes R1'!G514*$D$24</f>
        <v>0</v>
      </c>
      <c r="F14" s="424">
        <f>'Reporte Componentes R1'!H514*$D$24</f>
        <v>0</v>
      </c>
      <c r="G14" s="424">
        <f>'Reporte Componentes R1'!I514*$D$24</f>
        <v>0</v>
      </c>
      <c r="H14" s="424">
        <f>'Reporte Componentes R1'!J514*$D$24</f>
        <v>0</v>
      </c>
      <c r="I14" s="424">
        <f>'Reporte Componentes R1'!K514*$D$24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R1'!M514*$P$24</f>
        <v>0</v>
      </c>
      <c r="Q14" s="435">
        <f>'Reporte Componentes R1'!N514*$P$24</f>
        <v>0</v>
      </c>
      <c r="R14" s="435">
        <f>'Reporte Componentes R1'!O514*$P$24</f>
        <v>0</v>
      </c>
      <c r="S14" s="435">
        <f>'Reporte Componentes R1'!P514*$P$24</f>
        <v>0</v>
      </c>
      <c r="T14" s="435">
        <f>'Reporte Componentes R1'!Q514*$P$24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">
      <c r="B15" s="432">
        <v>4</v>
      </c>
      <c r="C15" s="433" t="s">
        <v>13</v>
      </c>
      <c r="D15" s="424">
        <f>'Reporte Componentes R1'!F722*$D$24</f>
        <v>0</v>
      </c>
      <c r="E15" s="425">
        <f>'Reporte Componentes R1'!G722*$D$24</f>
        <v>0</v>
      </c>
      <c r="F15" s="425">
        <f>'Reporte Componentes R1'!H722*$D$24</f>
        <v>0</v>
      </c>
      <c r="G15" s="425">
        <f>'Reporte Componentes R1'!I722*$D$24</f>
        <v>0</v>
      </c>
      <c r="H15" s="425">
        <f>'Reporte Componentes R1'!J722*$D$24</f>
        <v>0</v>
      </c>
      <c r="I15" s="425">
        <f>'Reporte Componentes R1'!K722*$D$24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R1'!M722*$P$24</f>
        <v>0</v>
      </c>
      <c r="Q15" s="435">
        <f>'Reporte Componentes R1'!N722*$P$24</f>
        <v>0</v>
      </c>
      <c r="R15" s="435">
        <f>'Reporte Componentes R1'!O722*$P$24</f>
        <v>0</v>
      </c>
      <c r="S15" s="435">
        <f>'Reporte Componentes R1'!P722*$P$24</f>
        <v>0</v>
      </c>
      <c r="T15" s="435">
        <f>'Reporte Componentes R1'!Q722*$P$24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75" thickBot="1" x14ac:dyDescent="0.25">
      <c r="B16" s="436">
        <v>5</v>
      </c>
      <c r="C16" s="437" t="s">
        <v>14</v>
      </c>
      <c r="D16" s="438">
        <f>'Reporte Componentes R1'!F841*$D$24</f>
        <v>0</v>
      </c>
      <c r="E16" s="439">
        <f>'Reporte Componentes R1'!G841*$D$24</f>
        <v>0</v>
      </c>
      <c r="F16" s="439">
        <f>'Reporte Componentes R1'!H841*$D$24</f>
        <v>0</v>
      </c>
      <c r="G16" s="439">
        <f>'Reporte Componentes R1'!I841*$D$24</f>
        <v>0</v>
      </c>
      <c r="H16" s="439">
        <f>'Reporte Componentes R1'!J841*$D$24</f>
        <v>0</v>
      </c>
      <c r="I16" s="439">
        <f>'Reporte Componentes R1'!K841*$D$24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R1'!M841*$P$24</f>
        <v>0</v>
      </c>
      <c r="Q16" s="439">
        <f>'Reporte Componentes R1'!N841*$P$24</f>
        <v>0</v>
      </c>
      <c r="R16" s="439">
        <f>'Reporte Componentes R1'!O841*$P$24</f>
        <v>0</v>
      </c>
      <c r="S16" s="439">
        <f>'Reporte Componentes R1'!P841*$P$24</f>
        <v>0</v>
      </c>
      <c r="T16" s="439">
        <f>'Reporte Componentes R1'!Q841*$P$24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75" thickBot="1" x14ac:dyDescent="0.25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75" thickBot="1" x14ac:dyDescent="0.25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75" thickBot="1" x14ac:dyDescent="0.25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75" thickBot="1" x14ac:dyDescent="0.25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x14ac:dyDescent="0.2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75" x14ac:dyDescent="0.2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B94" zoomScaleNormal="100" workbookViewId="0">
      <selection activeCell="E111" sqref="E1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20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4.85546875" style="271" bestFit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38" width="11.42578125" style="1"/>
    <col min="39" max="39" width="15.855468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7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75" x14ac:dyDescent="0.25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75" thickBot="1" x14ac:dyDescent="0.25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x14ac:dyDescent="0.2">
      <c r="B9" s="303">
        <v>1</v>
      </c>
      <c r="C9" s="304" t="s">
        <v>10</v>
      </c>
      <c r="D9" s="386">
        <f>'Reporte Componentes R1'!F89</f>
        <v>0</v>
      </c>
      <c r="E9" s="292">
        <f>'Reporte Componentes R1'!G89</f>
        <v>0</v>
      </c>
      <c r="F9" s="292">
        <f>'Reporte Componentes R1'!H89</f>
        <v>0</v>
      </c>
      <c r="G9" s="292">
        <f>'Reporte Componentes R1'!I89</f>
        <v>0</v>
      </c>
      <c r="H9" s="292">
        <f>'Reporte Componentes R1'!J89</f>
        <v>0</v>
      </c>
      <c r="I9" s="292">
        <f>'Reporte Componentes R1'!K89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R1'!L89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R1'!M89</f>
        <v>0</v>
      </c>
      <c r="V9" s="308">
        <f>'Reporte Componentes R1'!N89</f>
        <v>0</v>
      </c>
      <c r="W9" s="308">
        <f>'Reporte Componentes R1'!O89</f>
        <v>0</v>
      </c>
      <c r="X9" s="308">
        <f>'Reporte Componentes R1'!P89</f>
        <v>0</v>
      </c>
      <c r="Y9" s="309">
        <f>'Reporte Componentes R1'!Q89</f>
        <v>0</v>
      </c>
      <c r="Z9" s="310">
        <f>L9*-1</f>
        <v>-189185988</v>
      </c>
      <c r="AA9" s="311">
        <f>'Reporte Componentes R1'!R89+'Reporte Componentes R1'!U89+'Reporte Componentes R1'!V89</f>
        <v>0</v>
      </c>
      <c r="AB9" s="312">
        <f>N9</f>
        <v>0</v>
      </c>
      <c r="AC9" s="320">
        <f>'Reporte Componentes R1'!T89+'Reporte Componentes R1'!W89+'Reporte Componentes R1'!X89+'Reporte Componentes R1'!Y89+'Reporte Componentes R1'!Z89+'Reporte Componentes R1'!S89</f>
        <v>0</v>
      </c>
      <c r="AD9" s="291">
        <f>-J9+AE9</f>
        <v>0</v>
      </c>
      <c r="AE9" s="291">
        <f>'Reporte Componentes R1'!F90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R1'!F323</f>
        <v>0</v>
      </c>
      <c r="E10" s="292">
        <f>'Reporte Componentes R1'!G323</f>
        <v>0</v>
      </c>
      <c r="F10" s="292">
        <f>'Reporte Componentes R1'!H323</f>
        <v>0</v>
      </c>
      <c r="G10" s="292">
        <f>'Reporte Componentes R1'!I323</f>
        <v>0</v>
      </c>
      <c r="H10" s="292">
        <f>'Reporte Componentes R1'!J323</f>
        <v>0</v>
      </c>
      <c r="I10" s="292">
        <f>'Reporte Componentes R1'!K323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R1'!L323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R1'!M323</f>
        <v>0</v>
      </c>
      <c r="V10" s="317">
        <f>'Reporte Componentes R1'!N323</f>
        <v>0</v>
      </c>
      <c r="W10" s="317">
        <f>'Reporte Componentes R1'!O323</f>
        <v>0</v>
      </c>
      <c r="X10" s="317">
        <f>'Reporte Componentes R1'!P323</f>
        <v>0</v>
      </c>
      <c r="Y10" s="318">
        <f>'Reporte Componentes R1'!Q323</f>
        <v>0</v>
      </c>
      <c r="Z10" s="319">
        <f>L10*-1</f>
        <v>-266580256</v>
      </c>
      <c r="AA10" s="320">
        <f>'Reporte Componentes R1'!R323+'Reporte Componentes R1'!U323+'Reporte Componentes R1'!V323</f>
        <v>0</v>
      </c>
      <c r="AB10" s="321">
        <f>N10</f>
        <v>0</v>
      </c>
      <c r="AC10" s="320">
        <f>'Reporte Componentes R1'!T323+'Reporte Componentes R1'!W323+'Reporte Componentes R1'!X323+'Reporte Componentes R1'!Y323+'Reporte Componentes R1'!Z323+'Reporte Componentes R1'!S323</f>
        <v>0</v>
      </c>
      <c r="AD10" s="291">
        <f t="shared" ref="AD10:AD13" si="0">-J10+AE10</f>
        <v>0</v>
      </c>
      <c r="AE10" s="291">
        <f>'Reporte Componentes R1'!F324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R1'!F484</f>
        <v>0</v>
      </c>
      <c r="E11" s="292">
        <f>'Reporte Componentes R1'!G484</f>
        <v>0</v>
      </c>
      <c r="F11" s="292">
        <f>'Reporte Componentes R1'!H484</f>
        <v>0</v>
      </c>
      <c r="G11" s="292">
        <f>'Reporte Componentes R1'!I484</f>
        <v>0</v>
      </c>
      <c r="H11" s="292">
        <f>'Reporte Componentes R1'!J484</f>
        <v>0</v>
      </c>
      <c r="I11" s="292">
        <f>'Reporte Componentes R1'!K484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R1'!L484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R1'!M484</f>
        <v>0</v>
      </c>
      <c r="V11" s="317">
        <f>'Reporte Componentes R1'!N484</f>
        <v>0</v>
      </c>
      <c r="W11" s="317">
        <f>'Reporte Componentes R1'!O484</f>
        <v>0</v>
      </c>
      <c r="X11" s="317">
        <f>'Reporte Componentes R1'!P484</f>
        <v>0</v>
      </c>
      <c r="Y11" s="318">
        <f>'Reporte Componentes R1'!Q484</f>
        <v>0</v>
      </c>
      <c r="Z11" s="319">
        <f>L11*-1</f>
        <v>-154788536</v>
      </c>
      <c r="AA11" s="320">
        <f>'Reporte Componentes R1'!R484+'Reporte Componentes R1'!U484+'Reporte Componentes R1'!V484</f>
        <v>0</v>
      </c>
      <c r="AB11" s="321">
        <f>N11</f>
        <v>0</v>
      </c>
      <c r="AC11" s="320">
        <f>'Reporte Componentes R1'!T484+'Reporte Componentes R1'!W484+'Reporte Componentes R1'!X484+'Reporte Componentes R1'!Y484+'Reporte Componentes R1'!Z484+'Reporte Componentes R1'!S484</f>
        <v>0</v>
      </c>
      <c r="AD11" s="291">
        <f t="shared" si="0"/>
        <v>0</v>
      </c>
      <c r="AE11" s="291">
        <f>'Reporte Componentes R1'!F485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R1'!F692</f>
        <v>0</v>
      </c>
      <c r="E12" s="292">
        <f>'Reporte Componentes R1'!G692</f>
        <v>0</v>
      </c>
      <c r="F12" s="292">
        <f>'Reporte Componentes R1'!H692</f>
        <v>0</v>
      </c>
      <c r="G12" s="292">
        <f>'Reporte Componentes R1'!I692</f>
        <v>0</v>
      </c>
      <c r="H12" s="292">
        <f>'Reporte Componentes R1'!J692</f>
        <v>0</v>
      </c>
      <c r="I12" s="292">
        <f>'Reporte Componentes R1'!K692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R1'!L692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R1'!M692</f>
        <v>0</v>
      </c>
      <c r="V12" s="317">
        <f>'Reporte Componentes R1'!N692</f>
        <v>0</v>
      </c>
      <c r="W12" s="317">
        <f>'Reporte Componentes R1'!O692</f>
        <v>0</v>
      </c>
      <c r="X12" s="317">
        <f>'Reporte Componentes R1'!P692</f>
        <v>0</v>
      </c>
      <c r="Y12" s="318">
        <f>'Reporte Componentes R1'!Q692</f>
        <v>0</v>
      </c>
      <c r="Z12" s="319">
        <f>L12*-1</f>
        <v>-120391083</v>
      </c>
      <c r="AA12" s="320">
        <f>'Reporte Componentes R1'!R692+'Reporte Componentes R1'!U692+'Reporte Componentes R1'!V692</f>
        <v>0</v>
      </c>
      <c r="AB12" s="321">
        <f>N12</f>
        <v>0</v>
      </c>
      <c r="AC12" s="320">
        <f>'Reporte Componentes R1'!T692+'Reporte Componentes R1'!W692+'Reporte Componentes R1'!X692+'Reporte Componentes R1'!Y692+'Reporte Componentes R1'!Z692+'Reporte Componentes R1'!S692</f>
        <v>0</v>
      </c>
      <c r="AD12" s="291">
        <f t="shared" si="0"/>
        <v>0</v>
      </c>
      <c r="AE12" s="291">
        <f>'Reporte Componentes R1'!F693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R1'!F811</f>
        <v>0</v>
      </c>
      <c r="E13" s="297">
        <f>'Reporte Componentes R1'!G811</f>
        <v>0</v>
      </c>
      <c r="F13" s="297">
        <f>'Reporte Componentes R1'!H811</f>
        <v>0</v>
      </c>
      <c r="G13" s="297">
        <f>'Reporte Componentes R1'!I811</f>
        <v>0</v>
      </c>
      <c r="H13" s="297">
        <f>'Reporte Componentes R1'!J811</f>
        <v>0</v>
      </c>
      <c r="I13" s="297">
        <f>'Reporte Componentes R1'!K811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R1'!L811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R1'!M811</f>
        <v>0</v>
      </c>
      <c r="V13" s="297">
        <f>'Reporte Componentes R1'!N811</f>
        <v>0</v>
      </c>
      <c r="W13" s="297">
        <f>'Reporte Componentes R1'!O811</f>
        <v>0</v>
      </c>
      <c r="X13" s="297">
        <f>'Reporte Componentes R1'!P811</f>
        <v>0</v>
      </c>
      <c r="Y13" s="289">
        <f>'Reporte Componentes R1'!Q811</f>
        <v>0</v>
      </c>
      <c r="Z13" s="319">
        <f>L13*-1</f>
        <v>-128990446</v>
      </c>
      <c r="AA13" s="320">
        <f>'Reporte Componentes R1'!R811+'Reporte Componentes R1'!U811+'Reporte Componentes R1'!V811</f>
        <v>0</v>
      </c>
      <c r="AB13" s="321">
        <f>N13</f>
        <v>0</v>
      </c>
      <c r="AC13" s="320">
        <f>'Reporte Componentes R1'!T811+'Reporte Componentes R1'!W811+'Reporte Componentes R1'!X811+'Reporte Componentes R1'!Y811+'Reporte Componentes R1'!Z811+'Reporte Componentes R1'!S811</f>
        <v>0</v>
      </c>
      <c r="AD13" s="291">
        <f t="shared" si="0"/>
        <v>0</v>
      </c>
      <c r="AE13" s="291">
        <f>'Reporte Componentes R1'!F812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7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R2'!E57</f>
        <v>0</v>
      </c>
      <c r="E28" s="292">
        <f>'Rem. Anticipos R2'!F57</f>
        <v>0</v>
      </c>
      <c r="F28" s="292">
        <f>'Rem. Anticipos R2'!G57</f>
        <v>0</v>
      </c>
      <c r="G28" s="292">
        <f>'Rem. Anticipos R2'!H57</f>
        <v>0</v>
      </c>
      <c r="H28" s="292">
        <f>'Rem. Anticipos R2'!I57</f>
        <v>0</v>
      </c>
      <c r="I28" s="292">
        <f>'Rem. Anticipos R2'!J57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R2'!L57</f>
        <v>0</v>
      </c>
      <c r="V28" s="308">
        <f>'Rem. Anticipos R2'!M57</f>
        <v>0</v>
      </c>
      <c r="W28" s="308">
        <f>'Rem. Anticipos R2'!N57</f>
        <v>0</v>
      </c>
      <c r="X28" s="308">
        <f>'Rem. Anticipos R2'!O57</f>
        <v>0</v>
      </c>
      <c r="Y28" s="308">
        <f>'Rem. Anticipos R2'!P57</f>
        <v>0</v>
      </c>
      <c r="Z28" s="310">
        <f>L28*-1</f>
        <v>0</v>
      </c>
      <c r="AA28" s="311">
        <f>'Rem. Anticipos R2'!Q57</f>
        <v>0</v>
      </c>
      <c r="AB28" s="294">
        <f>N28</f>
        <v>0</v>
      </c>
      <c r="AC28" s="311">
        <f>'Rem. Anticipos R2'!R57</f>
        <v>0</v>
      </c>
      <c r="AD28" s="291">
        <f>-J28+AE28</f>
        <v>0</v>
      </c>
      <c r="AE28" s="291">
        <f>'Rem. Anticipos R2'!E58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R2'!E178</f>
        <v>0</v>
      </c>
      <c r="E29" s="292">
        <f>'Rem. Anticipos R2'!F178</f>
        <v>0</v>
      </c>
      <c r="F29" s="292">
        <f>'Rem. Anticipos R2'!G178</f>
        <v>0</v>
      </c>
      <c r="G29" s="292">
        <f>'Rem. Anticipos R2'!H178</f>
        <v>0</v>
      </c>
      <c r="H29" s="292">
        <f>'Rem. Anticipos R2'!I178</f>
        <v>0</v>
      </c>
      <c r="I29" s="292">
        <f>'Rem. Anticipos R2'!J178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R2'!K178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R2'!L178</f>
        <v>0</v>
      </c>
      <c r="V29" s="317">
        <f>'Rem. Anticipos R2'!M178</f>
        <v>0</v>
      </c>
      <c r="W29" s="317">
        <f>'Rem. Anticipos R2'!N178</f>
        <v>0</v>
      </c>
      <c r="X29" s="317">
        <f>'Rem. Anticipos R2'!O178</f>
        <v>0</v>
      </c>
      <c r="Y29" s="318">
        <f>'Rem. Anticipos R2'!P178</f>
        <v>0</v>
      </c>
      <c r="Z29" s="319">
        <f>L29*-1</f>
        <v>0</v>
      </c>
      <c r="AA29" s="320">
        <f>'Rem. Anticipos R2'!Q178</f>
        <v>0</v>
      </c>
      <c r="AB29" s="294">
        <f>N29</f>
        <v>0</v>
      </c>
      <c r="AC29" s="320">
        <f>'Rem. Anticipos R2'!R178</f>
        <v>0</v>
      </c>
      <c r="AD29" s="291">
        <f>-J29+AE29</f>
        <v>0</v>
      </c>
      <c r="AE29" s="291">
        <f>'Rem. Anticipos R2'!E179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R2'!E299</f>
        <v>0</v>
      </c>
      <c r="E30" s="292">
        <f>'Rem. Anticipos R2'!F299</f>
        <v>0</v>
      </c>
      <c r="F30" s="292">
        <f>'Rem. Anticipos R2'!G299</f>
        <v>0</v>
      </c>
      <c r="G30" s="292">
        <f>'Rem. Anticipos R2'!H299</f>
        <v>0</v>
      </c>
      <c r="H30" s="292">
        <f>'Rem. Anticipos R2'!I299</f>
        <v>0</v>
      </c>
      <c r="I30" s="292">
        <f>'Rem. Anticipos R2'!J299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R2'!K299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R2'!L299</f>
        <v>0</v>
      </c>
      <c r="V30" s="317">
        <f>'Rem. Anticipos R2'!M299</f>
        <v>0</v>
      </c>
      <c r="W30" s="317">
        <f>'Rem. Anticipos R2'!N299</f>
        <v>0</v>
      </c>
      <c r="X30" s="317">
        <f>'Rem. Anticipos R2'!O299</f>
        <v>0</v>
      </c>
      <c r="Y30" s="318">
        <f>'Rem. Anticipos R2'!P299</f>
        <v>0</v>
      </c>
      <c r="Z30" s="319">
        <f>L30*-1</f>
        <v>0</v>
      </c>
      <c r="AA30" s="320">
        <f>'Rem. Anticipos R2'!Q299</f>
        <v>0</v>
      </c>
      <c r="AB30" s="294">
        <f>N30</f>
        <v>0</v>
      </c>
      <c r="AC30" s="320">
        <f>'Rem. Anticipos R2'!R299</f>
        <v>0</v>
      </c>
      <c r="AD30" s="291">
        <f t="shared" ref="AD30:AD32" si="9">-J30+AE30</f>
        <v>0</v>
      </c>
      <c r="AE30" s="291">
        <f>'Rem. Anticipos R2'!E300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R2'!E423</f>
        <v>0</v>
      </c>
      <c r="E31" s="292">
        <f>'Rem. Anticipos R2'!F423</f>
        <v>0</v>
      </c>
      <c r="F31" s="292">
        <f>'Rem. Anticipos R2'!G423</f>
        <v>0</v>
      </c>
      <c r="G31" s="292">
        <f>'Rem. Anticipos R2'!H423</f>
        <v>0</v>
      </c>
      <c r="H31" s="292">
        <f>'Rem. Anticipos R2'!I423</f>
        <v>0</v>
      </c>
      <c r="I31" s="292">
        <f>'Rem. Anticipos R2'!J423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R2'!K423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R2'!L423</f>
        <v>0</v>
      </c>
      <c r="V31" s="317">
        <f>'Rem. Anticipos R2'!M423</f>
        <v>0</v>
      </c>
      <c r="W31" s="317">
        <f>'Rem. Anticipos R2'!N423</f>
        <v>0</v>
      </c>
      <c r="X31" s="317">
        <f>'Rem. Anticipos R2'!O423</f>
        <v>0</v>
      </c>
      <c r="Y31" s="318">
        <f>'Rem. Anticipos R2'!P423</f>
        <v>0</v>
      </c>
      <c r="Z31" s="319">
        <f>L31*-1</f>
        <v>0</v>
      </c>
      <c r="AA31" s="320">
        <f>'Rem. Anticipos R2'!Q423</f>
        <v>0</v>
      </c>
      <c r="AB31" s="294">
        <f>N31</f>
        <v>0</v>
      </c>
      <c r="AC31" s="320">
        <f>'Rem. Anticipos R2'!R423</f>
        <v>0</v>
      </c>
      <c r="AD31" s="291">
        <f t="shared" si="9"/>
        <v>0</v>
      </c>
      <c r="AE31" s="291">
        <f>'Rem. Anticipos R2'!E424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R2'!E510</f>
        <v>0</v>
      </c>
      <c r="E32" s="297">
        <f>'Rem. Anticipos R2'!F510</f>
        <v>0</v>
      </c>
      <c r="F32" s="297">
        <f>'Rem. Anticipos R2'!G510</f>
        <v>0</v>
      </c>
      <c r="G32" s="297">
        <f>'Rem. Anticipos R2'!H510</f>
        <v>0</v>
      </c>
      <c r="H32" s="297">
        <f>'Rem. Anticipos R2'!I510</f>
        <v>0</v>
      </c>
      <c r="I32" s="297">
        <f>'Rem. Anticipos R2'!J510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R2'!K510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R2'!L510</f>
        <v>0</v>
      </c>
      <c r="V32" s="297">
        <f>'Rem. Anticipos R2'!M510</f>
        <v>0</v>
      </c>
      <c r="W32" s="297">
        <f>'Rem. Anticipos R2'!N510</f>
        <v>0</v>
      </c>
      <c r="X32" s="297">
        <f>'Rem. Anticipos R2'!O510</f>
        <v>0</v>
      </c>
      <c r="Y32" s="289">
        <f>'Rem. Anticipos R2'!P510</f>
        <v>0</v>
      </c>
      <c r="Z32" s="319">
        <f>L32*-1</f>
        <v>0</v>
      </c>
      <c r="AA32" s="320">
        <f>'Rem. Anticipos R2'!Q510</f>
        <v>0</v>
      </c>
      <c r="AB32" s="294">
        <f>N32</f>
        <v>0</v>
      </c>
      <c r="AC32" s="320">
        <f>'Rem. Anticipos R2'!R510</f>
        <v>0</v>
      </c>
      <c r="AD32" s="291">
        <f t="shared" si="9"/>
        <v>0</v>
      </c>
      <c r="AE32" s="291">
        <f>'Rem. Anticipos R2'!E511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7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R1'!F91</f>
        <v>0</v>
      </c>
      <c r="E47" s="292">
        <f>'Reporte Componentes R1'!G91</f>
        <v>0</v>
      </c>
      <c r="F47" s="292">
        <f>'Reporte Componentes R1'!H91</f>
        <v>0</v>
      </c>
      <c r="G47" s="292">
        <f>'Reporte Componentes R1'!I91</f>
        <v>0</v>
      </c>
      <c r="H47" s="292">
        <f>'Reporte Componentes R1'!J91</f>
        <v>0</v>
      </c>
      <c r="I47" s="292">
        <f>'Reporte Componentes R1'!K91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R1'!M91</f>
        <v>0</v>
      </c>
      <c r="V47" s="308">
        <f>'Reporte Componentes R1'!N91</f>
        <v>0</v>
      </c>
      <c r="W47" s="308">
        <f>'Reporte Componentes R1'!O91</f>
        <v>0</v>
      </c>
      <c r="X47" s="308">
        <f>'Reporte Componentes R1'!P91</f>
        <v>0</v>
      </c>
      <c r="Y47" s="309">
        <f>'Reporte Componentes R1'!Q91</f>
        <v>0</v>
      </c>
      <c r="Z47" s="310">
        <f>-L47</f>
        <v>0</v>
      </c>
      <c r="AA47" s="320">
        <f>'Reporte Componentes R1'!R91+'Reporte Componentes R1'!V91+'Reporte Componentes R1'!U91</f>
        <v>0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R1'!F486</f>
        <v>0</v>
      </c>
      <c r="E49" s="292">
        <f>'Reporte Componentes R1'!G486</f>
        <v>0</v>
      </c>
      <c r="F49" s="292">
        <f>'Reporte Componentes R1'!H486</f>
        <v>0</v>
      </c>
      <c r="G49" s="292">
        <f>'Reporte Componentes R1'!I486</f>
        <v>0</v>
      </c>
      <c r="H49" s="292">
        <f>'Reporte Componentes R1'!J486</f>
        <v>0</v>
      </c>
      <c r="I49" s="292">
        <f>'Reporte Componentes R1'!K486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R1'!L486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R1'!M486</f>
        <v>0</v>
      </c>
      <c r="V49" s="317">
        <f>'Reporte Componentes R1'!N486</f>
        <v>0</v>
      </c>
      <c r="W49" s="317">
        <f>'Reporte Componentes R1'!O486</f>
        <v>0</v>
      </c>
      <c r="X49" s="317">
        <f>'Reporte Componentes R1'!P486</f>
        <v>0</v>
      </c>
      <c r="Y49" s="318">
        <f>'Reporte Componentes R1'!Q486</f>
        <v>0</v>
      </c>
      <c r="Z49" s="319">
        <f>-L49</f>
        <v>0</v>
      </c>
      <c r="AA49" s="320">
        <f>'Reporte Componentes R1'!R486+'Reporte Componentes R1'!V486+'Reporte Componentes R1'!U486</f>
        <v>0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0</v>
      </c>
      <c r="AE49" s="291">
        <f>'Reporte Componentes R1'!F487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R1'!F694</f>
        <v>0</v>
      </c>
      <c r="E50" s="292">
        <f>'Reporte Componentes R1'!G694</f>
        <v>0</v>
      </c>
      <c r="F50" s="292">
        <f>'Reporte Componentes R1'!H694</f>
        <v>0</v>
      </c>
      <c r="G50" s="292">
        <f>'Reporte Componentes R1'!I694</f>
        <v>0</v>
      </c>
      <c r="H50" s="292">
        <f>'Reporte Componentes R1'!J694</f>
        <v>0</v>
      </c>
      <c r="I50" s="292">
        <f>'Reporte Componentes R1'!K694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R1'!L694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R1'!M694</f>
        <v>0</v>
      </c>
      <c r="V50" s="317">
        <f>'Reporte Componentes R1'!N694</f>
        <v>0</v>
      </c>
      <c r="W50" s="317">
        <f>'Reporte Componentes R1'!O694</f>
        <v>0</v>
      </c>
      <c r="X50" s="317">
        <f>'Reporte Componentes R1'!P694</f>
        <v>0</v>
      </c>
      <c r="Y50" s="318">
        <f>'Reporte Componentes R1'!Q694</f>
        <v>0</v>
      </c>
      <c r="Z50" s="319">
        <f>-L50</f>
        <v>0</v>
      </c>
      <c r="AA50" s="320">
        <f>'Reporte Componentes R1'!R694+'Reporte Componentes R1'!V694+'Reporte Componentes R1'!U694</f>
        <v>0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0</v>
      </c>
      <c r="AE50" s="291">
        <f>'Reporte Componentes R1'!F695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R1'!F813</f>
        <v>0</v>
      </c>
      <c r="E51" s="297">
        <f>'Reporte Componentes R1'!G813</f>
        <v>0</v>
      </c>
      <c r="F51" s="297">
        <f>'Reporte Componentes R1'!H813</f>
        <v>0</v>
      </c>
      <c r="G51" s="297">
        <f>'Reporte Componentes R1'!I813</f>
        <v>0</v>
      </c>
      <c r="H51" s="297">
        <f>'Reporte Componentes R1'!J813</f>
        <v>0</v>
      </c>
      <c r="I51" s="297">
        <f>'Reporte Componentes R1'!K813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R1'!L813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R1'!M813</f>
        <v>0</v>
      </c>
      <c r="V51" s="297">
        <f>'Reporte Componentes R1'!N813</f>
        <v>0</v>
      </c>
      <c r="W51" s="297">
        <f>'Reporte Componentes R1'!O813</f>
        <v>0</v>
      </c>
      <c r="X51" s="297">
        <f>'Reporte Componentes R1'!P813</f>
        <v>0</v>
      </c>
      <c r="Y51" s="289">
        <f>'Reporte Componentes R1'!Q813</f>
        <v>0</v>
      </c>
      <c r="Z51" s="319">
        <f>-L51</f>
        <v>0</v>
      </c>
      <c r="AA51" s="320">
        <f>'Reporte Componentes R1'!R813+'Reporte Componentes R1'!V813+'Reporte Componentes R1'!U813</f>
        <v>0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0</v>
      </c>
      <c r="AE51" s="291">
        <f>'Reporte Componentes R1'!F814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7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8">
        <f>'Reversion Pagos R4'!N79</f>
        <v>0</v>
      </c>
      <c r="Z66" s="310">
        <f>-L66</f>
        <v>0</v>
      </c>
      <c r="AA66" s="320">
        <f>'Reversion Pagos R4'!O79</f>
        <v>0</v>
      </c>
      <c r="AB66" s="294">
        <f>N66</f>
        <v>0</v>
      </c>
      <c r="AC66" s="320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7">-L67</f>
        <v>0</v>
      </c>
      <c r="AA67" s="320">
        <f>'Reversion Pagos R4'!O180</f>
        <v>0</v>
      </c>
      <c r="AB67" s="294">
        <f t="shared" ref="AB67:AB70" si="28">N67</f>
        <v>0</v>
      </c>
      <c r="AC67" s="320">
        <f>+'Reversion Pagos R4'!Q180+'Reversion Pagos R4'!R180</f>
        <v>0</v>
      </c>
      <c r="AD67" s="291">
        <f>-J67+AE67</f>
        <v>0</v>
      </c>
      <c r="AE67" s="291">
        <f>'Reversion Pagos R4'!D181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7"/>
        <v>0</v>
      </c>
      <c r="AA68" s="320">
        <f>'Reversion Pagos R4'!O217</f>
        <v>0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0</v>
      </c>
      <c r="AE68" s="291">
        <f>'Reversion Pagos R4'!D218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7"/>
        <v>0</v>
      </c>
      <c r="AA69" s="320">
        <f>'Reversion Pagos R4'!O332</f>
        <v>0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0</v>
      </c>
      <c r="AE69" s="291">
        <f>'Reversion Pagos R4'!D333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7"/>
        <v>0</v>
      </c>
      <c r="AA70" s="320">
        <f>'Reversion Pagos R4'!O373</f>
        <v>0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0</v>
      </c>
      <c r="AE70" s="291">
        <f>'Reversion Pagos R4'!D374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7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72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75" x14ac:dyDescent="0.25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25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  <c r="AA117" s="305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x14ac:dyDescent="0.2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x14ac:dyDescent="0.2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x14ac:dyDescent="0.2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x14ac:dyDescent="0.2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2.75" x14ac:dyDescent="0.2"/>
  <cols>
    <col min="1" max="1" width="3" customWidth="1"/>
    <col min="2" max="2" width="4.140625" bestFit="1" customWidth="1"/>
    <col min="3" max="4" width="16.8554687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5" thickBot="1" x14ac:dyDescent="0.25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Recaudo'!F10</f>
        <v>0</v>
      </c>
    </row>
    <row r="15" spans="2:16" x14ac:dyDescent="0.2">
      <c r="C15" s="249" t="b">
        <f>C14=C9</f>
        <v>1</v>
      </c>
    </row>
    <row r="16" spans="2:16" x14ac:dyDescent="0.2">
      <c r="C16" s="355"/>
    </row>
    <row r="18" spans="3:18" ht="13.5" thickBot="1" x14ac:dyDescent="0.25">
      <c r="D18" s="701" t="s">
        <v>269</v>
      </c>
      <c r="E18" s="701"/>
    </row>
    <row r="19" spans="3:18" ht="36.75" thickBot="1" x14ac:dyDescent="0.25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5" thickBot="1" x14ac:dyDescent="0.25">
      <c r="D27" s="701" t="s">
        <v>270</v>
      </c>
    </row>
    <row r="28" spans="3:18" ht="57" customHeight="1" thickBot="1" x14ac:dyDescent="0.25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">
      <c r="K35" s="141"/>
      <c r="P35" s="270">
        <f>P33-G33</f>
        <v>0</v>
      </c>
    </row>
    <row r="36" spans="4:17" x14ac:dyDescent="0.2">
      <c r="F36" s="141"/>
      <c r="L36" s="141"/>
      <c r="P36" s="141"/>
    </row>
    <row r="37" spans="4:17" x14ac:dyDescent="0.2">
      <c r="E37" s="141"/>
      <c r="P37" s="601"/>
    </row>
    <row r="38" spans="4:17" x14ac:dyDescent="0.2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4.85546875" style="1" bestFit="1" customWidth="1"/>
    <col min="5" max="5" width="15.42578125" style="1" bestFit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1.140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18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R1'!F328</f>
        <v>0</v>
      </c>
      <c r="E10" s="292">
        <f>'Reporte Componentes R1'!G328</f>
        <v>0</v>
      </c>
      <c r="F10" s="292">
        <f>'Reporte Componentes R1'!H328</f>
        <v>0</v>
      </c>
      <c r="G10" s="292">
        <f>'Reporte Componentes R1'!I328</f>
        <v>0</v>
      </c>
      <c r="H10" s="292">
        <f>'Reporte Componentes R1'!J328</f>
        <v>0</v>
      </c>
      <c r="I10" s="292">
        <f>'Reporte Componentes R1'!K328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R1'!L328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R1'!M328</f>
        <v>0</v>
      </c>
      <c r="V10" s="317">
        <f>'Reporte Componentes R1'!N328</f>
        <v>0</v>
      </c>
      <c r="W10" s="317">
        <f>'Reporte Componentes R1'!O328</f>
        <v>0</v>
      </c>
      <c r="X10" s="317">
        <f>'Reporte Componentes R1'!P328</f>
        <v>0</v>
      </c>
      <c r="Y10" s="318">
        <f>'Reporte Componentes R1'!Q328</f>
        <v>0</v>
      </c>
      <c r="Z10" s="319">
        <f>L10*-1</f>
        <v>0</v>
      </c>
      <c r="AA10" s="320">
        <f>'Reporte Componentes R1'!R328+'Reporte Componentes R1'!V328+'Reporte Componentes R1'!U328</f>
        <v>0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0</v>
      </c>
      <c r="AD10" s="291">
        <f t="shared" ref="AD10:AD13" si="2">-J10+AE10</f>
        <v>0</v>
      </c>
      <c r="AE10" s="291">
        <f>'Reporte Componentes R1'!F329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R1'!F697</f>
        <v>0</v>
      </c>
      <c r="E12" s="292">
        <f>'Reporte Componentes R1'!G697</f>
        <v>0</v>
      </c>
      <c r="F12" s="292">
        <f>'Reporte Componentes R1'!H697</f>
        <v>0</v>
      </c>
      <c r="G12" s="292">
        <f>'Reporte Componentes R1'!I697</f>
        <v>0</v>
      </c>
      <c r="H12" s="292">
        <f>'Reporte Componentes R1'!J697</f>
        <v>0</v>
      </c>
      <c r="I12" s="292">
        <f>'Reporte Componentes R1'!K697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R1'!L697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R1'!M697</f>
        <v>0</v>
      </c>
      <c r="V12" s="317">
        <f>'Reporte Componentes R1'!N697</f>
        <v>0</v>
      </c>
      <c r="W12" s="317">
        <f>'Reporte Componentes R1'!O697</f>
        <v>0</v>
      </c>
      <c r="X12" s="317">
        <f>'Reporte Componentes R1'!P697</f>
        <v>0</v>
      </c>
      <c r="Y12" s="318">
        <f>'Reporte Componentes R1'!Q697</f>
        <v>0</v>
      </c>
      <c r="Z12" s="319">
        <f>L12*-1</f>
        <v>0</v>
      </c>
      <c r="AA12" s="320">
        <f>'Reporte Componentes R1'!R697+'Reporte Componentes R1'!V697+'Reporte Componentes R1'!U697</f>
        <v>0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0</v>
      </c>
      <c r="AE12" s="291">
        <f>'Reporte Componentes R1'!F698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R2'!E181</f>
        <v>0</v>
      </c>
      <c r="E29" s="292">
        <f>'Rem. Anticipos R2'!F181</f>
        <v>0</v>
      </c>
      <c r="F29" s="292">
        <f>'Rem. Anticipos R2'!G181</f>
        <v>0</v>
      </c>
      <c r="G29" s="292">
        <f>'Rem. Anticipos R2'!H181</f>
        <v>0</v>
      </c>
      <c r="H29" s="292">
        <f>'Rem. Anticipos R2'!I181</f>
        <v>0</v>
      </c>
      <c r="I29" s="292">
        <f>'Rem. Anticipos R2'!J181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R2'!K181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R2'!L181</f>
        <v>0</v>
      </c>
      <c r="V29" s="317">
        <f>'Rem. Anticipos R2'!M181</f>
        <v>0</v>
      </c>
      <c r="W29" s="317">
        <f>'Rem. Anticipos R2'!N181</f>
        <v>0</v>
      </c>
      <c r="X29" s="317">
        <f>'Rem. Anticipos R2'!O181</f>
        <v>0</v>
      </c>
      <c r="Y29" s="318">
        <f>'Rem. Anticipos R2'!P181</f>
        <v>0</v>
      </c>
      <c r="Z29" s="319">
        <f>L29*-1</f>
        <v>0</v>
      </c>
      <c r="AA29" s="320">
        <f>'Rem. Anticipos R2'!Q181</f>
        <v>0</v>
      </c>
      <c r="AB29" s="294">
        <f>N29</f>
        <v>0</v>
      </c>
      <c r="AC29" s="320">
        <f>'Rem. Anticipos R2'!R181</f>
        <v>0</v>
      </c>
      <c r="AD29" s="291">
        <f>-J29+AE29</f>
        <v>0</v>
      </c>
      <c r="AE29" s="291">
        <f>'Rem. Anticipos R2'!E182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R2'!E426</f>
        <v>0</v>
      </c>
      <c r="E31" s="292">
        <f>'Rem. Anticipos R2'!F426</f>
        <v>0</v>
      </c>
      <c r="F31" s="292">
        <f>'Rem. Anticipos R2'!G426</f>
        <v>0</v>
      </c>
      <c r="G31" s="292">
        <f>'Rem. Anticipos R2'!H426</f>
        <v>0</v>
      </c>
      <c r="H31" s="292">
        <f>'Rem. Anticipos R2'!I426</f>
        <v>0</v>
      </c>
      <c r="I31" s="292">
        <f>'Rem. Anticipos R2'!J426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R2'!K426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R2'!L426</f>
        <v>0</v>
      </c>
      <c r="V31" s="317">
        <f>'Rem. Anticipos R2'!M426</f>
        <v>0</v>
      </c>
      <c r="W31" s="317">
        <f>'Rem. Anticipos R2'!N426</f>
        <v>0</v>
      </c>
      <c r="X31" s="317">
        <f>'Rem. Anticipos R2'!O426</f>
        <v>0</v>
      </c>
      <c r="Y31" s="318">
        <f>'Rem. Anticipos R2'!P426</f>
        <v>0</v>
      </c>
      <c r="Z31" s="319">
        <f>L31*-1</f>
        <v>0</v>
      </c>
      <c r="AA31" s="320">
        <f>'Rem. Anticipos R2'!Q426</f>
        <v>0</v>
      </c>
      <c r="AB31" s="294">
        <f>N31</f>
        <v>0</v>
      </c>
      <c r="AC31" s="320">
        <f>'Rem. Anticipos R2'!R426</f>
        <v>0</v>
      </c>
      <c r="AD31" s="291">
        <f t="shared" si="10"/>
        <v>0</v>
      </c>
      <c r="AE31" s="291">
        <f>'Rem. Anticipos R2'!E427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R1'!F699</f>
        <v>0</v>
      </c>
      <c r="E50" s="292">
        <f>'Reporte Componentes R1'!G699</f>
        <v>0</v>
      </c>
      <c r="F50" s="292">
        <f>'Reporte Componentes R1'!H699</f>
        <v>0</v>
      </c>
      <c r="G50" s="292">
        <f>'Reporte Componentes R1'!I699</f>
        <v>0</v>
      </c>
      <c r="H50" s="292">
        <f>'Reporte Componentes R1'!J699</f>
        <v>0</v>
      </c>
      <c r="I50" s="292">
        <f>'Reporte Componentes R1'!K699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R1'!L699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R1'!M699</f>
        <v>0</v>
      </c>
      <c r="V50" s="317">
        <f>'Reporte Componentes R1'!N699</f>
        <v>0</v>
      </c>
      <c r="W50" s="317">
        <f>'Reporte Componentes R1'!O699</f>
        <v>0</v>
      </c>
      <c r="X50" s="317">
        <f>'Reporte Componentes R1'!P699</f>
        <v>0</v>
      </c>
      <c r="Y50" s="318">
        <f>'Reporte Componentes R1'!Q699</f>
        <v>0</v>
      </c>
      <c r="Z50" s="319">
        <f>-L50</f>
        <v>0</v>
      </c>
      <c r="AA50" s="320">
        <f>'Reporte Componentes R1'!R699+'Reporte Componentes R1'!V699+'Reporte Componentes R1'!U699</f>
        <v>0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0</v>
      </c>
      <c r="AE50" s="291">
        <f>'Reporte Componentes R1'!F700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R4'!D335</f>
        <v>0</v>
      </c>
      <c r="E69" s="292">
        <f>'Reversion Pagos R4'!E335</f>
        <v>0</v>
      </c>
      <c r="F69" s="292">
        <f>'Reversion Pagos R4'!F335</f>
        <v>0</v>
      </c>
      <c r="G69" s="292">
        <f>'Reversion Pagos R4'!G335</f>
        <v>0</v>
      </c>
      <c r="H69" s="292">
        <f>'Reversion Pagos R4'!H335</f>
        <v>0</v>
      </c>
      <c r="I69" s="292">
        <f>'Reversion Pagos R4'!I335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7">
        <f>'Reversion Pagos R4'!K335</f>
        <v>0</v>
      </c>
      <c r="W69" s="317">
        <f>'Reversion Pagos R4'!L335</f>
        <v>0</v>
      </c>
      <c r="X69" s="317">
        <f>'Reversion Pagos R4'!M335</f>
        <v>0</v>
      </c>
      <c r="Y69" s="318">
        <f>'Reversion Pagos R4'!N335</f>
        <v>0</v>
      </c>
      <c r="Z69" s="319">
        <f t="shared" si="27"/>
        <v>0</v>
      </c>
      <c r="AA69" s="320">
        <f>'Reversion Pagos R4'!O335</f>
        <v>0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0</v>
      </c>
      <c r="AE69" s="291">
        <f>'Reversion Pagos R4'!D336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Recaudo'!D9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9.8554687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R1'!F99</f>
        <v>0</v>
      </c>
      <c r="E9" s="292">
        <f>'Reporte Componentes R1'!G99</f>
        <v>0</v>
      </c>
      <c r="F9" s="292">
        <f>'Reporte Componentes R1'!H99</f>
        <v>0</v>
      </c>
      <c r="G9" s="292">
        <f>'Reporte Componentes R1'!I99</f>
        <v>0</v>
      </c>
      <c r="H9" s="292">
        <f>'Reporte Componentes R1'!J99</f>
        <v>0</v>
      </c>
      <c r="I9" s="292">
        <f>'Reporte Componentes R1'!K99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R1'!L99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R1'!M99</f>
        <v>0</v>
      </c>
      <c r="V9" s="308">
        <f>'Reporte Componentes R1'!N99</f>
        <v>0</v>
      </c>
      <c r="W9" s="308">
        <f>'Reporte Componentes R1'!O99</f>
        <v>0</v>
      </c>
      <c r="X9" s="308">
        <f>'Reporte Componentes R1'!P99</f>
        <v>0</v>
      </c>
      <c r="Y9" s="309">
        <f>'Reporte Componentes R1'!Q99</f>
        <v>0</v>
      </c>
      <c r="Z9" s="310">
        <f>L9*-1</f>
        <v>-189185988</v>
      </c>
      <c r="AA9" s="311">
        <f>'Reporte Componentes R1'!R99+'Reporte Componentes R1'!V99+'Reporte Componentes R1'!U99</f>
        <v>0</v>
      </c>
      <c r="AB9" s="294">
        <f>N9</f>
        <v>0</v>
      </c>
      <c r="AC9" s="311">
        <f>'Reporte Componentes R1'!T99+'Reporte Componentes R1'!W99+'Reporte Componentes R1'!X99+'Reporte Componentes R1'!Y99+'Reporte Componentes R1'!Z99+'Reporte Componentes R1'!S99</f>
        <v>0</v>
      </c>
      <c r="AD9" s="291">
        <f>-J9+AE9</f>
        <v>0</v>
      </c>
      <c r="AE9" s="291">
        <f>'Reporte Componentes R1'!F100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R1'!F333</f>
        <v>0</v>
      </c>
      <c r="E10" s="292">
        <f>'Reporte Componentes R1'!G333</f>
        <v>0</v>
      </c>
      <c r="F10" s="292">
        <f>'Reporte Componentes R1'!H333</f>
        <v>0</v>
      </c>
      <c r="G10" s="292">
        <f>'Reporte Componentes R1'!I333</f>
        <v>0</v>
      </c>
      <c r="H10" s="292">
        <f>'Reporte Componentes R1'!J333</f>
        <v>0</v>
      </c>
      <c r="I10" s="292">
        <f>'Reporte Componentes R1'!K333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R1'!L333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R1'!M333</f>
        <v>0</v>
      </c>
      <c r="V10" s="317">
        <f>'Reporte Componentes R1'!N333</f>
        <v>0</v>
      </c>
      <c r="W10" s="317">
        <f>'Reporte Componentes R1'!O333</f>
        <v>0</v>
      </c>
      <c r="X10" s="317">
        <f>'Reporte Componentes R1'!P333</f>
        <v>0</v>
      </c>
      <c r="Y10" s="318">
        <f>'Reporte Componentes R1'!Q333</f>
        <v>0</v>
      </c>
      <c r="Z10" s="319">
        <f>L10*-1</f>
        <v>-266580256</v>
      </c>
      <c r="AA10" s="320">
        <f>'Reporte Componentes R1'!R333+'Reporte Componentes R1'!V333+'Reporte Componentes R1'!U333</f>
        <v>0</v>
      </c>
      <c r="AB10" s="294">
        <f>N10</f>
        <v>0</v>
      </c>
      <c r="AC10" s="320">
        <f>'Reporte Componentes R1'!T333+'Reporte Componentes R1'!W333+'Reporte Componentes R1'!X333+'Reporte Componentes R1'!Y333+'Reporte Componentes R1'!Z333+'Reporte Componentes R1'!S333</f>
        <v>0</v>
      </c>
      <c r="AD10" s="291">
        <f t="shared" ref="AD10:AD13" si="1">-J10+AE10</f>
        <v>0</v>
      </c>
      <c r="AE10" s="291">
        <f>'Reporte Componentes R1'!F334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R1'!F494</f>
        <v>0</v>
      </c>
      <c r="E11" s="292">
        <f>'Reporte Componentes R1'!G494</f>
        <v>0</v>
      </c>
      <c r="F11" s="292">
        <f>'Reporte Componentes R1'!H494</f>
        <v>0</v>
      </c>
      <c r="G11" s="292">
        <f>'Reporte Componentes R1'!I494</f>
        <v>0</v>
      </c>
      <c r="H11" s="292">
        <f>'Reporte Componentes R1'!J494</f>
        <v>0</v>
      </c>
      <c r="I11" s="292">
        <f>'Reporte Componentes R1'!K494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R1'!L494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R1'!M494</f>
        <v>0</v>
      </c>
      <c r="V11" s="317">
        <f>'Reporte Componentes R1'!N494</f>
        <v>0</v>
      </c>
      <c r="W11" s="317">
        <f>'Reporte Componentes R1'!O494</f>
        <v>0</v>
      </c>
      <c r="X11" s="317">
        <f>'Reporte Componentes R1'!P494</f>
        <v>0</v>
      </c>
      <c r="Y11" s="318">
        <f>'Reporte Componentes R1'!Q494</f>
        <v>0</v>
      </c>
      <c r="Z11" s="319">
        <f>L11*-1</f>
        <v>-154788536</v>
      </c>
      <c r="AA11" s="320">
        <f>'Reporte Componentes R1'!R494+'Reporte Componentes R1'!V494+'Reporte Componentes R1'!U494</f>
        <v>0</v>
      </c>
      <c r="AB11" s="294">
        <f>N11</f>
        <v>0</v>
      </c>
      <c r="AC11" s="320">
        <f>'Reporte Componentes R1'!T494+'Reporte Componentes R1'!W494+'Reporte Componentes R1'!X494+'Reporte Componentes R1'!Y494+'Reporte Componentes R1'!Z494+'Reporte Componentes R1'!S494</f>
        <v>0</v>
      </c>
      <c r="AD11" s="291">
        <f t="shared" si="1"/>
        <v>0</v>
      </c>
      <c r="AE11" s="291">
        <f>'Reporte Componentes R1'!F495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R1'!F702</f>
        <v>0</v>
      </c>
      <c r="E12" s="292">
        <f>'Reporte Componentes R1'!G702</f>
        <v>0</v>
      </c>
      <c r="F12" s="292">
        <f>'Reporte Componentes R1'!H702</f>
        <v>0</v>
      </c>
      <c r="G12" s="292">
        <f>'Reporte Componentes R1'!I702</f>
        <v>0</v>
      </c>
      <c r="H12" s="292">
        <f>'Reporte Componentes R1'!J702</f>
        <v>0</v>
      </c>
      <c r="I12" s="292">
        <f>'Reporte Componentes R1'!K702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R1'!L702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R1'!M702</f>
        <v>0</v>
      </c>
      <c r="V12" s="317">
        <f>'Reporte Componentes R1'!N702</f>
        <v>0</v>
      </c>
      <c r="W12" s="317">
        <f>'Reporte Componentes R1'!O702</f>
        <v>0</v>
      </c>
      <c r="X12" s="317">
        <f>'Reporte Componentes R1'!P702</f>
        <v>0</v>
      </c>
      <c r="Y12" s="318">
        <f>'Reporte Componentes R1'!Q702</f>
        <v>0</v>
      </c>
      <c r="Z12" s="319">
        <f>L12*-1</f>
        <v>-120391083</v>
      </c>
      <c r="AA12" s="320">
        <f>'Reporte Componentes R1'!R702+'Reporte Componentes R1'!V702+'Reporte Componentes R1'!U702</f>
        <v>0</v>
      </c>
      <c r="AB12" s="294">
        <f>N12</f>
        <v>0</v>
      </c>
      <c r="AC12" s="320">
        <f>'Reporte Componentes R1'!T702+'Reporte Componentes R1'!W702+'Reporte Componentes R1'!X702+'Reporte Componentes R1'!Y702+'Reporte Componentes R1'!Z702+'Reporte Componentes R1'!S702</f>
        <v>0</v>
      </c>
      <c r="AD12" s="291">
        <f t="shared" si="1"/>
        <v>0</v>
      </c>
      <c r="AE12" s="291">
        <f>'Reporte Componentes R1'!F703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R1'!F821</f>
        <v>0</v>
      </c>
      <c r="E13" s="297">
        <f>'Reporte Componentes R1'!G821</f>
        <v>0</v>
      </c>
      <c r="F13" s="297">
        <f>'Reporte Componentes R1'!H821</f>
        <v>0</v>
      </c>
      <c r="G13" s="297">
        <f>'Reporte Componentes R1'!I821</f>
        <v>0</v>
      </c>
      <c r="H13" s="297">
        <f>'Reporte Componentes R1'!J821</f>
        <v>0</v>
      </c>
      <c r="I13" s="297">
        <f>'Reporte Componentes R1'!K821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R1'!L821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R1'!M821</f>
        <v>0</v>
      </c>
      <c r="V13" s="297">
        <f>'Reporte Componentes R1'!N821</f>
        <v>0</v>
      </c>
      <c r="W13" s="297">
        <f>'Reporte Componentes R1'!O821</f>
        <v>0</v>
      </c>
      <c r="X13" s="297">
        <f>'Reporte Componentes R1'!P821</f>
        <v>0</v>
      </c>
      <c r="Y13" s="289">
        <f>'Reporte Componentes R1'!Q821</f>
        <v>0</v>
      </c>
      <c r="Z13" s="319">
        <f>L13*-1</f>
        <v>-128990446</v>
      </c>
      <c r="AA13" s="320">
        <f>'Reporte Componentes R1'!R821+'Reporte Componentes R1'!V821+'Reporte Componentes R1'!U821</f>
        <v>0</v>
      </c>
      <c r="AB13" s="294">
        <f>N13</f>
        <v>0</v>
      </c>
      <c r="AC13" s="320">
        <f>'Reporte Componentes R1'!T821+'Reporte Componentes R1'!W821+'Reporte Componentes R1'!X821+'Reporte Componentes R1'!Y821+'Reporte Componentes R1'!Z821+'Reporte Componentes R1'!S821</f>
        <v>0</v>
      </c>
      <c r="AD13" s="291">
        <f t="shared" si="1"/>
        <v>0</v>
      </c>
      <c r="AE13" s="291">
        <f>'Reporte Componentes R1'!F822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75" thickBot="1" x14ac:dyDescent="0.25">
      <c r="B28" s="303">
        <v>1</v>
      </c>
      <c r="C28" s="304" t="s">
        <v>10</v>
      </c>
      <c r="D28" s="291">
        <f>'Rem. Anticipos R2'!E63</f>
        <v>0</v>
      </c>
      <c r="E28" s="292">
        <f>'Rem. Anticipos R2'!F63</f>
        <v>0</v>
      </c>
      <c r="F28" s="292">
        <f>'Rem. Anticipos R2'!G63</f>
        <v>0</v>
      </c>
      <c r="G28" s="292">
        <f>'Rem. Anticipos R2'!H63</f>
        <v>0</v>
      </c>
      <c r="H28" s="292">
        <f>'Rem. Anticipos R2'!I63</f>
        <v>0</v>
      </c>
      <c r="I28" s="292">
        <f>'Rem. Anticipos R2'!J63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R2'!L63</f>
        <v>0</v>
      </c>
      <c r="V28" s="308">
        <f>'Rem. Anticipos R2'!M63</f>
        <v>0</v>
      </c>
      <c r="W28" s="308">
        <f>'Rem. Anticipos R2'!N63</f>
        <v>0</v>
      </c>
      <c r="X28" s="308">
        <f>'Rem. Anticipos R2'!O63</f>
        <v>0</v>
      </c>
      <c r="Y28" s="309">
        <f>'Rem. Anticipos R2'!P63</f>
        <v>0</v>
      </c>
      <c r="Z28" s="310">
        <f>L28*-1</f>
        <v>0</v>
      </c>
      <c r="AA28" s="311">
        <f>'Rem. Anticipos R2'!Q63</f>
        <v>0</v>
      </c>
      <c r="AB28" s="294">
        <f>N28</f>
        <v>0</v>
      </c>
      <c r="AC28" s="311">
        <f>'Rem. Anticipos R2'!R63</f>
        <v>0</v>
      </c>
      <c r="AD28" s="291">
        <f>-J28+AE28</f>
        <v>0</v>
      </c>
      <c r="AE28" s="291">
        <f>'Rem. Anticipos R2'!E64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R2'!E184</f>
        <v>0</v>
      </c>
      <c r="E29" s="292">
        <f>'Rem. Anticipos R2'!F184</f>
        <v>0</v>
      </c>
      <c r="F29" s="292">
        <f>'Rem. Anticipos R2'!G184</f>
        <v>0</v>
      </c>
      <c r="G29" s="292">
        <f>'Rem. Anticipos R2'!H184</f>
        <v>0</v>
      </c>
      <c r="H29" s="292">
        <f>'Rem. Anticipos R2'!I184</f>
        <v>0</v>
      </c>
      <c r="I29" s="292">
        <f>'Rem. Anticipos R2'!J184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R2'!K184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R2'!L184</f>
        <v>0</v>
      </c>
      <c r="V29" s="317">
        <f>'Rem. Anticipos R2'!M184</f>
        <v>0</v>
      </c>
      <c r="W29" s="317">
        <f>'Rem. Anticipos R2'!N184</f>
        <v>0</v>
      </c>
      <c r="X29" s="317">
        <f>'Rem. Anticipos R2'!O184</f>
        <v>0</v>
      </c>
      <c r="Y29" s="318">
        <f>'Rem. Anticipos R2'!P184</f>
        <v>0</v>
      </c>
      <c r="Z29" s="319">
        <f>L29*-1</f>
        <v>0</v>
      </c>
      <c r="AA29" s="320">
        <f>'Rem. Anticipos R2'!Q184</f>
        <v>0</v>
      </c>
      <c r="AB29" s="294">
        <f>N29</f>
        <v>0</v>
      </c>
      <c r="AC29" s="320">
        <f>'Rem. Anticipos R2'!R184</f>
        <v>0</v>
      </c>
      <c r="AD29" s="291">
        <f>-J29+AE29</f>
        <v>0</v>
      </c>
      <c r="AE29" s="291">
        <f>'Rem. Anticipos R2'!E185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R2'!E305</f>
        <v>0</v>
      </c>
      <c r="E30" s="292">
        <f>'Rem. Anticipos R2'!F305</f>
        <v>0</v>
      </c>
      <c r="F30" s="292">
        <f>'Rem. Anticipos R2'!G305</f>
        <v>0</v>
      </c>
      <c r="G30" s="292">
        <f>'Rem. Anticipos R2'!H305</f>
        <v>0</v>
      </c>
      <c r="H30" s="292">
        <f>'Rem. Anticipos R2'!I305</f>
        <v>0</v>
      </c>
      <c r="I30" s="292">
        <f>'Rem. Anticipos R2'!J305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R2'!L305</f>
        <v>0</v>
      </c>
      <c r="V30" s="317">
        <f>'Rem. Anticipos R2'!M305</f>
        <v>0</v>
      </c>
      <c r="W30" s="317">
        <f>'Rem. Anticipos R2'!N305</f>
        <v>0</v>
      </c>
      <c r="X30" s="317">
        <f>'Rem. Anticipos R2'!O305</f>
        <v>0</v>
      </c>
      <c r="Y30" s="318">
        <f>'Rem. Anticipos R2'!P305</f>
        <v>0</v>
      </c>
      <c r="Z30" s="319">
        <f>L30*-1</f>
        <v>0</v>
      </c>
      <c r="AA30" s="320">
        <f>'Rem. Anticipos R2'!Q305</f>
        <v>0</v>
      </c>
      <c r="AB30" s="294">
        <f>N30</f>
        <v>0</v>
      </c>
      <c r="AC30" s="320">
        <f>'Rem. Anticipos R2'!R305</f>
        <v>0</v>
      </c>
      <c r="AD30" s="291">
        <f t="shared" ref="AD30:AD32" si="10">-J30+AE30</f>
        <v>0</v>
      </c>
      <c r="AE30" s="291">
        <f>'Rem. Anticipos R2'!E306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R2'!E429</f>
        <v>0</v>
      </c>
      <c r="E31" s="292">
        <f>'Rem. Anticipos R2'!F429</f>
        <v>0</v>
      </c>
      <c r="F31" s="292">
        <f>'Rem. Anticipos R2'!G429</f>
        <v>0</v>
      </c>
      <c r="G31" s="292">
        <f>'Rem. Anticipos R2'!H429</f>
        <v>0</v>
      </c>
      <c r="H31" s="292">
        <f>'Rem. Anticipos R2'!I429</f>
        <v>0</v>
      </c>
      <c r="I31" s="292">
        <f>'Rem. Anticipos R2'!J429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R2'!K429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R2'!L429</f>
        <v>0</v>
      </c>
      <c r="V31" s="317">
        <f>'Rem. Anticipos R2'!M429</f>
        <v>0</v>
      </c>
      <c r="W31" s="317">
        <f>'Rem. Anticipos R2'!N429</f>
        <v>0</v>
      </c>
      <c r="X31" s="317">
        <f>'Rem. Anticipos R2'!O429</f>
        <v>0</v>
      </c>
      <c r="Y31" s="318">
        <f>'Rem. Anticipos R2'!P429</f>
        <v>0</v>
      </c>
      <c r="Z31" s="319">
        <f>L31*-1</f>
        <v>0</v>
      </c>
      <c r="AA31" s="320">
        <f>'Rem. Anticipos R2'!Q429</f>
        <v>0</v>
      </c>
      <c r="AB31" s="294">
        <f>N31</f>
        <v>0</v>
      </c>
      <c r="AC31" s="320">
        <f>'Rem. Anticipos R2'!R429</f>
        <v>0</v>
      </c>
      <c r="AD31" s="291">
        <f t="shared" si="10"/>
        <v>0</v>
      </c>
      <c r="AE31" s="291">
        <f>'Rem. Anticipos R2'!E430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R2'!E516</f>
        <v>0</v>
      </c>
      <c r="E32" s="297">
        <f>'Rem. Anticipos R2'!F516</f>
        <v>0</v>
      </c>
      <c r="F32" s="297">
        <f>'Rem. Anticipos R2'!G516</f>
        <v>0</v>
      </c>
      <c r="G32" s="297">
        <f>'Rem. Anticipos R2'!H516</f>
        <v>0</v>
      </c>
      <c r="H32" s="297">
        <f>'Rem. Anticipos R2'!I516</f>
        <v>0</v>
      </c>
      <c r="I32" s="297">
        <f>'Rem. Anticipos R2'!J516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R2'!K516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R2'!L516</f>
        <v>0</v>
      </c>
      <c r="V32" s="297">
        <f>'Rem. Anticipos R2'!M516</f>
        <v>0</v>
      </c>
      <c r="W32" s="297">
        <f>'Rem. Anticipos R2'!N516</f>
        <v>0</v>
      </c>
      <c r="X32" s="297">
        <f>'Rem. Anticipos R2'!O516</f>
        <v>0</v>
      </c>
      <c r="Y32" s="289">
        <f>'Rem. Anticipos R2'!P516</f>
        <v>0</v>
      </c>
      <c r="Z32" s="319">
        <f>L32*-1</f>
        <v>0</v>
      </c>
      <c r="AA32" s="320">
        <f>'Rem. Anticipos R2'!Q516</f>
        <v>0</v>
      </c>
      <c r="AB32" s="294">
        <f>N32</f>
        <v>0</v>
      </c>
      <c r="AC32" s="320">
        <f>'Rem. Anticipos R2'!R516</f>
        <v>0</v>
      </c>
      <c r="AD32" s="291">
        <f t="shared" si="10"/>
        <v>0</v>
      </c>
      <c r="AE32" s="291">
        <f>'Rem. Anticipos R2'!E517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75" thickBot="1" x14ac:dyDescent="0.25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R1'!F496</f>
        <v>0</v>
      </c>
      <c r="E49" s="292">
        <f>'Reporte Componentes R1'!G496</f>
        <v>0</v>
      </c>
      <c r="F49" s="292">
        <f>'Reporte Componentes R1'!H496</f>
        <v>0</v>
      </c>
      <c r="G49" s="292">
        <f>'Reporte Componentes R1'!I496</f>
        <v>0</v>
      </c>
      <c r="H49" s="292">
        <f>'Reporte Componentes R1'!J496</f>
        <v>0</v>
      </c>
      <c r="I49" s="292">
        <f>'Reporte Componentes R1'!K496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R1'!L496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R1'!M496</f>
        <v>0</v>
      </c>
      <c r="V49" s="317">
        <f>'Reporte Componentes R1'!N496</f>
        <v>0</v>
      </c>
      <c r="W49" s="317">
        <f>'Reporte Componentes R1'!O496</f>
        <v>0</v>
      </c>
      <c r="X49" s="317">
        <f>'Reporte Componentes R1'!P496</f>
        <v>0</v>
      </c>
      <c r="Y49" s="318">
        <f>'Reporte Componentes R1'!Q496</f>
        <v>0</v>
      </c>
      <c r="Z49" s="319">
        <f>-L49</f>
        <v>0</v>
      </c>
      <c r="AA49" s="320">
        <f>'Reporte Componentes R1'!R496+'Reporte Componentes R1'!V496+'Reporte Componentes R1'!U496</f>
        <v>0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0</v>
      </c>
      <c r="AE49" s="291">
        <f>'Reporte Componentes R1'!F497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R1'!F704</f>
        <v>0</v>
      </c>
      <c r="E50" s="292">
        <f>'Reporte Componentes R1'!G704</f>
        <v>0</v>
      </c>
      <c r="F50" s="292">
        <f>'Reporte Componentes R1'!H704</f>
        <v>0</v>
      </c>
      <c r="G50" s="292">
        <f>'Reporte Componentes R1'!I704</f>
        <v>0</v>
      </c>
      <c r="H50" s="292">
        <f>'Reporte Componentes R1'!J704</f>
        <v>0</v>
      </c>
      <c r="I50" s="292">
        <f>'Reporte Componentes R1'!K704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R1'!L704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R1'!M704</f>
        <v>0</v>
      </c>
      <c r="V50" s="317">
        <f>'Reporte Componentes R1'!N704</f>
        <v>0</v>
      </c>
      <c r="W50" s="317">
        <f>'Reporte Componentes R1'!O704</f>
        <v>0</v>
      </c>
      <c r="X50" s="317">
        <f>'Reporte Componentes R1'!P704</f>
        <v>0</v>
      </c>
      <c r="Y50" s="318">
        <f>'Reporte Componentes R1'!Q704</f>
        <v>0</v>
      </c>
      <c r="Z50" s="319">
        <f>-L50</f>
        <v>0</v>
      </c>
      <c r="AA50" s="320">
        <f>'Reporte Componentes R1'!R704+'Reporte Componentes R1'!V704+'Reporte Componentes R1'!U704</f>
        <v>0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0</v>
      </c>
      <c r="AE50" s="291">
        <f>'Reporte Componentes R1'!F705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9">
        <f>'Reversion Pagos R4'!N85</f>
        <v>0</v>
      </c>
      <c r="Z66" s="310">
        <f>-L66</f>
        <v>0</v>
      </c>
      <c r="AA66" s="311">
        <f>+'Reversion Pagos R4'!O85</f>
        <v>0</v>
      </c>
      <c r="AB66" s="294">
        <f>N66</f>
        <v>0</v>
      </c>
      <c r="AC66" s="311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R4'!D379</f>
        <v>0</v>
      </c>
      <c r="E70" s="297">
        <f>'Reversion Pagos R4'!E379</f>
        <v>0</v>
      </c>
      <c r="F70" s="297">
        <f>'Reversion Pagos R4'!F379</f>
        <v>0</v>
      </c>
      <c r="G70" s="297">
        <f>'Reversion Pagos R4'!G379</f>
        <v>0</v>
      </c>
      <c r="H70" s="297">
        <f>'Reversion Pagos R4'!H379</f>
        <v>0</v>
      </c>
      <c r="I70" s="297">
        <f>'Reversion Pagos R4'!I379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R4'!P379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R4'!J379</f>
        <v>0</v>
      </c>
      <c r="V70" s="297">
        <f>'Reversion Pagos R4'!K379</f>
        <v>0</v>
      </c>
      <c r="W70" s="297">
        <f>'Reversion Pagos R4'!L379</f>
        <v>0</v>
      </c>
      <c r="X70" s="297">
        <f>'Reversion Pagos R4'!M379</f>
        <v>0</v>
      </c>
      <c r="Y70" s="289">
        <f>'Reversion Pagos R4'!N379</f>
        <v>0</v>
      </c>
      <c r="Z70" s="319">
        <f t="shared" si="26"/>
        <v>0</v>
      </c>
      <c r="AA70" s="320">
        <f>'Reversion Pagos R4'!O379</f>
        <v>0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0</v>
      </c>
      <c r="AE70" s="291">
        <f>'Reversion Pagos R4'!D380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Recaudo'!D7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R1'!F826</f>
        <v>0</v>
      </c>
      <c r="E13" s="296">
        <f>'Reporte Componentes R1'!G826</f>
        <v>0</v>
      </c>
      <c r="F13" s="296">
        <f>'Reporte Componentes R1'!H826</f>
        <v>0</v>
      </c>
      <c r="G13" s="296">
        <f>'Reporte Componentes R1'!I826</f>
        <v>0</v>
      </c>
      <c r="H13" s="296">
        <f>'Reporte Componentes R1'!J826</f>
        <v>0</v>
      </c>
      <c r="I13" s="296">
        <f>'Reporte Componentes R1'!K826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R1'!L826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R1'!M826</f>
        <v>0</v>
      </c>
      <c r="V13" s="296">
        <f>'Reporte Componentes R1'!N826</f>
        <v>0</v>
      </c>
      <c r="W13" s="296">
        <f>'Reporte Componentes R1'!O826</f>
        <v>0</v>
      </c>
      <c r="X13" s="296">
        <f>'Reporte Componentes R1'!P826</f>
        <v>0</v>
      </c>
      <c r="Y13" s="296">
        <f>'Reporte Componentes R1'!Q826</f>
        <v>0</v>
      </c>
      <c r="Z13" s="319">
        <f>L13*-1</f>
        <v>0</v>
      </c>
      <c r="AA13" s="320">
        <f>'Reporte Componentes R1'!R826+'Reporte Componentes R1'!V826+'Reporte Componentes R1'!U826</f>
        <v>0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0</v>
      </c>
      <c r="AE13" s="291">
        <f>'Reporte Componentes R1'!F827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Recaudo'!D8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R1'!F109</f>
        <v>0</v>
      </c>
      <c r="E9" s="292">
        <f>'Reporte Componentes R1'!G109</f>
        <v>0</v>
      </c>
      <c r="F9" s="292">
        <f>'Reporte Componentes R1'!H109</f>
        <v>0</v>
      </c>
      <c r="G9" s="292">
        <f>'Reporte Componentes R1'!I109</f>
        <v>0</v>
      </c>
      <c r="H9" s="292">
        <f>'Reporte Componentes R1'!J109</f>
        <v>0</v>
      </c>
      <c r="I9" s="292">
        <f>'Reporte Componentes R1'!K109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R1'!L109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R1'!M109</f>
        <v>0</v>
      </c>
      <c r="V9" s="308">
        <f>'Reporte Componentes R1'!N109</f>
        <v>0</v>
      </c>
      <c r="W9" s="308">
        <f>'Reporte Componentes R1'!O109</f>
        <v>0</v>
      </c>
      <c r="X9" s="308">
        <f>'Reporte Componentes R1'!P109</f>
        <v>0</v>
      </c>
      <c r="Y9" s="309">
        <f>'Reporte Componentes R1'!Q109</f>
        <v>0</v>
      </c>
      <c r="Z9" s="310">
        <f>L9*-1</f>
        <v>0</v>
      </c>
      <c r="AA9" s="311">
        <f>'Reporte Componentes R1'!R109+'Reporte Componentes R1'!V109+'Reporte Componentes R1'!U109</f>
        <v>0</v>
      </c>
      <c r="AB9" s="294">
        <f>N9</f>
        <v>0</v>
      </c>
      <c r="AC9" s="311">
        <f>'Reporte Componentes R1'!T109+'Reporte Componentes R1'!W109+'Reporte Componentes R1'!X109+'Reporte Componentes R1'!Y109+'Reporte Componentes R1'!Z109+'Reporte Componentes R1'!S109</f>
        <v>0</v>
      </c>
      <c r="AD9" s="291">
        <f>-J9+AE9</f>
        <v>0</v>
      </c>
      <c r="AE9" s="291">
        <f>'Reporte Componentes R1'!F110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R1'!F343</f>
        <v>0</v>
      </c>
      <c r="E10" s="292">
        <f>'Reporte Componentes R1'!G343</f>
        <v>0</v>
      </c>
      <c r="F10" s="292">
        <f>'Reporte Componentes R1'!H343</f>
        <v>0</v>
      </c>
      <c r="G10" s="292">
        <f>'Reporte Componentes R1'!I343</f>
        <v>0</v>
      </c>
      <c r="H10" s="292">
        <f>'Reporte Componentes R1'!J343</f>
        <v>0</v>
      </c>
      <c r="I10" s="292">
        <f>'Reporte Componentes R1'!K343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R1'!L343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R1'!M343</f>
        <v>0</v>
      </c>
      <c r="V10" s="317">
        <f>'Reporte Componentes R1'!N343</f>
        <v>0</v>
      </c>
      <c r="W10" s="317">
        <f>'Reporte Componentes R1'!O343</f>
        <v>0</v>
      </c>
      <c r="X10" s="317">
        <f>'Reporte Componentes R1'!P343</f>
        <v>0</v>
      </c>
      <c r="Y10" s="318">
        <f>'Reporte Componentes R1'!Q343</f>
        <v>0</v>
      </c>
      <c r="Z10" s="319">
        <f>L10*-1</f>
        <v>0</v>
      </c>
      <c r="AA10" s="320">
        <f>'Reporte Componentes R1'!R343+'Reporte Componentes R1'!V343+'Reporte Componentes R1'!U343</f>
        <v>0</v>
      </c>
      <c r="AB10" s="294">
        <f>N10</f>
        <v>0</v>
      </c>
      <c r="AC10" s="320">
        <f>'Reporte Componentes R1'!T343+'Reporte Componentes R1'!W343+'Reporte Componentes R1'!X343+'Reporte Componentes R1'!Y343+'Reporte Componentes R1'!Z343+'Reporte Componentes R1'!S343</f>
        <v>0</v>
      </c>
      <c r="AD10" s="291">
        <f t="shared" ref="AD10:AD13" si="2">-J10+AE10</f>
        <v>0</v>
      </c>
      <c r="AE10" s="291">
        <f>'Reporte Componentes R1'!F344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R1'!F504</f>
        <v>0</v>
      </c>
      <c r="E11" s="292">
        <f>'Reporte Componentes R1'!G504</f>
        <v>0</v>
      </c>
      <c r="F11" s="292">
        <f>'Reporte Componentes R1'!H504</f>
        <v>0</v>
      </c>
      <c r="G11" s="292">
        <f>'Reporte Componentes R1'!I504</f>
        <v>0</v>
      </c>
      <c r="H11" s="292">
        <f>'Reporte Componentes R1'!J504</f>
        <v>0</v>
      </c>
      <c r="I11" s="292">
        <f>'Reporte Componentes R1'!K504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R1'!L504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R1'!M504</f>
        <v>0</v>
      </c>
      <c r="V11" s="317">
        <f>'Reporte Componentes R1'!N504</f>
        <v>0</v>
      </c>
      <c r="W11" s="317">
        <f>'Reporte Componentes R1'!O504</f>
        <v>0</v>
      </c>
      <c r="X11" s="317">
        <f>'Reporte Componentes R1'!P504</f>
        <v>0</v>
      </c>
      <c r="Y11" s="318">
        <f>'Reporte Componentes R1'!Q504</f>
        <v>0</v>
      </c>
      <c r="Z11" s="319">
        <f>L11*-1</f>
        <v>0</v>
      </c>
      <c r="AA11" s="320">
        <f>'Reporte Componentes R1'!R504+'Reporte Componentes R1'!V504+'Reporte Componentes R1'!U504</f>
        <v>0</v>
      </c>
      <c r="AB11" s="294">
        <f>N11</f>
        <v>0</v>
      </c>
      <c r="AC11" s="320">
        <f>'Reporte Componentes R1'!T504+'Reporte Componentes R1'!W504+'Reporte Componentes R1'!X504+'Reporte Componentes R1'!Y504+'Reporte Componentes R1'!Z504+'Reporte Componentes R1'!S504</f>
        <v>0</v>
      </c>
      <c r="AD11" s="291">
        <f t="shared" si="2"/>
        <v>0</v>
      </c>
      <c r="AE11" s="291">
        <f>'Reporte Componentes R1'!F505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R1'!F712</f>
        <v>0</v>
      </c>
      <c r="E12" s="292">
        <f>'Reporte Componentes R1'!G712</f>
        <v>0</v>
      </c>
      <c r="F12" s="292">
        <f>'Reporte Componentes R1'!H712</f>
        <v>0</v>
      </c>
      <c r="G12" s="292">
        <f>'Reporte Componentes R1'!I712</f>
        <v>0</v>
      </c>
      <c r="H12" s="292">
        <f>'Reporte Componentes R1'!J712</f>
        <v>0</v>
      </c>
      <c r="I12" s="292">
        <f>'Reporte Componentes R1'!K712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R1'!L712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R1'!M712</f>
        <v>0</v>
      </c>
      <c r="V12" s="317">
        <f>'Reporte Componentes R1'!N712</f>
        <v>0</v>
      </c>
      <c r="W12" s="317">
        <f>'Reporte Componentes R1'!O712</f>
        <v>0</v>
      </c>
      <c r="X12" s="317">
        <f>'Reporte Componentes R1'!P712</f>
        <v>0</v>
      </c>
      <c r="Y12" s="318">
        <f>'Reporte Componentes R1'!Q712</f>
        <v>0</v>
      </c>
      <c r="Z12" s="319">
        <f>L12*-1</f>
        <v>0</v>
      </c>
      <c r="AA12" s="320">
        <f>'Reporte Componentes R1'!R712+'Reporte Componentes R1'!V712+'Reporte Componentes R1'!U712</f>
        <v>0</v>
      </c>
      <c r="AB12" s="294">
        <f>N12</f>
        <v>0</v>
      </c>
      <c r="AC12" s="320">
        <f>'Reporte Componentes R1'!T712+'Reporte Componentes R1'!W712+'Reporte Componentes R1'!X712+'Reporte Componentes R1'!Y712+'Reporte Componentes R1'!Z712+'Reporte Componentes R1'!S712</f>
        <v>0</v>
      </c>
      <c r="AD12" s="291">
        <f t="shared" si="2"/>
        <v>0</v>
      </c>
      <c r="AE12" s="291">
        <f>'Reporte Componentes R1'!F713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R1'!F831</f>
        <v>0</v>
      </c>
      <c r="E13" s="297">
        <f>'Reporte Componentes R1'!G831</f>
        <v>0</v>
      </c>
      <c r="F13" s="297">
        <f>'Reporte Componentes R1'!H831</f>
        <v>0</v>
      </c>
      <c r="G13" s="297">
        <f>'Reporte Componentes R1'!I831</f>
        <v>0</v>
      </c>
      <c r="H13" s="297">
        <f>'Reporte Componentes R1'!J831</f>
        <v>0</v>
      </c>
      <c r="I13" s="297">
        <f>'Reporte Componentes R1'!K831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R1'!L831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R1'!M831</f>
        <v>0</v>
      </c>
      <c r="V13" s="297">
        <f>'Reporte Componentes R1'!N831</f>
        <v>0</v>
      </c>
      <c r="W13" s="297">
        <f>'Reporte Componentes R1'!O831</f>
        <v>0</v>
      </c>
      <c r="X13" s="297">
        <f>'Reporte Componentes R1'!P831</f>
        <v>0</v>
      </c>
      <c r="Y13" s="289">
        <f>'Reporte Componentes R1'!Q831</f>
        <v>0</v>
      </c>
      <c r="Z13" s="319">
        <f>L13*-1</f>
        <v>0</v>
      </c>
      <c r="AA13" s="320">
        <f>'Reporte Componentes R1'!R831+'Reporte Componentes R1'!V831+'Reporte Componentes R1'!U831</f>
        <v>0</v>
      </c>
      <c r="AB13" s="294">
        <f>N13</f>
        <v>0</v>
      </c>
      <c r="AC13" s="320">
        <f>'Reporte Componentes R1'!T831+'Reporte Componentes R1'!W831+'Reporte Componentes R1'!X831+'Reporte Componentes R1'!Y831+'Reporte Componentes R1'!Z831+'Reporte Componentes R1'!S831</f>
        <v>0</v>
      </c>
      <c r="AD13" s="291">
        <f t="shared" si="2"/>
        <v>0</v>
      </c>
      <c r="AE13" s="291">
        <f>'Reporte Componentes R1'!F832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R2'!E69</f>
        <v>0</v>
      </c>
      <c r="E28" s="292">
        <f>'Rem. Anticipos R2'!F69</f>
        <v>0</v>
      </c>
      <c r="F28" s="292">
        <f>'Rem. Anticipos R2'!G69</f>
        <v>0</v>
      </c>
      <c r="G28" s="292">
        <f>'Rem. Anticipos R2'!H69</f>
        <v>0</v>
      </c>
      <c r="H28" s="292">
        <f>'Rem. Anticipos R2'!I69</f>
        <v>0</v>
      </c>
      <c r="I28" s="292">
        <f>'Rem. Anticipos R2'!J69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R2'!L69</f>
        <v>0</v>
      </c>
      <c r="V28" s="308">
        <f>'Rem. Anticipos R2'!M69</f>
        <v>0</v>
      </c>
      <c r="W28" s="308">
        <f>'Rem. Anticipos R2'!N69</f>
        <v>0</v>
      </c>
      <c r="X28" s="308">
        <f>'Rem. Anticipos R2'!O69</f>
        <v>0</v>
      </c>
      <c r="Y28" s="308">
        <f>'Rem. Anticipos R2'!P69</f>
        <v>0</v>
      </c>
      <c r="Z28" s="310">
        <f>L28*-1</f>
        <v>0</v>
      </c>
      <c r="AA28" s="311">
        <f>'Rem. Anticipos R2'!Q69</f>
        <v>0</v>
      </c>
      <c r="AB28" s="294">
        <f>N28</f>
        <v>0</v>
      </c>
      <c r="AC28" s="311">
        <f>'Rem. Anticipos R2'!R69</f>
        <v>0</v>
      </c>
      <c r="AD28" s="291">
        <f>-J28+AE28</f>
        <v>0</v>
      </c>
      <c r="AE28" s="291">
        <f>'Rem. Anticipos R2'!E70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R2'!E190</f>
        <v>0</v>
      </c>
      <c r="E29" s="292">
        <f>'Rem. Anticipos R2'!F190</f>
        <v>0</v>
      </c>
      <c r="F29" s="292">
        <f>'Rem. Anticipos R2'!G190</f>
        <v>0</v>
      </c>
      <c r="G29" s="292">
        <f>'Rem. Anticipos R2'!H190</f>
        <v>0</v>
      </c>
      <c r="H29" s="292">
        <f>'Rem. Anticipos R2'!I190</f>
        <v>0</v>
      </c>
      <c r="I29" s="292">
        <f>'Rem. Anticipos R2'!J190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R2'!L190</f>
        <v>0</v>
      </c>
      <c r="V29" s="317">
        <f>'Rem. Anticipos R2'!M190</f>
        <v>0</v>
      </c>
      <c r="W29" s="317">
        <f>'Rem. Anticipos R2'!N190</f>
        <v>0</v>
      </c>
      <c r="X29" s="317">
        <f>'Rem. Anticipos R2'!O190</f>
        <v>0</v>
      </c>
      <c r="Y29" s="318">
        <f>'Rem. Anticipos R2'!P190</f>
        <v>0</v>
      </c>
      <c r="Z29" s="319">
        <f>L29*-1</f>
        <v>0</v>
      </c>
      <c r="AA29" s="320">
        <f>'Rem. Anticipos R2'!Q190</f>
        <v>0</v>
      </c>
      <c r="AB29" s="294">
        <f>N29</f>
        <v>0</v>
      </c>
      <c r="AC29" s="320">
        <f>'Rem. Anticipos R2'!R190</f>
        <v>0</v>
      </c>
      <c r="AD29" s="291">
        <f>-J29+AE29</f>
        <v>0</v>
      </c>
      <c r="AE29" s="291">
        <f>'Rem. Anticipos R2'!E191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R2'!E311</f>
        <v>0</v>
      </c>
      <c r="E30" s="292">
        <f>'Rem. Anticipos R2'!F311</f>
        <v>0</v>
      </c>
      <c r="F30" s="292">
        <f>'Rem. Anticipos R2'!G311</f>
        <v>0</v>
      </c>
      <c r="G30" s="292">
        <f>'Rem. Anticipos R2'!H311</f>
        <v>0</v>
      </c>
      <c r="H30" s="292">
        <f>'Rem. Anticipos R2'!I311</f>
        <v>0</v>
      </c>
      <c r="I30" s="292">
        <f>'Rem. Anticipos R2'!J311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R2'!K311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R2'!L311</f>
        <v>0</v>
      </c>
      <c r="V30" s="317">
        <f>'Rem. Anticipos R2'!M311</f>
        <v>0</v>
      </c>
      <c r="W30" s="317">
        <f>'Rem. Anticipos R2'!N311</f>
        <v>0</v>
      </c>
      <c r="X30" s="317">
        <f>'Rem. Anticipos R2'!O311</f>
        <v>0</v>
      </c>
      <c r="Y30" s="318">
        <f>'Rem. Anticipos R2'!P311</f>
        <v>0</v>
      </c>
      <c r="Z30" s="319">
        <f>L30*-1</f>
        <v>0</v>
      </c>
      <c r="AA30" s="320">
        <f>'Rem. Anticipos R2'!Q311</f>
        <v>0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0</v>
      </c>
      <c r="AE30" s="291">
        <f>'Rem. Anticipos R2'!E312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R2'!E435</f>
        <v>0</v>
      </c>
      <c r="E31" s="292">
        <f>'Rem. Anticipos R2'!F435</f>
        <v>0</v>
      </c>
      <c r="F31" s="292">
        <f>'Rem. Anticipos R2'!G435</f>
        <v>0</v>
      </c>
      <c r="G31" s="292">
        <f>'Rem. Anticipos R2'!H435</f>
        <v>0</v>
      </c>
      <c r="H31" s="292">
        <f>'Rem. Anticipos R2'!I435</f>
        <v>0</v>
      </c>
      <c r="I31" s="292">
        <f>'Rem. Anticipos R2'!J435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R2'!L435</f>
        <v>0</v>
      </c>
      <c r="V31" s="317">
        <f>'Rem. Anticipos R2'!M435</f>
        <v>0</v>
      </c>
      <c r="W31" s="317">
        <f>'Rem. Anticipos R2'!N435</f>
        <v>0</v>
      </c>
      <c r="X31" s="317">
        <f>'Rem. Anticipos R2'!O435</f>
        <v>0</v>
      </c>
      <c r="Y31" s="318">
        <f>'Rem. Anticipos R2'!P435</f>
        <v>0</v>
      </c>
      <c r="Z31" s="319">
        <f>L31*-1</f>
        <v>0</v>
      </c>
      <c r="AA31" s="320">
        <f>'Rem. Anticipos R2'!Q435</f>
        <v>0</v>
      </c>
      <c r="AB31" s="294">
        <f>N31</f>
        <v>0</v>
      </c>
      <c r="AC31" s="320">
        <f>'Rem. Anticipos R2'!R435</f>
        <v>0</v>
      </c>
      <c r="AD31" s="291">
        <f t="shared" si="10"/>
        <v>0</v>
      </c>
      <c r="AE31" s="291">
        <f>'Rem. Anticipos R2'!E436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R2'!E522</f>
        <v>0</v>
      </c>
      <c r="E32" s="297">
        <f>'Rem. Anticipos R2'!F522</f>
        <v>0</v>
      </c>
      <c r="F32" s="297">
        <f>'Rem. Anticipos R2'!G522</f>
        <v>0</v>
      </c>
      <c r="G32" s="297">
        <f>'Rem. Anticipos R2'!H522</f>
        <v>0</v>
      </c>
      <c r="H32" s="297">
        <f>'Rem. Anticipos R2'!I522</f>
        <v>0</v>
      </c>
      <c r="I32" s="297">
        <f>'Rem. Anticipos R2'!J522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R2'!K522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R2'!L522</f>
        <v>0</v>
      </c>
      <c r="V32" s="297">
        <f>'Rem. Anticipos R2'!M522</f>
        <v>0</v>
      </c>
      <c r="W32" s="297">
        <f>'Rem. Anticipos R2'!N522</f>
        <v>0</v>
      </c>
      <c r="X32" s="297">
        <f>'Rem. Anticipos R2'!O522</f>
        <v>0</v>
      </c>
      <c r="Y32" s="289">
        <f>'Rem. Anticipos R2'!P522</f>
        <v>0</v>
      </c>
      <c r="Z32" s="319">
        <f>L32*-1</f>
        <v>0</v>
      </c>
      <c r="AA32" s="320">
        <f>'Rem. Anticipos R2'!Q522</f>
        <v>0</v>
      </c>
      <c r="AB32" s="294">
        <f>N32</f>
        <v>0</v>
      </c>
      <c r="AC32" s="320">
        <f>'Rem. Anticipos R2'!R522</f>
        <v>0</v>
      </c>
      <c r="AD32" s="291">
        <f t="shared" si="10"/>
        <v>0</v>
      </c>
      <c r="AE32" s="291">
        <f>'Rem. Anticipos R2'!E523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R1'!F111</f>
        <v>0</v>
      </c>
      <c r="E47" s="292">
        <f>'Reporte Componentes R1'!G111</f>
        <v>0</v>
      </c>
      <c r="F47" s="292">
        <f>'Reporte Componentes R1'!H111</f>
        <v>0</v>
      </c>
      <c r="G47" s="292">
        <f>'Reporte Componentes R1'!I111</f>
        <v>0</v>
      </c>
      <c r="H47" s="292">
        <f>'Reporte Componentes R1'!J111</f>
        <v>0</v>
      </c>
      <c r="I47" s="292">
        <f>'Reporte Componentes R1'!K111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R1'!M111</f>
        <v>0</v>
      </c>
      <c r="V47" s="308">
        <f>'Reporte Componentes R1'!N111</f>
        <v>0</v>
      </c>
      <c r="W47" s="308">
        <f>'Reporte Componentes R1'!O111</f>
        <v>0</v>
      </c>
      <c r="X47" s="308">
        <f>'Reporte Componentes R1'!P111</f>
        <v>0</v>
      </c>
      <c r="Y47" s="309">
        <f>'Reporte Componentes R1'!Q111</f>
        <v>0</v>
      </c>
      <c r="Z47" s="310">
        <f>-L47</f>
        <v>0</v>
      </c>
      <c r="AA47" s="311">
        <f>'Reporte Componentes R1'!R111+'Reporte Componentes R1'!V111+'Reporte Componentes R1'!U111</f>
        <v>0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R1'!F506</f>
        <v>0</v>
      </c>
      <c r="E49" s="292">
        <f>'Reporte Componentes R1'!G506</f>
        <v>0</v>
      </c>
      <c r="F49" s="292">
        <f>'Reporte Componentes R1'!H506</f>
        <v>0</v>
      </c>
      <c r="G49" s="292">
        <f>'Reporte Componentes R1'!I506</f>
        <v>0</v>
      </c>
      <c r="H49" s="292">
        <f>'Reporte Componentes R1'!J506</f>
        <v>0</v>
      </c>
      <c r="I49" s="292">
        <f>'Reporte Componentes R1'!K506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R1'!M506</f>
        <v>0</v>
      </c>
      <c r="V49" s="317">
        <f>'Reporte Componentes R1'!N506</f>
        <v>0</v>
      </c>
      <c r="W49" s="317">
        <f>'Reporte Componentes R1'!O506</f>
        <v>0</v>
      </c>
      <c r="X49" s="317">
        <f>'Reporte Componentes R1'!P506</f>
        <v>0</v>
      </c>
      <c r="Y49" s="318">
        <f>'Reporte Componentes R1'!Q506</f>
        <v>0</v>
      </c>
      <c r="Z49" s="319">
        <f>-L49</f>
        <v>0</v>
      </c>
      <c r="AA49" s="320">
        <f>'Reporte Componentes R1'!R506+'Reporte Componentes R1'!V506+'Reporte Componentes R1'!U506</f>
        <v>0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0</v>
      </c>
      <c r="AE49" s="291">
        <f>'Reporte Componentes R1'!F507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R1'!F714</f>
        <v>0</v>
      </c>
      <c r="E50" s="292">
        <f>'Reporte Componentes R1'!G714</f>
        <v>0</v>
      </c>
      <c r="F50" s="292">
        <f>'Reporte Componentes R1'!H714</f>
        <v>0</v>
      </c>
      <c r="G50" s="292">
        <f>'Reporte Componentes R1'!I714</f>
        <v>0</v>
      </c>
      <c r="H50" s="292">
        <f>'Reporte Componentes R1'!J714</f>
        <v>0</v>
      </c>
      <c r="I50" s="292">
        <f>'Reporte Componentes R1'!K714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R1'!L714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R1'!M714</f>
        <v>0</v>
      </c>
      <c r="V50" s="317">
        <f>'Reporte Componentes R1'!N714</f>
        <v>0</v>
      </c>
      <c r="W50" s="317">
        <f>'Reporte Componentes R1'!O714</f>
        <v>0</v>
      </c>
      <c r="X50" s="317">
        <f>'Reporte Componentes R1'!P714</f>
        <v>0</v>
      </c>
      <c r="Y50" s="318">
        <f>'Reporte Componentes R1'!Q714</f>
        <v>0</v>
      </c>
      <c r="Z50" s="319">
        <f>-L50</f>
        <v>0</v>
      </c>
      <c r="AA50" s="320">
        <f>'Reporte Componentes R1'!R714+'Reporte Componentes R1'!V714+'Reporte Componentes R1'!U714</f>
        <v>0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0</v>
      </c>
      <c r="AE50" s="291">
        <f>'Reporte Componentes R1'!F715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R1'!F833</f>
        <v>0</v>
      </c>
      <c r="E51" s="297">
        <f>'Reporte Componentes R1'!G833</f>
        <v>0</v>
      </c>
      <c r="F51" s="297">
        <f>'Reporte Componentes R1'!H833</f>
        <v>0</v>
      </c>
      <c r="G51" s="297">
        <f>'Reporte Componentes R1'!I833</f>
        <v>0</v>
      </c>
      <c r="H51" s="297">
        <f>'Reporte Componentes R1'!J833</f>
        <v>0</v>
      </c>
      <c r="I51" s="297">
        <f>'Reporte Componentes R1'!K833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R1'!L833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R1'!M833</f>
        <v>0</v>
      </c>
      <c r="V51" s="297">
        <f>'Reporte Componentes R1'!N833</f>
        <v>0</v>
      </c>
      <c r="W51" s="297">
        <f>'Reporte Componentes R1'!O833</f>
        <v>0</v>
      </c>
      <c r="X51" s="297">
        <f>'Reporte Componentes R1'!P833</f>
        <v>0</v>
      </c>
      <c r="Y51" s="289">
        <f>'Reporte Componentes R1'!Q833</f>
        <v>0</v>
      </c>
      <c r="Z51" s="319">
        <f>-L51</f>
        <v>0</v>
      </c>
      <c r="AA51" s="320">
        <f>'Reporte Componentes R1'!R833+'Reporte Componentes R1'!V833+'Reporte Componentes R1'!U833</f>
        <v>0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0</v>
      </c>
      <c r="AE51" s="291">
        <f>'Reporte Componentes R1'!F834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R4'!D91</f>
        <v>0</v>
      </c>
      <c r="E66" s="292">
        <f>'Reversion Pagos R4'!E91</f>
        <v>0</v>
      </c>
      <c r="F66" s="292">
        <f>'Reversion Pagos R4'!F91</f>
        <v>0</v>
      </c>
      <c r="G66" s="292">
        <f>'Reversion Pagos R4'!G91</f>
        <v>0</v>
      </c>
      <c r="H66" s="292">
        <f>'Reversion Pagos R4'!H91</f>
        <v>0</v>
      </c>
      <c r="I66" s="292">
        <f>'Reversion Pagos R4'!I91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R4'!P91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R4'!J91</f>
        <v>0</v>
      </c>
      <c r="V66" s="308">
        <f>'Reversion Pagos R4'!K91</f>
        <v>0</v>
      </c>
      <c r="W66" s="308">
        <f>'Reversion Pagos R4'!L91</f>
        <v>0</v>
      </c>
      <c r="X66" s="308">
        <f>'Reversion Pagos R4'!M91</f>
        <v>0</v>
      </c>
      <c r="Y66" s="308">
        <f>'Reversion Pagos R4'!N91</f>
        <v>0</v>
      </c>
      <c r="Z66" s="310">
        <f>-L66</f>
        <v>0</v>
      </c>
      <c r="AA66" s="320">
        <f>'Reversion Pagos R4'!O91</f>
        <v>0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R4'!D229</f>
        <v>0</v>
      </c>
      <c r="E68" s="292">
        <f>'Reversion Pagos R4'!E229</f>
        <v>0</v>
      </c>
      <c r="F68" s="292">
        <f>'Reversion Pagos R4'!F229</f>
        <v>0</v>
      </c>
      <c r="G68" s="292">
        <f>'Reversion Pagos R4'!G229</f>
        <v>0</v>
      </c>
      <c r="H68" s="292">
        <f>'Reversion Pagos R4'!H229</f>
        <v>0</v>
      </c>
      <c r="I68" s="292">
        <f>'Reversion Pagos R4'!I229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R4'!P229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R4'!J229</f>
        <v>0</v>
      </c>
      <c r="V68" s="317">
        <f>'Reversion Pagos R4'!K229</f>
        <v>0</v>
      </c>
      <c r="W68" s="317">
        <f>'Reversion Pagos R4'!L229</f>
        <v>0</v>
      </c>
      <c r="X68" s="317">
        <f>'Reversion Pagos R4'!M229</f>
        <v>0</v>
      </c>
      <c r="Y68" s="318">
        <f>'Reversion Pagos R4'!N229</f>
        <v>0</v>
      </c>
      <c r="Z68" s="319">
        <f t="shared" si="26"/>
        <v>0</v>
      </c>
      <c r="AA68" s="320">
        <f>'Reversion Pagos R4'!O229</f>
        <v>0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0</v>
      </c>
      <c r="AE68" s="291">
        <f>'Reversion Pagos R4'!D230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R4'!D344</f>
        <v>0</v>
      </c>
      <c r="E69" s="292">
        <f>'Reversion Pagos R4'!E344</f>
        <v>0</v>
      </c>
      <c r="F69" s="292">
        <f>'Reversion Pagos R4'!F344</f>
        <v>0</v>
      </c>
      <c r="G69" s="292">
        <f>'Reversion Pagos R4'!G344</f>
        <v>0</v>
      </c>
      <c r="H69" s="292">
        <f>'Reversion Pagos R4'!H344</f>
        <v>0</v>
      </c>
      <c r="I69" s="292">
        <f>'Reversion Pagos R4'!I344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R4'!P344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R4'!J344</f>
        <v>0</v>
      </c>
      <c r="V69" s="317">
        <f>'Reversion Pagos R4'!K344</f>
        <v>0</v>
      </c>
      <c r="W69" s="317">
        <f>'Reversion Pagos R4'!L344</f>
        <v>0</v>
      </c>
      <c r="X69" s="317">
        <f>'Reversion Pagos R4'!M344</f>
        <v>0</v>
      </c>
      <c r="Y69" s="318">
        <f>'Reversion Pagos R4'!N344</f>
        <v>0</v>
      </c>
      <c r="Z69" s="319">
        <f t="shared" si="26"/>
        <v>0</v>
      </c>
      <c r="AA69" s="320">
        <f>'Reversion Pagos R4'!O344</f>
        <v>0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0</v>
      </c>
      <c r="AE69" s="291">
        <f>'Reversion Pagos R4'!D345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R4'!D385</f>
        <v>0</v>
      </c>
      <c r="E70" s="297">
        <f>'Reversion Pagos R4'!E385</f>
        <v>0</v>
      </c>
      <c r="F70" s="297">
        <f>'Reversion Pagos R4'!F385</f>
        <v>0</v>
      </c>
      <c r="G70" s="297">
        <f>'Reversion Pagos R4'!G385</f>
        <v>0</v>
      </c>
      <c r="H70" s="297">
        <f>'Reversion Pagos R4'!H385</f>
        <v>0</v>
      </c>
      <c r="I70" s="297">
        <f>'Reversion Pagos R4'!I385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R4'!P385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R4'!J385</f>
        <v>0</v>
      </c>
      <c r="V70" s="297">
        <f>'Reversion Pagos R4'!K385</f>
        <v>0</v>
      </c>
      <c r="W70" s="297">
        <f>'Reversion Pagos R4'!L385</f>
        <v>0</v>
      </c>
      <c r="X70" s="297">
        <f>'Reversion Pagos R4'!M385</f>
        <v>0</v>
      </c>
      <c r="Y70" s="289">
        <f>'Reversion Pagos R4'!N385</f>
        <v>0</v>
      </c>
      <c r="Z70" s="319">
        <f t="shared" si="26"/>
        <v>0</v>
      </c>
      <c r="AA70" s="320">
        <f>'Reversion Pagos R4'!O385</f>
        <v>0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0</v>
      </c>
      <c r="AE70" s="291">
        <f>'Reversion Pagos R4'!D386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x14ac:dyDescent="0.2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Recaudo'!D10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75" thickBot="1" x14ac:dyDescent="0.25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75" thickBot="1" x14ac:dyDescent="0.25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75" thickBot="1" x14ac:dyDescent="0.25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03" t="s">
        <v>1</v>
      </c>
    </row>
    <row r="14" spans="2:16" x14ac:dyDescent="0.2">
      <c r="C14" s="245">
        <f>'Valida - Control Recaudo'!E3+'Valida - Control Recaudo'!E5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75" thickBot="1" x14ac:dyDescent="0.25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75" thickBot="1" x14ac:dyDescent="0.25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">
      <c r="B37" s="2"/>
      <c r="C37" s="2"/>
      <c r="D37" s="24"/>
      <c r="Q37" s="4"/>
      <c r="AI37" s="305"/>
    </row>
    <row r="38" spans="1:35" x14ac:dyDescent="0.2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20" customFormat="1" ht="12.75" x14ac:dyDescent="0.2"/>
    <row r="2" spans="2:20" customFormat="1" ht="12.75" x14ac:dyDescent="0.2">
      <c r="T2" s="142" t="s">
        <v>329</v>
      </c>
    </row>
    <row r="3" spans="2:20" customFormat="1" x14ac:dyDescent="0.2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">
      <c r="F4" s="660" t="s">
        <v>29</v>
      </c>
    </row>
    <row r="5" spans="2:20" customFormat="1" x14ac:dyDescent="0.2">
      <c r="F5" s="660" t="s">
        <v>228</v>
      </c>
    </row>
    <row r="6" spans="2:20" customFormat="1" x14ac:dyDescent="0.2">
      <c r="C6" s="660" t="s">
        <v>229</v>
      </c>
      <c r="D6" s="660" t="s">
        <v>341</v>
      </c>
      <c r="F6" s="660" t="s">
        <v>230</v>
      </c>
    </row>
    <row r="7" spans="2:20" customFormat="1" x14ac:dyDescent="0.2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5" x14ac:dyDescent="0.2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2.75" x14ac:dyDescent="0.2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2.75" x14ac:dyDescent="0.2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2.75" x14ac:dyDescent="0.2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2.75" x14ac:dyDescent="0.2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2.75" x14ac:dyDescent="0.2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2.75" x14ac:dyDescent="0.2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2.75" x14ac:dyDescent="0.2"/>
    <row r="16" spans="2:20" customFormat="1" ht="12.75" x14ac:dyDescent="0.2">
      <c r="C16" s="662" t="s">
        <v>323</v>
      </c>
    </row>
    <row r="18" spans="2:15" x14ac:dyDescent="0.25">
      <c r="E18" s="611" t="s">
        <v>249</v>
      </c>
    </row>
    <row r="19" spans="2:15" x14ac:dyDescent="0.25">
      <c r="F19" s="611" t="s">
        <v>25</v>
      </c>
    </row>
    <row r="22" spans="2:15" ht="36" x14ac:dyDescent="0.25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25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25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25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25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25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25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25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25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INTERVENTORIA!M26+L23=L9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f>
        <v>1</v>
      </c>
    </row>
    <row r="33" spans="2:15" x14ac:dyDescent="0.25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INTERVENTORIA!M27+L24=L10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f>
        <v>1</v>
      </c>
    </row>
    <row r="34" spans="2:15" x14ac:dyDescent="0.25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INTERVENTORIA!M28+L25=L11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f>
        <v>1</v>
      </c>
    </row>
    <row r="35" spans="2:15" x14ac:dyDescent="0.25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INTERVENTORIA!M29+L26=L12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f>
        <v>1</v>
      </c>
    </row>
    <row r="36" spans="2:15" x14ac:dyDescent="0.25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INTERVENTORIA!M30+L27=L13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f>
        <v>1</v>
      </c>
    </row>
    <row r="38" spans="2:15" x14ac:dyDescent="0.25">
      <c r="N38" s="652"/>
    </row>
    <row r="39" spans="2:15" x14ac:dyDescent="0.25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15" customFormat="1" ht="12.75" x14ac:dyDescent="0.2"/>
    <row r="2" spans="2:15" customFormat="1" ht="12.75" x14ac:dyDescent="0.2"/>
    <row r="3" spans="2:15" customFormat="1" x14ac:dyDescent="0.2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">
      <c r="F4" s="660" t="s">
        <v>29</v>
      </c>
    </row>
    <row r="5" spans="2:15" customFormat="1" x14ac:dyDescent="0.2">
      <c r="F5" s="660" t="s">
        <v>228</v>
      </c>
    </row>
    <row r="6" spans="2:15" customFormat="1" x14ac:dyDescent="0.2">
      <c r="C6" s="660" t="s">
        <v>229</v>
      </c>
      <c r="D6" s="660" t="s">
        <v>341</v>
      </c>
      <c r="F6" s="660" t="s">
        <v>230</v>
      </c>
    </row>
    <row r="7" spans="2:15" customFormat="1" x14ac:dyDescent="0.2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5" x14ac:dyDescent="0.2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2.75" x14ac:dyDescent="0.2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2.75" x14ac:dyDescent="0.2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2.75" x14ac:dyDescent="0.2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2.75" x14ac:dyDescent="0.2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2.75" x14ac:dyDescent="0.2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2.75" x14ac:dyDescent="0.2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25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25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25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25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25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25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.75" thickBot="1" x14ac:dyDescent="0.3">
      <c r="M22" s="652"/>
    </row>
    <row r="23" spans="2:16" ht="36.75" thickBot="1" x14ac:dyDescent="0.3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25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-INTERVENTORIA!M26+I16=I9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+DetRetri2026092!N32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1</v>
      </c>
    </row>
    <row r="25" spans="2:16" x14ac:dyDescent="0.25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-INTERVENTORIA!M27+I17=I10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1</v>
      </c>
      <c r="K25" s="654" t="b">
        <f>+DetRetri2026092!N33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25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-INTERVENTORIA!M28+I18=I11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+DetRetri2026092!N34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25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-INTERVENTORIA!M29+I19=I12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+DetRetri2026092!N35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25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-INTERVENTORIA!M30+I20=I13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+DetRetri2026092!N36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25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-INTERVENTORIA!M31+I21=I14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25">
      <c r="M30" s="655"/>
    </row>
    <row r="31" spans="2:16" x14ac:dyDescent="0.25">
      <c r="I31" s="697"/>
      <c r="J31" s="699"/>
    </row>
    <row r="32" spans="2:16" x14ac:dyDescent="0.25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3.85546875" style="1" bestFit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75" thickBot="1" x14ac:dyDescent="0.25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25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75" thickBot="1" x14ac:dyDescent="0.25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25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x14ac:dyDescent="0.2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x14ac:dyDescent="0.2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x14ac:dyDescent="0.2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x14ac:dyDescent="0.2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75" thickBot="1" x14ac:dyDescent="0.25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25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x14ac:dyDescent="0.2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75" thickBot="1" x14ac:dyDescent="0.25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25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x14ac:dyDescent="0.2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75" thickBot="1" x14ac:dyDescent="0.25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75" thickBot="1" x14ac:dyDescent="0.25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25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75" thickBot="1" x14ac:dyDescent="0.25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75" thickBot="1" x14ac:dyDescent="0.25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75" thickBot="1" x14ac:dyDescent="0.25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2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75" thickBot="1" x14ac:dyDescent="0.25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75" thickBot="1" x14ac:dyDescent="0.25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75" thickBot="1" x14ac:dyDescent="0.25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75" thickBot="1" x14ac:dyDescent="0.25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2.75" x14ac:dyDescent="0.2"/>
  <cols>
    <col min="1" max="1" width="2.42578125" customWidth="1"/>
    <col min="3" max="3" width="36.85546875" bestFit="1" customWidth="1"/>
    <col min="4" max="4" width="12" bestFit="1" customWidth="1"/>
    <col min="5" max="5" width="12.140625" customWidth="1"/>
    <col min="6" max="6" width="9.140625" customWidth="1"/>
    <col min="7" max="7" width="14.85546875" customWidth="1"/>
    <col min="8" max="8" width="15.140625" customWidth="1"/>
    <col min="9" max="9" width="20.140625" bestFit="1" customWidth="1"/>
    <col min="10" max="10" width="15.42578125" customWidth="1"/>
    <col min="11" max="11" width="17.85546875" customWidth="1"/>
    <col min="12" max="12" width="20.85546875" customWidth="1"/>
    <col min="17" max="17" width="1.140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75" x14ac:dyDescent="0.2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thickBot="1" x14ac:dyDescent="0.25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thickBot="1" x14ac:dyDescent="0.25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">
      <c r="B13" s="2"/>
      <c r="C13" s="2"/>
      <c r="D13" s="448"/>
      <c r="Q13" s="4"/>
    </row>
    <row r="14" spans="1:33" s="1" customFormat="1" ht="12" x14ac:dyDescent="0.2">
      <c r="B14" s="2"/>
      <c r="C14" s="2"/>
      <c r="D14" s="448"/>
      <c r="Q14" s="4"/>
    </row>
    <row r="15" spans="1:33" s="1" customFormat="1" ht="12" x14ac:dyDescent="0.2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75" x14ac:dyDescent="0.2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thickBot="1" x14ac:dyDescent="0.25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thickBot="1" x14ac:dyDescent="0.25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">
      <c r="B28" s="2"/>
      <c r="C28" s="2"/>
      <c r="D28" s="448"/>
      <c r="Q28" s="4"/>
    </row>
    <row r="29" spans="1:17" s="1" customFormat="1" ht="12" x14ac:dyDescent="0.2">
      <c r="B29" s="2"/>
      <c r="C29" s="2"/>
      <c r="D29" s="448"/>
      <c r="Q29" s="4"/>
    </row>
    <row r="30" spans="1:17" s="1" customFormat="1" ht="12" x14ac:dyDescent="0.2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75" x14ac:dyDescent="0.2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thickBot="1" x14ac:dyDescent="0.25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thickBot="1" x14ac:dyDescent="0.25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">
      <c r="B42" s="2"/>
      <c r="C42" s="2"/>
      <c r="D42" s="448"/>
      <c r="Q42" s="4"/>
    </row>
    <row r="43" spans="1:17" s="1" customFormat="1" ht="12" x14ac:dyDescent="0.2">
      <c r="B43" s="2"/>
      <c r="C43" s="2"/>
      <c r="D43" s="448"/>
      <c r="Q43" s="4"/>
    </row>
    <row r="44" spans="1:17" s="1" customFormat="1" ht="12" x14ac:dyDescent="0.2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">
      <c r="B45" s="2"/>
      <c r="C45" s="2"/>
      <c r="D45" s="448"/>
      <c r="Q45" s="4"/>
    </row>
    <row r="46" spans="1:17" s="1" customFormat="1" ht="15.75" x14ac:dyDescent="0.25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thickBot="1" x14ac:dyDescent="0.25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thickBot="1" x14ac:dyDescent="0.25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">
      <c r="B56" s="2"/>
      <c r="C56" s="2"/>
      <c r="D56" s="448"/>
      <c r="Q56" s="4"/>
    </row>
    <row r="57" spans="1:17" s="1" customFormat="1" ht="12" x14ac:dyDescent="0.2">
      <c r="B57" s="2"/>
      <c r="C57" s="2"/>
      <c r="D57" s="448"/>
      <c r="Q57" s="4"/>
    </row>
    <row r="58" spans="1:17" s="1" customFormat="1" ht="12" x14ac:dyDescent="0.2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75" x14ac:dyDescent="0.2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thickBot="1" x14ac:dyDescent="0.25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thickBot="1" x14ac:dyDescent="0.25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">
      <c r="B70" s="2"/>
      <c r="C70" s="2"/>
      <c r="D70" s="448"/>
      <c r="Q70" s="4"/>
    </row>
    <row r="71" spans="1:17" s="1" customFormat="1" ht="12" x14ac:dyDescent="0.2">
      <c r="B71" s="2"/>
      <c r="C71" s="2"/>
      <c r="D71" s="448"/>
      <c r="Q71" s="4"/>
    </row>
    <row r="72" spans="1:17" s="1" customFormat="1" ht="12" x14ac:dyDescent="0.2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75" x14ac:dyDescent="0.2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thickBot="1" x14ac:dyDescent="0.25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thickBot="1" x14ac:dyDescent="0.25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">
      <c r="B84" s="2"/>
      <c r="C84" s="2"/>
      <c r="D84" s="448"/>
      <c r="Q84" s="4"/>
    </row>
    <row r="85" spans="1:17" s="1" customFormat="1" ht="12" x14ac:dyDescent="0.2">
      <c r="B85" s="2"/>
      <c r="C85" s="2"/>
      <c r="D85" s="448"/>
      <c r="Q85" s="4"/>
    </row>
    <row r="86" spans="1:17" s="1" customFormat="1" ht="12" x14ac:dyDescent="0.2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75" x14ac:dyDescent="0.25">
      <c r="F88" s="41" t="s">
        <v>191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thickBot="1" x14ac:dyDescent="0.25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thickBot="1" x14ac:dyDescent="0.25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">
      <c r="B99" s="2"/>
      <c r="C99" s="2"/>
      <c r="D99" s="448"/>
      <c r="Q99" s="4"/>
    </row>
    <row r="100" spans="1:17" s="1" customFormat="1" ht="12" x14ac:dyDescent="0.2">
      <c r="B100" s="2"/>
      <c r="C100" s="2"/>
      <c r="D100" s="448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2.75" x14ac:dyDescent="0.2"/>
  <cols>
    <col min="1" max="1" width="4.85546875" customWidth="1"/>
    <col min="2" max="2" width="10" customWidth="1"/>
    <col min="3" max="3" width="20.42578125" bestFit="1" customWidth="1"/>
    <col min="4" max="4" width="17.140625" customWidth="1"/>
    <col min="5" max="5" width="16.140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526">
        <v>2026092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5" x14ac:dyDescent="0.2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5" x14ac:dyDescent="0.2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5" x14ac:dyDescent="0.2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.75" thickBot="1" x14ac:dyDescent="0.3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5" x14ac:dyDescent="0.25">
      <c r="B7" t="s">
        <v>1</v>
      </c>
      <c r="C7" s="545" t="s">
        <v>339</v>
      </c>
      <c r="D7" s="546">
        <v>0</v>
      </c>
      <c r="E7" s="533">
        <f>SUM(D7:D9)</f>
        <v>0</v>
      </c>
      <c r="F7" s="534" t="b">
        <v>1</v>
      </c>
      <c r="G7" s="143"/>
      <c r="H7" s="143"/>
      <c r="I7" s="143"/>
    </row>
    <row r="8" spans="2:9" ht="15" x14ac:dyDescent="0.25">
      <c r="C8" s="545" t="s">
        <v>326</v>
      </c>
      <c r="D8" s="546">
        <v>0</v>
      </c>
      <c r="E8" s="758"/>
      <c r="F8" s="534"/>
      <c r="G8" s="143"/>
      <c r="H8" s="143"/>
      <c r="I8" s="143"/>
    </row>
    <row r="9" spans="2:9" ht="15" x14ac:dyDescent="0.25">
      <c r="B9" t="s">
        <v>1</v>
      </c>
      <c r="C9" s="545" t="s">
        <v>205</v>
      </c>
      <c r="D9" s="546">
        <v>0</v>
      </c>
      <c r="E9" s="531"/>
      <c r="F9" s="532"/>
      <c r="G9" s="143"/>
      <c r="H9" s="143"/>
      <c r="I9" s="143"/>
    </row>
    <row r="10" spans="2:9" ht="15.75" thickBot="1" x14ac:dyDescent="0.3">
      <c r="C10" s="547" t="s">
        <v>206</v>
      </c>
      <c r="D10" s="535">
        <v>0</v>
      </c>
      <c r="E10" s="535">
        <f>SUM(D10)</f>
        <v>0</v>
      </c>
      <c r="F10" s="536">
        <f>E7+E10</f>
        <v>0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DetRetri2026092</vt:lpstr>
      <vt:lpstr>DetValiRetri2026092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2026-10-26T02:24:45Z</dcterms:modified>
</cp:coreProperties>
</file>