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N:\PROCERASEO\2- REMUNERACION QUINCENAL\2026\2026071\"/>
    </mc:Choice>
  </mc:AlternateContent>
  <xr:revisionPtr revIDLastSave="0" documentId="13_ncr:1_{918CC53A-693F-4433-A2BD-F6CFF10DFF10}" xr6:coauthVersionLast="47" xr6:coauthVersionMax="47" xr10:uidLastSave="{00000000-0000-0000-0000-000000000000}"/>
  <bookViews>
    <workbookView xWindow="28680" yWindow="-120" windowWidth="29040" windowHeight="15720" tabRatio="780" firstSheet="17" activeTab="17" xr2:uid="{00000000-000D-0000-FFFF-FFFF00000000}"/>
  </bookViews>
  <sheets>
    <sheet name="Recaudo EAAB Reciprocidad" sheetId="66" r:id="rId1"/>
    <sheet name="Recaudo ENEL" sheetId="71" r:id="rId2"/>
    <sheet name="Recaudo ENERBIT" sheetId="96" r:id="rId3"/>
    <sheet name="Recaudo EAAB + Ciud Limp" sheetId="57" r:id="rId4"/>
    <sheet name="Recaudo Directa Occidente" sheetId="58" r:id="rId5"/>
    <sheet name="REPORTE RECAUDO x BANCO" sheetId="62" r:id="rId6"/>
    <sheet name="ANT EXT-REV" sheetId="70" r:id="rId7"/>
    <sheet name="ANTICIPOS USUARIOS" sheetId="56" r:id="rId8"/>
    <sheet name="BCE SC POR FACT." sheetId="64" r:id="rId9"/>
    <sheet name="Reporte Componentes R1" sheetId="55" r:id="rId10"/>
    <sheet name="Rem. Anticipos R2" sheetId="59" r:id="rId11"/>
    <sheet name="Reversion Pagos R4" sheetId="61" r:id="rId12"/>
    <sheet name="SALDOS POR NOTA" sheetId="68" r:id="rId13"/>
    <sheet name="RETRIBUCION NEGATIVA" sheetId="67" r:id="rId14"/>
    <sheet name="AJUSTES - SF-T" sheetId="69" r:id="rId15"/>
    <sheet name="INTERVENTORIA" sheetId="95" r:id="rId16"/>
    <sheet name="Informe AFaseo Recaudo 202607-1" sheetId="89" r:id="rId17"/>
    <sheet name="CONSOLIDADO_TOTAL RECAUDO" sheetId="22" r:id="rId18"/>
    <sheet name="VALIDACION_TOTAL" sheetId="36" r:id="rId19"/>
    <sheet name="GERENTES_TOTAL" sheetId="39" r:id="rId20"/>
    <sheet name="REMUNERACION Reciprocidad EAAB" sheetId="75" r:id="rId21"/>
    <sheet name="VALIDACION_RECIP" sheetId="77" r:id="rId22"/>
    <sheet name="GERENTES_Reciprocidad_ EAAB" sheetId="76" r:id="rId23"/>
    <sheet name="REMUNERACION_ENEL" sheetId="79" r:id="rId24"/>
    <sheet name="VALIDACION_ENEL" sheetId="80" r:id="rId25"/>
    <sheet name="GERENTES_ENEL" sheetId="81" r:id="rId26"/>
    <sheet name="REMUNERACION_ENERBIT" sheetId="97" r:id="rId27"/>
    <sheet name="VALIDACION_ENERBIT" sheetId="98" r:id="rId28"/>
    <sheet name="GERENTES_ENERBIT" sheetId="99" r:id="rId29"/>
    <sheet name="REMUNERACION_OCCIDENTE_ Directa" sheetId="85" r:id="rId30"/>
    <sheet name="VALIDACION_OCCIDENTE" sheetId="83" r:id="rId31"/>
    <sheet name="GERENTES_OCCIDENTE _ Directa" sheetId="82" r:id="rId32"/>
    <sheet name="REMUNERACION_EAAB-CL" sheetId="86" r:id="rId33"/>
    <sheet name="VALIDACION_EAAB-CL" sheetId="87" r:id="rId34"/>
    <sheet name="GERENTES_EAAB-CL" sheetId="88" r:id="rId35"/>
    <sheet name="DetRetri2026071" sheetId="93" r:id="rId36"/>
    <sheet name="DetValiRetri2026071" sheetId="94" r:id="rId37"/>
    <sheet name="Valida -Remunera" sheetId="90" r:id="rId38"/>
    <sheet name="Valida - Anticipos" sheetId="91" r:id="rId39"/>
    <sheet name="Valida - Control Recaudo" sheetId="92" r:id="rId40"/>
  </sheets>
  <externalReferences>
    <externalReference r:id="rId41"/>
    <externalReference r:id="rId42"/>
    <externalReference r:id="rId43"/>
    <externalReference r:id="rId44"/>
    <externalReference r:id="rId45"/>
  </externalReferences>
  <definedNames>
    <definedName name="\0">#REF!</definedName>
    <definedName name="_1">#REF!</definedName>
    <definedName name="_2">#REF!</definedName>
    <definedName name="_A655555">#REF!</definedName>
    <definedName name="_CFR1">#REF!</definedName>
    <definedName name="_cia1">#REF!</definedName>
    <definedName name="_xlnm._FilterDatabase" localSheetId="3" hidden="1">'Recaudo EAAB + Ciud Limp'!#REF!</definedName>
    <definedName name="_xlnm._FilterDatabase" localSheetId="0" hidden="1">'Recaudo EAAB Reciprocidad'!#REF!</definedName>
    <definedName name="_Order1" hidden="1">0</definedName>
    <definedName name="_XL250">#REF!</definedName>
    <definedName name="A">#REF!</definedName>
    <definedName name="ADM" localSheetId="28">[1]!ADM</definedName>
    <definedName name="ADM" localSheetId="2">[1]!ADM</definedName>
    <definedName name="ADM" localSheetId="26">[1]!ADM</definedName>
    <definedName name="ADM" localSheetId="27">[1]!ADM</definedName>
    <definedName name="ADM">[1]!ADM</definedName>
    <definedName name="ADM_" localSheetId="28">[1]!ADM</definedName>
    <definedName name="ADM_" localSheetId="2">[1]!ADM</definedName>
    <definedName name="ADM_" localSheetId="26">[1]!ADM</definedName>
    <definedName name="ADM_" localSheetId="27">[1]!ADM</definedName>
    <definedName name="ADM_">[1]!ADM</definedName>
    <definedName name="AI">#REF!</definedName>
    <definedName name="Air">#REF!</definedName>
    <definedName name="anscount" hidden="1">1</definedName>
    <definedName name="AP">'[2]TARIFA no aforos'!$C$12</definedName>
    <definedName name="_xlnm.Print_Area">#REF!</definedName>
    <definedName name="Bancos">[3]Fx!$C$1:$C$23</definedName>
    <definedName name="CBL">#REF!</definedName>
    <definedName name="CCS">#REF!</definedName>
    <definedName name="CDT_p">[4]CDT!$C$3</definedName>
    <definedName name="CFR">#REF!</definedName>
    <definedName name="cia">#REF!</definedName>
    <definedName name="COM">#REF!</definedName>
    <definedName name="CRT">#REF!</definedName>
    <definedName name="CRT___CTEp___CDTp___CMRv">#REF!</definedName>
    <definedName name="CRT_aislados">'[4]COSTOS AJUSTADOS'!$C$13</definedName>
    <definedName name="CRT_costas">#REF!</definedName>
    <definedName name="CTE_p">[4]CTE!$C$5</definedName>
    <definedName name="Denominador">#REF!</definedName>
    <definedName name="dg" localSheetId="28">[1]!ADM</definedName>
    <definedName name="dg" localSheetId="2">[1]!ADM</definedName>
    <definedName name="dg" localSheetId="26">[1]!ADM</definedName>
    <definedName name="dg" localSheetId="27">[1]!ADM</definedName>
    <definedName name="dg">[1]!ADM</definedName>
    <definedName name="DIAS">[5]CONTRA!#REF!</definedName>
    <definedName name="Fmerc">#REF!</definedName>
    <definedName name="FPS">#REF!</definedName>
    <definedName name="InformacionGeneral" localSheetId="28">[1]!InformacionGeneral</definedName>
    <definedName name="InformacionGeneral" localSheetId="2">[1]!InformacionGeneral</definedName>
    <definedName name="InformacionGeneral" localSheetId="26">[1]!InformacionGeneral</definedName>
    <definedName name="InformacionGeneral" localSheetId="27">[1]!InformacionGeneral</definedName>
    <definedName name="InformacionGeneral">[1]!InformacionGeneral</definedName>
    <definedName name="INTFIN">#REF!</definedName>
    <definedName name="INV" localSheetId="28">[1]!INV</definedName>
    <definedName name="INV" localSheetId="2">[1]!INV</definedName>
    <definedName name="INV" localSheetId="26">[1]!INV</definedName>
    <definedName name="INV" localSheetId="27">[1]!INV</definedName>
    <definedName name="INV">[1]!INV</definedName>
    <definedName name="K">#REF!</definedName>
    <definedName name="N">'[4]COSTOS AJUSTADOS'!#REF!</definedName>
    <definedName name="Na">'[2]TARIFA no aforos'!$C$39</definedName>
    <definedName name="nfc">'[4]COSTOS AJUSTADOS'!#REF!</definedName>
    <definedName name="OYM" localSheetId="28">[1]!OYM</definedName>
    <definedName name="OYM" localSheetId="2">[1]!OYM</definedName>
    <definedName name="OYM" localSheetId="26">[1]!OYM</definedName>
    <definedName name="OYM" localSheetId="27">[1]!OYM</definedName>
    <definedName name="OYM">[1]!OYM</definedName>
    <definedName name="parametros" localSheetId="28">[1]!parametros</definedName>
    <definedName name="parametros" localSheetId="2">[1]!parametros</definedName>
    <definedName name="parametros" localSheetId="26">[1]!parametros</definedName>
    <definedName name="parametros" localSheetId="27">[1]!parametros</definedName>
    <definedName name="parametros">[1]!parametros</definedName>
    <definedName name="PPP">#REF!</definedName>
    <definedName name="PROMOAMBIENTAL_1">'Reporte Componentes R1'!$A$5:$X$23</definedName>
    <definedName name="Q">'[2]TARIFA no aforos'!$C$9</definedName>
    <definedName name="Qa">'[2]TARIFA no aforos'!$C$11</definedName>
    <definedName name="Qb">'[2]TARIFA no aforos'!$C$10</definedName>
    <definedName name="Qbr">#REF!</definedName>
    <definedName name="Qr">#REF!</definedName>
    <definedName name="Ref.">#REF!</definedName>
    <definedName name="RES" localSheetId="28">[1]!RES</definedName>
    <definedName name="RES" localSheetId="2">[1]!RES</definedName>
    <definedName name="RES" localSheetId="26">[1]!RES</definedName>
    <definedName name="RES" localSheetId="27">[1]!RES</definedName>
    <definedName name="RES">[1]!RES</definedName>
    <definedName name="SUBSIDIOS" localSheetId="28">[1]!SUBSIDIOS</definedName>
    <definedName name="SUBSIDIOS" localSheetId="2">[1]!SUBSIDIOS</definedName>
    <definedName name="SUBSIDIOS" localSheetId="26">[1]!SUBSIDIOS</definedName>
    <definedName name="SUBSIDIOS" localSheetId="27">[1]!SUBSIDIOS</definedName>
    <definedName name="SUBSIDIOS">[1]!SUBSIDIOS</definedName>
    <definedName name="Suma_Au">'[2]TARIFA no aforos'!$C$40</definedName>
    <definedName name="TAforadas">#REF!</definedName>
    <definedName name="TAj">#REF!</definedName>
    <definedName name="TAR" localSheetId="28">[1]!TAR</definedName>
    <definedName name="TAR" localSheetId="2">[1]!TAR</definedName>
    <definedName name="TAR" localSheetId="26">[1]!TAR</definedName>
    <definedName name="TAR" localSheetId="27">[1]!TAR</definedName>
    <definedName name="TAR">[1]!TAR</definedName>
    <definedName name="TBL">#REF!</definedName>
    <definedName name="TDT">#REF!</definedName>
    <definedName name="TFR">#REF!</definedName>
    <definedName name="TFRi">#REF!</definedName>
    <definedName name="_xlnm.Print_Titles">#N/A</definedName>
    <definedName name="Tj">#REF!</definedName>
    <definedName name="TMRf">#REF!</definedName>
    <definedName name="TMRv">#REF!</definedName>
    <definedName name="TNoAforadas">#REF!</definedName>
    <definedName name="TODO">#REF!</definedName>
    <definedName name="Trecep">#REF!</definedName>
    <definedName name="TRF">#REF!</definedName>
    <definedName name="TRFi">#REF!</definedName>
    <definedName name="TRT">#REF!</definedName>
    <definedName name="TTE">#REF!</definedName>
    <definedName name="TTotales">#REF!</definedName>
    <definedName name="TU">#REF!</definedName>
    <definedName name="VP_CTE">#REF!</definedName>
    <definedName name="wrn.resumen." localSheetId="15" hidden="1">{"total",#N/A,FALSE,"TD 0% ";"total",#N/A,FALSE,"TD 12%";"total",#N/A,FALSE,"TD 10%"}</definedName>
    <definedName name="wrn.resumen." hidden="1">{"total",#N/A,FALSE,"TD 0% ";"total",#N/A,FALSE,"TD 12%";"total",#N/A,FALSE,"TD 10%"}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A186" i="55" l="1"/>
  <c r="Z186" i="55"/>
  <c r="Y186" i="55"/>
  <c r="X186" i="55"/>
  <c r="W186" i="55"/>
  <c r="V186" i="55"/>
  <c r="U186" i="55"/>
  <c r="T186" i="55"/>
  <c r="S186" i="55"/>
  <c r="R186" i="55"/>
  <c r="Q186" i="55"/>
  <c r="P186" i="55"/>
  <c r="O186" i="55"/>
  <c r="N186" i="55"/>
  <c r="M186" i="55"/>
  <c r="L186" i="55"/>
  <c r="K186" i="55"/>
  <c r="J186" i="55"/>
  <c r="I186" i="55"/>
  <c r="H186" i="55"/>
  <c r="G186" i="55"/>
  <c r="F187" i="55"/>
  <c r="F186" i="55"/>
  <c r="AP181" i="55"/>
  <c r="AO181" i="55"/>
  <c r="AN181" i="55"/>
  <c r="AM181" i="55"/>
  <c r="AL181" i="55"/>
  <c r="AK181" i="55"/>
  <c r="AJ181" i="55"/>
  <c r="AI181" i="55"/>
  <c r="AH181" i="55"/>
  <c r="AG181" i="55"/>
  <c r="AF181" i="55"/>
  <c r="AE181" i="55"/>
  <c r="AD181" i="55"/>
  <c r="AC181" i="55"/>
  <c r="AB181" i="55"/>
  <c r="AA181" i="55"/>
  <c r="Z181" i="55"/>
  <c r="Y181" i="55"/>
  <c r="X181" i="55"/>
  <c r="W181" i="55"/>
  <c r="V181" i="55"/>
  <c r="U181" i="55"/>
  <c r="T181" i="55"/>
  <c r="S181" i="55"/>
  <c r="R181" i="55"/>
  <c r="Q181" i="55"/>
  <c r="P181" i="55"/>
  <c r="O181" i="55"/>
  <c r="N181" i="55"/>
  <c r="M181" i="55"/>
  <c r="L181" i="55"/>
  <c r="K181" i="55"/>
  <c r="J181" i="55"/>
  <c r="I181" i="55"/>
  <c r="H181" i="55"/>
  <c r="G181" i="55"/>
  <c r="F181" i="55"/>
  <c r="F176" i="55"/>
  <c r="I143" i="22"/>
  <c r="D162" i="61"/>
  <c r="R359" i="61"/>
  <c r="Q359" i="61"/>
  <c r="P359" i="61"/>
  <c r="O359" i="61"/>
  <c r="N359" i="61"/>
  <c r="M359" i="61"/>
  <c r="L359" i="61"/>
  <c r="K359" i="61"/>
  <c r="J359" i="61"/>
  <c r="I359" i="61"/>
  <c r="H359" i="61"/>
  <c r="G359" i="61"/>
  <c r="F359" i="61"/>
  <c r="E359" i="61"/>
  <c r="D360" i="61"/>
  <c r="D359" i="61"/>
  <c r="E353" i="61"/>
  <c r="D354" i="61"/>
  <c r="D353" i="61"/>
  <c r="D348" i="61"/>
  <c r="R347" i="61"/>
  <c r="Q347" i="61"/>
  <c r="P347" i="61"/>
  <c r="O347" i="61"/>
  <c r="N347" i="61"/>
  <c r="M347" i="61"/>
  <c r="L347" i="61"/>
  <c r="K347" i="61"/>
  <c r="J347" i="61"/>
  <c r="I347" i="61"/>
  <c r="H347" i="61"/>
  <c r="G347" i="61"/>
  <c r="F347" i="61"/>
  <c r="E347" i="61"/>
  <c r="D347" i="61"/>
  <c r="R324" i="61"/>
  <c r="Q324" i="61"/>
  <c r="P324" i="61"/>
  <c r="O324" i="61"/>
  <c r="N324" i="61"/>
  <c r="M324" i="61"/>
  <c r="L324" i="61"/>
  <c r="K324" i="61"/>
  <c r="J324" i="61"/>
  <c r="I324" i="61"/>
  <c r="H324" i="61"/>
  <c r="G324" i="61"/>
  <c r="F324" i="61"/>
  <c r="E324" i="61"/>
  <c r="D325" i="61"/>
  <c r="D324" i="61"/>
  <c r="E318" i="61"/>
  <c r="D319" i="61"/>
  <c r="D318" i="61"/>
  <c r="R315" i="61"/>
  <c r="Q315" i="61"/>
  <c r="P315" i="61"/>
  <c r="O315" i="61"/>
  <c r="N315" i="61"/>
  <c r="M315" i="61"/>
  <c r="L315" i="61"/>
  <c r="K315" i="61"/>
  <c r="J315" i="61"/>
  <c r="I315" i="61"/>
  <c r="H315" i="61"/>
  <c r="G315" i="61"/>
  <c r="F315" i="61"/>
  <c r="E315" i="61"/>
  <c r="D316" i="61"/>
  <c r="D315" i="61"/>
  <c r="R312" i="61"/>
  <c r="Q312" i="61"/>
  <c r="P312" i="61"/>
  <c r="O312" i="61"/>
  <c r="N312" i="61"/>
  <c r="M312" i="61"/>
  <c r="L312" i="61"/>
  <c r="K312" i="61"/>
  <c r="J312" i="61"/>
  <c r="I312" i="61"/>
  <c r="H312" i="61"/>
  <c r="G312" i="61"/>
  <c r="F312" i="61"/>
  <c r="E312" i="61"/>
  <c r="D313" i="61"/>
  <c r="D312" i="61"/>
  <c r="R210" i="61"/>
  <c r="Q210" i="61"/>
  <c r="P210" i="61"/>
  <c r="O210" i="61"/>
  <c r="N210" i="61"/>
  <c r="M210" i="61"/>
  <c r="L210" i="61"/>
  <c r="K210" i="61"/>
  <c r="J210" i="61"/>
  <c r="I210" i="61"/>
  <c r="H210" i="61"/>
  <c r="G210" i="61"/>
  <c r="F210" i="61"/>
  <c r="E210" i="61"/>
  <c r="D211" i="61"/>
  <c r="D210" i="61"/>
  <c r="E204" i="61"/>
  <c r="D205" i="61"/>
  <c r="D204" i="61"/>
  <c r="R198" i="61"/>
  <c r="Q198" i="61"/>
  <c r="P198" i="61"/>
  <c r="O198" i="61"/>
  <c r="N198" i="61"/>
  <c r="M198" i="61"/>
  <c r="L198" i="61"/>
  <c r="K198" i="61"/>
  <c r="J198" i="61"/>
  <c r="I198" i="61"/>
  <c r="H198" i="61"/>
  <c r="G198" i="61"/>
  <c r="F198" i="61"/>
  <c r="E198" i="61"/>
  <c r="D199" i="61"/>
  <c r="D198" i="61"/>
  <c r="E167" i="61"/>
  <c r="D168" i="61"/>
  <c r="D167" i="61"/>
  <c r="D164" i="61"/>
  <c r="E164" i="61"/>
  <c r="D165" i="61"/>
  <c r="R161" i="61"/>
  <c r="Q161" i="61"/>
  <c r="P161" i="61"/>
  <c r="O161" i="61"/>
  <c r="N161" i="61"/>
  <c r="M161" i="61"/>
  <c r="L161" i="61"/>
  <c r="K161" i="61"/>
  <c r="J161" i="61"/>
  <c r="I161" i="61"/>
  <c r="H161" i="61"/>
  <c r="G161" i="61"/>
  <c r="F161" i="61"/>
  <c r="E161" i="61"/>
  <c r="D161" i="61"/>
  <c r="R79" i="61"/>
  <c r="Q79" i="61"/>
  <c r="P79" i="61"/>
  <c r="O79" i="61"/>
  <c r="N79" i="61"/>
  <c r="M79" i="61"/>
  <c r="L79" i="61"/>
  <c r="K79" i="61"/>
  <c r="J79" i="61"/>
  <c r="I79" i="61"/>
  <c r="H79" i="61"/>
  <c r="G79" i="61"/>
  <c r="F79" i="61"/>
  <c r="E79" i="61"/>
  <c r="D80" i="61"/>
  <c r="D79" i="61"/>
  <c r="R67" i="61"/>
  <c r="Q67" i="61"/>
  <c r="P67" i="61"/>
  <c r="O67" i="61"/>
  <c r="N67" i="61"/>
  <c r="M67" i="61"/>
  <c r="L67" i="61"/>
  <c r="K67" i="61"/>
  <c r="J67" i="61"/>
  <c r="I67" i="61"/>
  <c r="H67" i="61"/>
  <c r="G67" i="61"/>
  <c r="F67" i="61"/>
  <c r="E67" i="61"/>
  <c r="D68" i="61"/>
  <c r="D67" i="61"/>
  <c r="L13" i="22"/>
  <c r="L12" i="22"/>
  <c r="L11" i="22"/>
  <c r="L10" i="22"/>
  <c r="L9" i="22"/>
  <c r="R31" i="95"/>
  <c r="R30" i="95"/>
  <c r="R29" i="95"/>
  <c r="R28" i="95"/>
  <c r="R27" i="95"/>
  <c r="R26" i="95"/>
  <c r="AO539" i="55"/>
  <c r="AN539" i="55"/>
  <c r="AM539" i="55"/>
  <c r="AL539" i="55"/>
  <c r="AK539" i="55"/>
  <c r="AJ539" i="55"/>
  <c r="AI539" i="55"/>
  <c r="AH539" i="55"/>
  <c r="AG539" i="55"/>
  <c r="AF539" i="55"/>
  <c r="AE539" i="55"/>
  <c r="AD539" i="55"/>
  <c r="AC539" i="55"/>
  <c r="AB539" i="55"/>
  <c r="AA539" i="55"/>
  <c r="Z539" i="55"/>
  <c r="Y539" i="55"/>
  <c r="X539" i="55"/>
  <c r="W539" i="55"/>
  <c r="V539" i="55"/>
  <c r="U539" i="55"/>
  <c r="T539" i="55"/>
  <c r="S539" i="55"/>
  <c r="R539" i="55"/>
  <c r="Q539" i="55"/>
  <c r="P539" i="55"/>
  <c r="O539" i="55"/>
  <c r="N539" i="55"/>
  <c r="M539" i="55"/>
  <c r="L539" i="55"/>
  <c r="K539" i="55"/>
  <c r="J539" i="55"/>
  <c r="I539" i="55"/>
  <c r="H539" i="55"/>
  <c r="G539" i="55"/>
  <c r="F539" i="55"/>
  <c r="F534" i="55"/>
  <c r="AO529" i="55"/>
  <c r="AN529" i="55"/>
  <c r="AM529" i="55"/>
  <c r="AL529" i="55"/>
  <c r="AK529" i="55"/>
  <c r="AJ529" i="55"/>
  <c r="AI529" i="55"/>
  <c r="AH529" i="55"/>
  <c r="AG529" i="55"/>
  <c r="AF529" i="55"/>
  <c r="AE529" i="55"/>
  <c r="AD529" i="55"/>
  <c r="AC529" i="55"/>
  <c r="AB529" i="55"/>
  <c r="AA529" i="55"/>
  <c r="Z529" i="55"/>
  <c r="Y529" i="55"/>
  <c r="X529" i="55"/>
  <c r="W529" i="55"/>
  <c r="V529" i="55"/>
  <c r="U529" i="55"/>
  <c r="T529" i="55"/>
  <c r="S529" i="55"/>
  <c r="R529" i="55"/>
  <c r="Q529" i="55"/>
  <c r="P529" i="55"/>
  <c r="O529" i="55"/>
  <c r="N529" i="55"/>
  <c r="M529" i="55"/>
  <c r="L529" i="55"/>
  <c r="K529" i="55"/>
  <c r="J529" i="55"/>
  <c r="I529" i="55"/>
  <c r="H529" i="55"/>
  <c r="G529" i="55"/>
  <c r="F529" i="55"/>
  <c r="AO519" i="55"/>
  <c r="AN519" i="55"/>
  <c r="AM519" i="55"/>
  <c r="AL519" i="55"/>
  <c r="AK519" i="55"/>
  <c r="AJ519" i="55"/>
  <c r="AI519" i="55"/>
  <c r="AH519" i="55"/>
  <c r="AG519" i="55"/>
  <c r="AF519" i="55"/>
  <c r="AE519" i="55"/>
  <c r="AD519" i="55"/>
  <c r="AC519" i="55"/>
  <c r="AB519" i="55"/>
  <c r="AA519" i="55"/>
  <c r="Z519" i="55"/>
  <c r="Y519" i="55"/>
  <c r="X519" i="55"/>
  <c r="W519" i="55"/>
  <c r="V519" i="55"/>
  <c r="U519" i="55"/>
  <c r="T519" i="55"/>
  <c r="S519" i="55"/>
  <c r="R519" i="55"/>
  <c r="Q519" i="55"/>
  <c r="P519" i="55"/>
  <c r="O519" i="55"/>
  <c r="N519" i="55"/>
  <c r="M519" i="55"/>
  <c r="L519" i="55"/>
  <c r="K519" i="55"/>
  <c r="J519" i="55"/>
  <c r="I519" i="55"/>
  <c r="H519" i="55"/>
  <c r="G519" i="55"/>
  <c r="F519" i="55"/>
  <c r="F459" i="55"/>
  <c r="G457" i="55"/>
  <c r="F458" i="55"/>
  <c r="F457" i="55"/>
  <c r="T449" i="55"/>
  <c r="S449" i="55"/>
  <c r="R449" i="55"/>
  <c r="Q449" i="55"/>
  <c r="P449" i="55"/>
  <c r="O449" i="55"/>
  <c r="N449" i="55"/>
  <c r="M449" i="55"/>
  <c r="L449" i="55"/>
  <c r="K449" i="55"/>
  <c r="J449" i="55"/>
  <c r="I449" i="55"/>
  <c r="H449" i="55"/>
  <c r="G449" i="55"/>
  <c r="F450" i="55"/>
  <c r="F449" i="55"/>
  <c r="G447" i="55"/>
  <c r="F448" i="55"/>
  <c r="F447" i="55"/>
  <c r="G442" i="55"/>
  <c r="F442" i="55"/>
  <c r="G439" i="55"/>
  <c r="F439" i="55"/>
  <c r="G437" i="55"/>
  <c r="F438" i="55"/>
  <c r="F437" i="55"/>
  <c r="AO338" i="55"/>
  <c r="AN338" i="55"/>
  <c r="AM338" i="55"/>
  <c r="AL338" i="55"/>
  <c r="AK338" i="55"/>
  <c r="AJ338" i="55"/>
  <c r="AI338" i="55"/>
  <c r="AH338" i="55"/>
  <c r="AG338" i="55"/>
  <c r="AF338" i="55"/>
  <c r="AE338" i="55"/>
  <c r="AD338" i="55"/>
  <c r="AC338" i="55"/>
  <c r="AB338" i="55"/>
  <c r="AA338" i="55"/>
  <c r="Z338" i="55"/>
  <c r="Y338" i="55"/>
  <c r="X338" i="55"/>
  <c r="W338" i="55"/>
  <c r="V338" i="55"/>
  <c r="U338" i="55"/>
  <c r="T338" i="55"/>
  <c r="S338" i="55"/>
  <c r="R338" i="55"/>
  <c r="Q338" i="55"/>
  <c r="P338" i="55"/>
  <c r="O338" i="55"/>
  <c r="N338" i="55"/>
  <c r="M338" i="55"/>
  <c r="L338" i="55"/>
  <c r="K338" i="55"/>
  <c r="J338" i="55"/>
  <c r="I338" i="55"/>
  <c r="H338" i="55"/>
  <c r="G338" i="55"/>
  <c r="F339" i="55"/>
  <c r="F338" i="55"/>
  <c r="F336" i="55"/>
  <c r="G326" i="55"/>
  <c r="F326" i="55"/>
  <c r="AO318" i="55"/>
  <c r="AN318" i="55"/>
  <c r="AM318" i="55"/>
  <c r="AL318" i="55"/>
  <c r="AK318" i="55"/>
  <c r="AJ318" i="55"/>
  <c r="AI318" i="55"/>
  <c r="AH318" i="55"/>
  <c r="AG318" i="55"/>
  <c r="AF318" i="55"/>
  <c r="AE318" i="55"/>
  <c r="AD318" i="55"/>
  <c r="AC318" i="55"/>
  <c r="AB318" i="55"/>
  <c r="AA318" i="55"/>
  <c r="Z318" i="55"/>
  <c r="Y318" i="55"/>
  <c r="X318" i="55"/>
  <c r="W318" i="55"/>
  <c r="V318" i="55"/>
  <c r="U318" i="55"/>
  <c r="T318" i="55"/>
  <c r="S318" i="55"/>
  <c r="R318" i="55"/>
  <c r="Q318" i="55"/>
  <c r="P318" i="55"/>
  <c r="O318" i="55"/>
  <c r="N318" i="55"/>
  <c r="M318" i="55"/>
  <c r="L318" i="55"/>
  <c r="K318" i="55"/>
  <c r="J318" i="55"/>
  <c r="I318" i="55"/>
  <c r="H318" i="55"/>
  <c r="G318" i="55"/>
  <c r="F319" i="55"/>
  <c r="F318" i="55"/>
  <c r="AO316" i="55"/>
  <c r="AN316" i="55"/>
  <c r="AM316" i="55"/>
  <c r="AL316" i="55"/>
  <c r="AK316" i="55"/>
  <c r="AJ316" i="55"/>
  <c r="AI316" i="55"/>
  <c r="AH316" i="55"/>
  <c r="AG316" i="55"/>
  <c r="AF316" i="55"/>
  <c r="AE316" i="55"/>
  <c r="AD316" i="55"/>
  <c r="AC316" i="55"/>
  <c r="AB316" i="55"/>
  <c r="AA316" i="55"/>
  <c r="Z316" i="55"/>
  <c r="Y316" i="55"/>
  <c r="X316" i="55"/>
  <c r="W316" i="55"/>
  <c r="V316" i="55"/>
  <c r="U316" i="55"/>
  <c r="T316" i="55"/>
  <c r="S316" i="55"/>
  <c r="R316" i="55"/>
  <c r="Q316" i="55"/>
  <c r="P316" i="55"/>
  <c r="O316" i="55"/>
  <c r="N316" i="55"/>
  <c r="M316" i="55"/>
  <c r="L316" i="55"/>
  <c r="K316" i="55"/>
  <c r="J316" i="55"/>
  <c r="I316" i="55"/>
  <c r="H316" i="55"/>
  <c r="G316" i="55"/>
  <c r="F317" i="55"/>
  <c r="F316" i="55"/>
  <c r="AP68" i="55"/>
  <c r="AO68" i="55"/>
  <c r="AN68" i="55"/>
  <c r="AM68" i="55"/>
  <c r="AL68" i="55"/>
  <c r="AK68" i="55"/>
  <c r="AJ68" i="55"/>
  <c r="AI68" i="55"/>
  <c r="AH68" i="55"/>
  <c r="AG68" i="55"/>
  <c r="AF68" i="55"/>
  <c r="AE68" i="55"/>
  <c r="AD68" i="55"/>
  <c r="AC68" i="55"/>
  <c r="AB68" i="55"/>
  <c r="AA68" i="55"/>
  <c r="Z68" i="55"/>
  <c r="Y68" i="55"/>
  <c r="X68" i="55"/>
  <c r="W68" i="55"/>
  <c r="V68" i="55"/>
  <c r="U68" i="55"/>
  <c r="T68" i="55"/>
  <c r="S68" i="55"/>
  <c r="R68" i="55"/>
  <c r="Q68" i="55"/>
  <c r="P68" i="55"/>
  <c r="O68" i="55"/>
  <c r="N68" i="55"/>
  <c r="M68" i="55"/>
  <c r="L68" i="55"/>
  <c r="K68" i="55"/>
  <c r="J68" i="55"/>
  <c r="I68" i="55"/>
  <c r="H68" i="55"/>
  <c r="G68" i="55"/>
  <c r="F69" i="55"/>
  <c r="F68" i="55"/>
  <c r="AP66" i="55"/>
  <c r="AO66" i="55"/>
  <c r="AN66" i="55"/>
  <c r="AM66" i="55"/>
  <c r="AL66" i="55"/>
  <c r="AK66" i="55"/>
  <c r="AJ66" i="55"/>
  <c r="AI66" i="55"/>
  <c r="AH66" i="55"/>
  <c r="AG66" i="55"/>
  <c r="AF66" i="55"/>
  <c r="AE66" i="55"/>
  <c r="AD66" i="55"/>
  <c r="AC66" i="55"/>
  <c r="AB66" i="55"/>
  <c r="AA66" i="55"/>
  <c r="Z66" i="55"/>
  <c r="Y66" i="55"/>
  <c r="X66" i="55"/>
  <c r="W66" i="55"/>
  <c r="V66" i="55"/>
  <c r="U66" i="55"/>
  <c r="T66" i="55"/>
  <c r="S66" i="55"/>
  <c r="R66" i="55"/>
  <c r="Q66" i="55"/>
  <c r="P66" i="55"/>
  <c r="O66" i="55"/>
  <c r="N66" i="55"/>
  <c r="M66" i="55"/>
  <c r="L66" i="55"/>
  <c r="K66" i="55"/>
  <c r="J66" i="55"/>
  <c r="I66" i="55"/>
  <c r="H66" i="55"/>
  <c r="G66" i="55"/>
  <c r="F66" i="55"/>
  <c r="F57" i="55"/>
  <c r="F56" i="55"/>
  <c r="AP48" i="55"/>
  <c r="AO48" i="55"/>
  <c r="AN48" i="55"/>
  <c r="AM48" i="55"/>
  <c r="AL48" i="55"/>
  <c r="AK48" i="55"/>
  <c r="AJ48" i="55"/>
  <c r="AI48" i="55"/>
  <c r="AH48" i="55"/>
  <c r="AG48" i="55"/>
  <c r="AF48" i="55"/>
  <c r="AE48" i="55"/>
  <c r="AD48" i="55"/>
  <c r="AC48" i="55"/>
  <c r="AB48" i="55"/>
  <c r="AA48" i="55"/>
  <c r="Z48" i="55"/>
  <c r="Y48" i="55"/>
  <c r="X48" i="55"/>
  <c r="W48" i="55"/>
  <c r="V48" i="55"/>
  <c r="U48" i="55"/>
  <c r="T48" i="55"/>
  <c r="S48" i="55"/>
  <c r="R48" i="55"/>
  <c r="Q48" i="55"/>
  <c r="P48" i="55"/>
  <c r="O48" i="55"/>
  <c r="N48" i="55"/>
  <c r="M48" i="55"/>
  <c r="L48" i="55"/>
  <c r="K48" i="55"/>
  <c r="J48" i="55"/>
  <c r="I48" i="55"/>
  <c r="H48" i="55"/>
  <c r="G48" i="55"/>
  <c r="F49" i="55"/>
  <c r="F48" i="55"/>
  <c r="AP46" i="55"/>
  <c r="AO46" i="55"/>
  <c r="AN46" i="55"/>
  <c r="AM46" i="55"/>
  <c r="AL46" i="55"/>
  <c r="AK46" i="55"/>
  <c r="AJ46" i="55"/>
  <c r="AI46" i="55"/>
  <c r="AH46" i="55"/>
  <c r="AG46" i="55"/>
  <c r="AF46" i="55"/>
  <c r="AE46" i="55"/>
  <c r="AD46" i="55"/>
  <c r="AC46" i="55"/>
  <c r="AB46" i="55"/>
  <c r="AA46" i="55"/>
  <c r="Z46" i="55"/>
  <c r="Y46" i="55"/>
  <c r="X46" i="55"/>
  <c r="W46" i="55"/>
  <c r="V46" i="55"/>
  <c r="U46" i="55"/>
  <c r="T46" i="55"/>
  <c r="S46" i="55"/>
  <c r="R46" i="55"/>
  <c r="Q46" i="55"/>
  <c r="P46" i="55"/>
  <c r="O46" i="55"/>
  <c r="N46" i="55"/>
  <c r="M46" i="55"/>
  <c r="L46" i="55"/>
  <c r="K46" i="55"/>
  <c r="J46" i="55"/>
  <c r="I46" i="55"/>
  <c r="H46" i="55"/>
  <c r="G46" i="55"/>
  <c r="F46" i="55"/>
  <c r="C45" i="62"/>
  <c r="C14" i="98"/>
  <c r="C14" i="77"/>
  <c r="C8" i="36"/>
  <c r="AE29" i="97" l="1"/>
  <c r="AC29" i="97"/>
  <c r="AA29" i="97"/>
  <c r="Y29" i="97"/>
  <c r="X29" i="97"/>
  <c r="W29" i="97"/>
  <c r="V29" i="97"/>
  <c r="U29" i="97"/>
  <c r="N29" i="97"/>
  <c r="I29" i="97"/>
  <c r="H29" i="97"/>
  <c r="G29" i="97"/>
  <c r="F29" i="97"/>
  <c r="E29" i="97"/>
  <c r="D29" i="97"/>
  <c r="R318" i="61"/>
  <c r="Q318" i="61"/>
  <c r="P318" i="61"/>
  <c r="O318" i="61"/>
  <c r="N318" i="61"/>
  <c r="M318" i="61"/>
  <c r="L318" i="61"/>
  <c r="K318" i="61"/>
  <c r="J318" i="61"/>
  <c r="I318" i="61"/>
  <c r="H318" i="61"/>
  <c r="G318" i="61"/>
  <c r="F318" i="61"/>
  <c r="R167" i="61"/>
  <c r="Q167" i="61"/>
  <c r="P167" i="61"/>
  <c r="O167" i="61"/>
  <c r="N167" i="61"/>
  <c r="M167" i="61"/>
  <c r="L167" i="61"/>
  <c r="K167" i="61"/>
  <c r="J167" i="61"/>
  <c r="I167" i="61"/>
  <c r="H167" i="61"/>
  <c r="G167" i="61"/>
  <c r="F167" i="61"/>
  <c r="R164" i="61"/>
  <c r="Q164" i="61"/>
  <c r="P164" i="61"/>
  <c r="O164" i="61"/>
  <c r="N164" i="61"/>
  <c r="M164" i="61"/>
  <c r="L164" i="61"/>
  <c r="K164" i="61"/>
  <c r="J164" i="61"/>
  <c r="I164" i="61"/>
  <c r="H164" i="61"/>
  <c r="G164" i="61"/>
  <c r="F164" i="61"/>
  <c r="E426" i="59"/>
  <c r="F425" i="59"/>
  <c r="E425" i="59"/>
  <c r="F419" i="59"/>
  <c r="E420" i="59"/>
  <c r="E419" i="59"/>
  <c r="F413" i="59"/>
  <c r="E414" i="59"/>
  <c r="E413" i="59"/>
  <c r="E355" i="59"/>
  <c r="R349" i="59"/>
  <c r="Q349" i="59"/>
  <c r="P349" i="59"/>
  <c r="O349" i="59"/>
  <c r="N349" i="59"/>
  <c r="M349" i="59"/>
  <c r="L349" i="59"/>
  <c r="K349" i="59"/>
  <c r="J349" i="59"/>
  <c r="I349" i="59"/>
  <c r="H349" i="59"/>
  <c r="G349" i="59"/>
  <c r="F349" i="59"/>
  <c r="E350" i="59"/>
  <c r="E349" i="59"/>
  <c r="F346" i="59"/>
  <c r="E347" i="59"/>
  <c r="E346" i="59"/>
  <c r="F343" i="59"/>
  <c r="E344" i="59"/>
  <c r="E343" i="59"/>
  <c r="E147" i="59"/>
  <c r="R141" i="59"/>
  <c r="Q141" i="59"/>
  <c r="P141" i="59"/>
  <c r="O141" i="59"/>
  <c r="N141" i="59"/>
  <c r="M141" i="59"/>
  <c r="L141" i="59"/>
  <c r="K141" i="59"/>
  <c r="J141" i="59"/>
  <c r="I141" i="59"/>
  <c r="H141" i="59"/>
  <c r="G141" i="59"/>
  <c r="F141" i="59"/>
  <c r="E142" i="59"/>
  <c r="E141" i="59"/>
  <c r="F138" i="59"/>
  <c r="E139" i="59"/>
  <c r="E138" i="59"/>
  <c r="F135" i="59"/>
  <c r="E136" i="59"/>
  <c r="E135" i="59"/>
  <c r="G459" i="55"/>
  <c r="F443" i="55"/>
  <c r="F346" i="55"/>
  <c r="AO336" i="55"/>
  <c r="AN336" i="55"/>
  <c r="AM336" i="55"/>
  <c r="AL336" i="55"/>
  <c r="AK336" i="55"/>
  <c r="AJ336" i="55"/>
  <c r="AI336" i="55"/>
  <c r="AH336" i="55"/>
  <c r="AG336" i="55"/>
  <c r="AF336" i="55"/>
  <c r="AE336" i="55"/>
  <c r="AD336" i="55"/>
  <c r="AC336" i="55"/>
  <c r="AB336" i="55"/>
  <c r="AA336" i="55"/>
  <c r="Z336" i="55"/>
  <c r="Y336" i="55"/>
  <c r="X336" i="55"/>
  <c r="W336" i="55"/>
  <c r="V336" i="55"/>
  <c r="U336" i="55"/>
  <c r="T336" i="55"/>
  <c r="S336" i="55"/>
  <c r="R336" i="55"/>
  <c r="Q336" i="55"/>
  <c r="P336" i="55"/>
  <c r="O336" i="55"/>
  <c r="N336" i="55"/>
  <c r="M336" i="55"/>
  <c r="L336" i="55"/>
  <c r="K336" i="55"/>
  <c r="J336" i="55"/>
  <c r="I336" i="55"/>
  <c r="H336" i="55"/>
  <c r="G336" i="55"/>
  <c r="F337" i="55"/>
  <c r="F327" i="55"/>
  <c r="AO326" i="55"/>
  <c r="AN326" i="55"/>
  <c r="AM326" i="55"/>
  <c r="AL326" i="55"/>
  <c r="AK326" i="55"/>
  <c r="AJ326" i="55"/>
  <c r="AI326" i="55"/>
  <c r="AH326" i="55"/>
  <c r="AG326" i="55"/>
  <c r="AF326" i="55"/>
  <c r="AE326" i="55"/>
  <c r="AD326" i="55"/>
  <c r="AC326" i="55"/>
  <c r="AB326" i="55"/>
  <c r="AA326" i="55"/>
  <c r="Z326" i="55"/>
  <c r="Y326" i="55"/>
  <c r="X326" i="55"/>
  <c r="W326" i="55"/>
  <c r="V326" i="55"/>
  <c r="U326" i="55"/>
  <c r="T326" i="55"/>
  <c r="S326" i="55"/>
  <c r="R326" i="55"/>
  <c r="Q326" i="55"/>
  <c r="P326" i="55"/>
  <c r="O326" i="55"/>
  <c r="N326" i="55"/>
  <c r="M326" i="55"/>
  <c r="L326" i="55"/>
  <c r="K326" i="55"/>
  <c r="J326" i="55"/>
  <c r="I326" i="55"/>
  <c r="H326" i="55"/>
  <c r="AP176" i="55"/>
  <c r="AO176" i="55"/>
  <c r="AN176" i="55"/>
  <c r="AM176" i="55"/>
  <c r="AL176" i="55"/>
  <c r="AK176" i="55"/>
  <c r="AJ176" i="55"/>
  <c r="AI176" i="55"/>
  <c r="AH176" i="55"/>
  <c r="AG176" i="55"/>
  <c r="AF176" i="55"/>
  <c r="AE176" i="55"/>
  <c r="AD176" i="55"/>
  <c r="AC176" i="55"/>
  <c r="AB176" i="55"/>
  <c r="AA176" i="55"/>
  <c r="Z176" i="55"/>
  <c r="Y176" i="55"/>
  <c r="X176" i="55"/>
  <c r="W176" i="55"/>
  <c r="V176" i="55"/>
  <c r="U176" i="55"/>
  <c r="T176" i="55"/>
  <c r="S176" i="55"/>
  <c r="R176" i="55"/>
  <c r="Q176" i="55"/>
  <c r="P176" i="55"/>
  <c r="O176" i="55"/>
  <c r="N176" i="55"/>
  <c r="M176" i="55"/>
  <c r="L176" i="55"/>
  <c r="K176" i="55"/>
  <c r="J176" i="55"/>
  <c r="I176" i="55"/>
  <c r="H176" i="55"/>
  <c r="G176" i="55"/>
  <c r="F197" i="55"/>
  <c r="AP196" i="55"/>
  <c r="AO196" i="55"/>
  <c r="AN196" i="55"/>
  <c r="AM196" i="55"/>
  <c r="AL196" i="55"/>
  <c r="AK196" i="55"/>
  <c r="AJ196" i="55"/>
  <c r="AI196" i="55"/>
  <c r="AH196" i="55"/>
  <c r="AG196" i="55"/>
  <c r="AF196" i="55"/>
  <c r="AE196" i="55"/>
  <c r="AD196" i="55"/>
  <c r="AC196" i="55"/>
  <c r="AB196" i="55"/>
  <c r="AA196" i="55"/>
  <c r="Z196" i="55"/>
  <c r="Y196" i="55"/>
  <c r="X196" i="55"/>
  <c r="W196" i="55"/>
  <c r="V196" i="55"/>
  <c r="U196" i="55"/>
  <c r="T196" i="55"/>
  <c r="S196" i="55"/>
  <c r="R196" i="55"/>
  <c r="Q196" i="55"/>
  <c r="P196" i="55"/>
  <c r="O196" i="55"/>
  <c r="N196" i="55"/>
  <c r="M196" i="55"/>
  <c r="L196" i="55"/>
  <c r="K196" i="55"/>
  <c r="J196" i="55"/>
  <c r="I196" i="55"/>
  <c r="H196" i="55"/>
  <c r="G196" i="55"/>
  <c r="F196" i="55"/>
  <c r="F182" i="55"/>
  <c r="G206" i="55"/>
  <c r="AA206" i="55"/>
  <c r="Z206" i="55"/>
  <c r="Y206" i="55"/>
  <c r="X206" i="55"/>
  <c r="W206" i="55"/>
  <c r="V206" i="55"/>
  <c r="U206" i="55"/>
  <c r="T206" i="55"/>
  <c r="S206" i="55"/>
  <c r="R206" i="55"/>
  <c r="Q206" i="55"/>
  <c r="P206" i="55"/>
  <c r="O206" i="55"/>
  <c r="N206" i="55"/>
  <c r="M206" i="55"/>
  <c r="L206" i="55"/>
  <c r="K206" i="55"/>
  <c r="J206" i="55"/>
  <c r="I206" i="55"/>
  <c r="H206" i="55"/>
  <c r="F206" i="55"/>
  <c r="F27" i="62" l="1"/>
  <c r="F67" i="55" l="1"/>
  <c r="AC10" i="97"/>
  <c r="L31" i="36"/>
  <c r="M31" i="36"/>
  <c r="N31" i="36"/>
  <c r="O31" i="36"/>
  <c r="K31" i="36"/>
  <c r="L12" i="79"/>
  <c r="L10" i="79"/>
  <c r="L11" i="79"/>
  <c r="L13" i="79"/>
  <c r="AO534" i="55"/>
  <c r="AN534" i="55"/>
  <c r="AM534" i="55"/>
  <c r="AL534" i="55"/>
  <c r="AK534" i="55"/>
  <c r="AJ534" i="55"/>
  <c r="AI534" i="55"/>
  <c r="AH534" i="55"/>
  <c r="AG534" i="55"/>
  <c r="AF534" i="55"/>
  <c r="AE534" i="55"/>
  <c r="AD534" i="55"/>
  <c r="AC534" i="55"/>
  <c r="AB534" i="55"/>
  <c r="AA534" i="55"/>
  <c r="Z534" i="55"/>
  <c r="Y534" i="55"/>
  <c r="X534" i="55"/>
  <c r="W534" i="55"/>
  <c r="V534" i="55"/>
  <c r="U534" i="55"/>
  <c r="T534" i="55"/>
  <c r="S534" i="55"/>
  <c r="R534" i="55"/>
  <c r="Q534" i="55"/>
  <c r="P534" i="55"/>
  <c r="O534" i="55"/>
  <c r="N534" i="55"/>
  <c r="M534" i="55"/>
  <c r="L534" i="55"/>
  <c r="K534" i="55"/>
  <c r="J534" i="55"/>
  <c r="I534" i="55"/>
  <c r="H534" i="55"/>
  <c r="G534" i="55"/>
  <c r="F535" i="55"/>
  <c r="F520" i="55"/>
  <c r="Z447" i="55" l="1"/>
  <c r="Y447" i="55"/>
  <c r="X447" i="55"/>
  <c r="W447" i="55"/>
  <c r="V447" i="55"/>
  <c r="U447" i="55"/>
  <c r="T447" i="55"/>
  <c r="S447" i="55"/>
  <c r="R447" i="55"/>
  <c r="Q447" i="55"/>
  <c r="P447" i="55"/>
  <c r="O447" i="55"/>
  <c r="N447" i="55"/>
  <c r="M447" i="55"/>
  <c r="L447" i="55"/>
  <c r="K447" i="55"/>
  <c r="J447" i="55"/>
  <c r="I447" i="55"/>
  <c r="H447" i="55"/>
  <c r="Z459" i="55"/>
  <c r="Y459" i="55"/>
  <c r="X459" i="55"/>
  <c r="W459" i="55"/>
  <c r="V459" i="55"/>
  <c r="U459" i="55"/>
  <c r="T459" i="55"/>
  <c r="S459" i="55"/>
  <c r="R459" i="55"/>
  <c r="Q459" i="55"/>
  <c r="P459" i="55"/>
  <c r="O459" i="55"/>
  <c r="N459" i="55"/>
  <c r="M459" i="55"/>
  <c r="L459" i="55"/>
  <c r="K459" i="55"/>
  <c r="J459" i="55"/>
  <c r="I459" i="55"/>
  <c r="H459" i="55"/>
  <c r="F460" i="55"/>
  <c r="AO442" i="55"/>
  <c r="AN442" i="55"/>
  <c r="AM442" i="55"/>
  <c r="AL442" i="55"/>
  <c r="AK442" i="55"/>
  <c r="AJ442" i="55"/>
  <c r="AI442" i="55"/>
  <c r="AH442" i="55"/>
  <c r="AG442" i="55"/>
  <c r="AF442" i="55"/>
  <c r="AE442" i="55"/>
  <c r="AD442" i="55"/>
  <c r="AC442" i="55"/>
  <c r="AB442" i="55"/>
  <c r="AA442" i="55"/>
  <c r="Z442" i="55"/>
  <c r="Y442" i="55"/>
  <c r="X442" i="55"/>
  <c r="W442" i="55"/>
  <c r="V442" i="55"/>
  <c r="U442" i="55"/>
  <c r="T442" i="55"/>
  <c r="S442" i="55"/>
  <c r="R442" i="55"/>
  <c r="Q442" i="55"/>
  <c r="P442" i="55"/>
  <c r="O442" i="55"/>
  <c r="N442" i="55"/>
  <c r="M442" i="55"/>
  <c r="L442" i="55"/>
  <c r="K442" i="55"/>
  <c r="J442" i="55"/>
  <c r="I442" i="55"/>
  <c r="H442" i="55"/>
  <c r="AA439" i="55"/>
  <c r="Z439" i="55"/>
  <c r="Y439" i="55"/>
  <c r="X439" i="55"/>
  <c r="W439" i="55"/>
  <c r="V439" i="55"/>
  <c r="U439" i="55"/>
  <c r="T439" i="55"/>
  <c r="S439" i="55"/>
  <c r="R439" i="55"/>
  <c r="Q439" i="55"/>
  <c r="P439" i="55"/>
  <c r="O439" i="55"/>
  <c r="N439" i="55"/>
  <c r="M439" i="55"/>
  <c r="L439" i="55"/>
  <c r="K439" i="55"/>
  <c r="J439" i="55"/>
  <c r="I439" i="55"/>
  <c r="H439" i="55"/>
  <c r="F440" i="55"/>
  <c r="Z467" i="55"/>
  <c r="Y467" i="55"/>
  <c r="X467" i="55"/>
  <c r="W467" i="55"/>
  <c r="V467" i="55"/>
  <c r="U467" i="55"/>
  <c r="T467" i="55"/>
  <c r="S467" i="55"/>
  <c r="R467" i="55"/>
  <c r="Q467" i="55"/>
  <c r="P467" i="55"/>
  <c r="O467" i="55"/>
  <c r="N467" i="55"/>
  <c r="M467" i="55"/>
  <c r="L467" i="55"/>
  <c r="K467" i="55"/>
  <c r="J467" i="55"/>
  <c r="I467" i="55"/>
  <c r="H467" i="55"/>
  <c r="G467" i="55"/>
  <c r="F467" i="55"/>
  <c r="T346" i="55"/>
  <c r="S346" i="55"/>
  <c r="R346" i="55"/>
  <c r="Q346" i="55"/>
  <c r="P346" i="55"/>
  <c r="O346" i="55"/>
  <c r="N346" i="55"/>
  <c r="M346" i="55"/>
  <c r="L346" i="55"/>
  <c r="K346" i="55"/>
  <c r="J346" i="55"/>
  <c r="I346" i="55"/>
  <c r="H346" i="55"/>
  <c r="G346" i="55"/>
  <c r="F177" i="55"/>
  <c r="G56" i="55"/>
  <c r="F47" i="55"/>
  <c r="E146" i="22"/>
  <c r="E145" i="22"/>
  <c r="E144" i="22"/>
  <c r="E143" i="22"/>
  <c r="E142" i="22"/>
  <c r="C7" i="36"/>
  <c r="C6" i="36"/>
  <c r="C5" i="36"/>
  <c r="C4" i="36"/>
  <c r="C3" i="36"/>
  <c r="H17" i="62" l="1"/>
  <c r="C17" i="62"/>
  <c r="C3" i="70" l="1"/>
  <c r="N44" i="70"/>
  <c r="M44" i="70"/>
  <c r="N43" i="70"/>
  <c r="M43" i="70"/>
  <c r="M45" i="70" s="1"/>
  <c r="L4" i="70"/>
  <c r="K4" i="70"/>
  <c r="J4" i="70"/>
  <c r="I4" i="70"/>
  <c r="H4" i="70"/>
  <c r="G4" i="70"/>
  <c r="F4" i="70"/>
  <c r="E4" i="70"/>
  <c r="D4" i="70"/>
  <c r="E3" i="70"/>
  <c r="F3" i="70"/>
  <c r="G3" i="70"/>
  <c r="H3" i="70"/>
  <c r="I3" i="70"/>
  <c r="J3" i="70"/>
  <c r="K3" i="70"/>
  <c r="L3" i="70"/>
  <c r="D45" i="70"/>
  <c r="C45" i="70"/>
  <c r="D3" i="70"/>
  <c r="C4" i="70"/>
  <c r="C79" i="62"/>
  <c r="C78" i="62"/>
  <c r="C77" i="62"/>
  <c r="C76" i="62"/>
  <c r="C75" i="62"/>
  <c r="E75" i="62" s="1"/>
  <c r="I142" i="85" s="1"/>
  <c r="C73" i="62"/>
  <c r="C72" i="62"/>
  <c r="C71" i="62"/>
  <c r="E71" i="62" s="1"/>
  <c r="I145" i="97" s="1"/>
  <c r="C70" i="62"/>
  <c r="C69" i="62"/>
  <c r="C68" i="62"/>
  <c r="E68" i="62" s="1"/>
  <c r="I144" i="97" s="1"/>
  <c r="C67" i="62"/>
  <c r="C66" i="62"/>
  <c r="E66" i="62" s="1"/>
  <c r="I143" i="97" s="1"/>
  <c r="C65" i="62"/>
  <c r="C63" i="62"/>
  <c r="E63" i="62" s="1"/>
  <c r="I142" i="97" s="1"/>
  <c r="C62" i="62"/>
  <c r="E62" i="62" s="1"/>
  <c r="C64" i="62"/>
  <c r="E64" i="62" s="1"/>
  <c r="I143" i="75" s="1"/>
  <c r="I35" i="62"/>
  <c r="I34" i="62"/>
  <c r="I33" i="62"/>
  <c r="I32" i="62"/>
  <c r="I23" i="62"/>
  <c r="G17" i="62"/>
  <c r="D63" i="62" s="1"/>
  <c r="G3" i="62"/>
  <c r="G2" i="62"/>
  <c r="H2" i="62"/>
  <c r="H97" i="91"/>
  <c r="I97" i="91"/>
  <c r="J97" i="91"/>
  <c r="K97" i="91"/>
  <c r="L97" i="91"/>
  <c r="G97" i="91"/>
  <c r="E92" i="91"/>
  <c r="E93" i="91"/>
  <c r="E94" i="91"/>
  <c r="E95" i="91"/>
  <c r="E96" i="91"/>
  <c r="D97" i="91"/>
  <c r="I50" i="91"/>
  <c r="I52" i="91"/>
  <c r="H54" i="91"/>
  <c r="I54" i="91"/>
  <c r="J54" i="91"/>
  <c r="K54" i="91"/>
  <c r="L54" i="91"/>
  <c r="G54" i="91"/>
  <c r="E49" i="91"/>
  <c r="E50" i="91"/>
  <c r="E51" i="91"/>
  <c r="E52" i="91"/>
  <c r="E53" i="91"/>
  <c r="D54" i="91"/>
  <c r="AF63" i="90"/>
  <c r="AD63" i="90"/>
  <c r="L65" i="90"/>
  <c r="L64" i="90"/>
  <c r="L63" i="90"/>
  <c r="L62" i="90"/>
  <c r="L61" i="90"/>
  <c r="L60" i="90"/>
  <c r="AG65" i="90"/>
  <c r="AG64" i="90"/>
  <c r="AG63" i="90"/>
  <c r="AG62" i="90"/>
  <c r="AG61" i="90"/>
  <c r="AG60" i="90"/>
  <c r="I142" i="79" l="1"/>
  <c r="I142" i="22"/>
  <c r="D62" i="62"/>
  <c r="D64" i="62"/>
  <c r="N45" i="70"/>
  <c r="N4" i="70"/>
  <c r="G5" i="70"/>
  <c r="D5" i="70"/>
  <c r="F5" i="70"/>
  <c r="M4" i="70"/>
  <c r="N3" i="70"/>
  <c r="C5" i="70"/>
  <c r="E5" i="70"/>
  <c r="M3" i="70"/>
  <c r="D75" i="62"/>
  <c r="I36" i="62"/>
  <c r="I35" i="96"/>
  <c r="AC11" i="97" l="1"/>
  <c r="O46" i="99"/>
  <c r="N46" i="99"/>
  <c r="M46" i="99"/>
  <c r="F46" i="99"/>
  <c r="E34" i="99"/>
  <c r="I33" i="99"/>
  <c r="E33" i="99"/>
  <c r="E32" i="99"/>
  <c r="I31" i="99"/>
  <c r="E31" i="99"/>
  <c r="E30" i="99"/>
  <c r="L13" i="99"/>
  <c r="AD12" i="99"/>
  <c r="L12" i="99"/>
  <c r="L11" i="99"/>
  <c r="L10" i="99"/>
  <c r="L9" i="99"/>
  <c r="L14" i="99" s="1"/>
  <c r="L45" i="99" s="1"/>
  <c r="D7" i="99"/>
  <c r="U6" i="99"/>
  <c r="F6" i="99"/>
  <c r="L4" i="98"/>
  <c r="L5" i="98"/>
  <c r="L6" i="98"/>
  <c r="L7" i="98"/>
  <c r="L3" i="98"/>
  <c r="K8" i="98"/>
  <c r="G4" i="98"/>
  <c r="G6" i="98"/>
  <c r="F4" i="98"/>
  <c r="F5" i="98"/>
  <c r="F6" i="98"/>
  <c r="F3" i="98"/>
  <c r="D8" i="98"/>
  <c r="C4" i="98"/>
  <c r="C5" i="98"/>
  <c r="C6" i="98"/>
  <c r="C7" i="98"/>
  <c r="C8" i="98"/>
  <c r="C3" i="98"/>
  <c r="E143" i="97"/>
  <c r="E144" i="97"/>
  <c r="E145" i="97"/>
  <c r="E146" i="97"/>
  <c r="E142" i="97"/>
  <c r="L25" i="56"/>
  <c r="L129" i="97" s="1"/>
  <c r="L53" i="91" s="1"/>
  <c r="L24" i="56"/>
  <c r="L128" i="97" s="1"/>
  <c r="L23" i="56"/>
  <c r="L127" i="97" s="1"/>
  <c r="L22" i="56"/>
  <c r="L126" i="97" s="1"/>
  <c r="L21" i="56"/>
  <c r="L125" i="97" s="1"/>
  <c r="L49" i="91" s="1"/>
  <c r="L16" i="56"/>
  <c r="K129" i="97" s="1"/>
  <c r="L15" i="56"/>
  <c r="K128" i="97" s="1"/>
  <c r="K52" i="91" s="1"/>
  <c r="L14" i="56"/>
  <c r="K127" i="97" s="1"/>
  <c r="L13" i="56"/>
  <c r="K126" i="97" s="1"/>
  <c r="L7" i="56"/>
  <c r="D129" i="97" s="1"/>
  <c r="L6" i="56"/>
  <c r="D128" i="97" s="1"/>
  <c r="L5" i="56"/>
  <c r="D127" i="97" s="1"/>
  <c r="D51" i="91" s="1"/>
  <c r="L4" i="56"/>
  <c r="D126" i="97" s="1"/>
  <c r="D50" i="91" s="1"/>
  <c r="L3" i="56"/>
  <c r="D125" i="97" s="1"/>
  <c r="D49" i="91" s="1"/>
  <c r="L12" i="56"/>
  <c r="K125" i="97" s="1"/>
  <c r="AC70" i="97"/>
  <c r="AA70" i="97"/>
  <c r="V70" i="97"/>
  <c r="W70" i="97"/>
  <c r="X70" i="97"/>
  <c r="Y70" i="97"/>
  <c r="U70" i="97"/>
  <c r="AE70" i="97"/>
  <c r="N70" i="97"/>
  <c r="E70" i="97"/>
  <c r="F70" i="97"/>
  <c r="G70" i="97"/>
  <c r="H70" i="97"/>
  <c r="I70" i="97"/>
  <c r="D70" i="97"/>
  <c r="AE69" i="97"/>
  <c r="AD69" i="97" s="1"/>
  <c r="AC69" i="97"/>
  <c r="AA69" i="97"/>
  <c r="V69" i="97"/>
  <c r="W69" i="97"/>
  <c r="X69" i="97"/>
  <c r="Y69" i="97"/>
  <c r="U69" i="97"/>
  <c r="N69" i="97"/>
  <c r="AB69" i="97" s="1"/>
  <c r="E69" i="97"/>
  <c r="F69" i="97"/>
  <c r="G69" i="97"/>
  <c r="H69" i="97"/>
  <c r="I69" i="97"/>
  <c r="D69" i="97"/>
  <c r="AE68" i="97"/>
  <c r="AC68" i="97"/>
  <c r="AA68" i="97"/>
  <c r="V68" i="97"/>
  <c r="W68" i="97"/>
  <c r="X68" i="97"/>
  <c r="Y68" i="97"/>
  <c r="U68" i="97"/>
  <c r="N68" i="97"/>
  <c r="E68" i="97"/>
  <c r="F68" i="97"/>
  <c r="G68" i="97"/>
  <c r="H68" i="97"/>
  <c r="I68" i="97"/>
  <c r="D68" i="97"/>
  <c r="AE67" i="97"/>
  <c r="AD67" i="97" s="1"/>
  <c r="AC67" i="97"/>
  <c r="AA67" i="97"/>
  <c r="V67" i="97"/>
  <c r="W67" i="97"/>
  <c r="X67" i="97"/>
  <c r="Y67" i="97"/>
  <c r="U67" i="97"/>
  <c r="N67" i="97"/>
  <c r="AB67" i="97" s="1"/>
  <c r="J71" i="97"/>
  <c r="E67" i="97"/>
  <c r="F67" i="97"/>
  <c r="G67" i="97"/>
  <c r="H67" i="97"/>
  <c r="I67" i="97"/>
  <c r="D67" i="97"/>
  <c r="AE66" i="97"/>
  <c r="AC66" i="97"/>
  <c r="AA66" i="97"/>
  <c r="V66" i="97"/>
  <c r="W66" i="97"/>
  <c r="X66" i="97"/>
  <c r="Y66" i="97"/>
  <c r="U66" i="97"/>
  <c r="N66" i="97"/>
  <c r="E66" i="97"/>
  <c r="F66" i="97"/>
  <c r="G66" i="97"/>
  <c r="H66" i="97"/>
  <c r="I66" i="97"/>
  <c r="D66" i="97"/>
  <c r="AE51" i="97"/>
  <c r="AD51" i="97" s="1"/>
  <c r="AC51" i="97"/>
  <c r="AA51" i="97"/>
  <c r="Y51" i="97"/>
  <c r="V51" i="97"/>
  <c r="W51" i="97"/>
  <c r="X51" i="97"/>
  <c r="U51" i="97"/>
  <c r="N51" i="97"/>
  <c r="AB51" i="97" s="1"/>
  <c r="E51" i="97"/>
  <c r="F51" i="97"/>
  <c r="G51" i="97"/>
  <c r="H51" i="97"/>
  <c r="I51" i="97"/>
  <c r="D51" i="97"/>
  <c r="AE50" i="97"/>
  <c r="AD50" i="97" s="1"/>
  <c r="AC50" i="97"/>
  <c r="AA50" i="97"/>
  <c r="V50" i="97"/>
  <c r="W50" i="97"/>
  <c r="X50" i="97"/>
  <c r="Y50" i="97"/>
  <c r="U50" i="97"/>
  <c r="N50" i="97"/>
  <c r="AB50" i="97" s="1"/>
  <c r="E50" i="97"/>
  <c r="F50" i="97"/>
  <c r="G50" i="97"/>
  <c r="H50" i="97"/>
  <c r="I50" i="97"/>
  <c r="D50" i="97"/>
  <c r="AC49" i="97"/>
  <c r="AA49" i="97"/>
  <c r="V49" i="97"/>
  <c r="W49" i="97"/>
  <c r="X49" i="97"/>
  <c r="Y49" i="97"/>
  <c r="U49" i="97"/>
  <c r="AE49" i="97"/>
  <c r="AD49" i="97" s="1"/>
  <c r="N49" i="97"/>
  <c r="AB49" i="97" s="1"/>
  <c r="E49" i="97"/>
  <c r="F49" i="97"/>
  <c r="G49" i="97"/>
  <c r="H49" i="97"/>
  <c r="I49" i="97"/>
  <c r="D49" i="97"/>
  <c r="AC48" i="97"/>
  <c r="AA48" i="97"/>
  <c r="V48" i="97"/>
  <c r="W48" i="97"/>
  <c r="X48" i="97"/>
  <c r="Y48" i="97"/>
  <c r="U48" i="97"/>
  <c r="AE48" i="97"/>
  <c r="AD48" i="97" s="1"/>
  <c r="N48" i="97"/>
  <c r="AB48" i="97" s="1"/>
  <c r="E48" i="97"/>
  <c r="F48" i="97"/>
  <c r="G48" i="97"/>
  <c r="H48" i="97"/>
  <c r="I48" i="97"/>
  <c r="D48" i="97"/>
  <c r="AE47" i="97"/>
  <c r="AD47" i="97" s="1"/>
  <c r="AC47" i="97"/>
  <c r="AA47" i="97"/>
  <c r="V47" i="97"/>
  <c r="W47" i="97"/>
  <c r="X47" i="97"/>
  <c r="Y47" i="97"/>
  <c r="U47" i="97"/>
  <c r="N47" i="97"/>
  <c r="E47" i="97"/>
  <c r="F47" i="97"/>
  <c r="G47" i="97"/>
  <c r="H47" i="97"/>
  <c r="I47" i="97"/>
  <c r="D47" i="97"/>
  <c r="AC31" i="97"/>
  <c r="AC30" i="97"/>
  <c r="AC28" i="97"/>
  <c r="AA31" i="97"/>
  <c r="V31" i="97"/>
  <c r="W31" i="97"/>
  <c r="X31" i="97"/>
  <c r="Y31" i="97"/>
  <c r="U31" i="97"/>
  <c r="AE31" i="97"/>
  <c r="AD31" i="97" s="1"/>
  <c r="N31" i="97"/>
  <c r="AB31" i="97" s="1"/>
  <c r="E31" i="97"/>
  <c r="F31" i="97"/>
  <c r="G31" i="97"/>
  <c r="H31" i="97"/>
  <c r="I31" i="97"/>
  <c r="D31" i="97"/>
  <c r="AA30" i="97"/>
  <c r="V30" i="97"/>
  <c r="W30" i="97"/>
  <c r="X30" i="97"/>
  <c r="Y30" i="97"/>
  <c r="U30" i="97"/>
  <c r="AE30" i="97"/>
  <c r="N30" i="97"/>
  <c r="E30" i="97"/>
  <c r="F30" i="97"/>
  <c r="G30" i="97"/>
  <c r="H30" i="97"/>
  <c r="I30" i="97"/>
  <c r="D30" i="97"/>
  <c r="AA28" i="97"/>
  <c r="V28" i="97"/>
  <c r="W28" i="97"/>
  <c r="X28" i="97"/>
  <c r="Y28" i="97"/>
  <c r="U28" i="97"/>
  <c r="AE28" i="97"/>
  <c r="N28" i="97"/>
  <c r="E28" i="97"/>
  <c r="F28" i="97"/>
  <c r="G28" i="97"/>
  <c r="H28" i="97"/>
  <c r="I28" i="97"/>
  <c r="D28" i="97"/>
  <c r="AE32" i="97"/>
  <c r="AC32" i="97"/>
  <c r="AA32" i="97"/>
  <c r="Y32" i="97"/>
  <c r="X32" i="97"/>
  <c r="W32" i="97"/>
  <c r="V32" i="97"/>
  <c r="U32" i="97"/>
  <c r="N32" i="97"/>
  <c r="AB32" i="97" s="1"/>
  <c r="E32" i="97"/>
  <c r="F32" i="97"/>
  <c r="G32" i="97"/>
  <c r="H32" i="97"/>
  <c r="I32" i="97"/>
  <c r="D32" i="97"/>
  <c r="AC13" i="97"/>
  <c r="AA13" i="97"/>
  <c r="AE13" i="97"/>
  <c r="V13" i="97"/>
  <c r="W13" i="97"/>
  <c r="X13" i="97"/>
  <c r="Y13" i="97"/>
  <c r="U13" i="97"/>
  <c r="N13" i="97"/>
  <c r="E13" i="97"/>
  <c r="F13" i="97"/>
  <c r="G13" i="97"/>
  <c r="H13" i="97"/>
  <c r="I13" i="97"/>
  <c r="J108" i="97"/>
  <c r="D13" i="97"/>
  <c r="AE12" i="97"/>
  <c r="AC12" i="97"/>
  <c r="AA12" i="97"/>
  <c r="V12" i="97"/>
  <c r="W12" i="97"/>
  <c r="X12" i="97"/>
  <c r="Y12" i="97"/>
  <c r="U12" i="97"/>
  <c r="N12" i="97"/>
  <c r="E12" i="97"/>
  <c r="F12" i="97"/>
  <c r="G12" i="97"/>
  <c r="H12" i="97"/>
  <c r="I12" i="97"/>
  <c r="J107" i="97"/>
  <c r="J63" i="90" s="1"/>
  <c r="D12" i="97"/>
  <c r="AE11" i="97"/>
  <c r="AA11" i="97"/>
  <c r="V11" i="97"/>
  <c r="W11" i="97"/>
  <c r="X11" i="97"/>
  <c r="Y11" i="97"/>
  <c r="U11" i="97"/>
  <c r="N11" i="97"/>
  <c r="E11" i="97"/>
  <c r="F11" i="97"/>
  <c r="G11" i="97"/>
  <c r="H11" i="97"/>
  <c r="I11" i="97"/>
  <c r="D11" i="97"/>
  <c r="AE10" i="97"/>
  <c r="AC9" i="97"/>
  <c r="AA10" i="97"/>
  <c r="AA9" i="97"/>
  <c r="Z9" i="97"/>
  <c r="V10" i="97"/>
  <c r="W10" i="97"/>
  <c r="X10" i="97"/>
  <c r="Y10" i="97"/>
  <c r="U10" i="97"/>
  <c r="N10" i="97"/>
  <c r="E10" i="97"/>
  <c r="F10" i="97"/>
  <c r="G10" i="97"/>
  <c r="H10" i="97"/>
  <c r="I10" i="97"/>
  <c r="J105" i="97"/>
  <c r="J61" i="90" s="1"/>
  <c r="D10" i="97"/>
  <c r="AE9" i="97"/>
  <c r="V9" i="97"/>
  <c r="W9" i="97"/>
  <c r="X9" i="97"/>
  <c r="Y9" i="97"/>
  <c r="U9" i="97"/>
  <c r="N9" i="97"/>
  <c r="AB9" i="97" s="1"/>
  <c r="E9" i="97"/>
  <c r="F9" i="97"/>
  <c r="G9" i="97"/>
  <c r="H9" i="97"/>
  <c r="I9" i="97"/>
  <c r="D9" i="97"/>
  <c r="X7" i="99"/>
  <c r="U7" i="99"/>
  <c r="H145" i="97"/>
  <c r="H143" i="97"/>
  <c r="E130" i="97"/>
  <c r="I128" i="97"/>
  <c r="I126" i="97"/>
  <c r="AG107" i="97"/>
  <c r="AH107" i="97" s="1"/>
  <c r="AF107" i="97"/>
  <c r="AD107" i="97"/>
  <c r="L107" i="97"/>
  <c r="L105" i="97"/>
  <c r="L104" i="97"/>
  <c r="X102" i="97"/>
  <c r="U102" i="97"/>
  <c r="L90" i="97"/>
  <c r="Z89" i="97"/>
  <c r="J89" i="97"/>
  <c r="AF88" i="97"/>
  <c r="AG88" i="97" s="1"/>
  <c r="AH88" i="97" s="1"/>
  <c r="AD88" i="97"/>
  <c r="AB88" i="97"/>
  <c r="Z88" i="97"/>
  <c r="K88" i="97"/>
  <c r="M88" i="97" s="1"/>
  <c r="O88" i="97" s="1"/>
  <c r="Z87" i="97"/>
  <c r="J87" i="97"/>
  <c r="J90" i="97" s="1"/>
  <c r="AD86" i="97"/>
  <c r="AB86" i="97"/>
  <c r="Z86" i="97"/>
  <c r="AF86" i="97" s="1"/>
  <c r="K86" i="97"/>
  <c r="M86" i="97" s="1"/>
  <c r="O86" i="97" s="1"/>
  <c r="Z85" i="97"/>
  <c r="Z90" i="97" s="1"/>
  <c r="J85" i="97"/>
  <c r="X83" i="97"/>
  <c r="U83" i="97"/>
  <c r="L71" i="97"/>
  <c r="Z70" i="97"/>
  <c r="Z69" i="97"/>
  <c r="Z68" i="97"/>
  <c r="Z67" i="97"/>
  <c r="Z66" i="97"/>
  <c r="Z71" i="97" s="1"/>
  <c r="X64" i="97"/>
  <c r="U64" i="97"/>
  <c r="L52" i="97"/>
  <c r="J52" i="97"/>
  <c r="Z51" i="97"/>
  <c r="Z50" i="97"/>
  <c r="Z49" i="97"/>
  <c r="Z48" i="97"/>
  <c r="Z47" i="97"/>
  <c r="X45" i="97"/>
  <c r="U45" i="97"/>
  <c r="D45" i="97"/>
  <c r="L33" i="97"/>
  <c r="J33" i="97"/>
  <c r="Z32" i="97"/>
  <c r="Z31" i="97"/>
  <c r="Z30" i="97"/>
  <c r="AD29" i="97"/>
  <c r="Z29" i="97"/>
  <c r="AB29" i="97"/>
  <c r="Z28" i="97"/>
  <c r="X26" i="97"/>
  <c r="U26" i="97"/>
  <c r="L108" i="97"/>
  <c r="Z12" i="97"/>
  <c r="Z11" i="97"/>
  <c r="L106" i="97"/>
  <c r="Z10" i="97"/>
  <c r="X7" i="97"/>
  <c r="U7" i="97"/>
  <c r="K7" i="97"/>
  <c r="Y7" i="97" s="1"/>
  <c r="G7" i="97"/>
  <c r="G102" i="97" s="1"/>
  <c r="V102" i="97" s="1"/>
  <c r="D7" i="97"/>
  <c r="D102" i="97" s="1"/>
  <c r="D6" i="97"/>
  <c r="D25" i="97" s="1"/>
  <c r="N3" i="97"/>
  <c r="N60" i="97" s="1"/>
  <c r="AD60" i="97" s="1"/>
  <c r="L45" i="70"/>
  <c r="K45" i="70"/>
  <c r="K5" i="70"/>
  <c r="J45" i="70"/>
  <c r="I45" i="70"/>
  <c r="H45" i="70"/>
  <c r="G45" i="70"/>
  <c r="F45" i="70"/>
  <c r="E45" i="70"/>
  <c r="G55" i="62"/>
  <c r="E73" i="62" s="1"/>
  <c r="I146" i="97" s="1"/>
  <c r="G45" i="62"/>
  <c r="G36" i="62"/>
  <c r="G27" i="62"/>
  <c r="I13" i="62"/>
  <c r="G4" i="62"/>
  <c r="G5" i="62"/>
  <c r="D31" i="96"/>
  <c r="E69" i="96"/>
  <c r="J35" i="96"/>
  <c r="G35" i="96"/>
  <c r="F35" i="96"/>
  <c r="E35" i="96"/>
  <c r="D35" i="96"/>
  <c r="G33" i="96"/>
  <c r="F33" i="96"/>
  <c r="E33" i="96"/>
  <c r="D33" i="96"/>
  <c r="G31" i="96"/>
  <c r="F31" i="96"/>
  <c r="E31" i="96"/>
  <c r="F7" i="98" l="1"/>
  <c r="I147" i="97"/>
  <c r="F8" i="98" s="1"/>
  <c r="F9" i="98"/>
  <c r="G22" i="36" s="1"/>
  <c r="K30" i="99"/>
  <c r="K49" i="91"/>
  <c r="D71" i="62"/>
  <c r="D68" i="62"/>
  <c r="D66" i="62"/>
  <c r="G7" i="99"/>
  <c r="V7" i="99" s="1"/>
  <c r="G26" i="97"/>
  <c r="V26" i="97" s="1"/>
  <c r="D63" i="97"/>
  <c r="M7" i="98"/>
  <c r="M6" i="98"/>
  <c r="M3" i="98"/>
  <c r="M4" i="98"/>
  <c r="M5" i="98"/>
  <c r="E6" i="98"/>
  <c r="E3" i="98"/>
  <c r="E5" i="98"/>
  <c r="E7" i="98"/>
  <c r="E4" i="98"/>
  <c r="AC106" i="97"/>
  <c r="AC11" i="99" s="1"/>
  <c r="AD10" i="97"/>
  <c r="J64" i="90"/>
  <c r="J13" i="99"/>
  <c r="J12" i="99"/>
  <c r="J10" i="99"/>
  <c r="K53" i="91"/>
  <c r="K34" i="99"/>
  <c r="L50" i="91"/>
  <c r="L31" i="99"/>
  <c r="K51" i="91"/>
  <c r="K32" i="99"/>
  <c r="K50" i="91"/>
  <c r="K31" i="99"/>
  <c r="L51" i="91"/>
  <c r="L32" i="99"/>
  <c r="L52" i="91"/>
  <c r="L33" i="99"/>
  <c r="K33" i="99"/>
  <c r="L34" i="99"/>
  <c r="L30" i="99"/>
  <c r="E131" i="97"/>
  <c r="E54" i="91"/>
  <c r="L8" i="98"/>
  <c r="E35" i="99"/>
  <c r="L9" i="98"/>
  <c r="M22" i="36" s="1"/>
  <c r="D73" i="62"/>
  <c r="G6" i="62"/>
  <c r="D52" i="91"/>
  <c r="D33" i="99"/>
  <c r="K6" i="98"/>
  <c r="D53" i="91"/>
  <c r="D34" i="99"/>
  <c r="K7" i="98"/>
  <c r="K5" i="98"/>
  <c r="K4" i="98"/>
  <c r="K3" i="98"/>
  <c r="D30" i="99"/>
  <c r="D31" i="99"/>
  <c r="D32" i="99"/>
  <c r="E147" i="97"/>
  <c r="L26" i="56"/>
  <c r="L27" i="56" s="1"/>
  <c r="L17" i="56"/>
  <c r="L18" i="56" s="1"/>
  <c r="L8" i="56"/>
  <c r="L9" i="56" s="1"/>
  <c r="J104" i="97"/>
  <c r="G143" i="97"/>
  <c r="AF69" i="97"/>
  <c r="G145" i="97"/>
  <c r="K67" i="97"/>
  <c r="M67" i="97" s="1"/>
  <c r="O67" i="97" s="1"/>
  <c r="K69" i="97"/>
  <c r="M69" i="97" s="1"/>
  <c r="O69" i="97" s="1"/>
  <c r="J126" i="97"/>
  <c r="K31" i="97"/>
  <c r="M31" i="97" s="1"/>
  <c r="O31" i="97" s="1"/>
  <c r="H126" i="97"/>
  <c r="K29" i="97"/>
  <c r="M29" i="97" s="1"/>
  <c r="O29" i="97" s="1"/>
  <c r="Z33" i="97"/>
  <c r="AF29" i="97"/>
  <c r="F145" i="97"/>
  <c r="K32" i="97"/>
  <c r="M32" i="97" s="1"/>
  <c r="O32" i="97" s="1"/>
  <c r="F146" i="97"/>
  <c r="AD32" i="97"/>
  <c r="AF32" i="97" s="1"/>
  <c r="AD12" i="97"/>
  <c r="W105" i="97"/>
  <c r="X105" i="97"/>
  <c r="G129" i="97"/>
  <c r="Z107" i="97"/>
  <c r="D107" i="97"/>
  <c r="N52" i="97"/>
  <c r="G107" i="97"/>
  <c r="D105" i="97"/>
  <c r="Z105" i="97"/>
  <c r="E107" i="97"/>
  <c r="AA107" i="97"/>
  <c r="U52" i="97"/>
  <c r="Y105" i="97"/>
  <c r="W52" i="97"/>
  <c r="I107" i="97"/>
  <c r="Y52" i="97"/>
  <c r="N107" i="97"/>
  <c r="G125" i="97"/>
  <c r="U107" i="97"/>
  <c r="G105" i="97"/>
  <c r="F52" i="97"/>
  <c r="AB47" i="97"/>
  <c r="AF47" i="97" s="1"/>
  <c r="E105" i="97"/>
  <c r="AC105" i="97"/>
  <c r="X107" i="97"/>
  <c r="H52" i="97"/>
  <c r="K12" i="97"/>
  <c r="M12" i="97" s="1"/>
  <c r="O12" i="97" s="1"/>
  <c r="H107" i="97"/>
  <c r="X52" i="97"/>
  <c r="Z52" i="97"/>
  <c r="F105" i="97"/>
  <c r="AA52" i="97"/>
  <c r="H105" i="97"/>
  <c r="N105" i="97"/>
  <c r="Z106" i="97"/>
  <c r="Y107" i="97"/>
  <c r="I52" i="97"/>
  <c r="AD52" i="97"/>
  <c r="V105" i="97"/>
  <c r="AC107" i="97"/>
  <c r="AA105" i="97"/>
  <c r="K49" i="97"/>
  <c r="M49" i="97" s="1"/>
  <c r="O49" i="97" s="1"/>
  <c r="AE52" i="97"/>
  <c r="F107" i="97"/>
  <c r="E52" i="97"/>
  <c r="AF48" i="97"/>
  <c r="AF50" i="97"/>
  <c r="AB10" i="97"/>
  <c r="AB105" i="97" s="1"/>
  <c r="G52" i="97"/>
  <c r="AC52" i="97"/>
  <c r="W107" i="97"/>
  <c r="U105" i="97"/>
  <c r="K10" i="97"/>
  <c r="M10" i="97" s="1"/>
  <c r="O10" i="97" s="1"/>
  <c r="G126" i="97"/>
  <c r="G128" i="97"/>
  <c r="AF49" i="97"/>
  <c r="AF51" i="97"/>
  <c r="V107" i="97"/>
  <c r="V52" i="97"/>
  <c r="C9" i="98"/>
  <c r="AG86" i="97"/>
  <c r="AH86" i="97" s="1"/>
  <c r="L109" i="97"/>
  <c r="Z104" i="97"/>
  <c r="AF31" i="97"/>
  <c r="D52" i="97"/>
  <c r="J14" i="97"/>
  <c r="D26" i="97"/>
  <c r="D44" i="97"/>
  <c r="N79" i="97"/>
  <c r="AD79" i="97" s="1"/>
  <c r="K102" i="97"/>
  <c r="I105" i="97"/>
  <c r="G127" i="97"/>
  <c r="L14" i="97"/>
  <c r="K26" i="97"/>
  <c r="Y26" i="97" s="1"/>
  <c r="G45" i="97"/>
  <c r="V45" i="97" s="1"/>
  <c r="K47" i="97"/>
  <c r="K48" i="97"/>
  <c r="M48" i="97" s="1"/>
  <c r="O48" i="97" s="1"/>
  <c r="K50" i="97"/>
  <c r="M50" i="97" s="1"/>
  <c r="O50" i="97" s="1"/>
  <c r="K51" i="97"/>
  <c r="M51" i="97" s="1"/>
  <c r="O51" i="97" s="1"/>
  <c r="D64" i="97"/>
  <c r="D82" i="97"/>
  <c r="K45" i="97"/>
  <c r="Y45" i="97" s="1"/>
  <c r="G64" i="97"/>
  <c r="V64" i="97" s="1"/>
  <c r="D83" i="97"/>
  <c r="J106" i="97"/>
  <c r="H129" i="97"/>
  <c r="K64" i="97"/>
  <c r="Y64" i="97" s="1"/>
  <c r="G83" i="97"/>
  <c r="V83" i="97" s="1"/>
  <c r="F143" i="97"/>
  <c r="AD3" i="97"/>
  <c r="K83" i="97"/>
  <c r="Y83" i="97" s="1"/>
  <c r="AE105" i="97"/>
  <c r="AF67" i="97"/>
  <c r="M117" i="97"/>
  <c r="N22" i="99" s="1"/>
  <c r="N98" i="97"/>
  <c r="G122" i="97"/>
  <c r="H27" i="99" s="1"/>
  <c r="K122" i="97"/>
  <c r="K27" i="99" s="1"/>
  <c r="H128" i="97"/>
  <c r="V7" i="97"/>
  <c r="AB12" i="97"/>
  <c r="Z13" i="97"/>
  <c r="Z108" i="97" s="1"/>
  <c r="N22" i="97"/>
  <c r="AD22" i="97" s="1"/>
  <c r="D101" i="97"/>
  <c r="D6" i="99" s="1"/>
  <c r="AE107" i="97"/>
  <c r="N41" i="97"/>
  <c r="AD41" i="97" s="1"/>
  <c r="J128" i="97"/>
  <c r="E259" i="59"/>
  <c r="F253" i="59"/>
  <c r="E254" i="59"/>
  <c r="AD30" i="97" s="1"/>
  <c r="E253" i="59"/>
  <c r="F247" i="59"/>
  <c r="E248" i="59"/>
  <c r="E247" i="59"/>
  <c r="E53" i="59"/>
  <c r="F47" i="59"/>
  <c r="E48" i="59"/>
  <c r="AD28" i="97" s="1"/>
  <c r="E47" i="59"/>
  <c r="F41" i="59"/>
  <c r="E42" i="59"/>
  <c r="E41" i="59"/>
  <c r="F540" i="55"/>
  <c r="AB11" i="97"/>
  <c r="AD11" i="97"/>
  <c r="C15" i="98" l="1"/>
  <c r="D22" i="36"/>
  <c r="AD98" i="97"/>
  <c r="N3" i="99"/>
  <c r="AD3" i="99" s="1"/>
  <c r="Y102" i="97"/>
  <c r="K7" i="99"/>
  <c r="Y7" i="99" s="1"/>
  <c r="J52" i="91"/>
  <c r="J33" i="99"/>
  <c r="J50" i="91"/>
  <c r="J31" i="99"/>
  <c r="K145" i="97"/>
  <c r="H52" i="91"/>
  <c r="H33" i="99"/>
  <c r="K146" i="97"/>
  <c r="H53" i="91"/>
  <c r="H34" i="99"/>
  <c r="K143" i="97"/>
  <c r="H50" i="91"/>
  <c r="H31" i="99"/>
  <c r="AC62" i="90"/>
  <c r="G61" i="90"/>
  <c r="G10" i="99"/>
  <c r="J60" i="90"/>
  <c r="J9" i="99"/>
  <c r="J145" i="97"/>
  <c r="G52" i="91"/>
  <c r="G33" i="99"/>
  <c r="D6" i="98"/>
  <c r="F61" i="90"/>
  <c r="F10" i="99"/>
  <c r="U63" i="90"/>
  <c r="U12" i="99"/>
  <c r="G63" i="90"/>
  <c r="G12" i="99"/>
  <c r="J62" i="90"/>
  <c r="J11" i="99"/>
  <c r="D61" i="90"/>
  <c r="D10" i="99"/>
  <c r="I4" i="98"/>
  <c r="AE63" i="90"/>
  <c r="AE12" i="99"/>
  <c r="AD105" i="97"/>
  <c r="AE61" i="90"/>
  <c r="AE10" i="99"/>
  <c r="Z60" i="90"/>
  <c r="Z9" i="99"/>
  <c r="J143" i="97"/>
  <c r="G50" i="91"/>
  <c r="G31" i="99"/>
  <c r="D4" i="98"/>
  <c r="J142" i="97"/>
  <c r="G49" i="91"/>
  <c r="G30" i="99"/>
  <c r="D3" i="98"/>
  <c r="F63" i="90"/>
  <c r="F12" i="99"/>
  <c r="J144" i="97"/>
  <c r="G51" i="91"/>
  <c r="D5" i="98"/>
  <c r="G32" i="99"/>
  <c r="AA61" i="90"/>
  <c r="AA10" i="99"/>
  <c r="N63" i="90"/>
  <c r="J6" i="98"/>
  <c r="N12" i="99"/>
  <c r="D63" i="90"/>
  <c r="D12" i="99"/>
  <c r="I6" i="98"/>
  <c r="U61" i="90"/>
  <c r="U10" i="99"/>
  <c r="AC63" i="90"/>
  <c r="AC12" i="99"/>
  <c r="H63" i="90"/>
  <c r="H12" i="99"/>
  <c r="Z63" i="90"/>
  <c r="Z12" i="99"/>
  <c r="Z64" i="90"/>
  <c r="Z13" i="99"/>
  <c r="I61" i="90"/>
  <c r="I10" i="99"/>
  <c r="W63" i="90"/>
  <c r="W12" i="99"/>
  <c r="V61" i="90"/>
  <c r="V10" i="99"/>
  <c r="I63" i="90"/>
  <c r="I12" i="99"/>
  <c r="J146" i="97"/>
  <c r="G53" i="91"/>
  <c r="D7" i="98"/>
  <c r="G34" i="99"/>
  <c r="X61" i="90"/>
  <c r="X10" i="99"/>
  <c r="X63" i="90"/>
  <c r="X12" i="99"/>
  <c r="Y61" i="90"/>
  <c r="Y10" i="99"/>
  <c r="W61" i="90"/>
  <c r="W10" i="99"/>
  <c r="AB61" i="90"/>
  <c r="AB10" i="99"/>
  <c r="Y63" i="90"/>
  <c r="Y12" i="99"/>
  <c r="AC61" i="90"/>
  <c r="AC10" i="99"/>
  <c r="Z62" i="90"/>
  <c r="Z11" i="99"/>
  <c r="E61" i="90"/>
  <c r="E10" i="99"/>
  <c r="AA63" i="90"/>
  <c r="AA12" i="99"/>
  <c r="V63" i="90"/>
  <c r="V12" i="99"/>
  <c r="N61" i="90"/>
  <c r="N10" i="99"/>
  <c r="J4" i="98"/>
  <c r="E63" i="90"/>
  <c r="E12" i="99"/>
  <c r="H61" i="90"/>
  <c r="H10" i="99"/>
  <c r="Z61" i="90"/>
  <c r="Z10" i="99"/>
  <c r="E55" i="91"/>
  <c r="E36" i="99"/>
  <c r="E46" i="99" s="1"/>
  <c r="AG69" i="97"/>
  <c r="AH69" i="97" s="1"/>
  <c r="AG67" i="97"/>
  <c r="AH67" i="97" s="1"/>
  <c r="AG31" i="97"/>
  <c r="AH31" i="97" s="1"/>
  <c r="D33" i="97"/>
  <c r="AE33" i="97"/>
  <c r="E33" i="97"/>
  <c r="AG29" i="97"/>
  <c r="AH29" i="97" s="1"/>
  <c r="AG32" i="97"/>
  <c r="AH32" i="97" s="1"/>
  <c r="Y54" i="97"/>
  <c r="AB52" i="97"/>
  <c r="AG51" i="97"/>
  <c r="AH51" i="97" s="1"/>
  <c r="AG50" i="97"/>
  <c r="AH50" i="97" s="1"/>
  <c r="AG48" i="97"/>
  <c r="AH48" i="97" s="1"/>
  <c r="AG49" i="97"/>
  <c r="AH49" i="97" s="1"/>
  <c r="K105" i="97"/>
  <c r="K107" i="97"/>
  <c r="E14" i="97"/>
  <c r="AF10" i="97"/>
  <c r="AG10" i="97" s="1"/>
  <c r="AH10" i="97" s="1"/>
  <c r="K11" i="97"/>
  <c r="M11" i="97" s="1"/>
  <c r="O11" i="97" s="1"/>
  <c r="AF52" i="97"/>
  <c r="D14" i="97"/>
  <c r="AB107" i="97"/>
  <c r="AF12" i="97"/>
  <c r="AG12" i="97" s="1"/>
  <c r="AH12" i="97" s="1"/>
  <c r="J109" i="97"/>
  <c r="J65" i="90" s="1"/>
  <c r="K52" i="97"/>
  <c r="M47" i="97"/>
  <c r="G131" i="97"/>
  <c r="G55" i="91" s="1"/>
  <c r="Z14" i="97"/>
  <c r="AD33" i="97"/>
  <c r="Z109" i="97"/>
  <c r="Z65" i="90" s="1"/>
  <c r="E260" i="59"/>
  <c r="AO457" i="55"/>
  <c r="AN457" i="55"/>
  <c r="AM457" i="55"/>
  <c r="AL457" i="55"/>
  <c r="AK457" i="55"/>
  <c r="AJ457" i="55"/>
  <c r="AI457" i="55"/>
  <c r="AH457" i="55"/>
  <c r="AG457" i="55"/>
  <c r="AF457" i="55"/>
  <c r="AE457" i="55"/>
  <c r="AD457" i="55"/>
  <c r="AC457" i="55"/>
  <c r="AB457" i="55"/>
  <c r="AA457" i="55"/>
  <c r="Z457" i="55"/>
  <c r="Y457" i="55"/>
  <c r="X457" i="55"/>
  <c r="W457" i="55"/>
  <c r="V457" i="55"/>
  <c r="U457" i="55"/>
  <c r="T457" i="55"/>
  <c r="S457" i="55"/>
  <c r="R457" i="55"/>
  <c r="Q457" i="55"/>
  <c r="P457" i="55"/>
  <c r="O457" i="55"/>
  <c r="N457" i="55"/>
  <c r="M457" i="55"/>
  <c r="L457" i="55"/>
  <c r="K457" i="55"/>
  <c r="J457" i="55"/>
  <c r="I457" i="55"/>
  <c r="H457" i="55"/>
  <c r="J147" i="97" l="1"/>
  <c r="M105" i="97"/>
  <c r="K61" i="90"/>
  <c r="AD61" i="90"/>
  <c r="AD10" i="99"/>
  <c r="AB63" i="90"/>
  <c r="AB12" i="99"/>
  <c r="AF105" i="97"/>
  <c r="AF61" i="90" s="1"/>
  <c r="J14" i="99"/>
  <c r="J45" i="99" s="1"/>
  <c r="M107" i="97"/>
  <c r="K63" i="90"/>
  <c r="AF11" i="97"/>
  <c r="AG11" i="97" s="1"/>
  <c r="AH11" i="97" s="1"/>
  <c r="K13" i="97"/>
  <c r="M13" i="97" s="1"/>
  <c r="O13" i="97" s="1"/>
  <c r="AB13" i="97"/>
  <c r="M52" i="97"/>
  <c r="O47" i="97"/>
  <c r="O105" i="97" l="1"/>
  <c r="M61" i="90"/>
  <c r="O107" i="97"/>
  <c r="O63" i="90" s="1"/>
  <c r="M63" i="90"/>
  <c r="AD68" i="97"/>
  <c r="O52" i="97"/>
  <c r="AG47" i="97"/>
  <c r="AD70" i="97"/>
  <c r="O61" i="90" l="1"/>
  <c r="AG105" i="97"/>
  <c r="AH105" i="97" s="1"/>
  <c r="AG52" i="97"/>
  <c r="AH52" i="97" s="1"/>
  <c r="AH47" i="97"/>
  <c r="O26" i="95"/>
  <c r="AO437" i="55"/>
  <c r="AN437" i="55"/>
  <c r="AM437" i="55"/>
  <c r="AL437" i="55"/>
  <c r="AK437" i="55"/>
  <c r="AJ437" i="55"/>
  <c r="AI437" i="55"/>
  <c r="AH437" i="55"/>
  <c r="AG437" i="55"/>
  <c r="AF437" i="55"/>
  <c r="AE437" i="55"/>
  <c r="AD437" i="55"/>
  <c r="AC437" i="55"/>
  <c r="AB437" i="55"/>
  <c r="AA437" i="55"/>
  <c r="Z437" i="55"/>
  <c r="Y437" i="55"/>
  <c r="X437" i="55"/>
  <c r="W437" i="55"/>
  <c r="V437" i="55"/>
  <c r="U437" i="55"/>
  <c r="T437" i="55"/>
  <c r="S437" i="55"/>
  <c r="R437" i="55"/>
  <c r="Q437" i="55"/>
  <c r="P437" i="55"/>
  <c r="O437" i="55"/>
  <c r="N437" i="55"/>
  <c r="M437" i="55"/>
  <c r="L437" i="55"/>
  <c r="K437" i="55"/>
  <c r="J437" i="55"/>
  <c r="I437" i="55"/>
  <c r="H437" i="55"/>
  <c r="AP56" i="55"/>
  <c r="AO56" i="55"/>
  <c r="AN56" i="55"/>
  <c r="AM56" i="55"/>
  <c r="AL56" i="55"/>
  <c r="AK56" i="55"/>
  <c r="AJ56" i="55"/>
  <c r="AI56" i="55"/>
  <c r="AH56" i="55"/>
  <c r="AG56" i="55"/>
  <c r="AF56" i="55"/>
  <c r="AE56" i="55"/>
  <c r="AD56" i="55"/>
  <c r="AC56" i="55"/>
  <c r="AB56" i="55"/>
  <c r="AA56" i="55"/>
  <c r="Z56" i="55"/>
  <c r="Y56" i="55"/>
  <c r="X56" i="55"/>
  <c r="W56" i="55"/>
  <c r="V56" i="55"/>
  <c r="U56" i="55"/>
  <c r="T56" i="55"/>
  <c r="S56" i="55"/>
  <c r="R56" i="55"/>
  <c r="Q56" i="55"/>
  <c r="P56" i="55"/>
  <c r="O56" i="55"/>
  <c r="N56" i="55"/>
  <c r="M56" i="55"/>
  <c r="L56" i="55"/>
  <c r="K56" i="55"/>
  <c r="J56" i="55"/>
  <c r="I56" i="55"/>
  <c r="H56" i="55"/>
  <c r="N14" i="97" l="1"/>
  <c r="U14" i="97"/>
  <c r="H14" i="97"/>
  <c r="V14" i="97"/>
  <c r="I14" i="97"/>
  <c r="W14" i="97"/>
  <c r="X14" i="97"/>
  <c r="Y14" i="97"/>
  <c r="F14" i="97"/>
  <c r="K9" i="97"/>
  <c r="G14" i="97"/>
  <c r="O27" i="95"/>
  <c r="O28" i="95"/>
  <c r="O29" i="95"/>
  <c r="O30" i="95"/>
  <c r="N31" i="95"/>
  <c r="O31" i="95" s="1"/>
  <c r="M31" i="95"/>
  <c r="K31" i="95"/>
  <c r="P21" i="95"/>
  <c r="N21" i="95"/>
  <c r="L21" i="95"/>
  <c r="J21" i="95"/>
  <c r="H21" i="95"/>
  <c r="F21" i="95"/>
  <c r="P10" i="95"/>
  <c r="N10" i="95"/>
  <c r="L10" i="95"/>
  <c r="J10" i="95"/>
  <c r="H10" i="95"/>
  <c r="F10" i="95"/>
  <c r="K14" i="97" l="1"/>
  <c r="M9" i="97"/>
  <c r="AC14" i="97"/>
  <c r="AA14" i="97"/>
  <c r="Y16" i="97"/>
  <c r="AB14" i="97"/>
  <c r="K32" i="95"/>
  <c r="F530" i="55"/>
  <c r="AD13" i="97" l="1"/>
  <c r="AF13" i="97" s="1"/>
  <c r="AG13" i="97" s="1"/>
  <c r="AH13" i="97" s="1"/>
  <c r="AE14" i="97"/>
  <c r="AD9" i="97"/>
  <c r="M14" i="97"/>
  <c r="O9" i="97"/>
  <c r="O14" i="97" s="1"/>
  <c r="AD66" i="97" l="1"/>
  <c r="AD71" i="97" s="1"/>
  <c r="AE71" i="97"/>
  <c r="E71" i="97"/>
  <c r="D71" i="97"/>
  <c r="AD14" i="97"/>
  <c r="AF9" i="97"/>
  <c r="R425" i="59"/>
  <c r="Q425" i="59"/>
  <c r="P425" i="59"/>
  <c r="O425" i="59"/>
  <c r="N425" i="59"/>
  <c r="M425" i="59"/>
  <c r="L425" i="59"/>
  <c r="K425" i="59"/>
  <c r="J425" i="59"/>
  <c r="I425" i="59"/>
  <c r="H425" i="59"/>
  <c r="G425" i="59"/>
  <c r="R413" i="59"/>
  <c r="Q413" i="59"/>
  <c r="P413" i="59"/>
  <c r="O413" i="59"/>
  <c r="N413" i="59"/>
  <c r="M413" i="59"/>
  <c r="L413" i="59"/>
  <c r="K413" i="59"/>
  <c r="J413" i="59"/>
  <c r="I413" i="59"/>
  <c r="H413" i="59"/>
  <c r="G413" i="59"/>
  <c r="AF14" i="97" l="1"/>
  <c r="AG9" i="97"/>
  <c r="AH9" i="97" l="1"/>
  <c r="AG14" i="97"/>
  <c r="AH14" i="97" s="1"/>
  <c r="F147" i="59"/>
  <c r="E148" i="59"/>
  <c r="E54" i="59"/>
  <c r="F53" i="59"/>
  <c r="F355" i="59" l="1"/>
  <c r="E356" i="59"/>
  <c r="F259" i="59"/>
  <c r="R138" i="59"/>
  <c r="Q138" i="59"/>
  <c r="P138" i="59"/>
  <c r="O138" i="59"/>
  <c r="N138" i="59"/>
  <c r="M138" i="59"/>
  <c r="L138" i="59"/>
  <c r="K138" i="59"/>
  <c r="J138" i="59"/>
  <c r="I138" i="59"/>
  <c r="H138" i="59"/>
  <c r="G138" i="59"/>
  <c r="S53" i="59"/>
  <c r="R53" i="59"/>
  <c r="Q53" i="59"/>
  <c r="P53" i="59"/>
  <c r="O53" i="59"/>
  <c r="N53" i="59"/>
  <c r="M53" i="59"/>
  <c r="L53" i="59"/>
  <c r="K53" i="59"/>
  <c r="J53" i="59"/>
  <c r="I53" i="59"/>
  <c r="H53" i="59"/>
  <c r="G53" i="59"/>
  <c r="S47" i="59"/>
  <c r="R47" i="59"/>
  <c r="Q47" i="59"/>
  <c r="P47" i="59"/>
  <c r="O47" i="59"/>
  <c r="N47" i="59"/>
  <c r="M47" i="59"/>
  <c r="L47" i="59"/>
  <c r="K47" i="59"/>
  <c r="J47" i="59"/>
  <c r="I47" i="59"/>
  <c r="H47" i="59"/>
  <c r="G47" i="59"/>
  <c r="S41" i="59"/>
  <c r="R41" i="59"/>
  <c r="Q41" i="59"/>
  <c r="P41" i="59"/>
  <c r="O41" i="59"/>
  <c r="N41" i="59"/>
  <c r="M41" i="59"/>
  <c r="L41" i="59"/>
  <c r="K41" i="59"/>
  <c r="J41" i="59"/>
  <c r="I41" i="59"/>
  <c r="H41" i="59"/>
  <c r="G41" i="59"/>
  <c r="AB28" i="97" l="1"/>
  <c r="AF28" i="97" s="1"/>
  <c r="F142" i="97"/>
  <c r="H125" i="97"/>
  <c r="K28" i="97"/>
  <c r="AA13" i="22"/>
  <c r="AC13" i="22"/>
  <c r="AA50" i="85"/>
  <c r="AC50" i="85"/>
  <c r="AA51" i="79"/>
  <c r="AC51" i="79"/>
  <c r="AA50" i="79"/>
  <c r="AC50" i="79"/>
  <c r="AA49" i="79"/>
  <c r="AC49" i="79"/>
  <c r="AA48" i="79"/>
  <c r="AC48" i="79"/>
  <c r="AA12" i="79"/>
  <c r="AC12" i="79"/>
  <c r="AA10" i="79"/>
  <c r="AC10" i="79"/>
  <c r="AA51" i="75"/>
  <c r="AC51" i="75"/>
  <c r="AA49" i="75"/>
  <c r="AC49" i="75"/>
  <c r="AA48" i="75"/>
  <c r="AC48" i="75"/>
  <c r="AA47" i="75"/>
  <c r="AC47" i="75"/>
  <c r="AA13" i="75"/>
  <c r="AC13" i="75"/>
  <c r="AA11" i="75"/>
  <c r="AC11" i="75"/>
  <c r="AA9" i="75"/>
  <c r="AC9" i="75"/>
  <c r="H49" i="91" l="1"/>
  <c r="H30" i="99"/>
  <c r="M28" i="97"/>
  <c r="K142" i="97"/>
  <c r="D47" i="22"/>
  <c r="O28" i="97" l="1"/>
  <c r="AA9" i="22"/>
  <c r="AC9" i="85"/>
  <c r="AC11" i="79"/>
  <c r="AA51" i="85"/>
  <c r="AA11" i="79"/>
  <c r="AC50" i="75"/>
  <c r="AA47" i="79"/>
  <c r="AC9" i="79"/>
  <c r="AC48" i="22"/>
  <c r="AA11" i="85"/>
  <c r="AC47" i="79"/>
  <c r="AC9" i="22"/>
  <c r="AC11" i="85"/>
  <c r="AA11" i="22"/>
  <c r="AA47" i="85"/>
  <c r="AA9" i="85"/>
  <c r="AA10" i="22"/>
  <c r="AA49" i="85"/>
  <c r="AA12" i="75"/>
  <c r="AC11" i="22"/>
  <c r="AC10" i="22"/>
  <c r="AC49" i="85"/>
  <c r="AC12" i="75"/>
  <c r="AA50" i="75"/>
  <c r="AC47" i="85"/>
  <c r="AA48" i="85"/>
  <c r="AA51" i="22"/>
  <c r="AC51" i="85"/>
  <c r="AA9" i="79"/>
  <c r="AA48" i="22"/>
  <c r="AC48" i="85"/>
  <c r="AC51" i="22"/>
  <c r="AG28" i="97" l="1"/>
  <c r="AC50" i="22"/>
  <c r="AA47" i="22"/>
  <c r="AA49" i="22"/>
  <c r="AC47" i="22"/>
  <c r="AC49" i="22"/>
  <c r="AA50" i="22"/>
  <c r="L14" i="22"/>
  <c r="AH28" i="97" l="1"/>
  <c r="AC13" i="85"/>
  <c r="AA13" i="85"/>
  <c r="AC12" i="85" l="1"/>
  <c r="AA13" i="79"/>
  <c r="AA12" i="85"/>
  <c r="AC13" i="79"/>
  <c r="R204" i="61"/>
  <c r="Q204" i="61"/>
  <c r="P204" i="61"/>
  <c r="O204" i="61"/>
  <c r="N204" i="61"/>
  <c r="M204" i="61"/>
  <c r="L204" i="61"/>
  <c r="K204" i="61"/>
  <c r="J204" i="61"/>
  <c r="I204" i="61"/>
  <c r="H204" i="61"/>
  <c r="G204" i="61"/>
  <c r="F204" i="61"/>
  <c r="AB68" i="97" l="1"/>
  <c r="J127" i="97"/>
  <c r="G144" i="97"/>
  <c r="K68" i="97"/>
  <c r="M68" i="97" s="1"/>
  <c r="O68" i="97" s="1"/>
  <c r="R259" i="59"/>
  <c r="Q259" i="59"/>
  <c r="P259" i="59"/>
  <c r="O259" i="59"/>
  <c r="N259" i="59"/>
  <c r="M259" i="59"/>
  <c r="L259" i="59"/>
  <c r="K259" i="59"/>
  <c r="J259" i="59"/>
  <c r="I259" i="59"/>
  <c r="H259" i="59"/>
  <c r="G259" i="59"/>
  <c r="R253" i="59"/>
  <c r="Q253" i="59"/>
  <c r="P253" i="59"/>
  <c r="O253" i="59"/>
  <c r="N253" i="59"/>
  <c r="M253" i="59"/>
  <c r="L253" i="59"/>
  <c r="K253" i="59"/>
  <c r="J253" i="59"/>
  <c r="I253" i="59"/>
  <c r="H253" i="59"/>
  <c r="G253" i="59"/>
  <c r="R247" i="59"/>
  <c r="Q247" i="59"/>
  <c r="P247" i="59"/>
  <c r="O247" i="59"/>
  <c r="N247" i="59"/>
  <c r="M247" i="59"/>
  <c r="L247" i="59"/>
  <c r="K247" i="59"/>
  <c r="J247" i="59"/>
  <c r="I247" i="59"/>
  <c r="H247" i="59"/>
  <c r="G247" i="59"/>
  <c r="J51" i="91" l="1"/>
  <c r="J32" i="99"/>
  <c r="AF68" i="97"/>
  <c r="AG68" i="97" s="1"/>
  <c r="AH68" i="97" s="1"/>
  <c r="G33" i="97"/>
  <c r="K30" i="97"/>
  <c r="F33" i="97"/>
  <c r="H33" i="97"/>
  <c r="U33" i="97"/>
  <c r="X33" i="97"/>
  <c r="AB30" i="97"/>
  <c r="F144" i="97"/>
  <c r="F147" i="97" s="1"/>
  <c r="H127" i="97"/>
  <c r="N33" i="97"/>
  <c r="E8" i="98" s="1"/>
  <c r="W33" i="97"/>
  <c r="AA33" i="97"/>
  <c r="I33" i="97"/>
  <c r="V33" i="97"/>
  <c r="Y33" i="97"/>
  <c r="AC33" i="97"/>
  <c r="AA10" i="75"/>
  <c r="H51" i="91" l="1"/>
  <c r="H32" i="99"/>
  <c r="Y35" i="97"/>
  <c r="AF30" i="97"/>
  <c r="AB33" i="97"/>
  <c r="M30" i="97"/>
  <c r="K33" i="97"/>
  <c r="K144" i="97"/>
  <c r="K147" i="97" s="1"/>
  <c r="H131" i="97"/>
  <c r="H55" i="91" s="1"/>
  <c r="AC10" i="75"/>
  <c r="O30" i="97" l="1"/>
  <c r="O33" i="97" s="1"/>
  <c r="M33" i="97"/>
  <c r="AF33" i="97"/>
  <c r="H13" i="70"/>
  <c r="G13" i="70"/>
  <c r="E13" i="70"/>
  <c r="F13" i="70"/>
  <c r="I13" i="70"/>
  <c r="J13" i="70"/>
  <c r="K13" i="70"/>
  <c r="L13" i="70"/>
  <c r="AG30" i="97" l="1"/>
  <c r="AG33" i="97" s="1"/>
  <c r="AH33" i="97" s="1"/>
  <c r="AA12" i="22"/>
  <c r="AC12" i="22"/>
  <c r="AH30" i="97" l="1"/>
  <c r="AB66" i="97"/>
  <c r="G142" i="97"/>
  <c r="J125" i="97"/>
  <c r="K66" i="97"/>
  <c r="AA104" i="97"/>
  <c r="R147" i="59"/>
  <c r="Q147" i="59"/>
  <c r="P147" i="59"/>
  <c r="O147" i="59"/>
  <c r="N147" i="59"/>
  <c r="M147" i="59"/>
  <c r="L147" i="59"/>
  <c r="K147" i="59"/>
  <c r="J147" i="59"/>
  <c r="I147" i="59"/>
  <c r="H147" i="59"/>
  <c r="G147" i="59"/>
  <c r="R135" i="59"/>
  <c r="Q135" i="59"/>
  <c r="P135" i="59"/>
  <c r="O135" i="59"/>
  <c r="N135" i="59"/>
  <c r="M135" i="59"/>
  <c r="L135" i="59"/>
  <c r="K135" i="59"/>
  <c r="J135" i="59"/>
  <c r="I135" i="59"/>
  <c r="H135" i="59"/>
  <c r="G135" i="59"/>
  <c r="J49" i="91" l="1"/>
  <c r="J30" i="99"/>
  <c r="AA60" i="90"/>
  <c r="AA9" i="99"/>
  <c r="AF66" i="97"/>
  <c r="M66" i="97"/>
  <c r="R353" i="61"/>
  <c r="Q353" i="61"/>
  <c r="P353" i="61"/>
  <c r="O353" i="61"/>
  <c r="N353" i="61"/>
  <c r="M353" i="61"/>
  <c r="L353" i="61"/>
  <c r="K353" i="61"/>
  <c r="J353" i="61"/>
  <c r="I353" i="61"/>
  <c r="H353" i="61"/>
  <c r="G353" i="61"/>
  <c r="F353" i="61"/>
  <c r="AC108" i="97" l="1"/>
  <c r="K70" i="97"/>
  <c r="H71" i="97"/>
  <c r="G71" i="97"/>
  <c r="W71" i="97"/>
  <c r="Y71" i="97"/>
  <c r="V71" i="97"/>
  <c r="X71" i="97"/>
  <c r="AA71" i="97"/>
  <c r="AB70" i="97"/>
  <c r="J129" i="97"/>
  <c r="G146" i="97"/>
  <c r="G147" i="97" s="1"/>
  <c r="N71" i="97"/>
  <c r="M8" i="98" s="1"/>
  <c r="U71" i="97"/>
  <c r="O66" i="97"/>
  <c r="I71" i="97"/>
  <c r="F71" i="97"/>
  <c r="AA10" i="85"/>
  <c r="J131" i="97" l="1"/>
  <c r="J55" i="91" s="1"/>
  <c r="J53" i="91"/>
  <c r="J34" i="99"/>
  <c r="AC64" i="90"/>
  <c r="AC13" i="99"/>
  <c r="AC71" i="97"/>
  <c r="AB71" i="97"/>
  <c r="AG66" i="97"/>
  <c r="Y73" i="97"/>
  <c r="AF70" i="97"/>
  <c r="M70" i="97"/>
  <c r="K71" i="97"/>
  <c r="AC10" i="85"/>
  <c r="U82" i="22"/>
  <c r="C14" i="36"/>
  <c r="N8" i="98" l="1"/>
  <c r="AF71" i="97"/>
  <c r="O70" i="97"/>
  <c r="O71" i="97" s="1"/>
  <c r="M71" i="97"/>
  <c r="AH66" i="97"/>
  <c r="D367" i="61"/>
  <c r="R419" i="59"/>
  <c r="Q419" i="59"/>
  <c r="P419" i="59"/>
  <c r="O419" i="59"/>
  <c r="N419" i="59"/>
  <c r="M419" i="59"/>
  <c r="L419" i="59"/>
  <c r="K419" i="59"/>
  <c r="J419" i="59"/>
  <c r="I419" i="59"/>
  <c r="H419" i="59"/>
  <c r="G419" i="59"/>
  <c r="D33" i="58"/>
  <c r="D31" i="58"/>
  <c r="AG70" i="97" l="1"/>
  <c r="E130" i="22"/>
  <c r="C4" i="83"/>
  <c r="C5" i="83"/>
  <c r="C6" i="83"/>
  <c r="C7" i="83"/>
  <c r="C8" i="83"/>
  <c r="C3" i="83"/>
  <c r="E143" i="85"/>
  <c r="E144" i="85"/>
  <c r="E145" i="85"/>
  <c r="E146" i="85"/>
  <c r="E142" i="85"/>
  <c r="E130" i="85"/>
  <c r="C4" i="80"/>
  <c r="C5" i="80"/>
  <c r="C6" i="80"/>
  <c r="C7" i="80"/>
  <c r="C8" i="80"/>
  <c r="C3" i="80"/>
  <c r="E143" i="79"/>
  <c r="E144" i="79"/>
  <c r="E145" i="79"/>
  <c r="E146" i="79"/>
  <c r="E142" i="79"/>
  <c r="E130" i="79"/>
  <c r="C4" i="77"/>
  <c r="C5" i="77"/>
  <c r="C6" i="77"/>
  <c r="C7" i="77"/>
  <c r="C8" i="77"/>
  <c r="C3" i="77"/>
  <c r="E143" i="75"/>
  <c r="E144" i="75"/>
  <c r="E145" i="75"/>
  <c r="E146" i="75"/>
  <c r="E142" i="75"/>
  <c r="E130" i="75"/>
  <c r="AH70" i="97" l="1"/>
  <c r="AG71" i="97"/>
  <c r="AH71" i="97" s="1"/>
  <c r="C81" i="62" l="1"/>
  <c r="U44" i="69"/>
  <c r="U25" i="69"/>
  <c r="U6" i="69"/>
  <c r="H7" i="64"/>
  <c r="H6" i="64"/>
  <c r="H5" i="64"/>
  <c r="H4" i="64"/>
  <c r="H3" i="64"/>
  <c r="D61" i="67"/>
  <c r="C62" i="67"/>
  <c r="C61" i="67"/>
  <c r="D49" i="67"/>
  <c r="C50" i="67"/>
  <c r="C49" i="67"/>
  <c r="D36" i="67"/>
  <c r="C37" i="67"/>
  <c r="AD30" i="69" s="1"/>
  <c r="C36" i="67"/>
  <c r="D23" i="67"/>
  <c r="C24" i="67"/>
  <c r="C23" i="67"/>
  <c r="D10" i="67"/>
  <c r="C11" i="67"/>
  <c r="C10" i="67"/>
  <c r="D62" i="68"/>
  <c r="C63" i="68"/>
  <c r="C62" i="68"/>
  <c r="D49" i="68"/>
  <c r="C50" i="68"/>
  <c r="C49" i="68"/>
  <c r="D36" i="68"/>
  <c r="C37" i="68"/>
  <c r="C36" i="68"/>
  <c r="D23" i="68"/>
  <c r="C24" i="68"/>
  <c r="C23" i="68"/>
  <c r="D10" i="68"/>
  <c r="C11" i="68"/>
  <c r="C10" i="68"/>
  <c r="R346" i="59"/>
  <c r="Q346" i="59"/>
  <c r="P346" i="59"/>
  <c r="O346" i="59"/>
  <c r="N346" i="59"/>
  <c r="M346" i="59"/>
  <c r="L346" i="59"/>
  <c r="K346" i="59"/>
  <c r="J346" i="59"/>
  <c r="I346" i="59"/>
  <c r="H346" i="59"/>
  <c r="G346" i="59"/>
  <c r="H9" i="64" l="1"/>
  <c r="H10" i="64" s="1"/>
  <c r="F45" i="62"/>
  <c r="E69" i="62" s="1"/>
  <c r="I145" i="75" s="1"/>
  <c r="D69" i="62" l="1"/>
  <c r="AC32" i="22"/>
  <c r="E367" i="61"/>
  <c r="D368" i="61"/>
  <c r="AC66" i="22" l="1"/>
  <c r="F35" i="71"/>
  <c r="D101" i="22" l="1"/>
  <c r="D13" i="70"/>
  <c r="C13" i="70"/>
  <c r="D21" i="70" l="1"/>
  <c r="E21" i="70"/>
  <c r="F21" i="70"/>
  <c r="G21" i="70"/>
  <c r="H21" i="70"/>
  <c r="I21" i="70"/>
  <c r="J21" i="70"/>
  <c r="K21" i="70"/>
  <c r="L21" i="70"/>
  <c r="C21" i="70"/>
  <c r="D37" i="70"/>
  <c r="E37" i="70"/>
  <c r="F37" i="70"/>
  <c r="G37" i="70"/>
  <c r="H37" i="70"/>
  <c r="I37" i="70"/>
  <c r="J37" i="70"/>
  <c r="K37" i="70"/>
  <c r="L37" i="70"/>
  <c r="C37" i="70"/>
  <c r="M21" i="70" l="1"/>
  <c r="R367" i="61"/>
  <c r="Q367" i="61"/>
  <c r="P367" i="61"/>
  <c r="O367" i="61"/>
  <c r="N367" i="61"/>
  <c r="M367" i="61"/>
  <c r="L367" i="61"/>
  <c r="K367" i="61"/>
  <c r="J367" i="61"/>
  <c r="I367" i="61"/>
  <c r="H367" i="61"/>
  <c r="G367" i="61"/>
  <c r="F367" i="61"/>
  <c r="R355" i="59"/>
  <c r="Q355" i="59"/>
  <c r="P355" i="59"/>
  <c r="O355" i="59"/>
  <c r="N355" i="59"/>
  <c r="M355" i="59"/>
  <c r="L355" i="59"/>
  <c r="K355" i="59"/>
  <c r="J355" i="59"/>
  <c r="I355" i="59"/>
  <c r="H355" i="59"/>
  <c r="G355" i="59"/>
  <c r="R343" i="59"/>
  <c r="Q343" i="59"/>
  <c r="P343" i="59"/>
  <c r="O343" i="59"/>
  <c r="N343" i="59"/>
  <c r="M343" i="59"/>
  <c r="L343" i="59"/>
  <c r="K343" i="59"/>
  <c r="J343" i="59"/>
  <c r="I343" i="59"/>
  <c r="H343" i="59"/>
  <c r="G343" i="59"/>
  <c r="G33" i="58" l="1"/>
  <c r="E69" i="66"/>
  <c r="E69" i="71"/>
  <c r="E69" i="58"/>
  <c r="F7" i="64" l="1"/>
  <c r="O61" i="67"/>
  <c r="N61" i="67"/>
  <c r="M61" i="67"/>
  <c r="L61" i="67"/>
  <c r="K61" i="67"/>
  <c r="J61" i="67"/>
  <c r="I61" i="67"/>
  <c r="N32" i="69" s="1"/>
  <c r="H61" i="67"/>
  <c r="G61" i="67"/>
  <c r="F61" i="67"/>
  <c r="E61" i="67"/>
  <c r="O49" i="67"/>
  <c r="N49" i="67"/>
  <c r="M49" i="67"/>
  <c r="L49" i="67"/>
  <c r="K49" i="67"/>
  <c r="J49" i="67"/>
  <c r="I49" i="67"/>
  <c r="H49" i="67"/>
  <c r="G49" i="67"/>
  <c r="F49" i="67"/>
  <c r="E49" i="67"/>
  <c r="O36" i="67" l="1"/>
  <c r="N36" i="67"/>
  <c r="M36" i="67"/>
  <c r="L36" i="67"/>
  <c r="K36" i="67"/>
  <c r="J36" i="67"/>
  <c r="I36" i="67"/>
  <c r="N30" i="69" s="1"/>
  <c r="H36" i="67"/>
  <c r="G36" i="67"/>
  <c r="F36" i="67"/>
  <c r="E36" i="67"/>
  <c r="O23" i="67"/>
  <c r="N23" i="67"/>
  <c r="M23" i="67"/>
  <c r="L23" i="67"/>
  <c r="K23" i="67"/>
  <c r="J23" i="67"/>
  <c r="I23" i="67"/>
  <c r="H23" i="67"/>
  <c r="G23" i="67"/>
  <c r="F23" i="67"/>
  <c r="E23" i="67"/>
  <c r="O10" i="67"/>
  <c r="N10" i="67"/>
  <c r="M10" i="67"/>
  <c r="L10" i="67"/>
  <c r="K10" i="67"/>
  <c r="J10" i="67"/>
  <c r="I10" i="67"/>
  <c r="N28" i="69" s="1"/>
  <c r="H10" i="67"/>
  <c r="G10" i="67"/>
  <c r="F10" i="67"/>
  <c r="E10" i="67"/>
  <c r="P36" i="68"/>
  <c r="O36" i="68"/>
  <c r="N36" i="68"/>
  <c r="M36" i="68"/>
  <c r="L36" i="68"/>
  <c r="K36" i="68"/>
  <c r="J36" i="68"/>
  <c r="I36" i="68"/>
  <c r="H36" i="68"/>
  <c r="G36" i="68"/>
  <c r="F36" i="68"/>
  <c r="E36" i="68"/>
  <c r="P23" i="68"/>
  <c r="O23" i="68"/>
  <c r="N23" i="68"/>
  <c r="M23" i="68"/>
  <c r="L23" i="68"/>
  <c r="K23" i="68"/>
  <c r="J23" i="68"/>
  <c r="I23" i="68"/>
  <c r="H23" i="68"/>
  <c r="G23" i="68"/>
  <c r="F23" i="68"/>
  <c r="E23" i="68"/>
  <c r="P10" i="68"/>
  <c r="O10" i="68"/>
  <c r="N10" i="68"/>
  <c r="M10" i="68"/>
  <c r="L10" i="68"/>
  <c r="K10" i="68"/>
  <c r="J10" i="68"/>
  <c r="I10" i="68"/>
  <c r="H10" i="68"/>
  <c r="G10" i="68"/>
  <c r="F10" i="68"/>
  <c r="E10" i="68"/>
  <c r="H45" i="62" l="1"/>
  <c r="E78" i="62" s="1"/>
  <c r="I145" i="85" s="1"/>
  <c r="D78" i="62" l="1"/>
  <c r="H27" i="62" l="1"/>
  <c r="E76" i="62" s="1"/>
  <c r="I143" i="85" s="1"/>
  <c r="D76" i="62" l="1"/>
  <c r="D9" i="22"/>
  <c r="C2" i="62"/>
  <c r="C3" i="62"/>
  <c r="C4" i="62"/>
  <c r="AC31" i="79" l="1"/>
  <c r="AC29" i="79"/>
  <c r="AC32" i="75"/>
  <c r="AC30" i="75"/>
  <c r="AC28" i="75"/>
  <c r="AC32" i="79" l="1"/>
  <c r="AC31" i="75"/>
  <c r="AC31" i="22"/>
  <c r="AC30" i="22"/>
  <c r="AC28" i="85"/>
  <c r="AA28" i="85"/>
  <c r="AC28" i="79"/>
  <c r="AA28" i="79"/>
  <c r="AC28" i="22"/>
  <c r="AA28" i="22"/>
  <c r="F11" i="64" l="1"/>
  <c r="AC31" i="85" l="1"/>
  <c r="AC30" i="85"/>
  <c r="AC30" i="79"/>
  <c r="AC29" i="85"/>
  <c r="AC29" i="75"/>
  <c r="AC29" i="22"/>
  <c r="AA66" i="85"/>
  <c r="AA66" i="79"/>
  <c r="AA66" i="22"/>
  <c r="F35" i="58"/>
  <c r="AC66" i="79" l="1"/>
  <c r="AC66" i="85"/>
  <c r="F6" i="64"/>
  <c r="F5" i="64"/>
  <c r="F4" i="64"/>
  <c r="F3" i="64"/>
  <c r="F9" i="64" l="1"/>
  <c r="F13" i="64" s="1"/>
  <c r="F12" i="64" l="1"/>
  <c r="C8" i="87"/>
  <c r="C7" i="87"/>
  <c r="C6" i="87"/>
  <c r="C5" i="87"/>
  <c r="C4" i="87"/>
  <c r="C3" i="87"/>
  <c r="E146" i="86"/>
  <c r="E145" i="86"/>
  <c r="E144" i="86"/>
  <c r="E143" i="86"/>
  <c r="E142" i="86"/>
  <c r="E130" i="86"/>
  <c r="D44" i="22" l="1"/>
  <c r="D45" i="22"/>
  <c r="G45" i="22"/>
  <c r="K45" i="22"/>
  <c r="D48" i="22"/>
  <c r="E48" i="22"/>
  <c r="F48" i="22"/>
  <c r="G48" i="22"/>
  <c r="H48" i="22"/>
  <c r="I48" i="22"/>
  <c r="N48" i="22"/>
  <c r="D50" i="22"/>
  <c r="E50" i="22"/>
  <c r="F50" i="22"/>
  <c r="G50" i="22"/>
  <c r="H50" i="22"/>
  <c r="I50" i="22"/>
  <c r="N50" i="22"/>
  <c r="J52" i="22"/>
  <c r="L52" i="22"/>
  <c r="G126" i="22" l="1"/>
  <c r="J143" i="22" s="1"/>
  <c r="K48" i="22"/>
  <c r="M48" i="22" s="1"/>
  <c r="O48" i="22" s="1"/>
  <c r="K50" i="22"/>
  <c r="M50" i="22" s="1"/>
  <c r="O50" i="22" s="1"/>
  <c r="E51" i="22" l="1"/>
  <c r="D51" i="22"/>
  <c r="E47" i="22"/>
  <c r="M35" i="70" l="1"/>
  <c r="C55" i="62" l="1"/>
  <c r="E72" i="62" s="1"/>
  <c r="C36" i="62"/>
  <c r="E67" i="62" s="1"/>
  <c r="I146" i="79" l="1"/>
  <c r="I144" i="79"/>
  <c r="D72" i="62"/>
  <c r="D67" i="62"/>
  <c r="N47" i="22"/>
  <c r="G125" i="22" s="1"/>
  <c r="I47" i="22"/>
  <c r="H47" i="22"/>
  <c r="G47" i="22"/>
  <c r="F47" i="22"/>
  <c r="K47" i="22" l="1"/>
  <c r="M47" i="22" s="1"/>
  <c r="O47" i="22" l="1"/>
  <c r="N51" i="22"/>
  <c r="I51" i="22"/>
  <c r="H51" i="22"/>
  <c r="G51" i="22"/>
  <c r="F51" i="22"/>
  <c r="E49" i="22"/>
  <c r="D49" i="22"/>
  <c r="D52" i="22" s="1"/>
  <c r="K51" i="22" l="1"/>
  <c r="M51" i="22" s="1"/>
  <c r="O51" i="22" s="1"/>
  <c r="E52" i="22"/>
  <c r="M12" i="70" l="1"/>
  <c r="M11" i="70"/>
  <c r="M13" i="70" l="1"/>
  <c r="AE11" i="75"/>
  <c r="AE13" i="75"/>
  <c r="AE12" i="22"/>
  <c r="AE12" i="85" l="1"/>
  <c r="AE12" i="75"/>
  <c r="AE13" i="85"/>
  <c r="AE13" i="22"/>
  <c r="N49" i="22"/>
  <c r="N52" i="22" s="1"/>
  <c r="I49" i="22"/>
  <c r="I52" i="22" s="1"/>
  <c r="H49" i="22"/>
  <c r="H52" i="22" s="1"/>
  <c r="G49" i="22"/>
  <c r="G52" i="22" s="1"/>
  <c r="F49" i="22"/>
  <c r="AE11" i="22"/>
  <c r="AE10" i="85"/>
  <c r="AE10" i="75"/>
  <c r="AE10" i="22"/>
  <c r="F52" i="22" l="1"/>
  <c r="K49" i="22"/>
  <c r="AE11" i="85"/>
  <c r="M49" i="22" l="1"/>
  <c r="K52" i="22"/>
  <c r="O49" i="22" l="1"/>
  <c r="O52" i="22" s="1"/>
  <c r="M52" i="22"/>
  <c r="E147" i="22" l="1"/>
  <c r="P62" i="68" l="1"/>
  <c r="O62" i="68"/>
  <c r="N62" i="68"/>
  <c r="M62" i="68"/>
  <c r="L62" i="68"/>
  <c r="K62" i="68"/>
  <c r="J62" i="68"/>
  <c r="I62" i="68"/>
  <c r="H62" i="68"/>
  <c r="G62" i="68"/>
  <c r="F62" i="68"/>
  <c r="E62" i="68"/>
  <c r="P49" i="68" l="1"/>
  <c r="O49" i="68"/>
  <c r="N49" i="68"/>
  <c r="M49" i="68"/>
  <c r="L49" i="68"/>
  <c r="K49" i="68"/>
  <c r="J49" i="68"/>
  <c r="I49" i="68"/>
  <c r="H49" i="68"/>
  <c r="G49" i="68"/>
  <c r="F49" i="68"/>
  <c r="E49" i="68"/>
  <c r="U6" i="88" l="1"/>
  <c r="U6" i="82"/>
  <c r="U6" i="81"/>
  <c r="U6" i="76"/>
  <c r="U6" i="39"/>
  <c r="F5" i="80" l="1"/>
  <c r="F7" i="80"/>
  <c r="F3" i="80"/>
  <c r="K87" i="75" l="1"/>
  <c r="M87" i="75" s="1"/>
  <c r="H36" i="62" l="1"/>
  <c r="E77" i="62" s="1"/>
  <c r="I144" i="22" l="1"/>
  <c r="I144" i="85"/>
  <c r="D77" i="62"/>
  <c r="N36" i="70"/>
  <c r="M36" i="70"/>
  <c r="N35" i="70"/>
  <c r="N20" i="70"/>
  <c r="M20" i="70"/>
  <c r="N19" i="70"/>
  <c r="M19" i="70"/>
  <c r="N11" i="70"/>
  <c r="M37" i="70" l="1"/>
  <c r="I52" i="62" l="1"/>
  <c r="H55" i="62"/>
  <c r="E79" i="62" s="1"/>
  <c r="I146" i="22" l="1"/>
  <c r="I146" i="85"/>
  <c r="D79" i="62"/>
  <c r="I54" i="62"/>
  <c r="I53" i="62"/>
  <c r="I51" i="62"/>
  <c r="J51" i="62" s="1"/>
  <c r="I44" i="62"/>
  <c r="I43" i="62"/>
  <c r="I42" i="62"/>
  <c r="I41" i="62"/>
  <c r="I26" i="62"/>
  <c r="I25" i="62"/>
  <c r="I24" i="62"/>
  <c r="I16" i="62"/>
  <c r="I15" i="62"/>
  <c r="I14" i="62"/>
  <c r="F55" i="62"/>
  <c r="E55" i="62"/>
  <c r="D55" i="62"/>
  <c r="E45" i="62"/>
  <c r="D45" i="62"/>
  <c r="E70" i="62"/>
  <c r="F36" i="62"/>
  <c r="E36" i="62"/>
  <c r="D36" i="62"/>
  <c r="E27" i="62"/>
  <c r="D27" i="62"/>
  <c r="C27" i="62"/>
  <c r="E65" i="62" s="1"/>
  <c r="F17" i="62"/>
  <c r="E17" i="62"/>
  <c r="D17" i="62"/>
  <c r="I145" i="79" l="1"/>
  <c r="F6" i="80" s="1"/>
  <c r="I145" i="22"/>
  <c r="I143" i="79"/>
  <c r="I17" i="62"/>
  <c r="D70" i="62"/>
  <c r="D65" i="62"/>
  <c r="C3" i="56"/>
  <c r="I45" i="62"/>
  <c r="I27" i="62"/>
  <c r="I55" i="62"/>
  <c r="I147" i="22" l="1"/>
  <c r="F4" i="80"/>
  <c r="I147" i="79"/>
  <c r="O30" i="36" s="1"/>
  <c r="D31" i="66"/>
  <c r="E31" i="66"/>
  <c r="F31" i="66"/>
  <c r="G31" i="66"/>
  <c r="D33" i="66"/>
  <c r="E33" i="66"/>
  <c r="F33" i="66"/>
  <c r="G33" i="66"/>
  <c r="D35" i="66"/>
  <c r="E35" i="66"/>
  <c r="F35" i="66"/>
  <c r="G35" i="66"/>
  <c r="I35" i="66"/>
  <c r="J35" i="66"/>
  <c r="X125" i="90" l="1"/>
  <c r="U125" i="90"/>
  <c r="L82" i="91"/>
  <c r="K82" i="91"/>
  <c r="J82" i="91"/>
  <c r="I82" i="91"/>
  <c r="H82" i="91"/>
  <c r="G82" i="91"/>
  <c r="E82" i="91"/>
  <c r="E81" i="91"/>
  <c r="E80" i="91"/>
  <c r="E79" i="91"/>
  <c r="E78" i="91"/>
  <c r="E77" i="91"/>
  <c r="D82" i="91"/>
  <c r="L68" i="91"/>
  <c r="K68" i="91"/>
  <c r="J68" i="91"/>
  <c r="I68" i="91"/>
  <c r="H68" i="91"/>
  <c r="G68" i="91"/>
  <c r="E68" i="91"/>
  <c r="E67" i="91"/>
  <c r="E66" i="91"/>
  <c r="E65" i="91"/>
  <c r="E64" i="91"/>
  <c r="E63" i="91"/>
  <c r="D68" i="91"/>
  <c r="L40" i="91"/>
  <c r="K40" i="91"/>
  <c r="J40" i="91"/>
  <c r="I40" i="91"/>
  <c r="H40" i="91"/>
  <c r="G40" i="91"/>
  <c r="E40" i="91"/>
  <c r="E39" i="91"/>
  <c r="E38" i="91"/>
  <c r="E37" i="91"/>
  <c r="E36" i="91"/>
  <c r="E35" i="91"/>
  <c r="D40" i="91"/>
  <c r="L26" i="91"/>
  <c r="K26" i="91"/>
  <c r="J26" i="91"/>
  <c r="I26" i="91"/>
  <c r="H26" i="91"/>
  <c r="G26" i="91"/>
  <c r="E26" i="91"/>
  <c r="E25" i="91"/>
  <c r="E24" i="91"/>
  <c r="E23" i="91"/>
  <c r="E22" i="91"/>
  <c r="E21" i="91"/>
  <c r="D26" i="91"/>
  <c r="L11" i="91"/>
  <c r="K11" i="91"/>
  <c r="J11" i="91"/>
  <c r="I11" i="91"/>
  <c r="H11" i="91"/>
  <c r="G11" i="91"/>
  <c r="E11" i="91"/>
  <c r="E10" i="91"/>
  <c r="E9" i="91"/>
  <c r="E8" i="91"/>
  <c r="E7" i="91"/>
  <c r="E6" i="91"/>
  <c r="D11" i="91"/>
  <c r="C14" i="87"/>
  <c r="C14" i="83"/>
  <c r="C14" i="80"/>
  <c r="C9" i="36"/>
  <c r="E97" i="91" l="1"/>
  <c r="C15" i="36"/>
  <c r="J35" i="58"/>
  <c r="I35" i="58"/>
  <c r="G35" i="58"/>
  <c r="E35" i="58"/>
  <c r="D35" i="58"/>
  <c r="F33" i="58"/>
  <c r="E33" i="58"/>
  <c r="G31" i="58"/>
  <c r="F31" i="58"/>
  <c r="E31" i="58"/>
  <c r="J35" i="57"/>
  <c r="I35" i="57"/>
  <c r="G35" i="57"/>
  <c r="F35" i="57"/>
  <c r="E35" i="57"/>
  <c r="D35" i="57"/>
  <c r="G33" i="57"/>
  <c r="F33" i="57"/>
  <c r="E33" i="57"/>
  <c r="D33" i="57"/>
  <c r="G31" i="57"/>
  <c r="F31" i="57"/>
  <c r="E31" i="57"/>
  <c r="D31" i="57"/>
  <c r="J35" i="71"/>
  <c r="I35" i="71"/>
  <c r="G35" i="71"/>
  <c r="E35" i="71"/>
  <c r="D35" i="71"/>
  <c r="G33" i="71"/>
  <c r="F33" i="71"/>
  <c r="E33" i="71"/>
  <c r="D33" i="71"/>
  <c r="G31" i="71"/>
  <c r="F31" i="71"/>
  <c r="E31" i="71"/>
  <c r="D31" i="71"/>
  <c r="O45" i="39" l="1"/>
  <c r="N45" i="39"/>
  <c r="M45" i="39"/>
  <c r="AC69" i="85" l="1"/>
  <c r="AC67" i="85"/>
  <c r="AA67" i="85"/>
  <c r="AC69" i="79" l="1"/>
  <c r="AC68" i="79"/>
  <c r="AC67" i="79"/>
  <c r="AA67" i="79"/>
  <c r="AA68" i="79"/>
  <c r="AA69" i="79"/>
  <c r="AC70" i="75" l="1"/>
  <c r="AC66" i="75"/>
  <c r="AA66" i="75"/>
  <c r="AC68" i="22" l="1"/>
  <c r="AC68" i="85"/>
  <c r="F6" i="36" l="1"/>
  <c r="F3" i="36"/>
  <c r="F4" i="36"/>
  <c r="AA70" i="79"/>
  <c r="AA70" i="22"/>
  <c r="AC14" i="22" l="1"/>
  <c r="AC70" i="22"/>
  <c r="AC70" i="79"/>
  <c r="AC68" i="75"/>
  <c r="AC67" i="22" l="1"/>
  <c r="J27" i="62"/>
  <c r="F7" i="77" l="1"/>
  <c r="F6" i="77"/>
  <c r="F4" i="77"/>
  <c r="F3" i="77"/>
  <c r="AA70" i="85" l="1"/>
  <c r="AC32" i="85"/>
  <c r="AC70" i="85" l="1"/>
  <c r="AC69" i="75"/>
  <c r="AC67" i="75"/>
  <c r="Z346" i="55"/>
  <c r="Y346" i="55"/>
  <c r="X346" i="55"/>
  <c r="AA70" i="75" l="1"/>
  <c r="AC69" i="22" l="1"/>
  <c r="AA69" i="22"/>
  <c r="AA67" i="75"/>
  <c r="AA67" i="22"/>
  <c r="L29" i="70" l="1"/>
  <c r="K29" i="70"/>
  <c r="K6" i="70" s="1"/>
  <c r="J29" i="70"/>
  <c r="I29" i="70"/>
  <c r="H29" i="70"/>
  <c r="G29" i="70"/>
  <c r="G6" i="70" s="1"/>
  <c r="AA68" i="75"/>
  <c r="AA68" i="22"/>
  <c r="AA69" i="75" l="1"/>
  <c r="T16" i="89" l="1"/>
  <c r="S16" i="89"/>
  <c r="R16" i="89"/>
  <c r="Q16" i="89"/>
  <c r="P16" i="89"/>
  <c r="I16" i="89"/>
  <c r="H16" i="89"/>
  <c r="G16" i="89"/>
  <c r="F16" i="89"/>
  <c r="E16" i="89"/>
  <c r="D16" i="89"/>
  <c r="T15" i="89"/>
  <c r="S15" i="89"/>
  <c r="R15" i="89"/>
  <c r="Q15" i="89"/>
  <c r="P15" i="89"/>
  <c r="I15" i="89"/>
  <c r="H15" i="89"/>
  <c r="G15" i="89"/>
  <c r="F15" i="89"/>
  <c r="E15" i="89"/>
  <c r="D15" i="89"/>
  <c r="T14" i="89"/>
  <c r="S14" i="89"/>
  <c r="R14" i="89"/>
  <c r="Q14" i="89"/>
  <c r="P14" i="89"/>
  <c r="I14" i="89"/>
  <c r="H14" i="89"/>
  <c r="G14" i="89"/>
  <c r="F14" i="89"/>
  <c r="E14" i="89"/>
  <c r="D14" i="89"/>
  <c r="T13" i="89"/>
  <c r="S13" i="89"/>
  <c r="R13" i="89"/>
  <c r="Q13" i="89"/>
  <c r="P13" i="89"/>
  <c r="I13" i="89"/>
  <c r="H13" i="89"/>
  <c r="G13" i="89"/>
  <c r="F13" i="89"/>
  <c r="E13" i="89"/>
  <c r="D13" i="89"/>
  <c r="T12" i="89"/>
  <c r="S12" i="89"/>
  <c r="R12" i="89"/>
  <c r="Q12" i="89"/>
  <c r="P12" i="89"/>
  <c r="I12" i="89"/>
  <c r="H12" i="89"/>
  <c r="G12" i="89"/>
  <c r="F12" i="89"/>
  <c r="E12" i="89"/>
  <c r="D12" i="89"/>
  <c r="J16" i="89" l="1"/>
  <c r="G102" i="22"/>
  <c r="F10" i="89" s="1"/>
  <c r="T17" i="89" l="1"/>
  <c r="S17" i="89"/>
  <c r="R17" i="89"/>
  <c r="Q17" i="89"/>
  <c r="P17" i="89"/>
  <c r="I17" i="89"/>
  <c r="H17" i="89"/>
  <c r="G17" i="89"/>
  <c r="F17" i="89"/>
  <c r="E17" i="89"/>
  <c r="D17" i="89"/>
  <c r="U16" i="89"/>
  <c r="U15" i="89"/>
  <c r="J15" i="89"/>
  <c r="U14" i="89"/>
  <c r="J14" i="89"/>
  <c r="U13" i="89"/>
  <c r="J13" i="89"/>
  <c r="U12" i="89"/>
  <c r="J12" i="89"/>
  <c r="V16" i="89" l="1"/>
  <c r="W16" i="89" s="1"/>
  <c r="V15" i="89"/>
  <c r="W15" i="89" s="1"/>
  <c r="V14" i="89"/>
  <c r="W14" i="89" s="1"/>
  <c r="U17" i="89"/>
  <c r="V13" i="89"/>
  <c r="W13" i="89" s="1"/>
  <c r="J17" i="89"/>
  <c r="J20" i="89" s="1"/>
  <c r="T19" i="89"/>
  <c r="V12" i="89"/>
  <c r="V17" i="89" l="1"/>
  <c r="W17" i="89" s="1"/>
  <c r="W12" i="89"/>
  <c r="J23" i="62" l="1"/>
  <c r="U7" i="22" l="1"/>
  <c r="J24" i="62" l="1"/>
  <c r="J25" i="62"/>
  <c r="Y10" i="22" l="1"/>
  <c r="X10" i="22"/>
  <c r="W10" i="22"/>
  <c r="V10" i="22"/>
  <c r="U10" i="22"/>
  <c r="N10" i="22"/>
  <c r="I10" i="22"/>
  <c r="H10" i="22"/>
  <c r="G10" i="22"/>
  <c r="F10" i="22"/>
  <c r="AE9" i="75"/>
  <c r="N70" i="86" l="1"/>
  <c r="N69" i="86"/>
  <c r="N68" i="86"/>
  <c r="N67" i="86"/>
  <c r="N66" i="86"/>
  <c r="N68" i="85"/>
  <c r="N69" i="79"/>
  <c r="N68" i="79"/>
  <c r="N67" i="79"/>
  <c r="N66" i="79"/>
  <c r="N66" i="75"/>
  <c r="J47" i="69" l="1"/>
  <c r="Z13" i="69" l="1"/>
  <c r="Z12" i="69"/>
  <c r="Z11" i="69"/>
  <c r="Z10" i="69"/>
  <c r="Z9" i="69"/>
  <c r="E13" i="69" l="1"/>
  <c r="AD13" i="69"/>
  <c r="AC13" i="69" s="1"/>
  <c r="D13" i="69"/>
  <c r="U10" i="69"/>
  <c r="F10" i="69"/>
  <c r="AA9" i="69"/>
  <c r="Y9" i="69"/>
  <c r="X9" i="69"/>
  <c r="W9" i="69"/>
  <c r="V9" i="69"/>
  <c r="U9" i="69"/>
  <c r="N9" i="69"/>
  <c r="AB9" i="69" s="1"/>
  <c r="I9" i="69"/>
  <c r="H9" i="69"/>
  <c r="G9" i="69"/>
  <c r="F9" i="69"/>
  <c r="E9" i="69"/>
  <c r="AD9" i="69"/>
  <c r="AC9" i="69" s="1"/>
  <c r="D9" i="69"/>
  <c r="K9" i="69" l="1"/>
  <c r="M9" i="69" s="1"/>
  <c r="O9" i="69" s="1"/>
  <c r="AE9" i="69"/>
  <c r="N68" i="22"/>
  <c r="AA13" i="69" l="1"/>
  <c r="Y13" i="69"/>
  <c r="X13" i="69"/>
  <c r="W13" i="69"/>
  <c r="V13" i="69"/>
  <c r="U13" i="69"/>
  <c r="N13" i="69"/>
  <c r="AB13" i="69" s="1"/>
  <c r="I13" i="69"/>
  <c r="H13" i="69"/>
  <c r="G13" i="69"/>
  <c r="F13" i="69"/>
  <c r="AA12" i="69"/>
  <c r="Y12" i="69"/>
  <c r="X12" i="69"/>
  <c r="W12" i="69"/>
  <c r="V12" i="69"/>
  <c r="U12" i="69"/>
  <c r="N12" i="69"/>
  <c r="AB12" i="69" s="1"/>
  <c r="I12" i="69"/>
  <c r="H12" i="69"/>
  <c r="G12" i="69"/>
  <c r="F12" i="69"/>
  <c r="D12" i="69"/>
  <c r="AA11" i="69"/>
  <c r="Y11" i="69"/>
  <c r="X11" i="69"/>
  <c r="W11" i="69"/>
  <c r="V11" i="69"/>
  <c r="U11" i="69"/>
  <c r="N11" i="69"/>
  <c r="AB11" i="69" s="1"/>
  <c r="I11" i="69"/>
  <c r="H11" i="69"/>
  <c r="G11" i="69"/>
  <c r="F11" i="69"/>
  <c r="D11" i="69"/>
  <c r="AA10" i="69"/>
  <c r="Y10" i="69"/>
  <c r="X10" i="69"/>
  <c r="W10" i="69"/>
  <c r="V10" i="69"/>
  <c r="N10" i="69"/>
  <c r="AB10" i="69" s="1"/>
  <c r="I10" i="69"/>
  <c r="H10" i="69"/>
  <c r="G10" i="69"/>
  <c r="N70" i="79"/>
  <c r="N70" i="75"/>
  <c r="N70" i="22"/>
  <c r="N68" i="75"/>
  <c r="N66" i="22"/>
  <c r="AE13" i="69" l="1"/>
  <c r="K13" i="69"/>
  <c r="M13" i="69" s="1"/>
  <c r="O13" i="69" s="1"/>
  <c r="E10" i="22"/>
  <c r="D10" i="22"/>
  <c r="E35" i="76" l="1"/>
  <c r="I129" i="86" l="1"/>
  <c r="I128" i="86"/>
  <c r="I127" i="86"/>
  <c r="I126" i="86"/>
  <c r="I125" i="86"/>
  <c r="I129" i="85"/>
  <c r="I128" i="85"/>
  <c r="I127" i="85"/>
  <c r="I126" i="85"/>
  <c r="I125" i="85"/>
  <c r="I128" i="79"/>
  <c r="I126" i="79"/>
  <c r="I129" i="75"/>
  <c r="I125" i="75"/>
  <c r="I34" i="82" l="1"/>
  <c r="I67" i="91"/>
  <c r="I30" i="88"/>
  <c r="I77" i="91"/>
  <c r="I32" i="82"/>
  <c r="I65" i="91"/>
  <c r="I31" i="88"/>
  <c r="I78" i="91"/>
  <c r="I30" i="76"/>
  <c r="I21" i="91"/>
  <c r="I31" i="81"/>
  <c r="I36" i="91"/>
  <c r="I32" i="88"/>
  <c r="I79" i="91"/>
  <c r="I33" i="82"/>
  <c r="I66" i="91"/>
  <c r="I33" i="81"/>
  <c r="I38" i="91"/>
  <c r="I30" i="82"/>
  <c r="I63" i="91"/>
  <c r="I33" i="88"/>
  <c r="I80" i="91"/>
  <c r="I34" i="76"/>
  <c r="I25" i="91"/>
  <c r="I31" i="82"/>
  <c r="I64" i="91"/>
  <c r="I34" i="88"/>
  <c r="I81" i="91"/>
  <c r="I131" i="86"/>
  <c r="I83" i="91" s="1"/>
  <c r="I131" i="85"/>
  <c r="I69" i="91" l="1"/>
  <c r="M32" i="36"/>
  <c r="AA29" i="69"/>
  <c r="N67" i="22"/>
  <c r="AA32" i="69"/>
  <c r="AA51" i="69" s="1"/>
  <c r="AA89" i="97" s="1"/>
  <c r="Y32" i="69"/>
  <c r="X32" i="69"/>
  <c r="W32" i="69"/>
  <c r="V32" i="69"/>
  <c r="U32" i="69"/>
  <c r="AB32" i="69"/>
  <c r="Y29" i="69"/>
  <c r="X29" i="69"/>
  <c r="W29" i="69"/>
  <c r="V29" i="69"/>
  <c r="U29" i="69"/>
  <c r="N29" i="69"/>
  <c r="AB29" i="69" s="1"/>
  <c r="AB48" i="69" s="1"/>
  <c r="E12" i="69"/>
  <c r="K12" i="69" s="1"/>
  <c r="M12" i="69" s="1"/>
  <c r="O12" i="69" s="1"/>
  <c r="AD12" i="69"/>
  <c r="AC12" i="69" s="1"/>
  <c r="AE12" i="69" s="1"/>
  <c r="E11" i="69"/>
  <c r="K11" i="69" s="1"/>
  <c r="M11" i="69" s="1"/>
  <c r="O11" i="69" s="1"/>
  <c r="AD11" i="69"/>
  <c r="AC11" i="69" s="1"/>
  <c r="AE11" i="69" s="1"/>
  <c r="E10" i="69"/>
  <c r="AD10" i="69"/>
  <c r="AC10" i="69" s="1"/>
  <c r="AE10" i="69" s="1"/>
  <c r="D10" i="69"/>
  <c r="N70" i="85"/>
  <c r="N67" i="85"/>
  <c r="N67" i="75"/>
  <c r="N66" i="85"/>
  <c r="AC10" i="86"/>
  <c r="AC9" i="86"/>
  <c r="AA108" i="97" l="1"/>
  <c r="AA89" i="22"/>
  <c r="AA89" i="79"/>
  <c r="K10" i="69"/>
  <c r="M10" i="69" s="1"/>
  <c r="O10" i="69" s="1"/>
  <c r="D14" i="69"/>
  <c r="J54" i="62"/>
  <c r="J44" i="62"/>
  <c r="J35" i="62"/>
  <c r="H5" i="62"/>
  <c r="F5" i="62"/>
  <c r="E5" i="62"/>
  <c r="D5" i="62"/>
  <c r="C5" i="62"/>
  <c r="J26" i="62"/>
  <c r="J16" i="62"/>
  <c r="AA64" i="90" l="1"/>
  <c r="AA13" i="99"/>
  <c r="I5" i="62"/>
  <c r="C9" i="80"/>
  <c r="C15" i="80" l="1"/>
  <c r="D21" i="36"/>
  <c r="AG107" i="79"/>
  <c r="AG46" i="90" l="1"/>
  <c r="AH107" i="79"/>
  <c r="AC13" i="86"/>
  <c r="AC12" i="86"/>
  <c r="AC11" i="86" l="1"/>
  <c r="L9" i="79" l="1"/>
  <c r="N69" i="85" l="1"/>
  <c r="N69" i="75"/>
  <c r="N69" i="22"/>
  <c r="AE9" i="22"/>
  <c r="J55" i="62"/>
  <c r="J53" i="62"/>
  <c r="J52" i="62"/>
  <c r="J45" i="62"/>
  <c r="J43" i="62"/>
  <c r="J42" i="62"/>
  <c r="J41" i="62"/>
  <c r="J36" i="62"/>
  <c r="J34" i="62"/>
  <c r="J33" i="62"/>
  <c r="J32" i="62"/>
  <c r="J17" i="62"/>
  <c r="J15" i="62"/>
  <c r="J14" i="62"/>
  <c r="J13" i="62"/>
  <c r="AA66" i="86" l="1"/>
  <c r="F7" i="83" l="1"/>
  <c r="F6" i="83"/>
  <c r="F5" i="83"/>
  <c r="F4" i="83"/>
  <c r="F3" i="83"/>
  <c r="AC108" i="86" l="1"/>
  <c r="AC107" i="86"/>
  <c r="AC106" i="86"/>
  <c r="AC90" i="86"/>
  <c r="AC71" i="86"/>
  <c r="AC52" i="86"/>
  <c r="AC33" i="86"/>
  <c r="AC105" i="86"/>
  <c r="AC94" i="90" s="1"/>
  <c r="AC108" i="85"/>
  <c r="AC107" i="85"/>
  <c r="AC106" i="85"/>
  <c r="AC90" i="85"/>
  <c r="AC71" i="85"/>
  <c r="AC52" i="85"/>
  <c r="AC33" i="85"/>
  <c r="AC108" i="79"/>
  <c r="AC107" i="79"/>
  <c r="AC71" i="79"/>
  <c r="AC52" i="79"/>
  <c r="AC33" i="79"/>
  <c r="AC108" i="75"/>
  <c r="AC107" i="75"/>
  <c r="AC106" i="75"/>
  <c r="AC90" i="75"/>
  <c r="AC71" i="75"/>
  <c r="AC52" i="75"/>
  <c r="AC33" i="75"/>
  <c r="AC108" i="22"/>
  <c r="AC107" i="22"/>
  <c r="AC71" i="22"/>
  <c r="AC52" i="22"/>
  <c r="AC33" i="22"/>
  <c r="AC12" i="76" l="1"/>
  <c r="AC29" i="90"/>
  <c r="AC12" i="39"/>
  <c r="AC12" i="90"/>
  <c r="AC13" i="76"/>
  <c r="AC30" i="90"/>
  <c r="AC11" i="82"/>
  <c r="AC78" i="90"/>
  <c r="AC11" i="88"/>
  <c r="AC95" i="90"/>
  <c r="AC13" i="39"/>
  <c r="AC13" i="90"/>
  <c r="AC12" i="82"/>
  <c r="AC79" i="90"/>
  <c r="AC12" i="88"/>
  <c r="AC96" i="90"/>
  <c r="AC13" i="81"/>
  <c r="AC47" i="90"/>
  <c r="AC11" i="76"/>
  <c r="AC28" i="90"/>
  <c r="AC12" i="81"/>
  <c r="AC46" i="90"/>
  <c r="AC13" i="82"/>
  <c r="AC80" i="90"/>
  <c r="AC13" i="88"/>
  <c r="AC97" i="90"/>
  <c r="AC14" i="86"/>
  <c r="AC10" i="88"/>
  <c r="AC104" i="86"/>
  <c r="AC105" i="79"/>
  <c r="AC114" i="90" l="1"/>
  <c r="AC113" i="90"/>
  <c r="AC10" i="81"/>
  <c r="AC44" i="90"/>
  <c r="AC9" i="88"/>
  <c r="AC14" i="88" s="1"/>
  <c r="AC93" i="90"/>
  <c r="AC109" i="86"/>
  <c r="AC98" i="90" s="1"/>
  <c r="AC105" i="75" l="1"/>
  <c r="F5" i="36"/>
  <c r="AC10" i="76" l="1"/>
  <c r="AC27" i="90"/>
  <c r="AC105" i="22"/>
  <c r="AC105" i="85"/>
  <c r="AC10" i="82" l="1"/>
  <c r="AC77" i="90"/>
  <c r="AC10" i="39"/>
  <c r="AC10" i="90"/>
  <c r="AC14" i="79"/>
  <c r="AC111" i="90" l="1"/>
  <c r="AE70" i="86"/>
  <c r="F5" i="77"/>
  <c r="L5" i="77"/>
  <c r="F7" i="36" l="1"/>
  <c r="R12" i="56" l="1"/>
  <c r="K125" i="86" s="1"/>
  <c r="O12" i="56"/>
  <c r="K125" i="85" s="1"/>
  <c r="I12" i="56"/>
  <c r="F16" i="56"/>
  <c r="K129" i="75" s="1"/>
  <c r="F15" i="56"/>
  <c r="K128" i="75" s="1"/>
  <c r="F14" i="56"/>
  <c r="K127" i="75" s="1"/>
  <c r="F13" i="56"/>
  <c r="K126" i="75" s="1"/>
  <c r="F12" i="56"/>
  <c r="K125" i="75" l="1"/>
  <c r="F17" i="56"/>
  <c r="K125" i="79"/>
  <c r="K30" i="76"/>
  <c r="K21" i="91"/>
  <c r="K34" i="76"/>
  <c r="K25" i="91"/>
  <c r="K33" i="76"/>
  <c r="K24" i="91"/>
  <c r="K31" i="76"/>
  <c r="K22" i="91"/>
  <c r="K30" i="88"/>
  <c r="K77" i="91"/>
  <c r="K32" i="76"/>
  <c r="K23" i="91"/>
  <c r="K30" i="82"/>
  <c r="K63" i="91"/>
  <c r="R7" i="56"/>
  <c r="R6" i="56"/>
  <c r="R5" i="56"/>
  <c r="R4" i="56"/>
  <c r="R3" i="56"/>
  <c r="AB70" i="22"/>
  <c r="K30" i="81" l="1"/>
  <c r="K35" i="91"/>
  <c r="K36" i="76"/>
  <c r="O22" i="56"/>
  <c r="L126" i="85" s="1"/>
  <c r="O25" i="56"/>
  <c r="L129" i="85" s="1"/>
  <c r="L31" i="82" l="1"/>
  <c r="L64" i="91"/>
  <c r="L34" i="82"/>
  <c r="L67" i="91"/>
  <c r="C21" i="56"/>
  <c r="AC104" i="75" l="1"/>
  <c r="AC26" i="90" s="1"/>
  <c r="AC14" i="75"/>
  <c r="AC104" i="85"/>
  <c r="AC76" i="90" s="1"/>
  <c r="AC14" i="85"/>
  <c r="AC109" i="85" l="1"/>
  <c r="AC81" i="90" s="1"/>
  <c r="AC9" i="82"/>
  <c r="AC14" i="82" s="1"/>
  <c r="AC109" i="75"/>
  <c r="AC31" i="90" s="1"/>
  <c r="AC9" i="76"/>
  <c r="AC14" i="76" s="1"/>
  <c r="Y28" i="69"/>
  <c r="X28" i="69"/>
  <c r="W28" i="69"/>
  <c r="V28" i="69"/>
  <c r="U28" i="69"/>
  <c r="AA28" i="69" l="1"/>
  <c r="C6" i="62" l="1"/>
  <c r="C7" i="62" s="1"/>
  <c r="F28" i="69"/>
  <c r="C12" i="56" l="1"/>
  <c r="N3" i="69"/>
  <c r="K7" i="69"/>
  <c r="H7" i="69"/>
  <c r="D7" i="69"/>
  <c r="D6" i="69"/>
  <c r="L8" i="36" l="1"/>
  <c r="AB70" i="79"/>
  <c r="AE68" i="86"/>
  <c r="F6" i="88" l="1"/>
  <c r="O45" i="88" l="1"/>
  <c r="N45" i="88"/>
  <c r="M45" i="88"/>
  <c r="F45" i="88"/>
  <c r="O46" i="81"/>
  <c r="N46" i="81"/>
  <c r="M46" i="81"/>
  <c r="F46" i="81"/>
  <c r="O45" i="82"/>
  <c r="N45" i="82"/>
  <c r="M45" i="82"/>
  <c r="F45" i="82"/>
  <c r="O45" i="76"/>
  <c r="N45" i="76"/>
  <c r="M45" i="76"/>
  <c r="F45" i="76"/>
  <c r="F45" i="39"/>
  <c r="E11" i="64"/>
  <c r="D11" i="64"/>
  <c r="C16" i="56"/>
  <c r="C24" i="56"/>
  <c r="C15" i="56"/>
  <c r="C23" i="56"/>
  <c r="C14" i="56"/>
  <c r="C22" i="56"/>
  <c r="C13" i="56"/>
  <c r="H4" i="62"/>
  <c r="F4" i="62"/>
  <c r="E4" i="62"/>
  <c r="D4" i="62"/>
  <c r="H3" i="62"/>
  <c r="F3" i="62"/>
  <c r="E3" i="62"/>
  <c r="D3" i="62"/>
  <c r="F2" i="62"/>
  <c r="E2" i="62"/>
  <c r="D2" i="62"/>
  <c r="I2" i="62" l="1"/>
  <c r="F6" i="62"/>
  <c r="F7" i="62" s="1"/>
  <c r="K131" i="75"/>
  <c r="K27" i="91" s="1"/>
  <c r="I4" i="62"/>
  <c r="I3" i="62"/>
  <c r="H6" i="62"/>
  <c r="H7" i="62" s="1"/>
  <c r="D6" i="62"/>
  <c r="D7" i="62" s="1"/>
  <c r="E6" i="62"/>
  <c r="E7" i="62" s="1"/>
  <c r="J5" i="70"/>
  <c r="J6" i="70" s="1"/>
  <c r="I5" i="70"/>
  <c r="I6" i="70" s="1"/>
  <c r="H5" i="70"/>
  <c r="H6" i="70" s="1"/>
  <c r="I6" i="62" l="1"/>
  <c r="D81" i="62" s="1"/>
  <c r="M5" i="70"/>
  <c r="I7" i="62" l="1"/>
  <c r="Y51" i="75"/>
  <c r="X51" i="75"/>
  <c r="W51" i="75"/>
  <c r="V51" i="75"/>
  <c r="U51" i="75"/>
  <c r="G51" i="75"/>
  <c r="U30" i="69" l="1"/>
  <c r="C25" i="56" l="1"/>
  <c r="L5" i="70"/>
  <c r="L6" i="70" s="1"/>
  <c r="N13" i="22"/>
  <c r="N12" i="22"/>
  <c r="N11" i="22"/>
  <c r="N9" i="22"/>
  <c r="N5" i="70" l="1"/>
  <c r="N3" i="79"/>
  <c r="N60" i="79" s="1"/>
  <c r="AD60" i="79" s="1"/>
  <c r="N3" i="85"/>
  <c r="N79" i="85" s="1"/>
  <c r="AD79" i="85" s="1"/>
  <c r="N3" i="86"/>
  <c r="N41" i="86" s="1"/>
  <c r="AD41" i="86" s="1"/>
  <c r="N3" i="75"/>
  <c r="N41" i="75" s="1"/>
  <c r="AD41" i="75" s="1"/>
  <c r="K7" i="79"/>
  <c r="K102" i="79" s="1"/>
  <c r="Y102" i="79" s="1"/>
  <c r="K7" i="85"/>
  <c r="K102" i="85" s="1"/>
  <c r="K7" i="86"/>
  <c r="K122" i="86" s="1"/>
  <c r="K7" i="75"/>
  <c r="K122" i="75" s="1"/>
  <c r="K27" i="76" s="1"/>
  <c r="G7" i="79"/>
  <c r="G102" i="79" s="1"/>
  <c r="V102" i="79" s="1"/>
  <c r="G7" i="85"/>
  <c r="G83" i="85" s="1"/>
  <c r="V83" i="85" s="1"/>
  <c r="G7" i="86"/>
  <c r="G45" i="86" s="1"/>
  <c r="V45" i="86" s="1"/>
  <c r="G7" i="75"/>
  <c r="G83" i="75" s="1"/>
  <c r="V83" i="75" s="1"/>
  <c r="D7" i="79"/>
  <c r="D26" i="79" s="1"/>
  <c r="D7" i="85"/>
  <c r="D83" i="85" s="1"/>
  <c r="D7" i="86"/>
  <c r="D45" i="86" s="1"/>
  <c r="D7" i="75"/>
  <c r="D83" i="75" s="1"/>
  <c r="D6" i="79"/>
  <c r="D63" i="79" s="1"/>
  <c r="D6" i="85"/>
  <c r="D101" i="85" s="1"/>
  <c r="D6" i="82" s="1"/>
  <c r="D6" i="86"/>
  <c r="D63" i="86" s="1"/>
  <c r="D6" i="75"/>
  <c r="D82" i="75" s="1"/>
  <c r="E34" i="88"/>
  <c r="E33" i="88"/>
  <c r="E32" i="88"/>
  <c r="E31" i="88"/>
  <c r="E30" i="88"/>
  <c r="D35" i="88"/>
  <c r="L7" i="87"/>
  <c r="L6" i="87"/>
  <c r="L5" i="87"/>
  <c r="L4" i="87"/>
  <c r="L3" i="87"/>
  <c r="H8" i="87"/>
  <c r="E35" i="88"/>
  <c r="R25" i="56"/>
  <c r="L129" i="86" s="1"/>
  <c r="R24" i="56"/>
  <c r="L128" i="86" s="1"/>
  <c r="R23" i="56"/>
  <c r="L127" i="86" s="1"/>
  <c r="R22" i="56"/>
  <c r="L126" i="86" s="1"/>
  <c r="R21" i="56"/>
  <c r="L125" i="86" s="1"/>
  <c r="L77" i="91" s="1"/>
  <c r="R16" i="56"/>
  <c r="K129" i="86" s="1"/>
  <c r="R15" i="56"/>
  <c r="K128" i="86" s="1"/>
  <c r="R14" i="56"/>
  <c r="K127" i="86" s="1"/>
  <c r="R13" i="56"/>
  <c r="K126" i="86" s="1"/>
  <c r="D129" i="86"/>
  <c r="D128" i="86"/>
  <c r="D80" i="91" s="1"/>
  <c r="D127" i="86"/>
  <c r="D79" i="91" s="1"/>
  <c r="D126" i="86"/>
  <c r="D78" i="91" s="1"/>
  <c r="AD70" i="86"/>
  <c r="AA70" i="86"/>
  <c r="Y70" i="86"/>
  <c r="X70" i="86"/>
  <c r="W70" i="86"/>
  <c r="V70" i="86"/>
  <c r="U70" i="86"/>
  <c r="I70" i="86"/>
  <c r="H70" i="86"/>
  <c r="G70" i="86"/>
  <c r="F70" i="86"/>
  <c r="E70" i="86"/>
  <c r="D70" i="86"/>
  <c r="J129" i="86" s="1"/>
  <c r="AE69" i="86"/>
  <c r="AD69" i="86" s="1"/>
  <c r="AA69" i="86"/>
  <c r="Y69" i="86"/>
  <c r="X69" i="86"/>
  <c r="W69" i="86"/>
  <c r="V69" i="86"/>
  <c r="U69" i="86"/>
  <c r="I69" i="86"/>
  <c r="H69" i="86"/>
  <c r="G69" i="86"/>
  <c r="F69" i="86"/>
  <c r="E69" i="86"/>
  <c r="D69" i="86"/>
  <c r="J128" i="86" s="1"/>
  <c r="AA68" i="86"/>
  <c r="Y68" i="86"/>
  <c r="X68" i="86"/>
  <c r="W68" i="86"/>
  <c r="V68" i="86"/>
  <c r="U68" i="86"/>
  <c r="I68" i="86"/>
  <c r="H68" i="86"/>
  <c r="G68" i="86"/>
  <c r="F68" i="86"/>
  <c r="E68" i="86"/>
  <c r="D68" i="86"/>
  <c r="AE67" i="86"/>
  <c r="AD67" i="86" s="1"/>
  <c r="AA67" i="86"/>
  <c r="Y67" i="86"/>
  <c r="X67" i="86"/>
  <c r="W67" i="86"/>
  <c r="V67" i="86"/>
  <c r="U67" i="86"/>
  <c r="I67" i="86"/>
  <c r="H67" i="86"/>
  <c r="G67" i="86"/>
  <c r="F67" i="86"/>
  <c r="E67" i="86"/>
  <c r="D67" i="86"/>
  <c r="J126" i="86" s="1"/>
  <c r="Y66" i="86"/>
  <c r="X66" i="86"/>
  <c r="W66" i="86"/>
  <c r="V66" i="86"/>
  <c r="U66" i="86"/>
  <c r="I66" i="86"/>
  <c r="H66" i="86"/>
  <c r="G66" i="86"/>
  <c r="F66" i="86"/>
  <c r="E66" i="86"/>
  <c r="D66" i="86"/>
  <c r="AE51" i="86"/>
  <c r="AD51" i="86" s="1"/>
  <c r="AA51" i="86"/>
  <c r="Y51" i="86"/>
  <c r="X51" i="86"/>
  <c r="W51" i="86"/>
  <c r="V51" i="86"/>
  <c r="U51" i="86"/>
  <c r="N51" i="86"/>
  <c r="AB51" i="86" s="1"/>
  <c r="I51" i="86"/>
  <c r="H51" i="86"/>
  <c r="G51" i="86"/>
  <c r="F51" i="86"/>
  <c r="E51" i="86"/>
  <c r="D51" i="86"/>
  <c r="AE50" i="86"/>
  <c r="AD50" i="86" s="1"/>
  <c r="AA50" i="86"/>
  <c r="Y50" i="86"/>
  <c r="X50" i="86"/>
  <c r="W50" i="86"/>
  <c r="V50" i="86"/>
  <c r="U50" i="86"/>
  <c r="N50" i="86"/>
  <c r="AB50" i="86" s="1"/>
  <c r="I50" i="86"/>
  <c r="H50" i="86"/>
  <c r="G50" i="86"/>
  <c r="F50" i="86"/>
  <c r="E50" i="86"/>
  <c r="D50" i="86"/>
  <c r="AE49" i="86"/>
  <c r="AD49" i="86" s="1"/>
  <c r="AA49" i="86"/>
  <c r="Y49" i="86"/>
  <c r="X49" i="86"/>
  <c r="W49" i="86"/>
  <c r="V49" i="86"/>
  <c r="U49" i="86"/>
  <c r="N49" i="86"/>
  <c r="AB49" i="86" s="1"/>
  <c r="I49" i="86"/>
  <c r="H49" i="86"/>
  <c r="G49" i="86"/>
  <c r="F49" i="86"/>
  <c r="E49" i="86"/>
  <c r="D49" i="86"/>
  <c r="AE48" i="86"/>
  <c r="AD48" i="86" s="1"/>
  <c r="AA48" i="86"/>
  <c r="Y48" i="86"/>
  <c r="X48" i="86"/>
  <c r="W48" i="86"/>
  <c r="V48" i="86"/>
  <c r="U48" i="86"/>
  <c r="N48" i="86"/>
  <c r="AB48" i="86" s="1"/>
  <c r="I48" i="86"/>
  <c r="H48" i="86"/>
  <c r="G48" i="86"/>
  <c r="F48" i="86"/>
  <c r="E48" i="86"/>
  <c r="D48" i="86"/>
  <c r="AE47" i="86"/>
  <c r="AA47" i="86"/>
  <c r="Y47" i="86"/>
  <c r="X47" i="86"/>
  <c r="W47" i="86"/>
  <c r="V47" i="86"/>
  <c r="U47" i="86"/>
  <c r="N47" i="86"/>
  <c r="I47" i="86"/>
  <c r="H47" i="86"/>
  <c r="G47" i="86"/>
  <c r="F47" i="86"/>
  <c r="E47" i="86"/>
  <c r="D47" i="86"/>
  <c r="Y32" i="86"/>
  <c r="U32" i="86"/>
  <c r="Y31" i="86"/>
  <c r="X31" i="86"/>
  <c r="U31" i="86"/>
  <c r="N31" i="86"/>
  <c r="AB31" i="86" s="1"/>
  <c r="AE30" i="86"/>
  <c r="AD30" i="86" s="1"/>
  <c r="X30" i="86"/>
  <c r="W30" i="86"/>
  <c r="N30" i="86"/>
  <c r="AB30" i="86" s="1"/>
  <c r="I30" i="86"/>
  <c r="F30" i="86"/>
  <c r="E30" i="86"/>
  <c r="AE28" i="86"/>
  <c r="N28" i="86"/>
  <c r="AB28" i="86" s="1"/>
  <c r="I28" i="86"/>
  <c r="F28" i="86"/>
  <c r="E28" i="86"/>
  <c r="AE13" i="86"/>
  <c r="AA13" i="86"/>
  <c r="Y13" i="86"/>
  <c r="X13" i="86"/>
  <c r="W13" i="86"/>
  <c r="V13" i="86"/>
  <c r="U13" i="86"/>
  <c r="N13" i="86"/>
  <c r="AB13" i="86" s="1"/>
  <c r="I13" i="86"/>
  <c r="H13" i="86"/>
  <c r="G13" i="86"/>
  <c r="F13" i="86"/>
  <c r="E13" i="86"/>
  <c r="D13" i="86"/>
  <c r="AE12" i="86"/>
  <c r="AA12" i="86"/>
  <c r="Y12" i="86"/>
  <c r="X12" i="86"/>
  <c r="W12" i="86"/>
  <c r="V12" i="86"/>
  <c r="U12" i="86"/>
  <c r="N12" i="86"/>
  <c r="I12" i="86"/>
  <c r="H12" i="86"/>
  <c r="G12" i="86"/>
  <c r="F12" i="86"/>
  <c r="E12" i="86"/>
  <c r="D12" i="86"/>
  <c r="AE9" i="86"/>
  <c r="AA9" i="86"/>
  <c r="Y9" i="86"/>
  <c r="X9" i="86"/>
  <c r="W9" i="86"/>
  <c r="V9" i="86"/>
  <c r="U9" i="86"/>
  <c r="N9" i="86"/>
  <c r="AB9" i="86" s="1"/>
  <c r="I9" i="86"/>
  <c r="H9" i="86"/>
  <c r="G9" i="86"/>
  <c r="F9" i="86"/>
  <c r="E9" i="86"/>
  <c r="D9" i="86"/>
  <c r="X7" i="88"/>
  <c r="U7" i="88"/>
  <c r="F9" i="87"/>
  <c r="I147" i="86"/>
  <c r="X102" i="86"/>
  <c r="U102" i="86"/>
  <c r="L90" i="86"/>
  <c r="Z89" i="86"/>
  <c r="AB89" i="86"/>
  <c r="AD89" i="86"/>
  <c r="G7" i="87"/>
  <c r="Z88" i="86"/>
  <c r="AB88" i="86"/>
  <c r="I90" i="86"/>
  <c r="Z87" i="86"/>
  <c r="AB87" i="86"/>
  <c r="AD87" i="86"/>
  <c r="AB86" i="86"/>
  <c r="Z86" i="86"/>
  <c r="AD86" i="86"/>
  <c r="AB85" i="86"/>
  <c r="Z85" i="86"/>
  <c r="Y90" i="86"/>
  <c r="X90" i="86"/>
  <c r="V90" i="86"/>
  <c r="U90" i="86"/>
  <c r="H90" i="86"/>
  <c r="G90" i="86"/>
  <c r="G3" i="87"/>
  <c r="X83" i="86"/>
  <c r="U83" i="86"/>
  <c r="N71" i="86"/>
  <c r="L71" i="86"/>
  <c r="J71" i="86"/>
  <c r="AB70" i="86"/>
  <c r="Z70" i="86"/>
  <c r="AB69" i="86"/>
  <c r="Z69" i="86"/>
  <c r="AD68" i="86"/>
  <c r="AB68" i="86"/>
  <c r="Z68" i="86"/>
  <c r="AB67" i="86"/>
  <c r="Z67" i="86"/>
  <c r="AB66" i="86"/>
  <c r="Z66" i="86"/>
  <c r="X64" i="86"/>
  <c r="U64" i="86"/>
  <c r="L52" i="86"/>
  <c r="J52" i="86"/>
  <c r="Z51" i="86"/>
  <c r="Z50" i="86"/>
  <c r="Z49" i="86"/>
  <c r="Z48" i="86"/>
  <c r="Z47" i="86"/>
  <c r="X45" i="86"/>
  <c r="U45" i="86"/>
  <c r="L33" i="86"/>
  <c r="J33" i="86"/>
  <c r="Z32" i="86"/>
  <c r="Z31" i="86"/>
  <c r="Z30" i="86"/>
  <c r="Z29" i="86"/>
  <c r="Z28" i="86"/>
  <c r="X26" i="86"/>
  <c r="U26" i="86"/>
  <c r="Z13" i="86"/>
  <c r="L108" i="86"/>
  <c r="J108" i="86"/>
  <c r="L107" i="86"/>
  <c r="Z11" i="86"/>
  <c r="L106" i="86"/>
  <c r="J105" i="86"/>
  <c r="Z9" i="86"/>
  <c r="L104" i="86"/>
  <c r="J104" i="86"/>
  <c r="X7" i="86"/>
  <c r="U7" i="86"/>
  <c r="E35" i="82"/>
  <c r="E34" i="82"/>
  <c r="E33" i="82"/>
  <c r="E32" i="82"/>
  <c r="E31" i="82"/>
  <c r="E30" i="82"/>
  <c r="L8" i="83"/>
  <c r="L7" i="83"/>
  <c r="L6" i="83"/>
  <c r="L5" i="83"/>
  <c r="L4" i="83"/>
  <c r="L3" i="83"/>
  <c r="H8" i="83"/>
  <c r="C9" i="83"/>
  <c r="O24" i="56"/>
  <c r="L128" i="85" s="1"/>
  <c r="O23" i="56"/>
  <c r="L127" i="85" s="1"/>
  <c r="O21" i="56"/>
  <c r="L125" i="85" s="1"/>
  <c r="L63" i="91" s="1"/>
  <c r="O16" i="56"/>
  <c r="K129" i="85" s="1"/>
  <c r="O15" i="56"/>
  <c r="K128" i="85" s="1"/>
  <c r="O14" i="56"/>
  <c r="K127" i="85" s="1"/>
  <c r="O13" i="56"/>
  <c r="K126" i="85" s="1"/>
  <c r="K64" i="91" s="1"/>
  <c r="O7" i="56"/>
  <c r="D129" i="85" s="1"/>
  <c r="D67" i="91" s="1"/>
  <c r="O6" i="56"/>
  <c r="D128" i="85" s="1"/>
  <c r="D66" i="91" s="1"/>
  <c r="O5" i="56"/>
  <c r="D127" i="85" s="1"/>
  <c r="O4" i="56"/>
  <c r="D126" i="85" s="1"/>
  <c r="D64" i="91" s="1"/>
  <c r="O3" i="56"/>
  <c r="D125" i="85" s="1"/>
  <c r="D63" i="91" s="1"/>
  <c r="AE69" i="85"/>
  <c r="AD69" i="85" s="1"/>
  <c r="AA69" i="85"/>
  <c r="Y69" i="85"/>
  <c r="X69" i="85"/>
  <c r="W69" i="85"/>
  <c r="V69" i="85"/>
  <c r="U69" i="85"/>
  <c r="I69" i="85"/>
  <c r="H69" i="85"/>
  <c r="G69" i="85"/>
  <c r="F69" i="85"/>
  <c r="E69" i="85"/>
  <c r="D69" i="85"/>
  <c r="AE68" i="85"/>
  <c r="AD68" i="85" s="1"/>
  <c r="AA68" i="85"/>
  <c r="Y68" i="85"/>
  <c r="X68" i="85"/>
  <c r="W68" i="85"/>
  <c r="V68" i="85"/>
  <c r="U68" i="85"/>
  <c r="I68" i="85"/>
  <c r="H68" i="85"/>
  <c r="G68" i="85"/>
  <c r="F68" i="85"/>
  <c r="E68" i="85"/>
  <c r="D68" i="85"/>
  <c r="AE66" i="85"/>
  <c r="Y66" i="85"/>
  <c r="X66" i="85"/>
  <c r="W66" i="85"/>
  <c r="V66" i="85"/>
  <c r="U66" i="85"/>
  <c r="I66" i="85"/>
  <c r="H66" i="85"/>
  <c r="G66" i="85"/>
  <c r="F66" i="85"/>
  <c r="E66" i="85"/>
  <c r="D66" i="85"/>
  <c r="AE50" i="85"/>
  <c r="Y50" i="85"/>
  <c r="X50" i="85"/>
  <c r="W50" i="85"/>
  <c r="V50" i="85"/>
  <c r="U50" i="85"/>
  <c r="N50" i="85"/>
  <c r="I50" i="85"/>
  <c r="H50" i="85"/>
  <c r="G50" i="85"/>
  <c r="F50" i="85"/>
  <c r="E50" i="85"/>
  <c r="D50" i="85"/>
  <c r="AE49" i="85"/>
  <c r="AE48" i="85"/>
  <c r="AE47" i="85"/>
  <c r="Y47" i="85"/>
  <c r="X47" i="85"/>
  <c r="W47" i="85"/>
  <c r="V47" i="85"/>
  <c r="U47" i="85"/>
  <c r="N47" i="85"/>
  <c r="I47" i="85"/>
  <c r="H47" i="85"/>
  <c r="G47" i="85"/>
  <c r="F47" i="85"/>
  <c r="E47" i="85"/>
  <c r="D47" i="85"/>
  <c r="F6" i="82"/>
  <c r="I147" i="85"/>
  <c r="O32" i="36" s="1"/>
  <c r="E131" i="85"/>
  <c r="E69" i="91" s="1"/>
  <c r="X102" i="85"/>
  <c r="U102" i="85"/>
  <c r="L90" i="85"/>
  <c r="Z90" i="85"/>
  <c r="X83" i="85"/>
  <c r="U83" i="85"/>
  <c r="N71" i="85"/>
  <c r="L71" i="85"/>
  <c r="J71" i="85"/>
  <c r="AB70" i="85"/>
  <c r="Z70" i="85"/>
  <c r="AB69" i="85"/>
  <c r="Z69" i="85"/>
  <c r="AB68" i="85"/>
  <c r="Z68" i="85"/>
  <c r="AB67" i="85"/>
  <c r="Z67" i="85"/>
  <c r="AB66" i="85"/>
  <c r="Z66" i="85"/>
  <c r="X64" i="85"/>
  <c r="U64" i="85"/>
  <c r="L52" i="85"/>
  <c r="J52" i="85"/>
  <c r="Z51" i="85"/>
  <c r="Z50" i="85"/>
  <c r="Z49" i="85"/>
  <c r="Z48" i="85"/>
  <c r="Z47" i="85"/>
  <c r="X45" i="85"/>
  <c r="U45" i="85"/>
  <c r="L33" i="85"/>
  <c r="J33" i="85"/>
  <c r="Z32" i="85"/>
  <c r="Z31" i="85"/>
  <c r="Z30" i="85"/>
  <c r="Z29" i="85"/>
  <c r="Z28" i="85"/>
  <c r="X26" i="85"/>
  <c r="U26" i="85"/>
  <c r="L108" i="85"/>
  <c r="L107" i="85"/>
  <c r="L106" i="85"/>
  <c r="L105" i="85"/>
  <c r="L104" i="85"/>
  <c r="L76" i="90" s="1"/>
  <c r="X7" i="85"/>
  <c r="U7" i="85"/>
  <c r="F9" i="83"/>
  <c r="G23" i="36" s="1"/>
  <c r="X7" i="82"/>
  <c r="U7" i="82"/>
  <c r="L7" i="80"/>
  <c r="L6" i="80"/>
  <c r="L5" i="80"/>
  <c r="L4" i="80"/>
  <c r="L3" i="80"/>
  <c r="I25" i="56"/>
  <c r="I24" i="56"/>
  <c r="I23" i="56"/>
  <c r="I22" i="56"/>
  <c r="I21" i="56"/>
  <c r="I16" i="56"/>
  <c r="I15" i="56"/>
  <c r="I14" i="56"/>
  <c r="I13" i="56"/>
  <c r="L8" i="80"/>
  <c r="N8" i="80" s="1"/>
  <c r="I7" i="56"/>
  <c r="I6" i="56"/>
  <c r="I5" i="56"/>
  <c r="I4" i="56"/>
  <c r="D143" i="97" s="1"/>
  <c r="L143" i="97" s="1"/>
  <c r="M143" i="97" s="1"/>
  <c r="I3" i="56"/>
  <c r="AE69" i="79"/>
  <c r="AD69" i="79" s="1"/>
  <c r="Y69" i="79"/>
  <c r="X69" i="79"/>
  <c r="W69" i="79"/>
  <c r="V69" i="79"/>
  <c r="U69" i="79"/>
  <c r="I69" i="79"/>
  <c r="H69" i="79"/>
  <c r="G69" i="79"/>
  <c r="F69" i="79"/>
  <c r="E69" i="79"/>
  <c r="D69" i="79"/>
  <c r="AE68" i="79"/>
  <c r="AD68" i="79" s="1"/>
  <c r="Y68" i="79"/>
  <c r="X68" i="79"/>
  <c r="W68" i="79"/>
  <c r="V68" i="79"/>
  <c r="U68" i="79"/>
  <c r="I68" i="79"/>
  <c r="H68" i="79"/>
  <c r="G68" i="79"/>
  <c r="F68" i="79"/>
  <c r="E68" i="79"/>
  <c r="D68" i="79"/>
  <c r="AE67" i="79"/>
  <c r="AD67" i="79" s="1"/>
  <c r="Y67" i="79"/>
  <c r="X67" i="79"/>
  <c r="W67" i="79"/>
  <c r="V67" i="79"/>
  <c r="U67" i="79"/>
  <c r="I67" i="79"/>
  <c r="H67" i="79"/>
  <c r="G67" i="79"/>
  <c r="F67" i="79"/>
  <c r="E67" i="79"/>
  <c r="D67" i="79"/>
  <c r="AE66" i="79"/>
  <c r="Y66" i="79"/>
  <c r="X66" i="79"/>
  <c r="W66" i="79"/>
  <c r="V66" i="79"/>
  <c r="U66" i="79"/>
  <c r="I66" i="79"/>
  <c r="H66" i="79"/>
  <c r="G66" i="79"/>
  <c r="F66" i="79"/>
  <c r="E66" i="79"/>
  <c r="D66" i="79"/>
  <c r="AE50" i="79"/>
  <c r="AD50" i="79" s="1"/>
  <c r="Y50" i="79"/>
  <c r="X50" i="79"/>
  <c r="W50" i="79"/>
  <c r="V50" i="79"/>
  <c r="U50" i="79"/>
  <c r="N50" i="79"/>
  <c r="AB50" i="79" s="1"/>
  <c r="I50" i="79"/>
  <c r="H50" i="79"/>
  <c r="G50" i="79"/>
  <c r="F50" i="79"/>
  <c r="E50" i="79"/>
  <c r="D50" i="79"/>
  <c r="AE49" i="79"/>
  <c r="AD49" i="79" s="1"/>
  <c r="Y49" i="79"/>
  <c r="X49" i="79"/>
  <c r="W49" i="79"/>
  <c r="V49" i="79"/>
  <c r="U49" i="79"/>
  <c r="N49" i="79"/>
  <c r="AB49" i="79" s="1"/>
  <c r="I49" i="79"/>
  <c r="H49" i="79"/>
  <c r="G49" i="79"/>
  <c r="F49" i="79"/>
  <c r="E49" i="79"/>
  <c r="D49" i="79"/>
  <c r="AE48" i="79"/>
  <c r="AD48" i="79" s="1"/>
  <c r="Y48" i="79"/>
  <c r="X48" i="79"/>
  <c r="W48" i="79"/>
  <c r="V48" i="79"/>
  <c r="U48" i="79"/>
  <c r="N48" i="79"/>
  <c r="AB48" i="79" s="1"/>
  <c r="I48" i="79"/>
  <c r="H48" i="79"/>
  <c r="G48" i="79"/>
  <c r="F48" i="79"/>
  <c r="E48" i="79"/>
  <c r="D48" i="79"/>
  <c r="AE47" i="79"/>
  <c r="Y47" i="79"/>
  <c r="X47" i="79"/>
  <c r="W47" i="79"/>
  <c r="V47" i="79"/>
  <c r="U47" i="79"/>
  <c r="N47" i="79"/>
  <c r="I47" i="79"/>
  <c r="H47" i="79"/>
  <c r="G47" i="79"/>
  <c r="F47" i="79"/>
  <c r="E47" i="79"/>
  <c r="D47" i="79"/>
  <c r="AE31" i="79"/>
  <c r="AD31" i="79" s="1"/>
  <c r="AA31" i="79"/>
  <c r="Y31" i="79"/>
  <c r="X31" i="79"/>
  <c r="W31" i="79"/>
  <c r="V31" i="79"/>
  <c r="U31" i="79"/>
  <c r="N31" i="79"/>
  <c r="AB31" i="79" s="1"/>
  <c r="I31" i="79"/>
  <c r="H31" i="79"/>
  <c r="G31" i="79"/>
  <c r="F31" i="79"/>
  <c r="E31" i="79"/>
  <c r="D31" i="79"/>
  <c r="AE30" i="79"/>
  <c r="AD30" i="79" s="1"/>
  <c r="AA30" i="79"/>
  <c r="Y30" i="79"/>
  <c r="X30" i="79"/>
  <c r="W30" i="79"/>
  <c r="V30" i="79"/>
  <c r="U30" i="79"/>
  <c r="N30" i="79"/>
  <c r="AB30" i="79" s="1"/>
  <c r="I30" i="79"/>
  <c r="H30" i="79"/>
  <c r="G30" i="79"/>
  <c r="F30" i="79"/>
  <c r="E30" i="79"/>
  <c r="D30" i="79"/>
  <c r="AE29" i="79"/>
  <c r="AD29" i="79" s="1"/>
  <c r="AA29" i="79"/>
  <c r="Y29" i="79"/>
  <c r="X29" i="79"/>
  <c r="W29" i="79"/>
  <c r="V29" i="79"/>
  <c r="U29" i="79"/>
  <c r="N29" i="79"/>
  <c r="AB29" i="79" s="1"/>
  <c r="I29" i="79"/>
  <c r="H29" i="79"/>
  <c r="G29" i="79"/>
  <c r="F29" i="79"/>
  <c r="E29" i="79"/>
  <c r="D29" i="79"/>
  <c r="AE28" i="79"/>
  <c r="AD28" i="79" s="1"/>
  <c r="Y28" i="79"/>
  <c r="X28" i="79"/>
  <c r="W28" i="79"/>
  <c r="V28" i="79"/>
  <c r="U28" i="79"/>
  <c r="N28" i="79"/>
  <c r="I28" i="79"/>
  <c r="H28" i="79"/>
  <c r="G28" i="79"/>
  <c r="F28" i="79"/>
  <c r="E28" i="79"/>
  <c r="D28" i="79"/>
  <c r="AA32" i="79"/>
  <c r="Y32" i="79"/>
  <c r="X32" i="79"/>
  <c r="W32" i="79"/>
  <c r="V32" i="79"/>
  <c r="U32" i="79"/>
  <c r="N32" i="79"/>
  <c r="AB32" i="79" s="1"/>
  <c r="I32" i="79"/>
  <c r="H32" i="79"/>
  <c r="G32" i="79"/>
  <c r="F32" i="79"/>
  <c r="E32" i="79"/>
  <c r="AE12" i="79"/>
  <c r="Y12" i="79"/>
  <c r="X12" i="79"/>
  <c r="W12" i="79"/>
  <c r="V12" i="79"/>
  <c r="U12" i="79"/>
  <c r="N12" i="79"/>
  <c r="I12" i="79"/>
  <c r="H12" i="79"/>
  <c r="G12" i="79"/>
  <c r="F12" i="79"/>
  <c r="E12" i="79"/>
  <c r="D12" i="79"/>
  <c r="AE11" i="79"/>
  <c r="Y11" i="79"/>
  <c r="X11" i="79"/>
  <c r="W11" i="79"/>
  <c r="V11" i="79"/>
  <c r="U11" i="79"/>
  <c r="N11" i="79"/>
  <c r="I11" i="79"/>
  <c r="H11" i="79"/>
  <c r="G11" i="79"/>
  <c r="F11" i="79"/>
  <c r="E11" i="79"/>
  <c r="D11" i="79"/>
  <c r="AE10" i="79"/>
  <c r="Y10" i="79"/>
  <c r="X10" i="79"/>
  <c r="W10" i="79"/>
  <c r="V10" i="79"/>
  <c r="U10" i="79"/>
  <c r="N10" i="79"/>
  <c r="I10" i="79"/>
  <c r="H10" i="79"/>
  <c r="G10" i="79"/>
  <c r="F10" i="79"/>
  <c r="E10" i="79"/>
  <c r="D10" i="79"/>
  <c r="AE9" i="79"/>
  <c r="Y9" i="79"/>
  <c r="X9" i="79"/>
  <c r="W9" i="79"/>
  <c r="V9" i="79"/>
  <c r="U9" i="79"/>
  <c r="N9" i="79"/>
  <c r="I9" i="79"/>
  <c r="H9" i="79"/>
  <c r="G9" i="79"/>
  <c r="F9" i="79"/>
  <c r="E9" i="79"/>
  <c r="D9" i="79"/>
  <c r="E34" i="81"/>
  <c r="E33" i="81"/>
  <c r="E32" i="81"/>
  <c r="E31" i="81"/>
  <c r="E30" i="81"/>
  <c r="F6" i="81"/>
  <c r="X7" i="81"/>
  <c r="U7" i="81"/>
  <c r="F9" i="80"/>
  <c r="G21" i="36" s="1"/>
  <c r="H8" i="80"/>
  <c r="X102" i="79"/>
  <c r="U102" i="79"/>
  <c r="AB88" i="79"/>
  <c r="Z88" i="79"/>
  <c r="AD88" i="79"/>
  <c r="H145" i="79"/>
  <c r="G6" i="80" s="1"/>
  <c r="AB86" i="79"/>
  <c r="Z86" i="79"/>
  <c r="AD86" i="79"/>
  <c r="H143" i="79"/>
  <c r="G4" i="80" s="1"/>
  <c r="X83" i="79"/>
  <c r="U83" i="79"/>
  <c r="N71" i="79"/>
  <c r="L71" i="79"/>
  <c r="J71" i="79"/>
  <c r="Z70" i="79"/>
  <c r="AB69" i="79"/>
  <c r="Z69" i="79"/>
  <c r="AB68" i="79"/>
  <c r="Z68" i="79"/>
  <c r="AB67" i="79"/>
  <c r="Z67" i="79"/>
  <c r="AB66" i="79"/>
  <c r="Z66" i="79"/>
  <c r="X64" i="79"/>
  <c r="U64" i="79"/>
  <c r="L52" i="79"/>
  <c r="J52" i="79"/>
  <c r="Z51" i="79"/>
  <c r="Z50" i="79"/>
  <c r="Z49" i="79"/>
  <c r="Z48" i="79"/>
  <c r="Z47" i="79"/>
  <c r="X45" i="79"/>
  <c r="U45" i="79"/>
  <c r="L33" i="79"/>
  <c r="J33" i="79"/>
  <c r="Z32" i="79"/>
  <c r="Z31" i="79"/>
  <c r="Z30" i="79"/>
  <c r="Z29" i="79"/>
  <c r="Z28" i="79"/>
  <c r="X26" i="79"/>
  <c r="U26" i="79"/>
  <c r="L107" i="79"/>
  <c r="L106" i="79"/>
  <c r="L105" i="79"/>
  <c r="L104" i="79"/>
  <c r="L43" i="90" s="1"/>
  <c r="X7" i="79"/>
  <c r="U7" i="79"/>
  <c r="F25" i="56"/>
  <c r="L129" i="75" s="1"/>
  <c r="F24" i="56"/>
  <c r="L128" i="75" s="1"/>
  <c r="F23" i="56"/>
  <c r="L127" i="75" s="1"/>
  <c r="F22" i="56"/>
  <c r="L126" i="75" s="1"/>
  <c r="F21" i="56"/>
  <c r="L125" i="75" s="1"/>
  <c r="L21" i="91" s="1"/>
  <c r="F7" i="56"/>
  <c r="D129" i="75" s="1"/>
  <c r="F6" i="56"/>
  <c r="D128" i="75" s="1"/>
  <c r="F5" i="56"/>
  <c r="D127" i="75" s="1"/>
  <c r="F4" i="56"/>
  <c r="F3" i="56"/>
  <c r="D125" i="75" s="1"/>
  <c r="L8" i="77"/>
  <c r="L7" i="77"/>
  <c r="L6" i="77"/>
  <c r="L4" i="77"/>
  <c r="L3" i="77"/>
  <c r="H8" i="77"/>
  <c r="C9" i="77"/>
  <c r="AE70" i="75"/>
  <c r="AD70" i="75" s="1"/>
  <c r="Y70" i="75"/>
  <c r="X70" i="75"/>
  <c r="W70" i="75"/>
  <c r="V70" i="75"/>
  <c r="U70" i="75"/>
  <c r="I70" i="75"/>
  <c r="H70" i="75"/>
  <c r="G70" i="75"/>
  <c r="F70" i="75"/>
  <c r="E70" i="75"/>
  <c r="D70" i="75"/>
  <c r="AE69" i="75"/>
  <c r="AD69" i="75" s="1"/>
  <c r="Y69" i="75"/>
  <c r="X69" i="75"/>
  <c r="W69" i="75"/>
  <c r="V69" i="75"/>
  <c r="U69" i="75"/>
  <c r="I69" i="75"/>
  <c r="H69" i="75"/>
  <c r="G69" i="75"/>
  <c r="F69" i="75"/>
  <c r="E69" i="75"/>
  <c r="D69" i="75"/>
  <c r="AE68" i="75"/>
  <c r="AD68" i="75" s="1"/>
  <c r="Y68" i="75"/>
  <c r="X68" i="75"/>
  <c r="W68" i="75"/>
  <c r="V68" i="75"/>
  <c r="U68" i="75"/>
  <c r="I68" i="75"/>
  <c r="H68" i="75"/>
  <c r="G68" i="75"/>
  <c r="F68" i="75"/>
  <c r="E68" i="75"/>
  <c r="D68" i="75"/>
  <c r="AE67" i="75"/>
  <c r="AD67" i="75" s="1"/>
  <c r="Y67" i="75"/>
  <c r="X67" i="75"/>
  <c r="W67" i="75"/>
  <c r="V67" i="75"/>
  <c r="U67" i="75"/>
  <c r="I67" i="75"/>
  <c r="H67" i="75"/>
  <c r="G67" i="75"/>
  <c r="F67" i="75"/>
  <c r="E67" i="75"/>
  <c r="D67" i="75"/>
  <c r="AE51" i="75"/>
  <c r="AD51" i="75" s="1"/>
  <c r="N51" i="75"/>
  <c r="AB51" i="75" s="1"/>
  <c r="I51" i="75"/>
  <c r="H51" i="75"/>
  <c r="F51" i="75"/>
  <c r="E51" i="75"/>
  <c r="D51" i="75"/>
  <c r="AE50" i="75"/>
  <c r="AD50" i="75" s="1"/>
  <c r="Y50" i="75"/>
  <c r="X50" i="75"/>
  <c r="W50" i="75"/>
  <c r="V50" i="75"/>
  <c r="U50" i="75"/>
  <c r="N50" i="75"/>
  <c r="I50" i="75"/>
  <c r="H50" i="75"/>
  <c r="G50" i="75"/>
  <c r="F50" i="75"/>
  <c r="E50" i="75"/>
  <c r="D50" i="75"/>
  <c r="AE49" i="75"/>
  <c r="AD49" i="75" s="1"/>
  <c r="Y49" i="75"/>
  <c r="X49" i="75"/>
  <c r="W49" i="75"/>
  <c r="V49" i="75"/>
  <c r="U49" i="75"/>
  <c r="N49" i="75"/>
  <c r="AB49" i="75" s="1"/>
  <c r="I49" i="75"/>
  <c r="H49" i="75"/>
  <c r="G49" i="75"/>
  <c r="F49" i="75"/>
  <c r="E49" i="75"/>
  <c r="D49" i="75"/>
  <c r="AE48" i="75"/>
  <c r="AD48" i="75" s="1"/>
  <c r="Y48" i="75"/>
  <c r="X48" i="75"/>
  <c r="W48" i="75"/>
  <c r="V48" i="75"/>
  <c r="U48" i="75"/>
  <c r="N48" i="75"/>
  <c r="I48" i="75"/>
  <c r="H48" i="75"/>
  <c r="G48" i="75"/>
  <c r="F48" i="75"/>
  <c r="E48" i="75"/>
  <c r="D48" i="75"/>
  <c r="AE47" i="75"/>
  <c r="Y47" i="75"/>
  <c r="X47" i="75"/>
  <c r="W47" i="75"/>
  <c r="V47" i="75"/>
  <c r="U47" i="75"/>
  <c r="N47" i="75"/>
  <c r="I47" i="75"/>
  <c r="H47" i="75"/>
  <c r="G47" i="75"/>
  <c r="F47" i="75"/>
  <c r="E47" i="75"/>
  <c r="D47" i="75"/>
  <c r="F9" i="77"/>
  <c r="G20" i="36" s="1"/>
  <c r="E34" i="76"/>
  <c r="E33" i="76"/>
  <c r="E32" i="76"/>
  <c r="E31" i="76"/>
  <c r="E30" i="76"/>
  <c r="X7" i="76"/>
  <c r="U7" i="76"/>
  <c r="F6" i="76"/>
  <c r="I147" i="75"/>
  <c r="O29" i="36" s="1"/>
  <c r="X102" i="75"/>
  <c r="U102" i="75"/>
  <c r="L90" i="75"/>
  <c r="K89" i="75"/>
  <c r="M89" i="75" s="1"/>
  <c r="O89" i="75" s="1"/>
  <c r="Z88" i="75"/>
  <c r="Z86" i="75"/>
  <c r="Z85" i="75"/>
  <c r="X83" i="75"/>
  <c r="U83" i="75"/>
  <c r="N71" i="75"/>
  <c r="L71" i="75"/>
  <c r="J71" i="75"/>
  <c r="AB70" i="75"/>
  <c r="Z70" i="75"/>
  <c r="AB69" i="75"/>
  <c r="Z69" i="75"/>
  <c r="AB68" i="75"/>
  <c r="Z68" i="75"/>
  <c r="AB67" i="75"/>
  <c r="Z67" i="75"/>
  <c r="AB66" i="75"/>
  <c r="Z66" i="75"/>
  <c r="X64" i="75"/>
  <c r="U64" i="75"/>
  <c r="L52" i="75"/>
  <c r="J52" i="75"/>
  <c r="Z51" i="75"/>
  <c r="Z50" i="75"/>
  <c r="Z49" i="75"/>
  <c r="Z48" i="75"/>
  <c r="Z47" i="75"/>
  <c r="X45" i="75"/>
  <c r="U45" i="75"/>
  <c r="L33" i="75"/>
  <c r="J33" i="75"/>
  <c r="Z32" i="75"/>
  <c r="Z31" i="75"/>
  <c r="Z30" i="75"/>
  <c r="Z29" i="75"/>
  <c r="Z28" i="75"/>
  <c r="X26" i="75"/>
  <c r="U26" i="75"/>
  <c r="L108" i="75"/>
  <c r="Z12" i="75"/>
  <c r="L107" i="75"/>
  <c r="L106" i="75"/>
  <c r="L105" i="75"/>
  <c r="L104" i="75"/>
  <c r="L26" i="90" s="1"/>
  <c r="X7" i="75"/>
  <c r="U7" i="75"/>
  <c r="AE69" i="22"/>
  <c r="AD69" i="22" s="1"/>
  <c r="Y69" i="22"/>
  <c r="X69" i="22"/>
  <c r="W69" i="22"/>
  <c r="V69" i="22"/>
  <c r="U69" i="22"/>
  <c r="I69" i="22"/>
  <c r="H69" i="22"/>
  <c r="G69" i="22"/>
  <c r="F69" i="22"/>
  <c r="E69" i="22"/>
  <c r="D69" i="22"/>
  <c r="AE68" i="22"/>
  <c r="AD68" i="22" s="1"/>
  <c r="Y68" i="22"/>
  <c r="X68" i="22"/>
  <c r="W68" i="22"/>
  <c r="V68" i="22"/>
  <c r="U68" i="22"/>
  <c r="I68" i="22"/>
  <c r="H68" i="22"/>
  <c r="G68" i="22"/>
  <c r="F68" i="22"/>
  <c r="E68" i="22"/>
  <c r="D68" i="22"/>
  <c r="Z70" i="22"/>
  <c r="AB69" i="22"/>
  <c r="Z69" i="22"/>
  <c r="AB68" i="22"/>
  <c r="Z68" i="22"/>
  <c r="AB67" i="22"/>
  <c r="Z67" i="22"/>
  <c r="E28" i="75"/>
  <c r="AE28" i="22"/>
  <c r="Y28" i="22"/>
  <c r="X28" i="22"/>
  <c r="W28" i="22"/>
  <c r="V28" i="22"/>
  <c r="U28" i="22"/>
  <c r="N28" i="22"/>
  <c r="I28" i="22"/>
  <c r="H28" i="22"/>
  <c r="G28" i="22"/>
  <c r="F28" i="22"/>
  <c r="E28" i="22"/>
  <c r="D70" i="85"/>
  <c r="Y70" i="85"/>
  <c r="X70" i="85"/>
  <c r="W70" i="85"/>
  <c r="V70" i="85"/>
  <c r="U70" i="85"/>
  <c r="I70" i="85"/>
  <c r="H70" i="85"/>
  <c r="G70" i="85"/>
  <c r="F70" i="85"/>
  <c r="E70" i="85"/>
  <c r="AE70" i="85"/>
  <c r="Y70" i="79"/>
  <c r="X70" i="79"/>
  <c r="W70" i="79"/>
  <c r="V70" i="79"/>
  <c r="U70" i="79"/>
  <c r="I70" i="79"/>
  <c r="H70" i="79"/>
  <c r="G70" i="79"/>
  <c r="F70" i="79"/>
  <c r="E70" i="79"/>
  <c r="AE70" i="79"/>
  <c r="D70" i="79"/>
  <c r="Y67" i="85"/>
  <c r="X67" i="85"/>
  <c r="W67" i="85"/>
  <c r="V67" i="85"/>
  <c r="U67" i="85"/>
  <c r="I67" i="85"/>
  <c r="H67" i="85"/>
  <c r="G67" i="85"/>
  <c r="F67" i="85"/>
  <c r="E67" i="85"/>
  <c r="AE67" i="85"/>
  <c r="D67" i="85"/>
  <c r="Y66" i="75"/>
  <c r="X66" i="75"/>
  <c r="W66" i="75"/>
  <c r="V66" i="75"/>
  <c r="U66" i="75"/>
  <c r="I66" i="75"/>
  <c r="H66" i="75"/>
  <c r="G66" i="75"/>
  <c r="F66" i="75"/>
  <c r="E66" i="75"/>
  <c r="AE66" i="75"/>
  <c r="D66" i="75"/>
  <c r="AE66" i="86"/>
  <c r="AA32" i="86"/>
  <c r="X32" i="86"/>
  <c r="W32" i="86"/>
  <c r="V32" i="86"/>
  <c r="N32" i="86"/>
  <c r="AB32" i="86" s="1"/>
  <c r="I32" i="86"/>
  <c r="H32" i="86"/>
  <c r="G32" i="86"/>
  <c r="F32" i="86"/>
  <c r="E32" i="86"/>
  <c r="AE32" i="86"/>
  <c r="AD32" i="86" s="1"/>
  <c r="D32" i="86"/>
  <c r="AA32" i="85"/>
  <c r="Y32" i="85"/>
  <c r="X32" i="85"/>
  <c r="W32" i="85"/>
  <c r="V32" i="85"/>
  <c r="U32" i="85"/>
  <c r="N32" i="85"/>
  <c r="I32" i="85"/>
  <c r="H32" i="85"/>
  <c r="G32" i="85"/>
  <c r="F32" i="85"/>
  <c r="E32" i="85"/>
  <c r="AE32" i="85"/>
  <c r="D32" i="85"/>
  <c r="AE32" i="79"/>
  <c r="D32" i="79"/>
  <c r="AA32" i="75"/>
  <c r="Y32" i="75"/>
  <c r="X32" i="75"/>
  <c r="W32" i="75"/>
  <c r="V32" i="75"/>
  <c r="U32" i="75"/>
  <c r="N32" i="75"/>
  <c r="AB32" i="75" s="1"/>
  <c r="I32" i="75"/>
  <c r="H32" i="75"/>
  <c r="G32" i="75"/>
  <c r="F32" i="75"/>
  <c r="E32" i="75"/>
  <c r="AE32" i="75"/>
  <c r="AD32" i="75" s="1"/>
  <c r="D32" i="75"/>
  <c r="AA31" i="86"/>
  <c r="W31" i="86"/>
  <c r="V31" i="86"/>
  <c r="I31" i="86"/>
  <c r="H31" i="86"/>
  <c r="G31" i="86"/>
  <c r="F31" i="86"/>
  <c r="E31" i="86"/>
  <c r="AE31" i="86"/>
  <c r="AD31" i="86" s="1"/>
  <c r="D31" i="86"/>
  <c r="AA31" i="85"/>
  <c r="Y31" i="85"/>
  <c r="X31" i="85"/>
  <c r="W31" i="85"/>
  <c r="V31" i="85"/>
  <c r="U31" i="85"/>
  <c r="N31" i="85"/>
  <c r="I31" i="85"/>
  <c r="H31" i="85"/>
  <c r="G31" i="85"/>
  <c r="F31" i="85"/>
  <c r="E31" i="85"/>
  <c r="AE31" i="85"/>
  <c r="D31" i="85"/>
  <c r="AA31" i="75"/>
  <c r="Y31" i="75"/>
  <c r="X31" i="75"/>
  <c r="W31" i="75"/>
  <c r="V31" i="75"/>
  <c r="U31" i="75"/>
  <c r="N31" i="75"/>
  <c r="AB31" i="75" s="1"/>
  <c r="I31" i="75"/>
  <c r="H31" i="75"/>
  <c r="G31" i="75"/>
  <c r="F31" i="75"/>
  <c r="E31" i="75"/>
  <c r="AE31" i="75"/>
  <c r="AD31" i="75" s="1"/>
  <c r="D31" i="75"/>
  <c r="AA30" i="86"/>
  <c r="Y30" i="86"/>
  <c r="V30" i="86"/>
  <c r="U30" i="86"/>
  <c r="H30" i="86"/>
  <c r="G30" i="86"/>
  <c r="D30" i="86"/>
  <c r="AA30" i="85"/>
  <c r="Y30" i="85"/>
  <c r="X30" i="85"/>
  <c r="W30" i="85"/>
  <c r="V30" i="85"/>
  <c r="U30" i="85"/>
  <c r="N30" i="85"/>
  <c r="AB30" i="85" s="1"/>
  <c r="I30" i="85"/>
  <c r="H30" i="85"/>
  <c r="G30" i="85"/>
  <c r="F30" i="85"/>
  <c r="E30" i="85"/>
  <c r="AE30" i="85"/>
  <c r="AD30" i="85" s="1"/>
  <c r="D30" i="85"/>
  <c r="AA30" i="75"/>
  <c r="Y30" i="75"/>
  <c r="X30" i="75"/>
  <c r="W30" i="75"/>
  <c r="V30" i="75"/>
  <c r="U30" i="75"/>
  <c r="N30" i="75"/>
  <c r="AB30" i="75" s="1"/>
  <c r="I30" i="75"/>
  <c r="H30" i="75"/>
  <c r="G30" i="75"/>
  <c r="F30" i="75"/>
  <c r="E30" i="75"/>
  <c r="AE30" i="75"/>
  <c r="AD30" i="75" s="1"/>
  <c r="D30" i="75"/>
  <c r="AA30" i="22"/>
  <c r="Y30" i="22"/>
  <c r="X30" i="22"/>
  <c r="W30" i="22"/>
  <c r="V30" i="22"/>
  <c r="U30" i="22"/>
  <c r="N30" i="22"/>
  <c r="I30" i="22"/>
  <c r="H30" i="22"/>
  <c r="G30" i="22"/>
  <c r="F30" i="22"/>
  <c r="E30" i="22"/>
  <c r="AE30" i="22"/>
  <c r="D30" i="22"/>
  <c r="AA29" i="86"/>
  <c r="Y29" i="86"/>
  <c r="X29" i="86"/>
  <c r="W29" i="86"/>
  <c r="V29" i="86"/>
  <c r="U29" i="86"/>
  <c r="N29" i="86"/>
  <c r="AB29" i="86" s="1"/>
  <c r="I29" i="86"/>
  <c r="H29" i="86"/>
  <c r="G29" i="86"/>
  <c r="F29" i="86"/>
  <c r="E29" i="86"/>
  <c r="AE29" i="86"/>
  <c r="AD29" i="86" s="1"/>
  <c r="D29" i="86"/>
  <c r="AA29" i="85"/>
  <c r="Y29" i="85"/>
  <c r="X29" i="85"/>
  <c r="W29" i="85"/>
  <c r="V29" i="85"/>
  <c r="U29" i="85"/>
  <c r="N29" i="85"/>
  <c r="AB29" i="85" s="1"/>
  <c r="I29" i="85"/>
  <c r="H29" i="85"/>
  <c r="G29" i="85"/>
  <c r="F29" i="85"/>
  <c r="E29" i="85"/>
  <c r="AE29" i="85"/>
  <c r="AD29" i="85" s="1"/>
  <c r="D29" i="85"/>
  <c r="AA29" i="75"/>
  <c r="Y29" i="75"/>
  <c r="X29" i="75"/>
  <c r="W29" i="75"/>
  <c r="V29" i="75"/>
  <c r="U29" i="75"/>
  <c r="N29" i="75"/>
  <c r="AB29" i="75" s="1"/>
  <c r="I29" i="75"/>
  <c r="H29" i="75"/>
  <c r="G29" i="75"/>
  <c r="F29" i="75"/>
  <c r="E29" i="75"/>
  <c r="AE29" i="75"/>
  <c r="AD29" i="75" s="1"/>
  <c r="D29" i="75"/>
  <c r="AA29" i="22"/>
  <c r="Y29" i="22"/>
  <c r="X29" i="22"/>
  <c r="W29" i="22"/>
  <c r="V29" i="22"/>
  <c r="U29" i="22"/>
  <c r="N29" i="22"/>
  <c r="I29" i="22"/>
  <c r="H29" i="22"/>
  <c r="G29" i="22"/>
  <c r="F29" i="22"/>
  <c r="E29" i="22"/>
  <c r="AE29" i="22"/>
  <c r="D29" i="22"/>
  <c r="AA28" i="86"/>
  <c r="Y28" i="86"/>
  <c r="X28" i="86"/>
  <c r="W28" i="86"/>
  <c r="V28" i="86"/>
  <c r="U28" i="86"/>
  <c r="H28" i="86"/>
  <c r="G28" i="86"/>
  <c r="D28" i="86"/>
  <c r="Y28" i="85"/>
  <c r="X28" i="85"/>
  <c r="W28" i="85"/>
  <c r="V28" i="85"/>
  <c r="U28" i="85"/>
  <c r="N28" i="85"/>
  <c r="I28" i="85"/>
  <c r="H28" i="85"/>
  <c r="G28" i="85"/>
  <c r="F28" i="85"/>
  <c r="E28" i="85"/>
  <c r="AE28" i="85"/>
  <c r="D28" i="85"/>
  <c r="AA28" i="75"/>
  <c r="Y28" i="75"/>
  <c r="X28" i="75"/>
  <c r="W28" i="75"/>
  <c r="V28" i="75"/>
  <c r="U28" i="75"/>
  <c r="N28" i="75"/>
  <c r="I28" i="75"/>
  <c r="H28" i="75"/>
  <c r="G28" i="75"/>
  <c r="F28" i="75"/>
  <c r="AE28" i="75"/>
  <c r="D28" i="75"/>
  <c r="D28" i="22"/>
  <c r="Y51" i="85"/>
  <c r="X51" i="85"/>
  <c r="W51" i="85"/>
  <c r="V51" i="85"/>
  <c r="U51" i="85"/>
  <c r="N51" i="85"/>
  <c r="I51" i="85"/>
  <c r="H51" i="85"/>
  <c r="G51" i="85"/>
  <c r="F51" i="85"/>
  <c r="E51" i="85"/>
  <c r="AE51" i="85"/>
  <c r="D51" i="85"/>
  <c r="Y13" i="85"/>
  <c r="X13" i="85"/>
  <c r="W13" i="85"/>
  <c r="V13" i="85"/>
  <c r="U13" i="85"/>
  <c r="N13" i="85"/>
  <c r="I13" i="85"/>
  <c r="H13" i="85"/>
  <c r="G13" i="85"/>
  <c r="F13" i="85"/>
  <c r="E13" i="85"/>
  <c r="D13" i="85"/>
  <c r="AE51" i="79"/>
  <c r="Y51" i="79"/>
  <c r="X51" i="79"/>
  <c r="W51" i="79"/>
  <c r="V51" i="79"/>
  <c r="U51" i="79"/>
  <c r="N51" i="79"/>
  <c r="I51" i="79"/>
  <c r="H51" i="79"/>
  <c r="G51" i="79"/>
  <c r="F51" i="79"/>
  <c r="E51" i="79"/>
  <c r="D51" i="79"/>
  <c r="Y13" i="79"/>
  <c r="X13" i="79"/>
  <c r="W13" i="79"/>
  <c r="V13" i="79"/>
  <c r="U13" i="79"/>
  <c r="N13" i="79"/>
  <c r="I13" i="79"/>
  <c r="H13" i="79"/>
  <c r="G13" i="79"/>
  <c r="F13" i="79"/>
  <c r="E13" i="79"/>
  <c r="AE13" i="79"/>
  <c r="D13" i="79"/>
  <c r="Y13" i="75"/>
  <c r="X13" i="75"/>
  <c r="W13" i="75"/>
  <c r="V13" i="75"/>
  <c r="U13" i="75"/>
  <c r="N13" i="75"/>
  <c r="I13" i="75"/>
  <c r="H13" i="75"/>
  <c r="G13" i="75"/>
  <c r="F13" i="75"/>
  <c r="E13" i="75"/>
  <c r="D13" i="75"/>
  <c r="Y13" i="22"/>
  <c r="X13" i="22"/>
  <c r="W13" i="22"/>
  <c r="V13" i="22"/>
  <c r="U13" i="22"/>
  <c r="I13" i="22"/>
  <c r="H13" i="22"/>
  <c r="G13" i="22"/>
  <c r="F13" i="22"/>
  <c r="E13" i="22"/>
  <c r="D13" i="22"/>
  <c r="Y12" i="85"/>
  <c r="X12" i="85"/>
  <c r="W12" i="85"/>
  <c r="V12" i="85"/>
  <c r="U12" i="85"/>
  <c r="N12" i="85"/>
  <c r="I12" i="85"/>
  <c r="H12" i="85"/>
  <c r="G12" i="85"/>
  <c r="F12" i="85"/>
  <c r="E12" i="85"/>
  <c r="D12" i="85"/>
  <c r="E12" i="75"/>
  <c r="D12" i="75"/>
  <c r="E12" i="22"/>
  <c r="D12" i="22"/>
  <c r="AE104" i="75" l="1"/>
  <c r="I17" i="56"/>
  <c r="I18" i="56" s="1"/>
  <c r="D145" i="97"/>
  <c r="L145" i="97" s="1"/>
  <c r="M145" i="97" s="1"/>
  <c r="D128" i="79"/>
  <c r="O33" i="36"/>
  <c r="D131" i="97"/>
  <c r="L127" i="79"/>
  <c r="L37" i="91" s="1"/>
  <c r="L128" i="79"/>
  <c r="L38" i="91" s="1"/>
  <c r="L129" i="79"/>
  <c r="L34" i="81" s="1"/>
  <c r="K127" i="79"/>
  <c r="K32" i="81" s="1"/>
  <c r="K128" i="79"/>
  <c r="K129" i="79"/>
  <c r="K34" i="81" s="1"/>
  <c r="L125" i="79"/>
  <c r="K126" i="79"/>
  <c r="L126" i="79"/>
  <c r="J125" i="79"/>
  <c r="J30" i="81" s="1"/>
  <c r="J129" i="79"/>
  <c r="J34" i="81" s="1"/>
  <c r="E3" i="36"/>
  <c r="G24" i="36"/>
  <c r="C15" i="83"/>
  <c r="D23" i="36"/>
  <c r="C15" i="77"/>
  <c r="D20" i="36"/>
  <c r="K29" i="22"/>
  <c r="K28" i="22"/>
  <c r="F143" i="22"/>
  <c r="D104" i="86"/>
  <c r="D93" i="90" s="1"/>
  <c r="D101" i="79"/>
  <c r="D6" i="81" s="1"/>
  <c r="D25" i="79"/>
  <c r="F142" i="22"/>
  <c r="F144" i="22"/>
  <c r="F145" i="85"/>
  <c r="J127" i="22"/>
  <c r="J8" i="91" s="1"/>
  <c r="G144" i="22"/>
  <c r="J128" i="22"/>
  <c r="J9" i="91" s="1"/>
  <c r="G145" i="22"/>
  <c r="D44" i="79"/>
  <c r="D82" i="79"/>
  <c r="L34" i="76"/>
  <c r="L25" i="91"/>
  <c r="L13" i="76"/>
  <c r="L30" i="90"/>
  <c r="K3" i="77"/>
  <c r="D21" i="91"/>
  <c r="L11" i="81"/>
  <c r="L45" i="90"/>
  <c r="L9" i="88"/>
  <c r="L93" i="90"/>
  <c r="K33" i="88"/>
  <c r="K80" i="91"/>
  <c r="L12" i="81"/>
  <c r="L46" i="90"/>
  <c r="L11" i="82"/>
  <c r="L78" i="90"/>
  <c r="J10" i="88"/>
  <c r="J94" i="90"/>
  <c r="K32" i="82"/>
  <c r="K65" i="91"/>
  <c r="L12" i="82"/>
  <c r="L79" i="90"/>
  <c r="L11" i="88"/>
  <c r="L95" i="90"/>
  <c r="L31" i="88"/>
  <c r="L78" i="91"/>
  <c r="L10" i="82"/>
  <c r="L77" i="90"/>
  <c r="K7" i="77"/>
  <c r="D25" i="91"/>
  <c r="L13" i="82"/>
  <c r="L80" i="90"/>
  <c r="L32" i="88"/>
  <c r="L79" i="91"/>
  <c r="K31" i="81"/>
  <c r="L32" i="82"/>
  <c r="L65" i="91"/>
  <c r="L12" i="88"/>
  <c r="L96" i="90"/>
  <c r="K7" i="87"/>
  <c r="D81" i="91"/>
  <c r="L33" i="88"/>
  <c r="L80" i="91"/>
  <c r="K34" i="88"/>
  <c r="K81" i="91"/>
  <c r="L10" i="81"/>
  <c r="L44" i="90"/>
  <c r="J13" i="88"/>
  <c r="J97" i="90"/>
  <c r="K31" i="88"/>
  <c r="K78" i="91"/>
  <c r="L34" i="88"/>
  <c r="L81" i="91"/>
  <c r="J9" i="88"/>
  <c r="J93" i="90"/>
  <c r="L13" i="88"/>
  <c r="L97" i="90"/>
  <c r="K32" i="88"/>
  <c r="K79" i="91"/>
  <c r="K34" i="82"/>
  <c r="K67" i="91"/>
  <c r="K33" i="82"/>
  <c r="K66" i="91"/>
  <c r="L33" i="82"/>
  <c r="L66" i="91"/>
  <c r="L33" i="76"/>
  <c r="L24" i="91"/>
  <c r="L32" i="76"/>
  <c r="L23" i="91"/>
  <c r="L31" i="76"/>
  <c r="L22" i="91"/>
  <c r="J33" i="88"/>
  <c r="J80" i="91"/>
  <c r="J34" i="88"/>
  <c r="J81" i="91"/>
  <c r="J31" i="88"/>
  <c r="J78" i="91"/>
  <c r="K6" i="77"/>
  <c r="D24" i="91"/>
  <c r="D32" i="82"/>
  <c r="D65" i="91"/>
  <c r="K5" i="77"/>
  <c r="D23" i="91"/>
  <c r="L12" i="76"/>
  <c r="L29" i="90"/>
  <c r="L11" i="76"/>
  <c r="L28" i="90"/>
  <c r="L10" i="76"/>
  <c r="L27" i="90"/>
  <c r="H125" i="86"/>
  <c r="K26" i="79"/>
  <c r="Y26" i="79" s="1"/>
  <c r="K131" i="85"/>
  <c r="K69" i="91" s="1"/>
  <c r="K31" i="82"/>
  <c r="L131" i="86"/>
  <c r="L83" i="91" s="1"/>
  <c r="L30" i="88"/>
  <c r="H125" i="79"/>
  <c r="H128" i="85"/>
  <c r="H129" i="75"/>
  <c r="H129" i="85"/>
  <c r="G128" i="86"/>
  <c r="L131" i="75"/>
  <c r="L27" i="91" s="1"/>
  <c r="L30" i="76"/>
  <c r="L131" i="85"/>
  <c r="L69" i="91" s="1"/>
  <c r="L30" i="82"/>
  <c r="G126" i="86"/>
  <c r="K131" i="86"/>
  <c r="K83" i="91" s="1"/>
  <c r="H127" i="79"/>
  <c r="H129" i="79"/>
  <c r="M6" i="77"/>
  <c r="J128" i="75"/>
  <c r="M5" i="77"/>
  <c r="J127" i="75"/>
  <c r="M4" i="80"/>
  <c r="J126" i="79"/>
  <c r="M3" i="87"/>
  <c r="J125" i="86"/>
  <c r="M5" i="87"/>
  <c r="J127" i="86"/>
  <c r="M5" i="80"/>
  <c r="J127" i="79"/>
  <c r="G144" i="85"/>
  <c r="J127" i="85"/>
  <c r="M7" i="77"/>
  <c r="J129" i="75"/>
  <c r="M6" i="80"/>
  <c r="J128" i="79"/>
  <c r="G145" i="85"/>
  <c r="J128" i="85"/>
  <c r="M7" i="83"/>
  <c r="J129" i="85"/>
  <c r="M4" i="77"/>
  <c r="J126" i="75"/>
  <c r="M4" i="83"/>
  <c r="J126" i="85"/>
  <c r="M3" i="83"/>
  <c r="J125" i="85"/>
  <c r="M3" i="77"/>
  <c r="J125" i="75"/>
  <c r="M3" i="80"/>
  <c r="H125" i="75"/>
  <c r="H127" i="85"/>
  <c r="H126" i="85"/>
  <c r="H128" i="86"/>
  <c r="H129" i="86"/>
  <c r="H128" i="75"/>
  <c r="H126" i="75"/>
  <c r="H126" i="86"/>
  <c r="H127" i="75"/>
  <c r="H127" i="86"/>
  <c r="H126" i="79"/>
  <c r="H128" i="79"/>
  <c r="H125" i="85"/>
  <c r="G126" i="75"/>
  <c r="G128" i="75"/>
  <c r="G24" i="91" s="1"/>
  <c r="G126" i="79"/>
  <c r="G128" i="79"/>
  <c r="G128" i="85"/>
  <c r="G125" i="86"/>
  <c r="G127" i="86"/>
  <c r="G129" i="86"/>
  <c r="G129" i="85"/>
  <c r="G129" i="79"/>
  <c r="G127" i="75"/>
  <c r="G129" i="75"/>
  <c r="G25" i="91" s="1"/>
  <c r="G127" i="79"/>
  <c r="G125" i="85"/>
  <c r="G125" i="75"/>
  <c r="G125" i="79"/>
  <c r="G26" i="85"/>
  <c r="V26" i="85" s="1"/>
  <c r="V7" i="85"/>
  <c r="N60" i="85"/>
  <c r="AD60" i="85" s="1"/>
  <c r="G102" i="85"/>
  <c r="V102" i="85" s="1"/>
  <c r="E36" i="82"/>
  <c r="E45" i="82" s="1"/>
  <c r="Y107" i="79"/>
  <c r="G122" i="85"/>
  <c r="H125" i="22"/>
  <c r="K142" i="22" s="1"/>
  <c r="N79" i="79"/>
  <c r="AD79" i="79" s="1"/>
  <c r="N98" i="79"/>
  <c r="AD98" i="79" s="1"/>
  <c r="G143" i="79"/>
  <c r="N107" i="79"/>
  <c r="V7" i="86"/>
  <c r="D63" i="85"/>
  <c r="AD3" i="85"/>
  <c r="G45" i="85"/>
  <c r="V45" i="85" s="1"/>
  <c r="G64" i="85"/>
  <c r="V64" i="85" s="1"/>
  <c r="N41" i="79"/>
  <c r="AD41" i="79" s="1"/>
  <c r="D64" i="79"/>
  <c r="D25" i="85"/>
  <c r="N98" i="85"/>
  <c r="AD98" i="85" s="1"/>
  <c r="M117" i="85"/>
  <c r="N22" i="82" s="1"/>
  <c r="G143" i="86"/>
  <c r="M4" i="87"/>
  <c r="G145" i="86"/>
  <c r="M6" i="87"/>
  <c r="G146" i="86"/>
  <c r="M7" i="87"/>
  <c r="V7" i="79"/>
  <c r="G26" i="79"/>
  <c r="V26" i="79" s="1"/>
  <c r="G83" i="79"/>
  <c r="V83" i="79" s="1"/>
  <c r="G122" i="79"/>
  <c r="H27" i="81" s="1"/>
  <c r="G45" i="79"/>
  <c r="V45" i="79" s="1"/>
  <c r="G64" i="79"/>
  <c r="V64" i="79" s="1"/>
  <c r="K122" i="79"/>
  <c r="K27" i="81" s="1"/>
  <c r="K64" i="79"/>
  <c r="Y64" i="79" s="1"/>
  <c r="D45" i="79"/>
  <c r="D102" i="79"/>
  <c r="D7" i="81" s="1"/>
  <c r="Y7" i="79"/>
  <c r="D83" i="79"/>
  <c r="K83" i="79"/>
  <c r="Y83" i="79" s="1"/>
  <c r="V107" i="79"/>
  <c r="H105" i="79"/>
  <c r="N22" i="85"/>
  <c r="AD22" i="85" s="1"/>
  <c r="N41" i="85"/>
  <c r="AD41" i="85" s="1"/>
  <c r="M117" i="79"/>
  <c r="AD3" i="79"/>
  <c r="N22" i="79"/>
  <c r="AD22" i="79" s="1"/>
  <c r="K122" i="85"/>
  <c r="K27" i="82" s="1"/>
  <c r="K45" i="79"/>
  <c r="Y45" i="79" s="1"/>
  <c r="D44" i="86"/>
  <c r="K45" i="85"/>
  <c r="Y45" i="85" s="1"/>
  <c r="Y7" i="85"/>
  <c r="D102" i="85"/>
  <c r="D7" i="82" s="1"/>
  <c r="K64" i="85"/>
  <c r="Y64" i="85" s="1"/>
  <c r="AA105" i="79"/>
  <c r="E131" i="79"/>
  <c r="AD3" i="86"/>
  <c r="D105" i="79"/>
  <c r="AA107" i="79"/>
  <c r="W105" i="79"/>
  <c r="AE107" i="79"/>
  <c r="W71" i="79"/>
  <c r="U107" i="79"/>
  <c r="E105" i="79"/>
  <c r="X105" i="79"/>
  <c r="AE71" i="75"/>
  <c r="G144" i="79"/>
  <c r="AE52" i="86"/>
  <c r="D25" i="86"/>
  <c r="D101" i="86"/>
  <c r="D124" i="90" s="1"/>
  <c r="G64" i="86"/>
  <c r="V64" i="86" s="1"/>
  <c r="G83" i="86"/>
  <c r="V83" i="86" s="1"/>
  <c r="N79" i="86"/>
  <c r="AD79" i="86" s="1"/>
  <c r="Z90" i="86"/>
  <c r="G145" i="75"/>
  <c r="I105" i="79"/>
  <c r="AE105" i="79"/>
  <c r="E107" i="79"/>
  <c r="W107" i="79"/>
  <c r="G144" i="75"/>
  <c r="L109" i="85"/>
  <c r="L81" i="90" s="1"/>
  <c r="D83" i="86"/>
  <c r="R26" i="56"/>
  <c r="AF68" i="75"/>
  <c r="AB71" i="75"/>
  <c r="K70" i="86"/>
  <c r="M70" i="86" s="1"/>
  <c r="O70" i="86" s="1"/>
  <c r="E36" i="88"/>
  <c r="M117" i="75"/>
  <c r="N22" i="76" s="1"/>
  <c r="N60" i="86"/>
  <c r="AD60" i="86" s="1"/>
  <c r="N98" i="86"/>
  <c r="M117" i="86"/>
  <c r="N22" i="86"/>
  <c r="AD22" i="86" s="1"/>
  <c r="K45" i="86"/>
  <c r="Y45" i="86" s="1"/>
  <c r="K26" i="86"/>
  <c r="Y26" i="86" s="1"/>
  <c r="G102" i="86"/>
  <c r="G122" i="86"/>
  <c r="G26" i="86"/>
  <c r="V26" i="86" s="1"/>
  <c r="D82" i="86"/>
  <c r="D127" i="79"/>
  <c r="D125" i="86"/>
  <c r="R8" i="56"/>
  <c r="R9" i="56" s="1"/>
  <c r="G143" i="75"/>
  <c r="E131" i="86"/>
  <c r="E83" i="91" s="1"/>
  <c r="AF67" i="75"/>
  <c r="Z71" i="86"/>
  <c r="E71" i="86"/>
  <c r="H71" i="79"/>
  <c r="I26" i="56"/>
  <c r="N105" i="79"/>
  <c r="F107" i="79"/>
  <c r="X107" i="79"/>
  <c r="AB71" i="85"/>
  <c r="G4" i="87"/>
  <c r="Z90" i="75"/>
  <c r="L9" i="82"/>
  <c r="G5" i="87"/>
  <c r="V105" i="79"/>
  <c r="I107" i="79"/>
  <c r="I71" i="86"/>
  <c r="AB71" i="79"/>
  <c r="Z71" i="79"/>
  <c r="D64" i="86"/>
  <c r="F26" i="56"/>
  <c r="AE33" i="75"/>
  <c r="H71" i="75"/>
  <c r="W71" i="75"/>
  <c r="G146" i="75"/>
  <c r="G71" i="85"/>
  <c r="V71" i="85"/>
  <c r="AA71" i="85"/>
  <c r="E71" i="75"/>
  <c r="I71" i="75"/>
  <c r="X71" i="75"/>
  <c r="E71" i="79"/>
  <c r="I71" i="79"/>
  <c r="X71" i="79"/>
  <c r="AF69" i="75"/>
  <c r="G145" i="79"/>
  <c r="F105" i="79"/>
  <c r="M6" i="83"/>
  <c r="K68" i="86"/>
  <c r="M68" i="86" s="1"/>
  <c r="O68" i="86" s="1"/>
  <c r="G71" i="86"/>
  <c r="AD70" i="85"/>
  <c r="AF70" i="85" s="1"/>
  <c r="F71" i="75"/>
  <c r="U71" i="75"/>
  <c r="Y71" i="75"/>
  <c r="F71" i="79"/>
  <c r="Y71" i="79"/>
  <c r="AF70" i="75"/>
  <c r="G142" i="79"/>
  <c r="AF67" i="79"/>
  <c r="AF68" i="79"/>
  <c r="AF69" i="79"/>
  <c r="G105" i="79"/>
  <c r="U105" i="79"/>
  <c r="Y105" i="79"/>
  <c r="G107" i="79"/>
  <c r="M5" i="83"/>
  <c r="G142" i="86"/>
  <c r="W71" i="86"/>
  <c r="G71" i="75"/>
  <c r="V71" i="75"/>
  <c r="AA71" i="75"/>
  <c r="G71" i="79"/>
  <c r="V71" i="79"/>
  <c r="AA71" i="79"/>
  <c r="D107" i="79"/>
  <c r="H107" i="79"/>
  <c r="AE71" i="85"/>
  <c r="AD67" i="85"/>
  <c r="AF67" i="85" s="1"/>
  <c r="AB31" i="85"/>
  <c r="AD31" i="85"/>
  <c r="V33" i="79"/>
  <c r="F33" i="75"/>
  <c r="N33" i="75"/>
  <c r="X33" i="75"/>
  <c r="V33" i="86"/>
  <c r="E4" i="77"/>
  <c r="E6" i="77"/>
  <c r="E3" i="77"/>
  <c r="E5" i="77"/>
  <c r="E7" i="77"/>
  <c r="I33" i="75"/>
  <c r="W33" i="75"/>
  <c r="H33" i="79"/>
  <c r="E4" i="83"/>
  <c r="E5" i="83"/>
  <c r="E33" i="75"/>
  <c r="E7" i="83"/>
  <c r="H33" i="75"/>
  <c r="V33" i="75"/>
  <c r="AA33" i="75"/>
  <c r="F33" i="85"/>
  <c r="N33" i="85"/>
  <c r="X33" i="85"/>
  <c r="AB32" i="85"/>
  <c r="F33" i="79"/>
  <c r="N33" i="79"/>
  <c r="X33" i="79"/>
  <c r="E6" i="83"/>
  <c r="E3" i="83"/>
  <c r="Z33" i="79"/>
  <c r="E4" i="80"/>
  <c r="E6" i="80"/>
  <c r="K32" i="86"/>
  <c r="M32" i="86" s="1"/>
  <c r="O32" i="86" s="1"/>
  <c r="AE33" i="85"/>
  <c r="AD32" i="85"/>
  <c r="AA33" i="79"/>
  <c r="G33" i="79"/>
  <c r="U33" i="79"/>
  <c r="Y33" i="79"/>
  <c r="E33" i="79"/>
  <c r="I33" i="79"/>
  <c r="W33" i="79"/>
  <c r="AF31" i="86"/>
  <c r="Z33" i="75"/>
  <c r="E3" i="80"/>
  <c r="E5" i="80"/>
  <c r="H33" i="86"/>
  <c r="G33" i="75"/>
  <c r="Y33" i="75"/>
  <c r="G33" i="85"/>
  <c r="U33" i="85"/>
  <c r="Y33" i="85"/>
  <c r="AF30" i="79"/>
  <c r="Z33" i="86"/>
  <c r="AA33" i="86"/>
  <c r="F33" i="86"/>
  <c r="X33" i="86"/>
  <c r="F52" i="86"/>
  <c r="X52" i="86"/>
  <c r="N52" i="75"/>
  <c r="AE108" i="75"/>
  <c r="U52" i="75"/>
  <c r="Y52" i="75"/>
  <c r="E52" i="75"/>
  <c r="F107" i="86"/>
  <c r="F96" i="90" s="1"/>
  <c r="K50" i="86"/>
  <c r="M50" i="86" s="1"/>
  <c r="O50" i="86" s="1"/>
  <c r="F108" i="75"/>
  <c r="F30" i="90" s="1"/>
  <c r="N108" i="75"/>
  <c r="X108" i="75"/>
  <c r="K12" i="86"/>
  <c r="M12" i="86" s="1"/>
  <c r="O12" i="86" s="1"/>
  <c r="AA107" i="86"/>
  <c r="G108" i="75"/>
  <c r="U108" i="75"/>
  <c r="Y108" i="75"/>
  <c r="U107" i="86"/>
  <c r="Y107" i="86"/>
  <c r="H52" i="79"/>
  <c r="V52" i="79"/>
  <c r="Y52" i="86"/>
  <c r="H52" i="75"/>
  <c r="V52" i="75"/>
  <c r="AD51" i="85"/>
  <c r="AA52" i="75"/>
  <c r="F52" i="75"/>
  <c r="X52" i="75"/>
  <c r="I52" i="75"/>
  <c r="W52" i="75"/>
  <c r="AE52" i="75"/>
  <c r="G52" i="75"/>
  <c r="E108" i="75"/>
  <c r="E30" i="90" s="1"/>
  <c r="I108" i="75"/>
  <c r="W108" i="75"/>
  <c r="F52" i="79"/>
  <c r="V108" i="86"/>
  <c r="AB48" i="75"/>
  <c r="AF48" i="75" s="1"/>
  <c r="AB50" i="75"/>
  <c r="AF50" i="75" s="1"/>
  <c r="AB47" i="86"/>
  <c r="AB52" i="86" s="1"/>
  <c r="AF50" i="86"/>
  <c r="V107" i="86"/>
  <c r="AB51" i="85"/>
  <c r="G52" i="79"/>
  <c r="Y52" i="79"/>
  <c r="AF49" i="79"/>
  <c r="Z108" i="86"/>
  <c r="Z52" i="86"/>
  <c r="K48" i="86"/>
  <c r="M48" i="86" s="1"/>
  <c r="O48" i="86" s="1"/>
  <c r="G52" i="86"/>
  <c r="D108" i="75"/>
  <c r="AF50" i="79"/>
  <c r="Y104" i="86"/>
  <c r="K51" i="86"/>
  <c r="M51" i="86" s="1"/>
  <c r="O51" i="86" s="1"/>
  <c r="H108" i="75"/>
  <c r="V108" i="75"/>
  <c r="E52" i="79"/>
  <c r="I52" i="79"/>
  <c r="W52" i="79"/>
  <c r="G108" i="86"/>
  <c r="I8" i="56"/>
  <c r="I9" i="56" s="1"/>
  <c r="F8" i="56"/>
  <c r="F9" i="56" s="1"/>
  <c r="D32" i="88"/>
  <c r="K5" i="87"/>
  <c r="K6" i="87"/>
  <c r="D33" i="88"/>
  <c r="D30" i="82"/>
  <c r="K3" i="83"/>
  <c r="D34" i="82"/>
  <c r="K7" i="83"/>
  <c r="D33" i="82"/>
  <c r="K6" i="83"/>
  <c r="D31" i="82"/>
  <c r="K4" i="83"/>
  <c r="D31" i="88"/>
  <c r="K4" i="87"/>
  <c r="D126" i="75"/>
  <c r="K5" i="83"/>
  <c r="D34" i="88"/>
  <c r="L8" i="87"/>
  <c r="E35" i="81"/>
  <c r="K64" i="75"/>
  <c r="Y64" i="75" s="1"/>
  <c r="Y7" i="86"/>
  <c r="K64" i="86"/>
  <c r="Y64" i="86" s="1"/>
  <c r="K83" i="86"/>
  <c r="Y83" i="86" s="1"/>
  <c r="K102" i="86"/>
  <c r="G102" i="75"/>
  <c r="G7" i="76" s="1"/>
  <c r="V7" i="76" s="1"/>
  <c r="G64" i="75"/>
  <c r="V64" i="75" s="1"/>
  <c r="D26" i="85"/>
  <c r="D45" i="85"/>
  <c r="D64" i="85"/>
  <c r="D102" i="75"/>
  <c r="D7" i="76" s="1"/>
  <c r="D45" i="75"/>
  <c r="D82" i="85"/>
  <c r="D101" i="75"/>
  <c r="D6" i="76" s="1"/>
  <c r="D25" i="75"/>
  <c r="AD3" i="75"/>
  <c r="N79" i="75"/>
  <c r="AD79" i="75" s="1"/>
  <c r="N22" i="75"/>
  <c r="AD22" i="75" s="1"/>
  <c r="N60" i="75"/>
  <c r="AD60" i="75" s="1"/>
  <c r="N98" i="75"/>
  <c r="N3" i="76" s="1"/>
  <c r="AD3" i="76" s="1"/>
  <c r="Y102" i="85"/>
  <c r="K7" i="82"/>
  <c r="Y7" i="75"/>
  <c r="K26" i="85"/>
  <c r="Y26" i="85" s="1"/>
  <c r="K83" i="85"/>
  <c r="Y83" i="85" s="1"/>
  <c r="K26" i="75"/>
  <c r="Y26" i="75" s="1"/>
  <c r="K45" i="75"/>
  <c r="Y45" i="75" s="1"/>
  <c r="K83" i="75"/>
  <c r="Y83" i="75" s="1"/>
  <c r="K102" i="75"/>
  <c r="K7" i="76" s="1"/>
  <c r="Y7" i="76" s="1"/>
  <c r="G26" i="75"/>
  <c r="V26" i="75" s="1"/>
  <c r="G122" i="75"/>
  <c r="H27" i="76" s="1"/>
  <c r="V7" i="75"/>
  <c r="G45" i="75"/>
  <c r="V45" i="75" s="1"/>
  <c r="D102" i="86"/>
  <c r="D125" i="90" s="1"/>
  <c r="D26" i="75"/>
  <c r="D64" i="75"/>
  <c r="D26" i="86"/>
  <c r="D44" i="85"/>
  <c r="D44" i="75"/>
  <c r="D63" i="75"/>
  <c r="AB90" i="86"/>
  <c r="AA71" i="86"/>
  <c r="H108" i="86"/>
  <c r="G144" i="86"/>
  <c r="F71" i="86"/>
  <c r="U71" i="86"/>
  <c r="Y71" i="86"/>
  <c r="H71" i="86"/>
  <c r="K66" i="86"/>
  <c r="M66" i="86" s="1"/>
  <c r="U104" i="86"/>
  <c r="D108" i="86"/>
  <c r="D97" i="90" s="1"/>
  <c r="H52" i="86"/>
  <c r="V52" i="86"/>
  <c r="AA52" i="86"/>
  <c r="W107" i="86"/>
  <c r="AF48" i="86"/>
  <c r="E52" i="86"/>
  <c r="I52" i="86"/>
  <c r="W52" i="86"/>
  <c r="I108" i="86"/>
  <c r="G33" i="86"/>
  <c r="AF30" i="86"/>
  <c r="AE33" i="86"/>
  <c r="I33" i="86"/>
  <c r="E33" i="86"/>
  <c r="W33" i="86"/>
  <c r="G104" i="86"/>
  <c r="C9" i="87"/>
  <c r="C15" i="87" s="1"/>
  <c r="J107" i="86"/>
  <c r="AD12" i="86"/>
  <c r="K13" i="86"/>
  <c r="M13" i="86" s="1"/>
  <c r="O13" i="86" s="1"/>
  <c r="E108" i="86"/>
  <c r="E97" i="90" s="1"/>
  <c r="AF29" i="86"/>
  <c r="AF49" i="86"/>
  <c r="E104" i="86"/>
  <c r="K9" i="86"/>
  <c r="I104" i="86"/>
  <c r="AE108" i="86"/>
  <c r="AE97" i="90" s="1"/>
  <c r="AD13" i="86"/>
  <c r="AF13" i="86" s="1"/>
  <c r="AF32" i="86"/>
  <c r="AE104" i="86"/>
  <c r="AE93" i="90" s="1"/>
  <c r="AD9" i="86"/>
  <c r="L105" i="86"/>
  <c r="L14" i="86"/>
  <c r="Z10" i="86"/>
  <c r="Z105" i="86" s="1"/>
  <c r="N107" i="86"/>
  <c r="N96" i="90" s="1"/>
  <c r="AB12" i="86"/>
  <c r="AB107" i="86" s="1"/>
  <c r="V104" i="86"/>
  <c r="Z104" i="86"/>
  <c r="AB33" i="86"/>
  <c r="F142" i="86"/>
  <c r="D33" i="86"/>
  <c r="N52" i="86"/>
  <c r="AF67" i="86"/>
  <c r="F104" i="86"/>
  <c r="N104" i="86"/>
  <c r="N93" i="90" s="1"/>
  <c r="W104" i="86"/>
  <c r="AA104" i="86"/>
  <c r="G107" i="86"/>
  <c r="X107" i="86"/>
  <c r="F108" i="86"/>
  <c r="F97" i="90" s="1"/>
  <c r="N108" i="86"/>
  <c r="N97" i="90" s="1"/>
  <c r="W108" i="86"/>
  <c r="AA108" i="86"/>
  <c r="AD28" i="86"/>
  <c r="AD33" i="86" s="1"/>
  <c r="F143" i="86"/>
  <c r="K29" i="86"/>
  <c r="M29" i="86" s="1"/>
  <c r="O29" i="86" s="1"/>
  <c r="N33" i="86"/>
  <c r="K47" i="86"/>
  <c r="AD47" i="86"/>
  <c r="AD52" i="86" s="1"/>
  <c r="K49" i="86"/>
  <c r="M49" i="86" s="1"/>
  <c r="O49" i="86" s="1"/>
  <c r="AF51" i="86"/>
  <c r="D52" i="86"/>
  <c r="X71" i="86"/>
  <c r="AB71" i="86"/>
  <c r="E90" i="86"/>
  <c r="AE90" i="86"/>
  <c r="AF86" i="86"/>
  <c r="AF89" i="86"/>
  <c r="X104" i="86"/>
  <c r="Z106" i="86"/>
  <c r="D107" i="86"/>
  <c r="D96" i="90" s="1"/>
  <c r="H107" i="86"/>
  <c r="X108" i="86"/>
  <c r="AB108" i="86"/>
  <c r="J14" i="86"/>
  <c r="K28" i="86"/>
  <c r="U33" i="86"/>
  <c r="Y33" i="86"/>
  <c r="F144" i="86"/>
  <c r="K30" i="86"/>
  <c r="M30" i="86" s="1"/>
  <c r="O30" i="86" s="1"/>
  <c r="U52" i="86"/>
  <c r="AE71" i="86"/>
  <c r="AD66" i="86"/>
  <c r="AD71" i="86" s="1"/>
  <c r="K67" i="86"/>
  <c r="M67" i="86" s="1"/>
  <c r="O67" i="86" s="1"/>
  <c r="K69" i="86"/>
  <c r="M69" i="86" s="1"/>
  <c r="O69" i="86" s="1"/>
  <c r="F90" i="86"/>
  <c r="J90" i="86"/>
  <c r="AD85" i="86"/>
  <c r="AF85" i="86" s="1"/>
  <c r="AF69" i="86"/>
  <c r="D71" i="86"/>
  <c r="H104" i="86"/>
  <c r="J106" i="86"/>
  <c r="E107" i="86"/>
  <c r="E96" i="90" s="1"/>
  <c r="I107" i="86"/>
  <c r="Z12" i="86"/>
  <c r="AE107" i="86"/>
  <c r="U108" i="86"/>
  <c r="Y108" i="86"/>
  <c r="F145" i="86"/>
  <c r="K31" i="86"/>
  <c r="M31" i="86" s="1"/>
  <c r="O31" i="86" s="1"/>
  <c r="F146" i="86"/>
  <c r="V71" i="86"/>
  <c r="AF68" i="86"/>
  <c r="AF70" i="86"/>
  <c r="AF87" i="86"/>
  <c r="K85" i="86"/>
  <c r="K86" i="86"/>
  <c r="M86" i="86" s="1"/>
  <c r="O86" i="86" s="1"/>
  <c r="AD88" i="86"/>
  <c r="AF88" i="86" s="1"/>
  <c r="H142" i="86"/>
  <c r="D90" i="86"/>
  <c r="K87" i="86"/>
  <c r="M87" i="86" s="1"/>
  <c r="O87" i="86" s="1"/>
  <c r="H144" i="86"/>
  <c r="H146" i="86"/>
  <c r="K89" i="86"/>
  <c r="M89" i="86" s="1"/>
  <c r="O89" i="86" s="1"/>
  <c r="N90" i="86"/>
  <c r="W90" i="86"/>
  <c r="Y92" i="86" s="1"/>
  <c r="AA90" i="86"/>
  <c r="H145" i="86"/>
  <c r="K88" i="86"/>
  <c r="M88" i="86" s="1"/>
  <c r="O88" i="86" s="1"/>
  <c r="E147" i="86"/>
  <c r="H143" i="86"/>
  <c r="G146" i="85"/>
  <c r="G143" i="85"/>
  <c r="G142" i="85"/>
  <c r="H71" i="85"/>
  <c r="W71" i="85"/>
  <c r="H33" i="85"/>
  <c r="AA33" i="85"/>
  <c r="E33" i="85"/>
  <c r="I33" i="85"/>
  <c r="W33" i="85"/>
  <c r="V33" i="85"/>
  <c r="AF30" i="75"/>
  <c r="AD51" i="79"/>
  <c r="AE52" i="79"/>
  <c r="F31" i="22"/>
  <c r="N31" i="22"/>
  <c r="X31" i="22"/>
  <c r="D32" i="22"/>
  <c r="H32" i="22"/>
  <c r="V32" i="22"/>
  <c r="AA32" i="22"/>
  <c r="X51" i="22"/>
  <c r="D66" i="22"/>
  <c r="H66" i="22"/>
  <c r="W66" i="22"/>
  <c r="AE66" i="22"/>
  <c r="G67" i="22"/>
  <c r="V67" i="22"/>
  <c r="D70" i="22"/>
  <c r="H70" i="22"/>
  <c r="W70" i="22"/>
  <c r="AE70" i="22"/>
  <c r="AD70" i="22" s="1"/>
  <c r="D33" i="75"/>
  <c r="Z52" i="75"/>
  <c r="AA52" i="79"/>
  <c r="AF29" i="85"/>
  <c r="E7" i="80"/>
  <c r="F146" i="79"/>
  <c r="E71" i="85"/>
  <c r="I71" i="85"/>
  <c r="X71" i="85"/>
  <c r="M7" i="80"/>
  <c r="G146" i="79"/>
  <c r="G31" i="22"/>
  <c r="U31" i="22"/>
  <c r="Y31" i="22"/>
  <c r="E32" i="22"/>
  <c r="I32" i="22"/>
  <c r="W32" i="22"/>
  <c r="AE32" i="22"/>
  <c r="U51" i="22"/>
  <c r="Y51" i="22"/>
  <c r="E66" i="22"/>
  <c r="I66" i="22"/>
  <c r="X66" i="22"/>
  <c r="D67" i="22"/>
  <c r="H67" i="22"/>
  <c r="W67" i="22"/>
  <c r="AE67" i="22"/>
  <c r="AD67" i="22" s="1"/>
  <c r="E70" i="22"/>
  <c r="I70" i="22"/>
  <c r="X70" i="22"/>
  <c r="Z107" i="75"/>
  <c r="Z71" i="75"/>
  <c r="AA108" i="75"/>
  <c r="AA14" i="79"/>
  <c r="AE33" i="79"/>
  <c r="AD32" i="79"/>
  <c r="AF32" i="79" s="1"/>
  <c r="F71" i="85"/>
  <c r="Y71" i="85"/>
  <c r="AD70" i="79"/>
  <c r="AF70" i="79" s="1"/>
  <c r="AE71" i="79"/>
  <c r="D31" i="22"/>
  <c r="H31" i="22"/>
  <c r="V31" i="22"/>
  <c r="AA31" i="22"/>
  <c r="F32" i="22"/>
  <c r="N32" i="22"/>
  <c r="X32" i="22"/>
  <c r="V51" i="22"/>
  <c r="F66" i="22"/>
  <c r="U66" i="22"/>
  <c r="Y66" i="22"/>
  <c r="E67" i="22"/>
  <c r="I67" i="22"/>
  <c r="X67" i="22"/>
  <c r="F70" i="22"/>
  <c r="U70" i="22"/>
  <c r="Y70" i="22"/>
  <c r="G142" i="75"/>
  <c r="N52" i="79"/>
  <c r="AB51" i="79"/>
  <c r="X52" i="79"/>
  <c r="E31" i="22"/>
  <c r="I31" i="22"/>
  <c r="W31" i="22"/>
  <c r="AE31" i="22"/>
  <c r="G32" i="22"/>
  <c r="U32" i="22"/>
  <c r="Y32" i="22"/>
  <c r="W51" i="22"/>
  <c r="AE51" i="22"/>
  <c r="G66" i="22"/>
  <c r="V66" i="22"/>
  <c r="F67" i="22"/>
  <c r="U67" i="22"/>
  <c r="Y67" i="22"/>
  <c r="G70" i="22"/>
  <c r="V70" i="22"/>
  <c r="O8" i="56"/>
  <c r="O9" i="56" s="1"/>
  <c r="Z52" i="79"/>
  <c r="R17" i="56"/>
  <c r="G7" i="81"/>
  <c r="V7" i="81" s="1"/>
  <c r="K7" i="81"/>
  <c r="Y7" i="81" s="1"/>
  <c r="D125" i="79"/>
  <c r="D129" i="79"/>
  <c r="D126" i="79"/>
  <c r="L9" i="80"/>
  <c r="M21" i="36" s="1"/>
  <c r="Z33" i="85"/>
  <c r="Z52" i="85"/>
  <c r="Z71" i="85"/>
  <c r="AF69" i="85"/>
  <c r="AF68" i="85"/>
  <c r="AF30" i="85"/>
  <c r="D33" i="85"/>
  <c r="F142" i="85"/>
  <c r="F146" i="85"/>
  <c r="Z9" i="85"/>
  <c r="Z11" i="85"/>
  <c r="Z106" i="85" s="1"/>
  <c r="AD12" i="85"/>
  <c r="K13" i="85"/>
  <c r="M13" i="85" s="1"/>
  <c r="O13" i="85" s="1"/>
  <c r="Z13" i="85"/>
  <c r="Z108" i="85" s="1"/>
  <c r="AB13" i="85"/>
  <c r="J14" i="85"/>
  <c r="L14" i="85"/>
  <c r="K28" i="85"/>
  <c r="AD28" i="85"/>
  <c r="K32" i="85"/>
  <c r="M32" i="85" s="1"/>
  <c r="O32" i="85" s="1"/>
  <c r="F143" i="85"/>
  <c r="F144" i="85"/>
  <c r="Z10" i="85"/>
  <c r="Z105" i="85" s="1"/>
  <c r="K12" i="85"/>
  <c r="M12" i="85" s="1"/>
  <c r="O12" i="85" s="1"/>
  <c r="Z12" i="85"/>
  <c r="Z107" i="85" s="1"/>
  <c r="AB12" i="85"/>
  <c r="AD13" i="85"/>
  <c r="AB28" i="85"/>
  <c r="K29" i="85"/>
  <c r="M29" i="85" s="1"/>
  <c r="O29" i="85" s="1"/>
  <c r="K30" i="85"/>
  <c r="M30" i="85" s="1"/>
  <c r="O30" i="85" s="1"/>
  <c r="K31" i="85"/>
  <c r="M31" i="85" s="1"/>
  <c r="O31" i="85" s="1"/>
  <c r="K66" i="85"/>
  <c r="K67" i="85"/>
  <c r="M67" i="85" s="1"/>
  <c r="O67" i="85" s="1"/>
  <c r="K68" i="85"/>
  <c r="M68" i="85" s="1"/>
  <c r="O68" i="85" s="1"/>
  <c r="K69" i="85"/>
  <c r="M69" i="85" s="1"/>
  <c r="O69" i="85" s="1"/>
  <c r="K70" i="85"/>
  <c r="M70" i="85" s="1"/>
  <c r="O70" i="85" s="1"/>
  <c r="D71" i="85"/>
  <c r="U71" i="85"/>
  <c r="E147" i="85"/>
  <c r="K51" i="85"/>
  <c r="M51" i="85" s="1"/>
  <c r="O51" i="85" s="1"/>
  <c r="AD66" i="85"/>
  <c r="L9" i="81"/>
  <c r="O8" i="80"/>
  <c r="P8" i="80" s="1"/>
  <c r="AF29" i="79"/>
  <c r="AF31" i="79"/>
  <c r="F143" i="79"/>
  <c r="F144" i="79"/>
  <c r="F145" i="79"/>
  <c r="Z10" i="79"/>
  <c r="Z105" i="79" s="1"/>
  <c r="AB10" i="79"/>
  <c r="AB105" i="79" s="1"/>
  <c r="Z12" i="79"/>
  <c r="Z107" i="79" s="1"/>
  <c r="AB12" i="79"/>
  <c r="AB107" i="79" s="1"/>
  <c r="E14" i="79"/>
  <c r="G14" i="79"/>
  <c r="I14" i="79"/>
  <c r="V14" i="79"/>
  <c r="X14" i="79"/>
  <c r="AE14" i="79"/>
  <c r="AB28" i="79"/>
  <c r="AB33" i="79" s="1"/>
  <c r="K29" i="79"/>
  <c r="M29" i="79" s="1"/>
  <c r="O29" i="79" s="1"/>
  <c r="K30" i="79"/>
  <c r="M30" i="79" s="1"/>
  <c r="O30" i="79" s="1"/>
  <c r="K31" i="79"/>
  <c r="M31" i="79" s="1"/>
  <c r="O31" i="79" s="1"/>
  <c r="D33" i="79"/>
  <c r="F142" i="79"/>
  <c r="Z9" i="79"/>
  <c r="AB9" i="79"/>
  <c r="Z11" i="79"/>
  <c r="AB11" i="79"/>
  <c r="Z13" i="79"/>
  <c r="AB13" i="79"/>
  <c r="D14" i="79"/>
  <c r="F14" i="79"/>
  <c r="H14" i="79"/>
  <c r="L14" i="79"/>
  <c r="N14" i="79"/>
  <c r="U14" i="79"/>
  <c r="W14" i="79"/>
  <c r="Y14" i="79"/>
  <c r="K28" i="79"/>
  <c r="AF48" i="79"/>
  <c r="AF86" i="79"/>
  <c r="AF88" i="79"/>
  <c r="K32" i="79"/>
  <c r="M32" i="79" s="1"/>
  <c r="O32" i="79" s="1"/>
  <c r="AB47" i="79"/>
  <c r="K48" i="79"/>
  <c r="M48" i="79" s="1"/>
  <c r="O48" i="79" s="1"/>
  <c r="K50" i="79"/>
  <c r="M50" i="79" s="1"/>
  <c r="O50" i="79" s="1"/>
  <c r="D52" i="79"/>
  <c r="U52" i="79"/>
  <c r="K66" i="79"/>
  <c r="K67" i="79"/>
  <c r="M67" i="79" s="1"/>
  <c r="O67" i="79" s="1"/>
  <c r="K68" i="79"/>
  <c r="M68" i="79" s="1"/>
  <c r="O68" i="79" s="1"/>
  <c r="K69" i="79"/>
  <c r="M69" i="79" s="1"/>
  <c r="O69" i="79" s="1"/>
  <c r="K70" i="79"/>
  <c r="M70" i="79" s="1"/>
  <c r="O70" i="79" s="1"/>
  <c r="D71" i="79"/>
  <c r="U71" i="79"/>
  <c r="E147" i="79"/>
  <c r="K47" i="79"/>
  <c r="AD47" i="79"/>
  <c r="K49" i="79"/>
  <c r="M49" i="79" s="1"/>
  <c r="O49" i="79" s="1"/>
  <c r="K51" i="79"/>
  <c r="M51" i="79" s="1"/>
  <c r="O51" i="79" s="1"/>
  <c r="AD66" i="79"/>
  <c r="K86" i="79"/>
  <c r="M86" i="79" s="1"/>
  <c r="O86" i="79" s="1"/>
  <c r="K88" i="79"/>
  <c r="M88" i="79" s="1"/>
  <c r="O88" i="79" s="1"/>
  <c r="L9" i="77"/>
  <c r="M20" i="36" s="1"/>
  <c r="N8" i="77"/>
  <c r="O8" i="77" s="1"/>
  <c r="P8" i="77" s="1"/>
  <c r="AF29" i="75"/>
  <c r="AF31" i="75"/>
  <c r="AF32" i="75"/>
  <c r="AF49" i="75"/>
  <c r="AF51" i="75"/>
  <c r="L109" i="75"/>
  <c r="L31" i="90" s="1"/>
  <c r="L9" i="76"/>
  <c r="F143" i="75"/>
  <c r="F144" i="75"/>
  <c r="F145" i="75"/>
  <c r="Z10" i="75"/>
  <c r="Z105" i="75" s="1"/>
  <c r="AB28" i="75"/>
  <c r="AB33" i="75" s="1"/>
  <c r="K29" i="75"/>
  <c r="M29" i="75" s="1"/>
  <c r="O29" i="75" s="1"/>
  <c r="K30" i="75"/>
  <c r="M30" i="75" s="1"/>
  <c r="O30" i="75" s="1"/>
  <c r="K31" i="75"/>
  <c r="M31" i="75" s="1"/>
  <c r="O31" i="75" s="1"/>
  <c r="U33" i="75"/>
  <c r="K47" i="75"/>
  <c r="AD47" i="75"/>
  <c r="AD52" i="75" s="1"/>
  <c r="K49" i="75"/>
  <c r="M49" i="75" s="1"/>
  <c r="O49" i="75" s="1"/>
  <c r="K51" i="75"/>
  <c r="M51" i="75" s="1"/>
  <c r="O51" i="75" s="1"/>
  <c r="AD66" i="75"/>
  <c r="AD71" i="75" s="1"/>
  <c r="AF89" i="75"/>
  <c r="AG89" i="75" s="1"/>
  <c r="AH89" i="75" s="1"/>
  <c r="F142" i="75"/>
  <c r="F146" i="75"/>
  <c r="H146" i="75"/>
  <c r="G7" i="77" s="1"/>
  <c r="Z9" i="75"/>
  <c r="Z11" i="75"/>
  <c r="Z106" i="75" s="1"/>
  <c r="Z13" i="75"/>
  <c r="Z108" i="75" s="1"/>
  <c r="AB13" i="75"/>
  <c r="AB108" i="75" s="1"/>
  <c r="L14" i="75"/>
  <c r="K28" i="75"/>
  <c r="AD28" i="75"/>
  <c r="AD33" i="75" s="1"/>
  <c r="K32" i="75"/>
  <c r="M32" i="75" s="1"/>
  <c r="O32" i="75" s="1"/>
  <c r="AB47" i="75"/>
  <c r="K48" i="75"/>
  <c r="M48" i="75" s="1"/>
  <c r="O48" i="75" s="1"/>
  <c r="K50" i="75"/>
  <c r="M50" i="75" s="1"/>
  <c r="O50" i="75" s="1"/>
  <c r="D52" i="75"/>
  <c r="K66" i="75"/>
  <c r="K67" i="75"/>
  <c r="M67" i="75" s="1"/>
  <c r="O67" i="75" s="1"/>
  <c r="K68" i="75"/>
  <c r="M68" i="75" s="1"/>
  <c r="O68" i="75" s="1"/>
  <c r="K69" i="75"/>
  <c r="M69" i="75" s="1"/>
  <c r="O69" i="75" s="1"/>
  <c r="K70" i="75"/>
  <c r="M70" i="75" s="1"/>
  <c r="O70" i="75" s="1"/>
  <c r="D71" i="75"/>
  <c r="E131" i="75"/>
  <c r="E27" i="91" s="1"/>
  <c r="E147" i="75"/>
  <c r="Y12" i="75"/>
  <c r="X12" i="75"/>
  <c r="W12" i="75"/>
  <c r="V12" i="75"/>
  <c r="U12" i="75"/>
  <c r="N12" i="75"/>
  <c r="I12" i="75"/>
  <c r="H12" i="75"/>
  <c r="G12" i="75"/>
  <c r="F12" i="75"/>
  <c r="Y12" i="22"/>
  <c r="X12" i="22"/>
  <c r="W12" i="22"/>
  <c r="V12" i="22"/>
  <c r="U12" i="22"/>
  <c r="I12" i="22"/>
  <c r="H12" i="22"/>
  <c r="G12" i="22"/>
  <c r="F12" i="22"/>
  <c r="AA11" i="86"/>
  <c r="AA106" i="86" s="1"/>
  <c r="Y11" i="86"/>
  <c r="X11" i="86"/>
  <c r="X106" i="86" s="1"/>
  <c r="W11" i="86"/>
  <c r="W106" i="86" s="1"/>
  <c r="V11" i="86"/>
  <c r="V106" i="86" s="1"/>
  <c r="U11" i="86"/>
  <c r="U106" i="86" s="1"/>
  <c r="N11" i="86"/>
  <c r="AB11" i="86" s="1"/>
  <c r="AB106" i="86" s="1"/>
  <c r="I11" i="86"/>
  <c r="I106" i="86" s="1"/>
  <c r="H11" i="86"/>
  <c r="H106" i="86" s="1"/>
  <c r="G11" i="86"/>
  <c r="G106" i="86" s="1"/>
  <c r="F11" i="86"/>
  <c r="F106" i="86" s="1"/>
  <c r="F95" i="90" s="1"/>
  <c r="E11" i="86"/>
  <c r="E106" i="86" s="1"/>
  <c r="E95" i="90" s="1"/>
  <c r="AE11" i="86"/>
  <c r="AD11" i="86" s="1"/>
  <c r="D11" i="86"/>
  <c r="Y11" i="85"/>
  <c r="X11" i="85"/>
  <c r="W11" i="85"/>
  <c r="V11" i="85"/>
  <c r="U11" i="85"/>
  <c r="N11" i="85"/>
  <c r="I11" i="85"/>
  <c r="H11" i="85"/>
  <c r="G11" i="85"/>
  <c r="F11" i="85"/>
  <c r="E11" i="85"/>
  <c r="D11" i="85"/>
  <c r="Y11" i="75"/>
  <c r="X11" i="75"/>
  <c r="W11" i="75"/>
  <c r="V11" i="75"/>
  <c r="U11" i="75"/>
  <c r="N11" i="75"/>
  <c r="I11" i="75"/>
  <c r="H11" i="75"/>
  <c r="G11" i="75"/>
  <c r="F11" i="75"/>
  <c r="E11" i="75"/>
  <c r="D11" i="75"/>
  <c r="Y11" i="22"/>
  <c r="X11" i="22"/>
  <c r="W11" i="22"/>
  <c r="V11" i="22"/>
  <c r="U11" i="22"/>
  <c r="I11" i="22"/>
  <c r="H11" i="22"/>
  <c r="G11" i="22"/>
  <c r="F11" i="22"/>
  <c r="E11" i="22"/>
  <c r="D11" i="22"/>
  <c r="Y49" i="85"/>
  <c r="X49" i="85"/>
  <c r="W49" i="85"/>
  <c r="V49" i="85"/>
  <c r="U49" i="85"/>
  <c r="N49" i="85"/>
  <c r="I49" i="85"/>
  <c r="H49" i="85"/>
  <c r="G49" i="85"/>
  <c r="F49" i="85"/>
  <c r="E49" i="85"/>
  <c r="D49" i="85"/>
  <c r="Y10" i="86"/>
  <c r="Y105" i="86" s="1"/>
  <c r="X10" i="86"/>
  <c r="X105" i="86" s="1"/>
  <c r="W10" i="86"/>
  <c r="W105" i="86" s="1"/>
  <c r="V10" i="86"/>
  <c r="V105" i="86" s="1"/>
  <c r="U10" i="86"/>
  <c r="N10" i="86"/>
  <c r="AB10" i="86" s="1"/>
  <c r="AB105" i="86" s="1"/>
  <c r="I10" i="86"/>
  <c r="H10" i="86"/>
  <c r="G10" i="86"/>
  <c r="F10" i="86"/>
  <c r="E10" i="86"/>
  <c r="E105" i="86" s="1"/>
  <c r="E94" i="90" s="1"/>
  <c r="AE10" i="86"/>
  <c r="AD10" i="86" s="1"/>
  <c r="D10" i="86"/>
  <c r="D105" i="86" s="1"/>
  <c r="D94" i="90" s="1"/>
  <c r="Y48" i="85"/>
  <c r="X48" i="85"/>
  <c r="W48" i="85"/>
  <c r="V48" i="85"/>
  <c r="U48" i="85"/>
  <c r="N48" i="85"/>
  <c r="I48" i="85"/>
  <c r="H48" i="85"/>
  <c r="G48" i="85"/>
  <c r="F48" i="85"/>
  <c r="E48" i="85"/>
  <c r="D48" i="85"/>
  <c r="Y10" i="85"/>
  <c r="X10" i="85"/>
  <c r="W10" i="85"/>
  <c r="V10" i="85"/>
  <c r="U10" i="85"/>
  <c r="N10" i="85"/>
  <c r="AB10" i="85" s="1"/>
  <c r="I10" i="85"/>
  <c r="H10" i="85"/>
  <c r="G10" i="85"/>
  <c r="F10" i="85"/>
  <c r="E10" i="85"/>
  <c r="AD10" i="85"/>
  <c r="D10" i="85"/>
  <c r="E10" i="75"/>
  <c r="Y10" i="75"/>
  <c r="X10" i="75"/>
  <c r="W10" i="75"/>
  <c r="V10" i="75"/>
  <c r="U10" i="75"/>
  <c r="N10" i="75"/>
  <c r="I10" i="75"/>
  <c r="H10" i="75"/>
  <c r="G10" i="75"/>
  <c r="F10" i="75"/>
  <c r="D10" i="75"/>
  <c r="Y9" i="85"/>
  <c r="X9" i="85"/>
  <c r="W9" i="85"/>
  <c r="V9" i="85"/>
  <c r="U9" i="85"/>
  <c r="N9" i="85"/>
  <c r="I9" i="85"/>
  <c r="H9" i="85"/>
  <c r="G9" i="85"/>
  <c r="F9" i="85"/>
  <c r="E9" i="85"/>
  <c r="AE9" i="85"/>
  <c r="D9" i="85"/>
  <c r="Y9" i="75"/>
  <c r="X9" i="75"/>
  <c r="W9" i="75"/>
  <c r="V9" i="75"/>
  <c r="U9" i="75"/>
  <c r="N9" i="75"/>
  <c r="I9" i="75"/>
  <c r="H9" i="75"/>
  <c r="G9" i="75"/>
  <c r="F9" i="75"/>
  <c r="E9" i="75"/>
  <c r="D9" i="75"/>
  <c r="Y9" i="22"/>
  <c r="X9" i="22"/>
  <c r="W9" i="22"/>
  <c r="V9" i="22"/>
  <c r="U9" i="22"/>
  <c r="I9" i="22"/>
  <c r="H9" i="22"/>
  <c r="G9" i="22"/>
  <c r="F9" i="22"/>
  <c r="E9" i="22"/>
  <c r="D145" i="79" l="1"/>
  <c r="D55" i="91"/>
  <c r="I31" i="36"/>
  <c r="P31" i="36" s="1"/>
  <c r="G143" i="22"/>
  <c r="J126" i="22"/>
  <c r="J7" i="91" s="1"/>
  <c r="L39" i="91"/>
  <c r="K39" i="91"/>
  <c r="K33" i="81"/>
  <c r="K36" i="81" s="1"/>
  <c r="L31" i="81"/>
  <c r="D36" i="91"/>
  <c r="D39" i="91"/>
  <c r="K131" i="79"/>
  <c r="K41" i="91" s="1"/>
  <c r="D35" i="91"/>
  <c r="D36" i="99"/>
  <c r="D46" i="99" s="1"/>
  <c r="K37" i="91"/>
  <c r="K36" i="91"/>
  <c r="K38" i="91"/>
  <c r="L36" i="91"/>
  <c r="K131" i="97"/>
  <c r="K55" i="91" s="1"/>
  <c r="K36" i="99"/>
  <c r="K46" i="99" s="1"/>
  <c r="L131" i="97"/>
  <c r="L55" i="91" s="1"/>
  <c r="L35" i="91"/>
  <c r="L36" i="99"/>
  <c r="L30" i="81"/>
  <c r="L131" i="79"/>
  <c r="L41" i="91" s="1"/>
  <c r="L33" i="81"/>
  <c r="L32" i="81"/>
  <c r="J39" i="91"/>
  <c r="J35" i="91"/>
  <c r="J36" i="91"/>
  <c r="J36" i="99"/>
  <c r="J46" i="99" s="1"/>
  <c r="M9" i="98"/>
  <c r="N22" i="36" s="1"/>
  <c r="E9" i="98"/>
  <c r="F22" i="36" s="1"/>
  <c r="H36" i="99"/>
  <c r="H46" i="99" s="1"/>
  <c r="E44" i="90"/>
  <c r="F46" i="90"/>
  <c r="D46" i="90"/>
  <c r="G38" i="91"/>
  <c r="H6" i="98"/>
  <c r="G36" i="91"/>
  <c r="H4" i="98"/>
  <c r="F44" i="90"/>
  <c r="Z46" i="90"/>
  <c r="AF12" i="99"/>
  <c r="E46" i="90"/>
  <c r="G39" i="91"/>
  <c r="E9" i="77"/>
  <c r="F20" i="36" s="1"/>
  <c r="E9" i="83"/>
  <c r="F23" i="36" s="1"/>
  <c r="D24" i="36"/>
  <c r="D25" i="36" s="1"/>
  <c r="F145" i="22"/>
  <c r="J33" i="39"/>
  <c r="J32" i="39"/>
  <c r="F146" i="22"/>
  <c r="J125" i="22"/>
  <c r="J6" i="91" s="1"/>
  <c r="G142" i="22"/>
  <c r="J129" i="22"/>
  <c r="J10" i="91" s="1"/>
  <c r="G146" i="22"/>
  <c r="H128" i="22"/>
  <c r="K145" i="22" s="1"/>
  <c r="L36" i="76"/>
  <c r="L14" i="76"/>
  <c r="L44" i="76" s="1"/>
  <c r="J11" i="88"/>
  <c r="J95" i="90"/>
  <c r="D38" i="91"/>
  <c r="J12" i="88"/>
  <c r="J96" i="90"/>
  <c r="L10" i="88"/>
  <c r="L14" i="88" s="1"/>
  <c r="L94" i="90"/>
  <c r="D30" i="88"/>
  <c r="D36" i="88" s="1"/>
  <c r="D77" i="91"/>
  <c r="K5" i="80"/>
  <c r="D37" i="91"/>
  <c r="J33" i="82"/>
  <c r="J66" i="91"/>
  <c r="J34" i="76"/>
  <c r="J25" i="91"/>
  <c r="J30" i="76"/>
  <c r="J21" i="91"/>
  <c r="J31" i="82"/>
  <c r="J64" i="91"/>
  <c r="J34" i="82"/>
  <c r="J67" i="91"/>
  <c r="J32" i="81"/>
  <c r="J37" i="91"/>
  <c r="J30" i="88"/>
  <c r="J77" i="91"/>
  <c r="J32" i="76"/>
  <c r="J23" i="91"/>
  <c r="J33" i="81"/>
  <c r="J38" i="91"/>
  <c r="J30" i="82"/>
  <c r="J63" i="91"/>
  <c r="J31" i="76"/>
  <c r="J22" i="91"/>
  <c r="J32" i="82"/>
  <c r="J65" i="91"/>
  <c r="J32" i="88"/>
  <c r="J79" i="91"/>
  <c r="J33" i="76"/>
  <c r="J24" i="91"/>
  <c r="H31" i="88"/>
  <c r="H78" i="91"/>
  <c r="H30" i="81"/>
  <c r="H35" i="91"/>
  <c r="H31" i="76"/>
  <c r="H22" i="91"/>
  <c r="H34" i="82"/>
  <c r="H67" i="91"/>
  <c r="H32" i="88"/>
  <c r="H79" i="91"/>
  <c r="H33" i="76"/>
  <c r="H24" i="91"/>
  <c r="H32" i="82"/>
  <c r="H65" i="91"/>
  <c r="H32" i="81"/>
  <c r="H37" i="91"/>
  <c r="H34" i="76"/>
  <c r="H25" i="91"/>
  <c r="H33" i="81"/>
  <c r="H38" i="91"/>
  <c r="H33" i="88"/>
  <c r="H80" i="91"/>
  <c r="H31" i="81"/>
  <c r="H36" i="91"/>
  <c r="H31" i="82"/>
  <c r="H64" i="91"/>
  <c r="H34" i="81"/>
  <c r="H39" i="91"/>
  <c r="H30" i="39"/>
  <c r="H6" i="91"/>
  <c r="H30" i="82"/>
  <c r="H63" i="91"/>
  <c r="H32" i="76"/>
  <c r="H23" i="91"/>
  <c r="H34" i="88"/>
  <c r="H81" i="91"/>
  <c r="H30" i="76"/>
  <c r="H21" i="91"/>
  <c r="H33" i="82"/>
  <c r="H66" i="91"/>
  <c r="H30" i="88"/>
  <c r="H77" i="91"/>
  <c r="AB10" i="88"/>
  <c r="AB94" i="90"/>
  <c r="X10" i="88"/>
  <c r="X94" i="90"/>
  <c r="G11" i="88"/>
  <c r="G95" i="90"/>
  <c r="U11" i="88"/>
  <c r="U95" i="90"/>
  <c r="AE12" i="88"/>
  <c r="AE96" i="90"/>
  <c r="X13" i="88"/>
  <c r="X97" i="90"/>
  <c r="X9" i="88"/>
  <c r="X93" i="90"/>
  <c r="AA13" i="88"/>
  <c r="AA97" i="90"/>
  <c r="X12" i="88"/>
  <c r="X96" i="90"/>
  <c r="V9" i="88"/>
  <c r="V93" i="90"/>
  <c r="I13" i="88"/>
  <c r="I97" i="90"/>
  <c r="Y9" i="88"/>
  <c r="Y93" i="90"/>
  <c r="V13" i="88"/>
  <c r="V97" i="90"/>
  <c r="Y13" i="76"/>
  <c r="Y30" i="90"/>
  <c r="Y10" i="81"/>
  <c r="Y44" i="90"/>
  <c r="X12" i="81"/>
  <c r="X46" i="90"/>
  <c r="N10" i="81"/>
  <c r="N44" i="90"/>
  <c r="W10" i="81"/>
  <c r="W44" i="90"/>
  <c r="G30" i="76"/>
  <c r="G21" i="91"/>
  <c r="G32" i="76"/>
  <c r="G23" i="91"/>
  <c r="G32" i="88"/>
  <c r="G79" i="91"/>
  <c r="G31" i="88"/>
  <c r="G78" i="91"/>
  <c r="G33" i="88"/>
  <c r="G80" i="91"/>
  <c r="Y10" i="88"/>
  <c r="Y94" i="90"/>
  <c r="H11" i="88"/>
  <c r="H95" i="90"/>
  <c r="V11" i="88"/>
  <c r="V95" i="90"/>
  <c r="AA11" i="88"/>
  <c r="AA95" i="90"/>
  <c r="Z10" i="82"/>
  <c r="Z77" i="90"/>
  <c r="H9" i="88"/>
  <c r="H93" i="90"/>
  <c r="H12" i="88"/>
  <c r="H96" i="90"/>
  <c r="W13" i="88"/>
  <c r="W97" i="90"/>
  <c r="G12" i="88"/>
  <c r="G96" i="90"/>
  <c r="F9" i="88"/>
  <c r="F93" i="90"/>
  <c r="AB12" i="88"/>
  <c r="AB96" i="90"/>
  <c r="E9" i="88"/>
  <c r="E93" i="90"/>
  <c r="G9" i="88"/>
  <c r="G93" i="90"/>
  <c r="W12" i="88"/>
  <c r="W96" i="90"/>
  <c r="H13" i="88"/>
  <c r="H97" i="90"/>
  <c r="G13" i="88"/>
  <c r="G97" i="90"/>
  <c r="V13" i="76"/>
  <c r="V30" i="90"/>
  <c r="U13" i="76"/>
  <c r="U30" i="90"/>
  <c r="X13" i="76"/>
  <c r="X30" i="90"/>
  <c r="U10" i="81"/>
  <c r="U44" i="90"/>
  <c r="U12" i="81"/>
  <c r="U46" i="90"/>
  <c r="AA12" i="81"/>
  <c r="AA46" i="90"/>
  <c r="AA10" i="81"/>
  <c r="AA44" i="90"/>
  <c r="Y12" i="81"/>
  <c r="Y46" i="90"/>
  <c r="G30" i="82"/>
  <c r="G63" i="91"/>
  <c r="G30" i="88"/>
  <c r="G77" i="91"/>
  <c r="V10" i="88"/>
  <c r="V94" i="90"/>
  <c r="I11" i="88"/>
  <c r="I95" i="90"/>
  <c r="W11" i="88"/>
  <c r="W95" i="90"/>
  <c r="AB13" i="76"/>
  <c r="AB30" i="90"/>
  <c r="AB12" i="81"/>
  <c r="AB46" i="90"/>
  <c r="AB10" i="81"/>
  <c r="AB44" i="90"/>
  <c r="Z11" i="82"/>
  <c r="Z78" i="90"/>
  <c r="Y13" i="88"/>
  <c r="Y97" i="90"/>
  <c r="I12" i="88"/>
  <c r="I96" i="90"/>
  <c r="AA9" i="88"/>
  <c r="AA93" i="90"/>
  <c r="U9" i="88"/>
  <c r="U93" i="90"/>
  <c r="H13" i="76"/>
  <c r="H30" i="90"/>
  <c r="I7" i="77"/>
  <c r="D30" i="90"/>
  <c r="Z13" i="88"/>
  <c r="Z97" i="90"/>
  <c r="W13" i="76"/>
  <c r="W30" i="90"/>
  <c r="Y12" i="88"/>
  <c r="Y96" i="90"/>
  <c r="G13" i="76"/>
  <c r="G30" i="90"/>
  <c r="N13" i="76"/>
  <c r="N30" i="90"/>
  <c r="AE13" i="76"/>
  <c r="AE30" i="90"/>
  <c r="G12" i="81"/>
  <c r="G46" i="90"/>
  <c r="G10" i="81"/>
  <c r="G44" i="90"/>
  <c r="V10" i="81"/>
  <c r="V44" i="90"/>
  <c r="AE10" i="81"/>
  <c r="AE44" i="90"/>
  <c r="D10" i="81"/>
  <c r="D44" i="90"/>
  <c r="H10" i="81"/>
  <c r="H44" i="90"/>
  <c r="N12" i="81"/>
  <c r="N46" i="90"/>
  <c r="G32" i="81"/>
  <c r="G37" i="91"/>
  <c r="G34" i="82"/>
  <c r="G67" i="91"/>
  <c r="G33" i="82"/>
  <c r="G66" i="91"/>
  <c r="G31" i="76"/>
  <c r="G22" i="91"/>
  <c r="W10" i="88"/>
  <c r="W94" i="90"/>
  <c r="AB11" i="88"/>
  <c r="AB95" i="90"/>
  <c r="X11" i="88"/>
  <c r="X95" i="90"/>
  <c r="Z13" i="76"/>
  <c r="Z30" i="90"/>
  <c r="Z10" i="81"/>
  <c r="Z44" i="90"/>
  <c r="Z12" i="82"/>
  <c r="Z79" i="90"/>
  <c r="Z13" i="82"/>
  <c r="Z80" i="90"/>
  <c r="AA13" i="76"/>
  <c r="AA30" i="90"/>
  <c r="U13" i="88"/>
  <c r="U97" i="90"/>
  <c r="AB13" i="88"/>
  <c r="AB97" i="90"/>
  <c r="Z11" i="88"/>
  <c r="Z95" i="90"/>
  <c r="W9" i="88"/>
  <c r="W93" i="90"/>
  <c r="Z9" i="88"/>
  <c r="Z93" i="90"/>
  <c r="Z10" i="88"/>
  <c r="Z94" i="90"/>
  <c r="I9" i="88"/>
  <c r="I93" i="90"/>
  <c r="V12" i="88"/>
  <c r="V96" i="90"/>
  <c r="I13" i="76"/>
  <c r="I30" i="90"/>
  <c r="U12" i="88"/>
  <c r="U96" i="90"/>
  <c r="AA12" i="88"/>
  <c r="AA96" i="90"/>
  <c r="H12" i="81"/>
  <c r="H46" i="90"/>
  <c r="I12" i="81"/>
  <c r="I46" i="90"/>
  <c r="W12" i="81"/>
  <c r="W46" i="90"/>
  <c r="I10" i="81"/>
  <c r="I44" i="90"/>
  <c r="X10" i="81"/>
  <c r="X44" i="90"/>
  <c r="AE12" i="81"/>
  <c r="AE46" i="90"/>
  <c r="V12" i="81"/>
  <c r="V46" i="90"/>
  <c r="G30" i="81"/>
  <c r="G35" i="91"/>
  <c r="G34" i="88"/>
  <c r="G81" i="91"/>
  <c r="K4" i="77"/>
  <c r="D22" i="91"/>
  <c r="Z12" i="76"/>
  <c r="Z29" i="90"/>
  <c r="Z11" i="76"/>
  <c r="Z28" i="90"/>
  <c r="Z10" i="76"/>
  <c r="Z27" i="90"/>
  <c r="E36" i="81"/>
  <c r="E46" i="81" s="1"/>
  <c r="E41" i="91"/>
  <c r="AD98" i="86"/>
  <c r="AD121" i="90" s="1"/>
  <c r="N121" i="90"/>
  <c r="Y102" i="86"/>
  <c r="Y125" i="90" s="1"/>
  <c r="K125" i="90"/>
  <c r="V102" i="86"/>
  <c r="V125" i="90" s="1"/>
  <c r="G125" i="90"/>
  <c r="U105" i="86"/>
  <c r="D4" i="77"/>
  <c r="J131" i="79"/>
  <c r="J31" i="81"/>
  <c r="D5" i="77"/>
  <c r="D4" i="80"/>
  <c r="H4" i="80" s="1"/>
  <c r="G31" i="81"/>
  <c r="D7" i="80"/>
  <c r="G34" i="81"/>
  <c r="D6" i="77"/>
  <c r="G33" i="76"/>
  <c r="D7" i="77"/>
  <c r="H7" i="77" s="1"/>
  <c r="G34" i="76"/>
  <c r="J145" i="79"/>
  <c r="G33" i="81"/>
  <c r="E36" i="76"/>
  <c r="E45" i="76" s="1"/>
  <c r="M9" i="80"/>
  <c r="N21" i="36" s="1"/>
  <c r="M9" i="77"/>
  <c r="N20" i="36" s="1"/>
  <c r="J131" i="75"/>
  <c r="J131" i="86"/>
  <c r="J83" i="91" s="1"/>
  <c r="J131" i="85"/>
  <c r="H131" i="86"/>
  <c r="H83" i="91" s="1"/>
  <c r="H131" i="85"/>
  <c r="H131" i="75"/>
  <c r="H131" i="79"/>
  <c r="G131" i="75"/>
  <c r="D3" i="77"/>
  <c r="G127" i="85"/>
  <c r="G126" i="85"/>
  <c r="G131" i="86"/>
  <c r="G83" i="91" s="1"/>
  <c r="G131" i="79"/>
  <c r="G7" i="82"/>
  <c r="N22" i="81"/>
  <c r="H27" i="82"/>
  <c r="D12" i="81"/>
  <c r="AG30" i="86"/>
  <c r="AH30" i="86" s="1"/>
  <c r="N3" i="81"/>
  <c r="AD3" i="81" s="1"/>
  <c r="J6" i="80"/>
  <c r="N3" i="82"/>
  <c r="G147" i="86"/>
  <c r="AG69" i="86"/>
  <c r="AH69" i="86" s="1"/>
  <c r="AG68" i="79"/>
  <c r="AH68" i="79" s="1"/>
  <c r="AG70" i="86"/>
  <c r="AH70" i="86" s="1"/>
  <c r="AG68" i="86"/>
  <c r="AH68" i="86" s="1"/>
  <c r="I4" i="80"/>
  <c r="E10" i="81"/>
  <c r="AG69" i="79"/>
  <c r="AH69" i="79" s="1"/>
  <c r="AD98" i="75"/>
  <c r="D32" i="81"/>
  <c r="Y102" i="75"/>
  <c r="D143" i="79"/>
  <c r="AG68" i="75"/>
  <c r="AH68" i="75" s="1"/>
  <c r="J142" i="79"/>
  <c r="AG50" i="79"/>
  <c r="AH50" i="79" s="1"/>
  <c r="I6" i="80"/>
  <c r="F12" i="81"/>
  <c r="J143" i="79"/>
  <c r="AG67" i="75"/>
  <c r="AH67" i="75" s="1"/>
  <c r="E12" i="81"/>
  <c r="V102" i="75"/>
  <c r="F10" i="81"/>
  <c r="M9" i="87"/>
  <c r="J4" i="80"/>
  <c r="AF31" i="85"/>
  <c r="AG31" i="85" s="1"/>
  <c r="AH31" i="85" s="1"/>
  <c r="J146" i="75"/>
  <c r="E45" i="88"/>
  <c r="K3" i="87"/>
  <c r="K9" i="87" s="1"/>
  <c r="D131" i="86"/>
  <c r="D83" i="91" s="1"/>
  <c r="L109" i="86"/>
  <c r="G6" i="87"/>
  <c r="G9" i="87" s="1"/>
  <c r="AD90" i="86"/>
  <c r="G147" i="75"/>
  <c r="AG70" i="75"/>
  <c r="AH70" i="75" s="1"/>
  <c r="Y73" i="75"/>
  <c r="Y73" i="79"/>
  <c r="G147" i="79"/>
  <c r="AD71" i="79"/>
  <c r="AD71" i="85"/>
  <c r="AG67" i="79"/>
  <c r="AH67" i="79" s="1"/>
  <c r="AG69" i="75"/>
  <c r="AH69" i="75" s="1"/>
  <c r="G147" i="85"/>
  <c r="AF32" i="85"/>
  <c r="AG32" i="85" s="1"/>
  <c r="AH32" i="85" s="1"/>
  <c r="AB33" i="85"/>
  <c r="F13" i="76"/>
  <c r="E13" i="76"/>
  <c r="Y35" i="79"/>
  <c r="AD33" i="85"/>
  <c r="E9" i="80"/>
  <c r="F21" i="36" s="1"/>
  <c r="AG29" i="85"/>
  <c r="AH29" i="85" s="1"/>
  <c r="AG32" i="86"/>
  <c r="AH32" i="86" s="1"/>
  <c r="Y35" i="75"/>
  <c r="AG30" i="75"/>
  <c r="AH30" i="75" s="1"/>
  <c r="AG30" i="79"/>
  <c r="AH30" i="79" s="1"/>
  <c r="Y35" i="85"/>
  <c r="AF28" i="86"/>
  <c r="AF33" i="86" s="1"/>
  <c r="K146" i="86"/>
  <c r="E7" i="87"/>
  <c r="F147" i="79"/>
  <c r="K145" i="85"/>
  <c r="K143" i="85"/>
  <c r="AG31" i="86"/>
  <c r="AH31" i="86" s="1"/>
  <c r="K144" i="86"/>
  <c r="E5" i="87"/>
  <c r="K143" i="86"/>
  <c r="E4" i="87"/>
  <c r="AD33" i="79"/>
  <c r="E3" i="87"/>
  <c r="K144" i="85"/>
  <c r="K146" i="85"/>
  <c r="K145" i="86"/>
  <c r="E6" i="87"/>
  <c r="F14" i="86"/>
  <c r="H14" i="86"/>
  <c r="D13" i="76"/>
  <c r="F12" i="88"/>
  <c r="I14" i="86"/>
  <c r="D6" i="80"/>
  <c r="H6" i="80" s="1"/>
  <c r="D5" i="80"/>
  <c r="AG51" i="86"/>
  <c r="AH51" i="86" s="1"/>
  <c r="AF51" i="85"/>
  <c r="AG51" i="85" s="1"/>
  <c r="AH51" i="85" s="1"/>
  <c r="J144" i="79"/>
  <c r="D3" i="80"/>
  <c r="AG50" i="86"/>
  <c r="AH50" i="86" s="1"/>
  <c r="G14" i="86"/>
  <c r="Y54" i="75"/>
  <c r="J7" i="77"/>
  <c r="E14" i="75"/>
  <c r="AG49" i="79"/>
  <c r="AH49" i="79" s="1"/>
  <c r="AG50" i="75"/>
  <c r="AH50" i="75" s="1"/>
  <c r="J142" i="75"/>
  <c r="N106" i="86"/>
  <c r="K11" i="86"/>
  <c r="M11" i="86" s="1"/>
  <c r="O11" i="86" s="1"/>
  <c r="AB52" i="79"/>
  <c r="AG48" i="86"/>
  <c r="AH48" i="86" s="1"/>
  <c r="AB52" i="75"/>
  <c r="J144" i="75"/>
  <c r="H105" i="86"/>
  <c r="Y14" i="86"/>
  <c r="AE14" i="85"/>
  <c r="G105" i="86"/>
  <c r="W14" i="86"/>
  <c r="X14" i="86"/>
  <c r="AF11" i="86"/>
  <c r="N14" i="86"/>
  <c r="AE105" i="86"/>
  <c r="AE94" i="90" s="1"/>
  <c r="D14" i="86"/>
  <c r="V14" i="86"/>
  <c r="AE14" i="86"/>
  <c r="E14" i="86"/>
  <c r="AE106" i="86"/>
  <c r="F105" i="86"/>
  <c r="F94" i="90" s="1"/>
  <c r="N105" i="86"/>
  <c r="AA10" i="86"/>
  <c r="AF10" i="86" s="1"/>
  <c r="AF51" i="79"/>
  <c r="AG51" i="79" s="1"/>
  <c r="AH51" i="79" s="1"/>
  <c r="I105" i="86"/>
  <c r="K10" i="86"/>
  <c r="M10" i="86" s="1"/>
  <c r="O10" i="86" s="1"/>
  <c r="U14" i="86"/>
  <c r="Y106" i="86"/>
  <c r="D106" i="86"/>
  <c r="E14" i="85"/>
  <c r="W14" i="85"/>
  <c r="AG48" i="75"/>
  <c r="AH48" i="75" s="1"/>
  <c r="AF47" i="86"/>
  <c r="AF52" i="86" s="1"/>
  <c r="J145" i="75"/>
  <c r="J3" i="87"/>
  <c r="N9" i="88"/>
  <c r="J143" i="75"/>
  <c r="AD52" i="79"/>
  <c r="AF13" i="85"/>
  <c r="AG13" i="85" s="1"/>
  <c r="AH13" i="85" s="1"/>
  <c r="AB104" i="86"/>
  <c r="D146" i="86"/>
  <c r="N13" i="88"/>
  <c r="J7" i="87"/>
  <c r="E10" i="88"/>
  <c r="AD108" i="86"/>
  <c r="AE13" i="88"/>
  <c r="E11" i="88"/>
  <c r="E12" i="88"/>
  <c r="J145" i="86"/>
  <c r="D6" i="87"/>
  <c r="F14" i="75"/>
  <c r="X14" i="75"/>
  <c r="F14" i="85"/>
  <c r="N14" i="85"/>
  <c r="X14" i="85"/>
  <c r="Y54" i="79"/>
  <c r="F11" i="88"/>
  <c r="I3" i="87"/>
  <c r="D9" i="88"/>
  <c r="J144" i="86"/>
  <c r="D5" i="87"/>
  <c r="F13" i="88"/>
  <c r="D10" i="88"/>
  <c r="I4" i="87"/>
  <c r="AD104" i="86"/>
  <c r="AE9" i="88"/>
  <c r="E13" i="88"/>
  <c r="J146" i="86"/>
  <c r="D7" i="87"/>
  <c r="N12" i="88"/>
  <c r="J6" i="87"/>
  <c r="N14" i="75"/>
  <c r="J146" i="79"/>
  <c r="D12" i="88"/>
  <c r="I6" i="87"/>
  <c r="D13" i="88"/>
  <c r="I7" i="87"/>
  <c r="J143" i="86"/>
  <c r="D4" i="87"/>
  <c r="J146" i="85"/>
  <c r="D7" i="83"/>
  <c r="J142" i="86"/>
  <c r="D3" i="87"/>
  <c r="N8" i="87"/>
  <c r="O8" i="87" s="1"/>
  <c r="P8" i="87" s="1"/>
  <c r="L9" i="87"/>
  <c r="AG88" i="86"/>
  <c r="AH88" i="86" s="1"/>
  <c r="K71" i="86"/>
  <c r="Y73" i="86"/>
  <c r="Y54" i="86"/>
  <c r="Y35" i="86"/>
  <c r="AD14" i="86"/>
  <c r="AG13" i="86"/>
  <c r="AH13" i="86" s="1"/>
  <c r="J109" i="86"/>
  <c r="J98" i="90" s="1"/>
  <c r="AF9" i="86"/>
  <c r="AF90" i="86"/>
  <c r="K90" i="86"/>
  <c r="M85" i="86"/>
  <c r="H147" i="86"/>
  <c r="AB14" i="86"/>
  <c r="D142" i="86"/>
  <c r="K104" i="86"/>
  <c r="K93" i="90" s="1"/>
  <c r="M71" i="86"/>
  <c r="O66" i="86"/>
  <c r="O71" i="86" s="1"/>
  <c r="W109" i="86"/>
  <c r="W98" i="90" s="1"/>
  <c r="F147" i="86"/>
  <c r="Z14" i="86"/>
  <c r="AG49" i="86"/>
  <c r="AH49" i="86" s="1"/>
  <c r="AG87" i="86"/>
  <c r="AH87" i="86" s="1"/>
  <c r="K108" i="86"/>
  <c r="Z107" i="86"/>
  <c r="AF12" i="86"/>
  <c r="AG12" i="86" s="1"/>
  <c r="AH12" i="86" s="1"/>
  <c r="D145" i="86"/>
  <c r="K107" i="86"/>
  <c r="AG67" i="86"/>
  <c r="AH67" i="86" s="1"/>
  <c r="K142" i="86"/>
  <c r="M9" i="86"/>
  <c r="AG29" i="86"/>
  <c r="AH29" i="86" s="1"/>
  <c r="AD107" i="86"/>
  <c r="AG89" i="86"/>
  <c r="AH89" i="86" s="1"/>
  <c r="E109" i="86"/>
  <c r="E98" i="90" s="1"/>
  <c r="M28" i="86"/>
  <c r="K33" i="86"/>
  <c r="X109" i="86"/>
  <c r="X98" i="90" s="1"/>
  <c r="K52" i="86"/>
  <c r="M47" i="86"/>
  <c r="V109" i="86"/>
  <c r="V98" i="90" s="1"/>
  <c r="AG86" i="86"/>
  <c r="AH86" i="86" s="1"/>
  <c r="AF66" i="86"/>
  <c r="AG70" i="85"/>
  <c r="AH70" i="85" s="1"/>
  <c r="AG69" i="85"/>
  <c r="AH69" i="85" s="1"/>
  <c r="AG68" i="85"/>
  <c r="AH68" i="85" s="1"/>
  <c r="AG67" i="85"/>
  <c r="AH67" i="85" s="1"/>
  <c r="Y73" i="85"/>
  <c r="V48" i="22"/>
  <c r="W49" i="22"/>
  <c r="X50" i="22"/>
  <c r="AB12" i="75"/>
  <c r="AG32" i="79"/>
  <c r="AH32" i="79" s="1"/>
  <c r="G14" i="85"/>
  <c r="K10" i="85"/>
  <c r="M10" i="85" s="1"/>
  <c r="O10" i="85" s="1"/>
  <c r="K7" i="80"/>
  <c r="D34" i="81"/>
  <c r="M9" i="83"/>
  <c r="N23" i="36" s="1"/>
  <c r="W48" i="22"/>
  <c r="AB10" i="75"/>
  <c r="AF10" i="85"/>
  <c r="AB49" i="85"/>
  <c r="X49" i="22"/>
  <c r="U50" i="22"/>
  <c r="Y50" i="22"/>
  <c r="AE50" i="22"/>
  <c r="Y14" i="75"/>
  <c r="D14" i="75"/>
  <c r="V14" i="75"/>
  <c r="AD9" i="85"/>
  <c r="U14" i="85"/>
  <c r="H14" i="85"/>
  <c r="AB11" i="85"/>
  <c r="AB9" i="85"/>
  <c r="K3" i="80"/>
  <c r="D30" i="81"/>
  <c r="D131" i="79"/>
  <c r="AB48" i="85"/>
  <c r="U49" i="22"/>
  <c r="Y49" i="22"/>
  <c r="AD49" i="85"/>
  <c r="AE49" i="22"/>
  <c r="V50" i="22"/>
  <c r="W14" i="75"/>
  <c r="AB11" i="75"/>
  <c r="I14" i="75"/>
  <c r="AG70" i="79"/>
  <c r="AH70" i="79" s="1"/>
  <c r="V14" i="85"/>
  <c r="K4" i="80"/>
  <c r="D31" i="81"/>
  <c r="K6" i="80"/>
  <c r="D33" i="81"/>
  <c r="X48" i="22"/>
  <c r="U48" i="22"/>
  <c r="Y48" i="22"/>
  <c r="AD48" i="85"/>
  <c r="AE48" i="22"/>
  <c r="V49" i="22"/>
  <c r="W50" i="22"/>
  <c r="U14" i="75"/>
  <c r="H14" i="75"/>
  <c r="AB9" i="75"/>
  <c r="AE14" i="75"/>
  <c r="G14" i="75"/>
  <c r="I14" i="85"/>
  <c r="AD11" i="85"/>
  <c r="Y14" i="85"/>
  <c r="D14" i="85"/>
  <c r="K11" i="85"/>
  <c r="M11" i="85" s="1"/>
  <c r="O11" i="85" s="1"/>
  <c r="K9" i="85"/>
  <c r="AF28" i="85"/>
  <c r="F147" i="85"/>
  <c r="K71" i="85"/>
  <c r="M66" i="85"/>
  <c r="K33" i="85"/>
  <c r="M28" i="85"/>
  <c r="Z104" i="85"/>
  <c r="Z14" i="85"/>
  <c r="K142" i="85"/>
  <c r="AF66" i="85"/>
  <c r="AF12" i="85"/>
  <c r="AG12" i="85" s="1"/>
  <c r="AH12" i="85" s="1"/>
  <c r="AG30" i="85"/>
  <c r="AH30" i="85" s="1"/>
  <c r="K146" i="79"/>
  <c r="K145" i="79"/>
  <c r="K144" i="79"/>
  <c r="K143" i="79"/>
  <c r="AG29" i="79"/>
  <c r="AH29" i="79" s="1"/>
  <c r="Z12" i="81"/>
  <c r="K52" i="79"/>
  <c r="M47" i="79"/>
  <c r="AB14" i="79"/>
  <c r="K33" i="79"/>
  <c r="M28" i="79"/>
  <c r="Z14" i="79"/>
  <c r="AG48" i="79"/>
  <c r="AH48" i="79" s="1"/>
  <c r="AG88" i="79"/>
  <c r="AH88" i="79" s="1"/>
  <c r="AF66" i="79"/>
  <c r="AF28" i="79"/>
  <c r="Y16" i="79"/>
  <c r="AF47" i="79"/>
  <c r="AG31" i="79"/>
  <c r="AH31" i="79" s="1"/>
  <c r="K71" i="79"/>
  <c r="M66" i="79"/>
  <c r="K142" i="79"/>
  <c r="AG86" i="79"/>
  <c r="AH86" i="79" s="1"/>
  <c r="K33" i="75"/>
  <c r="M28" i="75"/>
  <c r="Z104" i="75"/>
  <c r="Z26" i="90" s="1"/>
  <c r="Z14" i="75"/>
  <c r="K146" i="75"/>
  <c r="K142" i="75"/>
  <c r="M47" i="75"/>
  <c r="K52" i="75"/>
  <c r="K145" i="75"/>
  <c r="K144" i="75"/>
  <c r="K143" i="75"/>
  <c r="AF66" i="75"/>
  <c r="AF47" i="75"/>
  <c r="AG49" i="75"/>
  <c r="AH49" i="75" s="1"/>
  <c r="AG32" i="75"/>
  <c r="AH32" i="75" s="1"/>
  <c r="AG29" i="75"/>
  <c r="AH29" i="75" s="1"/>
  <c r="K71" i="75"/>
  <c r="M66" i="75"/>
  <c r="F147" i="75"/>
  <c r="AF28" i="75"/>
  <c r="AG51" i="75"/>
  <c r="AH51" i="75" s="1"/>
  <c r="AG31" i="75"/>
  <c r="AH31" i="75" s="1"/>
  <c r="AF10" i="99" l="1"/>
  <c r="J94" i="91"/>
  <c r="J95" i="91"/>
  <c r="J96" i="91"/>
  <c r="J92" i="91"/>
  <c r="J93" i="91"/>
  <c r="H92" i="91"/>
  <c r="L46" i="99"/>
  <c r="L36" i="81"/>
  <c r="K9" i="98"/>
  <c r="L22" i="36" s="1"/>
  <c r="N6" i="98"/>
  <c r="O6" i="98" s="1"/>
  <c r="P6" i="98" s="1"/>
  <c r="K12" i="99"/>
  <c r="M12" i="99" s="1"/>
  <c r="O12" i="99" s="1"/>
  <c r="AG12" i="99" s="1"/>
  <c r="AH12" i="99" s="1"/>
  <c r="N4" i="98"/>
  <c r="O4" i="98" s="1"/>
  <c r="P4" i="98" s="1"/>
  <c r="G36" i="99"/>
  <c r="G46" i="99" s="1"/>
  <c r="D9" i="98"/>
  <c r="E22" i="36" s="1"/>
  <c r="K10" i="99"/>
  <c r="M10" i="99" s="1"/>
  <c r="O10" i="99" s="1"/>
  <c r="F24" i="36"/>
  <c r="N24" i="36"/>
  <c r="J69" i="91"/>
  <c r="N32" i="36"/>
  <c r="J41" i="91"/>
  <c r="N30" i="36"/>
  <c r="J27" i="91"/>
  <c r="N29" i="36"/>
  <c r="H41" i="91"/>
  <c r="L30" i="36"/>
  <c r="H27" i="91"/>
  <c r="L29" i="36"/>
  <c r="H69" i="91"/>
  <c r="L32" i="36"/>
  <c r="G41" i="91"/>
  <c r="K30" i="36"/>
  <c r="G27" i="91"/>
  <c r="K29" i="36"/>
  <c r="D41" i="91"/>
  <c r="I30" i="36"/>
  <c r="F147" i="22"/>
  <c r="J34" i="39"/>
  <c r="J14" i="88"/>
  <c r="J44" i="88" s="1"/>
  <c r="J131" i="22"/>
  <c r="J12" i="91" s="1"/>
  <c r="J30" i="39"/>
  <c r="G147" i="22"/>
  <c r="G127" i="22"/>
  <c r="J144" i="22" s="1"/>
  <c r="J31" i="39"/>
  <c r="L145" i="79"/>
  <c r="M145" i="79" s="1"/>
  <c r="H36" i="81"/>
  <c r="J36" i="81"/>
  <c r="J46" i="81" s="1"/>
  <c r="L44" i="88"/>
  <c r="L98" i="90"/>
  <c r="J36" i="76"/>
  <c r="J45" i="76" s="1"/>
  <c r="H36" i="76"/>
  <c r="V14" i="88"/>
  <c r="W14" i="88"/>
  <c r="X14" i="88"/>
  <c r="AD12" i="88"/>
  <c r="AD96" i="90"/>
  <c r="D11" i="88"/>
  <c r="K11" i="88" s="1"/>
  <c r="M11" i="88" s="1"/>
  <c r="D95" i="90"/>
  <c r="I10" i="88"/>
  <c r="I14" i="88" s="1"/>
  <c r="I94" i="90"/>
  <c r="G10" i="88"/>
  <c r="G14" i="88" s="1"/>
  <c r="G94" i="90"/>
  <c r="M107" i="86"/>
  <c r="K96" i="90"/>
  <c r="M108" i="86"/>
  <c r="K97" i="90"/>
  <c r="K9" i="88"/>
  <c r="M9" i="88" s="1"/>
  <c r="O9" i="88" s="1"/>
  <c r="AB9" i="88"/>
  <c r="AB14" i="88" s="1"/>
  <c r="AB93" i="90"/>
  <c r="Y11" i="88"/>
  <c r="Y14" i="88" s="1"/>
  <c r="Y95" i="90"/>
  <c r="AE11" i="88"/>
  <c r="AE95" i="90"/>
  <c r="N11" i="88"/>
  <c r="N95" i="90"/>
  <c r="AD9" i="88"/>
  <c r="AD93" i="90"/>
  <c r="AD13" i="88"/>
  <c r="AF13" i="88" s="1"/>
  <c r="AD97" i="90"/>
  <c r="J4" i="87"/>
  <c r="N4" i="87" s="1"/>
  <c r="N94" i="90"/>
  <c r="H10" i="88"/>
  <c r="H14" i="88" s="1"/>
  <c r="H94" i="90"/>
  <c r="G31" i="82"/>
  <c r="G64" i="91"/>
  <c r="Z9" i="82"/>
  <c r="Z76" i="90"/>
  <c r="Z12" i="88"/>
  <c r="Z14" i="88" s="1"/>
  <c r="Z96" i="90"/>
  <c r="G32" i="82"/>
  <c r="G65" i="91"/>
  <c r="U10" i="88"/>
  <c r="U14" i="88" s="1"/>
  <c r="U94" i="90"/>
  <c r="U109" i="86"/>
  <c r="U98" i="90" s="1"/>
  <c r="G36" i="81"/>
  <c r="G36" i="76"/>
  <c r="D9" i="77"/>
  <c r="E20" i="36" s="1"/>
  <c r="J36" i="88"/>
  <c r="J45" i="88" s="1"/>
  <c r="J36" i="82"/>
  <c r="G131" i="85"/>
  <c r="L143" i="79"/>
  <c r="M143" i="79" s="1"/>
  <c r="N6" i="80"/>
  <c r="O6" i="80" s="1"/>
  <c r="P6" i="80" s="1"/>
  <c r="N4" i="80"/>
  <c r="O4" i="80" s="1"/>
  <c r="P4" i="80" s="1"/>
  <c r="H7" i="87"/>
  <c r="L146" i="86"/>
  <c r="M146" i="86" s="1"/>
  <c r="D45" i="88"/>
  <c r="K147" i="86"/>
  <c r="H5" i="87"/>
  <c r="H3" i="87"/>
  <c r="K147" i="79"/>
  <c r="H109" i="86"/>
  <c r="H6" i="87"/>
  <c r="E9" i="87"/>
  <c r="K147" i="85"/>
  <c r="Z109" i="86"/>
  <c r="Z98" i="90" s="1"/>
  <c r="J147" i="79"/>
  <c r="D9" i="80"/>
  <c r="E21" i="36" s="1"/>
  <c r="AF9" i="85"/>
  <c r="AG11" i="86"/>
  <c r="AH11" i="86" s="1"/>
  <c r="AF11" i="85"/>
  <c r="AD106" i="86"/>
  <c r="K106" i="86"/>
  <c r="D144" i="86"/>
  <c r="L144" i="86" s="1"/>
  <c r="M144" i="86" s="1"/>
  <c r="J5" i="87"/>
  <c r="J147" i="75"/>
  <c r="K14" i="85"/>
  <c r="I5" i="87"/>
  <c r="I9" i="87" s="1"/>
  <c r="AE109" i="86"/>
  <c r="AE98" i="90" s="1"/>
  <c r="D109" i="86"/>
  <c r="D98" i="90" s="1"/>
  <c r="D143" i="86"/>
  <c r="L143" i="86" s="1"/>
  <c r="M143" i="86" s="1"/>
  <c r="G109" i="86"/>
  <c r="F10" i="88"/>
  <c r="F14" i="88" s="1"/>
  <c r="N10" i="88"/>
  <c r="N109" i="86"/>
  <c r="N98" i="90" s="1"/>
  <c r="F109" i="86"/>
  <c r="F98" i="90" s="1"/>
  <c r="K14" i="86"/>
  <c r="AG10" i="86"/>
  <c r="AH10" i="86" s="1"/>
  <c r="Y16" i="86"/>
  <c r="I109" i="86"/>
  <c r="K105" i="86"/>
  <c r="AE10" i="88"/>
  <c r="AG10" i="85"/>
  <c r="AH10" i="85" s="1"/>
  <c r="AD105" i="86"/>
  <c r="Y16" i="85"/>
  <c r="Y109" i="86"/>
  <c r="Y98" i="90" s="1"/>
  <c r="N6" i="87"/>
  <c r="AA14" i="86"/>
  <c r="AA105" i="86"/>
  <c r="AA94" i="90" s="1"/>
  <c r="AB14" i="85"/>
  <c r="AF104" i="86"/>
  <c r="AF93" i="90" s="1"/>
  <c r="J147" i="86"/>
  <c r="N3" i="87"/>
  <c r="AD14" i="85"/>
  <c r="AB14" i="75"/>
  <c r="L145" i="86"/>
  <c r="M145" i="86" s="1"/>
  <c r="K12" i="88"/>
  <c r="M12" i="88" s="1"/>
  <c r="O12" i="88" s="1"/>
  <c r="Y16" i="75"/>
  <c r="AF108" i="86"/>
  <c r="AB109" i="86"/>
  <c r="AB98" i="90" s="1"/>
  <c r="M9" i="85"/>
  <c r="M14" i="85" s="1"/>
  <c r="D9" i="87"/>
  <c r="H4" i="87"/>
  <c r="N7" i="87"/>
  <c r="E14" i="88"/>
  <c r="E44" i="88" s="1"/>
  <c r="K13" i="88"/>
  <c r="M13" i="88" s="1"/>
  <c r="O13" i="88" s="1"/>
  <c r="M104" i="86"/>
  <c r="M93" i="90" s="1"/>
  <c r="L142" i="86"/>
  <c r="M142" i="86" s="1"/>
  <c r="AF71" i="86"/>
  <c r="AG66" i="86"/>
  <c r="AH66" i="86" s="1"/>
  <c r="AF107" i="86"/>
  <c r="M90" i="86"/>
  <c r="O85" i="86"/>
  <c r="M52" i="86"/>
  <c r="O47" i="86"/>
  <c r="O28" i="86"/>
  <c r="M33" i="86"/>
  <c r="AF14" i="86"/>
  <c r="O9" i="86"/>
  <c r="M14" i="86"/>
  <c r="AA52" i="85"/>
  <c r="X47" i="22"/>
  <c r="K9" i="80"/>
  <c r="L21" i="36" s="1"/>
  <c r="AA14" i="85"/>
  <c r="AA14" i="75"/>
  <c r="V47" i="22"/>
  <c r="U47" i="22"/>
  <c r="Y47" i="22"/>
  <c r="K49" i="85"/>
  <c r="M49" i="85" s="1"/>
  <c r="O49" i="85" s="1"/>
  <c r="K50" i="85"/>
  <c r="M50" i="85" s="1"/>
  <c r="O50" i="85" s="1"/>
  <c r="AB50" i="85"/>
  <c r="AE47" i="22"/>
  <c r="AF48" i="85"/>
  <c r="W47" i="22"/>
  <c r="AF49" i="85"/>
  <c r="D36" i="81"/>
  <c r="D46" i="81" s="1"/>
  <c r="AD50" i="85"/>
  <c r="K48" i="85"/>
  <c r="M48" i="85" s="1"/>
  <c r="O48" i="85" s="1"/>
  <c r="M33" i="85"/>
  <c r="O28" i="85"/>
  <c r="O33" i="85" s="1"/>
  <c r="M71" i="85"/>
  <c r="O66" i="85"/>
  <c r="O71" i="85" s="1"/>
  <c r="AF71" i="85"/>
  <c r="Z109" i="85"/>
  <c r="Z81" i="90" s="1"/>
  <c r="AF33" i="85"/>
  <c r="M71" i="79"/>
  <c r="O66" i="79"/>
  <c r="O71" i="79" s="1"/>
  <c r="AF52" i="79"/>
  <c r="AF71" i="79"/>
  <c r="M52" i="79"/>
  <c r="O47" i="79"/>
  <c r="O52" i="79" s="1"/>
  <c r="AF33" i="79"/>
  <c r="M33" i="79"/>
  <c r="O28" i="79"/>
  <c r="O33" i="79" s="1"/>
  <c r="AF71" i="75"/>
  <c r="Z9" i="76"/>
  <c r="Z109" i="75"/>
  <c r="Z31" i="90" s="1"/>
  <c r="AF33" i="75"/>
  <c r="O66" i="75"/>
  <c r="O71" i="75" s="1"/>
  <c r="M71" i="75"/>
  <c r="AF52" i="75"/>
  <c r="O47" i="75"/>
  <c r="O52" i="75" s="1"/>
  <c r="M52" i="75"/>
  <c r="M33" i="75"/>
  <c r="O28" i="75"/>
  <c r="O33" i="75" s="1"/>
  <c r="K147" i="75"/>
  <c r="AG10" i="99" l="1"/>
  <c r="AH10" i="99" s="1"/>
  <c r="J98" i="91"/>
  <c r="N33" i="36"/>
  <c r="L33" i="36"/>
  <c r="G69" i="91"/>
  <c r="K32" i="36"/>
  <c r="AG66" i="79"/>
  <c r="AH66" i="79" s="1"/>
  <c r="J36" i="39"/>
  <c r="G7" i="91"/>
  <c r="G93" i="91" s="1"/>
  <c r="Y16" i="88"/>
  <c r="AE14" i="88"/>
  <c r="AG13" i="88"/>
  <c r="AH13" i="88" s="1"/>
  <c r="AF9" i="88"/>
  <c r="AG9" i="88" s="1"/>
  <c r="AH9" i="88" s="1"/>
  <c r="N14" i="88"/>
  <c r="N44" i="88" s="1"/>
  <c r="O11" i="88"/>
  <c r="J9" i="87"/>
  <c r="D14" i="88"/>
  <c r="D44" i="88" s="1"/>
  <c r="AF12" i="88"/>
  <c r="AG12" i="88" s="1"/>
  <c r="AH12" i="88" s="1"/>
  <c r="M106" i="86"/>
  <c r="K95" i="90"/>
  <c r="AF96" i="90"/>
  <c r="AF97" i="90"/>
  <c r="AD11" i="88"/>
  <c r="AF11" i="88" s="1"/>
  <c r="AD95" i="90"/>
  <c r="M105" i="86"/>
  <c r="K94" i="90"/>
  <c r="H44" i="88"/>
  <c r="H98" i="90"/>
  <c r="O108" i="86"/>
  <c r="O97" i="90" s="1"/>
  <c r="M97" i="90"/>
  <c r="AD10" i="88"/>
  <c r="AD94" i="90"/>
  <c r="I44" i="88"/>
  <c r="I98" i="90"/>
  <c r="G44" i="88"/>
  <c r="G98" i="90"/>
  <c r="O107" i="86"/>
  <c r="O96" i="90" s="1"/>
  <c r="M96" i="90"/>
  <c r="Y111" i="86"/>
  <c r="D4" i="36"/>
  <c r="G31" i="39"/>
  <c r="O7" i="87"/>
  <c r="P7" i="87" s="1"/>
  <c r="F44" i="88"/>
  <c r="O3" i="87"/>
  <c r="P3" i="87" s="1"/>
  <c r="H9" i="87"/>
  <c r="AG28" i="85"/>
  <c r="AH28" i="85" s="1"/>
  <c r="O6" i="87"/>
  <c r="P6" i="87" s="1"/>
  <c r="AF106" i="86"/>
  <c r="AF14" i="85"/>
  <c r="AG11" i="85"/>
  <c r="AH11" i="85" s="1"/>
  <c r="D147" i="86"/>
  <c r="N5" i="87"/>
  <c r="O5" i="87" s="1"/>
  <c r="P5" i="87" s="1"/>
  <c r="O9" i="85"/>
  <c r="O14" i="85" s="1"/>
  <c r="AD109" i="86"/>
  <c r="AD98" i="90" s="1"/>
  <c r="AF50" i="85"/>
  <c r="AG50" i="85" s="1"/>
  <c r="AH50" i="85" s="1"/>
  <c r="K10" i="88"/>
  <c r="M10" i="88" s="1"/>
  <c r="O10" i="88" s="1"/>
  <c r="K109" i="86"/>
  <c r="K98" i="90" s="1"/>
  <c r="AF105" i="86"/>
  <c r="AA10" i="88"/>
  <c r="AA14" i="88" s="1"/>
  <c r="AA109" i="86"/>
  <c r="AA98" i="90" s="1"/>
  <c r="J143" i="85"/>
  <c r="D4" i="83"/>
  <c r="O4" i="87"/>
  <c r="P4" i="87" s="1"/>
  <c r="J144" i="85"/>
  <c r="D5" i="83"/>
  <c r="J145" i="85"/>
  <c r="D6" i="83"/>
  <c r="O14" i="86"/>
  <c r="AG9" i="86"/>
  <c r="AH9" i="86" s="1"/>
  <c r="O52" i="86"/>
  <c r="AG47" i="86"/>
  <c r="AH47" i="86" s="1"/>
  <c r="O104" i="86"/>
  <c r="O93" i="90" s="1"/>
  <c r="AG71" i="86"/>
  <c r="AH71" i="86" s="1"/>
  <c r="L147" i="86"/>
  <c r="M147" i="86" s="1"/>
  <c r="O90" i="86"/>
  <c r="AG85" i="86"/>
  <c r="AH85" i="86" s="1"/>
  <c r="O33" i="86"/>
  <c r="AG28" i="86"/>
  <c r="AH28" i="86" s="1"/>
  <c r="AG49" i="85"/>
  <c r="AH49" i="85" s="1"/>
  <c r="AG48" i="85"/>
  <c r="AH48" i="85" s="1"/>
  <c r="N52" i="85"/>
  <c r="AB47" i="85"/>
  <c r="W52" i="85"/>
  <c r="X52" i="85"/>
  <c r="F52" i="85"/>
  <c r="AE52" i="85"/>
  <c r="AD47" i="85"/>
  <c r="AD52" i="85" s="1"/>
  <c r="U52" i="85"/>
  <c r="D52" i="85"/>
  <c r="K47" i="85"/>
  <c r="V52" i="85"/>
  <c r="AG66" i="85"/>
  <c r="AH66" i="85" s="1"/>
  <c r="Y52" i="85"/>
  <c r="G52" i="85"/>
  <c r="I52" i="85"/>
  <c r="H52" i="85"/>
  <c r="E52" i="85"/>
  <c r="AG28" i="79"/>
  <c r="AH28" i="79" s="1"/>
  <c r="AG47" i="79"/>
  <c r="AH47" i="79" s="1"/>
  <c r="AG47" i="75"/>
  <c r="AH47" i="75" s="1"/>
  <c r="Z14" i="76"/>
  <c r="AG28" i="75"/>
  <c r="AH28" i="75" s="1"/>
  <c r="AG66" i="75"/>
  <c r="AH66" i="75" s="1"/>
  <c r="G32" i="69"/>
  <c r="G31" i="69"/>
  <c r="G30" i="69"/>
  <c r="G29" i="69"/>
  <c r="G48" i="69" s="1"/>
  <c r="G28" i="69"/>
  <c r="K33" i="36" l="1"/>
  <c r="AG71" i="85"/>
  <c r="AH71" i="85" s="1"/>
  <c r="AG33" i="85"/>
  <c r="AH33" i="85" s="1"/>
  <c r="AG52" i="75"/>
  <c r="AH52" i="75" s="1"/>
  <c r="O14" i="88"/>
  <c r="AD14" i="88"/>
  <c r="AG11" i="88"/>
  <c r="AH11" i="88" s="1"/>
  <c r="M109" i="86"/>
  <c r="M98" i="90" s="1"/>
  <c r="AG107" i="86"/>
  <c r="AH107" i="86" s="1"/>
  <c r="AF94" i="90"/>
  <c r="AF95" i="90"/>
  <c r="O105" i="86"/>
  <c r="O94" i="90" s="1"/>
  <c r="M94" i="90"/>
  <c r="AG108" i="86"/>
  <c r="AH108" i="86" s="1"/>
  <c r="O106" i="86"/>
  <c r="O95" i="90" s="1"/>
  <c r="M95" i="90"/>
  <c r="AG71" i="79"/>
  <c r="AH71" i="79" s="1"/>
  <c r="G33" i="69"/>
  <c r="AG9" i="85"/>
  <c r="AH9" i="85" s="1"/>
  <c r="G50" i="69"/>
  <c r="G88" i="75" s="1"/>
  <c r="G51" i="69"/>
  <c r="G14" i="69"/>
  <c r="G47" i="69"/>
  <c r="G49" i="69"/>
  <c r="G87" i="97" s="1"/>
  <c r="G106" i="97" s="1"/>
  <c r="G86" i="75"/>
  <c r="G86" i="22"/>
  <c r="M14" i="88"/>
  <c r="AF109" i="86"/>
  <c r="AF98" i="90" s="1"/>
  <c r="N9" i="87"/>
  <c r="K14" i="88"/>
  <c r="K44" i="88" s="1"/>
  <c r="AF10" i="88"/>
  <c r="AF14" i="88" s="1"/>
  <c r="D3" i="83"/>
  <c r="O9" i="87"/>
  <c r="P9" i="87" s="1"/>
  <c r="AG14" i="86"/>
  <c r="AH14" i="86" s="1"/>
  <c r="AG104" i="86"/>
  <c r="AH104" i="86" s="1"/>
  <c r="AG90" i="86"/>
  <c r="AH90" i="86" s="1"/>
  <c r="AG52" i="86"/>
  <c r="AH52" i="86" s="1"/>
  <c r="AG33" i="86"/>
  <c r="AH33" i="86" s="1"/>
  <c r="AF47" i="85"/>
  <c r="AF52" i="85" s="1"/>
  <c r="J142" i="85"/>
  <c r="M47" i="85"/>
  <c r="K52" i="85"/>
  <c r="AB52" i="85"/>
  <c r="Y54" i="85"/>
  <c r="AG52" i="79"/>
  <c r="AH52" i="79" s="1"/>
  <c r="AG33" i="79"/>
  <c r="AH33" i="79" s="1"/>
  <c r="AG33" i="75"/>
  <c r="AH33" i="75" s="1"/>
  <c r="AG71" i="75"/>
  <c r="AH71" i="75" s="1"/>
  <c r="G14" i="22"/>
  <c r="G89" i="79" l="1"/>
  <c r="G89" i="97"/>
  <c r="G108" i="97" s="1"/>
  <c r="G85" i="79"/>
  <c r="G104" i="79" s="1"/>
  <c r="G85" i="97"/>
  <c r="G11" i="99"/>
  <c r="G62" i="90"/>
  <c r="AG93" i="90"/>
  <c r="AG14" i="85"/>
  <c r="AH14" i="85" s="1"/>
  <c r="G87" i="22"/>
  <c r="G87" i="79"/>
  <c r="G106" i="79" s="1"/>
  <c r="O109" i="86"/>
  <c r="O44" i="88" s="1"/>
  <c r="M44" i="88"/>
  <c r="AG106" i="86"/>
  <c r="AH106" i="86" s="1"/>
  <c r="AG97" i="90"/>
  <c r="AG105" i="86"/>
  <c r="AH105" i="86" s="1"/>
  <c r="AG96" i="90"/>
  <c r="J147" i="85"/>
  <c r="G88" i="22"/>
  <c r="G52" i="69"/>
  <c r="G89" i="22"/>
  <c r="G85" i="22"/>
  <c r="AG10" i="88"/>
  <c r="O47" i="85"/>
  <c r="M52" i="85"/>
  <c r="J45" i="82"/>
  <c r="G71" i="22"/>
  <c r="G33" i="22"/>
  <c r="L129" i="22"/>
  <c r="L10" i="91" s="1"/>
  <c r="L96" i="91" s="1"/>
  <c r="L128" i="22"/>
  <c r="L9" i="91" s="1"/>
  <c r="L95" i="91" s="1"/>
  <c r="L127" i="22"/>
  <c r="L8" i="91" s="1"/>
  <c r="L94" i="91" s="1"/>
  <c r="L126" i="22"/>
  <c r="L7" i="91" s="1"/>
  <c r="L93" i="91" s="1"/>
  <c r="L125" i="22"/>
  <c r="K128" i="22"/>
  <c r="K9" i="91" s="1"/>
  <c r="K95" i="91" s="1"/>
  <c r="K127" i="22"/>
  <c r="K8" i="91" s="1"/>
  <c r="K94" i="91" s="1"/>
  <c r="K126" i="22"/>
  <c r="K7" i="91" s="1"/>
  <c r="K93" i="91" s="1"/>
  <c r="K125" i="22"/>
  <c r="K129" i="22"/>
  <c r="K10" i="91" s="1"/>
  <c r="K96" i="91" s="1"/>
  <c r="I27" i="56"/>
  <c r="M27" i="70"/>
  <c r="G9" i="81" l="1"/>
  <c r="G43" i="90"/>
  <c r="G64" i="90"/>
  <c r="G13" i="99"/>
  <c r="G104" i="97"/>
  <c r="G90" i="97"/>
  <c r="AG14" i="88"/>
  <c r="AH14" i="88" s="1"/>
  <c r="AH10" i="88"/>
  <c r="G11" i="81"/>
  <c r="G45" i="90"/>
  <c r="O98" i="90"/>
  <c r="L30" i="39"/>
  <c r="L6" i="91"/>
  <c r="L92" i="91" s="1"/>
  <c r="K30" i="39"/>
  <c r="K6" i="91"/>
  <c r="K92" i="91" s="1"/>
  <c r="AG109" i="86"/>
  <c r="AH109" i="86" s="1"/>
  <c r="AG94" i="90"/>
  <c r="AG95" i="90"/>
  <c r="K32" i="39"/>
  <c r="L32" i="39"/>
  <c r="K31" i="39"/>
  <c r="L31" i="39"/>
  <c r="K33" i="39"/>
  <c r="L33" i="39"/>
  <c r="L34" i="39"/>
  <c r="L45" i="76"/>
  <c r="K34" i="39"/>
  <c r="K36" i="88"/>
  <c r="K45" i="88" s="1"/>
  <c r="K46" i="81"/>
  <c r="L131" i="22"/>
  <c r="O52" i="85"/>
  <c r="AG47" i="85"/>
  <c r="AH47" i="85" s="1"/>
  <c r="N37" i="70"/>
  <c r="G109" i="97" l="1"/>
  <c r="G65" i="90" s="1"/>
  <c r="G9" i="99"/>
  <c r="G60" i="90"/>
  <c r="L12" i="91"/>
  <c r="L98" i="91" s="1"/>
  <c r="P4" i="70"/>
  <c r="AG98" i="90"/>
  <c r="K36" i="39"/>
  <c r="L36" i="39"/>
  <c r="L45" i="39" s="1"/>
  <c r="K45" i="76"/>
  <c r="L46" i="81"/>
  <c r="K36" i="82"/>
  <c r="K45" i="82" s="1"/>
  <c r="L36" i="88"/>
  <c r="L45" i="88" s="1"/>
  <c r="L36" i="82"/>
  <c r="L45" i="82" s="1"/>
  <c r="AG52" i="85"/>
  <c r="AH52" i="85" s="1"/>
  <c r="C17" i="56" l="1"/>
  <c r="C18" i="56" s="1"/>
  <c r="N8" i="83" l="1"/>
  <c r="O8" i="83" s="1"/>
  <c r="P8" i="83" s="1"/>
  <c r="L9" i="83"/>
  <c r="M23" i="36" s="1"/>
  <c r="M24" i="36" s="1"/>
  <c r="F29" i="70"/>
  <c r="F6" i="70" s="1"/>
  <c r="E29" i="70"/>
  <c r="E6" i="70" s="1"/>
  <c r="D29" i="70"/>
  <c r="D6" i="70" s="1"/>
  <c r="C29" i="70"/>
  <c r="C6" i="70" s="1"/>
  <c r="N28" i="70"/>
  <c r="R27" i="56" s="1"/>
  <c r="M28" i="70"/>
  <c r="R18" i="56" s="1"/>
  <c r="N27" i="70"/>
  <c r="F27" i="56"/>
  <c r="F18" i="56"/>
  <c r="N12" i="70"/>
  <c r="N13" i="70" s="1"/>
  <c r="O26" i="56" l="1"/>
  <c r="O27" i="56" s="1"/>
  <c r="O17" i="56"/>
  <c r="O18" i="56" s="1"/>
  <c r="N21" i="70"/>
  <c r="N29" i="70"/>
  <c r="M29" i="70"/>
  <c r="M6" i="70" s="1"/>
  <c r="C26" i="56"/>
  <c r="C27" i="56" s="1"/>
  <c r="K131" i="22"/>
  <c r="N6" i="70" l="1"/>
  <c r="K45" i="39"/>
  <c r="K12" i="91"/>
  <c r="K98" i="91" s="1"/>
  <c r="J45" i="39"/>
  <c r="AA31" i="69"/>
  <c r="AA50" i="69" s="1"/>
  <c r="Y31" i="69"/>
  <c r="X31" i="69"/>
  <c r="W31" i="69"/>
  <c r="V31" i="69"/>
  <c r="U31" i="69"/>
  <c r="N31" i="69"/>
  <c r="F6" i="39" l="1"/>
  <c r="AA30" i="69" l="1"/>
  <c r="Y30" i="69"/>
  <c r="X30" i="69"/>
  <c r="W30" i="69"/>
  <c r="V30" i="69"/>
  <c r="AD31" i="69" l="1"/>
  <c r="AA48" i="69" l="1"/>
  <c r="D30" i="76" l="1"/>
  <c r="K66" i="22" l="1"/>
  <c r="M7" i="36"/>
  <c r="K70" i="22"/>
  <c r="G129" i="22"/>
  <c r="G8" i="91"/>
  <c r="G94" i="91" s="1"/>
  <c r="G128" i="22"/>
  <c r="AD47" i="22"/>
  <c r="G10" i="91" l="1"/>
  <c r="G96" i="91" s="1"/>
  <c r="J146" i="22"/>
  <c r="G9" i="91"/>
  <c r="G95" i="91" s="1"/>
  <c r="J145" i="22"/>
  <c r="G33" i="39"/>
  <c r="G34" i="39"/>
  <c r="G32" i="39"/>
  <c r="J142" i="22"/>
  <c r="J147" i="22" l="1"/>
  <c r="G30" i="39"/>
  <c r="G36" i="39" s="1"/>
  <c r="G6" i="91"/>
  <c r="G92" i="91" s="1"/>
  <c r="G46" i="81"/>
  <c r="G36" i="88"/>
  <c r="G45" i="88" s="1"/>
  <c r="G45" i="76"/>
  <c r="G36" i="82"/>
  <c r="G45" i="82" s="1"/>
  <c r="D9" i="83" l="1"/>
  <c r="E23" i="36" s="1"/>
  <c r="E24" i="36" s="1"/>
  <c r="F9" i="36" l="1"/>
  <c r="G25" i="36" s="1"/>
  <c r="J51" i="69" l="1"/>
  <c r="J89" i="79" s="1"/>
  <c r="J50" i="69"/>
  <c r="J49" i="69"/>
  <c r="J87" i="79" s="1"/>
  <c r="J48" i="69"/>
  <c r="J85" i="79"/>
  <c r="N51" i="69"/>
  <c r="N48" i="69"/>
  <c r="E28" i="69"/>
  <c r="AA49" i="69"/>
  <c r="AA87" i="97" s="1"/>
  <c r="AD32" i="69"/>
  <c r="AC32" i="69" s="1"/>
  <c r="U51" i="69"/>
  <c r="U89" i="97" s="1"/>
  <c r="I32" i="69"/>
  <c r="H32" i="69"/>
  <c r="F32" i="69"/>
  <c r="E32" i="69"/>
  <c r="D32" i="69"/>
  <c r="AC31" i="69"/>
  <c r="U50" i="69"/>
  <c r="D31" i="69"/>
  <c r="I31" i="69"/>
  <c r="H31" i="69"/>
  <c r="F31" i="69"/>
  <c r="E31" i="69"/>
  <c r="AC30" i="69"/>
  <c r="X49" i="69"/>
  <c r="I30" i="69"/>
  <c r="H30" i="69"/>
  <c r="F30" i="69"/>
  <c r="E30" i="69"/>
  <c r="AD29" i="69"/>
  <c r="AC29" i="69" s="1"/>
  <c r="W48" i="69"/>
  <c r="I29" i="69"/>
  <c r="H29" i="69"/>
  <c r="F29" i="69"/>
  <c r="E29" i="69"/>
  <c r="D29" i="69"/>
  <c r="AD28" i="69"/>
  <c r="AC28" i="69" s="1"/>
  <c r="I28" i="69"/>
  <c r="H28" i="69"/>
  <c r="L52" i="69"/>
  <c r="Z51" i="69"/>
  <c r="Z89" i="79" s="1"/>
  <c r="Z50" i="69"/>
  <c r="Z49" i="69"/>
  <c r="Z87" i="79" s="1"/>
  <c r="Z106" i="79" s="1"/>
  <c r="Z48" i="69"/>
  <c r="Z47" i="69"/>
  <c r="Z85" i="79" s="1"/>
  <c r="Z104" i="79" s="1"/>
  <c r="X45" i="69"/>
  <c r="U45" i="69"/>
  <c r="K45" i="69"/>
  <c r="Y45" i="69" s="1"/>
  <c r="H45" i="69"/>
  <c r="V45" i="69" s="1"/>
  <c r="D45" i="69"/>
  <c r="D44" i="69"/>
  <c r="N41" i="69"/>
  <c r="AC41" i="69" s="1"/>
  <c r="L33" i="69"/>
  <c r="J33" i="69"/>
  <c r="Z32" i="69"/>
  <c r="Z31" i="69"/>
  <c r="Z30" i="69"/>
  <c r="Z29" i="69"/>
  <c r="Z28" i="69"/>
  <c r="X26" i="69"/>
  <c r="U26" i="69"/>
  <c r="K26" i="69"/>
  <c r="Y26" i="69" s="1"/>
  <c r="H26" i="69"/>
  <c r="V26" i="69" s="1"/>
  <c r="D26" i="69"/>
  <c r="D25" i="69"/>
  <c r="N22" i="69"/>
  <c r="AC22" i="69" s="1"/>
  <c r="Y7" i="69"/>
  <c r="X7" i="69"/>
  <c r="V7" i="69"/>
  <c r="U7" i="69"/>
  <c r="AC3" i="69"/>
  <c r="N89" i="79" l="1"/>
  <c r="N89" i="97"/>
  <c r="N108" i="97" s="1"/>
  <c r="AA90" i="97"/>
  <c r="AA106" i="97"/>
  <c r="U108" i="97"/>
  <c r="X87" i="79"/>
  <c r="X106" i="79" s="1"/>
  <c r="X87" i="97"/>
  <c r="X106" i="97" s="1"/>
  <c r="AA87" i="79"/>
  <c r="AA106" i="79" s="1"/>
  <c r="AA87" i="22"/>
  <c r="AC106" i="79"/>
  <c r="AC106" i="22"/>
  <c r="Z45" i="90"/>
  <c r="Z11" i="81"/>
  <c r="Z9" i="81"/>
  <c r="Z43" i="90"/>
  <c r="K29" i="69"/>
  <c r="M29" i="69" s="1"/>
  <c r="O29" i="69" s="1"/>
  <c r="K32" i="69"/>
  <c r="K31" i="69"/>
  <c r="M31" i="69" s="1"/>
  <c r="O31" i="69" s="1"/>
  <c r="N86" i="22"/>
  <c r="N86" i="75"/>
  <c r="J86" i="22"/>
  <c r="J86" i="75"/>
  <c r="W86" i="22"/>
  <c r="W105" i="85"/>
  <c r="W86" i="75"/>
  <c r="W105" i="75" s="1"/>
  <c r="U89" i="22"/>
  <c r="U89" i="79"/>
  <c r="AA106" i="85"/>
  <c r="AA106" i="75"/>
  <c r="N89" i="22"/>
  <c r="J87" i="22"/>
  <c r="U88" i="22"/>
  <c r="U88" i="75"/>
  <c r="AA88" i="22"/>
  <c r="AA107" i="22" s="1"/>
  <c r="J19" i="94" s="1"/>
  <c r="J27" i="94" s="1"/>
  <c r="AA107" i="85"/>
  <c r="AA88" i="75"/>
  <c r="AA107" i="75" s="1"/>
  <c r="AA108" i="85"/>
  <c r="J88" i="22"/>
  <c r="J88" i="75"/>
  <c r="Z90" i="79"/>
  <c r="Z108" i="79"/>
  <c r="X87" i="22"/>
  <c r="X106" i="85"/>
  <c r="X106" i="75"/>
  <c r="J85" i="22"/>
  <c r="J85" i="75"/>
  <c r="J89" i="22"/>
  <c r="AE32" i="69"/>
  <c r="E49" i="69"/>
  <c r="E87" i="97" s="1"/>
  <c r="E106" i="97" s="1"/>
  <c r="D30" i="69"/>
  <c r="K30" i="69" s="1"/>
  <c r="M30" i="69" s="1"/>
  <c r="AE29" i="69"/>
  <c r="AB30" i="69"/>
  <c r="Y47" i="69"/>
  <c r="E50" i="69"/>
  <c r="E88" i="22" s="1"/>
  <c r="E107" i="22" s="1"/>
  <c r="E47" i="69"/>
  <c r="AB28" i="69"/>
  <c r="D28" i="69"/>
  <c r="V51" i="69"/>
  <c r="V89" i="97" s="1"/>
  <c r="H51" i="69"/>
  <c r="W51" i="69"/>
  <c r="W89" i="97" s="1"/>
  <c r="W108" i="97" s="1"/>
  <c r="E51" i="69"/>
  <c r="Y51" i="69"/>
  <c r="Y89" i="97" s="1"/>
  <c r="Y108" i="97" s="1"/>
  <c r="AD51" i="69"/>
  <c r="AE89" i="97" s="1"/>
  <c r="AE108" i="97" s="1"/>
  <c r="I51" i="69"/>
  <c r="X51" i="69"/>
  <c r="X89" i="97" s="1"/>
  <c r="X108" i="97" s="1"/>
  <c r="D51" i="69"/>
  <c r="W50" i="69"/>
  <c r="X50" i="69"/>
  <c r="V50" i="69"/>
  <c r="F50" i="69"/>
  <c r="AD50" i="69"/>
  <c r="I50" i="69"/>
  <c r="Y50" i="69"/>
  <c r="D50" i="69"/>
  <c r="D88" i="22" s="1"/>
  <c r="D107" i="22" s="1"/>
  <c r="U49" i="69"/>
  <c r="H49" i="69"/>
  <c r="W49" i="69"/>
  <c r="Y49" i="69"/>
  <c r="F49" i="69"/>
  <c r="AD49" i="69"/>
  <c r="V49" i="69"/>
  <c r="H48" i="69"/>
  <c r="U48" i="69"/>
  <c r="Y33" i="69"/>
  <c r="I48" i="69"/>
  <c r="F48" i="69"/>
  <c r="F33" i="69"/>
  <c r="D48" i="69"/>
  <c r="V48" i="69"/>
  <c r="AD48" i="69"/>
  <c r="V47" i="69"/>
  <c r="I47" i="69"/>
  <c r="X47" i="69"/>
  <c r="U47" i="69"/>
  <c r="H47" i="69"/>
  <c r="W47" i="69"/>
  <c r="AA47" i="69"/>
  <c r="AC85" i="97" s="1"/>
  <c r="AD47" i="69"/>
  <c r="V33" i="69"/>
  <c r="H50" i="69"/>
  <c r="F51" i="69"/>
  <c r="F89" i="97" s="1"/>
  <c r="I49" i="69"/>
  <c r="E48" i="69"/>
  <c r="E86" i="22" s="1"/>
  <c r="X48" i="69"/>
  <c r="Y48" i="69"/>
  <c r="F14" i="69"/>
  <c r="H33" i="69"/>
  <c r="J52" i="69"/>
  <c r="E33" i="69"/>
  <c r="I33" i="69"/>
  <c r="F47" i="69"/>
  <c r="U33" i="69"/>
  <c r="AD33" i="69"/>
  <c r="AA33" i="69"/>
  <c r="W33" i="69"/>
  <c r="AC33" i="69"/>
  <c r="Z33" i="69"/>
  <c r="V14" i="69"/>
  <c r="AC47" i="69"/>
  <c r="AC49" i="69"/>
  <c r="J14" i="69"/>
  <c r="Z14" i="69"/>
  <c r="X33" i="69"/>
  <c r="I14" i="69"/>
  <c r="AD14" i="69"/>
  <c r="W14" i="69"/>
  <c r="AC50" i="69"/>
  <c r="E14" i="69"/>
  <c r="N14" i="69"/>
  <c r="AA14" i="69"/>
  <c r="Z52" i="69"/>
  <c r="X14" i="69"/>
  <c r="H14" i="69"/>
  <c r="L14" i="69"/>
  <c r="U14" i="69"/>
  <c r="X11" i="81" l="1"/>
  <c r="X45" i="90"/>
  <c r="N13" i="99"/>
  <c r="J7" i="98"/>
  <c r="N64" i="90"/>
  <c r="AA109" i="97"/>
  <c r="AA65" i="90" s="1"/>
  <c r="AA11" i="99"/>
  <c r="AA62" i="90"/>
  <c r="U13" i="99"/>
  <c r="U64" i="90"/>
  <c r="X11" i="99"/>
  <c r="X62" i="90"/>
  <c r="E11" i="99"/>
  <c r="E62" i="90"/>
  <c r="Y85" i="79"/>
  <c r="Y104" i="79" s="1"/>
  <c r="Y85" i="97"/>
  <c r="E85" i="79"/>
  <c r="E104" i="79" s="1"/>
  <c r="E85" i="97"/>
  <c r="V108" i="97"/>
  <c r="H89" i="79"/>
  <c r="H89" i="97"/>
  <c r="W64" i="90"/>
  <c r="W13" i="99"/>
  <c r="E89" i="22"/>
  <c r="E89" i="97"/>
  <c r="E108" i="97" s="1"/>
  <c r="Y13" i="99"/>
  <c r="Y64" i="90"/>
  <c r="AE64" i="90"/>
  <c r="AD108" i="97"/>
  <c r="AE13" i="99"/>
  <c r="I89" i="79"/>
  <c r="I89" i="97"/>
  <c r="I108" i="97" s="1"/>
  <c r="X13" i="99"/>
  <c r="X64" i="90"/>
  <c r="D89" i="22"/>
  <c r="H146" i="22" s="1"/>
  <c r="D89" i="97"/>
  <c r="U87" i="79"/>
  <c r="U106" i="79" s="1"/>
  <c r="U87" i="97"/>
  <c r="H87" i="79"/>
  <c r="H106" i="79" s="1"/>
  <c r="H87" i="97"/>
  <c r="H106" i="97" s="1"/>
  <c r="W87" i="79"/>
  <c r="W106" i="79" s="1"/>
  <c r="W87" i="97"/>
  <c r="Y87" i="79"/>
  <c r="Y106" i="79" s="1"/>
  <c r="Y87" i="97"/>
  <c r="Y106" i="97" s="1"/>
  <c r="F87" i="79"/>
  <c r="F106" i="79" s="1"/>
  <c r="F87" i="97"/>
  <c r="AE87" i="79"/>
  <c r="AE106" i="79" s="1"/>
  <c r="AE87" i="97"/>
  <c r="V87" i="79"/>
  <c r="V106" i="79" s="1"/>
  <c r="V87" i="97"/>
  <c r="V106" i="97" s="1"/>
  <c r="V85" i="79"/>
  <c r="V104" i="79" s="1"/>
  <c r="V85" i="97"/>
  <c r="I85" i="79"/>
  <c r="I85" i="97"/>
  <c r="X85" i="79"/>
  <c r="X104" i="79" s="1"/>
  <c r="X85" i="97"/>
  <c r="U85" i="79"/>
  <c r="U85" i="97"/>
  <c r="H85" i="79"/>
  <c r="H104" i="79" s="1"/>
  <c r="H85" i="97"/>
  <c r="H104" i="97" s="1"/>
  <c r="W85" i="79"/>
  <c r="W104" i="79" s="1"/>
  <c r="W85" i="97"/>
  <c r="W104" i="97" s="1"/>
  <c r="AC104" i="97"/>
  <c r="AC90" i="97"/>
  <c r="AE85" i="79"/>
  <c r="AE104" i="79" s="1"/>
  <c r="AE85" i="97"/>
  <c r="AE104" i="97" s="1"/>
  <c r="F108" i="97"/>
  <c r="K89" i="97"/>
  <c r="M89" i="97" s="1"/>
  <c r="O89" i="97" s="1"/>
  <c r="I87" i="79"/>
  <c r="I106" i="79" s="1"/>
  <c r="I87" i="97"/>
  <c r="I106" i="97" s="1"/>
  <c r="F85" i="79"/>
  <c r="F104" i="79" s="1"/>
  <c r="F85" i="97"/>
  <c r="F104" i="97" s="1"/>
  <c r="AD85" i="79"/>
  <c r="AD85" i="97"/>
  <c r="AD87" i="79"/>
  <c r="AD87" i="97"/>
  <c r="AA11" i="81"/>
  <c r="Z47" i="90"/>
  <c r="Z14" i="99"/>
  <c r="M32" i="69"/>
  <c r="O32" i="69" s="1"/>
  <c r="AF32" i="69" s="1"/>
  <c r="AG32" i="69" s="1"/>
  <c r="K28" i="69"/>
  <c r="AE30" i="69"/>
  <c r="AB49" i="69"/>
  <c r="AB87" i="97" s="1"/>
  <c r="AB106" i="97" s="1"/>
  <c r="AE28" i="69"/>
  <c r="AB47" i="69"/>
  <c r="AB85" i="97" s="1"/>
  <c r="D86" i="22"/>
  <c r="H143" i="22" s="1"/>
  <c r="K48" i="69"/>
  <c r="M48" i="69" s="1"/>
  <c r="O48" i="69" s="1"/>
  <c r="AA45" i="90"/>
  <c r="AC11" i="39"/>
  <c r="AC11" i="90"/>
  <c r="AC11" i="81"/>
  <c r="AC45" i="90"/>
  <c r="AA104" i="79"/>
  <c r="AC85" i="79"/>
  <c r="AC85" i="22"/>
  <c r="AC104" i="22" s="1"/>
  <c r="E87" i="79"/>
  <c r="E106" i="79" s="1"/>
  <c r="E87" i="22"/>
  <c r="AA12" i="82"/>
  <c r="AA79" i="90"/>
  <c r="AA11" i="82"/>
  <c r="AA78" i="90"/>
  <c r="AA13" i="82"/>
  <c r="AA80" i="90"/>
  <c r="X11" i="82"/>
  <c r="X78" i="90"/>
  <c r="W10" i="82"/>
  <c r="W77" i="90"/>
  <c r="AA12" i="76"/>
  <c r="AA29" i="90"/>
  <c r="X11" i="76"/>
  <c r="X28" i="90"/>
  <c r="AA11" i="76"/>
  <c r="AA28" i="90"/>
  <c r="W10" i="76"/>
  <c r="W27" i="90"/>
  <c r="D47" i="69"/>
  <c r="K50" i="69"/>
  <c r="M50" i="69" s="1"/>
  <c r="K51" i="69"/>
  <c r="H87" i="22"/>
  <c r="G106" i="85"/>
  <c r="H106" i="85"/>
  <c r="H106" i="75"/>
  <c r="G106" i="75"/>
  <c r="G106" i="22"/>
  <c r="G25" i="93" s="1"/>
  <c r="G34" i="93" s="1"/>
  <c r="I89" i="22"/>
  <c r="I108" i="85"/>
  <c r="Z13" i="81"/>
  <c r="Z14" i="81" s="1"/>
  <c r="Z109" i="79"/>
  <c r="Z48" i="90" s="1"/>
  <c r="U107" i="85"/>
  <c r="Y86" i="22"/>
  <c r="Y105" i="85"/>
  <c r="Y86" i="75"/>
  <c r="Y105" i="75" s="1"/>
  <c r="F89" i="22"/>
  <c r="F108" i="85"/>
  <c r="F80" i="90" s="1"/>
  <c r="F89" i="79"/>
  <c r="AA104" i="22"/>
  <c r="X85" i="22"/>
  <c r="V86" i="22"/>
  <c r="V105" i="85"/>
  <c r="V86" i="75"/>
  <c r="V105" i="75" s="1"/>
  <c r="AA86" i="22"/>
  <c r="AA105" i="85"/>
  <c r="AA86" i="75"/>
  <c r="AA105" i="75" s="1"/>
  <c r="H86" i="22"/>
  <c r="G105" i="85"/>
  <c r="H105" i="85"/>
  <c r="G105" i="75"/>
  <c r="H86" i="75"/>
  <c r="H105" i="75" s="1"/>
  <c r="G105" i="22"/>
  <c r="G24" i="93" s="1"/>
  <c r="G33" i="93" s="1"/>
  <c r="Y87" i="22"/>
  <c r="Y106" i="85"/>
  <c r="Y106" i="75"/>
  <c r="D88" i="75"/>
  <c r="F88" i="22"/>
  <c r="F107" i="85"/>
  <c r="F79" i="90" s="1"/>
  <c r="F88" i="75"/>
  <c r="F107" i="75" s="1"/>
  <c r="F29" i="90" s="1"/>
  <c r="D89" i="79"/>
  <c r="I129" i="79" s="1"/>
  <c r="Y89" i="22"/>
  <c r="Y108" i="85"/>
  <c r="Y89" i="79"/>
  <c r="V89" i="22"/>
  <c r="V108" i="85"/>
  <c r="V89" i="79"/>
  <c r="E85" i="22"/>
  <c r="J90" i="75"/>
  <c r="U108" i="79"/>
  <c r="I88" i="22"/>
  <c r="I107" i="85"/>
  <c r="I88" i="75"/>
  <c r="I107" i="75" s="1"/>
  <c r="X86" i="22"/>
  <c r="X105" i="85"/>
  <c r="X86" i="75"/>
  <c r="X105" i="75" s="1"/>
  <c r="H88" i="22"/>
  <c r="H107" i="85"/>
  <c r="G107" i="85"/>
  <c r="H88" i="75"/>
  <c r="H107" i="75" s="1"/>
  <c r="G107" i="75"/>
  <c r="G107" i="22"/>
  <c r="G26" i="93" s="1"/>
  <c r="G35" i="93" s="1"/>
  <c r="W85" i="22"/>
  <c r="I85" i="22"/>
  <c r="D86" i="75"/>
  <c r="I126" i="75" s="1"/>
  <c r="I86" i="22"/>
  <c r="I105" i="85"/>
  <c r="I86" i="75"/>
  <c r="I105" i="75" s="1"/>
  <c r="V87" i="22"/>
  <c r="V106" i="85"/>
  <c r="V106" i="75"/>
  <c r="W87" i="22"/>
  <c r="W106" i="85"/>
  <c r="W106" i="75"/>
  <c r="Y88" i="22"/>
  <c r="Y107" i="85"/>
  <c r="Y88" i="75"/>
  <c r="Y107" i="75" s="1"/>
  <c r="V88" i="22"/>
  <c r="V107" i="85"/>
  <c r="V88" i="75"/>
  <c r="V107" i="75" s="1"/>
  <c r="X89" i="22"/>
  <c r="X108" i="85"/>
  <c r="X89" i="79"/>
  <c r="E108" i="85"/>
  <c r="E80" i="90" s="1"/>
  <c r="E89" i="79"/>
  <c r="E107" i="85"/>
  <c r="E79" i="90" s="1"/>
  <c r="E88" i="75"/>
  <c r="E107" i="75" s="1"/>
  <c r="E29" i="90" s="1"/>
  <c r="I108" i="79"/>
  <c r="J104" i="85"/>
  <c r="J90" i="85"/>
  <c r="J107" i="85"/>
  <c r="U107" i="75"/>
  <c r="U29" i="90" s="1"/>
  <c r="J106" i="85"/>
  <c r="U108" i="85"/>
  <c r="AB86" i="75"/>
  <c r="AB105" i="75" s="1"/>
  <c r="N105" i="75"/>
  <c r="N27" i="90" s="1"/>
  <c r="H85" i="22"/>
  <c r="E105" i="22"/>
  <c r="E24" i="93" s="1"/>
  <c r="E33" i="93" s="1"/>
  <c r="E105" i="85"/>
  <c r="E77" i="90" s="1"/>
  <c r="E86" i="75"/>
  <c r="E105" i="75" s="1"/>
  <c r="E27" i="90" s="1"/>
  <c r="AE87" i="22"/>
  <c r="AE106" i="85"/>
  <c r="AE106" i="75"/>
  <c r="X88" i="22"/>
  <c r="X107" i="85"/>
  <c r="X88" i="75"/>
  <c r="X107" i="75" s="1"/>
  <c r="W89" i="22"/>
  <c r="W108" i="85"/>
  <c r="W89" i="79"/>
  <c r="Y85" i="22"/>
  <c r="J108" i="85"/>
  <c r="AB105" i="85"/>
  <c r="N105" i="85"/>
  <c r="N77" i="90" s="1"/>
  <c r="I87" i="22"/>
  <c r="I106" i="85"/>
  <c r="I106" i="75"/>
  <c r="AE85" i="22"/>
  <c r="AD85" i="75"/>
  <c r="U85" i="22"/>
  <c r="AE86" i="22"/>
  <c r="AE105" i="85"/>
  <c r="AE86" i="75"/>
  <c r="AE105" i="75" s="1"/>
  <c r="F86" i="22"/>
  <c r="F105" i="85"/>
  <c r="F77" i="90" s="1"/>
  <c r="F86" i="75"/>
  <c r="F105" i="75" s="1"/>
  <c r="F27" i="90" s="1"/>
  <c r="U86" i="22"/>
  <c r="U86" i="75"/>
  <c r="F87" i="22"/>
  <c r="F106" i="85"/>
  <c r="F78" i="90" s="1"/>
  <c r="F106" i="75"/>
  <c r="F28" i="90" s="1"/>
  <c r="U87" i="22"/>
  <c r="AE88" i="22"/>
  <c r="AE107" i="85"/>
  <c r="AE88" i="75"/>
  <c r="AE107" i="75" s="1"/>
  <c r="W88" i="22"/>
  <c r="W107" i="85"/>
  <c r="W88" i="75"/>
  <c r="W107" i="75" s="1"/>
  <c r="AE89" i="22"/>
  <c r="AE108" i="85"/>
  <c r="AE89" i="79"/>
  <c r="H89" i="22"/>
  <c r="G108" i="85"/>
  <c r="H108" i="85"/>
  <c r="G108" i="22"/>
  <c r="G27" i="93" s="1"/>
  <c r="G36" i="93" s="1"/>
  <c r="E106" i="85"/>
  <c r="E78" i="90" s="1"/>
  <c r="E106" i="75"/>
  <c r="E28" i="90" s="1"/>
  <c r="AA90" i="79"/>
  <c r="AA108" i="79"/>
  <c r="AB108" i="85"/>
  <c r="N108" i="85"/>
  <c r="N80" i="90" s="1"/>
  <c r="J105" i="85"/>
  <c r="AB51" i="69"/>
  <c r="D33" i="69"/>
  <c r="D49" i="69"/>
  <c r="O30" i="69"/>
  <c r="N49" i="69"/>
  <c r="N87" i="97" s="1"/>
  <c r="N106" i="97" s="1"/>
  <c r="AD52" i="69"/>
  <c r="AB31" i="69"/>
  <c r="AE31" i="69" s="1"/>
  <c r="AE33" i="69" s="1"/>
  <c r="N50" i="69"/>
  <c r="Y14" i="69"/>
  <c r="Y16" i="69" s="1"/>
  <c r="N33" i="69"/>
  <c r="AA52" i="69"/>
  <c r="M28" i="69"/>
  <c r="N47" i="69"/>
  <c r="W52" i="69"/>
  <c r="V52" i="69"/>
  <c r="V85" i="22"/>
  <c r="U52" i="69"/>
  <c r="H52" i="69"/>
  <c r="Y52" i="69"/>
  <c r="I52" i="69"/>
  <c r="X52" i="69"/>
  <c r="E52" i="69"/>
  <c r="F52" i="69"/>
  <c r="F85" i="22"/>
  <c r="AF13" i="69"/>
  <c r="AG13" i="69" s="1"/>
  <c r="AC51" i="69"/>
  <c r="AF10" i="69"/>
  <c r="AG10" i="69" s="1"/>
  <c r="AC48" i="69"/>
  <c r="Y35" i="69"/>
  <c r="AF29" i="69"/>
  <c r="AG29" i="69" s="1"/>
  <c r="AF12" i="69"/>
  <c r="AG12" i="69" s="1"/>
  <c r="AF11" i="69"/>
  <c r="AG11" i="69" s="1"/>
  <c r="AC14" i="69"/>
  <c r="AB14" i="69"/>
  <c r="E9" i="81" l="1"/>
  <c r="E43" i="90"/>
  <c r="F9" i="81"/>
  <c r="F43" i="90"/>
  <c r="Y9" i="81"/>
  <c r="Y43" i="90"/>
  <c r="H11" i="81"/>
  <c r="H45" i="90"/>
  <c r="W11" i="81"/>
  <c r="W45" i="90"/>
  <c r="Y11" i="81"/>
  <c r="Y45" i="90"/>
  <c r="AE11" i="81"/>
  <c r="AE45" i="90"/>
  <c r="V11" i="81"/>
  <c r="V45" i="90"/>
  <c r="V9" i="81"/>
  <c r="V43" i="90"/>
  <c r="I104" i="79"/>
  <c r="I109" i="79" s="1"/>
  <c r="I48" i="90" s="1"/>
  <c r="I90" i="79"/>
  <c r="X43" i="90"/>
  <c r="X9" i="81"/>
  <c r="U104" i="79"/>
  <c r="U90" i="79"/>
  <c r="H9" i="81"/>
  <c r="H43" i="90"/>
  <c r="W9" i="81"/>
  <c r="W43" i="90"/>
  <c r="AE9" i="81"/>
  <c r="AE43" i="90"/>
  <c r="I11" i="81"/>
  <c r="I45" i="90"/>
  <c r="Y104" i="97"/>
  <c r="Y90" i="97"/>
  <c r="AF85" i="97"/>
  <c r="E104" i="97"/>
  <c r="E90" i="97"/>
  <c r="V13" i="99"/>
  <c r="V64" i="90"/>
  <c r="H108" i="97"/>
  <c r="H109" i="97" s="1"/>
  <c r="H65" i="90" s="1"/>
  <c r="H90" i="97"/>
  <c r="E13" i="99"/>
  <c r="E64" i="90"/>
  <c r="AD13" i="99"/>
  <c r="AD64" i="90"/>
  <c r="I13" i="99"/>
  <c r="I64" i="90"/>
  <c r="D108" i="97"/>
  <c r="I129" i="97"/>
  <c r="H146" i="97"/>
  <c r="G7" i="98" s="1"/>
  <c r="H7" i="98" s="1"/>
  <c r="U106" i="97"/>
  <c r="AF87" i="97"/>
  <c r="H11" i="99"/>
  <c r="H62" i="90"/>
  <c r="W106" i="97"/>
  <c r="W109" i="97" s="1"/>
  <c r="W65" i="90" s="1"/>
  <c r="W90" i="97"/>
  <c r="Y11" i="99"/>
  <c r="Y62" i="90"/>
  <c r="F106" i="97"/>
  <c r="F109" i="97" s="1"/>
  <c r="F65" i="90" s="1"/>
  <c r="F90" i="97"/>
  <c r="AE106" i="97"/>
  <c r="AE109" i="97" s="1"/>
  <c r="AE65" i="90" s="1"/>
  <c r="AE90" i="97"/>
  <c r="V11" i="99"/>
  <c r="V62" i="90"/>
  <c r="V104" i="97"/>
  <c r="V90" i="97"/>
  <c r="I104" i="97"/>
  <c r="I90" i="97"/>
  <c r="X104" i="97"/>
  <c r="X90" i="97"/>
  <c r="U104" i="97"/>
  <c r="U90" i="97"/>
  <c r="H9" i="99"/>
  <c r="H60" i="90"/>
  <c r="W60" i="90"/>
  <c r="W9" i="99"/>
  <c r="AC109" i="97"/>
  <c r="AC65" i="90" s="1"/>
  <c r="AC9" i="99"/>
  <c r="AC60" i="90"/>
  <c r="AD104" i="97"/>
  <c r="AE9" i="99"/>
  <c r="AE60" i="90"/>
  <c r="F64" i="90"/>
  <c r="F13" i="99"/>
  <c r="I11" i="99"/>
  <c r="I62" i="90"/>
  <c r="F9" i="99"/>
  <c r="F60" i="90"/>
  <c r="AB11" i="99"/>
  <c r="AB62" i="90"/>
  <c r="AB104" i="97"/>
  <c r="D85" i="22"/>
  <c r="D85" i="97"/>
  <c r="AB89" i="79"/>
  <c r="AB89" i="97"/>
  <c r="AB90" i="97" s="1"/>
  <c r="D87" i="22"/>
  <c r="K87" i="22" s="1"/>
  <c r="D87" i="97"/>
  <c r="J5" i="98"/>
  <c r="N62" i="90"/>
  <c r="N11" i="99"/>
  <c r="N85" i="79"/>
  <c r="N104" i="79" s="1"/>
  <c r="N43" i="90" s="1"/>
  <c r="N85" i="97"/>
  <c r="AD89" i="79"/>
  <c r="AD90" i="79" s="1"/>
  <c r="AD89" i="97"/>
  <c r="AD90" i="97" s="1"/>
  <c r="AC112" i="90"/>
  <c r="E45" i="90"/>
  <c r="I47" i="90"/>
  <c r="AA47" i="90"/>
  <c r="AA9" i="81"/>
  <c r="U47" i="90"/>
  <c r="AF30" i="69"/>
  <c r="AG30" i="69" s="1"/>
  <c r="AA43" i="90"/>
  <c r="J16" i="94"/>
  <c r="J24" i="94" s="1"/>
  <c r="AC90" i="22"/>
  <c r="AC104" i="79"/>
  <c r="AC90" i="79"/>
  <c r="G13" i="90"/>
  <c r="G12" i="90"/>
  <c r="G11" i="90"/>
  <c r="E10" i="90"/>
  <c r="E111" i="90" s="1"/>
  <c r="G10" i="90"/>
  <c r="E11" i="81"/>
  <c r="AE49" i="69"/>
  <c r="AB87" i="79"/>
  <c r="F45" i="90"/>
  <c r="F11" i="81"/>
  <c r="O87" i="75"/>
  <c r="N87" i="79"/>
  <c r="N106" i="79" s="1"/>
  <c r="U11" i="81"/>
  <c r="U45" i="90"/>
  <c r="K49" i="69"/>
  <c r="M49" i="69" s="1"/>
  <c r="O49" i="69" s="1"/>
  <c r="D87" i="79"/>
  <c r="J10" i="82"/>
  <c r="J77" i="90"/>
  <c r="J13" i="82"/>
  <c r="J80" i="90"/>
  <c r="J11" i="82"/>
  <c r="J78" i="90"/>
  <c r="J9" i="82"/>
  <c r="J76" i="90"/>
  <c r="J12" i="82"/>
  <c r="J79" i="90"/>
  <c r="AE12" i="82"/>
  <c r="AE79" i="90"/>
  <c r="AE11" i="82"/>
  <c r="AE78" i="90"/>
  <c r="U13" i="82"/>
  <c r="U80" i="90"/>
  <c r="W11" i="82"/>
  <c r="W78" i="90"/>
  <c r="H12" i="82"/>
  <c r="H79" i="90"/>
  <c r="Y13" i="82"/>
  <c r="Y80" i="90"/>
  <c r="G10" i="82"/>
  <c r="G77" i="90"/>
  <c r="U12" i="82"/>
  <c r="U79" i="90"/>
  <c r="H11" i="82"/>
  <c r="H78" i="90"/>
  <c r="V13" i="82"/>
  <c r="V80" i="90"/>
  <c r="G11" i="82"/>
  <c r="G78" i="90"/>
  <c r="Y12" i="82"/>
  <c r="Y79" i="90"/>
  <c r="H13" i="82"/>
  <c r="H80" i="90"/>
  <c r="AB10" i="82"/>
  <c r="AB77" i="90"/>
  <c r="W13" i="82"/>
  <c r="W80" i="90"/>
  <c r="V12" i="82"/>
  <c r="V79" i="90"/>
  <c r="I10" i="82"/>
  <c r="I77" i="90"/>
  <c r="I12" i="82"/>
  <c r="I79" i="90"/>
  <c r="Y11" i="82"/>
  <c r="Y78" i="90"/>
  <c r="V10" i="82"/>
  <c r="V77" i="90"/>
  <c r="Y10" i="82"/>
  <c r="Y77" i="90"/>
  <c r="W12" i="82"/>
  <c r="W79" i="90"/>
  <c r="AE10" i="82"/>
  <c r="AE77" i="90"/>
  <c r="X12" i="82"/>
  <c r="X79" i="90"/>
  <c r="AE13" i="82"/>
  <c r="AE80" i="90"/>
  <c r="AB13" i="82"/>
  <c r="AB80" i="90"/>
  <c r="G13" i="82"/>
  <c r="G80" i="90"/>
  <c r="I11" i="82"/>
  <c r="I78" i="90"/>
  <c r="X13" i="82"/>
  <c r="X80" i="90"/>
  <c r="V11" i="82"/>
  <c r="V78" i="90"/>
  <c r="G12" i="82"/>
  <c r="G79" i="90"/>
  <c r="X10" i="82"/>
  <c r="X77" i="90"/>
  <c r="H10" i="82"/>
  <c r="H77" i="90"/>
  <c r="AA10" i="82"/>
  <c r="AA77" i="90"/>
  <c r="I13" i="82"/>
  <c r="I80" i="90"/>
  <c r="I34" i="81"/>
  <c r="I39" i="91"/>
  <c r="W12" i="76"/>
  <c r="W29" i="90"/>
  <c r="X12" i="76"/>
  <c r="X29" i="90"/>
  <c r="H12" i="76"/>
  <c r="H29" i="90"/>
  <c r="AE12" i="76"/>
  <c r="AE29" i="90"/>
  <c r="Y12" i="76"/>
  <c r="Y29" i="90"/>
  <c r="V12" i="76"/>
  <c r="V29" i="90"/>
  <c r="G12" i="76"/>
  <c r="G29" i="90"/>
  <c r="I12" i="76"/>
  <c r="I29" i="90"/>
  <c r="Y11" i="76"/>
  <c r="Y28" i="90"/>
  <c r="I11" i="76"/>
  <c r="I28" i="90"/>
  <c r="V11" i="76"/>
  <c r="V28" i="90"/>
  <c r="G11" i="76"/>
  <c r="G28" i="90"/>
  <c r="AE11" i="76"/>
  <c r="AE28" i="90"/>
  <c r="W11" i="76"/>
  <c r="W28" i="90"/>
  <c r="H11" i="76"/>
  <c r="H28" i="90"/>
  <c r="AB10" i="76"/>
  <c r="AB27" i="90"/>
  <c r="I31" i="76"/>
  <c r="I22" i="91"/>
  <c r="I10" i="76"/>
  <c r="I27" i="90"/>
  <c r="H10" i="76"/>
  <c r="H27" i="90"/>
  <c r="V10" i="76"/>
  <c r="V27" i="90"/>
  <c r="Y10" i="76"/>
  <c r="Y27" i="90"/>
  <c r="AE10" i="76"/>
  <c r="AE27" i="90"/>
  <c r="X10" i="76"/>
  <c r="X27" i="90"/>
  <c r="G10" i="76"/>
  <c r="G27" i="90"/>
  <c r="AA10" i="76"/>
  <c r="AA27" i="90"/>
  <c r="G4" i="36"/>
  <c r="D105" i="22"/>
  <c r="AE47" i="69"/>
  <c r="AB85" i="79"/>
  <c r="AB104" i="79" s="1"/>
  <c r="K47" i="69"/>
  <c r="M47" i="69" s="1"/>
  <c r="O47" i="69" s="1"/>
  <c r="D85" i="79"/>
  <c r="I126" i="22"/>
  <c r="I7" i="91" s="1"/>
  <c r="I93" i="91" s="1"/>
  <c r="I129" i="22"/>
  <c r="I10" i="91" s="1"/>
  <c r="K86" i="22"/>
  <c r="K89" i="22"/>
  <c r="K88" i="22"/>
  <c r="AE90" i="22"/>
  <c r="N13" i="82"/>
  <c r="J7" i="83"/>
  <c r="F11" i="82"/>
  <c r="E10" i="82"/>
  <c r="E13" i="82"/>
  <c r="E12" i="82"/>
  <c r="E11" i="82"/>
  <c r="F12" i="82"/>
  <c r="F13" i="82"/>
  <c r="F10" i="82"/>
  <c r="J4" i="83"/>
  <c r="N10" i="82"/>
  <c r="AD107" i="85"/>
  <c r="AD106" i="85"/>
  <c r="AD105" i="85"/>
  <c r="AA13" i="81"/>
  <c r="AA109" i="79"/>
  <c r="AA48" i="90" s="1"/>
  <c r="U106" i="85"/>
  <c r="Y90" i="85"/>
  <c r="Y104" i="85"/>
  <c r="Y76" i="90" s="1"/>
  <c r="E11" i="76"/>
  <c r="G90" i="79"/>
  <c r="G108" i="79"/>
  <c r="AE90" i="79"/>
  <c r="AE108" i="79"/>
  <c r="AE109" i="79" s="1"/>
  <c r="F11" i="76"/>
  <c r="U105" i="85"/>
  <c r="U90" i="75"/>
  <c r="U104" i="75"/>
  <c r="U26" i="90" s="1"/>
  <c r="AE90" i="85"/>
  <c r="AE104" i="85"/>
  <c r="W90" i="79"/>
  <c r="W108" i="79"/>
  <c r="G104" i="22"/>
  <c r="G23" i="93" s="1"/>
  <c r="G32" i="93" s="1"/>
  <c r="G90" i="22"/>
  <c r="G90" i="85"/>
  <c r="G104" i="85"/>
  <c r="G76" i="90" s="1"/>
  <c r="U12" i="76"/>
  <c r="E90" i="79"/>
  <c r="E108" i="79"/>
  <c r="I90" i="75"/>
  <c r="I104" i="75"/>
  <c r="I26" i="90" s="1"/>
  <c r="W90" i="85"/>
  <c r="W104" i="85"/>
  <c r="V90" i="85"/>
  <c r="V104" i="85"/>
  <c r="AD87" i="75"/>
  <c r="E90" i="75"/>
  <c r="E104" i="75"/>
  <c r="E26" i="90" s="1"/>
  <c r="F12" i="76"/>
  <c r="K88" i="85"/>
  <c r="M88" i="85" s="1"/>
  <c r="D107" i="85"/>
  <c r="D79" i="90" s="1"/>
  <c r="AA90" i="75"/>
  <c r="AA104" i="75"/>
  <c r="AA26" i="90" s="1"/>
  <c r="G11" i="39"/>
  <c r="N85" i="22"/>
  <c r="U106" i="75"/>
  <c r="U28" i="90" s="1"/>
  <c r="U90" i="85"/>
  <c r="U104" i="85"/>
  <c r="Y90" i="75"/>
  <c r="Y104" i="75"/>
  <c r="Y26" i="90" s="1"/>
  <c r="E10" i="76"/>
  <c r="H90" i="75"/>
  <c r="H104" i="75"/>
  <c r="H26" i="90" s="1"/>
  <c r="AF89" i="85"/>
  <c r="J109" i="85"/>
  <c r="J81" i="90" s="1"/>
  <c r="E12" i="76"/>
  <c r="K86" i="75"/>
  <c r="M86" i="75" s="1"/>
  <c r="O86" i="75" s="1"/>
  <c r="H143" i="75"/>
  <c r="G4" i="77" s="1"/>
  <c r="H4" i="77" s="1"/>
  <c r="D105" i="75"/>
  <c r="D27" i="90" s="1"/>
  <c r="I90" i="85"/>
  <c r="I104" i="85"/>
  <c r="I76" i="90" s="1"/>
  <c r="AD88" i="75"/>
  <c r="E90" i="85"/>
  <c r="E104" i="85"/>
  <c r="D108" i="79"/>
  <c r="G10" i="39"/>
  <c r="X90" i="75"/>
  <c r="X104" i="75"/>
  <c r="X26" i="90" s="1"/>
  <c r="AA90" i="85"/>
  <c r="AA104" i="85"/>
  <c r="AA76" i="90" s="1"/>
  <c r="H90" i="79"/>
  <c r="H108" i="79"/>
  <c r="G90" i="75"/>
  <c r="G104" i="75"/>
  <c r="G26" i="90" s="1"/>
  <c r="H143" i="85"/>
  <c r="G4" i="83" s="1"/>
  <c r="H4" i="83" s="1"/>
  <c r="K86" i="85"/>
  <c r="M86" i="85" s="1"/>
  <c r="O86" i="85" s="1"/>
  <c r="D105" i="85"/>
  <c r="D77" i="90" s="1"/>
  <c r="G12" i="39"/>
  <c r="U13" i="81"/>
  <c r="Y90" i="79"/>
  <c r="Y108" i="79"/>
  <c r="K89" i="85"/>
  <c r="M89" i="85" s="1"/>
  <c r="O89" i="85" s="1"/>
  <c r="D108" i="85"/>
  <c r="D80" i="90" s="1"/>
  <c r="H146" i="85"/>
  <c r="G7" i="83" s="1"/>
  <c r="H7" i="83" s="1"/>
  <c r="X90" i="85"/>
  <c r="X104" i="85"/>
  <c r="X76" i="90" s="1"/>
  <c r="F90" i="75"/>
  <c r="F104" i="75"/>
  <c r="F26" i="90" s="1"/>
  <c r="M51" i="69"/>
  <c r="J90" i="79"/>
  <c r="F10" i="76"/>
  <c r="N10" i="76"/>
  <c r="J4" i="77"/>
  <c r="G7" i="36"/>
  <c r="N88" i="22"/>
  <c r="H145" i="22" s="1"/>
  <c r="N88" i="75"/>
  <c r="H145" i="75" s="1"/>
  <c r="G6" i="77" s="1"/>
  <c r="H6" i="77" s="1"/>
  <c r="N87" i="22"/>
  <c r="G13" i="39"/>
  <c r="U105" i="75"/>
  <c r="U27" i="90" s="1"/>
  <c r="AE90" i="75"/>
  <c r="AE26" i="90"/>
  <c r="AD108" i="85"/>
  <c r="AD80" i="90" s="1"/>
  <c r="H90" i="85"/>
  <c r="H104" i="85"/>
  <c r="H76" i="90" s="1"/>
  <c r="I13" i="81"/>
  <c r="X90" i="79"/>
  <c r="X108" i="79"/>
  <c r="W90" i="75"/>
  <c r="W104" i="75"/>
  <c r="AD86" i="75"/>
  <c r="AF86" i="75" s="1"/>
  <c r="V90" i="75"/>
  <c r="V104" i="75"/>
  <c r="V90" i="79"/>
  <c r="V108" i="79"/>
  <c r="K88" i="75"/>
  <c r="M88" i="75" s="1"/>
  <c r="D107" i="75"/>
  <c r="D29" i="90" s="1"/>
  <c r="F90" i="79"/>
  <c r="F108" i="79"/>
  <c r="F90" i="85"/>
  <c r="F104" i="85"/>
  <c r="K14" i="69"/>
  <c r="AE51" i="69"/>
  <c r="AE48" i="69"/>
  <c r="AF48" i="69" s="1"/>
  <c r="AG48" i="69" s="1"/>
  <c r="D52" i="69"/>
  <c r="AF31" i="69"/>
  <c r="AG31" i="69" s="1"/>
  <c r="N52" i="69"/>
  <c r="K33" i="69"/>
  <c r="AB33" i="69"/>
  <c r="O50" i="69"/>
  <c r="AB50" i="69"/>
  <c r="H8" i="36"/>
  <c r="Y54" i="69"/>
  <c r="AC52" i="69"/>
  <c r="AE14" i="69"/>
  <c r="O28" i="69"/>
  <c r="M35" i="69" s="1"/>
  <c r="M33" i="69"/>
  <c r="M14" i="69"/>
  <c r="AC14" i="99" l="1"/>
  <c r="I43" i="90"/>
  <c r="I9" i="81"/>
  <c r="I14" i="81" s="1"/>
  <c r="I45" i="81" s="1"/>
  <c r="H144" i="22"/>
  <c r="U9" i="81"/>
  <c r="U14" i="81" s="1"/>
  <c r="U43" i="90"/>
  <c r="U109" i="79"/>
  <c r="U48" i="90" s="1"/>
  <c r="AB108" i="79"/>
  <c r="AF89" i="79"/>
  <c r="J3" i="80"/>
  <c r="N9" i="81"/>
  <c r="Y109" i="97"/>
  <c r="Y65" i="90" s="1"/>
  <c r="Y9" i="99"/>
  <c r="Y14" i="99" s="1"/>
  <c r="Y60" i="90"/>
  <c r="E109" i="97"/>
  <c r="E65" i="90" s="1"/>
  <c r="E9" i="99"/>
  <c r="E14" i="99" s="1"/>
  <c r="E45" i="99" s="1"/>
  <c r="E60" i="90"/>
  <c r="H64" i="90"/>
  <c r="H13" i="99"/>
  <c r="H14" i="99" s="1"/>
  <c r="H45" i="99" s="1"/>
  <c r="D146" i="97"/>
  <c r="L146" i="97" s="1"/>
  <c r="M146" i="97" s="1"/>
  <c r="K108" i="97"/>
  <c r="I7" i="98"/>
  <c r="D13" i="99"/>
  <c r="D64" i="90"/>
  <c r="I34" i="99"/>
  <c r="I53" i="91"/>
  <c r="I96" i="91" s="1"/>
  <c r="U11" i="99"/>
  <c r="U62" i="90"/>
  <c r="W11" i="99"/>
  <c r="W14" i="99" s="1"/>
  <c r="W62" i="90"/>
  <c r="F62" i="90"/>
  <c r="F11" i="99"/>
  <c r="F14" i="99" s="1"/>
  <c r="F45" i="99" s="1"/>
  <c r="AE11" i="99"/>
  <c r="AE14" i="99" s="1"/>
  <c r="AE62" i="90"/>
  <c r="AD106" i="97"/>
  <c r="V109" i="97"/>
  <c r="V65" i="90" s="1"/>
  <c r="V9" i="99"/>
  <c r="V14" i="99" s="1"/>
  <c r="V60" i="90"/>
  <c r="I109" i="97"/>
  <c r="I65" i="90" s="1"/>
  <c r="I9" i="99"/>
  <c r="I14" i="99" s="1"/>
  <c r="I45" i="99" s="1"/>
  <c r="I60" i="90"/>
  <c r="X109" i="97"/>
  <c r="X65" i="90" s="1"/>
  <c r="X60" i="90"/>
  <c r="X9" i="99"/>
  <c r="X14" i="99" s="1"/>
  <c r="U109" i="97"/>
  <c r="AF104" i="97"/>
  <c r="U9" i="99"/>
  <c r="U60" i="90"/>
  <c r="AD60" i="90"/>
  <c r="AD9" i="99"/>
  <c r="AB9" i="99"/>
  <c r="AB60" i="90"/>
  <c r="D104" i="97"/>
  <c r="K85" i="97"/>
  <c r="D90" i="97"/>
  <c r="I125" i="97"/>
  <c r="H142" i="97"/>
  <c r="AF89" i="97"/>
  <c r="AB108" i="97"/>
  <c r="AB109" i="97" s="1"/>
  <c r="AB65" i="90" s="1"/>
  <c r="D106" i="97"/>
  <c r="I127" i="97"/>
  <c r="K87" i="97"/>
  <c r="M87" i="97" s="1"/>
  <c r="O87" i="97" s="1"/>
  <c r="AG87" i="97" s="1"/>
  <c r="AH87" i="97" s="1"/>
  <c r="H144" i="97"/>
  <c r="G5" i="98" s="1"/>
  <c r="H5" i="98" s="1"/>
  <c r="N104" i="97"/>
  <c r="N90" i="97"/>
  <c r="Y92" i="97"/>
  <c r="G111" i="90"/>
  <c r="G112" i="90"/>
  <c r="G113" i="90"/>
  <c r="AA14" i="81"/>
  <c r="AA14" i="99"/>
  <c r="AE47" i="90"/>
  <c r="H47" i="90"/>
  <c r="Y47" i="90"/>
  <c r="G47" i="90"/>
  <c r="G114" i="90" s="1"/>
  <c r="G14" i="99"/>
  <c r="G45" i="99" s="1"/>
  <c r="X47" i="90"/>
  <c r="F47" i="90"/>
  <c r="D47" i="90"/>
  <c r="E47" i="90"/>
  <c r="D24" i="93"/>
  <c r="D33" i="93" s="1"/>
  <c r="AF28" i="69"/>
  <c r="AF49" i="69"/>
  <c r="AG49" i="69" s="1"/>
  <c r="AC43" i="90"/>
  <c r="AC9" i="81"/>
  <c r="AC14" i="81" s="1"/>
  <c r="AC109" i="79"/>
  <c r="AC48" i="90" s="1"/>
  <c r="AC9" i="90"/>
  <c r="AC109" i="22"/>
  <c r="AC14" i="90" s="1"/>
  <c r="AC9" i="39"/>
  <c r="AC14" i="39" s="1"/>
  <c r="V76" i="90"/>
  <c r="W26" i="90"/>
  <c r="W76" i="90"/>
  <c r="V47" i="90"/>
  <c r="W47" i="90"/>
  <c r="V26" i="90"/>
  <c r="H142" i="22"/>
  <c r="H147" i="22" s="1"/>
  <c r="AB90" i="79"/>
  <c r="D10" i="90"/>
  <c r="D111" i="90" s="1"/>
  <c r="G9" i="90"/>
  <c r="G110" i="90" s="1"/>
  <c r="K85" i="22"/>
  <c r="D90" i="22"/>
  <c r="I127" i="79"/>
  <c r="D106" i="79"/>
  <c r="D144" i="79" s="1"/>
  <c r="H144" i="79"/>
  <c r="G5" i="80" s="1"/>
  <c r="H5" i="80" s="1"/>
  <c r="K87" i="79"/>
  <c r="M87" i="79" s="1"/>
  <c r="O87" i="79" s="1"/>
  <c r="J5" i="80"/>
  <c r="N11" i="81"/>
  <c r="N45" i="90"/>
  <c r="AB106" i="79"/>
  <c r="AF87" i="79"/>
  <c r="N104" i="22"/>
  <c r="N23" i="93" s="1"/>
  <c r="N32" i="93" s="1"/>
  <c r="AD104" i="85"/>
  <c r="AD109" i="85" s="1"/>
  <c r="AD81" i="90" s="1"/>
  <c r="AE76" i="90"/>
  <c r="U10" i="82"/>
  <c r="U77" i="90"/>
  <c r="AD10" i="82"/>
  <c r="AD77" i="90"/>
  <c r="E9" i="82"/>
  <c r="E76" i="90"/>
  <c r="U9" i="82"/>
  <c r="U76" i="90"/>
  <c r="U11" i="82"/>
  <c r="U78" i="90"/>
  <c r="AD11" i="82"/>
  <c r="AD78" i="90"/>
  <c r="F9" i="82"/>
  <c r="F76" i="90"/>
  <c r="AD12" i="82"/>
  <c r="AD79" i="90"/>
  <c r="AF9" i="69"/>
  <c r="AF14" i="69" s="1"/>
  <c r="O14" i="69"/>
  <c r="I127" i="75"/>
  <c r="I128" i="75"/>
  <c r="D90" i="79"/>
  <c r="I125" i="79"/>
  <c r="I35" i="91" s="1"/>
  <c r="I34" i="39"/>
  <c r="I31" i="39"/>
  <c r="H142" i="79"/>
  <c r="G3" i="80" s="1"/>
  <c r="H3" i="80" s="1"/>
  <c r="K85" i="79"/>
  <c r="M85" i="79" s="1"/>
  <c r="O85" i="79" s="1"/>
  <c r="D104" i="79"/>
  <c r="AF85" i="79"/>
  <c r="G5" i="36"/>
  <c r="K89" i="79"/>
  <c r="Y92" i="79"/>
  <c r="O88" i="75"/>
  <c r="I128" i="22"/>
  <c r="I9" i="91" s="1"/>
  <c r="AG86" i="75"/>
  <c r="AH86" i="75" s="1"/>
  <c r="I127" i="22"/>
  <c r="I8" i="91" s="1"/>
  <c r="I125" i="22"/>
  <c r="AA109" i="85"/>
  <c r="AA81" i="90" s="1"/>
  <c r="AA9" i="82"/>
  <c r="D12" i="82"/>
  <c r="I6" i="83"/>
  <c r="V109" i="85"/>
  <c r="V81" i="90" s="1"/>
  <c r="V9" i="82"/>
  <c r="G109" i="85"/>
  <c r="G81" i="90" s="1"/>
  <c r="G9" i="82"/>
  <c r="G14" i="82" s="1"/>
  <c r="I4" i="83"/>
  <c r="D10" i="82"/>
  <c r="X109" i="85"/>
  <c r="X81" i="90" s="1"/>
  <c r="X9" i="82"/>
  <c r="W109" i="85"/>
  <c r="W81" i="90" s="1"/>
  <c r="W9" i="82"/>
  <c r="Y109" i="85"/>
  <c r="Y81" i="90" s="1"/>
  <c r="Y9" i="82"/>
  <c r="AF108" i="85"/>
  <c r="AF80" i="90" s="1"/>
  <c r="AD13" i="82"/>
  <c r="D13" i="82"/>
  <c r="I7" i="83"/>
  <c r="H109" i="85"/>
  <c r="H81" i="90" s="1"/>
  <c r="H9" i="82"/>
  <c r="I109" i="85"/>
  <c r="I81" i="90" s="1"/>
  <c r="I9" i="82"/>
  <c r="AE109" i="85"/>
  <c r="AE81" i="90" s="1"/>
  <c r="AE9" i="82"/>
  <c r="AD90" i="85"/>
  <c r="AF105" i="85"/>
  <c r="AF77" i="90" s="1"/>
  <c r="AE9" i="76"/>
  <c r="AE14" i="76" s="1"/>
  <c r="AE109" i="75"/>
  <c r="AE31" i="90" s="1"/>
  <c r="N106" i="85"/>
  <c r="N78" i="90" s="1"/>
  <c r="G6" i="36"/>
  <c r="O51" i="69"/>
  <c r="O52" i="69" s="1"/>
  <c r="AD90" i="75"/>
  <c r="D13" i="81"/>
  <c r="I7" i="80"/>
  <c r="E109" i="85"/>
  <c r="E81" i="90" s="1"/>
  <c r="AG89" i="85"/>
  <c r="AH89" i="85" s="1"/>
  <c r="N90" i="75"/>
  <c r="AB85" i="75"/>
  <c r="N104" i="75"/>
  <c r="N26" i="90" s="1"/>
  <c r="K107" i="85"/>
  <c r="W13" i="81"/>
  <c r="W14" i="81" s="1"/>
  <c r="W109" i="79"/>
  <c r="W48" i="90" s="1"/>
  <c r="AE13" i="81"/>
  <c r="AE14" i="81" s="1"/>
  <c r="AE48" i="90"/>
  <c r="F109" i="79"/>
  <c r="F48" i="90" s="1"/>
  <c r="F13" i="81"/>
  <c r="F14" i="81" s="1"/>
  <c r="W109" i="75"/>
  <c r="W31" i="90" s="1"/>
  <c r="W9" i="76"/>
  <c r="W14" i="76" s="1"/>
  <c r="F109" i="75"/>
  <c r="F31" i="90" s="1"/>
  <c r="F9" i="76"/>
  <c r="F14" i="76" s="1"/>
  <c r="H13" i="81"/>
  <c r="H14" i="81" s="1"/>
  <c r="H109" i="79"/>
  <c r="H48" i="90" s="1"/>
  <c r="H9" i="76"/>
  <c r="H14" i="76" s="1"/>
  <c r="H109" i="75"/>
  <c r="H31" i="90" s="1"/>
  <c r="Y109" i="75"/>
  <c r="Y31" i="90" s="1"/>
  <c r="Y9" i="76"/>
  <c r="Y14" i="76" s="1"/>
  <c r="Y92" i="85"/>
  <c r="D90" i="75"/>
  <c r="K85" i="75"/>
  <c r="H142" i="75"/>
  <c r="D104" i="75"/>
  <c r="D26" i="90" s="1"/>
  <c r="N90" i="85"/>
  <c r="N104" i="85"/>
  <c r="N76" i="90" s="1"/>
  <c r="O88" i="85"/>
  <c r="I9" i="76"/>
  <c r="I14" i="76" s="1"/>
  <c r="I109" i="75"/>
  <c r="I31" i="90" s="1"/>
  <c r="AF86" i="85"/>
  <c r="AG86" i="85" s="1"/>
  <c r="AH86" i="85" s="1"/>
  <c r="U10" i="76"/>
  <c r="K105" i="85"/>
  <c r="X9" i="76"/>
  <c r="X14" i="76" s="1"/>
  <c r="X109" i="75"/>
  <c r="X31" i="90" s="1"/>
  <c r="I4" i="77"/>
  <c r="D10" i="76"/>
  <c r="H144" i="75"/>
  <c r="G5" i="77" s="1"/>
  <c r="H5" i="77" s="1"/>
  <c r="D106" i="75"/>
  <c r="D28" i="90" s="1"/>
  <c r="D90" i="85"/>
  <c r="K85" i="85"/>
  <c r="H142" i="85"/>
  <c r="G3" i="83" s="1"/>
  <c r="H3" i="83" s="1"/>
  <c r="D104" i="85"/>
  <c r="AA109" i="75"/>
  <c r="AA31" i="90" s="1"/>
  <c r="AA9" i="76"/>
  <c r="AA14" i="76" s="1"/>
  <c r="E109" i="75"/>
  <c r="E31" i="90" s="1"/>
  <c r="E9" i="76"/>
  <c r="E14" i="76" s="1"/>
  <c r="U109" i="75"/>
  <c r="U31" i="90" s="1"/>
  <c r="U9" i="76"/>
  <c r="G13" i="81"/>
  <c r="G14" i="81" s="1"/>
  <c r="G109" i="79"/>
  <c r="G48" i="90" s="1"/>
  <c r="V9" i="76"/>
  <c r="V14" i="76" s="1"/>
  <c r="V109" i="75"/>
  <c r="V31" i="90" s="1"/>
  <c r="AB88" i="75"/>
  <c r="N107" i="75"/>
  <c r="N29" i="90" s="1"/>
  <c r="Y13" i="81"/>
  <c r="Y14" i="81" s="1"/>
  <c r="Y109" i="79"/>
  <c r="Y48" i="90" s="1"/>
  <c r="F109" i="85"/>
  <c r="F81" i="90" s="1"/>
  <c r="I6" i="77"/>
  <c r="D12" i="76"/>
  <c r="V13" i="81"/>
  <c r="V14" i="81" s="1"/>
  <c r="V109" i="79"/>
  <c r="V48" i="90" s="1"/>
  <c r="X13" i="81"/>
  <c r="X14" i="81" s="1"/>
  <c r="X109" i="79"/>
  <c r="X48" i="90" s="1"/>
  <c r="N106" i="75"/>
  <c r="N28" i="90" s="1"/>
  <c r="N107" i="85"/>
  <c r="K108" i="85"/>
  <c r="G9" i="76"/>
  <c r="G14" i="76" s="1"/>
  <c r="G109" i="75"/>
  <c r="G31" i="90" s="1"/>
  <c r="U109" i="85"/>
  <c r="U81" i="90" s="1"/>
  <c r="U11" i="76"/>
  <c r="H144" i="85"/>
  <c r="G5" i="83" s="1"/>
  <c r="H5" i="83" s="1"/>
  <c r="K87" i="85"/>
  <c r="M87" i="85" s="1"/>
  <c r="O87" i="85" s="1"/>
  <c r="D106" i="85"/>
  <c r="D78" i="90" s="1"/>
  <c r="H145" i="85"/>
  <c r="G6" i="83" s="1"/>
  <c r="H6" i="83" s="1"/>
  <c r="E109" i="79"/>
  <c r="E48" i="90" s="1"/>
  <c r="E13" i="81"/>
  <c r="E14" i="81" s="1"/>
  <c r="G9" i="39"/>
  <c r="G14" i="39" s="1"/>
  <c r="G109" i="22"/>
  <c r="Y92" i="75"/>
  <c r="M52" i="69"/>
  <c r="AF47" i="69"/>
  <c r="AG47" i="69" s="1"/>
  <c r="K52" i="69"/>
  <c r="AE50" i="69"/>
  <c r="AB52" i="69"/>
  <c r="O33" i="69"/>
  <c r="U14" i="99" l="1"/>
  <c r="Y16" i="99" s="1"/>
  <c r="AB47" i="90"/>
  <c r="AB13" i="81"/>
  <c r="AG89" i="97"/>
  <c r="AH89" i="97" s="1"/>
  <c r="AF90" i="97"/>
  <c r="M108" i="97"/>
  <c r="K64" i="90"/>
  <c r="AD11" i="99"/>
  <c r="AD62" i="90"/>
  <c r="U65" i="90"/>
  <c r="Y111" i="97"/>
  <c r="AF60" i="90"/>
  <c r="D142" i="97"/>
  <c r="K104" i="97"/>
  <c r="D9" i="99"/>
  <c r="I3" i="98"/>
  <c r="D60" i="90"/>
  <c r="D109" i="97"/>
  <c r="M85" i="97"/>
  <c r="K90" i="97"/>
  <c r="I30" i="99"/>
  <c r="I49" i="91"/>
  <c r="I131" i="97"/>
  <c r="I55" i="91" s="1"/>
  <c r="G3" i="98"/>
  <c r="H147" i="97"/>
  <c r="G8" i="98" s="1"/>
  <c r="H8" i="98" s="1"/>
  <c r="O8" i="98" s="1"/>
  <c r="P8" i="98" s="1"/>
  <c r="AB13" i="99"/>
  <c r="AB14" i="99" s="1"/>
  <c r="AB64" i="90"/>
  <c r="AF108" i="97"/>
  <c r="D144" i="97"/>
  <c r="L144" i="97" s="1"/>
  <c r="M144" i="97" s="1"/>
  <c r="K106" i="97"/>
  <c r="I5" i="98"/>
  <c r="N5" i="98" s="1"/>
  <c r="O5" i="98" s="1"/>
  <c r="P5" i="98" s="1"/>
  <c r="D62" i="90"/>
  <c r="D11" i="99"/>
  <c r="K11" i="99" s="1"/>
  <c r="M11" i="99" s="1"/>
  <c r="O11" i="99" s="1"/>
  <c r="I32" i="99"/>
  <c r="I51" i="91"/>
  <c r="N109" i="97"/>
  <c r="J3" i="98"/>
  <c r="N9" i="99"/>
  <c r="N60" i="90"/>
  <c r="AD109" i="97"/>
  <c r="AD65" i="90" s="1"/>
  <c r="AF106" i="97"/>
  <c r="AC110" i="90"/>
  <c r="AC115" i="90"/>
  <c r="K13" i="99"/>
  <c r="M13" i="99" s="1"/>
  <c r="K24" i="94"/>
  <c r="G14" i="90"/>
  <c r="G115" i="90" s="1"/>
  <c r="G28" i="93"/>
  <c r="D76" i="90"/>
  <c r="I3" i="83"/>
  <c r="G3" i="36"/>
  <c r="G9" i="36" s="1"/>
  <c r="N79" i="90"/>
  <c r="D145" i="85"/>
  <c r="N9" i="90"/>
  <c r="AF90" i="79"/>
  <c r="AB11" i="81"/>
  <c r="AB45" i="90"/>
  <c r="I5" i="80"/>
  <c r="N5" i="80" s="1"/>
  <c r="O5" i="80" s="1"/>
  <c r="P5" i="80" s="1"/>
  <c r="D11" i="81"/>
  <c r="L144" i="79"/>
  <c r="M144" i="79" s="1"/>
  <c r="D45" i="90"/>
  <c r="AG87" i="79"/>
  <c r="AH87" i="79" s="1"/>
  <c r="I32" i="81"/>
  <c r="I37" i="91"/>
  <c r="M107" i="85"/>
  <c r="M79" i="90" s="1"/>
  <c r="K79" i="90"/>
  <c r="AD9" i="82"/>
  <c r="AD76" i="90"/>
  <c r="M108" i="85"/>
  <c r="K80" i="90"/>
  <c r="M105" i="85"/>
  <c r="K77" i="90"/>
  <c r="I33" i="76"/>
  <c r="I24" i="91"/>
  <c r="I95" i="91" s="1"/>
  <c r="I32" i="76"/>
  <c r="I23" i="91"/>
  <c r="AB9" i="81"/>
  <c r="AB43" i="90"/>
  <c r="I30" i="39"/>
  <c r="I6" i="91"/>
  <c r="I92" i="91" s="1"/>
  <c r="D109" i="79"/>
  <c r="D43" i="90"/>
  <c r="I131" i="79"/>
  <c r="I30" i="81"/>
  <c r="I131" i="75"/>
  <c r="I33" i="39"/>
  <c r="I32" i="39"/>
  <c r="AB109" i="79"/>
  <c r="AB48" i="90" s="1"/>
  <c r="AG85" i="79"/>
  <c r="AH85" i="79" s="1"/>
  <c r="D9" i="81"/>
  <c r="D142" i="79"/>
  <c r="L142" i="79" s="1"/>
  <c r="I3" i="80"/>
  <c r="N3" i="80" s="1"/>
  <c r="O3" i="80" s="1"/>
  <c r="P3" i="80" s="1"/>
  <c r="K90" i="79"/>
  <c r="D142" i="85"/>
  <c r="G44" i="82"/>
  <c r="E44" i="76"/>
  <c r="E45" i="81"/>
  <c r="F45" i="81"/>
  <c r="H45" i="81"/>
  <c r="G45" i="81"/>
  <c r="H44" i="76"/>
  <c r="I44" i="76"/>
  <c r="G44" i="76"/>
  <c r="F44" i="76"/>
  <c r="G44" i="39"/>
  <c r="M89" i="79"/>
  <c r="O89" i="79" s="1"/>
  <c r="I131" i="22"/>
  <c r="I12" i="91" s="1"/>
  <c r="Y111" i="85"/>
  <c r="Y16" i="81"/>
  <c r="Y111" i="79"/>
  <c r="N9" i="82"/>
  <c r="J3" i="83"/>
  <c r="N11" i="82"/>
  <c r="J5" i="83"/>
  <c r="D9" i="82"/>
  <c r="D11" i="82"/>
  <c r="I5" i="83"/>
  <c r="N12" i="82"/>
  <c r="J6" i="83"/>
  <c r="Y111" i="75"/>
  <c r="N109" i="85"/>
  <c r="G3" i="77"/>
  <c r="H147" i="75"/>
  <c r="N90" i="79"/>
  <c r="N108" i="79"/>
  <c r="H146" i="79"/>
  <c r="AB106" i="85"/>
  <c r="AB78" i="90" s="1"/>
  <c r="AF87" i="85"/>
  <c r="AG87" i="85" s="1"/>
  <c r="AH87" i="85" s="1"/>
  <c r="G9" i="83"/>
  <c r="H23" i="36" s="1"/>
  <c r="AB107" i="85"/>
  <c r="AB79" i="90" s="1"/>
  <c r="AF88" i="85"/>
  <c r="AG88" i="85" s="1"/>
  <c r="AH88" i="85" s="1"/>
  <c r="N12" i="76"/>
  <c r="J6" i="77"/>
  <c r="U14" i="76"/>
  <c r="Y16" i="76" s="1"/>
  <c r="D109" i="85"/>
  <c r="K104" i="85"/>
  <c r="K76" i="90" s="1"/>
  <c r="AB90" i="85"/>
  <c r="AB104" i="85"/>
  <c r="AF85" i="85"/>
  <c r="K90" i="75"/>
  <c r="M85" i="75"/>
  <c r="K106" i="85"/>
  <c r="N11" i="76"/>
  <c r="J5" i="77"/>
  <c r="AB107" i="75"/>
  <c r="AB29" i="90" s="1"/>
  <c r="AF88" i="75"/>
  <c r="AG88" i="75" s="1"/>
  <c r="AH88" i="75" s="1"/>
  <c r="H147" i="85"/>
  <c r="I5" i="77"/>
  <c r="D11" i="76"/>
  <c r="J3" i="77"/>
  <c r="N109" i="75"/>
  <c r="N9" i="76"/>
  <c r="AB106" i="75"/>
  <c r="AB28" i="90" s="1"/>
  <c r="AF87" i="75"/>
  <c r="AG87" i="75" s="1"/>
  <c r="AH87" i="75" s="1"/>
  <c r="M85" i="85"/>
  <c r="K90" i="85"/>
  <c r="I3" i="77"/>
  <c r="D109" i="75"/>
  <c r="D9" i="76"/>
  <c r="D142" i="75"/>
  <c r="L142" i="75" s="1"/>
  <c r="M142" i="75" s="1"/>
  <c r="AB90" i="75"/>
  <c r="AB104" i="75"/>
  <c r="AB26" i="90" s="1"/>
  <c r="AF85" i="75"/>
  <c r="L90" i="79"/>
  <c r="L108" i="79"/>
  <c r="L47" i="90" s="1"/>
  <c r="AF51" i="69"/>
  <c r="AG51" i="69" s="1"/>
  <c r="AE52" i="69"/>
  <c r="AF50" i="69"/>
  <c r="AG9" i="69"/>
  <c r="AG14" i="69"/>
  <c r="AF33" i="69"/>
  <c r="AG33" i="69" s="1"/>
  <c r="AG28" i="69"/>
  <c r="N110" i="90" l="1"/>
  <c r="I94" i="91"/>
  <c r="I36" i="99"/>
  <c r="I46" i="99" s="1"/>
  <c r="AF109" i="97"/>
  <c r="AF65" i="90" s="1"/>
  <c r="O108" i="97"/>
  <c r="M64" i="90"/>
  <c r="D147" i="97"/>
  <c r="L142" i="97"/>
  <c r="K109" i="97"/>
  <c r="K65" i="90" s="1"/>
  <c r="M104" i="97"/>
  <c r="K60" i="90"/>
  <c r="D65" i="90"/>
  <c r="D31" i="36"/>
  <c r="O85" i="97"/>
  <c r="M90" i="97"/>
  <c r="H3" i="98"/>
  <c r="H9" i="98" s="1"/>
  <c r="I22" i="36" s="1"/>
  <c r="G9" i="98"/>
  <c r="H22" i="36" s="1"/>
  <c r="AF64" i="90"/>
  <c r="M106" i="97"/>
  <c r="K62" i="90"/>
  <c r="N65" i="90"/>
  <c r="E31" i="36"/>
  <c r="AF62" i="90"/>
  <c r="N47" i="90"/>
  <c r="N14" i="99"/>
  <c r="N45" i="99" s="1"/>
  <c r="K9" i="99"/>
  <c r="D14" i="99"/>
  <c r="D45" i="99" s="1"/>
  <c r="N3" i="98"/>
  <c r="I9" i="98"/>
  <c r="J22" i="36" s="1"/>
  <c r="I27" i="91"/>
  <c r="M29" i="36"/>
  <c r="I41" i="91"/>
  <c r="M30" i="36"/>
  <c r="P30" i="36" s="1"/>
  <c r="N31" i="90"/>
  <c r="E29" i="36"/>
  <c r="D81" i="90"/>
  <c r="D32" i="36"/>
  <c r="D31" i="90"/>
  <c r="D29" i="36"/>
  <c r="N81" i="90"/>
  <c r="E32" i="36"/>
  <c r="D48" i="90"/>
  <c r="D30" i="36"/>
  <c r="AB14" i="81"/>
  <c r="I36" i="81"/>
  <c r="D14" i="81"/>
  <c r="D45" i="81" s="1"/>
  <c r="O107" i="85"/>
  <c r="O79" i="90" s="1"/>
  <c r="O105" i="85"/>
  <c r="M77" i="90"/>
  <c r="AB9" i="82"/>
  <c r="AB76" i="90"/>
  <c r="M106" i="85"/>
  <c r="K78" i="90"/>
  <c r="O108" i="85"/>
  <c r="M80" i="90"/>
  <c r="I36" i="76"/>
  <c r="I45" i="76" s="1"/>
  <c r="I36" i="39"/>
  <c r="I45" i="39" s="1"/>
  <c r="I36" i="82"/>
  <c r="I45" i="82" s="1"/>
  <c r="I36" i="88"/>
  <c r="I45" i="88" s="1"/>
  <c r="I9" i="80"/>
  <c r="J21" i="36" s="1"/>
  <c r="M142" i="79"/>
  <c r="M90" i="79"/>
  <c r="N14" i="76"/>
  <c r="N44" i="76" s="1"/>
  <c r="I9" i="77"/>
  <c r="J20" i="36" s="1"/>
  <c r="AF106" i="85"/>
  <c r="AB11" i="82"/>
  <c r="AF107" i="85"/>
  <c r="AB12" i="82"/>
  <c r="AF90" i="75"/>
  <c r="O90" i="79"/>
  <c r="AG89" i="79"/>
  <c r="AH89" i="79" s="1"/>
  <c r="AB11" i="76"/>
  <c r="AB109" i="85"/>
  <c r="AB81" i="90" s="1"/>
  <c r="AF104" i="85"/>
  <c r="AF76" i="90" s="1"/>
  <c r="K109" i="85"/>
  <c r="K81" i="90" s="1"/>
  <c r="M104" i="85"/>
  <c r="M76" i="90" s="1"/>
  <c r="G9" i="77"/>
  <c r="H20" i="36" s="1"/>
  <c r="H3" i="77"/>
  <c r="H9" i="77" s="1"/>
  <c r="I20" i="36" s="1"/>
  <c r="AB9" i="76"/>
  <c r="AB109" i="75"/>
  <c r="AB31" i="90" s="1"/>
  <c r="O85" i="75"/>
  <c r="O90" i="75" s="1"/>
  <c r="M90" i="75"/>
  <c r="H9" i="83"/>
  <c r="I23" i="36" s="1"/>
  <c r="G7" i="80"/>
  <c r="H147" i="79"/>
  <c r="D14" i="76"/>
  <c r="D44" i="76" s="1"/>
  <c r="O85" i="85"/>
  <c r="O90" i="85" s="1"/>
  <c r="M90" i="85"/>
  <c r="AB12" i="76"/>
  <c r="L13" i="81"/>
  <c r="L14" i="81" s="1"/>
  <c r="L109" i="79"/>
  <c r="L48" i="90" s="1"/>
  <c r="J9" i="77"/>
  <c r="K20" i="36" s="1"/>
  <c r="AF90" i="85"/>
  <c r="L142" i="85"/>
  <c r="M142" i="85" s="1"/>
  <c r="N13" i="81"/>
  <c r="N14" i="81" s="1"/>
  <c r="J7" i="80"/>
  <c r="N109" i="79"/>
  <c r="D146" i="79"/>
  <c r="AG50" i="69"/>
  <c r="AF52" i="69"/>
  <c r="AG52" i="69" s="1"/>
  <c r="F31" i="36" l="1"/>
  <c r="G31" i="36" s="1"/>
  <c r="O64" i="90"/>
  <c r="AG108" i="97"/>
  <c r="AH108" i="97" s="1"/>
  <c r="I98" i="91"/>
  <c r="L147" i="97"/>
  <c r="M147" i="97" s="1"/>
  <c r="M142" i="97"/>
  <c r="M109" i="97"/>
  <c r="M65" i="90" s="1"/>
  <c r="O104" i="97"/>
  <c r="M60" i="90"/>
  <c r="AG85" i="97"/>
  <c r="O90" i="97"/>
  <c r="O106" i="97"/>
  <c r="M62" i="90"/>
  <c r="O3" i="98"/>
  <c r="K14" i="99"/>
  <c r="K45" i="99" s="1"/>
  <c r="M9" i="99"/>
  <c r="O13" i="99"/>
  <c r="J9" i="98"/>
  <c r="K22" i="36" s="1"/>
  <c r="N7" i="98"/>
  <c r="O7" i="98" s="1"/>
  <c r="P7" i="98" s="1"/>
  <c r="M33" i="36"/>
  <c r="F29" i="36"/>
  <c r="F32" i="36"/>
  <c r="G32" i="36" s="1"/>
  <c r="D33" i="36"/>
  <c r="N48" i="90"/>
  <c r="E30" i="36"/>
  <c r="F30" i="36" s="1"/>
  <c r="G30" i="36" s="1"/>
  <c r="AG107" i="85"/>
  <c r="AH107" i="85" s="1"/>
  <c r="AF79" i="90"/>
  <c r="O80" i="90"/>
  <c r="AG108" i="85"/>
  <c r="AH108" i="85" s="1"/>
  <c r="AF78" i="90"/>
  <c r="O106" i="85"/>
  <c r="O78" i="90" s="1"/>
  <c r="M78" i="90"/>
  <c r="O77" i="90"/>
  <c r="AG105" i="85"/>
  <c r="AH105" i="85" s="1"/>
  <c r="AG85" i="85"/>
  <c r="AH85" i="85" s="1"/>
  <c r="L45" i="81"/>
  <c r="I46" i="81"/>
  <c r="N45" i="81"/>
  <c r="AG85" i="75"/>
  <c r="AH85" i="75" s="1"/>
  <c r="L146" i="79"/>
  <c r="M146" i="79" s="1"/>
  <c r="D147" i="79"/>
  <c r="H7" i="80"/>
  <c r="G9" i="80"/>
  <c r="H21" i="36" s="1"/>
  <c r="H24" i="36" s="1"/>
  <c r="H25" i="36" s="1"/>
  <c r="AF109" i="85"/>
  <c r="AF81" i="90" s="1"/>
  <c r="AB14" i="76"/>
  <c r="AG90" i="79"/>
  <c r="AH90" i="79" s="1"/>
  <c r="J9" i="80"/>
  <c r="K21" i="36" s="1"/>
  <c r="N7" i="80"/>
  <c r="M109" i="85"/>
  <c r="M81" i="90" s="1"/>
  <c r="O104" i="85"/>
  <c r="AG104" i="97" l="1"/>
  <c r="O109" i="97"/>
  <c r="O65" i="90" s="1"/>
  <c r="O60" i="90"/>
  <c r="AH85" i="97"/>
  <c r="AG90" i="97"/>
  <c r="AH90" i="97" s="1"/>
  <c r="AG106" i="97"/>
  <c r="AH106" i="97" s="1"/>
  <c r="O62" i="90"/>
  <c r="M14" i="99"/>
  <c r="M45" i="99" s="1"/>
  <c r="O9" i="99"/>
  <c r="O14" i="99" s="1"/>
  <c r="O45" i="99" s="1"/>
  <c r="P3" i="98"/>
  <c r="O9" i="98"/>
  <c r="P9" i="98" s="1"/>
  <c r="N9" i="98"/>
  <c r="O22" i="36" s="1"/>
  <c r="N9" i="80"/>
  <c r="O21" i="36" s="1"/>
  <c r="O7" i="80"/>
  <c r="P7" i="80" s="1"/>
  <c r="Q30" i="36"/>
  <c r="E33" i="36"/>
  <c r="F33" i="36"/>
  <c r="G33" i="36" s="1"/>
  <c r="G29" i="36"/>
  <c r="AG90" i="85"/>
  <c r="AH90" i="85" s="1"/>
  <c r="O109" i="85"/>
  <c r="O81" i="90" s="1"/>
  <c r="O76" i="90"/>
  <c r="AG80" i="90"/>
  <c r="AG77" i="90"/>
  <c r="AG106" i="85"/>
  <c r="AH106" i="85" s="1"/>
  <c r="AG79" i="90"/>
  <c r="AG104" i="85"/>
  <c r="AH104" i="85" s="1"/>
  <c r="L147" i="79"/>
  <c r="M147" i="79" s="1"/>
  <c r="H9" i="80"/>
  <c r="I21" i="36" s="1"/>
  <c r="I24" i="36" s="1"/>
  <c r="AG90" i="75"/>
  <c r="AH90" i="75" s="1"/>
  <c r="K30" i="22"/>
  <c r="K31" i="22"/>
  <c r="K32" i="22"/>
  <c r="D33" i="22"/>
  <c r="E33" i="22"/>
  <c r="D7" i="36"/>
  <c r="D6" i="36"/>
  <c r="D5" i="36"/>
  <c r="D3" i="36"/>
  <c r="D125" i="22"/>
  <c r="AD30" i="22"/>
  <c r="Y108" i="22"/>
  <c r="U108" i="22"/>
  <c r="C7" i="56"/>
  <c r="D146" i="85" s="1"/>
  <c r="L146" i="85" s="1"/>
  <c r="M146" i="85" s="1"/>
  <c r="C6" i="56"/>
  <c r="C5" i="56"/>
  <c r="D144" i="85" s="1"/>
  <c r="L144" i="85" s="1"/>
  <c r="M144" i="85" s="1"/>
  <c r="C4" i="56"/>
  <c r="AB29" i="22"/>
  <c r="AB28" i="22"/>
  <c r="AB30" i="22"/>
  <c r="AB32" i="22"/>
  <c r="AD32" i="22"/>
  <c r="AD31" i="22"/>
  <c r="I33" i="22"/>
  <c r="F33" i="22"/>
  <c r="L5" i="36"/>
  <c r="L7" i="36"/>
  <c r="L6" i="36"/>
  <c r="L4" i="36"/>
  <c r="L3" i="36"/>
  <c r="E35" i="39"/>
  <c r="E131" i="22"/>
  <c r="N8" i="36"/>
  <c r="O8" i="36" s="1"/>
  <c r="P8" i="36" s="1"/>
  <c r="L108" i="22"/>
  <c r="Q30" i="95" s="1"/>
  <c r="S30" i="95" s="1"/>
  <c r="L107" i="22"/>
  <c r="Q29" i="95" s="1"/>
  <c r="S29" i="95" s="1"/>
  <c r="L104" i="22"/>
  <c r="Q26" i="95" s="1"/>
  <c r="S26" i="95" s="1"/>
  <c r="L106" i="22"/>
  <c r="Q28" i="95" s="1"/>
  <c r="S28" i="95" s="1"/>
  <c r="L105" i="22"/>
  <c r="Q27" i="95" s="1"/>
  <c r="S27" i="95" s="1"/>
  <c r="AD89" i="22"/>
  <c r="AD88" i="22"/>
  <c r="AD87" i="22"/>
  <c r="AD86" i="22"/>
  <c r="AD85" i="22"/>
  <c r="AD66" i="22"/>
  <c r="AD51" i="22"/>
  <c r="AD50" i="22"/>
  <c r="AD49" i="22"/>
  <c r="AE52" i="22"/>
  <c r="AD48" i="22"/>
  <c r="Z32" i="22"/>
  <c r="AD28" i="22"/>
  <c r="I4" i="64"/>
  <c r="I5" i="64"/>
  <c r="I6" i="64"/>
  <c r="I7" i="64"/>
  <c r="I3" i="64"/>
  <c r="Z31" i="22"/>
  <c r="Z30" i="22"/>
  <c r="Z29" i="22"/>
  <c r="Z28" i="22"/>
  <c r="Z13" i="22"/>
  <c r="Z12" i="22"/>
  <c r="Z11" i="22"/>
  <c r="Z10" i="22"/>
  <c r="Z9" i="22"/>
  <c r="E34" i="39"/>
  <c r="E33" i="39"/>
  <c r="E32" i="39"/>
  <c r="E31" i="39"/>
  <c r="E30" i="39"/>
  <c r="X7" i="39"/>
  <c r="U7" i="39"/>
  <c r="M117" i="22"/>
  <c r="N22" i="88" s="1"/>
  <c r="K122" i="22"/>
  <c r="K27" i="88" s="1"/>
  <c r="G122" i="22"/>
  <c r="H27" i="88" s="1"/>
  <c r="N98" i="22"/>
  <c r="K102" i="22"/>
  <c r="I10" i="89" s="1"/>
  <c r="N79" i="22"/>
  <c r="AD79" i="22" s="1"/>
  <c r="K83" i="22"/>
  <c r="Y83" i="22" s="1"/>
  <c r="G83" i="22"/>
  <c r="V83" i="22" s="1"/>
  <c r="N60" i="22"/>
  <c r="AD60" i="22" s="1"/>
  <c r="K64" i="22"/>
  <c r="G64" i="22"/>
  <c r="N41" i="22"/>
  <c r="AD41" i="22" s="1"/>
  <c r="Y45" i="22"/>
  <c r="V45" i="22"/>
  <c r="N22" i="22"/>
  <c r="AD22" i="22" s="1"/>
  <c r="K26" i="22"/>
  <c r="Y26" i="22" s="1"/>
  <c r="G26" i="22"/>
  <c r="V26" i="22" s="1"/>
  <c r="D102" i="22"/>
  <c r="D7" i="88" s="1"/>
  <c r="D6" i="88"/>
  <c r="D83" i="22"/>
  <c r="D82" i="22"/>
  <c r="D64" i="22"/>
  <c r="D63" i="22"/>
  <c r="D26" i="22"/>
  <c r="D25" i="22"/>
  <c r="X102" i="22"/>
  <c r="U102" i="22"/>
  <c r="AA90" i="22"/>
  <c r="Y90" i="22"/>
  <c r="X90" i="22"/>
  <c r="W90" i="22"/>
  <c r="V90" i="22"/>
  <c r="U90" i="22"/>
  <c r="N90" i="22"/>
  <c r="L90" i="22"/>
  <c r="J90" i="22"/>
  <c r="I90" i="22"/>
  <c r="H90" i="22"/>
  <c r="F90" i="22"/>
  <c r="E90" i="22"/>
  <c r="AB89" i="22"/>
  <c r="Z89" i="22"/>
  <c r="M89" i="22"/>
  <c r="O89" i="22" s="1"/>
  <c r="AB88" i="22"/>
  <c r="Z88" i="22"/>
  <c r="M88" i="22"/>
  <c r="O88" i="22" s="1"/>
  <c r="AB87" i="22"/>
  <c r="Z87" i="22"/>
  <c r="M87" i="22"/>
  <c r="O87" i="22" s="1"/>
  <c r="AB86" i="22"/>
  <c r="Z86" i="22"/>
  <c r="M86" i="22"/>
  <c r="O86" i="22" s="1"/>
  <c r="AB85" i="22"/>
  <c r="Z85" i="22"/>
  <c r="M85" i="22"/>
  <c r="X83" i="22"/>
  <c r="U83" i="22"/>
  <c r="L71" i="22"/>
  <c r="J71" i="22"/>
  <c r="M70" i="22"/>
  <c r="O70" i="22" s="1"/>
  <c r="Z66" i="22"/>
  <c r="X64" i="22"/>
  <c r="U64" i="22"/>
  <c r="AA52" i="22"/>
  <c r="Y52" i="22"/>
  <c r="X52" i="22"/>
  <c r="W52" i="22"/>
  <c r="V52" i="22"/>
  <c r="U52" i="22"/>
  <c r="AB51" i="22"/>
  <c r="Z51" i="22"/>
  <c r="AB50" i="22"/>
  <c r="Z50" i="22"/>
  <c r="AB49" i="22"/>
  <c r="Z49" i="22"/>
  <c r="AB48" i="22"/>
  <c r="Z48" i="22"/>
  <c r="AB47" i="22"/>
  <c r="Z47" i="22"/>
  <c r="X45" i="22"/>
  <c r="U45" i="22"/>
  <c r="L33" i="22"/>
  <c r="J33" i="22"/>
  <c r="X26" i="22"/>
  <c r="U26" i="22"/>
  <c r="AD3" i="22"/>
  <c r="Y7" i="22"/>
  <c r="X7" i="22"/>
  <c r="V7" i="22"/>
  <c r="G131" i="22"/>
  <c r="G12" i="91" s="1"/>
  <c r="G98" i="91" s="1"/>
  <c r="AH104" i="97" l="1"/>
  <c r="AG109" i="97"/>
  <c r="AH109" i="97" s="1"/>
  <c r="E12" i="91"/>
  <c r="E98" i="91" s="1"/>
  <c r="J32" i="36"/>
  <c r="C8" i="56"/>
  <c r="C9" i="56" s="1"/>
  <c r="L26" i="93"/>
  <c r="L35" i="93" s="1"/>
  <c r="L27" i="93"/>
  <c r="L36" i="93" s="1"/>
  <c r="L24" i="93"/>
  <c r="L33" i="93" s="1"/>
  <c r="L25" i="93"/>
  <c r="L34" i="93" s="1"/>
  <c r="L23" i="93"/>
  <c r="L32" i="93" s="1"/>
  <c r="U13" i="90"/>
  <c r="U114" i="90" s="1"/>
  <c r="D20" i="94"/>
  <c r="D28" i="94" s="1"/>
  <c r="Y13" i="90"/>
  <c r="Y114" i="90" s="1"/>
  <c r="H20" i="94"/>
  <c r="H28" i="94" s="1"/>
  <c r="D6" i="91"/>
  <c r="D92" i="91" s="1"/>
  <c r="AG76" i="90"/>
  <c r="L145" i="85"/>
  <c r="M145" i="85" s="1"/>
  <c r="D128" i="22"/>
  <c r="AG78" i="90"/>
  <c r="L13" i="90"/>
  <c r="L114" i="90" s="1"/>
  <c r="L12" i="90"/>
  <c r="L113" i="90" s="1"/>
  <c r="L11" i="90"/>
  <c r="L112" i="90" s="1"/>
  <c r="L10" i="90"/>
  <c r="L111" i="90" s="1"/>
  <c r="L9" i="90"/>
  <c r="L110" i="90" s="1"/>
  <c r="V64" i="22"/>
  <c r="Y64" i="22"/>
  <c r="J9" i="22"/>
  <c r="AD3" i="82"/>
  <c r="N3" i="88"/>
  <c r="AD3" i="88" s="1"/>
  <c r="Y7" i="82"/>
  <c r="K7" i="88"/>
  <c r="Y7" i="88" s="1"/>
  <c r="V7" i="82"/>
  <c r="G7" i="88"/>
  <c r="V7" i="88" s="1"/>
  <c r="J11" i="22"/>
  <c r="J11" i="79" s="1"/>
  <c r="N22" i="39"/>
  <c r="J13" i="22"/>
  <c r="L12" i="39"/>
  <c r="O9" i="80"/>
  <c r="P9" i="80" s="1"/>
  <c r="J12" i="22"/>
  <c r="J12" i="79" s="1"/>
  <c r="L10" i="39"/>
  <c r="L13" i="39"/>
  <c r="J104" i="75"/>
  <c r="J26" i="90" s="1"/>
  <c r="AD9" i="75"/>
  <c r="K9" i="75"/>
  <c r="J10" i="22"/>
  <c r="L9" i="39"/>
  <c r="E36" i="39"/>
  <c r="E45" i="39" s="1"/>
  <c r="D131" i="85"/>
  <c r="D143" i="85"/>
  <c r="AG109" i="85"/>
  <c r="AH109" i="85" s="1"/>
  <c r="D127" i="22"/>
  <c r="D129" i="22"/>
  <c r="N3" i="77"/>
  <c r="D126" i="22"/>
  <c r="Y13" i="39"/>
  <c r="K67" i="22"/>
  <c r="M67" i="22" s="1"/>
  <c r="O67" i="22" s="1"/>
  <c r="M5" i="36"/>
  <c r="K68" i="22"/>
  <c r="M68" i="22" s="1"/>
  <c r="O68" i="22" s="1"/>
  <c r="M6" i="36"/>
  <c r="K69" i="22"/>
  <c r="M69" i="22" s="1"/>
  <c r="O69" i="22" s="1"/>
  <c r="D14" i="22"/>
  <c r="V102" i="22"/>
  <c r="AF48" i="22"/>
  <c r="AG48" i="22" s="1"/>
  <c r="AH48" i="22" s="1"/>
  <c r="H27" i="39"/>
  <c r="AF50" i="22"/>
  <c r="AG50" i="22" s="1"/>
  <c r="AH50" i="22" s="1"/>
  <c r="AF51" i="22"/>
  <c r="AG51" i="22" s="1"/>
  <c r="AH51" i="22" s="1"/>
  <c r="AF49" i="22"/>
  <c r="AG49" i="22" s="1"/>
  <c r="AH49" i="22" s="1"/>
  <c r="AF86" i="22"/>
  <c r="AG86" i="22" s="1"/>
  <c r="AH86" i="22" s="1"/>
  <c r="AF89" i="22"/>
  <c r="AG89" i="22" s="1"/>
  <c r="AH89" i="22" s="1"/>
  <c r="AD90" i="22"/>
  <c r="K3" i="36"/>
  <c r="D30" i="39"/>
  <c r="AB90" i="22"/>
  <c r="AB52" i="22"/>
  <c r="Y54" i="22"/>
  <c r="Y92" i="22"/>
  <c r="AD52" i="22"/>
  <c r="AF87" i="22"/>
  <c r="AG87" i="22" s="1"/>
  <c r="AH87" i="22" s="1"/>
  <c r="AF47" i="22"/>
  <c r="AF85" i="22"/>
  <c r="AF88" i="22"/>
  <c r="AG88" i="22" s="1"/>
  <c r="AH88" i="22" s="1"/>
  <c r="M90" i="22"/>
  <c r="K90" i="22"/>
  <c r="O85" i="22"/>
  <c r="O90" i="22" s="1"/>
  <c r="Z52" i="22"/>
  <c r="Z90" i="22"/>
  <c r="D7" i="39"/>
  <c r="AF70" i="22"/>
  <c r="AG70" i="22" s="1"/>
  <c r="AH70" i="22" s="1"/>
  <c r="D9" i="36"/>
  <c r="E25" i="36" s="1"/>
  <c r="G45" i="39"/>
  <c r="L11" i="39"/>
  <c r="Y102" i="22"/>
  <c r="G7" i="39"/>
  <c r="V7" i="39" s="1"/>
  <c r="M4" i="36"/>
  <c r="Z71" i="22"/>
  <c r="L109" i="22"/>
  <c r="Q31" i="95" s="1"/>
  <c r="S31" i="95" s="1"/>
  <c r="AD98" i="22"/>
  <c r="N3" i="39"/>
  <c r="AD3" i="39" s="1"/>
  <c r="K7" i="39"/>
  <c r="Y7" i="39" s="1"/>
  <c r="K27" i="39"/>
  <c r="D6" i="39"/>
  <c r="Z104" i="22"/>
  <c r="V71" i="22"/>
  <c r="F105" i="22"/>
  <c r="F24" i="93" s="1"/>
  <c r="F33" i="93" s="1"/>
  <c r="F71" i="22"/>
  <c r="AF68" i="22"/>
  <c r="D71" i="22"/>
  <c r="W71" i="22"/>
  <c r="AA71" i="22"/>
  <c r="AF67" i="22"/>
  <c r="U71" i="22"/>
  <c r="AF69" i="22"/>
  <c r="I71" i="22"/>
  <c r="X71" i="22"/>
  <c r="H71" i="22"/>
  <c r="Y71" i="22"/>
  <c r="V107" i="22"/>
  <c r="E19" i="94" s="1"/>
  <c r="E27" i="94" s="1"/>
  <c r="E71" i="22"/>
  <c r="AA33" i="22"/>
  <c r="AE71" i="22"/>
  <c r="E6" i="36"/>
  <c r="H6" i="36" s="1"/>
  <c r="H129" i="22"/>
  <c r="M28" i="22"/>
  <c r="O28" i="22" s="1"/>
  <c r="E104" i="22"/>
  <c r="E23" i="93" s="1"/>
  <c r="E32" i="93" s="1"/>
  <c r="V33" i="22"/>
  <c r="X33" i="22"/>
  <c r="Z33" i="22"/>
  <c r="H33" i="22"/>
  <c r="AF28" i="22"/>
  <c r="Y33" i="22"/>
  <c r="M32" i="22"/>
  <c r="O32" i="22" s="1"/>
  <c r="M29" i="22"/>
  <c r="O29" i="22" s="1"/>
  <c r="H126" i="22"/>
  <c r="K143" i="22" s="1"/>
  <c r="M31" i="22"/>
  <c r="O31" i="22" s="1"/>
  <c r="AF32" i="22"/>
  <c r="W33" i="22"/>
  <c r="H3" i="36"/>
  <c r="E7" i="36"/>
  <c r="H7" i="36" s="1"/>
  <c r="AE33" i="22"/>
  <c r="X108" i="22"/>
  <c r="D104" i="22"/>
  <c r="D23" i="93" s="1"/>
  <c r="D32" i="93" s="1"/>
  <c r="N105" i="22"/>
  <c r="Z105" i="22"/>
  <c r="F107" i="22"/>
  <c r="F26" i="93" s="1"/>
  <c r="F35" i="93" s="1"/>
  <c r="H9" i="91"/>
  <c r="H95" i="91" s="1"/>
  <c r="H127" i="22"/>
  <c r="E108" i="22"/>
  <c r="E27" i="93" s="1"/>
  <c r="E36" i="93" s="1"/>
  <c r="AA108" i="22"/>
  <c r="AD71" i="22"/>
  <c r="AF30" i="22"/>
  <c r="U105" i="22"/>
  <c r="H106" i="22"/>
  <c r="H25" i="93" s="1"/>
  <c r="H34" i="93" s="1"/>
  <c r="W106" i="22"/>
  <c r="F18" i="94" s="1"/>
  <c r="F26" i="94" s="1"/>
  <c r="W108" i="22"/>
  <c r="F20" i="94" s="1"/>
  <c r="F28" i="94" s="1"/>
  <c r="N33" i="22"/>
  <c r="E5" i="36"/>
  <c r="H5" i="36" s="1"/>
  <c r="V105" i="22"/>
  <c r="E17" i="94" s="1"/>
  <c r="E25" i="94" s="1"/>
  <c r="I106" i="22"/>
  <c r="I25" i="93" s="1"/>
  <c r="I34" i="93" s="1"/>
  <c r="X106" i="22"/>
  <c r="U107" i="22"/>
  <c r="M30" i="22"/>
  <c r="O30" i="22" s="1"/>
  <c r="U33" i="22"/>
  <c r="Z106" i="22"/>
  <c r="Z108" i="22"/>
  <c r="AB31" i="22"/>
  <c r="AF31" i="22" s="1"/>
  <c r="E4" i="36"/>
  <c r="H4" i="36" s="1"/>
  <c r="AD29" i="22"/>
  <c r="AD33" i="22" s="1"/>
  <c r="H105" i="22"/>
  <c r="H24" i="93" s="1"/>
  <c r="H33" i="93" s="1"/>
  <c r="W105" i="22"/>
  <c r="F17" i="94" s="1"/>
  <c r="F25" i="94" s="1"/>
  <c r="E106" i="22"/>
  <c r="U106" i="22"/>
  <c r="Y106" i="22"/>
  <c r="Y107" i="22"/>
  <c r="D108" i="22"/>
  <c r="D27" i="93" s="1"/>
  <c r="D36" i="93" s="1"/>
  <c r="H107" i="22"/>
  <c r="H26" i="93" s="1"/>
  <c r="H35" i="93" s="1"/>
  <c r="F108" i="22"/>
  <c r="F27" i="93" s="1"/>
  <c r="F36" i="93" s="1"/>
  <c r="V108" i="22"/>
  <c r="E20" i="94" s="1"/>
  <c r="E28" i="94" s="1"/>
  <c r="Y105" i="22"/>
  <c r="Z107" i="22"/>
  <c r="I105" i="22"/>
  <c r="I24" i="93" s="1"/>
  <c r="I33" i="93" s="1"/>
  <c r="X105" i="22"/>
  <c r="F106" i="22"/>
  <c r="F25" i="93" s="1"/>
  <c r="F34" i="93" s="1"/>
  <c r="V106" i="22"/>
  <c r="E18" i="94" s="1"/>
  <c r="E26" i="94" s="1"/>
  <c r="I108" i="22"/>
  <c r="I27" i="93" s="1"/>
  <c r="I36" i="93" s="1"/>
  <c r="D26" i="93"/>
  <c r="D35" i="93" s="1"/>
  <c r="I107" i="22"/>
  <c r="I26" i="93" s="1"/>
  <c r="I35" i="93" s="1"/>
  <c r="X107" i="22"/>
  <c r="AE107" i="22"/>
  <c r="AE106" i="22"/>
  <c r="Z14" i="22"/>
  <c r="AA12" i="90"/>
  <c r="AA113" i="90" s="1"/>
  <c r="N106" i="22"/>
  <c r="N25" i="93" s="1"/>
  <c r="N34" i="93" s="1"/>
  <c r="K26" i="94" s="1"/>
  <c r="AB11" i="22"/>
  <c r="AB106" i="22" s="1"/>
  <c r="AA105" i="22"/>
  <c r="E26" i="93"/>
  <c r="E35" i="93" s="1"/>
  <c r="E14" i="22"/>
  <c r="D106" i="22"/>
  <c r="D25" i="93" s="1"/>
  <c r="D34" i="93" s="1"/>
  <c r="N107" i="22"/>
  <c r="N26" i="93" s="1"/>
  <c r="N35" i="93" s="1"/>
  <c r="K27" i="94" s="1"/>
  <c r="AB12" i="22"/>
  <c r="AE108" i="22"/>
  <c r="H108" i="22"/>
  <c r="H27" i="93" s="1"/>
  <c r="H36" i="93" s="1"/>
  <c r="W107" i="22"/>
  <c r="F19" i="94" s="1"/>
  <c r="F27" i="94" s="1"/>
  <c r="AE105" i="22"/>
  <c r="AB10" i="22"/>
  <c r="AB105" i="22" s="1"/>
  <c r="N108" i="22"/>
  <c r="N27" i="93" s="1"/>
  <c r="N36" i="93" s="1"/>
  <c r="K28" i="94" s="1"/>
  <c r="AB13" i="22"/>
  <c r="U13" i="39"/>
  <c r="AE14" i="22"/>
  <c r="F104" i="22"/>
  <c r="F23" i="93" s="1"/>
  <c r="F32" i="93" s="1"/>
  <c r="F14" i="22"/>
  <c r="N14" i="22"/>
  <c r="AB9" i="22"/>
  <c r="V104" i="22"/>
  <c r="E16" i="94" s="1"/>
  <c r="E24" i="94" s="1"/>
  <c r="V14" i="22"/>
  <c r="H104" i="22"/>
  <c r="H23" i="93" s="1"/>
  <c r="H32" i="93" s="1"/>
  <c r="H14" i="22"/>
  <c r="W104" i="22"/>
  <c r="F16" i="94" s="1"/>
  <c r="F24" i="94" s="1"/>
  <c r="W14" i="22"/>
  <c r="I14" i="22"/>
  <c r="I104" i="22"/>
  <c r="I23" i="93" s="1"/>
  <c r="I32" i="93" s="1"/>
  <c r="X14" i="22"/>
  <c r="X104" i="22"/>
  <c r="G16" i="94" s="1"/>
  <c r="G24" i="94" s="1"/>
  <c r="U14" i="22"/>
  <c r="U104" i="22"/>
  <c r="D16" i="94" s="1"/>
  <c r="D24" i="94" s="1"/>
  <c r="Y14" i="22"/>
  <c r="Y104" i="22"/>
  <c r="H16" i="94" s="1"/>
  <c r="H24" i="94" s="1"/>
  <c r="AE104" i="22"/>
  <c r="L9" i="36"/>
  <c r="M25" i="36" s="1"/>
  <c r="J107" i="79" l="1"/>
  <c r="AD12" i="79"/>
  <c r="AF12" i="79" s="1"/>
  <c r="K12" i="79"/>
  <c r="M12" i="79" s="1"/>
  <c r="O12" i="79" s="1"/>
  <c r="AD10" i="22"/>
  <c r="AF10" i="22" s="1"/>
  <c r="J10" i="79"/>
  <c r="D69" i="91"/>
  <c r="I32" i="36"/>
  <c r="P32" i="36" s="1"/>
  <c r="J33" i="36"/>
  <c r="L28" i="93"/>
  <c r="N24" i="93"/>
  <c r="N33" i="93" s="1"/>
  <c r="K25" i="94" s="1"/>
  <c r="D143" i="22"/>
  <c r="L143" i="22" s="1"/>
  <c r="E25" i="93"/>
  <c r="E34" i="93" s="1"/>
  <c r="AE11" i="90"/>
  <c r="AE112" i="90" s="1"/>
  <c r="L18" i="94"/>
  <c r="X10" i="90"/>
  <c r="X111" i="90" s="1"/>
  <c r="G17" i="94"/>
  <c r="G25" i="94" s="1"/>
  <c r="Y12" i="90"/>
  <c r="Y113" i="90" s="1"/>
  <c r="H19" i="94"/>
  <c r="H27" i="94" s="1"/>
  <c r="AE12" i="90"/>
  <c r="AE113" i="90" s="1"/>
  <c r="L19" i="94"/>
  <c r="Y11" i="90"/>
  <c r="Y112" i="90" s="1"/>
  <c r="H18" i="94"/>
  <c r="H26" i="94" s="1"/>
  <c r="Z13" i="90"/>
  <c r="Z114" i="90" s="1"/>
  <c r="I20" i="94"/>
  <c r="AA13" i="90"/>
  <c r="AA114" i="90" s="1"/>
  <c r="J20" i="94"/>
  <c r="J28" i="94" s="1"/>
  <c r="X13" i="90"/>
  <c r="X114" i="90" s="1"/>
  <c r="G20" i="94"/>
  <c r="G28" i="94" s="1"/>
  <c r="AB10" i="90"/>
  <c r="AB111" i="90" s="1"/>
  <c r="K17" i="94"/>
  <c r="AE9" i="90"/>
  <c r="AE110" i="90" s="1"/>
  <c r="L16" i="94"/>
  <c r="N24" i="94" s="1"/>
  <c r="AE10" i="90"/>
  <c r="AE111" i="90" s="1"/>
  <c r="L17" i="94"/>
  <c r="X12" i="90"/>
  <c r="X113" i="90" s="1"/>
  <c r="G19" i="94"/>
  <c r="G27" i="94" s="1"/>
  <c r="Z12" i="90"/>
  <c r="Z113" i="90" s="1"/>
  <c r="I19" i="94"/>
  <c r="I27" i="94" s="1"/>
  <c r="U11" i="90"/>
  <c r="U112" i="90" s="1"/>
  <c r="D18" i="94"/>
  <c r="D26" i="94" s="1"/>
  <c r="Z11" i="90"/>
  <c r="Z112" i="90" s="1"/>
  <c r="I18" i="94"/>
  <c r="I26" i="94" s="1"/>
  <c r="AA10" i="90"/>
  <c r="AA111" i="90" s="1"/>
  <c r="J17" i="94"/>
  <c r="J25" i="94" s="1"/>
  <c r="Y10" i="90"/>
  <c r="Y111" i="90" s="1"/>
  <c r="H17" i="94"/>
  <c r="H25" i="94" s="1"/>
  <c r="U9" i="90"/>
  <c r="U110" i="90" s="1"/>
  <c r="AE13" i="90"/>
  <c r="AE114" i="90" s="1"/>
  <c r="L20" i="94"/>
  <c r="U12" i="90"/>
  <c r="U113" i="90" s="1"/>
  <c r="D19" i="94"/>
  <c r="D27" i="94" s="1"/>
  <c r="AB11" i="90"/>
  <c r="AB112" i="90" s="1"/>
  <c r="K18" i="94"/>
  <c r="X11" i="90"/>
  <c r="X112" i="90" s="1"/>
  <c r="G18" i="94"/>
  <c r="G26" i="94" s="1"/>
  <c r="U10" i="90"/>
  <c r="U111" i="90" s="1"/>
  <c r="D17" i="94"/>
  <c r="D25" i="94" s="1"/>
  <c r="Z10" i="90"/>
  <c r="Z111" i="90" s="1"/>
  <c r="I17" i="94"/>
  <c r="I25" i="94" s="1"/>
  <c r="Z9" i="90"/>
  <c r="Z110" i="90" s="1"/>
  <c r="I16" i="94"/>
  <c r="I24" i="94" s="1"/>
  <c r="D142" i="22"/>
  <c r="L142" i="22" s="1"/>
  <c r="I3" i="36"/>
  <c r="I9" i="64"/>
  <c r="J107" i="75"/>
  <c r="J29" i="90" s="1"/>
  <c r="AD12" i="22"/>
  <c r="AF12" i="22" s="1"/>
  <c r="K12" i="22"/>
  <c r="M12" i="22" s="1"/>
  <c r="O12" i="22" s="1"/>
  <c r="J13" i="79"/>
  <c r="J108" i="79" s="1"/>
  <c r="AD13" i="22"/>
  <c r="AF13" i="22" s="1"/>
  <c r="J106" i="79"/>
  <c r="AD106" i="79" s="1"/>
  <c r="AD11" i="22"/>
  <c r="AF11" i="22" s="1"/>
  <c r="D144" i="22"/>
  <c r="L144" i="22" s="1"/>
  <c r="D145" i="22"/>
  <c r="D146" i="22"/>
  <c r="H7" i="91"/>
  <c r="H93" i="91" s="1"/>
  <c r="H8" i="91"/>
  <c r="H94" i="91" s="1"/>
  <c r="K144" i="22"/>
  <c r="H10" i="91"/>
  <c r="H96" i="91" s="1"/>
  <c r="K146" i="22"/>
  <c r="I13" i="90"/>
  <c r="I114" i="90" s="1"/>
  <c r="V13" i="90"/>
  <c r="V114" i="90" s="1"/>
  <c r="E13" i="90"/>
  <c r="E114" i="90" s="1"/>
  <c r="H13" i="90"/>
  <c r="H114" i="90" s="1"/>
  <c r="F13" i="90"/>
  <c r="F114" i="90" s="1"/>
  <c r="W13" i="90"/>
  <c r="W114" i="90" s="1"/>
  <c r="N13" i="90"/>
  <c r="N114" i="90" s="1"/>
  <c r="D13" i="90"/>
  <c r="D114" i="90" s="1"/>
  <c r="D12" i="90"/>
  <c r="D113" i="90" s="1"/>
  <c r="F12" i="90"/>
  <c r="F113" i="90" s="1"/>
  <c r="E12" i="90"/>
  <c r="E113" i="90" s="1"/>
  <c r="V12" i="90"/>
  <c r="V113" i="90" s="1"/>
  <c r="W12" i="90"/>
  <c r="W113" i="90" s="1"/>
  <c r="N12" i="90"/>
  <c r="N113" i="90" s="1"/>
  <c r="I12" i="90"/>
  <c r="I113" i="90" s="1"/>
  <c r="H12" i="90"/>
  <c r="H113" i="90" s="1"/>
  <c r="E11" i="90"/>
  <c r="E112" i="90" s="1"/>
  <c r="H11" i="90"/>
  <c r="H112" i="90" s="1"/>
  <c r="V11" i="90"/>
  <c r="V112" i="90" s="1"/>
  <c r="I11" i="90"/>
  <c r="I112" i="90" s="1"/>
  <c r="D11" i="90"/>
  <c r="D112" i="90" s="1"/>
  <c r="N11" i="90"/>
  <c r="N112" i="90" s="1"/>
  <c r="F11" i="90"/>
  <c r="F112" i="90" s="1"/>
  <c r="W11" i="90"/>
  <c r="W112" i="90" s="1"/>
  <c r="I10" i="90"/>
  <c r="I111" i="90" s="1"/>
  <c r="W10" i="90"/>
  <c r="W111" i="90" s="1"/>
  <c r="H10" i="90"/>
  <c r="H111" i="90" s="1"/>
  <c r="N10" i="90"/>
  <c r="N111" i="90" s="1"/>
  <c r="V10" i="90"/>
  <c r="V111" i="90" s="1"/>
  <c r="F10" i="90"/>
  <c r="F111" i="90" s="1"/>
  <c r="F9" i="90"/>
  <c r="F110" i="90" s="1"/>
  <c r="H9" i="90"/>
  <c r="H110" i="90" s="1"/>
  <c r="E9" i="90"/>
  <c r="E110" i="90" s="1"/>
  <c r="V9" i="90"/>
  <c r="V110" i="90" s="1"/>
  <c r="D9" i="90"/>
  <c r="D110" i="90" s="1"/>
  <c r="AG81" i="90"/>
  <c r="K7" i="36"/>
  <c r="D10" i="91"/>
  <c r="D96" i="91" s="1"/>
  <c r="K6" i="36"/>
  <c r="D9" i="91"/>
  <c r="D95" i="91" s="1"/>
  <c r="K5" i="36"/>
  <c r="D8" i="91"/>
  <c r="D94" i="91" s="1"/>
  <c r="D31" i="39"/>
  <c r="D7" i="91"/>
  <c r="D93" i="91" s="1"/>
  <c r="X14" i="82"/>
  <c r="X9" i="90"/>
  <c r="X110" i="90" s="1"/>
  <c r="Y14" i="82"/>
  <c r="Y9" i="90"/>
  <c r="Y110" i="90" s="1"/>
  <c r="W14" i="82"/>
  <c r="W9" i="90"/>
  <c r="W110" i="90" s="1"/>
  <c r="I14" i="82"/>
  <c r="I44" i="82" s="1"/>
  <c r="I9" i="90"/>
  <c r="I110" i="90" s="1"/>
  <c r="L14" i="90"/>
  <c r="L115" i="90" s="1"/>
  <c r="H33" i="39"/>
  <c r="H31" i="39"/>
  <c r="H34" i="39"/>
  <c r="H32" i="39"/>
  <c r="D33" i="39"/>
  <c r="J105" i="75"/>
  <c r="J27" i="90" s="1"/>
  <c r="K9" i="22"/>
  <c r="M9" i="22" s="1"/>
  <c r="O9" i="22" s="1"/>
  <c r="J9" i="79"/>
  <c r="D32" i="39"/>
  <c r="AG47" i="22"/>
  <c r="AH47" i="22" s="1"/>
  <c r="J106" i="22"/>
  <c r="J25" i="93" s="1"/>
  <c r="J34" i="93" s="1"/>
  <c r="K11" i="22"/>
  <c r="M11" i="22" s="1"/>
  <c r="O11" i="22" s="1"/>
  <c r="J105" i="22"/>
  <c r="K10" i="22"/>
  <c r="M10" i="22" s="1"/>
  <c r="O10" i="22" s="1"/>
  <c r="J108" i="22"/>
  <c r="J27" i="93" s="1"/>
  <c r="J36" i="93" s="1"/>
  <c r="K13" i="22"/>
  <c r="M13" i="22" s="1"/>
  <c r="O13" i="22" s="1"/>
  <c r="J107" i="22"/>
  <c r="L14" i="39"/>
  <c r="L44" i="39" s="1"/>
  <c r="D131" i="22"/>
  <c r="D12" i="91" s="1"/>
  <c r="K4" i="36"/>
  <c r="K12" i="82"/>
  <c r="M12" i="82" s="1"/>
  <c r="N6" i="83"/>
  <c r="O6" i="83" s="1"/>
  <c r="P6" i="83" s="1"/>
  <c r="K13" i="82"/>
  <c r="M13" i="82" s="1"/>
  <c r="E14" i="82"/>
  <c r="E44" i="82" s="1"/>
  <c r="N6" i="77"/>
  <c r="O6" i="77" s="1"/>
  <c r="P6" i="77" s="1"/>
  <c r="N5" i="77"/>
  <c r="O5" i="77" s="1"/>
  <c r="P5" i="77" s="1"/>
  <c r="L143" i="85"/>
  <c r="M143" i="85" s="1"/>
  <c r="D147" i="85"/>
  <c r="L14" i="82"/>
  <c r="L44" i="82" s="1"/>
  <c r="M9" i="75"/>
  <c r="U14" i="82"/>
  <c r="V14" i="82"/>
  <c r="F14" i="82"/>
  <c r="F44" i="82" s="1"/>
  <c r="Z14" i="82"/>
  <c r="N4" i="77"/>
  <c r="O4" i="77" s="1"/>
  <c r="P4" i="77" s="1"/>
  <c r="D36" i="82"/>
  <c r="D45" i="82" s="1"/>
  <c r="AF9" i="75"/>
  <c r="K9" i="83"/>
  <c r="L23" i="36" s="1"/>
  <c r="J108" i="75"/>
  <c r="J30" i="90" s="1"/>
  <c r="AD13" i="75"/>
  <c r="AF13" i="75" s="1"/>
  <c r="K13" i="75"/>
  <c r="M13" i="75" s="1"/>
  <c r="O13" i="75" s="1"/>
  <c r="J104" i="22"/>
  <c r="J23" i="93" s="1"/>
  <c r="J32" i="93" s="1"/>
  <c r="J106" i="75"/>
  <c r="J28" i="90" s="1"/>
  <c r="AD11" i="75"/>
  <c r="AF11" i="75" s="1"/>
  <c r="K11" i="75"/>
  <c r="M11" i="75" s="1"/>
  <c r="O11" i="75" s="1"/>
  <c r="AE14" i="82"/>
  <c r="H14" i="82"/>
  <c r="H44" i="82" s="1"/>
  <c r="N5" i="83"/>
  <c r="O5" i="83" s="1"/>
  <c r="P5" i="83" s="1"/>
  <c r="K11" i="82"/>
  <c r="M11" i="82" s="1"/>
  <c r="O11" i="82" s="1"/>
  <c r="AF11" i="82"/>
  <c r="N4" i="83"/>
  <c r="O4" i="83" s="1"/>
  <c r="P4" i="83" s="1"/>
  <c r="K10" i="82"/>
  <c r="M10" i="82" s="1"/>
  <c r="O10" i="82" s="1"/>
  <c r="J9" i="76"/>
  <c r="AD104" i="75"/>
  <c r="AD26" i="90" s="1"/>
  <c r="K104" i="75"/>
  <c r="K26" i="90" s="1"/>
  <c r="D34" i="39"/>
  <c r="N7" i="77"/>
  <c r="O7" i="77" s="1"/>
  <c r="P7" i="77" s="1"/>
  <c r="D33" i="76"/>
  <c r="D145" i="75"/>
  <c r="L145" i="75" s="1"/>
  <c r="M145" i="75" s="1"/>
  <c r="D31" i="76"/>
  <c r="D143" i="75"/>
  <c r="D131" i="75"/>
  <c r="O3" i="77"/>
  <c r="P3" i="77" s="1"/>
  <c r="D34" i="76"/>
  <c r="D146" i="75"/>
  <c r="L146" i="75" s="1"/>
  <c r="M146" i="75" s="1"/>
  <c r="D32" i="76"/>
  <c r="D144" i="75"/>
  <c r="L144" i="75" s="1"/>
  <c r="M144" i="75" s="1"/>
  <c r="N11" i="39"/>
  <c r="Y10" i="39"/>
  <c r="V12" i="39"/>
  <c r="Y12" i="39"/>
  <c r="W10" i="39"/>
  <c r="U10" i="39"/>
  <c r="Z10" i="39"/>
  <c r="J3" i="36"/>
  <c r="H10" i="39"/>
  <c r="W13" i="39"/>
  <c r="X13" i="39"/>
  <c r="F10" i="39"/>
  <c r="D12" i="39"/>
  <c r="D13" i="39"/>
  <c r="D9" i="39"/>
  <c r="AG67" i="22"/>
  <c r="AH67" i="22" s="1"/>
  <c r="J14" i="22"/>
  <c r="AD9" i="22"/>
  <c r="AF9" i="22" s="1"/>
  <c r="AF52" i="22"/>
  <c r="AF90" i="22"/>
  <c r="AG69" i="22"/>
  <c r="AH69" i="22" s="1"/>
  <c r="AG85" i="22"/>
  <c r="AH85" i="22" s="1"/>
  <c r="M3" i="36"/>
  <c r="M9" i="36" s="1"/>
  <c r="Y73" i="22"/>
  <c r="Y35" i="22"/>
  <c r="Z9" i="39"/>
  <c r="N71" i="22"/>
  <c r="AB66" i="22"/>
  <c r="AB104" i="22" s="1"/>
  <c r="AG68" i="22"/>
  <c r="AH68" i="22" s="1"/>
  <c r="K71" i="22"/>
  <c r="M66" i="22"/>
  <c r="E9" i="39"/>
  <c r="U11" i="39"/>
  <c r="F11" i="39"/>
  <c r="H131" i="22"/>
  <c r="H12" i="91" s="1"/>
  <c r="H98" i="91" s="1"/>
  <c r="I11" i="39"/>
  <c r="I4" i="36"/>
  <c r="D10" i="39"/>
  <c r="AG28" i="22"/>
  <c r="AH28" i="22" s="1"/>
  <c r="H11" i="39"/>
  <c r="Z11" i="39"/>
  <c r="X12" i="39"/>
  <c r="E11" i="39"/>
  <c r="I7" i="36"/>
  <c r="AG31" i="22"/>
  <c r="AH31" i="22" s="1"/>
  <c r="E13" i="39"/>
  <c r="N10" i="39"/>
  <c r="I10" i="39"/>
  <c r="W11" i="39"/>
  <c r="AA13" i="39"/>
  <c r="F12" i="39"/>
  <c r="Y11" i="39"/>
  <c r="F13" i="39"/>
  <c r="J4" i="36"/>
  <c r="Z109" i="22"/>
  <c r="H12" i="39"/>
  <c r="AF29" i="22"/>
  <c r="AG29" i="22" s="1"/>
  <c r="AH29" i="22" s="1"/>
  <c r="X11" i="39"/>
  <c r="E9" i="36"/>
  <c r="F25" i="36" s="1"/>
  <c r="AG32" i="22"/>
  <c r="AH32" i="22" s="1"/>
  <c r="I6" i="36"/>
  <c r="U12" i="39"/>
  <c r="AB33" i="22"/>
  <c r="V13" i="39"/>
  <c r="AB107" i="22"/>
  <c r="K19" i="94" s="1"/>
  <c r="E109" i="22"/>
  <c r="I13" i="39"/>
  <c r="K33" i="22"/>
  <c r="Z13" i="39"/>
  <c r="AG30" i="22"/>
  <c r="AH30" i="22" s="1"/>
  <c r="M33" i="22"/>
  <c r="I12" i="39"/>
  <c r="V10" i="39"/>
  <c r="X10" i="39"/>
  <c r="V11" i="39"/>
  <c r="Z12" i="39"/>
  <c r="O33" i="22"/>
  <c r="AA14" i="22"/>
  <c r="AE11" i="39"/>
  <c r="J5" i="36"/>
  <c r="E10" i="39"/>
  <c r="AB11" i="39"/>
  <c r="AA12" i="39"/>
  <c r="AE12" i="39"/>
  <c r="F9" i="39"/>
  <c r="F109" i="22"/>
  <c r="D109" i="22"/>
  <c r="D34" i="36" s="1"/>
  <c r="AA10" i="39"/>
  <c r="AB14" i="22"/>
  <c r="AE10" i="39"/>
  <c r="AE13" i="39"/>
  <c r="J6" i="36"/>
  <c r="N12" i="39"/>
  <c r="E12" i="39"/>
  <c r="AB108" i="22"/>
  <c r="K20" i="94" s="1"/>
  <c r="AA106" i="22"/>
  <c r="H13" i="39"/>
  <c r="I5" i="36"/>
  <c r="D11" i="39"/>
  <c r="N13" i="39"/>
  <c r="J7" i="36"/>
  <c r="N109" i="22"/>
  <c r="AB10" i="39"/>
  <c r="W12" i="39"/>
  <c r="N9" i="39"/>
  <c r="V9" i="39"/>
  <c r="V109" i="22"/>
  <c r="E21" i="94" s="1"/>
  <c r="E29" i="94" s="1"/>
  <c r="U109" i="22"/>
  <c r="U9" i="39"/>
  <c r="Y9" i="39"/>
  <c r="Y109" i="22"/>
  <c r="Y16" i="22"/>
  <c r="I109" i="22"/>
  <c r="I9" i="39"/>
  <c r="W109" i="22"/>
  <c r="W9" i="39"/>
  <c r="AE109" i="22"/>
  <c r="AE9" i="39"/>
  <c r="X9" i="39"/>
  <c r="X109" i="22"/>
  <c r="H109" i="22"/>
  <c r="H9" i="39"/>
  <c r="J47" i="90" l="1"/>
  <c r="AD108" i="79"/>
  <c r="J26" i="93"/>
  <c r="J35" i="93" s="1"/>
  <c r="K107" i="22"/>
  <c r="M107" i="22" s="1"/>
  <c r="AG12" i="79"/>
  <c r="AH12" i="79" s="1"/>
  <c r="J46" i="90"/>
  <c r="AD107" i="79"/>
  <c r="J12" i="81"/>
  <c r="K12" i="81" s="1"/>
  <c r="M12" i="81" s="1"/>
  <c r="O12" i="81" s="1"/>
  <c r="K107" i="79"/>
  <c r="J105" i="79"/>
  <c r="AD10" i="79"/>
  <c r="AF10" i="79" s="1"/>
  <c r="K10" i="79"/>
  <c r="M10" i="79" s="1"/>
  <c r="O10" i="79" s="1"/>
  <c r="E34" i="36"/>
  <c r="F34" i="36"/>
  <c r="L24" i="94"/>
  <c r="D27" i="91"/>
  <c r="D98" i="91" s="1"/>
  <c r="I29" i="36"/>
  <c r="P29" i="36" s="1"/>
  <c r="P33" i="36" s="1"/>
  <c r="Q32" i="36"/>
  <c r="P3" i="70"/>
  <c r="N25" i="36"/>
  <c r="L27" i="94"/>
  <c r="N27" i="94"/>
  <c r="L28" i="94"/>
  <c r="N28" i="94"/>
  <c r="L25" i="94"/>
  <c r="N25" i="94"/>
  <c r="L26" i="94"/>
  <c r="N26" i="94"/>
  <c r="J24" i="93"/>
  <c r="J33" i="93" s="1"/>
  <c r="AD105" i="22"/>
  <c r="M17" i="94" s="1"/>
  <c r="M25" i="94" s="1"/>
  <c r="D14" i="90"/>
  <c r="D115" i="90" s="1"/>
  <c r="D28" i="93"/>
  <c r="Z14" i="90"/>
  <c r="Z115" i="90" s="1"/>
  <c r="I21" i="94"/>
  <c r="I29" i="94" s="1"/>
  <c r="F14" i="90"/>
  <c r="F115" i="90" s="1"/>
  <c r="F28" i="93"/>
  <c r="U14" i="90"/>
  <c r="U115" i="90" s="1"/>
  <c r="Y111" i="22"/>
  <c r="D21" i="94"/>
  <c r="D29" i="94" s="1"/>
  <c r="AB9" i="90"/>
  <c r="AB110" i="90" s="1"/>
  <c r="K16" i="94"/>
  <c r="W14" i="90"/>
  <c r="W115" i="90" s="1"/>
  <c r="F21" i="94"/>
  <c r="F29" i="94" s="1"/>
  <c r="AE14" i="90"/>
  <c r="AE115" i="90" s="1"/>
  <c r="L21" i="94"/>
  <c r="L29" i="94" s="1"/>
  <c r="E14" i="90"/>
  <c r="E115" i="90" s="1"/>
  <c r="E28" i="93"/>
  <c r="Y14" i="90"/>
  <c r="Y115" i="90" s="1"/>
  <c r="H21" i="94"/>
  <c r="H29" i="94" s="1"/>
  <c r="H14" i="90"/>
  <c r="H115" i="90" s="1"/>
  <c r="H28" i="93"/>
  <c r="I14" i="90"/>
  <c r="I115" i="90" s="1"/>
  <c r="I28" i="93"/>
  <c r="N14" i="90"/>
  <c r="N115" i="90" s="1"/>
  <c r="N28" i="93"/>
  <c r="X14" i="90"/>
  <c r="X115" i="90" s="1"/>
  <c r="G21" i="94"/>
  <c r="G29" i="94" s="1"/>
  <c r="AA11" i="90"/>
  <c r="AA112" i="90" s="1"/>
  <c r="J18" i="94"/>
  <c r="J26" i="94" s="1"/>
  <c r="M143" i="22"/>
  <c r="L146" i="22"/>
  <c r="M146" i="22" s="1"/>
  <c r="M144" i="22"/>
  <c r="L145" i="22"/>
  <c r="M145" i="22" s="1"/>
  <c r="N3" i="36"/>
  <c r="O3" i="36" s="1"/>
  <c r="P3" i="36" s="1"/>
  <c r="AG52" i="22"/>
  <c r="AH52" i="22" s="1"/>
  <c r="K12" i="75"/>
  <c r="M12" i="75" s="1"/>
  <c r="O12" i="75" s="1"/>
  <c r="AD12" i="75"/>
  <c r="AF12" i="75" s="1"/>
  <c r="K11" i="79"/>
  <c r="M11" i="79" s="1"/>
  <c r="O11" i="79" s="1"/>
  <c r="AD13" i="79"/>
  <c r="AF13" i="79" s="1"/>
  <c r="AD11" i="79"/>
  <c r="AF11" i="79" s="1"/>
  <c r="K13" i="79"/>
  <c r="M13" i="79" s="1"/>
  <c r="J14" i="79"/>
  <c r="K147" i="22"/>
  <c r="D147" i="22"/>
  <c r="V14" i="90"/>
  <c r="V115" i="90" s="1"/>
  <c r="J12" i="90"/>
  <c r="J13" i="90"/>
  <c r="J9" i="90"/>
  <c r="J45" i="90"/>
  <c r="J11" i="81"/>
  <c r="K11" i="81" s="1"/>
  <c r="M11" i="81" s="1"/>
  <c r="O11" i="81" s="1"/>
  <c r="AF11" i="99"/>
  <c r="K106" i="79"/>
  <c r="K9" i="36"/>
  <c r="E21" i="64"/>
  <c r="G21" i="64" s="1"/>
  <c r="J11" i="90"/>
  <c r="E20" i="64"/>
  <c r="H20" i="64" s="1"/>
  <c r="J10" i="90"/>
  <c r="AF13" i="82"/>
  <c r="AB13" i="90"/>
  <c r="AB114" i="90" s="1"/>
  <c r="AF12" i="82"/>
  <c r="AB12" i="90"/>
  <c r="AB113" i="90" s="1"/>
  <c r="AA14" i="82"/>
  <c r="AA9" i="90"/>
  <c r="AA110" i="90" s="1"/>
  <c r="J11" i="39"/>
  <c r="K11" i="39" s="1"/>
  <c r="M11" i="39" s="1"/>
  <c r="O11" i="39" s="1"/>
  <c r="AD107" i="22"/>
  <c r="M19" i="94" s="1"/>
  <c r="M27" i="94" s="1"/>
  <c r="E22" i="64"/>
  <c r="J14" i="82"/>
  <c r="J44" i="82" s="1"/>
  <c r="E19" i="64"/>
  <c r="J13" i="39"/>
  <c r="K13" i="39" s="1"/>
  <c r="M13" i="39" s="1"/>
  <c r="O13" i="39" s="1"/>
  <c r="E23" i="64"/>
  <c r="J10" i="39"/>
  <c r="K10" i="39" s="1"/>
  <c r="M10" i="39" s="1"/>
  <c r="O10" i="39" s="1"/>
  <c r="D36" i="76"/>
  <c r="D45" i="76" s="1"/>
  <c r="H36" i="39"/>
  <c r="H45" i="39" s="1"/>
  <c r="H36" i="88"/>
  <c r="H45" i="88" s="1"/>
  <c r="H45" i="76"/>
  <c r="H36" i="82"/>
  <c r="H45" i="82" s="1"/>
  <c r="H46" i="81"/>
  <c r="J14" i="75"/>
  <c r="K10" i="75"/>
  <c r="M10" i="75" s="1"/>
  <c r="O10" i="75" s="1"/>
  <c r="AD10" i="75"/>
  <c r="AF10" i="75" s="1"/>
  <c r="J104" i="79"/>
  <c r="K9" i="79"/>
  <c r="M9" i="79" s="1"/>
  <c r="O9" i="79" s="1"/>
  <c r="AD9" i="79"/>
  <c r="AF9" i="79" s="1"/>
  <c r="D36" i="39"/>
  <c r="D45" i="39" s="1"/>
  <c r="AD108" i="22"/>
  <c r="M20" i="94" s="1"/>
  <c r="M28" i="94" s="1"/>
  <c r="K108" i="22"/>
  <c r="K27" i="93" s="1"/>
  <c r="K36" i="93" s="1"/>
  <c r="AG9" i="22"/>
  <c r="AH9" i="22" s="1"/>
  <c r="J12" i="39"/>
  <c r="K12" i="39" s="1"/>
  <c r="M12" i="39" s="1"/>
  <c r="O12" i="39" s="1"/>
  <c r="K105" i="22"/>
  <c r="K24" i="93" s="1"/>
  <c r="K33" i="93" s="1"/>
  <c r="AD106" i="22"/>
  <c r="M18" i="94" s="1"/>
  <c r="M26" i="94" s="1"/>
  <c r="K106" i="22"/>
  <c r="AD14" i="22"/>
  <c r="K14" i="22"/>
  <c r="AG11" i="22"/>
  <c r="AH11" i="22" s="1"/>
  <c r="AG10" i="22"/>
  <c r="AH10" i="22" s="1"/>
  <c r="Y16" i="82"/>
  <c r="AG11" i="82"/>
  <c r="AH11" i="82" s="1"/>
  <c r="AG13" i="75"/>
  <c r="AH13" i="75" s="1"/>
  <c r="AG11" i="75"/>
  <c r="AH11" i="75" s="1"/>
  <c r="J109" i="75"/>
  <c r="J31" i="90" s="1"/>
  <c r="AD104" i="22"/>
  <c r="M16" i="94" s="1"/>
  <c r="M24" i="94" s="1"/>
  <c r="J109" i="22"/>
  <c r="AB14" i="82"/>
  <c r="K9" i="76"/>
  <c r="J12" i="76"/>
  <c r="K12" i="76" s="1"/>
  <c r="M12" i="76" s="1"/>
  <c r="O12" i="76" s="1"/>
  <c r="AD107" i="75"/>
  <c r="K107" i="75"/>
  <c r="J10" i="76"/>
  <c r="K10" i="76" s="1"/>
  <c r="M10" i="76" s="1"/>
  <c r="O10" i="76" s="1"/>
  <c r="AD105" i="75"/>
  <c r="AD27" i="90" s="1"/>
  <c r="K105" i="75"/>
  <c r="AF9" i="82"/>
  <c r="L147" i="85"/>
  <c r="M147" i="85" s="1"/>
  <c r="J9" i="83"/>
  <c r="K23" i="36" s="1"/>
  <c r="K24" i="36" s="1"/>
  <c r="N7" i="83"/>
  <c r="O7" i="83" s="1"/>
  <c r="P7" i="83" s="1"/>
  <c r="AD14" i="82"/>
  <c r="AD106" i="75"/>
  <c r="AD28" i="90" s="1"/>
  <c r="J11" i="76"/>
  <c r="K11" i="76" s="1"/>
  <c r="M11" i="76" s="1"/>
  <c r="O11" i="76" s="1"/>
  <c r="K106" i="75"/>
  <c r="J13" i="81"/>
  <c r="K108" i="79"/>
  <c r="K47" i="90" s="1"/>
  <c r="K108" i="75"/>
  <c r="J13" i="76"/>
  <c r="K13" i="76" s="1"/>
  <c r="M13" i="76" s="1"/>
  <c r="O13" i="76" s="1"/>
  <c r="AD108" i="75"/>
  <c r="AD30" i="90" s="1"/>
  <c r="I9" i="83"/>
  <c r="J23" i="36" s="1"/>
  <c r="J24" i="36" s="1"/>
  <c r="N3" i="83"/>
  <c r="O13" i="82"/>
  <c r="M104" i="75"/>
  <c r="M26" i="90" s="1"/>
  <c r="D14" i="82"/>
  <c r="D44" i="82" s="1"/>
  <c r="K9" i="82"/>
  <c r="J9" i="39"/>
  <c r="K104" i="22"/>
  <c r="K23" i="93" s="1"/>
  <c r="K32" i="93" s="1"/>
  <c r="AD9" i="76"/>
  <c r="AF104" i="75"/>
  <c r="AF26" i="90" s="1"/>
  <c r="O9" i="75"/>
  <c r="N14" i="82"/>
  <c r="N44" i="82" s="1"/>
  <c r="O12" i="82"/>
  <c r="L143" i="75"/>
  <c r="M143" i="75" s="1"/>
  <c r="D147" i="75"/>
  <c r="N9" i="77"/>
  <c r="O20" i="36" s="1"/>
  <c r="K9" i="77"/>
  <c r="L20" i="36" s="1"/>
  <c r="L24" i="36" s="1"/>
  <c r="O9" i="77"/>
  <c r="P9" i="77" s="1"/>
  <c r="AA9" i="39"/>
  <c r="AG12" i="22"/>
  <c r="AH12" i="22" s="1"/>
  <c r="AG13" i="22"/>
  <c r="AH13" i="22" s="1"/>
  <c r="M142" i="22"/>
  <c r="N7" i="36"/>
  <c r="N6" i="36"/>
  <c r="O6" i="36" s="1"/>
  <c r="P6" i="36" s="1"/>
  <c r="N5" i="36"/>
  <c r="O5" i="36" s="1"/>
  <c r="P5" i="36" s="1"/>
  <c r="AG90" i="22"/>
  <c r="AH90" i="22" s="1"/>
  <c r="N4" i="36"/>
  <c r="O4" i="36" s="1"/>
  <c r="P4" i="36" s="1"/>
  <c r="Y14" i="39"/>
  <c r="I14" i="39"/>
  <c r="I44" i="39" s="1"/>
  <c r="AF33" i="22"/>
  <c r="AG33" i="22"/>
  <c r="AH33" i="22" s="1"/>
  <c r="X14" i="39"/>
  <c r="F14" i="39"/>
  <c r="F44" i="39" s="1"/>
  <c r="AB9" i="39"/>
  <c r="AB109" i="22"/>
  <c r="AB71" i="22"/>
  <c r="AF66" i="22"/>
  <c r="AF71" i="22" s="1"/>
  <c r="O66" i="22"/>
  <c r="M71" i="22"/>
  <c r="Z14" i="39"/>
  <c r="AB12" i="39"/>
  <c r="V14" i="39"/>
  <c r="H14" i="39"/>
  <c r="H44" i="39" s="1"/>
  <c r="E14" i="39"/>
  <c r="E44" i="39" s="1"/>
  <c r="D14" i="39"/>
  <c r="D44" i="39" s="1"/>
  <c r="J9" i="36"/>
  <c r="AE14" i="39"/>
  <c r="I9" i="36"/>
  <c r="AA11" i="39"/>
  <c r="W14" i="39"/>
  <c r="AA109" i="22"/>
  <c r="J21" i="94" s="1"/>
  <c r="J29" i="94" s="1"/>
  <c r="N14" i="39"/>
  <c r="N44" i="39" s="1"/>
  <c r="AB13" i="39"/>
  <c r="U14" i="39"/>
  <c r="H9" i="36"/>
  <c r="I25" i="36" s="1"/>
  <c r="J25" i="36" l="1"/>
  <c r="J114" i="90"/>
  <c r="K26" i="93"/>
  <c r="K35" i="93" s="1"/>
  <c r="M107" i="79"/>
  <c r="K46" i="90"/>
  <c r="AF107" i="79"/>
  <c r="AD12" i="81"/>
  <c r="AF12" i="81" s="1"/>
  <c r="AG12" i="81" s="1"/>
  <c r="AH12" i="81" s="1"/>
  <c r="AD46" i="90"/>
  <c r="J113" i="90"/>
  <c r="K25" i="93"/>
  <c r="K34" i="93" s="1"/>
  <c r="M106" i="22"/>
  <c r="AG10" i="79"/>
  <c r="AH10" i="79" s="1"/>
  <c r="J44" i="90"/>
  <c r="J111" i="90" s="1"/>
  <c r="J10" i="81"/>
  <c r="K10" i="81" s="1"/>
  <c r="M10" i="81" s="1"/>
  <c r="O10" i="81" s="1"/>
  <c r="AD105" i="79"/>
  <c r="K105" i="79"/>
  <c r="AD29" i="90"/>
  <c r="AF107" i="75"/>
  <c r="J112" i="90"/>
  <c r="AG11" i="99"/>
  <c r="AH11" i="99" s="1"/>
  <c r="AD47" i="90"/>
  <c r="AF13" i="99"/>
  <c r="AG13" i="99" s="1"/>
  <c r="AH13" i="99" s="1"/>
  <c r="N29" i="94"/>
  <c r="L25" i="36"/>
  <c r="K25" i="36"/>
  <c r="I33" i="36"/>
  <c r="J14" i="90"/>
  <c r="J28" i="93"/>
  <c r="AB14" i="90"/>
  <c r="AB115" i="90" s="1"/>
  <c r="K21" i="94"/>
  <c r="K29" i="94" s="1"/>
  <c r="AA14" i="90"/>
  <c r="AA115" i="90" s="1"/>
  <c r="L147" i="22"/>
  <c r="M147" i="22" s="1"/>
  <c r="AG12" i="75"/>
  <c r="AH12" i="75" s="1"/>
  <c r="AG11" i="79"/>
  <c r="AH11" i="79" s="1"/>
  <c r="AF106" i="79"/>
  <c r="AD45" i="90"/>
  <c r="AD11" i="81"/>
  <c r="AF11" i="81" s="1"/>
  <c r="AG11" i="81" s="1"/>
  <c r="AH11" i="81" s="1"/>
  <c r="M106" i="79"/>
  <c r="K45" i="90"/>
  <c r="F19" i="64"/>
  <c r="H19" i="64"/>
  <c r="F20" i="64"/>
  <c r="G20" i="64"/>
  <c r="F21" i="64"/>
  <c r="H21" i="64"/>
  <c r="AG13" i="82"/>
  <c r="AH13" i="82" s="1"/>
  <c r="AG12" i="82"/>
  <c r="AH12" i="82" s="1"/>
  <c r="M108" i="75"/>
  <c r="K30" i="90"/>
  <c r="J109" i="79"/>
  <c r="J48" i="90" s="1"/>
  <c r="J43" i="90"/>
  <c r="J110" i="90" s="1"/>
  <c r="AD13" i="39"/>
  <c r="AF13" i="39" s="1"/>
  <c r="AG13" i="39" s="1"/>
  <c r="AH13" i="39" s="1"/>
  <c r="AD13" i="90"/>
  <c r="M108" i="22"/>
  <c r="K13" i="90"/>
  <c r="O107" i="22"/>
  <c r="K12" i="90"/>
  <c r="AD12" i="39"/>
  <c r="AF12" i="39" s="1"/>
  <c r="AG12" i="39" s="1"/>
  <c r="AH12" i="39" s="1"/>
  <c r="AD12" i="90"/>
  <c r="M107" i="75"/>
  <c r="M29" i="90" s="1"/>
  <c r="K29" i="90"/>
  <c r="M106" i="75"/>
  <c r="O106" i="75" s="1"/>
  <c r="O28" i="90" s="1"/>
  <c r="K28" i="90"/>
  <c r="K11" i="90"/>
  <c r="AD11" i="39"/>
  <c r="AF11" i="39" s="1"/>
  <c r="AG11" i="39" s="1"/>
  <c r="AH11" i="39" s="1"/>
  <c r="AD11" i="90"/>
  <c r="M105" i="22"/>
  <c r="K10" i="90"/>
  <c r="AF10" i="82"/>
  <c r="AG10" i="82" s="1"/>
  <c r="AH10" i="82" s="1"/>
  <c r="AD10" i="90"/>
  <c r="M105" i="75"/>
  <c r="M27" i="90" s="1"/>
  <c r="K27" i="90"/>
  <c r="AF104" i="22"/>
  <c r="AD9" i="90"/>
  <c r="M104" i="22"/>
  <c r="K9" i="90"/>
  <c r="H23" i="64"/>
  <c r="F23" i="64"/>
  <c r="G23" i="64"/>
  <c r="AF107" i="22"/>
  <c r="G19" i="64"/>
  <c r="H22" i="64"/>
  <c r="F22" i="64"/>
  <c r="G22" i="64"/>
  <c r="E24" i="64"/>
  <c r="M14" i="75"/>
  <c r="O14" i="75"/>
  <c r="K14" i="75"/>
  <c r="AG10" i="75"/>
  <c r="AH10" i="75" s="1"/>
  <c r="AD14" i="79"/>
  <c r="AD14" i="75"/>
  <c r="AF14" i="75"/>
  <c r="K14" i="79"/>
  <c r="AG9" i="79"/>
  <c r="AH9" i="79" s="1"/>
  <c r="J9" i="81"/>
  <c r="K9" i="81" s="1"/>
  <c r="M9" i="81" s="1"/>
  <c r="O9" i="81" s="1"/>
  <c r="K104" i="79"/>
  <c r="AD104" i="79"/>
  <c r="J14" i="39"/>
  <c r="J44" i="39" s="1"/>
  <c r="AF108" i="22"/>
  <c r="N20" i="94" s="1"/>
  <c r="O28" i="94" s="1"/>
  <c r="AF106" i="22"/>
  <c r="N18" i="94" s="1"/>
  <c r="O26" i="94" s="1"/>
  <c r="AF105" i="22"/>
  <c r="N17" i="94" s="1"/>
  <c r="O25" i="94" s="1"/>
  <c r="AD10" i="39"/>
  <c r="AF10" i="39" s="1"/>
  <c r="AG10" i="39" s="1"/>
  <c r="AH10" i="39" s="1"/>
  <c r="K9" i="39"/>
  <c r="M9" i="39" s="1"/>
  <c r="O9" i="39" s="1"/>
  <c r="O14" i="39" s="1"/>
  <c r="AF14" i="22"/>
  <c r="AG14" i="22"/>
  <c r="AH14" i="22" s="1"/>
  <c r="AD9" i="39"/>
  <c r="AD109" i="75"/>
  <c r="AD31" i="90" s="1"/>
  <c r="K109" i="22"/>
  <c r="AD109" i="22"/>
  <c r="K109" i="75"/>
  <c r="K31" i="90" s="1"/>
  <c r="M108" i="79"/>
  <c r="M47" i="90" s="1"/>
  <c r="AD10" i="76"/>
  <c r="AF10" i="76" s="1"/>
  <c r="AG10" i="76" s="1"/>
  <c r="AH10" i="76" s="1"/>
  <c r="AF105" i="75"/>
  <c r="J14" i="76"/>
  <c r="J44" i="76" s="1"/>
  <c r="O104" i="75"/>
  <c r="O26" i="90" s="1"/>
  <c r="AD13" i="76"/>
  <c r="AF13" i="76" s="1"/>
  <c r="AG13" i="76" s="1"/>
  <c r="AH13" i="76" s="1"/>
  <c r="AF108" i="75"/>
  <c r="AF14" i="79"/>
  <c r="AF9" i="76"/>
  <c r="M9" i="82"/>
  <c r="K14" i="82"/>
  <c r="K44" i="82" s="1"/>
  <c r="AD13" i="81"/>
  <c r="AF108" i="79"/>
  <c r="AF47" i="90" s="1"/>
  <c r="AD11" i="76"/>
  <c r="AF11" i="76" s="1"/>
  <c r="AG11" i="76" s="1"/>
  <c r="AH11" i="76" s="1"/>
  <c r="AF106" i="75"/>
  <c r="O13" i="79"/>
  <c r="O14" i="79" s="1"/>
  <c r="M14" i="79"/>
  <c r="AG9" i="75"/>
  <c r="AH9" i="75" s="1"/>
  <c r="N9" i="83"/>
  <c r="O23" i="36" s="1"/>
  <c r="O24" i="36" s="1"/>
  <c r="O3" i="83"/>
  <c r="P3" i="83" s="1"/>
  <c r="K13" i="81"/>
  <c r="AD12" i="76"/>
  <c r="AF12" i="76" s="1"/>
  <c r="AG12" i="76" s="1"/>
  <c r="AH12" i="76" s="1"/>
  <c r="M9" i="76"/>
  <c r="K14" i="76"/>
  <c r="L147" i="75"/>
  <c r="M147" i="75" s="1"/>
  <c r="M14" i="22"/>
  <c r="O7" i="36"/>
  <c r="P7" i="36" s="1"/>
  <c r="N9" i="36"/>
  <c r="O71" i="22"/>
  <c r="AG66" i="22"/>
  <c r="AH66" i="22" s="1"/>
  <c r="Y16" i="39"/>
  <c r="AB14" i="39"/>
  <c r="AA14" i="39"/>
  <c r="O14" i="22"/>
  <c r="AD113" i="90" l="1"/>
  <c r="O107" i="79"/>
  <c r="O46" i="90" s="1"/>
  <c r="M46" i="90"/>
  <c r="K44" i="90"/>
  <c r="K111" i="90" s="1"/>
  <c r="M105" i="79"/>
  <c r="AF105" i="79"/>
  <c r="AD44" i="90"/>
  <c r="AD111" i="90" s="1"/>
  <c r="AD10" i="81"/>
  <c r="AF10" i="81" s="1"/>
  <c r="AG10" i="81" s="1"/>
  <c r="AH10" i="81" s="1"/>
  <c r="AD109" i="79"/>
  <c r="K114" i="90"/>
  <c r="AD114" i="90"/>
  <c r="K113" i="90"/>
  <c r="AD112" i="90"/>
  <c r="K112" i="90"/>
  <c r="J115" i="90"/>
  <c r="AD14" i="99"/>
  <c r="AF9" i="99"/>
  <c r="Q29" i="36"/>
  <c r="Q33" i="36" s="1"/>
  <c r="O25" i="36"/>
  <c r="AF12" i="90"/>
  <c r="N19" i="94"/>
  <c r="O27" i="94" s="1"/>
  <c r="M11" i="90"/>
  <c r="M25" i="93"/>
  <c r="M34" i="93" s="1"/>
  <c r="AG107" i="22"/>
  <c r="M26" i="93"/>
  <c r="M35" i="93" s="1"/>
  <c r="M13" i="90"/>
  <c r="M27" i="93"/>
  <c r="M36" i="93" s="1"/>
  <c r="M9" i="90"/>
  <c r="M23" i="93"/>
  <c r="M32" i="93" s="1"/>
  <c r="O105" i="22"/>
  <c r="AG105" i="22" s="1"/>
  <c r="M24" i="93"/>
  <c r="M33" i="93" s="1"/>
  <c r="AD14" i="90"/>
  <c r="M21" i="94"/>
  <c r="M29" i="94" s="1"/>
  <c r="K14" i="90"/>
  <c r="K28" i="93"/>
  <c r="AF9" i="90"/>
  <c r="N16" i="94"/>
  <c r="O24" i="94" s="1"/>
  <c r="O106" i="79"/>
  <c r="O45" i="90" s="1"/>
  <c r="M45" i="90"/>
  <c r="AF45" i="90"/>
  <c r="O108" i="22"/>
  <c r="O104" i="22"/>
  <c r="O105" i="75"/>
  <c r="O27" i="90" s="1"/>
  <c r="O106" i="22"/>
  <c r="AF14" i="82"/>
  <c r="AF30" i="90"/>
  <c r="M28" i="90"/>
  <c r="O108" i="75"/>
  <c r="O30" i="90" s="1"/>
  <c r="M30" i="90"/>
  <c r="O107" i="75"/>
  <c r="O29" i="90" s="1"/>
  <c r="M12" i="90"/>
  <c r="M10" i="90"/>
  <c r="M109" i="22"/>
  <c r="M109" i="75"/>
  <c r="M31" i="90" s="1"/>
  <c r="M104" i="79"/>
  <c r="O104" i="79" s="1"/>
  <c r="O43" i="90" s="1"/>
  <c r="K43" i="90"/>
  <c r="K110" i="90" s="1"/>
  <c r="AD43" i="90"/>
  <c r="AD110" i="90" s="1"/>
  <c r="AF13" i="90"/>
  <c r="AF29" i="90"/>
  <c r="AF11" i="90"/>
  <c r="AG106" i="75"/>
  <c r="AH106" i="75" s="1"/>
  <c r="AF28" i="90"/>
  <c r="AF10" i="90"/>
  <c r="AF27" i="90"/>
  <c r="H24" i="64"/>
  <c r="G24" i="64"/>
  <c r="F24" i="64"/>
  <c r="J14" i="81"/>
  <c r="J45" i="81" s="1"/>
  <c r="K109" i="79"/>
  <c r="AD9" i="81"/>
  <c r="AF9" i="81" s="1"/>
  <c r="AG9" i="81" s="1"/>
  <c r="AH9" i="81" s="1"/>
  <c r="AF104" i="79"/>
  <c r="AF109" i="22"/>
  <c r="K14" i="39"/>
  <c r="K44" i="39" s="1"/>
  <c r="AD14" i="39"/>
  <c r="M14" i="39"/>
  <c r="K44" i="76"/>
  <c r="AF9" i="39"/>
  <c r="AG9" i="39" s="1"/>
  <c r="AH9" i="39" s="1"/>
  <c r="AG13" i="79"/>
  <c r="AH13" i="79" s="1"/>
  <c r="AF13" i="81"/>
  <c r="AD14" i="76"/>
  <c r="O108" i="79"/>
  <c r="O47" i="90" s="1"/>
  <c r="M13" i="81"/>
  <c r="K14" i="81"/>
  <c r="AG14" i="75"/>
  <c r="AH14" i="75" s="1"/>
  <c r="O9" i="82"/>
  <c r="M14" i="82"/>
  <c r="M44" i="82" s="1"/>
  <c r="AG104" i="75"/>
  <c r="AH104" i="75" s="1"/>
  <c r="M14" i="76"/>
  <c r="O9" i="76"/>
  <c r="O14" i="76" s="1"/>
  <c r="O9" i="83"/>
  <c r="P9" i="83" s="1"/>
  <c r="AF14" i="76"/>
  <c r="AF109" i="75"/>
  <c r="AF31" i="90" s="1"/>
  <c r="O9" i="36"/>
  <c r="P9" i="36" s="1"/>
  <c r="AG71" i="22"/>
  <c r="AH71" i="22" s="1"/>
  <c r="M113" i="90" l="1"/>
  <c r="AF114" i="90"/>
  <c r="AF112" i="90"/>
  <c r="AF44" i="90"/>
  <c r="AF111" i="90" s="1"/>
  <c r="O105" i="79"/>
  <c r="M44" i="90"/>
  <c r="M111" i="90" s="1"/>
  <c r="AD48" i="90"/>
  <c r="AD115" i="90" s="1"/>
  <c r="AF46" i="90"/>
  <c r="AF113" i="90" s="1"/>
  <c r="M112" i="90"/>
  <c r="M114" i="90"/>
  <c r="K48" i="90"/>
  <c r="K115" i="90" s="1"/>
  <c r="AF14" i="99"/>
  <c r="AG9" i="99"/>
  <c r="AH107" i="22"/>
  <c r="O19" i="94"/>
  <c r="O13" i="90"/>
  <c r="O114" i="90" s="1"/>
  <c r="O27" i="93"/>
  <c r="O36" i="93" s="1"/>
  <c r="M14" i="90"/>
  <c r="M28" i="93"/>
  <c r="AF14" i="90"/>
  <c r="N21" i="94"/>
  <c r="O29" i="94" s="1"/>
  <c r="O12" i="90"/>
  <c r="O113" i="90" s="1"/>
  <c r="O26" i="93"/>
  <c r="O35" i="93" s="1"/>
  <c r="AH105" i="22"/>
  <c r="O17" i="94"/>
  <c r="O11" i="90"/>
  <c r="O112" i="90" s="1"/>
  <c r="O25" i="93"/>
  <c r="O34" i="93" s="1"/>
  <c r="O10" i="90"/>
  <c r="O24" i="93"/>
  <c r="O33" i="93" s="1"/>
  <c r="O9" i="90"/>
  <c r="O110" i="90" s="1"/>
  <c r="O109" i="22"/>
  <c r="O28" i="93" s="1"/>
  <c r="O23" i="93"/>
  <c r="O32" i="93" s="1"/>
  <c r="AG14" i="79"/>
  <c r="AH14" i="79" s="1"/>
  <c r="AG26" i="90"/>
  <c r="AG106" i="79"/>
  <c r="AG104" i="22"/>
  <c r="AG108" i="22"/>
  <c r="AG107" i="75"/>
  <c r="AH107" i="75" s="1"/>
  <c r="AG106" i="22"/>
  <c r="AG105" i="75"/>
  <c r="AH105" i="75" s="1"/>
  <c r="M109" i="79"/>
  <c r="O109" i="75"/>
  <c r="O31" i="90" s="1"/>
  <c r="M43" i="90"/>
  <c r="M110" i="90" s="1"/>
  <c r="AG108" i="75"/>
  <c r="AH108" i="75" s="1"/>
  <c r="M44" i="76"/>
  <c r="M44" i="39"/>
  <c r="AG12" i="90"/>
  <c r="AG28" i="90"/>
  <c r="AG10" i="90"/>
  <c r="AG104" i="79"/>
  <c r="AH104" i="79" s="1"/>
  <c r="AF43" i="90"/>
  <c r="AF110" i="90" s="1"/>
  <c r="K45" i="81"/>
  <c r="AD14" i="81"/>
  <c r="AF14" i="39"/>
  <c r="AG108" i="79"/>
  <c r="AG9" i="76"/>
  <c r="AH9" i="76" s="1"/>
  <c r="O14" i="82"/>
  <c r="O44" i="82" s="1"/>
  <c r="AG9" i="82"/>
  <c r="AH9" i="82" s="1"/>
  <c r="O13" i="81"/>
  <c r="O14" i="81" s="1"/>
  <c r="M14" i="81"/>
  <c r="AF14" i="81"/>
  <c r="AG14" i="39"/>
  <c r="AH14" i="39" s="1"/>
  <c r="O44" i="90" l="1"/>
  <c r="O111" i="90" s="1"/>
  <c r="O109" i="79"/>
  <c r="AG105" i="79"/>
  <c r="AG109" i="79" s="1"/>
  <c r="AH109" i="79" s="1"/>
  <c r="AF109" i="79"/>
  <c r="AF48" i="90" s="1"/>
  <c r="AF115" i="90" s="1"/>
  <c r="AH9" i="99"/>
  <c r="AG14" i="99"/>
  <c r="AH14" i="99" s="1"/>
  <c r="M48" i="90"/>
  <c r="M115" i="90" s="1"/>
  <c r="AH108" i="22"/>
  <c r="O20" i="94"/>
  <c r="I28" i="94" s="1"/>
  <c r="AH104" i="22"/>
  <c r="O16" i="94"/>
  <c r="AH106" i="22"/>
  <c r="O18" i="94"/>
  <c r="O44" i="39"/>
  <c r="AG47" i="90"/>
  <c r="AH108" i="79"/>
  <c r="AG45" i="90"/>
  <c r="AH106" i="79"/>
  <c r="AG27" i="90"/>
  <c r="AG9" i="90"/>
  <c r="AG13" i="90"/>
  <c r="AG29" i="90"/>
  <c r="AG113" i="90" s="1"/>
  <c r="O14" i="90"/>
  <c r="AG11" i="90"/>
  <c r="AG109" i="22"/>
  <c r="AG109" i="75"/>
  <c r="AH109" i="75" s="1"/>
  <c r="M45" i="81"/>
  <c r="O44" i="76"/>
  <c r="AG30" i="90"/>
  <c r="AG43" i="90"/>
  <c r="AG14" i="82"/>
  <c r="AH14" i="82" s="1"/>
  <c r="AG14" i="76"/>
  <c r="AH14" i="76" s="1"/>
  <c r="AG13" i="81"/>
  <c r="AH13" i="81" s="1"/>
  <c r="O45" i="81" l="1"/>
  <c r="O48" i="90"/>
  <c r="O115" i="90" s="1"/>
  <c r="AH105" i="79"/>
  <c r="AG44" i="90"/>
  <c r="AG111" i="90" s="1"/>
  <c r="AG114" i="90"/>
  <c r="AG110" i="90"/>
  <c r="AG112" i="90"/>
  <c r="AH109" i="22"/>
  <c r="O21" i="94"/>
  <c r="AG14" i="90"/>
  <c r="AG31" i="90"/>
  <c r="AG48" i="90"/>
  <c r="AG14" i="81"/>
  <c r="AH14" i="81" s="1"/>
  <c r="AG115" i="90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Harold Castro Castillo</author>
  </authors>
  <commentList>
    <comment ref="K25" authorId="0" shapeId="0" xr:uid="{26908C81-99A7-4E2A-B35B-7ECC9E59C7EF}">
      <text>
        <r>
          <rPr>
            <b/>
            <sz val="9"/>
            <color indexed="81"/>
            <rFont val="Tahoma"/>
            <family val="2"/>
          </rPr>
          <t>Harold Castro Castillo:</t>
        </r>
        <r>
          <rPr>
            <sz val="9"/>
            <color indexed="81"/>
            <rFont val="Tahoma"/>
            <family val="2"/>
          </rPr>
          <t xml:space="preserve">
comunicado UAESP-CPC-UAESP-10202-26 del 8 de enero de 2026.</t>
        </r>
      </text>
    </comment>
  </commentList>
</comments>
</file>

<file path=xl/sharedStrings.xml><?xml version="1.0" encoding="utf-8"?>
<sst xmlns="http://schemas.openxmlformats.org/spreadsheetml/2006/main" count="7446" uniqueCount="343">
  <si>
    <t xml:space="preserve">Hora: </t>
  </si>
  <si>
    <t xml:space="preserve"> </t>
  </si>
  <si>
    <t>TOTAL</t>
  </si>
  <si>
    <t>ASE</t>
  </si>
  <si>
    <t>Recaudo Total</t>
  </si>
  <si>
    <t>Recaudo por disposicion final</t>
  </si>
  <si>
    <t>Recaudo por tratamiento de lixiviados</t>
  </si>
  <si>
    <t xml:space="preserve">Conceptos especiales </t>
  </si>
  <si>
    <t>PROCERASEO S.A.S.</t>
  </si>
  <si>
    <t>Concesionarios</t>
  </si>
  <si>
    <t>PROMOAMBIENTAL DISTRITO S.A.S. ESP.</t>
  </si>
  <si>
    <t>LIMPIEZA METROPOLITANA S.A. ESP.</t>
  </si>
  <si>
    <t>CIUDAD LIMPIA BOGOTA S.A. ESP.</t>
  </si>
  <si>
    <t>BOGOTA LIMPIA S.A.S. ESP.</t>
  </si>
  <si>
    <t>AREA LIMPIA DISTRITO CAPITAL S.A.S. ESP.</t>
  </si>
  <si>
    <t xml:space="preserve">Codigo Remuneración: </t>
  </si>
  <si>
    <t>NIT: 901 153 639 - 0</t>
  </si>
  <si>
    <t xml:space="preserve">Fecha de Proceso: </t>
  </si>
  <si>
    <t xml:space="preserve">Recaudo por aprovechamiento </t>
  </si>
  <si>
    <t>Balance de subsidio o contribuciones</t>
  </si>
  <si>
    <t>RECAUDO BASE DE REMUNERACION</t>
  </si>
  <si>
    <t>Costo de la Interventoría</t>
  </si>
  <si>
    <t>REMUNERACION FINAL</t>
  </si>
  <si>
    <t>REMUNERACION FINAL MAS CONCEPTOS ESPECIALES</t>
  </si>
  <si>
    <t>Recaudo del componente de comercializacion para Aprovechamiento (11,4%)</t>
  </si>
  <si>
    <t>Firma autorizada</t>
  </si>
  <si>
    <t xml:space="preserve">R1 - RECAUDO OPORTUNO </t>
  </si>
  <si>
    <t>Fecha Desde:</t>
  </si>
  <si>
    <t>Feha Hasta:</t>
  </si>
  <si>
    <t>3. ESQUEMA FINANCIERO DEL SERVICIO PUBLICO DE ASEO</t>
  </si>
  <si>
    <t>Resoluciòn UAESP Número 27 de 2018</t>
  </si>
  <si>
    <t>R2 - ANTICIPOS A USUARIOS</t>
  </si>
  <si>
    <t>R3 - RECAUDO EXTEMPORANEO</t>
  </si>
  <si>
    <t>R4 - REVERSIÓN DE PAGOS</t>
  </si>
  <si>
    <t>R5 - DEVOLUCIÓN A USUARIOS</t>
  </si>
  <si>
    <t>REPORTE CONSOLIDADO DE REMUNERACION</t>
  </si>
  <si>
    <t>PROCERASEO SAS</t>
  </si>
  <si>
    <t>REPORTE CONSOLIDADO DE ANTICIPOS</t>
  </si>
  <si>
    <t>ANTICIPOS GENERADOS</t>
  </si>
  <si>
    <t>Tarifa de Comercialización del Servicio.
 ( TCS)</t>
  </si>
  <si>
    <t>Tarifa de Limpieza Urbana del Servicio.
 ( TLU)</t>
  </si>
  <si>
    <t>Tarifa de Barrido y Limpieza del Servicio.
 ( TBL)</t>
  </si>
  <si>
    <t>Tarifa de Recolección
 y Transporte del Servicio.
 (TRT)</t>
  </si>
  <si>
    <t>Recaudo del componente de comercializacion para Aprovechamiento (18,6%)</t>
  </si>
  <si>
    <t>Recaudo REMUNERADO</t>
  </si>
  <si>
    <t>RECAUDO RECIBIDO</t>
  </si>
  <si>
    <t>Ajuste a la decena</t>
  </si>
  <si>
    <t>RECAUDO APLICADO PERIODOS ANTERIORES</t>
  </si>
  <si>
    <t>PAGOS PENDIENTES POR APLICAR</t>
  </si>
  <si>
    <t>VALIDACION DEL RECAUDO VERSUS REMUNERACION</t>
  </si>
  <si>
    <t>RECAUDO PERIODOS ANTERIORES</t>
  </si>
  <si>
    <t>RECAUDO APLICADO ANTICIPOS</t>
  </si>
  <si>
    <t>TOTAL RECAUDO</t>
  </si>
  <si>
    <t>REMUNERACION ANTICIPOS GENERADOS</t>
  </si>
  <si>
    <t>TOTAL REMUNERACION</t>
  </si>
  <si>
    <t>TOTAL RECAUDO RECIBIDO</t>
  </si>
  <si>
    <t>ANTICIPOS QUE DESCARGAN</t>
  </si>
  <si>
    <t>(REMUNERACION) ANTICIPOS QUE DESCARGAN</t>
  </si>
  <si>
    <t>REMUNERACION RECAUDO TOTAL</t>
  </si>
  <si>
    <t>REMUNERACION CONCEPTOS ESPECIALES</t>
  </si>
  <si>
    <t>REMUNERACION PAGOS PENDIENTES POR APLICAR</t>
  </si>
  <si>
    <t>Componente TBL</t>
  </si>
  <si>
    <t>Componente TRT</t>
  </si>
  <si>
    <t>Componente TLU</t>
  </si>
  <si>
    <t>Componente TDF</t>
  </si>
  <si>
    <t>Componente TTL</t>
  </si>
  <si>
    <t>Componente TCS</t>
  </si>
  <si>
    <t>CCSA Prest. No Aprov.</t>
  </si>
  <si>
    <t>CCSA Prest.Aprov.</t>
  </si>
  <si>
    <t>Aprovechamiento</t>
  </si>
  <si>
    <t>Total</t>
  </si>
  <si>
    <t>SERVICIO ESPECIALES</t>
  </si>
  <si>
    <t>Vlr Servicio</t>
  </si>
  <si>
    <t>Subsidio(-)/Contribucion(+)</t>
  </si>
  <si>
    <t>PROMOAMBIENTAL</t>
  </si>
  <si>
    <t>LIME</t>
  </si>
  <si>
    <t>CIUDAD LIMPIA</t>
  </si>
  <si>
    <t>Ajuste Decena</t>
  </si>
  <si>
    <t>Componente</t>
  </si>
  <si>
    <t>Subs/Cont</t>
  </si>
  <si>
    <t>Ajuste Recargo Aseo</t>
  </si>
  <si>
    <t>Vlr Intereses</t>
  </si>
  <si>
    <t>H</t>
  </si>
  <si>
    <t>Especiales</t>
  </si>
  <si>
    <t>Deb/Cred</t>
  </si>
  <si>
    <t>EAB</t>
  </si>
  <si>
    <t>O</t>
  </si>
  <si>
    <t>T</t>
  </si>
  <si>
    <t>BOGOTA LIMPIA</t>
  </si>
  <si>
    <t>X</t>
  </si>
  <si>
    <t>Recaudo pendiente de identificar</t>
  </si>
  <si>
    <t>R4 - REVERSION DE PAGOS</t>
  </si>
  <si>
    <t>REVERSION DE PAGOS</t>
  </si>
  <si>
    <t>AREA LIMPIA</t>
  </si>
  <si>
    <t>Anticipos generados por pago</t>
  </si>
  <si>
    <t>Sale del reporte Recaudo por Bancos.</t>
  </si>
  <si>
    <t>Resumen Recaudo Aplicado Por Servicio</t>
  </si>
  <si>
    <t>1-APLICADOS A FACTURACION</t>
  </si>
  <si>
    <t>2-SALDOS A FAVOR GENERADOS</t>
  </si>
  <si>
    <t>ASE 1</t>
  </si>
  <si>
    <t>ASE 2</t>
  </si>
  <si>
    <t>ASE 3</t>
  </si>
  <si>
    <t>ASE 4</t>
  </si>
  <si>
    <t>ASE 5</t>
  </si>
  <si>
    <t>Balance de subsidio o contribuciones (Recaudo)</t>
  </si>
  <si>
    <t>Diferencial Balance Subsidio y Contribución (Fac vs Rec)</t>
  </si>
  <si>
    <t>Balance S / C Con Baase en (Recaudo)</t>
  </si>
  <si>
    <t>Diferencial Balance S / C 
(Fac vs Rec)</t>
  </si>
  <si>
    <t>%</t>
  </si>
  <si>
    <t>CONTRIBUCION</t>
  </si>
  <si>
    <t>SUBSIDIO</t>
  </si>
  <si>
    <t>TOTAL BSC</t>
  </si>
  <si>
    <t>Mes</t>
  </si>
  <si>
    <t>PENDIENTE POR APLICAR</t>
  </si>
  <si>
    <t>ANTICIPOS 
GENERADOS 
POR PAGO</t>
  </si>
  <si>
    <t>1</t>
  </si>
  <si>
    <t>2</t>
  </si>
  <si>
    <t>3</t>
  </si>
  <si>
    <t>5</t>
  </si>
  <si>
    <t>OCCIDENTE</t>
  </si>
  <si>
    <t>NUEVO ESQUEMA</t>
  </si>
  <si>
    <t>REPORTE CONSOLIDADO DE REMUNERACION// TOTAL</t>
  </si>
  <si>
    <t>Aplicacion nuevos x reversion</t>
  </si>
  <si>
    <t xml:space="preserve">SALDOS A FAVOR POR NOTA </t>
  </si>
  <si>
    <t>RETRIBUCION NEGATIVA</t>
  </si>
  <si>
    <t>CONSOLIDADO SALDOS A FAVOR</t>
  </si>
  <si>
    <t>R5 - REMUNERACIÓN SALDOS A FAVOR POR NOTA</t>
  </si>
  <si>
    <t>RECAUDO PENDIENTE POR REVERSAR</t>
  </si>
  <si>
    <t>R5 - SALDOS A FAVOR POR NOTA</t>
  </si>
  <si>
    <t>RECAUDO POR REVERSAR</t>
  </si>
  <si>
    <t>SALDOS A FAVOR POR NOTA</t>
  </si>
  <si>
    <t>3-APLICADOS A FINANCIACIONES NUEVAS</t>
  </si>
  <si>
    <t>OPORTUNO</t>
  </si>
  <si>
    <t>EXTEMPORANEO</t>
  </si>
  <si>
    <t>VALOR MES</t>
  </si>
  <si>
    <t>Intereses Cte Financiac. Aseo</t>
  </si>
  <si>
    <t>VALOR 1° Q</t>
  </si>
  <si>
    <t>NUMERO REG. 1°Q</t>
  </si>
  <si>
    <t>VALOR 2° Q</t>
  </si>
  <si>
    <t>NUMERO REG. 2°Q</t>
  </si>
  <si>
    <t>EXTEMP.</t>
  </si>
  <si>
    <t>VALOR TOTAL MES</t>
  </si>
  <si>
    <t>NUMERO REGISTROS MES</t>
  </si>
  <si>
    <t>SALDOS A FAVOR GENERADOS RECAUDO EXTEMPORANEO</t>
  </si>
  <si>
    <t>SALDOS A FAVOR  QUE DESCARGAN POR REVERSIONES</t>
  </si>
  <si>
    <t>ANTICIPOS 
GENERADOS 
POR EXTEMPORANEOS</t>
  </si>
  <si>
    <t>Anticipos generados por pagos aplicados de reversiones</t>
  </si>
  <si>
    <t>Sale del reporte Recaudo reversado</t>
  </si>
  <si>
    <t>BANCO DE OCCIDENTE</t>
  </si>
  <si>
    <t>REPORTE 3</t>
  </si>
  <si>
    <t>REPORTE 4</t>
  </si>
  <si>
    <t>APLICADO</t>
  </si>
  <si>
    <t>ANTICIPOS</t>
  </si>
  <si>
    <t>EAAB RECIPROCIDAD</t>
  </si>
  <si>
    <t>EAAB CIUDAD LIMPIA</t>
  </si>
  <si>
    <t>ENEL</t>
  </si>
  <si>
    <t>E</t>
  </si>
  <si>
    <t>Ciudad Limpia - Prestador</t>
  </si>
  <si>
    <t>EAAB - Prestador</t>
  </si>
  <si>
    <t>Recaudo por Componente VIAT ( Decreto 2412/2018)</t>
  </si>
  <si>
    <t>RECIPROCIDAD</t>
  </si>
  <si>
    <t>CIUDAD LIMPIA-ACUEDUCTO</t>
  </si>
  <si>
    <t>REPORTE CONSOLIDADO DE REMUNERACION// ENEL</t>
  </si>
  <si>
    <t>Recaudo OCCIDENTE</t>
  </si>
  <si>
    <t>Componente TVIAT</t>
  </si>
  <si>
    <t>EAAB-CIUDADLIMPIA</t>
  </si>
  <si>
    <t>Rec.Intereses</t>
  </si>
  <si>
    <t>Otros</t>
  </si>
  <si>
    <t>7-APLICADOS A RECIBOS SERVICIOS ESPECIALES</t>
  </si>
  <si>
    <t>ANTICIPOS QUE CARGAN POR REVERSIONES</t>
  </si>
  <si>
    <t>Anticipos que cargan de reversiones</t>
  </si>
  <si>
    <t>REVERSIÓN DE PAGOS</t>
  </si>
  <si>
    <t>Exonera-Recargo Aseo</t>
  </si>
  <si>
    <t>INFORME AFaseo</t>
  </si>
  <si>
    <t xml:space="preserve">BENEFICIO TRANSITORIO ALIVIO SOBRE EL VALOR DE LA FACTURA </t>
  </si>
  <si>
    <t>Según Resoluciòn UAESP Número 273 de 2.020</t>
  </si>
  <si>
    <t>Valor Afaseo</t>
  </si>
  <si>
    <t>Afaseo por disposicion final</t>
  </si>
  <si>
    <t>Afaseo por tratamiento de lixiviados</t>
  </si>
  <si>
    <t>Afaseo por Componente VIAT ( Decreto 2412/2018)</t>
  </si>
  <si>
    <t xml:space="preserve">Afaseo por aprovechamiento </t>
  </si>
  <si>
    <t>Afaseo del componente de comercializacion para Aprovechamiento (11,4%)</t>
  </si>
  <si>
    <t>Afaseo
RBL</t>
  </si>
  <si>
    <t xml:space="preserve"> Componente de comercialización para Aprovechamiento (18,6%)</t>
  </si>
  <si>
    <r>
      <t xml:space="preserve">INFORME Afaseo   // </t>
    </r>
    <r>
      <rPr>
        <b/>
        <sz val="11"/>
        <color rgb="FFFF0000"/>
        <rFont val="Arial"/>
        <family val="2"/>
      </rPr>
      <t>RECAUDO</t>
    </r>
  </si>
  <si>
    <t>AFaseo</t>
  </si>
  <si>
    <t>REPORTE CONSOLIDADO DE REMUNERACION// RECIPROCIDAD - EAAB</t>
  </si>
  <si>
    <t>REPORTE CONSOLIDADO DE REMUNERACION// OCCIDENTE - Recaudo Facturación Directa</t>
  </si>
  <si>
    <t>REPORTE CONSOLIDADO DE REMUNERACION// EAAB-CIUDAD LIMPIA*</t>
  </si>
  <si>
    <t>*En el Esquema anterior, EAAB y CIUD LIMP son Prestadores. // Recaudo en cuentas bancarias de Esquema anterior.</t>
  </si>
  <si>
    <t>DIFERENCIA</t>
  </si>
  <si>
    <t>REPORTE CONSOLIDADO DE ANTICIPOS-reciprocidad</t>
  </si>
  <si>
    <t>REPORTE CONSOLIDADO DE ANTICIPOS -ENEL</t>
  </si>
  <si>
    <t>REPORTE CONSOLIDADO DE ANTICIPOS -OCCIDENTE</t>
  </si>
  <si>
    <t>REPORTE CONSOLIDADO DE ANTICIPOS EAAB-CIULIM</t>
  </si>
  <si>
    <t>REMUN TOTAL</t>
  </si>
  <si>
    <t>SISTEMA</t>
  </si>
  <si>
    <t>DIFERENCIA VALIDA 2</t>
  </si>
  <si>
    <t>VALIDA 2</t>
  </si>
  <si>
    <t>VALIDA 1</t>
  </si>
  <si>
    <t>VALIDACION</t>
  </si>
  <si>
    <t>TOTALES</t>
  </si>
  <si>
    <t>EAAB</t>
  </si>
  <si>
    <t>CIUD LIMPIA</t>
  </si>
  <si>
    <t>ENEL / RECIP.</t>
  </si>
  <si>
    <t>EAAB / RECIP.</t>
  </si>
  <si>
    <t>DIRECTA OCCIDENTE</t>
  </si>
  <si>
    <t>Recaudo ENEL - ASE 1</t>
  </si>
  <si>
    <t>Recaudo ENEL - ASE 5</t>
  </si>
  <si>
    <t>Recaudo Reciprocidad EAAB - ASE 2</t>
  </si>
  <si>
    <t>Recaudo Reciprocidad EAAB - ASE 4</t>
  </si>
  <si>
    <t>Recaudo ENEL - ASE 3</t>
  </si>
  <si>
    <t>REPORTE CONSOLIDADO TOTAL DE RECAUDO</t>
  </si>
  <si>
    <t>REPORTE DETALLADO SUBBOLSA RBL DISCRIMINADO POR ACTIVIDADES</t>
  </si>
  <si>
    <t>REPORTE CONSOLIDADO TOTAL DE RECAUDO // RECIPROCIDAD - EAAB</t>
  </si>
  <si>
    <t>REPORTE DETALLADO SUBBOLSA RBL DISCRIMINADO POR ACTIVIDADES // RECIPROCIDAD - EAAB</t>
  </si>
  <si>
    <t>REPORTE CONSOLIDADO TOTAL DE RECAUDO  // ENEL</t>
  </si>
  <si>
    <t>REPORTE DETALLADO SUBBOLSA RBL DISCRIMINADO POR ACTIVIDADES // ENEL</t>
  </si>
  <si>
    <t>REPORTE DETALLADO SUBBOLSA RBL DISCRIMINADO POR ACTIVIDADES // OCCIDENTE - Recaudo Facturación Directa</t>
  </si>
  <si>
    <t>REPORTE CONSOLIDADO TOTAL DE RECAUDO // OCCIDENTE - Recaudo Facturación Directa</t>
  </si>
  <si>
    <t>REPORTE CONSOLIDADO TOTAL DE RECAUDO //EAAB-CIUDAD LIMPIA*</t>
  </si>
  <si>
    <t>REPORTE DETALLADO SUBBOLSA RBL DISCRIMINADO POR ACTIVIDADES //EAAB-CIUDAD LIMPIA*</t>
  </si>
  <si>
    <t>Exonera Rec.Intereses</t>
  </si>
  <si>
    <t>Exonera-Ajuste Decena Aseo</t>
  </si>
  <si>
    <t>VALOR</t>
  </si>
  <si>
    <t>Balance S / C Con Base en (Recaudo)</t>
  </si>
  <si>
    <t>Deb/Cred-otros</t>
  </si>
  <si>
    <t>|</t>
  </si>
  <si>
    <t>Código Remuneración:</t>
  </si>
  <si>
    <t>Resolución UAESP Número 27 de 2018</t>
  </si>
  <si>
    <t>Fecha de Proceso:</t>
  </si>
  <si>
    <t>R10 - Recaudo Consolidado</t>
  </si>
  <si>
    <t>Hora:</t>
  </si>
  <si>
    <t>Fecha Hasta:</t>
  </si>
  <si>
    <t>CONCESIONARIOS</t>
  </si>
  <si>
    <t>RECAUDO TOTAL</t>
  </si>
  <si>
    <t>RECAUDO POR DISPOSICIÓN FINAL</t>
  </si>
  <si>
    <t>RECAUDO POR TRATAMIENTO DE LIXIVIADOS</t>
  </si>
  <si>
    <t>RECAUDO POR COMPONENTE VIAT (DECRETO 2412/2018)</t>
  </si>
  <si>
    <t>RECAUDO POR APROVECHAMIENTO</t>
  </si>
  <si>
    <t>RECAUDO DEL COMPONENTE DE COMERCIALIZACIÓN PARA APROVECHAMIENTO (11,4%)</t>
  </si>
  <si>
    <t>BALANCE DE SUBSIDIO O CONTRIBUCIONES</t>
  </si>
  <si>
    <t>RECAUDO BASE DE REMUNERACIÓN</t>
  </si>
  <si>
    <t>COSTO DE LA INTERVENTORÍA (*)</t>
  </si>
  <si>
    <t>REMUNERACIÓN FINAL</t>
  </si>
  <si>
    <t>CONCEPTOS ESPECIALES</t>
  </si>
  <si>
    <t>REMUNERACIÓN FINAL MAS CONCEPTOS ESPECIALES</t>
  </si>
  <si>
    <t>CIUDAD LIMPIA BOGOTA S.A. ESP</t>
  </si>
  <si>
    <t>4</t>
  </si>
  <si>
    <t/>
  </si>
  <si>
    <t>_____________________________________________________________________________</t>
  </si>
  <si>
    <t>TARIFA DE COMERCIALIZACIÓN DEL SERVICIO. (TCS)</t>
  </si>
  <si>
    <t>TARIFA DE LIMPIEZA URBANA DEL SERVICIO. (TLU)</t>
  </si>
  <si>
    <t>TARIFA DE BARRIDO Y LIMPIEZA DEL SERVICIO. (TBL)</t>
  </si>
  <si>
    <t>TARIFA DE RECOLECCIÓN Y TRANSPORTE DEL SERVICIO. (TRT)</t>
  </si>
  <si>
    <t>RECAUDO DEL COMPONENTE DE COMERCIALIZACIÓN PARA APROVECHAMIENTO (18,6%)</t>
  </si>
  <si>
    <t>COSTO DE LA INTERVENTORÍA</t>
  </si>
  <si>
    <t>AJUSTE A LA DECENA</t>
  </si>
  <si>
    <t>BALANCE SUBSIDIO Y CONTRIBUCIÓN BASADO EN EL RECAUDO</t>
  </si>
  <si>
    <t>DIF BSCF – BSCR</t>
  </si>
  <si>
    <t>VALIDACIÓN RETRIBUCIÓN</t>
  </si>
  <si>
    <t>Recaudo Banco Occidente ASE 1</t>
  </si>
  <si>
    <t>Recaudo Banco Occidente ASE 2</t>
  </si>
  <si>
    <t>Recaudo Banco Occidente ASE 3</t>
  </si>
  <si>
    <t>Recaudo Banco Occidente ASE 4</t>
  </si>
  <si>
    <t>Recaudo Banco Occidente ASE 5</t>
  </si>
  <si>
    <t>VALIDADOR DE POSTIVIOS EN REMUNERACION NEGATIVA</t>
  </si>
  <si>
    <t>Segunda quincena</t>
  </si>
  <si>
    <t>Primera quincena</t>
  </si>
  <si>
    <t>VALOR OFICIAL
MES</t>
  </si>
  <si>
    <t>CONCILIACIÓN CAJA</t>
  </si>
  <si>
    <t>CONCILIACIÓN _ REMUNERACIÓN</t>
  </si>
  <si>
    <t>VALIDACIÓN</t>
  </si>
  <si>
    <t>PxI</t>
  </si>
  <si>
    <t>SALDOS A FAVOR  POR NOTA+REMUNERA NEGATIVA</t>
  </si>
  <si>
    <t>TOTAL RECAUDO + CONCP ESP</t>
  </si>
  <si>
    <t>2026 01 2</t>
  </si>
  <si>
    <t>2026 02 1</t>
  </si>
  <si>
    <t>2026 02 2</t>
  </si>
  <si>
    <t>2026 03 1</t>
  </si>
  <si>
    <t>2026 03 2</t>
  </si>
  <si>
    <t>2026 04 1</t>
  </si>
  <si>
    <t>2026 04 2</t>
  </si>
  <si>
    <t>2026 05 1</t>
  </si>
  <si>
    <t>2026 05 2</t>
  </si>
  <si>
    <t>2026 06 1</t>
  </si>
  <si>
    <t>2026 06 2</t>
  </si>
  <si>
    <t>2026 07 1</t>
  </si>
  <si>
    <t xml:space="preserve"> MITAD 1
// ENERO -26</t>
  </si>
  <si>
    <t xml:space="preserve"> MITAD 2
// ENERO -26</t>
  </si>
  <si>
    <t xml:space="preserve"> MITAD 1
// FEBRERO -26</t>
  </si>
  <si>
    <t xml:space="preserve"> MITAD 2
// FEBRERO -26</t>
  </si>
  <si>
    <t xml:space="preserve"> MITAD 1
// MARZO -26</t>
  </si>
  <si>
    <t xml:space="preserve"> MITAD 2
// MARZO -26</t>
  </si>
  <si>
    <t xml:space="preserve"> MITAD 1
// ABRIL -26</t>
  </si>
  <si>
    <t xml:space="preserve"> MITAD 2
// ABRIL -26</t>
  </si>
  <si>
    <t xml:space="preserve"> MITAD 1
// MAYO -26</t>
  </si>
  <si>
    <t xml:space="preserve"> MITAD 2
// MAYO -26</t>
  </si>
  <si>
    <t xml:space="preserve"> MITAD 1
// JUNIO -26</t>
  </si>
  <si>
    <t xml:space="preserve"> MITAD 2
// JUNIO -26</t>
  </si>
  <si>
    <t>2026 07 2</t>
  </si>
  <si>
    <t>2026 08 1</t>
  </si>
  <si>
    <t>2026 08 2</t>
  </si>
  <si>
    <t>2026 09 1</t>
  </si>
  <si>
    <t>2026 09 2</t>
  </si>
  <si>
    <t>2026 10 1</t>
  </si>
  <si>
    <t>2026 10 2</t>
  </si>
  <si>
    <t>2026 11 1</t>
  </si>
  <si>
    <t>2026 11 2</t>
  </si>
  <si>
    <t>2026 12 1</t>
  </si>
  <si>
    <t>2026 12 2</t>
  </si>
  <si>
    <t>2027 01 1</t>
  </si>
  <si>
    <t xml:space="preserve"> MITAD 1
// JULIO -26</t>
  </si>
  <si>
    <t xml:space="preserve"> MITAD 2
// JULIO -26</t>
  </si>
  <si>
    <t xml:space="preserve"> MITAD 1
// AGOSTO -26</t>
  </si>
  <si>
    <t xml:space="preserve"> MITAD 2
// AGOSTO -26</t>
  </si>
  <si>
    <t xml:space="preserve"> MITAD 1
// SEPTIEMBRE -26</t>
  </si>
  <si>
    <t xml:space="preserve"> MITAD 2
// SEPTIEMBRE -26</t>
  </si>
  <si>
    <t xml:space="preserve"> MITAD 1
// OCTUBRE -26</t>
  </si>
  <si>
    <t xml:space="preserve"> MITAD 2
// OCTUBRE -26</t>
  </si>
  <si>
    <t xml:space="preserve"> MITAD 1
// NOVIEMBRE -26</t>
  </si>
  <si>
    <t xml:space="preserve"> MITAD 2
// NOVIEMBRE -26</t>
  </si>
  <si>
    <t xml:space="preserve"> MITAD 1
// DICIEMBRE -26</t>
  </si>
  <si>
    <t xml:space="preserve"> MITAD 2
// DICIEMBRE -26</t>
  </si>
  <si>
    <t>Recaudo ENEL - ASE 2</t>
  </si>
  <si>
    <t>Recaudo ENEL - ASE 4</t>
  </si>
  <si>
    <t>ENERBIT</t>
  </si>
  <si>
    <t>Recaudo ENERBIT - ASE 5</t>
  </si>
  <si>
    <t>REPORTE CONSOLIDADO TOTAL DE RECAUDO  // ENERBIT</t>
  </si>
  <si>
    <t>REPORTE CONSOLIDADO DE REMUNERACION// ENERBIT</t>
  </si>
  <si>
    <t>REPORTE CONSOLIDADO DE ANTICIPOS -ENERBIT</t>
  </si>
  <si>
    <t>Recaudo ENERBIT - ASE 1</t>
  </si>
  <si>
    <t>Recaudo ENERBIT - ASE 2</t>
  </si>
  <si>
    <t>Recaudo ENERBIT - ASE 3</t>
  </si>
  <si>
    <t>Recaudo ENERBIT - ASE 4</t>
  </si>
  <si>
    <t>QUINCENA</t>
  </si>
  <si>
    <t>OJO/// DILIGENCIAR</t>
  </si>
  <si>
    <t>* Costos de Interventoría: REMUNERACIÓN 202604-1</t>
  </si>
  <si>
    <t>2026071</t>
  </si>
  <si>
    <t>17/07/2026</t>
  </si>
  <si>
    <t>09:19 AM</t>
  </si>
  <si>
    <t>01/07/2026</t>
  </si>
  <si>
    <t>15/07/2026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</si>
</sst>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3">
    <numFmt numFmtId="6" formatCode="&quot;$&quot;\ #,##0;[Red]\-&quot;$&quot;\ #,##0"/>
    <numFmt numFmtId="8" formatCode="&quot;$&quot;\ #,##0.00;[Red]\-&quot;$&quot;\ #,##0.00"/>
    <numFmt numFmtId="41" formatCode="_-* #,##0_-;\-* #,##0_-;_-* &quot;-&quot;_-;_-@_-"/>
    <numFmt numFmtId="43" formatCode="_-* #,##0.00_-;\-* #,##0.00_-;_-* &quot;-&quot;??_-;_-@_-"/>
    <numFmt numFmtId="164" formatCode="_(* #,##0.00_);_(* \(#,##0.00\);_(* &quot;-&quot;??_);_(@_)"/>
    <numFmt numFmtId="165" formatCode="_-* #,##0_-;\-* #,##0_-;_-* &quot;-&quot;??_-;_-@_-"/>
    <numFmt numFmtId="166" formatCode="_([$€]* #,##0.00_);_([$€]* \(#,##0.00\);_([$€]* &quot;-&quot;??_);_(@_)"/>
    <numFmt numFmtId="167" formatCode="_ &quot;$&quot;\ * #,##0.00_ ;_ &quot;$&quot;\ * \-#,##0.00_ ;_ &quot;$&quot;\ * &quot;-&quot;??_ ;_ @_ "/>
    <numFmt numFmtId="168" formatCode="_(&quot;$&quot;* #,##0.00_);_(&quot;$&quot;* \(#,##0.00\);_(&quot;$&quot;* &quot;-&quot;??_);_(@_)"/>
    <numFmt numFmtId="169" formatCode="_-* #,##0.0_-;\-* #,##0.0_-;_-* &quot;-&quot;?_-;_-@_-"/>
    <numFmt numFmtId="170" formatCode="_-* #,##0.0_-;\-* #,##0.0_-;_-* &quot;-&quot;_-;_-@_-"/>
    <numFmt numFmtId="171" formatCode="_-* #,##0.00_-;\-* #,##0.00_-;_-* &quot;-&quot;_-;_-@_-"/>
    <numFmt numFmtId="172" formatCode="[$-F400]h:mm\ AM/PM"/>
    <numFmt numFmtId="173" formatCode="#,##0_ ;[Red]\-#,##0\ "/>
    <numFmt numFmtId="174" formatCode="#,##0.0_ ;[Red]\-#,##0.0\ "/>
    <numFmt numFmtId="175" formatCode="_-* #,##0.000000_-;\-* #,##0.000000_-;_-* &quot;-&quot;??_-;_-@_-"/>
    <numFmt numFmtId="176" formatCode="_-* #,##0.000_-;\-* #,##0.000_-;_-* &quot;-&quot;??_-;_-@_-"/>
    <numFmt numFmtId="177" formatCode="_-* #,##0.000_-;\-* #,##0.000_-;_-* &quot;-&quot;???_-;_-@_-"/>
    <numFmt numFmtId="178" formatCode="_-* #,##0.0000000000_-;\-* #,##0.0000000000_-;_-* &quot;-&quot;_-;_-@_-"/>
    <numFmt numFmtId="179" formatCode="_-* #,##0.0_-;\-* #,##0.0_-;_-* &quot;-&quot;??_-;_-@_-"/>
    <numFmt numFmtId="180" formatCode="#,##0.0000"/>
    <numFmt numFmtId="181" formatCode="#,##0.00_ ;[Red]\-#,##0.00\ "/>
    <numFmt numFmtId="182" formatCode="_-* #,##0.000_-;\-* #,##0.000_-;_-* &quot;-&quot;?_-;_-@_-"/>
    <numFmt numFmtId="183" formatCode="#,##0.00000000000000"/>
    <numFmt numFmtId="184" formatCode="#,##0.0"/>
    <numFmt numFmtId="185" formatCode="_-* #,##0.000000000000_-;\-* #,##0.000000000000_-;_-* &quot;-&quot;??_-;_-@_-"/>
    <numFmt numFmtId="186" formatCode="#,##0.00;[Red]#,##0.00"/>
    <numFmt numFmtId="187" formatCode="#,##0.0;[Red]#,##0.0"/>
    <numFmt numFmtId="188" formatCode="#,##0.000000000"/>
    <numFmt numFmtId="189" formatCode="#,##0.0000000000"/>
    <numFmt numFmtId="190" formatCode="_-* #,##0.00000_-;\-* #,##0.00000_-;_-* &quot;-&quot;??_-;_-@_-"/>
    <numFmt numFmtId="191" formatCode="#,##0.000"/>
    <numFmt numFmtId="192" formatCode="_-* #,##0_-;\-* #,##0_-;_-* &quot;-&quot;?_-;_-@_-"/>
  </numFmts>
  <fonts count="72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9"/>
      <name val="Arial"/>
      <family val="2"/>
    </font>
    <font>
      <sz val="8"/>
      <name val="Arial"/>
      <family val="2"/>
    </font>
    <font>
      <b/>
      <sz val="10"/>
      <name val="Arial"/>
      <family val="2"/>
    </font>
    <font>
      <b/>
      <sz val="12"/>
      <name val="Arial"/>
      <family val="2"/>
    </font>
    <font>
      <sz val="11"/>
      <name val="Arial"/>
      <family val="2"/>
    </font>
    <font>
      <sz val="9"/>
      <name val="Arial"/>
      <family val="2"/>
    </font>
    <font>
      <sz val="10"/>
      <name val="Arial"/>
      <family val="2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b/>
      <sz val="11"/>
      <color theme="1"/>
      <name val="Arial"/>
      <family val="2"/>
    </font>
    <font>
      <b/>
      <sz val="12"/>
      <color rgb="FFFF0000"/>
      <name val="Arial"/>
      <family val="2"/>
    </font>
    <font>
      <b/>
      <sz val="11"/>
      <color rgb="FFFF0000"/>
      <name val="Arial"/>
      <family val="2"/>
    </font>
    <font>
      <b/>
      <sz val="11"/>
      <name val="Arial"/>
      <family val="2"/>
    </font>
    <font>
      <b/>
      <sz val="9"/>
      <color rgb="FFFF0000"/>
      <name val="Arial"/>
      <family val="2"/>
    </font>
    <font>
      <sz val="10"/>
      <color rgb="FFFF0000"/>
      <name val="Arial"/>
      <family val="2"/>
    </font>
    <font>
      <sz val="12"/>
      <color rgb="FF2F2F2F"/>
      <name val="Segoe UI"/>
      <family val="2"/>
    </font>
    <font>
      <sz val="10"/>
      <color theme="1"/>
      <name val="Calibri"/>
      <family val="2"/>
      <scheme val="minor"/>
    </font>
    <font>
      <b/>
      <sz val="10"/>
      <color rgb="FF000000"/>
      <name val="ARIAL"/>
      <family val="2"/>
    </font>
    <font>
      <b/>
      <sz val="9"/>
      <color rgb="FF000000"/>
      <name val="Arial"/>
      <family val="2"/>
    </font>
    <font>
      <b/>
      <sz val="12"/>
      <color theme="1"/>
      <name val="Arial"/>
      <family val="2"/>
    </font>
    <font>
      <b/>
      <sz val="12"/>
      <color theme="0"/>
      <name val="Arial"/>
      <family val="2"/>
    </font>
    <font>
      <b/>
      <sz val="9"/>
      <color theme="0"/>
      <name val="Arial"/>
      <family val="2"/>
    </font>
    <font>
      <sz val="9"/>
      <color theme="0"/>
      <name val="Arial"/>
      <family val="2"/>
    </font>
    <font>
      <b/>
      <sz val="10"/>
      <color theme="1"/>
      <name val="Calibri"/>
      <family val="2"/>
      <scheme val="minor"/>
    </font>
    <font>
      <sz val="10"/>
      <color rgb="FF000000"/>
      <name val="Arial"/>
      <family val="2"/>
    </font>
    <font>
      <sz val="10"/>
      <name val="Arial"/>
      <family val="2"/>
    </font>
    <font>
      <sz val="11"/>
      <name val="Calibri"/>
      <family val="2"/>
    </font>
    <font>
      <sz val="11"/>
      <name val="Calibri"/>
      <family val="2"/>
    </font>
    <font>
      <b/>
      <sz val="11"/>
      <name val="Calibri"/>
      <family val="2"/>
    </font>
    <font>
      <sz val="9"/>
      <color rgb="FF000000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0"/>
      <color rgb="FFFF0000"/>
      <name val="Arial"/>
      <family val="2"/>
    </font>
  </fonts>
  <fills count="6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9ACDD4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rgb="FF9966FF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rgb="FFAFAFAF"/>
        <bgColor rgb="FFAFAFAF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79998168889431442"/>
        <bgColor indexed="64"/>
      </patternFill>
    </fill>
  </fills>
  <borders count="82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2618">
    <xf numFmtId="0" fontId="0" fillId="0" borderId="0"/>
    <xf numFmtId="166" fontId="19" fillId="0" borderId="0" applyFont="0" applyFill="0" applyBorder="0" applyAlignment="0" applyProtection="0"/>
    <xf numFmtId="0" fontId="19" fillId="0" borderId="0"/>
    <xf numFmtId="0" fontId="27" fillId="0" borderId="0" applyNumberFormat="0" applyFill="0" applyBorder="0" applyAlignment="0" applyProtection="0"/>
    <xf numFmtId="0" fontId="28" fillId="0" borderId="24" applyNumberFormat="0" applyFill="0" applyAlignment="0" applyProtection="0"/>
    <xf numFmtId="0" fontId="29" fillId="0" borderId="25" applyNumberFormat="0" applyFill="0" applyAlignment="0" applyProtection="0"/>
    <xf numFmtId="0" fontId="30" fillId="0" borderId="26" applyNumberFormat="0" applyFill="0" applyAlignment="0" applyProtection="0"/>
    <xf numFmtId="0" fontId="30" fillId="0" borderId="0" applyNumberFormat="0" applyFill="0" applyBorder="0" applyAlignment="0" applyProtection="0"/>
    <xf numFmtId="0" fontId="31" fillId="2" borderId="0" applyNumberFormat="0" applyBorder="0" applyAlignment="0" applyProtection="0"/>
    <xf numFmtId="0" fontId="32" fillId="3" borderId="0" applyNumberFormat="0" applyBorder="0" applyAlignment="0" applyProtection="0"/>
    <xf numFmtId="0" fontId="33" fillId="4" borderId="0" applyNumberFormat="0" applyBorder="0" applyAlignment="0" applyProtection="0"/>
    <xf numFmtId="0" fontId="34" fillId="5" borderId="27" applyNumberFormat="0" applyAlignment="0" applyProtection="0"/>
    <xf numFmtId="0" fontId="35" fillId="6" borderId="28" applyNumberFormat="0" applyAlignment="0" applyProtection="0"/>
    <xf numFmtId="0" fontId="36" fillId="6" borderId="27" applyNumberFormat="0" applyAlignment="0" applyProtection="0"/>
    <xf numFmtId="0" fontId="37" fillId="0" borderId="29" applyNumberFormat="0" applyFill="0" applyAlignment="0" applyProtection="0"/>
    <xf numFmtId="0" fontId="38" fillId="7" borderId="30" applyNumberFormat="0" applyAlignment="0" applyProtection="0"/>
    <xf numFmtId="0" fontId="39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1" fillId="0" borderId="32" applyNumberFormat="0" applyFill="0" applyAlignment="0" applyProtection="0"/>
    <xf numFmtId="0" fontId="42" fillId="9" borderId="0" applyNumberFormat="0" applyBorder="0" applyAlignment="0" applyProtection="0"/>
    <xf numFmtId="0" fontId="18" fillId="10" borderId="0" applyNumberFormat="0" applyBorder="0" applyAlignment="0" applyProtection="0"/>
    <xf numFmtId="0" fontId="18" fillId="11" borderId="0" applyNumberFormat="0" applyBorder="0" applyAlignment="0" applyProtection="0"/>
    <xf numFmtId="0" fontId="42" fillId="12" borderId="0" applyNumberFormat="0" applyBorder="0" applyAlignment="0" applyProtection="0"/>
    <xf numFmtId="0" fontId="42" fillId="13" borderId="0" applyNumberFormat="0" applyBorder="0" applyAlignment="0" applyProtection="0"/>
    <xf numFmtId="0" fontId="18" fillId="14" borderId="0" applyNumberFormat="0" applyBorder="0" applyAlignment="0" applyProtection="0"/>
    <xf numFmtId="0" fontId="18" fillId="15" borderId="0" applyNumberFormat="0" applyBorder="0" applyAlignment="0" applyProtection="0"/>
    <xf numFmtId="0" fontId="42" fillId="16" borderId="0" applyNumberFormat="0" applyBorder="0" applyAlignment="0" applyProtection="0"/>
    <xf numFmtId="0" fontId="42" fillId="17" borderId="0" applyNumberFormat="0" applyBorder="0" applyAlignment="0" applyProtection="0"/>
    <xf numFmtId="0" fontId="18" fillId="18" borderId="0" applyNumberFormat="0" applyBorder="0" applyAlignment="0" applyProtection="0"/>
    <xf numFmtId="0" fontId="18" fillId="19" borderId="0" applyNumberFormat="0" applyBorder="0" applyAlignment="0" applyProtection="0"/>
    <xf numFmtId="0" fontId="42" fillId="20" borderId="0" applyNumberFormat="0" applyBorder="0" applyAlignment="0" applyProtection="0"/>
    <xf numFmtId="0" fontId="42" fillId="21" borderId="0" applyNumberFormat="0" applyBorder="0" applyAlignment="0" applyProtection="0"/>
    <xf numFmtId="0" fontId="18" fillId="22" borderId="0" applyNumberFormat="0" applyBorder="0" applyAlignment="0" applyProtection="0"/>
    <xf numFmtId="0" fontId="18" fillId="23" borderId="0" applyNumberFormat="0" applyBorder="0" applyAlignment="0" applyProtection="0"/>
    <xf numFmtId="0" fontId="42" fillId="24" borderId="0" applyNumberFormat="0" applyBorder="0" applyAlignment="0" applyProtection="0"/>
    <xf numFmtId="0" fontId="42" fillId="25" borderId="0" applyNumberFormat="0" applyBorder="0" applyAlignment="0" applyProtection="0"/>
    <xf numFmtId="0" fontId="18" fillId="26" borderId="0" applyNumberFormat="0" applyBorder="0" applyAlignment="0" applyProtection="0"/>
    <xf numFmtId="0" fontId="18" fillId="27" borderId="0" applyNumberFormat="0" applyBorder="0" applyAlignment="0" applyProtection="0"/>
    <xf numFmtId="0" fontId="42" fillId="28" borderId="0" applyNumberFormat="0" applyBorder="0" applyAlignment="0" applyProtection="0"/>
    <xf numFmtId="0" fontId="42" fillId="29" borderId="0" applyNumberFormat="0" applyBorder="0" applyAlignment="0" applyProtection="0"/>
    <xf numFmtId="0" fontId="18" fillId="30" borderId="0" applyNumberFormat="0" applyBorder="0" applyAlignment="0" applyProtection="0"/>
    <xf numFmtId="0" fontId="18" fillId="31" borderId="0" applyNumberFormat="0" applyBorder="0" applyAlignment="0" applyProtection="0"/>
    <xf numFmtId="0" fontId="42" fillId="32" borderId="0" applyNumberFormat="0" applyBorder="0" applyAlignment="0" applyProtection="0"/>
    <xf numFmtId="164" fontId="26" fillId="0" borderId="0" applyFont="0" applyFill="0" applyBorder="0" applyAlignment="0" applyProtection="0"/>
    <xf numFmtId="166" fontId="26" fillId="0" borderId="0" applyFont="0" applyFill="0" applyBorder="0" applyAlignment="0" applyProtection="0"/>
    <xf numFmtId="164" fontId="26" fillId="0" borderId="0" applyFont="0" applyFill="0" applyBorder="0" applyAlignment="0" applyProtection="0"/>
    <xf numFmtId="166" fontId="26" fillId="0" borderId="0" applyFont="0" applyFill="0" applyBorder="0" applyAlignment="0" applyProtection="0"/>
    <xf numFmtId="166" fontId="26" fillId="0" borderId="0" applyFont="0" applyFill="0" applyBorder="0" applyAlignment="0" applyProtection="0"/>
    <xf numFmtId="167" fontId="19" fillId="0" borderId="0" applyFont="0" applyFill="0" applyBorder="0" applyAlignment="0" applyProtection="0"/>
    <xf numFmtId="0" fontId="18" fillId="0" borderId="0"/>
    <xf numFmtId="0" fontId="18" fillId="0" borderId="0"/>
    <xf numFmtId="0" fontId="18" fillId="8" borderId="31" applyNumberFormat="0" applyFont="0" applyAlignment="0" applyProtection="0"/>
    <xf numFmtId="0" fontId="18" fillId="0" borderId="0"/>
    <xf numFmtId="0" fontId="18" fillId="0" borderId="0"/>
    <xf numFmtId="0" fontId="18" fillId="0" borderId="0"/>
    <xf numFmtId="0" fontId="18" fillId="8" borderId="31" applyNumberFormat="0" applyFont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8" borderId="31" applyNumberFormat="0" applyFont="0" applyAlignment="0" applyProtection="0"/>
    <xf numFmtId="0" fontId="18" fillId="8" borderId="31" applyNumberFormat="0" applyFont="0" applyAlignment="0" applyProtection="0"/>
    <xf numFmtId="0" fontId="18" fillId="8" borderId="31" applyNumberFormat="0" applyFont="0" applyAlignment="0" applyProtection="0"/>
    <xf numFmtId="0" fontId="18" fillId="8" borderId="31" applyNumberFormat="0" applyFont="0" applyAlignment="0" applyProtection="0"/>
    <xf numFmtId="0" fontId="18" fillId="8" borderId="31" applyNumberFormat="0" applyFont="0" applyAlignment="0" applyProtection="0"/>
    <xf numFmtId="0" fontId="18" fillId="8" borderId="31" applyNumberFormat="0" applyFont="0" applyAlignment="0" applyProtection="0"/>
    <xf numFmtId="0" fontId="18" fillId="8" borderId="31" applyNumberFormat="0" applyFont="0" applyAlignment="0" applyProtection="0"/>
    <xf numFmtId="0" fontId="18" fillId="8" borderId="31" applyNumberFormat="0" applyFont="0" applyAlignment="0" applyProtection="0"/>
    <xf numFmtId="0" fontId="18" fillId="8" borderId="31" applyNumberFormat="0" applyFont="0" applyAlignment="0" applyProtection="0"/>
    <xf numFmtId="0" fontId="18" fillId="8" borderId="31" applyNumberFormat="0" applyFont="0" applyAlignment="0" applyProtection="0"/>
    <xf numFmtId="0" fontId="18" fillId="8" borderId="31" applyNumberFormat="0" applyFont="0" applyAlignment="0" applyProtection="0"/>
    <xf numFmtId="0" fontId="18" fillId="8" borderId="31" applyNumberFormat="0" applyFont="0" applyAlignment="0" applyProtection="0"/>
    <xf numFmtId="166" fontId="26" fillId="0" borderId="0" applyFont="0" applyFill="0" applyBorder="0" applyAlignment="0" applyProtection="0"/>
    <xf numFmtId="166" fontId="26" fillId="0" borderId="0" applyFont="0" applyFill="0" applyBorder="0" applyAlignment="0" applyProtection="0"/>
    <xf numFmtId="0" fontId="17" fillId="19" borderId="0" applyNumberFormat="0" applyBorder="0" applyAlignment="0" applyProtection="0"/>
    <xf numFmtId="0" fontId="17" fillId="10" borderId="0" applyNumberFormat="0" applyBorder="0" applyAlignment="0" applyProtection="0"/>
    <xf numFmtId="0" fontId="17" fillId="14" borderId="0" applyNumberFormat="0" applyBorder="0" applyAlignment="0" applyProtection="0"/>
    <xf numFmtId="0" fontId="17" fillId="18" borderId="0" applyNumberFormat="0" applyBorder="0" applyAlignment="0" applyProtection="0"/>
    <xf numFmtId="0" fontId="17" fillId="22" borderId="0" applyNumberFormat="0" applyBorder="0" applyAlignment="0" applyProtection="0"/>
    <xf numFmtId="0" fontId="17" fillId="26" borderId="0" applyNumberFormat="0" applyBorder="0" applyAlignment="0" applyProtection="0"/>
    <xf numFmtId="0" fontId="17" fillId="30" borderId="0" applyNumberFormat="0" applyBorder="0" applyAlignment="0" applyProtection="0"/>
    <xf numFmtId="0" fontId="17" fillId="11" borderId="0" applyNumberFormat="0" applyBorder="0" applyAlignment="0" applyProtection="0"/>
    <xf numFmtId="0" fontId="17" fillId="15" borderId="0" applyNumberFormat="0" applyBorder="0" applyAlignment="0" applyProtection="0"/>
    <xf numFmtId="0" fontId="17" fillId="19" borderId="0" applyNumberFormat="0" applyBorder="0" applyAlignment="0" applyProtection="0"/>
    <xf numFmtId="0" fontId="17" fillId="23" borderId="0" applyNumberFormat="0" applyBorder="0" applyAlignment="0" applyProtection="0"/>
    <xf numFmtId="0" fontId="17" fillId="27" borderId="0" applyNumberFormat="0" applyBorder="0" applyAlignment="0" applyProtection="0"/>
    <xf numFmtId="0" fontId="17" fillId="31" borderId="0" applyNumberFormat="0" applyBorder="0" applyAlignment="0" applyProtection="0"/>
    <xf numFmtId="166" fontId="26" fillId="0" borderId="0" applyFont="0" applyFill="0" applyBorder="0" applyAlignment="0" applyProtection="0"/>
    <xf numFmtId="0" fontId="17" fillId="31" borderId="0" applyNumberFormat="0" applyBorder="0" applyAlignment="0" applyProtection="0"/>
    <xf numFmtId="164" fontId="26" fillId="0" borderId="0" applyFont="0" applyFill="0" applyBorder="0" applyAlignment="0" applyProtection="0"/>
    <xf numFmtId="0" fontId="17" fillId="27" borderId="0" applyNumberFormat="0" applyBorder="0" applyAlignment="0" applyProtection="0"/>
    <xf numFmtId="0" fontId="17" fillId="23" borderId="0" applyNumberFormat="0" applyBorder="0" applyAlignment="0" applyProtection="0"/>
    <xf numFmtId="0" fontId="17" fillId="0" borderId="0"/>
    <xf numFmtId="0" fontId="17" fillId="0" borderId="0"/>
    <xf numFmtId="0" fontId="17" fillId="0" borderId="0"/>
    <xf numFmtId="0" fontId="17" fillId="15" borderId="0" applyNumberFormat="0" applyBorder="0" applyAlignment="0" applyProtection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11" borderId="0" applyNumberFormat="0" applyBorder="0" applyAlignment="0" applyProtection="0"/>
    <xf numFmtId="0" fontId="17" fillId="30" borderId="0" applyNumberFormat="0" applyBorder="0" applyAlignment="0" applyProtection="0"/>
    <xf numFmtId="0" fontId="17" fillId="26" borderId="0" applyNumberFormat="0" applyBorder="0" applyAlignment="0" applyProtection="0"/>
    <xf numFmtId="0" fontId="17" fillId="22" borderId="0" applyNumberFormat="0" applyBorder="0" applyAlignment="0" applyProtection="0"/>
    <xf numFmtId="0" fontId="17" fillId="18" borderId="0" applyNumberFormat="0" applyBorder="0" applyAlignment="0" applyProtection="0"/>
    <xf numFmtId="0" fontId="17" fillId="14" borderId="0" applyNumberFormat="0" applyBorder="0" applyAlignment="0" applyProtection="0"/>
    <xf numFmtId="0" fontId="17" fillId="10" borderId="0" applyNumberFormat="0" applyBorder="0" applyAlignment="0" applyProtection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166" fontId="26" fillId="0" borderId="0" applyFont="0" applyFill="0" applyBorder="0" applyAlignment="0" applyProtection="0"/>
    <xf numFmtId="164" fontId="26" fillId="0" borderId="0" applyFont="0" applyFill="0" applyBorder="0" applyAlignment="0" applyProtection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6" fillId="19" borderId="0" applyNumberFormat="0" applyBorder="0" applyAlignment="0" applyProtection="0"/>
    <xf numFmtId="0" fontId="16" fillId="10" borderId="0" applyNumberFormat="0" applyBorder="0" applyAlignment="0" applyProtection="0"/>
    <xf numFmtId="0" fontId="16" fillId="14" borderId="0" applyNumberFormat="0" applyBorder="0" applyAlignment="0" applyProtection="0"/>
    <xf numFmtId="0" fontId="16" fillId="18" borderId="0" applyNumberFormat="0" applyBorder="0" applyAlignment="0" applyProtection="0"/>
    <xf numFmtId="0" fontId="16" fillId="22" borderId="0" applyNumberFormat="0" applyBorder="0" applyAlignment="0" applyProtection="0"/>
    <xf numFmtId="0" fontId="16" fillId="26" borderId="0" applyNumberFormat="0" applyBorder="0" applyAlignment="0" applyProtection="0"/>
    <xf numFmtId="0" fontId="16" fillId="30" borderId="0" applyNumberFormat="0" applyBorder="0" applyAlignment="0" applyProtection="0"/>
    <xf numFmtId="0" fontId="16" fillId="11" borderId="0" applyNumberFormat="0" applyBorder="0" applyAlignment="0" applyProtection="0"/>
    <xf numFmtId="0" fontId="16" fillId="15" borderId="0" applyNumberFormat="0" applyBorder="0" applyAlignment="0" applyProtection="0"/>
    <xf numFmtId="0" fontId="16" fillId="19" borderId="0" applyNumberFormat="0" applyBorder="0" applyAlignment="0" applyProtection="0"/>
    <xf numFmtId="0" fontId="16" fillId="23" borderId="0" applyNumberFormat="0" applyBorder="0" applyAlignment="0" applyProtection="0"/>
    <xf numFmtId="0" fontId="16" fillId="27" borderId="0" applyNumberFormat="0" applyBorder="0" applyAlignment="0" applyProtection="0"/>
    <xf numFmtId="0" fontId="16" fillId="31" borderId="0" applyNumberFormat="0" applyBorder="0" applyAlignment="0" applyProtection="0"/>
    <xf numFmtId="166" fontId="26" fillId="0" borderId="0" applyFont="0" applyFill="0" applyBorder="0" applyAlignment="0" applyProtection="0"/>
    <xf numFmtId="166" fontId="26" fillId="0" borderId="0" applyFont="0" applyFill="0" applyBorder="0" applyAlignment="0" applyProtection="0"/>
    <xf numFmtId="0" fontId="16" fillId="31" borderId="0" applyNumberFormat="0" applyBorder="0" applyAlignment="0" applyProtection="0"/>
    <xf numFmtId="164" fontId="26" fillId="0" borderId="0" applyFont="0" applyFill="0" applyBorder="0" applyAlignment="0" applyProtection="0"/>
    <xf numFmtId="0" fontId="16" fillId="27" borderId="0" applyNumberFormat="0" applyBorder="0" applyAlignment="0" applyProtection="0"/>
    <xf numFmtId="0" fontId="16" fillId="23" borderId="0" applyNumberFormat="0" applyBorder="0" applyAlignment="0" applyProtection="0"/>
    <xf numFmtId="0" fontId="16" fillId="15" borderId="0" applyNumberFormat="0" applyBorder="0" applyAlignment="0" applyProtection="0"/>
    <xf numFmtId="0" fontId="16" fillId="0" borderId="0"/>
    <xf numFmtId="0" fontId="16" fillId="8" borderId="31" applyNumberFormat="0" applyFont="0" applyAlignment="0" applyProtection="0"/>
    <xf numFmtId="0" fontId="16" fillId="8" borderId="31" applyNumberFormat="0" applyFont="0" applyAlignment="0" applyProtection="0"/>
    <xf numFmtId="0" fontId="16" fillId="8" borderId="31" applyNumberFormat="0" applyFont="0" applyAlignment="0" applyProtection="0"/>
    <xf numFmtId="0" fontId="16" fillId="8" borderId="31" applyNumberFormat="0" applyFont="0" applyAlignment="0" applyProtection="0"/>
    <xf numFmtId="0" fontId="16" fillId="8" borderId="31" applyNumberFormat="0" applyFont="0" applyAlignment="0" applyProtection="0"/>
    <xf numFmtId="0" fontId="16" fillId="8" borderId="31" applyNumberFormat="0" applyFont="0" applyAlignment="0" applyProtection="0"/>
    <xf numFmtId="0" fontId="16" fillId="8" borderId="31" applyNumberFormat="0" applyFont="0" applyAlignment="0" applyProtection="0"/>
    <xf numFmtId="0" fontId="16" fillId="8" borderId="31" applyNumberFormat="0" applyFont="0" applyAlignment="0" applyProtection="0"/>
    <xf numFmtId="0" fontId="16" fillId="8" borderId="31" applyNumberFormat="0" applyFont="0" applyAlignment="0" applyProtection="0"/>
    <xf numFmtId="0" fontId="16" fillId="11" borderId="0" applyNumberFormat="0" applyBorder="0" applyAlignment="0" applyProtection="0"/>
    <xf numFmtId="0" fontId="16" fillId="30" borderId="0" applyNumberFormat="0" applyBorder="0" applyAlignment="0" applyProtection="0"/>
    <xf numFmtId="0" fontId="16" fillId="26" borderId="0" applyNumberFormat="0" applyBorder="0" applyAlignment="0" applyProtection="0"/>
    <xf numFmtId="0" fontId="16" fillId="22" borderId="0" applyNumberFormat="0" applyBorder="0" applyAlignment="0" applyProtection="0"/>
    <xf numFmtId="0" fontId="16" fillId="18" borderId="0" applyNumberFormat="0" applyBorder="0" applyAlignment="0" applyProtection="0"/>
    <xf numFmtId="0" fontId="16" fillId="14" borderId="0" applyNumberFormat="0" applyBorder="0" applyAlignment="0" applyProtection="0"/>
    <xf numFmtId="0" fontId="16" fillId="10" borderId="0" applyNumberFormat="0" applyBorder="0" applyAlignment="0" applyProtection="0"/>
    <xf numFmtId="0" fontId="16" fillId="23" borderId="0" applyNumberFormat="0" applyBorder="0" applyAlignment="0" applyProtection="0"/>
    <xf numFmtId="166" fontId="26" fillId="0" borderId="0" applyFont="0" applyFill="0" applyBorder="0" applyAlignment="0" applyProtection="0"/>
    <xf numFmtId="164" fontId="26" fillId="0" borderId="0" applyFont="0" applyFill="0" applyBorder="0" applyAlignment="0" applyProtection="0"/>
    <xf numFmtId="0" fontId="16" fillId="31" borderId="0" applyNumberFormat="0" applyBorder="0" applyAlignment="0" applyProtection="0"/>
    <xf numFmtId="0" fontId="16" fillId="27" borderId="0" applyNumberFormat="0" applyBorder="0" applyAlignment="0" applyProtection="0"/>
    <xf numFmtId="0" fontId="16" fillId="19" borderId="0" applyNumberFormat="0" applyBorder="0" applyAlignment="0" applyProtection="0"/>
    <xf numFmtId="0" fontId="16" fillId="15" borderId="0" applyNumberFormat="0" applyBorder="0" applyAlignment="0" applyProtection="0"/>
    <xf numFmtId="0" fontId="16" fillId="8" borderId="31" applyNumberFormat="0" applyFont="0" applyAlignment="0" applyProtection="0"/>
    <xf numFmtId="0" fontId="16" fillId="8" borderId="31" applyNumberFormat="0" applyFont="0" applyAlignment="0" applyProtection="0"/>
    <xf numFmtId="0" fontId="16" fillId="8" borderId="31" applyNumberFormat="0" applyFont="0" applyAlignment="0" applyProtection="0"/>
    <xf numFmtId="0" fontId="16" fillId="8" borderId="31" applyNumberFormat="0" applyFont="0" applyAlignment="0" applyProtection="0"/>
    <xf numFmtId="0" fontId="16" fillId="8" borderId="31" applyNumberFormat="0" applyFont="0" applyAlignment="0" applyProtection="0"/>
    <xf numFmtId="0" fontId="16" fillId="8" borderId="31" applyNumberFormat="0" applyFont="0" applyAlignment="0" applyProtection="0"/>
    <xf numFmtId="0" fontId="16" fillId="8" borderId="31" applyNumberFormat="0" applyFont="0" applyAlignment="0" applyProtection="0"/>
    <xf numFmtId="0" fontId="16" fillId="8" borderId="31" applyNumberFormat="0" applyFont="0" applyAlignment="0" applyProtection="0"/>
    <xf numFmtId="0" fontId="16" fillId="8" borderId="31" applyNumberFormat="0" applyFont="0" applyAlignment="0" applyProtection="0"/>
    <xf numFmtId="0" fontId="16" fillId="11" borderId="0" applyNumberFormat="0" applyBorder="0" applyAlignment="0" applyProtection="0"/>
    <xf numFmtId="0" fontId="16" fillId="30" borderId="0" applyNumberFormat="0" applyBorder="0" applyAlignment="0" applyProtection="0"/>
    <xf numFmtId="0" fontId="16" fillId="26" borderId="0" applyNumberFormat="0" applyBorder="0" applyAlignment="0" applyProtection="0"/>
    <xf numFmtId="0" fontId="16" fillId="22" borderId="0" applyNumberFormat="0" applyBorder="0" applyAlignment="0" applyProtection="0"/>
    <xf numFmtId="0" fontId="16" fillId="18" borderId="0" applyNumberFormat="0" applyBorder="0" applyAlignment="0" applyProtection="0"/>
    <xf numFmtId="0" fontId="16" fillId="14" borderId="0" applyNumberFormat="0" applyBorder="0" applyAlignment="0" applyProtection="0"/>
    <xf numFmtId="0" fontId="16" fillId="10" borderId="0" applyNumberFormat="0" applyBorder="0" applyAlignment="0" applyProtection="0"/>
    <xf numFmtId="164" fontId="26" fillId="0" borderId="0" applyFont="0" applyFill="0" applyBorder="0" applyAlignment="0" applyProtection="0"/>
    <xf numFmtId="0" fontId="16" fillId="8" borderId="31" applyNumberFormat="0" applyFont="0" applyAlignment="0" applyProtection="0"/>
    <xf numFmtId="0" fontId="16" fillId="8" borderId="31" applyNumberFormat="0" applyFont="0" applyAlignment="0" applyProtection="0"/>
    <xf numFmtId="0" fontId="16" fillId="8" borderId="31" applyNumberFormat="0" applyFont="0" applyAlignment="0" applyProtection="0"/>
    <xf numFmtId="0" fontId="16" fillId="8" borderId="31" applyNumberFormat="0" applyFont="0" applyAlignment="0" applyProtection="0"/>
    <xf numFmtId="0" fontId="16" fillId="8" borderId="31" applyNumberFormat="0" applyFont="0" applyAlignment="0" applyProtection="0"/>
    <xf numFmtId="0" fontId="16" fillId="8" borderId="31" applyNumberFormat="0" applyFont="0" applyAlignment="0" applyProtection="0"/>
    <xf numFmtId="0" fontId="16" fillId="8" borderId="31" applyNumberFormat="0" applyFont="0" applyAlignment="0" applyProtection="0"/>
    <xf numFmtId="0" fontId="16" fillId="8" borderId="31" applyNumberFormat="0" applyFont="0" applyAlignment="0" applyProtection="0"/>
    <xf numFmtId="0" fontId="16" fillId="8" borderId="31" applyNumberFormat="0" applyFont="0" applyAlignment="0" applyProtection="0"/>
    <xf numFmtId="0" fontId="15" fillId="11" borderId="0" applyNumberFormat="0" applyBorder="0" applyAlignment="0" applyProtection="0"/>
    <xf numFmtId="0" fontId="15" fillId="10" borderId="0" applyNumberFormat="0" applyBorder="0" applyAlignment="0" applyProtection="0"/>
    <xf numFmtId="0" fontId="15" fillId="14" borderId="0" applyNumberFormat="0" applyBorder="0" applyAlignment="0" applyProtection="0"/>
    <xf numFmtId="0" fontId="15" fillId="18" borderId="0" applyNumberFormat="0" applyBorder="0" applyAlignment="0" applyProtection="0"/>
    <xf numFmtId="0" fontId="15" fillId="22" borderId="0" applyNumberFormat="0" applyBorder="0" applyAlignment="0" applyProtection="0"/>
    <xf numFmtId="0" fontId="15" fillId="26" borderId="0" applyNumberFormat="0" applyBorder="0" applyAlignment="0" applyProtection="0"/>
    <xf numFmtId="0" fontId="15" fillId="30" borderId="0" applyNumberFormat="0" applyBorder="0" applyAlignment="0" applyProtection="0"/>
    <xf numFmtId="0" fontId="15" fillId="11" borderId="0" applyNumberFormat="0" applyBorder="0" applyAlignment="0" applyProtection="0"/>
    <xf numFmtId="0" fontId="15" fillId="15" borderId="0" applyNumberFormat="0" applyBorder="0" applyAlignment="0" applyProtection="0"/>
    <xf numFmtId="0" fontId="15" fillId="19" borderId="0" applyNumberFormat="0" applyBorder="0" applyAlignment="0" applyProtection="0"/>
    <xf numFmtId="0" fontId="15" fillId="23" borderId="0" applyNumberFormat="0" applyBorder="0" applyAlignment="0" applyProtection="0"/>
    <xf numFmtId="0" fontId="15" fillId="27" borderId="0" applyNumberFormat="0" applyBorder="0" applyAlignment="0" applyProtection="0"/>
    <xf numFmtId="0" fontId="15" fillId="31" borderId="0" applyNumberFormat="0" applyBorder="0" applyAlignment="0" applyProtection="0"/>
    <xf numFmtId="166" fontId="26" fillId="0" borderId="0" applyFont="0" applyFill="0" applyBorder="0" applyAlignment="0" applyProtection="0"/>
    <xf numFmtId="0" fontId="15" fillId="31" borderId="0" applyNumberFormat="0" applyBorder="0" applyAlignment="0" applyProtection="0"/>
    <xf numFmtId="0" fontId="15" fillId="27" borderId="0" applyNumberFormat="0" applyBorder="0" applyAlignment="0" applyProtection="0"/>
    <xf numFmtId="166" fontId="26" fillId="0" borderId="0" applyFont="0" applyFill="0" applyBorder="0" applyAlignment="0" applyProtection="0"/>
    <xf numFmtId="0" fontId="15" fillId="23" borderId="0" applyNumberFormat="0" applyBorder="0" applyAlignment="0" applyProtection="0"/>
    <xf numFmtId="0" fontId="15" fillId="19" borderId="0" applyNumberFormat="0" applyBorder="0" applyAlignment="0" applyProtection="0"/>
    <xf numFmtId="0" fontId="15" fillId="15" borderId="0" applyNumberFormat="0" applyBorder="0" applyAlignment="0" applyProtection="0"/>
    <xf numFmtId="0" fontId="15" fillId="30" borderId="0" applyNumberFormat="0" applyBorder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26" borderId="0" applyNumberFormat="0" applyBorder="0" applyAlignment="0" applyProtection="0"/>
    <xf numFmtId="0" fontId="15" fillId="22" borderId="0" applyNumberFormat="0" applyBorder="0" applyAlignment="0" applyProtection="0"/>
    <xf numFmtId="0" fontId="15" fillId="18" borderId="0" applyNumberFormat="0" applyBorder="0" applyAlignment="0" applyProtection="0"/>
    <xf numFmtId="0" fontId="15" fillId="14" borderId="0" applyNumberFormat="0" applyBorder="0" applyAlignment="0" applyProtection="0"/>
    <xf numFmtId="0" fontId="15" fillId="10" borderId="0" applyNumberFormat="0" applyBorder="0" applyAlignment="0" applyProtection="0"/>
    <xf numFmtId="0" fontId="15" fillId="19" borderId="0" applyNumberFormat="0" applyBorder="0" applyAlignment="0" applyProtection="0"/>
    <xf numFmtId="166" fontId="26" fillId="0" borderId="0" applyFont="0" applyFill="0" applyBorder="0" applyAlignment="0" applyProtection="0"/>
    <xf numFmtId="164" fontId="26" fillId="0" borderId="0" applyFont="0" applyFill="0" applyBorder="0" applyAlignment="0" applyProtection="0"/>
    <xf numFmtId="0" fontId="15" fillId="31" borderId="0" applyNumberFormat="0" applyBorder="0" applyAlignment="0" applyProtection="0"/>
    <xf numFmtId="0" fontId="15" fillId="27" borderId="0" applyNumberFormat="0" applyBorder="0" applyAlignment="0" applyProtection="0"/>
    <xf numFmtId="0" fontId="15" fillId="23" borderId="0" applyNumberFormat="0" applyBorder="0" applyAlignment="0" applyProtection="0"/>
    <xf numFmtId="0" fontId="15" fillId="15" borderId="0" applyNumberFormat="0" applyBorder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11" borderId="0" applyNumberFormat="0" applyBorder="0" applyAlignment="0" applyProtection="0"/>
    <xf numFmtId="0" fontId="15" fillId="30" borderId="0" applyNumberFormat="0" applyBorder="0" applyAlignment="0" applyProtection="0"/>
    <xf numFmtId="0" fontId="15" fillId="26" borderId="0" applyNumberFormat="0" applyBorder="0" applyAlignment="0" applyProtection="0"/>
    <xf numFmtId="0" fontId="15" fillId="22" borderId="0" applyNumberFormat="0" applyBorder="0" applyAlignment="0" applyProtection="0"/>
    <xf numFmtId="0" fontId="15" fillId="18" borderId="0" applyNumberFormat="0" applyBorder="0" applyAlignment="0" applyProtection="0"/>
    <xf numFmtId="0" fontId="15" fillId="14" borderId="0" applyNumberFormat="0" applyBorder="0" applyAlignment="0" applyProtection="0"/>
    <xf numFmtId="0" fontId="15" fillId="10" borderId="0" applyNumberFormat="0" applyBorder="0" applyAlignment="0" applyProtection="0"/>
    <xf numFmtId="164" fontId="26" fillId="0" borderId="0" applyFont="0" applyFill="0" applyBorder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43" fontId="43" fillId="0" borderId="0" applyFont="0" applyFill="0" applyBorder="0" applyAlignment="0" applyProtection="0"/>
    <xf numFmtId="0" fontId="14" fillId="10" borderId="0" applyNumberFormat="0" applyBorder="0" applyAlignment="0" applyProtection="0"/>
    <xf numFmtId="0" fontId="14" fillId="14" borderId="0" applyNumberFormat="0" applyBorder="0" applyAlignment="0" applyProtection="0"/>
    <xf numFmtId="0" fontId="14" fillId="18" borderId="0" applyNumberFormat="0" applyBorder="0" applyAlignment="0" applyProtection="0"/>
    <xf numFmtId="0" fontId="14" fillId="22" borderId="0" applyNumberFormat="0" applyBorder="0" applyAlignment="0" applyProtection="0"/>
    <xf numFmtId="0" fontId="14" fillId="26" borderId="0" applyNumberFormat="0" applyBorder="0" applyAlignment="0" applyProtection="0"/>
    <xf numFmtId="0" fontId="14" fillId="30" borderId="0" applyNumberFormat="0" applyBorder="0" applyAlignment="0" applyProtection="0"/>
    <xf numFmtId="0" fontId="14" fillId="11" borderId="0" applyNumberFormat="0" applyBorder="0" applyAlignment="0" applyProtection="0"/>
    <xf numFmtId="0" fontId="14" fillId="15" borderId="0" applyNumberFormat="0" applyBorder="0" applyAlignment="0" applyProtection="0"/>
    <xf numFmtId="0" fontId="14" fillId="19" borderId="0" applyNumberFormat="0" applyBorder="0" applyAlignment="0" applyProtection="0"/>
    <xf numFmtId="0" fontId="14" fillId="23" borderId="0" applyNumberFormat="0" applyBorder="0" applyAlignment="0" applyProtection="0"/>
    <xf numFmtId="0" fontId="14" fillId="27" borderId="0" applyNumberFormat="0" applyBorder="0" applyAlignment="0" applyProtection="0"/>
    <xf numFmtId="0" fontId="14" fillId="31" borderId="0" applyNumberFormat="0" applyBorder="0" applyAlignment="0" applyProtection="0"/>
    <xf numFmtId="166" fontId="43" fillId="0" borderId="0" applyFont="0" applyFill="0" applyBorder="0" applyAlignment="0" applyProtection="0"/>
    <xf numFmtId="166" fontId="19" fillId="0" borderId="0" applyFont="0" applyFill="0" applyBorder="0" applyAlignment="0" applyProtection="0"/>
    <xf numFmtId="166" fontId="19" fillId="0" borderId="0" applyFont="0" applyFill="0" applyBorder="0" applyAlignment="0" applyProtection="0"/>
    <xf numFmtId="164" fontId="43" fillId="0" borderId="0" applyFont="0" applyFill="0" applyBorder="0" applyAlignment="0" applyProtection="0"/>
    <xf numFmtId="167" fontId="19" fillId="0" borderId="0" applyFont="0" applyFill="0" applyBorder="0" applyAlignment="0" applyProtection="0"/>
    <xf numFmtId="164" fontId="19" fillId="0" borderId="0" applyFont="0" applyFill="0" applyBorder="0" applyAlignment="0" applyProtection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9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43" fontId="43" fillId="0" borderId="0" applyFont="0" applyFill="0" applyBorder="0" applyAlignment="0" applyProtection="0"/>
    <xf numFmtId="0" fontId="13" fillId="10" borderId="0" applyNumberFormat="0" applyBorder="0" applyAlignment="0" applyProtection="0"/>
    <xf numFmtId="0" fontId="13" fillId="14" borderId="0" applyNumberFormat="0" applyBorder="0" applyAlignment="0" applyProtection="0"/>
    <xf numFmtId="0" fontId="13" fillId="18" borderId="0" applyNumberFormat="0" applyBorder="0" applyAlignment="0" applyProtection="0"/>
    <xf numFmtId="0" fontId="13" fillId="22" borderId="0" applyNumberFormat="0" applyBorder="0" applyAlignment="0" applyProtection="0"/>
    <xf numFmtId="0" fontId="13" fillId="26" borderId="0" applyNumberFormat="0" applyBorder="0" applyAlignment="0" applyProtection="0"/>
    <xf numFmtId="0" fontId="13" fillId="30" borderId="0" applyNumberFormat="0" applyBorder="0" applyAlignment="0" applyProtection="0"/>
    <xf numFmtId="0" fontId="13" fillId="11" borderId="0" applyNumberFormat="0" applyBorder="0" applyAlignment="0" applyProtection="0"/>
    <xf numFmtId="0" fontId="13" fillId="15" borderId="0" applyNumberFormat="0" applyBorder="0" applyAlignment="0" applyProtection="0"/>
    <xf numFmtId="0" fontId="13" fillId="19" borderId="0" applyNumberFormat="0" applyBorder="0" applyAlignment="0" applyProtection="0"/>
    <xf numFmtId="0" fontId="13" fillId="23" borderId="0" applyNumberFormat="0" applyBorder="0" applyAlignment="0" applyProtection="0"/>
    <xf numFmtId="0" fontId="13" fillId="27" borderId="0" applyNumberFormat="0" applyBorder="0" applyAlignment="0" applyProtection="0"/>
    <xf numFmtId="0" fontId="13" fillId="31" borderId="0" applyNumberFormat="0" applyBorder="0" applyAlignment="0" applyProtection="0"/>
    <xf numFmtId="0" fontId="13" fillId="31" borderId="0" applyNumberFormat="0" applyBorder="0" applyAlignment="0" applyProtection="0"/>
    <xf numFmtId="0" fontId="13" fillId="27" borderId="0" applyNumberFormat="0" applyBorder="0" applyAlignment="0" applyProtection="0"/>
    <xf numFmtId="0" fontId="13" fillId="23" borderId="0" applyNumberFormat="0" applyBorder="0" applyAlignment="0" applyProtection="0"/>
    <xf numFmtId="0" fontId="13" fillId="19" borderId="0" applyNumberFormat="0" applyBorder="0" applyAlignment="0" applyProtection="0"/>
    <xf numFmtId="0" fontId="13" fillId="15" borderId="0" applyNumberFormat="0" applyBorder="0" applyAlignment="0" applyProtection="0"/>
    <xf numFmtId="0" fontId="13" fillId="11" borderId="0" applyNumberFormat="0" applyBorder="0" applyAlignment="0" applyProtection="0"/>
    <xf numFmtId="166" fontId="19" fillId="0" borderId="0" applyFont="0" applyFill="0" applyBorder="0" applyAlignment="0" applyProtection="0"/>
    <xf numFmtId="166" fontId="19" fillId="0" borderId="0" applyFont="0" applyFill="0" applyBorder="0" applyAlignment="0" applyProtection="0"/>
    <xf numFmtId="0" fontId="13" fillId="30" borderId="0" applyNumberFormat="0" applyBorder="0" applyAlignment="0" applyProtection="0"/>
    <xf numFmtId="167" fontId="19" fillId="0" borderId="0" applyFont="0" applyFill="0" applyBorder="0" applyAlignment="0" applyProtection="0"/>
    <xf numFmtId="164" fontId="19" fillId="0" borderId="0" applyFont="0" applyFill="0" applyBorder="0" applyAlignment="0" applyProtection="0"/>
    <xf numFmtId="0" fontId="13" fillId="26" borderId="0" applyNumberFormat="0" applyBorder="0" applyAlignment="0" applyProtection="0"/>
    <xf numFmtId="0" fontId="13" fillId="22" borderId="0" applyNumberFormat="0" applyBorder="0" applyAlignment="0" applyProtection="0"/>
    <xf numFmtId="0" fontId="13" fillId="18" borderId="0" applyNumberFormat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14" borderId="0" applyNumberFormat="0" applyBorder="0" applyAlignment="0" applyProtection="0"/>
    <xf numFmtId="0" fontId="13" fillId="10" borderId="0" applyNumberFormat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9" fillId="0" borderId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166" fontId="19" fillId="0" borderId="0" applyFont="0" applyFill="0" applyBorder="0" applyAlignment="0" applyProtection="0"/>
    <xf numFmtId="166" fontId="19" fillId="0" borderId="0" applyFont="0" applyFill="0" applyBorder="0" applyAlignment="0" applyProtection="0"/>
    <xf numFmtId="164" fontId="19" fillId="0" borderId="0" applyFont="0" applyFill="0" applyBorder="0" applyAlignment="0" applyProtection="0"/>
    <xf numFmtId="167" fontId="19" fillId="0" borderId="0" applyFont="0" applyFill="0" applyBorder="0" applyAlignment="0" applyProtection="0"/>
    <xf numFmtId="164" fontId="19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2" fillId="10" borderId="0" applyNumberFormat="0" applyBorder="0" applyAlignment="0" applyProtection="0"/>
    <xf numFmtId="0" fontId="12" fillId="14" borderId="0" applyNumberFormat="0" applyBorder="0" applyAlignment="0" applyProtection="0"/>
    <xf numFmtId="0" fontId="12" fillId="18" borderId="0" applyNumberFormat="0" applyBorder="0" applyAlignment="0" applyProtection="0"/>
    <xf numFmtId="0" fontId="12" fillId="22" borderId="0" applyNumberFormat="0" applyBorder="0" applyAlignment="0" applyProtection="0"/>
    <xf numFmtId="0" fontId="12" fillId="26" borderId="0" applyNumberFormat="0" applyBorder="0" applyAlignment="0" applyProtection="0"/>
    <xf numFmtId="0" fontId="12" fillId="30" borderId="0" applyNumberFormat="0" applyBorder="0" applyAlignment="0" applyProtection="0"/>
    <xf numFmtId="0" fontId="12" fillId="11" borderId="0" applyNumberFormat="0" applyBorder="0" applyAlignment="0" applyProtection="0"/>
    <xf numFmtId="0" fontId="12" fillId="15" borderId="0" applyNumberFormat="0" applyBorder="0" applyAlignment="0" applyProtection="0"/>
    <xf numFmtId="0" fontId="12" fillId="19" borderId="0" applyNumberFormat="0" applyBorder="0" applyAlignment="0" applyProtection="0"/>
    <xf numFmtId="0" fontId="12" fillId="23" borderId="0" applyNumberFormat="0" applyBorder="0" applyAlignment="0" applyProtection="0"/>
    <xf numFmtId="0" fontId="12" fillId="27" borderId="0" applyNumberFormat="0" applyBorder="0" applyAlignment="0" applyProtection="0"/>
    <xf numFmtId="0" fontId="12" fillId="31" borderId="0" applyNumberFormat="0" applyBorder="0" applyAlignment="0" applyProtection="0"/>
    <xf numFmtId="166" fontId="44" fillId="0" borderId="0" applyFont="0" applyFill="0" applyBorder="0" applyAlignment="0" applyProtection="0"/>
    <xf numFmtId="166" fontId="19" fillId="0" borderId="0" applyFont="0" applyFill="0" applyBorder="0" applyAlignment="0" applyProtection="0"/>
    <xf numFmtId="166" fontId="19" fillId="0" borderId="0" applyFont="0" applyFill="0" applyBorder="0" applyAlignment="0" applyProtection="0"/>
    <xf numFmtId="164" fontId="44" fillId="0" borderId="0" applyFont="0" applyFill="0" applyBorder="0" applyAlignment="0" applyProtection="0"/>
    <xf numFmtId="167" fontId="19" fillId="0" borderId="0" applyFont="0" applyFill="0" applyBorder="0" applyAlignment="0" applyProtection="0"/>
    <xf numFmtId="164" fontId="19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1" fillId="23" borderId="0" applyNumberFormat="0" applyBorder="0" applyAlignment="0" applyProtection="0"/>
    <xf numFmtId="0" fontId="11" fillId="10" borderId="0" applyNumberFormat="0" applyBorder="0" applyAlignment="0" applyProtection="0"/>
    <xf numFmtId="0" fontId="11" fillId="14" borderId="0" applyNumberFormat="0" applyBorder="0" applyAlignment="0" applyProtection="0"/>
    <xf numFmtId="0" fontId="11" fillId="18" borderId="0" applyNumberFormat="0" applyBorder="0" applyAlignment="0" applyProtection="0"/>
    <xf numFmtId="0" fontId="11" fillId="22" borderId="0" applyNumberFormat="0" applyBorder="0" applyAlignment="0" applyProtection="0"/>
    <xf numFmtId="0" fontId="11" fillId="26" borderId="0" applyNumberFormat="0" applyBorder="0" applyAlignment="0" applyProtection="0"/>
    <xf numFmtId="0" fontId="11" fillId="30" borderId="0" applyNumberFormat="0" applyBorder="0" applyAlignment="0" applyProtection="0"/>
    <xf numFmtId="0" fontId="11" fillId="11" borderId="0" applyNumberFormat="0" applyBorder="0" applyAlignment="0" applyProtection="0"/>
    <xf numFmtId="0" fontId="11" fillId="15" borderId="0" applyNumberFormat="0" applyBorder="0" applyAlignment="0" applyProtection="0"/>
    <xf numFmtId="0" fontId="11" fillId="19" borderId="0" applyNumberFormat="0" applyBorder="0" applyAlignment="0" applyProtection="0"/>
    <xf numFmtId="0" fontId="11" fillId="23" borderId="0" applyNumberFormat="0" applyBorder="0" applyAlignment="0" applyProtection="0"/>
    <xf numFmtId="0" fontId="11" fillId="27" borderId="0" applyNumberFormat="0" applyBorder="0" applyAlignment="0" applyProtection="0"/>
    <xf numFmtId="0" fontId="11" fillId="31" borderId="0" applyNumberFormat="0" applyBorder="0" applyAlignment="0" applyProtection="0"/>
    <xf numFmtId="166" fontId="44" fillId="0" borderId="0" applyFont="0" applyFill="0" applyBorder="0" applyAlignment="0" applyProtection="0"/>
    <xf numFmtId="166" fontId="44" fillId="0" borderId="0" applyFont="0" applyFill="0" applyBorder="0" applyAlignment="0" applyProtection="0"/>
    <xf numFmtId="166" fontId="19" fillId="0" borderId="0" applyFont="0" applyFill="0" applyBorder="0" applyAlignment="0" applyProtection="0"/>
    <xf numFmtId="166" fontId="19" fillId="0" borderId="0" applyFont="0" applyFill="0" applyBorder="0" applyAlignment="0" applyProtection="0"/>
    <xf numFmtId="164" fontId="44" fillId="0" borderId="0" applyFont="0" applyFill="0" applyBorder="0" applyAlignment="0" applyProtection="0"/>
    <xf numFmtId="167" fontId="19" fillId="0" borderId="0" applyFont="0" applyFill="0" applyBorder="0" applyAlignment="0" applyProtection="0"/>
    <xf numFmtId="164" fontId="19" fillId="0" borderId="0" applyFont="0" applyFill="0" applyBorder="0" applyAlignment="0" applyProtection="0"/>
    <xf numFmtId="0" fontId="11" fillId="31" borderId="0" applyNumberFormat="0" applyBorder="0" applyAlignment="0" applyProtection="0"/>
    <xf numFmtId="0" fontId="11" fillId="27" borderId="0" applyNumberFormat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19" borderId="0" applyNumberFormat="0" applyBorder="0" applyAlignment="0" applyProtection="0"/>
    <xf numFmtId="0" fontId="11" fillId="15" borderId="0" applyNumberFormat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11" borderId="0" applyNumberFormat="0" applyBorder="0" applyAlignment="0" applyProtection="0"/>
    <xf numFmtId="0" fontId="11" fillId="30" borderId="0" applyNumberFormat="0" applyBorder="0" applyAlignment="0" applyProtection="0"/>
    <xf numFmtId="0" fontId="11" fillId="26" borderId="0" applyNumberFormat="0" applyBorder="0" applyAlignment="0" applyProtection="0"/>
    <xf numFmtId="0" fontId="11" fillId="22" borderId="0" applyNumberFormat="0" applyBorder="0" applyAlignment="0" applyProtection="0"/>
    <xf numFmtId="0" fontId="11" fillId="18" borderId="0" applyNumberFormat="0" applyBorder="0" applyAlignment="0" applyProtection="0"/>
    <xf numFmtId="0" fontId="11" fillId="14" borderId="0" applyNumberFormat="0" applyBorder="0" applyAlignment="0" applyProtection="0"/>
    <xf numFmtId="0" fontId="11" fillId="10" borderId="0" applyNumberFormat="0" applyBorder="0" applyAlignment="0" applyProtection="0"/>
    <xf numFmtId="166" fontId="19" fillId="0" borderId="0" applyFont="0" applyFill="0" applyBorder="0" applyAlignment="0" applyProtection="0"/>
    <xf numFmtId="166" fontId="19" fillId="0" borderId="0" applyFont="0" applyFill="0" applyBorder="0" applyAlignment="0" applyProtection="0"/>
    <xf numFmtId="164" fontId="44" fillId="0" borderId="0" applyFont="0" applyFill="0" applyBorder="0" applyAlignment="0" applyProtection="0"/>
    <xf numFmtId="167" fontId="19" fillId="0" borderId="0" applyFont="0" applyFill="0" applyBorder="0" applyAlignment="0" applyProtection="0"/>
    <xf numFmtId="164" fontId="19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0" fillId="19" borderId="0" applyNumberFormat="0" applyBorder="0" applyAlignment="0" applyProtection="0"/>
    <xf numFmtId="0" fontId="10" fillId="10" borderId="0" applyNumberFormat="0" applyBorder="0" applyAlignment="0" applyProtection="0"/>
    <xf numFmtId="0" fontId="10" fillId="14" borderId="0" applyNumberFormat="0" applyBorder="0" applyAlignment="0" applyProtection="0"/>
    <xf numFmtId="0" fontId="10" fillId="18" borderId="0" applyNumberFormat="0" applyBorder="0" applyAlignment="0" applyProtection="0"/>
    <xf numFmtId="0" fontId="10" fillId="22" borderId="0" applyNumberFormat="0" applyBorder="0" applyAlignment="0" applyProtection="0"/>
    <xf numFmtId="0" fontId="10" fillId="26" borderId="0" applyNumberFormat="0" applyBorder="0" applyAlignment="0" applyProtection="0"/>
    <xf numFmtId="0" fontId="10" fillId="30" borderId="0" applyNumberFormat="0" applyBorder="0" applyAlignment="0" applyProtection="0"/>
    <xf numFmtId="0" fontId="10" fillId="11" borderId="0" applyNumberFormat="0" applyBorder="0" applyAlignment="0" applyProtection="0"/>
    <xf numFmtId="0" fontId="10" fillId="15" borderId="0" applyNumberFormat="0" applyBorder="0" applyAlignment="0" applyProtection="0"/>
    <xf numFmtId="0" fontId="10" fillId="19" borderId="0" applyNumberFormat="0" applyBorder="0" applyAlignment="0" applyProtection="0"/>
    <xf numFmtId="0" fontId="10" fillId="23" borderId="0" applyNumberFormat="0" applyBorder="0" applyAlignment="0" applyProtection="0"/>
    <xf numFmtId="0" fontId="10" fillId="27" borderId="0" applyNumberFormat="0" applyBorder="0" applyAlignment="0" applyProtection="0"/>
    <xf numFmtId="0" fontId="10" fillId="31" borderId="0" applyNumberFormat="0" applyBorder="0" applyAlignment="0" applyProtection="0"/>
    <xf numFmtId="166" fontId="44" fillId="0" borderId="0" applyFont="0" applyFill="0" applyBorder="0" applyAlignment="0" applyProtection="0"/>
    <xf numFmtId="166" fontId="19" fillId="0" borderId="0" applyFont="0" applyFill="0" applyBorder="0" applyAlignment="0" applyProtection="0"/>
    <xf numFmtId="166" fontId="19" fillId="0" borderId="0" applyFont="0" applyFill="0" applyBorder="0" applyAlignment="0" applyProtection="0"/>
    <xf numFmtId="0" fontId="10" fillId="31" borderId="0" applyNumberFormat="0" applyBorder="0" applyAlignment="0" applyProtection="0"/>
    <xf numFmtId="167" fontId="19" fillId="0" borderId="0" applyFont="0" applyFill="0" applyBorder="0" applyAlignment="0" applyProtection="0"/>
    <xf numFmtId="164" fontId="19" fillId="0" borderId="0" applyFont="0" applyFill="0" applyBorder="0" applyAlignment="0" applyProtection="0"/>
    <xf numFmtId="0" fontId="10" fillId="27" borderId="0" applyNumberFormat="0" applyBorder="0" applyAlignment="0" applyProtection="0"/>
    <xf numFmtId="0" fontId="10" fillId="23" borderId="0" applyNumberFormat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15" borderId="0" applyNumberFormat="0" applyBorder="0" applyAlignment="0" applyProtection="0"/>
    <xf numFmtId="0" fontId="10" fillId="11" borderId="0" applyNumberFormat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30" borderId="0" applyNumberFormat="0" applyBorder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26" borderId="0" applyNumberFormat="0" applyBorder="0" applyAlignment="0" applyProtection="0"/>
    <xf numFmtId="0" fontId="10" fillId="22" borderId="0" applyNumberFormat="0" applyBorder="0" applyAlignment="0" applyProtection="0"/>
    <xf numFmtId="0" fontId="10" fillId="18" borderId="0" applyNumberFormat="0" applyBorder="0" applyAlignment="0" applyProtection="0"/>
    <xf numFmtId="0" fontId="10" fillId="14" borderId="0" applyNumberFormat="0" applyBorder="0" applyAlignment="0" applyProtection="0"/>
    <xf numFmtId="0" fontId="10" fillId="10" borderId="0" applyNumberFormat="0" applyBorder="0" applyAlignment="0" applyProtection="0"/>
    <xf numFmtId="166" fontId="44" fillId="0" borderId="0" applyFont="0" applyFill="0" applyBorder="0" applyAlignment="0" applyProtection="0"/>
    <xf numFmtId="166" fontId="19" fillId="0" borderId="0" applyFont="0" applyFill="0" applyBorder="0" applyAlignment="0" applyProtection="0"/>
    <xf numFmtId="166" fontId="19" fillId="0" borderId="0" applyFont="0" applyFill="0" applyBorder="0" applyAlignment="0" applyProtection="0"/>
    <xf numFmtId="164" fontId="44" fillId="0" borderId="0" applyFont="0" applyFill="0" applyBorder="0" applyAlignment="0" applyProtection="0"/>
    <xf numFmtId="167" fontId="19" fillId="0" borderId="0" applyFont="0" applyFill="0" applyBorder="0" applyAlignment="0" applyProtection="0"/>
    <xf numFmtId="164" fontId="19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9" fillId="0" borderId="0"/>
    <xf numFmtId="0" fontId="9" fillId="10" borderId="0" applyNumberFormat="0" applyBorder="0" applyAlignment="0" applyProtection="0"/>
    <xf numFmtId="0" fontId="9" fillId="14" borderId="0" applyNumberFormat="0" applyBorder="0" applyAlignment="0" applyProtection="0"/>
    <xf numFmtId="0" fontId="9" fillId="18" borderId="0" applyNumberFormat="0" applyBorder="0" applyAlignment="0" applyProtection="0"/>
    <xf numFmtId="0" fontId="9" fillId="22" borderId="0" applyNumberFormat="0" applyBorder="0" applyAlignment="0" applyProtection="0"/>
    <xf numFmtId="0" fontId="9" fillId="26" borderId="0" applyNumberFormat="0" applyBorder="0" applyAlignment="0" applyProtection="0"/>
    <xf numFmtId="0" fontId="9" fillId="30" borderId="0" applyNumberFormat="0" applyBorder="0" applyAlignment="0" applyProtection="0"/>
    <xf numFmtId="0" fontId="9" fillId="11" borderId="0" applyNumberFormat="0" applyBorder="0" applyAlignment="0" applyProtection="0"/>
    <xf numFmtId="0" fontId="9" fillId="15" borderId="0" applyNumberFormat="0" applyBorder="0" applyAlignment="0" applyProtection="0"/>
    <xf numFmtId="0" fontId="9" fillId="19" borderId="0" applyNumberFormat="0" applyBorder="0" applyAlignment="0" applyProtection="0"/>
    <xf numFmtId="0" fontId="9" fillId="23" borderId="0" applyNumberFormat="0" applyBorder="0" applyAlignment="0" applyProtection="0"/>
    <xf numFmtId="0" fontId="9" fillId="27" borderId="0" applyNumberFormat="0" applyBorder="0" applyAlignment="0" applyProtection="0"/>
    <xf numFmtId="0" fontId="9" fillId="31" borderId="0" applyNumberFormat="0" applyBorder="0" applyAlignment="0" applyProtection="0"/>
    <xf numFmtId="166" fontId="19" fillId="0" borderId="0" applyFont="0" applyFill="0" applyBorder="0" applyAlignment="0" applyProtection="0"/>
    <xf numFmtId="166" fontId="19" fillId="0" borderId="0" applyFont="0" applyFill="0" applyBorder="0" applyAlignment="0" applyProtection="0"/>
    <xf numFmtId="167" fontId="19" fillId="0" borderId="0" applyFont="0" applyFill="0" applyBorder="0" applyAlignment="0" applyProtection="0"/>
    <xf numFmtId="164" fontId="1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8" fillId="19" borderId="0" applyNumberFormat="0" applyBorder="0" applyAlignment="0" applyProtection="0"/>
    <xf numFmtId="0" fontId="8" fillId="10" borderId="0" applyNumberFormat="0" applyBorder="0" applyAlignment="0" applyProtection="0"/>
    <xf numFmtId="0" fontId="8" fillId="14" borderId="0" applyNumberFormat="0" applyBorder="0" applyAlignment="0" applyProtection="0"/>
    <xf numFmtId="0" fontId="8" fillId="18" borderId="0" applyNumberFormat="0" applyBorder="0" applyAlignment="0" applyProtection="0"/>
    <xf numFmtId="0" fontId="8" fillId="22" borderId="0" applyNumberFormat="0" applyBorder="0" applyAlignment="0" applyProtection="0"/>
    <xf numFmtId="0" fontId="8" fillId="26" borderId="0" applyNumberFormat="0" applyBorder="0" applyAlignment="0" applyProtection="0"/>
    <xf numFmtId="0" fontId="8" fillId="30" borderId="0" applyNumberFormat="0" applyBorder="0" applyAlignment="0" applyProtection="0"/>
    <xf numFmtId="0" fontId="8" fillId="11" borderId="0" applyNumberFormat="0" applyBorder="0" applyAlignment="0" applyProtection="0"/>
    <xf numFmtId="0" fontId="8" fillId="15" borderId="0" applyNumberFormat="0" applyBorder="0" applyAlignment="0" applyProtection="0"/>
    <xf numFmtId="0" fontId="8" fillId="19" borderId="0" applyNumberFormat="0" applyBorder="0" applyAlignment="0" applyProtection="0"/>
    <xf numFmtId="0" fontId="8" fillId="23" borderId="0" applyNumberFormat="0" applyBorder="0" applyAlignment="0" applyProtection="0"/>
    <xf numFmtId="0" fontId="8" fillId="27" borderId="0" applyNumberFormat="0" applyBorder="0" applyAlignment="0" applyProtection="0"/>
    <xf numFmtId="0" fontId="8" fillId="31" borderId="0" applyNumberFormat="0" applyBorder="0" applyAlignment="0" applyProtection="0"/>
    <xf numFmtId="166" fontId="45" fillId="0" borderId="0" applyFont="0" applyFill="0" applyBorder="0" applyAlignment="0" applyProtection="0"/>
    <xf numFmtId="166" fontId="19" fillId="0" borderId="0" applyFont="0" applyFill="0" applyBorder="0" applyAlignment="0" applyProtection="0"/>
    <xf numFmtId="166" fontId="45" fillId="0" borderId="0" applyFont="0" applyFill="0" applyBorder="0" applyAlignment="0" applyProtection="0"/>
    <xf numFmtId="166" fontId="19" fillId="0" borderId="0" applyFont="0" applyFill="0" applyBorder="0" applyAlignment="0" applyProtection="0"/>
    <xf numFmtId="166" fontId="19" fillId="0" borderId="0" applyFont="0" applyFill="0" applyBorder="0" applyAlignment="0" applyProtection="0"/>
    <xf numFmtId="0" fontId="8" fillId="31" borderId="0" applyNumberFormat="0" applyBorder="0" applyAlignment="0" applyProtection="0"/>
    <xf numFmtId="164" fontId="45" fillId="0" borderId="0" applyFont="0" applyFill="0" applyBorder="0" applyAlignment="0" applyProtection="0"/>
    <xf numFmtId="167" fontId="19" fillId="0" borderId="0" applyFont="0" applyFill="0" applyBorder="0" applyAlignment="0" applyProtection="0"/>
    <xf numFmtId="164" fontId="19" fillId="0" borderId="0" applyFont="0" applyFill="0" applyBorder="0" applyAlignment="0" applyProtection="0"/>
    <xf numFmtId="0" fontId="8" fillId="27" borderId="0" applyNumberFormat="0" applyBorder="0" applyAlignment="0" applyProtection="0"/>
    <xf numFmtId="0" fontId="8" fillId="23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15" borderId="0" applyNumberFormat="0" applyBorder="0" applyAlignment="0" applyProtection="0"/>
    <xf numFmtId="0" fontId="8" fillId="11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30" borderId="0" applyNumberFormat="0" applyBorder="0" applyAlignment="0" applyProtection="0"/>
    <xf numFmtId="0" fontId="8" fillId="26" borderId="0" applyNumberFormat="0" applyBorder="0" applyAlignment="0" applyProtection="0"/>
    <xf numFmtId="0" fontId="8" fillId="22" borderId="0" applyNumberFormat="0" applyBorder="0" applyAlignment="0" applyProtection="0"/>
    <xf numFmtId="0" fontId="8" fillId="18" borderId="0" applyNumberFormat="0" applyBorder="0" applyAlignment="0" applyProtection="0"/>
    <xf numFmtId="0" fontId="8" fillId="14" borderId="0" applyNumberFormat="0" applyBorder="0" applyAlignment="0" applyProtection="0"/>
    <xf numFmtId="0" fontId="8" fillId="10" borderId="0" applyNumberFormat="0" applyBorder="0" applyAlignment="0" applyProtection="0"/>
    <xf numFmtId="0" fontId="8" fillId="23" borderId="0" applyNumberFormat="0" applyBorder="0" applyAlignment="0" applyProtection="0"/>
    <xf numFmtId="166" fontId="45" fillId="0" borderId="0" applyFont="0" applyFill="0" applyBorder="0" applyAlignment="0" applyProtection="0"/>
    <xf numFmtId="166" fontId="19" fillId="0" borderId="0" applyFont="0" applyFill="0" applyBorder="0" applyAlignment="0" applyProtection="0"/>
    <xf numFmtId="166" fontId="19" fillId="0" borderId="0" applyFont="0" applyFill="0" applyBorder="0" applyAlignment="0" applyProtection="0"/>
    <xf numFmtId="167" fontId="19" fillId="0" borderId="0" applyFont="0" applyFill="0" applyBorder="0" applyAlignment="0" applyProtection="0"/>
    <xf numFmtId="164" fontId="19" fillId="0" borderId="0" applyFont="0" applyFill="0" applyBorder="0" applyAlignment="0" applyProtection="0"/>
    <xf numFmtId="0" fontId="8" fillId="31" borderId="0" applyNumberFormat="0" applyBorder="0" applyAlignment="0" applyProtection="0"/>
    <xf numFmtId="0" fontId="8" fillId="27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19" borderId="0" applyNumberFormat="0" applyBorder="0" applyAlignment="0" applyProtection="0"/>
    <xf numFmtId="0" fontId="8" fillId="15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11" borderId="0" applyNumberFormat="0" applyBorder="0" applyAlignment="0" applyProtection="0"/>
    <xf numFmtId="0" fontId="8" fillId="30" borderId="0" applyNumberFormat="0" applyBorder="0" applyAlignment="0" applyProtection="0"/>
    <xf numFmtId="0" fontId="8" fillId="26" borderId="0" applyNumberFormat="0" applyBorder="0" applyAlignment="0" applyProtection="0"/>
    <xf numFmtId="0" fontId="8" fillId="22" borderId="0" applyNumberFormat="0" applyBorder="0" applyAlignment="0" applyProtection="0"/>
    <xf numFmtId="0" fontId="8" fillId="18" borderId="0" applyNumberFormat="0" applyBorder="0" applyAlignment="0" applyProtection="0"/>
    <xf numFmtId="0" fontId="8" fillId="14" borderId="0" applyNumberFormat="0" applyBorder="0" applyAlignment="0" applyProtection="0"/>
    <xf numFmtId="0" fontId="8" fillId="10" borderId="0" applyNumberFormat="0" applyBorder="0" applyAlignment="0" applyProtection="0"/>
    <xf numFmtId="166" fontId="19" fillId="0" borderId="0" applyFont="0" applyFill="0" applyBorder="0" applyAlignment="0" applyProtection="0"/>
    <xf numFmtId="167" fontId="19" fillId="0" borderId="0" applyFont="0" applyFill="0" applyBorder="0" applyAlignment="0" applyProtection="0"/>
    <xf numFmtId="164" fontId="19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7" fillId="10" borderId="0" applyNumberFormat="0" applyBorder="0" applyAlignment="0" applyProtection="0"/>
    <xf numFmtId="0" fontId="7" fillId="14" borderId="0" applyNumberFormat="0" applyBorder="0" applyAlignment="0" applyProtection="0"/>
    <xf numFmtId="0" fontId="7" fillId="18" borderId="0" applyNumberFormat="0" applyBorder="0" applyAlignment="0" applyProtection="0"/>
    <xf numFmtId="0" fontId="7" fillId="22" borderId="0" applyNumberFormat="0" applyBorder="0" applyAlignment="0" applyProtection="0"/>
    <xf numFmtId="0" fontId="7" fillId="26" borderId="0" applyNumberFormat="0" applyBorder="0" applyAlignment="0" applyProtection="0"/>
    <xf numFmtId="0" fontId="7" fillId="30" borderId="0" applyNumberFormat="0" applyBorder="0" applyAlignment="0" applyProtection="0"/>
    <xf numFmtId="0" fontId="7" fillId="11" borderId="0" applyNumberFormat="0" applyBorder="0" applyAlignment="0" applyProtection="0"/>
    <xf numFmtId="0" fontId="7" fillId="15" borderId="0" applyNumberFormat="0" applyBorder="0" applyAlignment="0" applyProtection="0"/>
    <xf numFmtId="0" fontId="7" fillId="19" borderId="0" applyNumberFormat="0" applyBorder="0" applyAlignment="0" applyProtection="0"/>
    <xf numFmtId="0" fontId="7" fillId="23" borderId="0" applyNumberFormat="0" applyBorder="0" applyAlignment="0" applyProtection="0"/>
    <xf numFmtId="0" fontId="7" fillId="27" borderId="0" applyNumberFormat="0" applyBorder="0" applyAlignment="0" applyProtection="0"/>
    <xf numFmtId="0" fontId="7" fillId="31" borderId="0" applyNumberFormat="0" applyBorder="0" applyAlignment="0" applyProtection="0"/>
    <xf numFmtId="166" fontId="45" fillId="0" borderId="0" applyFont="0" applyFill="0" applyBorder="0" applyAlignment="0" applyProtection="0"/>
    <xf numFmtId="166" fontId="19" fillId="0" borderId="0" applyFont="0" applyFill="0" applyBorder="0" applyAlignment="0" applyProtection="0"/>
    <xf numFmtId="166" fontId="19" fillId="0" borderId="0" applyFont="0" applyFill="0" applyBorder="0" applyAlignment="0" applyProtection="0"/>
    <xf numFmtId="164" fontId="45" fillId="0" borderId="0" applyFont="0" applyFill="0" applyBorder="0" applyAlignment="0" applyProtection="0"/>
    <xf numFmtId="167" fontId="19" fillId="0" borderId="0" applyFont="0" applyFill="0" applyBorder="0" applyAlignment="0" applyProtection="0"/>
    <xf numFmtId="164" fontId="19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6" fillId="10" borderId="0" applyNumberFormat="0" applyBorder="0" applyAlignment="0" applyProtection="0"/>
    <xf numFmtId="0" fontId="6" fillId="14" borderId="0" applyNumberFormat="0" applyBorder="0" applyAlignment="0" applyProtection="0"/>
    <xf numFmtId="0" fontId="6" fillId="18" borderId="0" applyNumberFormat="0" applyBorder="0" applyAlignment="0" applyProtection="0"/>
    <xf numFmtId="0" fontId="6" fillId="22" borderId="0" applyNumberFormat="0" applyBorder="0" applyAlignment="0" applyProtection="0"/>
    <xf numFmtId="0" fontId="6" fillId="26" borderId="0" applyNumberFormat="0" applyBorder="0" applyAlignment="0" applyProtection="0"/>
    <xf numFmtId="0" fontId="6" fillId="30" borderId="0" applyNumberFormat="0" applyBorder="0" applyAlignment="0" applyProtection="0"/>
    <xf numFmtId="0" fontId="6" fillId="11" borderId="0" applyNumberFormat="0" applyBorder="0" applyAlignment="0" applyProtection="0"/>
    <xf numFmtId="0" fontId="6" fillId="15" borderId="0" applyNumberFormat="0" applyBorder="0" applyAlignment="0" applyProtection="0"/>
    <xf numFmtId="0" fontId="6" fillId="19" borderId="0" applyNumberFormat="0" applyBorder="0" applyAlignment="0" applyProtection="0"/>
    <xf numFmtId="0" fontId="6" fillId="23" borderId="0" applyNumberFormat="0" applyBorder="0" applyAlignment="0" applyProtection="0"/>
    <xf numFmtId="0" fontId="6" fillId="27" borderId="0" applyNumberFormat="0" applyBorder="0" applyAlignment="0" applyProtection="0"/>
    <xf numFmtId="0" fontId="6" fillId="31" borderId="0" applyNumberFormat="0" applyBorder="0" applyAlignment="0" applyProtection="0"/>
    <xf numFmtId="166" fontId="46" fillId="0" borderId="0" applyFont="0" applyFill="0" applyBorder="0" applyAlignment="0" applyProtection="0"/>
    <xf numFmtId="164" fontId="4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5" fillId="10" borderId="0" applyNumberFormat="0" applyBorder="0" applyAlignment="0" applyProtection="0"/>
    <xf numFmtId="0" fontId="5" fillId="11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0" borderId="0"/>
    <xf numFmtId="0" fontId="5" fillId="8" borderId="31" applyNumberFormat="0" applyFont="0" applyAlignment="0" applyProtection="0"/>
    <xf numFmtId="43" fontId="19" fillId="0" borderId="0" applyFont="0" applyFill="0" applyBorder="0" applyAlignment="0" applyProtection="0"/>
    <xf numFmtId="43" fontId="47" fillId="0" borderId="0" applyFont="0" applyFill="0" applyBorder="0" applyAlignment="0" applyProtection="0"/>
    <xf numFmtId="168" fontId="19" fillId="0" borderId="0" applyFont="0" applyFill="0" applyBorder="0" applyAlignment="0" applyProtection="0"/>
    <xf numFmtId="41" fontId="47" fillId="0" borderId="0" applyFont="0" applyFill="0" applyBorder="0" applyAlignment="0" applyProtection="0"/>
    <xf numFmtId="43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0" fontId="19" fillId="0" borderId="0"/>
    <xf numFmtId="0" fontId="4" fillId="0" borderId="0"/>
    <xf numFmtId="41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3" fillId="0" borderId="0"/>
    <xf numFmtId="41" fontId="3" fillId="0" borderId="0" applyFont="0" applyFill="0" applyBorder="0" applyAlignment="0" applyProtection="0"/>
    <xf numFmtId="0" fontId="2" fillId="0" borderId="0"/>
    <xf numFmtId="41" fontId="2" fillId="0" borderId="0" applyFont="0" applyFill="0" applyBorder="0" applyAlignment="0" applyProtection="0"/>
    <xf numFmtId="0" fontId="1" fillId="0" borderId="0"/>
    <xf numFmtId="0" fontId="63" fillId="0" borderId="0"/>
    <xf numFmtId="43" fontId="64" fillId="0" borderId="0" applyFont="0" applyFill="0" applyBorder="0" applyAlignment="0" applyProtection="0"/>
    <xf numFmtId="0" fontId="19" fillId="0" borderId="0"/>
    <xf numFmtId="0" fontId="65" fillId="0" borderId="0"/>
  </cellStyleXfs>
  <cellXfs count="774">
    <xf numFmtId="0" fontId="0" fillId="0" borderId="0" xfId="0"/>
    <xf numFmtId="0" fontId="25" fillId="0" borderId="0" xfId="0" applyFont="1"/>
    <xf numFmtId="0" fontId="20" fillId="0" borderId="0" xfId="0" applyFont="1"/>
    <xf numFmtId="0" fontId="20" fillId="0" borderId="1" xfId="0" applyFont="1" applyBorder="1"/>
    <xf numFmtId="0" fontId="25" fillId="33" borderId="0" xfId="0" applyFont="1" applyFill="1"/>
    <xf numFmtId="0" fontId="20" fillId="0" borderId="7" xfId="0" applyFont="1" applyBorder="1"/>
    <xf numFmtId="14" fontId="20" fillId="0" borderId="1" xfId="0" applyNumberFormat="1" applyFont="1" applyBorder="1"/>
    <xf numFmtId="0" fontId="20" fillId="0" borderId="8" xfId="0" applyFont="1" applyBorder="1"/>
    <xf numFmtId="0" fontId="20" fillId="0" borderId="6" xfId="0" applyFont="1" applyBorder="1"/>
    <xf numFmtId="14" fontId="20" fillId="0" borderId="0" xfId="0" applyNumberFormat="1" applyFont="1"/>
    <xf numFmtId="0" fontId="20" fillId="0" borderId="9" xfId="0" applyFont="1" applyBorder="1"/>
    <xf numFmtId="0" fontId="20" fillId="0" borderId="19" xfId="0" applyFont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0" fillId="0" borderId="15" xfId="0" applyFont="1" applyBorder="1" applyAlignment="1">
      <alignment horizontal="center"/>
    </xf>
    <xf numFmtId="165" fontId="25" fillId="0" borderId="4" xfId="2599" applyNumberFormat="1" applyFont="1" applyBorder="1"/>
    <xf numFmtId="0" fontId="20" fillId="0" borderId="16" xfId="0" applyFont="1" applyBorder="1" applyAlignment="1">
      <alignment horizontal="center"/>
    </xf>
    <xf numFmtId="0" fontId="20" fillId="0" borderId="3" xfId="0" applyFont="1" applyBorder="1"/>
    <xf numFmtId="165" fontId="25" fillId="0" borderId="3" xfId="2599" applyNumberFormat="1" applyFont="1" applyBorder="1"/>
    <xf numFmtId="0" fontId="20" fillId="0" borderId="17" xfId="0" applyFont="1" applyBorder="1" applyAlignment="1">
      <alignment horizontal="center"/>
    </xf>
    <xf numFmtId="0" fontId="20" fillId="0" borderId="18" xfId="0" applyFont="1" applyBorder="1"/>
    <xf numFmtId="0" fontId="20" fillId="0" borderId="5" xfId="0" applyFont="1" applyBorder="1"/>
    <xf numFmtId="0" fontId="20" fillId="0" borderId="11" xfId="0" applyFont="1" applyBorder="1" applyAlignment="1">
      <alignment horizontal="center"/>
    </xf>
    <xf numFmtId="165" fontId="20" fillId="0" borderId="14" xfId="2599" applyNumberFormat="1" applyFont="1" applyBorder="1"/>
    <xf numFmtId="165" fontId="25" fillId="0" borderId="0" xfId="2599" applyNumberFormat="1" applyFont="1"/>
    <xf numFmtId="0" fontId="24" fillId="0" borderId="0" xfId="0" applyFont="1"/>
    <xf numFmtId="0" fontId="48" fillId="0" borderId="0" xfId="0" applyFont="1"/>
    <xf numFmtId="0" fontId="20" fillId="0" borderId="33" xfId="0" applyFont="1" applyBorder="1" applyAlignment="1">
      <alignment horizontal="center" vertical="center" wrapText="1"/>
    </xf>
    <xf numFmtId="0" fontId="20" fillId="0" borderId="34" xfId="0" applyFont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165" fontId="20" fillId="35" borderId="21" xfId="2599" applyNumberFormat="1" applyFont="1" applyFill="1" applyBorder="1"/>
    <xf numFmtId="165" fontId="20" fillId="35" borderId="22" xfId="2599" applyNumberFormat="1" applyFont="1" applyFill="1" applyBorder="1"/>
    <xf numFmtId="165" fontId="20" fillId="35" borderId="11" xfId="2599" applyNumberFormat="1" applyFont="1" applyFill="1" applyBorder="1"/>
    <xf numFmtId="165" fontId="25" fillId="0" borderId="2" xfId="2599" applyNumberFormat="1" applyFont="1" applyBorder="1"/>
    <xf numFmtId="0" fontId="20" fillId="33" borderId="0" xfId="0" applyFont="1" applyFill="1"/>
    <xf numFmtId="165" fontId="25" fillId="33" borderId="0" xfId="2599" applyNumberFormat="1" applyFont="1" applyFill="1"/>
    <xf numFmtId="0" fontId="23" fillId="0" borderId="0" xfId="0" applyFont="1"/>
    <xf numFmtId="165" fontId="25" fillId="0" borderId="37" xfId="2599" applyNumberFormat="1" applyFont="1" applyBorder="1"/>
    <xf numFmtId="165" fontId="25" fillId="0" borderId="38" xfId="2599" applyNumberFormat="1" applyFont="1" applyBorder="1"/>
    <xf numFmtId="0" fontId="20" fillId="35" borderId="12" xfId="0" applyFont="1" applyFill="1" applyBorder="1" applyAlignment="1">
      <alignment horizontal="center" vertical="center" wrapText="1"/>
    </xf>
    <xf numFmtId="165" fontId="20" fillId="35" borderId="23" xfId="2599" applyNumberFormat="1" applyFont="1" applyFill="1" applyBorder="1"/>
    <xf numFmtId="0" fontId="49" fillId="0" borderId="0" xfId="0" applyFont="1"/>
    <xf numFmtId="165" fontId="20" fillId="0" borderId="0" xfId="2599" applyNumberFormat="1" applyFont="1"/>
    <xf numFmtId="165" fontId="20" fillId="0" borderId="11" xfId="2599" applyNumberFormat="1" applyFont="1" applyBorder="1"/>
    <xf numFmtId="0" fontId="25" fillId="0" borderId="9" xfId="0" applyFont="1" applyBorder="1"/>
    <xf numFmtId="0" fontId="25" fillId="0" borderId="2" xfId="0" applyFont="1" applyBorder="1"/>
    <xf numFmtId="0" fontId="25" fillId="0" borderId="10" xfId="0" applyFont="1" applyBorder="1"/>
    <xf numFmtId="165" fontId="20" fillId="34" borderId="11" xfId="2599" applyNumberFormat="1" applyFont="1" applyFill="1" applyBorder="1"/>
    <xf numFmtId="14" fontId="20" fillId="0" borderId="9" xfId="0" applyNumberFormat="1" applyFont="1" applyBorder="1"/>
    <xf numFmtId="0" fontId="50" fillId="0" borderId="0" xfId="0" applyFont="1"/>
    <xf numFmtId="0" fontId="51" fillId="0" borderId="0" xfId="0" applyFont="1"/>
    <xf numFmtId="0" fontId="20" fillId="35" borderId="20" xfId="0" applyFont="1" applyFill="1" applyBorder="1" applyAlignment="1">
      <alignment horizontal="center" vertical="center" wrapText="1"/>
    </xf>
    <xf numFmtId="0" fontId="25" fillId="37" borderId="0" xfId="0" applyFont="1" applyFill="1"/>
    <xf numFmtId="0" fontId="20" fillId="37" borderId="0" xfId="0" applyFont="1" applyFill="1"/>
    <xf numFmtId="165" fontId="25" fillId="37" borderId="0" xfId="2599" applyNumberFormat="1" applyFont="1" applyFill="1"/>
    <xf numFmtId="165" fontId="25" fillId="0" borderId="0" xfId="0" applyNumberFormat="1" applyFont="1"/>
    <xf numFmtId="0" fontId="52" fillId="0" borderId="0" xfId="0" applyFont="1"/>
    <xf numFmtId="21" fontId="20" fillId="0" borderId="0" xfId="0" applyNumberFormat="1" applyFont="1" applyAlignment="1">
      <alignment horizontal="right"/>
    </xf>
    <xf numFmtId="0" fontId="49" fillId="34" borderId="0" xfId="0" applyFont="1" applyFill="1"/>
    <xf numFmtId="0" fontId="20" fillId="34" borderId="0" xfId="0" applyFont="1" applyFill="1"/>
    <xf numFmtId="0" fontId="25" fillId="34" borderId="0" xfId="0" applyFont="1" applyFill="1"/>
    <xf numFmtId="0" fontId="20" fillId="0" borderId="35" xfId="0" applyFont="1" applyBorder="1"/>
    <xf numFmtId="0" fontId="20" fillId="0" borderId="36" xfId="0" applyFont="1" applyBorder="1"/>
    <xf numFmtId="0" fontId="20" fillId="0" borderId="39" xfId="0" applyFont="1" applyBorder="1"/>
    <xf numFmtId="165" fontId="25" fillId="34" borderId="0" xfId="2599" applyNumberFormat="1" applyFont="1" applyFill="1"/>
    <xf numFmtId="0" fontId="20" fillId="0" borderId="11" xfId="0" applyFont="1" applyBorder="1" applyAlignment="1">
      <alignment horizontal="center" vertical="center" wrapText="1"/>
    </xf>
    <xf numFmtId="165" fontId="25" fillId="0" borderId="15" xfId="2599" applyNumberFormat="1" applyFont="1" applyBorder="1"/>
    <xf numFmtId="165" fontId="25" fillId="0" borderId="22" xfId="2599" applyNumberFormat="1" applyFont="1" applyBorder="1"/>
    <xf numFmtId="165" fontId="20" fillId="38" borderId="11" xfId="2599" applyNumberFormat="1" applyFont="1" applyFill="1" applyBorder="1"/>
    <xf numFmtId="165" fontId="20" fillId="38" borderId="21" xfId="2599" applyNumberFormat="1" applyFont="1" applyFill="1" applyBorder="1"/>
    <xf numFmtId="165" fontId="20" fillId="38" borderId="22" xfId="2599" applyNumberFormat="1" applyFont="1" applyFill="1" applyBorder="1"/>
    <xf numFmtId="171" fontId="25" fillId="0" borderId="12" xfId="2601" applyNumberFormat="1" applyFont="1" applyBorder="1"/>
    <xf numFmtId="171" fontId="25" fillId="0" borderId="44" xfId="2601" applyNumberFormat="1" applyFont="1" applyBorder="1"/>
    <xf numFmtId="0" fontId="20" fillId="0" borderId="45" xfId="0" applyFont="1" applyBorder="1" applyAlignment="1">
      <alignment horizontal="center" vertical="center" wrapText="1"/>
    </xf>
    <xf numFmtId="165" fontId="25" fillId="0" borderId="41" xfId="2599" applyNumberFormat="1" applyFont="1" applyBorder="1"/>
    <xf numFmtId="43" fontId="25" fillId="0" borderId="21" xfId="2599" applyFont="1" applyBorder="1"/>
    <xf numFmtId="165" fontId="22" fillId="35" borderId="11" xfId="2599" applyNumberFormat="1" applyFont="1" applyFill="1" applyBorder="1"/>
    <xf numFmtId="165" fontId="25" fillId="0" borderId="17" xfId="2599" applyNumberFormat="1" applyFont="1" applyBorder="1"/>
    <xf numFmtId="165" fontId="25" fillId="0" borderId="18" xfId="2599" applyNumberFormat="1" applyFont="1" applyBorder="1"/>
    <xf numFmtId="165" fontId="25" fillId="0" borderId="46" xfId="2599" applyNumberFormat="1" applyFont="1" applyBorder="1"/>
    <xf numFmtId="0" fontId="20" fillId="35" borderId="19" xfId="0" applyFont="1" applyFill="1" applyBorder="1" applyAlignment="1">
      <alignment horizontal="center" vertical="center" wrapText="1"/>
    </xf>
    <xf numFmtId="0" fontId="20" fillId="35" borderId="45" xfId="0" applyFont="1" applyFill="1" applyBorder="1" applyAlignment="1">
      <alignment horizontal="center" vertical="center" wrapText="1"/>
    </xf>
    <xf numFmtId="165" fontId="25" fillId="0" borderId="16" xfId="2599" applyNumberFormat="1" applyFont="1" applyBorder="1"/>
    <xf numFmtId="165" fontId="25" fillId="0" borderId="49" xfId="2599" applyNumberFormat="1" applyFont="1" applyBorder="1"/>
    <xf numFmtId="0" fontId="51" fillId="0" borderId="0" xfId="0" applyFont="1" applyAlignment="1">
      <alignment horizontal="left"/>
    </xf>
    <xf numFmtId="0" fontId="20" fillId="0" borderId="14" xfId="0" applyFont="1" applyBorder="1" applyAlignment="1">
      <alignment horizontal="center" vertical="center" wrapText="1"/>
    </xf>
    <xf numFmtId="165" fontId="20" fillId="39" borderId="11" xfId="2599" applyNumberFormat="1" applyFont="1" applyFill="1" applyBorder="1"/>
    <xf numFmtId="165" fontId="25" fillId="0" borderId="47" xfId="2599" applyNumberFormat="1" applyFont="1" applyBorder="1"/>
    <xf numFmtId="165" fontId="25" fillId="0" borderId="48" xfId="2599" applyNumberFormat="1" applyFont="1" applyBorder="1"/>
    <xf numFmtId="0" fontId="0" fillId="0" borderId="0" xfId="0" applyAlignment="1">
      <alignment vertical="top"/>
    </xf>
    <xf numFmtId="4" fontId="0" fillId="0" borderId="0" xfId="0" applyNumberFormat="1" applyAlignment="1">
      <alignment vertical="top"/>
    </xf>
    <xf numFmtId="0" fontId="25" fillId="0" borderId="0" xfId="0" applyFont="1" applyAlignment="1">
      <alignment horizontal="center"/>
    </xf>
    <xf numFmtId="0" fontId="25" fillId="0" borderId="2" xfId="0" applyFont="1" applyBorder="1" applyAlignment="1">
      <alignment horizontal="center"/>
    </xf>
    <xf numFmtId="4" fontId="0" fillId="33" borderId="0" xfId="0" applyNumberFormat="1" applyFill="1" applyAlignment="1">
      <alignment vertical="top"/>
    </xf>
    <xf numFmtId="0" fontId="0" fillId="33" borderId="0" xfId="0" applyFill="1"/>
    <xf numFmtId="0" fontId="20" fillId="0" borderId="50" xfId="0" applyFont="1" applyBorder="1"/>
    <xf numFmtId="41" fontId="25" fillId="0" borderId="0" xfId="0" applyNumberFormat="1" applyFont="1"/>
    <xf numFmtId="0" fontId="22" fillId="0" borderId="0" xfId="0" applyFont="1"/>
    <xf numFmtId="0" fontId="0" fillId="41" borderId="0" xfId="0" applyFill="1" applyAlignment="1">
      <alignment vertical="top"/>
    </xf>
    <xf numFmtId="4" fontId="0" fillId="41" borderId="0" xfId="0" applyNumberFormat="1" applyFill="1"/>
    <xf numFmtId="4" fontId="0" fillId="41" borderId="0" xfId="0" applyNumberFormat="1" applyFill="1" applyAlignment="1">
      <alignment vertical="top"/>
    </xf>
    <xf numFmtId="0" fontId="0" fillId="33" borderId="0" xfId="0" applyFill="1" applyAlignment="1">
      <alignment vertical="top"/>
    </xf>
    <xf numFmtId="0" fontId="22" fillId="0" borderId="0" xfId="0" applyFont="1" applyAlignment="1">
      <alignment horizontal="center"/>
    </xf>
    <xf numFmtId="165" fontId="19" fillId="0" borderId="0" xfId="0" applyNumberFormat="1" applyFont="1"/>
    <xf numFmtId="0" fontId="20" fillId="0" borderId="56" xfId="0" applyFont="1" applyBorder="1" applyAlignment="1">
      <alignment horizontal="center" vertical="center" wrapText="1"/>
    </xf>
    <xf numFmtId="0" fontId="20" fillId="0" borderId="57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/>
    </xf>
    <xf numFmtId="165" fontId="20" fillId="34" borderId="13" xfId="2599" applyNumberFormat="1" applyFont="1" applyFill="1" applyBorder="1"/>
    <xf numFmtId="0" fontId="20" fillId="0" borderId="51" xfId="0" applyFont="1" applyBorder="1" applyAlignment="1">
      <alignment horizontal="center"/>
    </xf>
    <xf numFmtId="0" fontId="20" fillId="0" borderId="40" xfId="0" applyFont="1" applyBorder="1"/>
    <xf numFmtId="165" fontId="25" fillId="0" borderId="40" xfId="2599" applyNumberFormat="1" applyFont="1" applyBorder="1"/>
    <xf numFmtId="165" fontId="25" fillId="0" borderId="52" xfId="2599" applyNumberFormat="1" applyFont="1" applyBorder="1"/>
    <xf numFmtId="0" fontId="54" fillId="0" borderId="0" xfId="0" applyFont="1"/>
    <xf numFmtId="3" fontId="0" fillId="0" borderId="0" xfId="0" applyNumberFormat="1" applyAlignment="1">
      <alignment vertical="top"/>
    </xf>
    <xf numFmtId="0" fontId="0" fillId="34" borderId="0" xfId="0" applyFill="1" applyAlignment="1">
      <alignment vertical="top"/>
    </xf>
    <xf numFmtId="165" fontId="20" fillId="38" borderId="54" xfId="2599" applyNumberFormat="1" applyFont="1" applyFill="1" applyBorder="1"/>
    <xf numFmtId="165" fontId="20" fillId="38" borderId="55" xfId="2599" applyNumberFormat="1" applyFont="1" applyFill="1" applyBorder="1"/>
    <xf numFmtId="170" fontId="25" fillId="0" borderId="21" xfId="2601" applyNumberFormat="1" applyFont="1" applyBorder="1"/>
    <xf numFmtId="170" fontId="25" fillId="0" borderId="22" xfId="2601" applyNumberFormat="1" applyFont="1" applyBorder="1"/>
    <xf numFmtId="170" fontId="25" fillId="0" borderId="23" xfId="2601" applyNumberFormat="1" applyFont="1" applyBorder="1"/>
    <xf numFmtId="170" fontId="20" fillId="0" borderId="13" xfId="2601" applyNumberFormat="1" applyFont="1" applyBorder="1"/>
    <xf numFmtId="0" fontId="20" fillId="34" borderId="33" xfId="0" applyFont="1" applyFill="1" applyBorder="1" applyAlignment="1">
      <alignment horizontal="center" vertical="center" wrapText="1"/>
    </xf>
    <xf numFmtId="3" fontId="0" fillId="0" borderId="0" xfId="0" applyNumberFormat="1"/>
    <xf numFmtId="0" fontId="0" fillId="0" borderId="0" xfId="0" applyAlignment="1">
      <alignment horizontal="center"/>
    </xf>
    <xf numFmtId="0" fontId="0" fillId="0" borderId="16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15" xfId="0" applyBorder="1" applyAlignment="1">
      <alignment horizontal="center"/>
    </xf>
    <xf numFmtId="0" fontId="41" fillId="38" borderId="19" xfId="0" applyFont="1" applyFill="1" applyBorder="1" applyAlignment="1">
      <alignment horizontal="center"/>
    </xf>
    <xf numFmtId="41" fontId="41" fillId="38" borderId="20" xfId="2601" applyFont="1" applyFill="1" applyBorder="1" applyAlignment="1">
      <alignment horizontal="center"/>
    </xf>
    <xf numFmtId="41" fontId="41" fillId="38" borderId="45" xfId="2601" applyFont="1" applyFill="1" applyBorder="1" applyAlignment="1">
      <alignment horizontal="center"/>
    </xf>
    <xf numFmtId="43" fontId="25" fillId="0" borderId="0" xfId="0" applyNumberFormat="1" applyFont="1"/>
    <xf numFmtId="0" fontId="20" fillId="36" borderId="34" xfId="0" applyFont="1" applyFill="1" applyBorder="1" applyAlignment="1">
      <alignment horizontal="center" vertical="center" wrapText="1"/>
    </xf>
    <xf numFmtId="0" fontId="20" fillId="36" borderId="53" xfId="0" applyFont="1" applyFill="1" applyBorder="1" applyAlignment="1">
      <alignment horizontal="center" vertical="center" wrapText="1"/>
    </xf>
    <xf numFmtId="0" fontId="20" fillId="0" borderId="59" xfId="0" applyFont="1" applyBorder="1" applyAlignment="1">
      <alignment horizontal="center"/>
    </xf>
    <xf numFmtId="165" fontId="25" fillId="0" borderId="58" xfId="2599" applyNumberFormat="1" applyFont="1" applyBorder="1"/>
    <xf numFmtId="165" fontId="25" fillId="0" borderId="63" xfId="2599" applyNumberFormat="1" applyFont="1" applyBorder="1"/>
    <xf numFmtId="165" fontId="25" fillId="0" borderId="60" xfId="2599" applyNumberFormat="1" applyFont="1" applyBorder="1"/>
    <xf numFmtId="43" fontId="0" fillId="0" borderId="0" xfId="0" applyNumberFormat="1"/>
    <xf numFmtId="0" fontId="20" fillId="0" borderId="58" xfId="0" applyFont="1" applyBorder="1"/>
    <xf numFmtId="165" fontId="25" fillId="0" borderId="64" xfId="2599" applyNumberFormat="1" applyFont="1" applyBorder="1"/>
    <xf numFmtId="165" fontId="25" fillId="0" borderId="51" xfId="2599" applyNumberFormat="1" applyFont="1" applyBorder="1"/>
    <xf numFmtId="165" fontId="0" fillId="0" borderId="0" xfId="0" applyNumberFormat="1"/>
    <xf numFmtId="0" fontId="19" fillId="0" borderId="0" xfId="0" applyFont="1"/>
    <xf numFmtId="41" fontId="0" fillId="0" borderId="0" xfId="2601" applyFont="1"/>
    <xf numFmtId="171" fontId="0" fillId="0" borderId="0" xfId="2601" applyNumberFormat="1" applyFont="1"/>
    <xf numFmtId="171" fontId="0" fillId="41" borderId="0" xfId="2601" applyNumberFormat="1" applyFont="1" applyFill="1" applyAlignment="1">
      <alignment vertical="top"/>
    </xf>
    <xf numFmtId="171" fontId="0" fillId="33" borderId="0" xfId="2601" applyNumberFormat="1" applyFont="1" applyFill="1"/>
    <xf numFmtId="0" fontId="20" fillId="0" borderId="65" xfId="0" applyFont="1" applyBorder="1" applyAlignment="1">
      <alignment horizontal="center" vertical="center" wrapText="1"/>
    </xf>
    <xf numFmtId="0" fontId="0" fillId="44" borderId="0" xfId="0" applyFill="1" applyAlignment="1">
      <alignment vertical="top"/>
    </xf>
    <xf numFmtId="4" fontId="0" fillId="44" borderId="0" xfId="0" applyNumberFormat="1" applyFill="1" applyAlignment="1">
      <alignment vertical="top"/>
    </xf>
    <xf numFmtId="4" fontId="0" fillId="0" borderId="0" xfId="0" applyNumberFormat="1"/>
    <xf numFmtId="0" fontId="55" fillId="0" borderId="0" xfId="0" applyFont="1"/>
    <xf numFmtId="0" fontId="22" fillId="0" borderId="19" xfId="0" applyFont="1" applyBorder="1" applyAlignment="1">
      <alignment horizontal="center" vertical="center" wrapText="1"/>
    </xf>
    <xf numFmtId="0" fontId="22" fillId="0" borderId="20" xfId="0" applyFont="1" applyBorder="1" applyAlignment="1">
      <alignment horizontal="center" vertical="center" wrapText="1"/>
    </xf>
    <xf numFmtId="0" fontId="22" fillId="0" borderId="15" xfId="0" applyFont="1" applyBorder="1" applyAlignment="1">
      <alignment horizontal="center"/>
    </xf>
    <xf numFmtId="0" fontId="22" fillId="0" borderId="16" xfId="0" applyFont="1" applyBorder="1" applyAlignment="1">
      <alignment horizontal="center"/>
    </xf>
    <xf numFmtId="0" fontId="22" fillId="0" borderId="36" xfId="0" applyFont="1" applyBorder="1"/>
    <xf numFmtId="0" fontId="22" fillId="0" borderId="17" xfId="0" applyFont="1" applyBorder="1" applyAlignment="1">
      <alignment horizontal="center"/>
    </xf>
    <xf numFmtId="0" fontId="22" fillId="0" borderId="39" xfId="0" applyFont="1" applyBorder="1"/>
    <xf numFmtId="0" fontId="22" fillId="0" borderId="5" xfId="0" applyFont="1" applyBorder="1"/>
    <xf numFmtId="0" fontId="22" fillId="0" borderId="11" xfId="0" applyFont="1" applyBorder="1" applyAlignment="1">
      <alignment horizontal="center"/>
    </xf>
    <xf numFmtId="0" fontId="22" fillId="0" borderId="35" xfId="0" applyFont="1" applyBorder="1"/>
    <xf numFmtId="0" fontId="20" fillId="35" borderId="56" xfId="0" applyFont="1" applyFill="1" applyBorder="1" applyAlignment="1">
      <alignment horizontal="center" vertical="center" wrapText="1"/>
    </xf>
    <xf numFmtId="0" fontId="20" fillId="35" borderId="57" xfId="0" applyFont="1" applyFill="1" applyBorder="1" applyAlignment="1">
      <alignment horizontal="center" vertical="center" wrapText="1"/>
    </xf>
    <xf numFmtId="0" fontId="20" fillId="35" borderId="65" xfId="0" applyFont="1" applyFill="1" applyBorder="1" applyAlignment="1">
      <alignment horizontal="center" vertical="center" wrapText="1"/>
    </xf>
    <xf numFmtId="6" fontId="25" fillId="0" borderId="0" xfId="0" applyNumberFormat="1" applyFont="1"/>
    <xf numFmtId="0" fontId="19" fillId="0" borderId="0" xfId="2"/>
    <xf numFmtId="41" fontId="0" fillId="0" borderId="0" xfId="2604" applyFont="1"/>
    <xf numFmtId="0" fontId="22" fillId="0" borderId="0" xfId="2" applyFont="1" applyAlignment="1">
      <alignment horizontal="center"/>
    </xf>
    <xf numFmtId="0" fontId="22" fillId="40" borderId="19" xfId="2" applyFont="1" applyFill="1" applyBorder="1" applyAlignment="1">
      <alignment horizontal="center"/>
    </xf>
    <xf numFmtId="41" fontId="22" fillId="40" borderId="34" xfId="2604" applyFont="1" applyFill="1" applyBorder="1" applyAlignment="1">
      <alignment horizontal="center"/>
    </xf>
    <xf numFmtId="41" fontId="22" fillId="40" borderId="20" xfId="2604" applyFont="1" applyFill="1" applyBorder="1" applyAlignment="1">
      <alignment horizontal="center"/>
    </xf>
    <xf numFmtId="41" fontId="22" fillId="40" borderId="45" xfId="2604" applyFont="1" applyFill="1" applyBorder="1" applyAlignment="1">
      <alignment horizontal="center"/>
    </xf>
    <xf numFmtId="41" fontId="22" fillId="0" borderId="0" xfId="2604" applyFont="1" applyAlignment="1">
      <alignment horizontal="center"/>
    </xf>
    <xf numFmtId="41" fontId="0" fillId="0" borderId="21" xfId="2604" applyFont="1" applyBorder="1"/>
    <xf numFmtId="41" fontId="0" fillId="0" borderId="15" xfId="2604" applyFont="1" applyBorder="1"/>
    <xf numFmtId="41" fontId="0" fillId="0" borderId="4" xfId="2604" applyFont="1" applyBorder="1"/>
    <xf numFmtId="41" fontId="0" fillId="0" borderId="41" xfId="2604" applyFont="1" applyBorder="1"/>
    <xf numFmtId="41" fontId="0" fillId="0" borderId="22" xfId="2604" applyFont="1" applyBorder="1"/>
    <xf numFmtId="41" fontId="0" fillId="0" borderId="16" xfId="2604" applyFont="1" applyBorder="1"/>
    <xf numFmtId="41" fontId="0" fillId="0" borderId="3" xfId="2604" applyFont="1" applyBorder="1"/>
    <xf numFmtId="41" fontId="0" fillId="0" borderId="49" xfId="2604" applyFont="1" applyBorder="1"/>
    <xf numFmtId="41" fontId="0" fillId="0" borderId="23" xfId="2604" applyFont="1" applyBorder="1" applyAlignment="1">
      <alignment horizontal="right"/>
    </xf>
    <xf numFmtId="41" fontId="0" fillId="0" borderId="17" xfId="2604" applyFont="1" applyBorder="1"/>
    <xf numFmtId="41" fontId="0" fillId="0" borderId="18" xfId="2604" applyFont="1" applyBorder="1"/>
    <xf numFmtId="41" fontId="0" fillId="0" borderId="46" xfId="2604" applyFont="1" applyBorder="1"/>
    <xf numFmtId="41" fontId="22" fillId="40" borderId="11" xfId="2604" applyFont="1" applyFill="1" applyBorder="1"/>
    <xf numFmtId="41" fontId="22" fillId="40" borderId="57" xfId="2604" applyFont="1" applyFill="1" applyBorder="1" applyAlignment="1">
      <alignment horizontal="center"/>
    </xf>
    <xf numFmtId="41" fontId="22" fillId="40" borderId="65" xfId="2604" applyFont="1" applyFill="1" applyBorder="1" applyAlignment="1">
      <alignment horizontal="center"/>
    </xf>
    <xf numFmtId="0" fontId="22" fillId="0" borderId="0" xfId="2" applyFont="1"/>
    <xf numFmtId="41" fontId="0" fillId="0" borderId="54" xfId="2604" applyFont="1" applyBorder="1"/>
    <xf numFmtId="41" fontId="0" fillId="0" borderId="40" xfId="2604" applyFont="1" applyBorder="1"/>
    <xf numFmtId="41" fontId="0" fillId="0" borderId="52" xfId="2604" applyFont="1" applyBorder="1"/>
    <xf numFmtId="41" fontId="0" fillId="0" borderId="55" xfId="2604" applyFont="1" applyBorder="1"/>
    <xf numFmtId="41" fontId="0" fillId="0" borderId="68" xfId="2604" applyFont="1" applyBorder="1" applyAlignment="1">
      <alignment horizontal="right"/>
    </xf>
    <xf numFmtId="41" fontId="0" fillId="40" borderId="17" xfId="2604" applyFont="1" applyFill="1" applyBorder="1"/>
    <xf numFmtId="41" fontId="0" fillId="40" borderId="18" xfId="2604" applyFont="1" applyFill="1" applyBorder="1"/>
    <xf numFmtId="41" fontId="0" fillId="40" borderId="46" xfId="2604" applyFont="1" applyFill="1" applyBorder="1"/>
    <xf numFmtId="41" fontId="22" fillId="40" borderId="13" xfId="2604" applyFont="1" applyFill="1" applyBorder="1"/>
    <xf numFmtId="41" fontId="22" fillId="39" borderId="19" xfId="2604" applyFont="1" applyFill="1" applyBorder="1" applyAlignment="1">
      <alignment horizontal="center"/>
    </xf>
    <xf numFmtId="41" fontId="22" fillId="39" borderId="45" xfId="2604" applyFont="1" applyFill="1" applyBorder="1" applyAlignment="1">
      <alignment horizontal="center"/>
    </xf>
    <xf numFmtId="0" fontId="22" fillId="34" borderId="0" xfId="2" applyFont="1" applyFill="1"/>
    <xf numFmtId="41" fontId="0" fillId="0" borderId="59" xfId="2604" applyFont="1" applyBorder="1"/>
    <xf numFmtId="41" fontId="0" fillId="0" borderId="60" xfId="2604" applyFont="1" applyBorder="1"/>
    <xf numFmtId="41" fontId="22" fillId="39" borderId="19" xfId="2604" applyFont="1" applyFill="1" applyBorder="1"/>
    <xf numFmtId="41" fontId="22" fillId="39" borderId="45" xfId="2604" applyFont="1" applyFill="1" applyBorder="1"/>
    <xf numFmtId="0" fontId="22" fillId="40" borderId="19" xfId="0" applyFont="1" applyFill="1" applyBorder="1" applyAlignment="1">
      <alignment horizontal="center"/>
    </xf>
    <xf numFmtId="0" fontId="22" fillId="34" borderId="0" xfId="0" applyFont="1" applyFill="1"/>
    <xf numFmtId="0" fontId="41" fillId="34" borderId="0" xfId="0" applyFont="1" applyFill="1"/>
    <xf numFmtId="0" fontId="0" fillId="34" borderId="0" xfId="0" applyFill="1"/>
    <xf numFmtId="0" fontId="56" fillId="0" borderId="0" xfId="0" applyFont="1"/>
    <xf numFmtId="0" fontId="56" fillId="0" borderId="0" xfId="0" applyFont="1" applyAlignment="1">
      <alignment horizontal="center"/>
    </xf>
    <xf numFmtId="41" fontId="0" fillId="0" borderId="0" xfId="0" applyNumberFormat="1"/>
    <xf numFmtId="0" fontId="19" fillId="0" borderId="0" xfId="2605"/>
    <xf numFmtId="0" fontId="22" fillId="0" borderId="0" xfId="2605" applyFont="1" applyAlignment="1">
      <alignment horizontal="center"/>
    </xf>
    <xf numFmtId="0" fontId="22" fillId="40" borderId="19" xfId="2605" applyFont="1" applyFill="1" applyBorder="1" applyAlignment="1">
      <alignment horizontal="center"/>
    </xf>
    <xf numFmtId="0" fontId="22" fillId="0" borderId="0" xfId="2605" applyFont="1"/>
    <xf numFmtId="0" fontId="22" fillId="34" borderId="0" xfId="2605" applyFont="1" applyFill="1"/>
    <xf numFmtId="0" fontId="57" fillId="36" borderId="0" xfId="0" applyFont="1" applyFill="1" applyAlignment="1">
      <alignment wrapText="1"/>
    </xf>
    <xf numFmtId="0" fontId="19" fillId="36" borderId="0" xfId="0" applyFont="1" applyFill="1" applyAlignment="1">
      <alignment vertical="top"/>
    </xf>
    <xf numFmtId="0" fontId="0" fillId="0" borderId="0" xfId="0" applyAlignment="1">
      <alignment horizontal="center" vertical="center"/>
    </xf>
    <xf numFmtId="0" fontId="0" fillId="39" borderId="0" xfId="0" applyFill="1" applyAlignment="1">
      <alignment vertical="top"/>
    </xf>
    <xf numFmtId="4" fontId="0" fillId="39" borderId="0" xfId="0" applyNumberFormat="1" applyFill="1" applyAlignment="1">
      <alignment vertical="top"/>
    </xf>
    <xf numFmtId="0" fontId="0" fillId="46" borderId="0" xfId="0" applyFill="1" applyAlignment="1">
      <alignment vertical="top"/>
    </xf>
    <xf numFmtId="0" fontId="0" fillId="46" borderId="0" xfId="0" applyFill="1"/>
    <xf numFmtId="4" fontId="0" fillId="46" borderId="0" xfId="0" applyNumberFormat="1" applyFill="1" applyAlignment="1">
      <alignment vertical="top"/>
    </xf>
    <xf numFmtId="0" fontId="0" fillId="41" borderId="0" xfId="0" applyFill="1"/>
    <xf numFmtId="0" fontId="0" fillId="47" borderId="0" xfId="0" applyFill="1" applyAlignment="1">
      <alignment vertical="top"/>
    </xf>
    <xf numFmtId="4" fontId="0" fillId="47" borderId="0" xfId="0" applyNumberFormat="1" applyFill="1" applyAlignment="1">
      <alignment vertical="top"/>
    </xf>
    <xf numFmtId="0" fontId="0" fillId="35" borderId="0" xfId="0" applyFill="1" applyAlignment="1">
      <alignment vertical="top"/>
    </xf>
    <xf numFmtId="4" fontId="0" fillId="35" borderId="0" xfId="0" applyNumberFormat="1" applyFill="1" applyAlignment="1">
      <alignment vertical="top"/>
    </xf>
    <xf numFmtId="0" fontId="0" fillId="48" borderId="0" xfId="0" applyFill="1" applyAlignment="1">
      <alignment vertical="top"/>
    </xf>
    <xf numFmtId="4" fontId="0" fillId="48" borderId="0" xfId="0" applyNumberFormat="1" applyFill="1" applyAlignment="1">
      <alignment vertical="top"/>
    </xf>
    <xf numFmtId="0" fontId="0" fillId="49" borderId="0" xfId="0" applyFill="1" applyAlignment="1">
      <alignment vertical="top"/>
    </xf>
    <xf numFmtId="4" fontId="0" fillId="49" borderId="0" xfId="0" applyNumberFormat="1" applyFill="1" applyAlignment="1">
      <alignment vertical="top"/>
    </xf>
    <xf numFmtId="0" fontId="0" fillId="50" borderId="0" xfId="0" applyFill="1" applyAlignment="1">
      <alignment vertical="top"/>
    </xf>
    <xf numFmtId="4" fontId="0" fillId="50" borderId="0" xfId="0" applyNumberFormat="1" applyFill="1" applyAlignment="1">
      <alignment vertical="top"/>
    </xf>
    <xf numFmtId="0" fontId="0" fillId="39" borderId="0" xfId="0" applyFill="1"/>
    <xf numFmtId="0" fontId="0" fillId="37" borderId="0" xfId="0" applyFill="1"/>
    <xf numFmtId="0" fontId="0" fillId="37" borderId="0" xfId="0" applyFill="1" applyAlignment="1">
      <alignment vertical="top"/>
    </xf>
    <xf numFmtId="4" fontId="0" fillId="37" borderId="0" xfId="0" applyNumberFormat="1" applyFill="1" applyAlignment="1">
      <alignment vertical="top"/>
    </xf>
    <xf numFmtId="172" fontId="20" fillId="0" borderId="0" xfId="0" applyNumberFormat="1" applyFont="1" applyAlignment="1">
      <alignment horizontal="right"/>
    </xf>
    <xf numFmtId="0" fontId="0" fillId="43" borderId="0" xfId="0" applyFill="1" applyAlignment="1">
      <alignment vertical="top"/>
    </xf>
    <xf numFmtId="4" fontId="0" fillId="43" borderId="0" xfId="0" applyNumberFormat="1" applyFill="1" applyAlignment="1">
      <alignment vertical="top"/>
    </xf>
    <xf numFmtId="41" fontId="0" fillId="0" borderId="3" xfId="2601" applyFont="1" applyBorder="1" applyAlignment="1">
      <alignment vertical="top"/>
    </xf>
    <xf numFmtId="41" fontId="0" fillId="0" borderId="3" xfId="2601" applyFont="1" applyBorder="1"/>
    <xf numFmtId="41" fontId="0" fillId="51" borderId="3" xfId="2601" applyFont="1" applyFill="1" applyBorder="1" applyAlignment="1">
      <alignment vertical="top"/>
    </xf>
    <xf numFmtId="41" fontId="0" fillId="42" borderId="3" xfId="2601" applyFont="1" applyFill="1" applyBorder="1" applyAlignment="1">
      <alignment vertical="top"/>
    </xf>
    <xf numFmtId="0" fontId="22" fillId="0" borderId="0" xfId="0" applyFont="1" applyAlignment="1">
      <alignment vertical="top"/>
    </xf>
    <xf numFmtId="41" fontId="0" fillId="0" borderId="3" xfId="0" applyNumberFormat="1" applyBorder="1"/>
    <xf numFmtId="41" fontId="22" fillId="0" borderId="3" xfId="0" applyNumberFormat="1" applyFont="1" applyBorder="1"/>
    <xf numFmtId="41" fontId="0" fillId="34" borderId="0" xfId="0" applyNumberFormat="1" applyFill="1"/>
    <xf numFmtId="41" fontId="19" fillId="0" borderId="63" xfId="0" applyNumberFormat="1" applyFont="1" applyBorder="1"/>
    <xf numFmtId="41" fontId="0" fillId="0" borderId="58" xfId="0" applyNumberFormat="1" applyBorder="1"/>
    <xf numFmtId="41" fontId="22" fillId="0" borderId="19" xfId="0" applyNumberFormat="1" applyFont="1" applyBorder="1"/>
    <xf numFmtId="41" fontId="22" fillId="0" borderId="20" xfId="0" applyNumberFormat="1" applyFont="1" applyBorder="1"/>
    <xf numFmtId="41" fontId="22" fillId="0" borderId="45" xfId="0" applyNumberFormat="1" applyFont="1" applyBorder="1"/>
    <xf numFmtId="41" fontId="22" fillId="0" borderId="33" xfId="0" applyNumberFormat="1" applyFont="1" applyBorder="1"/>
    <xf numFmtId="0" fontId="56" fillId="0" borderId="7" xfId="0" applyFont="1" applyBorder="1"/>
    <xf numFmtId="0" fontId="56" fillId="0" borderId="8" xfId="0" applyFont="1" applyBorder="1"/>
    <xf numFmtId="41" fontId="22" fillId="0" borderId="16" xfId="0" applyNumberFormat="1" applyFont="1" applyBorder="1"/>
    <xf numFmtId="41" fontId="22" fillId="0" borderId="49" xfId="0" applyNumberFormat="1" applyFont="1" applyBorder="1"/>
    <xf numFmtId="41" fontId="22" fillId="0" borderId="59" xfId="0" applyNumberFormat="1" applyFont="1" applyBorder="1"/>
    <xf numFmtId="41" fontId="22" fillId="0" borderId="60" xfId="0" applyNumberFormat="1" applyFont="1" applyBorder="1"/>
    <xf numFmtId="171" fontId="0" fillId="0" borderId="49" xfId="2601" applyNumberFormat="1" applyFont="1" applyBorder="1"/>
    <xf numFmtId="171" fontId="0" fillId="0" borderId="46" xfId="2601" applyNumberFormat="1" applyFont="1" applyBorder="1"/>
    <xf numFmtId="171" fontId="0" fillId="0" borderId="11" xfId="2601" applyNumberFormat="1" applyFont="1" applyBorder="1"/>
    <xf numFmtId="171" fontId="22" fillId="0" borderId="11" xfId="2601" applyNumberFormat="1" applyFont="1" applyBorder="1"/>
    <xf numFmtId="171" fontId="0" fillId="34" borderId="0" xfId="2601" applyNumberFormat="1" applyFont="1" applyFill="1"/>
    <xf numFmtId="171" fontId="0" fillId="0" borderId="0" xfId="0" applyNumberFormat="1"/>
    <xf numFmtId="0" fontId="25" fillId="34" borderId="3" xfId="0" applyFont="1" applyFill="1" applyBorder="1"/>
    <xf numFmtId="0" fontId="20" fillId="51" borderId="33" xfId="0" applyFont="1" applyFill="1" applyBorder="1" applyAlignment="1">
      <alignment horizontal="center" vertical="center" wrapText="1"/>
    </xf>
    <xf numFmtId="0" fontId="20" fillId="52" borderId="33" xfId="0" applyFont="1" applyFill="1" applyBorder="1" applyAlignment="1">
      <alignment horizontal="center" vertical="center" wrapText="1"/>
    </xf>
    <xf numFmtId="169" fontId="0" fillId="0" borderId="0" xfId="0" applyNumberFormat="1"/>
    <xf numFmtId="170" fontId="25" fillId="0" borderId="0" xfId="2601" applyNumberFormat="1" applyFont="1"/>
    <xf numFmtId="170" fontId="20" fillId="0" borderId="0" xfId="2601" applyNumberFormat="1" applyFont="1"/>
    <xf numFmtId="170" fontId="20" fillId="0" borderId="0" xfId="2601" applyNumberFormat="1" applyFont="1" applyAlignment="1">
      <alignment horizontal="center" vertical="center" wrapText="1"/>
    </xf>
    <xf numFmtId="170" fontId="25" fillId="33" borderId="0" xfId="2601" applyNumberFormat="1" applyFont="1" applyFill="1"/>
    <xf numFmtId="170" fontId="25" fillId="37" borderId="0" xfId="2601" applyNumberFormat="1" applyFont="1" applyFill="1"/>
    <xf numFmtId="6" fontId="0" fillId="0" borderId="0" xfId="0" applyNumberFormat="1"/>
    <xf numFmtId="41" fontId="0" fillId="0" borderId="15" xfId="2604" applyFont="1" applyFill="1" applyBorder="1"/>
    <xf numFmtId="41" fontId="0" fillId="0" borderId="16" xfId="2604" applyFont="1" applyFill="1" applyBorder="1"/>
    <xf numFmtId="41" fontId="0" fillId="0" borderId="17" xfId="2604" applyFont="1" applyFill="1" applyBorder="1"/>
    <xf numFmtId="41" fontId="0" fillId="0" borderId="0" xfId="2604" applyFont="1" applyFill="1"/>
    <xf numFmtId="41" fontId="0" fillId="0" borderId="51" xfId="2604" applyFont="1" applyFill="1" applyBorder="1"/>
    <xf numFmtId="41" fontId="0" fillId="0" borderId="4" xfId="2604" applyFont="1" applyFill="1" applyBorder="1"/>
    <xf numFmtId="41" fontId="0" fillId="0" borderId="3" xfId="2604" applyFont="1" applyFill="1" applyBorder="1"/>
    <xf numFmtId="41" fontId="0" fillId="45" borderId="23" xfId="2604" applyFont="1" applyFill="1" applyBorder="1" applyAlignment="1">
      <alignment horizontal="right"/>
    </xf>
    <xf numFmtId="41" fontId="0" fillId="45" borderId="16" xfId="2604" applyFont="1" applyFill="1" applyBorder="1"/>
    <xf numFmtId="0" fontId="0" fillId="35" borderId="0" xfId="0" applyFill="1"/>
    <xf numFmtId="18" fontId="20" fillId="0" borderId="0" xfId="0" applyNumberFormat="1" applyFont="1" applyAlignment="1">
      <alignment horizontal="right"/>
    </xf>
    <xf numFmtId="173" fontId="25" fillId="0" borderId="41" xfId="2599" applyNumberFormat="1" applyFont="1" applyBorder="1"/>
    <xf numFmtId="173" fontId="25" fillId="0" borderId="46" xfId="2599" applyNumberFormat="1" applyFont="1" applyBorder="1"/>
    <xf numFmtId="173" fontId="20" fillId="0" borderId="11" xfId="2599" applyNumberFormat="1" applyFont="1" applyBorder="1"/>
    <xf numFmtId="173" fontId="25" fillId="0" borderId="15" xfId="2599" applyNumberFormat="1" applyFont="1" applyBorder="1"/>
    <xf numFmtId="173" fontId="25" fillId="0" borderId="4" xfId="2599" applyNumberFormat="1" applyFont="1" applyBorder="1"/>
    <xf numFmtId="173" fontId="20" fillId="35" borderId="21" xfId="2599" applyNumberFormat="1" applyFont="1" applyFill="1" applyBorder="1"/>
    <xf numFmtId="173" fontId="25" fillId="0" borderId="37" xfId="2599" applyNumberFormat="1" applyFont="1" applyBorder="1"/>
    <xf numFmtId="173" fontId="20" fillId="35" borderId="22" xfId="2599" applyNumberFormat="1" applyFont="1" applyFill="1" applyBorder="1"/>
    <xf numFmtId="173" fontId="25" fillId="0" borderId="17" xfId="2599" applyNumberFormat="1" applyFont="1" applyBorder="1"/>
    <xf numFmtId="173" fontId="25" fillId="0" borderId="18" xfId="2599" applyNumberFormat="1" applyFont="1" applyBorder="1"/>
    <xf numFmtId="173" fontId="20" fillId="35" borderId="23" xfId="2599" applyNumberFormat="1" applyFont="1" applyFill="1" applyBorder="1"/>
    <xf numFmtId="173" fontId="25" fillId="0" borderId="38" xfId="2599" applyNumberFormat="1" applyFont="1" applyBorder="1"/>
    <xf numFmtId="173" fontId="20" fillId="35" borderId="11" xfId="2599" applyNumberFormat="1" applyFont="1" applyFill="1" applyBorder="1"/>
    <xf numFmtId="173" fontId="20" fillId="0" borderId="14" xfId="2599" applyNumberFormat="1" applyFont="1" applyBorder="1"/>
    <xf numFmtId="173" fontId="22" fillId="35" borderId="11" xfId="2599" applyNumberFormat="1" applyFont="1" applyFill="1" applyBorder="1"/>
    <xf numFmtId="173" fontId="20" fillId="0" borderId="15" xfId="0" applyNumberFormat="1" applyFont="1" applyBorder="1" applyAlignment="1">
      <alignment horizontal="center"/>
    </xf>
    <xf numFmtId="173" fontId="20" fillId="0" borderId="35" xfId="0" applyNumberFormat="1" applyFont="1" applyBorder="1"/>
    <xf numFmtId="173" fontId="25" fillId="0" borderId="0" xfId="0" applyNumberFormat="1" applyFont="1"/>
    <xf numFmtId="173" fontId="25" fillId="33" borderId="0" xfId="0" applyNumberFormat="1" applyFont="1" applyFill="1"/>
    <xf numFmtId="173" fontId="25" fillId="0" borderId="51" xfId="2599" applyNumberFormat="1" applyFont="1" applyBorder="1"/>
    <xf numFmtId="173" fontId="25" fillId="0" borderId="40" xfId="2599" applyNumberFormat="1" applyFont="1" applyBorder="1"/>
    <xf numFmtId="173" fontId="25" fillId="0" borderId="52" xfId="2599" applyNumberFormat="1" applyFont="1" applyBorder="1"/>
    <xf numFmtId="173" fontId="25" fillId="0" borderId="47" xfId="2599" applyNumberFormat="1" applyFont="1" applyBorder="1"/>
    <xf numFmtId="173" fontId="25" fillId="0" borderId="21" xfId="2601" applyNumberFormat="1" applyFont="1" applyBorder="1"/>
    <xf numFmtId="173" fontId="25" fillId="0" borderId="21" xfId="2599" applyNumberFormat="1" applyFont="1" applyBorder="1"/>
    <xf numFmtId="173" fontId="20" fillId="38" borderId="54" xfId="2599" applyNumberFormat="1" applyFont="1" applyFill="1" applyBorder="1"/>
    <xf numFmtId="173" fontId="20" fillId="0" borderId="16" xfId="0" applyNumberFormat="1" applyFont="1" applyBorder="1" applyAlignment="1">
      <alignment horizontal="center"/>
    </xf>
    <xf numFmtId="173" fontId="20" fillId="0" borderId="36" xfId="0" applyNumberFormat="1" applyFont="1" applyBorder="1"/>
    <xf numFmtId="173" fontId="25" fillId="0" borderId="16" xfId="2599" applyNumberFormat="1" applyFont="1" applyBorder="1"/>
    <xf numFmtId="173" fontId="25" fillId="0" borderId="3" xfId="2599" applyNumberFormat="1" applyFont="1" applyBorder="1"/>
    <xf numFmtId="173" fontId="25" fillId="0" borderId="49" xfId="2599" applyNumberFormat="1" applyFont="1" applyBorder="1"/>
    <xf numFmtId="173" fontId="25" fillId="0" borderId="48" xfId="2599" applyNumberFormat="1" applyFont="1" applyBorder="1"/>
    <xf numFmtId="173" fontId="25" fillId="0" borderId="22" xfId="2599" applyNumberFormat="1" applyFont="1" applyBorder="1"/>
    <xf numFmtId="173" fontId="25" fillId="0" borderId="43" xfId="2599" applyNumberFormat="1" applyFont="1" applyBorder="1"/>
    <xf numFmtId="173" fontId="20" fillId="38" borderId="55" xfId="2599" applyNumberFormat="1" applyFont="1" applyFill="1" applyBorder="1"/>
    <xf numFmtId="173" fontId="25" fillId="0" borderId="22" xfId="2601" applyNumberFormat="1" applyFont="1" applyBorder="1"/>
    <xf numFmtId="173" fontId="20" fillId="0" borderId="17" xfId="0" applyNumberFormat="1" applyFont="1" applyBorder="1" applyAlignment="1">
      <alignment horizontal="center"/>
    </xf>
    <xf numFmtId="173" fontId="20" fillId="0" borderId="39" xfId="0" applyNumberFormat="1" applyFont="1" applyBorder="1"/>
    <xf numFmtId="173" fontId="25" fillId="0" borderId="23" xfId="2601" applyNumberFormat="1" applyFont="1" applyBorder="1"/>
    <xf numFmtId="173" fontId="20" fillId="0" borderId="5" xfId="0" applyNumberFormat="1" applyFont="1" applyBorder="1"/>
    <xf numFmtId="173" fontId="20" fillId="0" borderId="11" xfId="0" applyNumberFormat="1" applyFont="1" applyBorder="1" applyAlignment="1">
      <alignment horizontal="center"/>
    </xf>
    <xf numFmtId="173" fontId="20" fillId="0" borderId="0" xfId="0" applyNumberFormat="1" applyFont="1"/>
    <xf numFmtId="173" fontId="20" fillId="0" borderId="13" xfId="2599" applyNumberFormat="1" applyFont="1" applyBorder="1"/>
    <xf numFmtId="173" fontId="20" fillId="38" borderId="11" xfId="2599" applyNumberFormat="1" applyFont="1" applyFill="1" applyBorder="1"/>
    <xf numFmtId="173" fontId="20" fillId="0" borderId="13" xfId="2601" applyNumberFormat="1" applyFont="1" applyBorder="1"/>
    <xf numFmtId="173" fontId="25" fillId="0" borderId="0" xfId="2601" applyNumberFormat="1" applyFont="1"/>
    <xf numFmtId="173" fontId="20" fillId="0" borderId="51" xfId="0" applyNumberFormat="1" applyFont="1" applyBorder="1" applyAlignment="1">
      <alignment horizontal="center"/>
    </xf>
    <xf numFmtId="173" fontId="20" fillId="0" borderId="40" xfId="0" applyNumberFormat="1" applyFont="1" applyBorder="1"/>
    <xf numFmtId="173" fontId="25" fillId="0" borderId="21" xfId="2604" applyNumberFormat="1" applyFont="1" applyBorder="1"/>
    <xf numFmtId="173" fontId="25" fillId="0" borderId="9" xfId="0" applyNumberFormat="1" applyFont="1" applyBorder="1"/>
    <xf numFmtId="173" fontId="20" fillId="0" borderId="3" xfId="0" applyNumberFormat="1" applyFont="1" applyBorder="1"/>
    <xf numFmtId="173" fontId="25" fillId="0" borderId="22" xfId="2604" applyNumberFormat="1" applyFont="1" applyBorder="1"/>
    <xf numFmtId="173" fontId="25" fillId="0" borderId="61" xfId="2599" applyNumberFormat="1" applyFont="1" applyBorder="1"/>
    <xf numFmtId="173" fontId="20" fillId="0" borderId="59" xfId="0" applyNumberFormat="1" applyFont="1" applyBorder="1" applyAlignment="1">
      <alignment horizontal="center"/>
    </xf>
    <xf numFmtId="173" fontId="20" fillId="0" borderId="58" xfId="0" applyNumberFormat="1" applyFont="1" applyBorder="1"/>
    <xf numFmtId="173" fontId="25" fillId="0" borderId="63" xfId="2599" applyNumberFormat="1" applyFont="1" applyBorder="1"/>
    <xf numFmtId="173" fontId="25" fillId="0" borderId="64" xfId="2599" applyNumberFormat="1" applyFont="1" applyBorder="1"/>
    <xf numFmtId="173" fontId="20" fillId="0" borderId="18" xfId="0" applyNumberFormat="1" applyFont="1" applyBorder="1"/>
    <xf numFmtId="173" fontId="25" fillId="0" borderId="23" xfId="2599" applyNumberFormat="1" applyFont="1" applyBorder="1"/>
    <xf numFmtId="173" fontId="25" fillId="0" borderId="66" xfId="2599" applyNumberFormat="1" applyFont="1" applyBorder="1"/>
    <xf numFmtId="173" fontId="20" fillId="0" borderId="50" xfId="0" applyNumberFormat="1" applyFont="1" applyBorder="1"/>
    <xf numFmtId="173" fontId="20" fillId="0" borderId="13" xfId="0" applyNumberFormat="1" applyFont="1" applyBorder="1" applyAlignment="1">
      <alignment horizontal="center"/>
    </xf>
    <xf numFmtId="173" fontId="20" fillId="34" borderId="13" xfId="2599" applyNumberFormat="1" applyFont="1" applyFill="1" applyBorder="1"/>
    <xf numFmtId="173" fontId="25" fillId="0" borderId="2" xfId="0" applyNumberFormat="1" applyFont="1" applyBorder="1"/>
    <xf numFmtId="173" fontId="25" fillId="0" borderId="10" xfId="0" applyNumberFormat="1" applyFont="1" applyBorder="1"/>
    <xf numFmtId="173" fontId="25" fillId="0" borderId="35" xfId="2599" applyNumberFormat="1" applyFont="1" applyBorder="1"/>
    <xf numFmtId="173" fontId="53" fillId="34" borderId="0" xfId="0" applyNumberFormat="1" applyFont="1" applyFill="1"/>
    <xf numFmtId="173" fontId="0" fillId="0" borderId="0" xfId="0" applyNumberFormat="1"/>
    <xf numFmtId="173" fontId="25" fillId="0" borderId="58" xfId="2599" applyNumberFormat="1" applyFont="1" applyBorder="1"/>
    <xf numFmtId="173" fontId="25" fillId="0" borderId="62" xfId="2599" applyNumberFormat="1" applyFont="1" applyBorder="1"/>
    <xf numFmtId="173" fontId="25" fillId="0" borderId="60" xfId="2599" applyNumberFormat="1" applyFont="1" applyBorder="1"/>
    <xf numFmtId="173" fontId="20" fillId="36" borderId="11" xfId="2599" applyNumberFormat="1" applyFont="1" applyFill="1" applyBorder="1"/>
    <xf numFmtId="173" fontId="25" fillId="0" borderId="0" xfId="2599" applyNumberFormat="1" applyFont="1"/>
    <xf numFmtId="173" fontId="25" fillId="33" borderId="0" xfId="2599" applyNumberFormat="1" applyFont="1" applyFill="1"/>
    <xf numFmtId="173" fontId="20" fillId="34" borderId="11" xfId="2599" applyNumberFormat="1" applyFont="1" applyFill="1" applyBorder="1"/>
    <xf numFmtId="173" fontId="20" fillId="38" borderId="21" xfId="2599" applyNumberFormat="1" applyFont="1" applyFill="1" applyBorder="1"/>
    <xf numFmtId="173" fontId="25" fillId="0" borderId="12" xfId="2601" applyNumberFormat="1" applyFont="1" applyBorder="1"/>
    <xf numFmtId="173" fontId="20" fillId="38" borderId="22" xfId="2599" applyNumberFormat="1" applyFont="1" applyFill="1" applyBorder="1"/>
    <xf numFmtId="173" fontId="25" fillId="0" borderId="44" xfId="2601" applyNumberFormat="1" applyFont="1" applyBorder="1"/>
    <xf numFmtId="173" fontId="20" fillId="0" borderId="70" xfId="0" applyNumberFormat="1" applyFont="1" applyBorder="1"/>
    <xf numFmtId="173" fontId="20" fillId="0" borderId="69" xfId="0" applyNumberFormat="1" applyFont="1" applyBorder="1"/>
    <xf numFmtId="41" fontId="25" fillId="0" borderId="44" xfId="2601" applyFont="1" applyBorder="1"/>
    <xf numFmtId="0" fontId="20" fillId="0" borderId="53" xfId="0" applyFont="1" applyBorder="1" applyAlignment="1">
      <alignment horizontal="center" vertical="center" wrapText="1"/>
    </xf>
    <xf numFmtId="4" fontId="19" fillId="0" borderId="0" xfId="0" applyNumberFormat="1" applyFont="1" applyAlignment="1">
      <alignment vertical="top"/>
    </xf>
    <xf numFmtId="0" fontId="0" fillId="53" borderId="0" xfId="0" applyFill="1"/>
    <xf numFmtId="0" fontId="0" fillId="53" borderId="0" xfId="0" applyFill="1" applyAlignment="1">
      <alignment vertical="top"/>
    </xf>
    <xf numFmtId="4" fontId="0" fillId="53" borderId="0" xfId="0" applyNumberFormat="1" applyFill="1" applyAlignment="1">
      <alignment vertical="top"/>
    </xf>
    <xf numFmtId="0" fontId="0" fillId="36" borderId="0" xfId="0" applyFill="1" applyAlignment="1">
      <alignment vertical="top"/>
    </xf>
    <xf numFmtId="0" fontId="0" fillId="54" borderId="0" xfId="0" applyFill="1" applyAlignment="1">
      <alignment vertical="top"/>
    </xf>
    <xf numFmtId="4" fontId="0" fillId="54" borderId="0" xfId="0" applyNumberFormat="1" applyFill="1" applyAlignment="1">
      <alignment vertical="top"/>
    </xf>
    <xf numFmtId="0" fontId="0" fillId="54" borderId="0" xfId="0" applyFill="1"/>
    <xf numFmtId="165" fontId="25" fillId="0" borderId="71" xfId="2599" applyNumberFormat="1" applyFont="1" applyBorder="1"/>
    <xf numFmtId="0" fontId="20" fillId="0" borderId="12" xfId="0" applyFont="1" applyBorder="1" applyAlignment="1">
      <alignment horizontal="center" vertical="center" wrapText="1"/>
    </xf>
    <xf numFmtId="165" fontId="20" fillId="0" borderId="13" xfId="2599" applyNumberFormat="1" applyFont="1" applyBorder="1"/>
    <xf numFmtId="43" fontId="25" fillId="0" borderId="22" xfId="2599" applyFont="1" applyBorder="1"/>
    <xf numFmtId="43" fontId="25" fillId="0" borderId="23" xfId="2599" applyFont="1" applyBorder="1"/>
    <xf numFmtId="0" fontId="19" fillId="0" borderId="0" xfId="0" applyFont="1" applyAlignment="1">
      <alignment vertical="top"/>
    </xf>
    <xf numFmtId="173" fontId="25" fillId="0" borderId="40" xfId="2599" applyNumberFormat="1" applyFont="1" applyFill="1" applyBorder="1"/>
    <xf numFmtId="173" fontId="25" fillId="0" borderId="15" xfId="2599" applyNumberFormat="1" applyFont="1" applyFill="1" applyBorder="1"/>
    <xf numFmtId="173" fontId="25" fillId="0" borderId="37" xfId="2599" applyNumberFormat="1" applyFont="1" applyFill="1" applyBorder="1"/>
    <xf numFmtId="0" fontId="22" fillId="0" borderId="0" xfId="0" applyFont="1" applyAlignment="1">
      <alignment horizontal="center" vertical="center" wrapText="1"/>
    </xf>
    <xf numFmtId="0" fontId="25" fillId="0" borderId="0" xfId="2611" applyFont="1"/>
    <xf numFmtId="0" fontId="25" fillId="33" borderId="0" xfId="2611" applyFont="1" applyFill="1"/>
    <xf numFmtId="170" fontId="25" fillId="0" borderId="0" xfId="2612" applyNumberFormat="1" applyFont="1"/>
    <xf numFmtId="0" fontId="20" fillId="0" borderId="7" xfId="2611" applyFont="1" applyBorder="1"/>
    <xf numFmtId="0" fontId="20" fillId="0" borderId="1" xfId="2611" applyFont="1" applyBorder="1"/>
    <xf numFmtId="14" fontId="20" fillId="0" borderId="1" xfId="2611" applyNumberFormat="1" applyFont="1" applyBorder="1"/>
    <xf numFmtId="0" fontId="25" fillId="0" borderId="1" xfId="2611" applyFont="1" applyBorder="1"/>
    <xf numFmtId="0" fontId="20" fillId="0" borderId="8" xfId="2611" applyFont="1" applyBorder="1"/>
    <xf numFmtId="0" fontId="20" fillId="0" borderId="0" xfId="2611" applyFont="1"/>
    <xf numFmtId="170" fontId="20" fillId="0" borderId="0" xfId="2612" applyNumberFormat="1" applyFont="1"/>
    <xf numFmtId="0" fontId="20" fillId="0" borderId="6" xfId="2611" applyFont="1" applyBorder="1"/>
    <xf numFmtId="0" fontId="58" fillId="0" borderId="0" xfId="2611" applyFont="1"/>
    <xf numFmtId="0" fontId="48" fillId="0" borderId="0" xfId="2611" applyFont="1"/>
    <xf numFmtId="0" fontId="25" fillId="0" borderId="9" xfId="2611" applyFont="1" applyBorder="1"/>
    <xf numFmtId="14" fontId="20" fillId="0" borderId="9" xfId="2611" applyNumberFormat="1" applyFont="1" applyBorder="1"/>
    <xf numFmtId="0" fontId="51" fillId="0" borderId="0" xfId="2611" applyFont="1"/>
    <xf numFmtId="0" fontId="23" fillId="0" borderId="0" xfId="2611" applyFont="1"/>
    <xf numFmtId="0" fontId="20" fillId="0" borderId="9" xfId="2611" applyFont="1" applyBorder="1"/>
    <xf numFmtId="0" fontId="50" fillId="0" borderId="0" xfId="2611" applyFont="1"/>
    <xf numFmtId="14" fontId="20" fillId="0" borderId="0" xfId="2611" applyNumberFormat="1" applyFont="1"/>
    <xf numFmtId="0" fontId="49" fillId="0" borderId="0" xfId="2611" applyFont="1"/>
    <xf numFmtId="172" fontId="20" fillId="0" borderId="0" xfId="2611" applyNumberFormat="1" applyFont="1" applyAlignment="1">
      <alignment horizontal="right"/>
    </xf>
    <xf numFmtId="0" fontId="54" fillId="0" borderId="0" xfId="2611" applyFont="1"/>
    <xf numFmtId="0" fontId="20" fillId="0" borderId="19" xfId="2611" applyFont="1" applyBorder="1" applyAlignment="1">
      <alignment horizontal="center" vertical="center" wrapText="1"/>
    </xf>
    <xf numFmtId="0" fontId="20" fillId="0" borderId="33" xfId="2611" applyFont="1" applyBorder="1" applyAlignment="1">
      <alignment horizontal="center" vertical="center" wrapText="1"/>
    </xf>
    <xf numFmtId="0" fontId="20" fillId="0" borderId="20" xfId="2611" applyFont="1" applyBorder="1" applyAlignment="1">
      <alignment horizontal="center" vertical="center" wrapText="1"/>
    </xf>
    <xf numFmtId="0" fontId="20" fillId="51" borderId="33" xfId="2611" applyFont="1" applyFill="1" applyBorder="1" applyAlignment="1">
      <alignment horizontal="center" vertical="center" wrapText="1"/>
    </xf>
    <xf numFmtId="0" fontId="20" fillId="35" borderId="11" xfId="2611" applyFont="1" applyFill="1" applyBorder="1" applyAlignment="1">
      <alignment horizontal="center" vertical="center" wrapText="1"/>
    </xf>
    <xf numFmtId="0" fontId="20" fillId="0" borderId="0" xfId="2611" applyFont="1" applyAlignment="1">
      <alignment horizontal="center" vertical="center" wrapText="1"/>
    </xf>
    <xf numFmtId="0" fontId="20" fillId="35" borderId="56" xfId="2611" applyFont="1" applyFill="1" applyBorder="1" applyAlignment="1">
      <alignment horizontal="center" vertical="center" wrapText="1"/>
    </xf>
    <xf numFmtId="0" fontId="20" fillId="35" borderId="57" xfId="2611" applyFont="1" applyFill="1" applyBorder="1" applyAlignment="1">
      <alignment horizontal="center" vertical="center" wrapText="1"/>
    </xf>
    <xf numFmtId="0" fontId="20" fillId="35" borderId="65" xfId="2611" applyFont="1" applyFill="1" applyBorder="1" applyAlignment="1">
      <alignment horizontal="center" vertical="center" wrapText="1"/>
    </xf>
    <xf numFmtId="170" fontId="20" fillId="0" borderId="0" xfId="2612" applyNumberFormat="1" applyFont="1" applyAlignment="1">
      <alignment horizontal="center" vertical="center" wrapText="1"/>
    </xf>
    <xf numFmtId="173" fontId="20" fillId="0" borderId="15" xfId="2611" applyNumberFormat="1" applyFont="1" applyBorder="1" applyAlignment="1">
      <alignment horizontal="center"/>
    </xf>
    <xf numFmtId="173" fontId="20" fillId="0" borderId="35" xfId="2611" applyNumberFormat="1" applyFont="1" applyBorder="1"/>
    <xf numFmtId="173" fontId="25" fillId="0" borderId="15" xfId="2602" applyNumberFormat="1" applyFont="1" applyBorder="1"/>
    <xf numFmtId="173" fontId="25" fillId="0" borderId="4" xfId="2602" applyNumberFormat="1" applyFont="1" applyBorder="1"/>
    <xf numFmtId="173" fontId="20" fillId="35" borderId="22" xfId="2602" applyNumberFormat="1" applyFont="1" applyFill="1" applyBorder="1"/>
    <xf numFmtId="173" fontId="25" fillId="0" borderId="0" xfId="2611" applyNumberFormat="1" applyFont="1"/>
    <xf numFmtId="173" fontId="25" fillId="33" borderId="0" xfId="2611" applyNumberFormat="1" applyFont="1" applyFill="1"/>
    <xf numFmtId="173" fontId="25" fillId="0" borderId="51" xfId="2602" applyNumberFormat="1" applyFont="1" applyBorder="1"/>
    <xf numFmtId="173" fontId="25" fillId="0" borderId="40" xfId="2602" applyNumberFormat="1" applyFont="1" applyBorder="1"/>
    <xf numFmtId="173" fontId="25" fillId="0" borderId="0" xfId="2612" applyNumberFormat="1" applyFont="1"/>
    <xf numFmtId="173" fontId="20" fillId="0" borderId="16" xfId="2611" applyNumberFormat="1" applyFont="1" applyBorder="1" applyAlignment="1">
      <alignment horizontal="center"/>
    </xf>
    <xf numFmtId="173" fontId="20" fillId="0" borderId="36" xfId="2611" applyNumberFormat="1" applyFont="1" applyBorder="1"/>
    <xf numFmtId="173" fontId="25" fillId="0" borderId="16" xfId="2602" applyNumberFormat="1" applyFont="1" applyBorder="1"/>
    <xf numFmtId="173" fontId="25" fillId="0" borderId="3" xfId="2602" applyNumberFormat="1" applyFont="1" applyBorder="1"/>
    <xf numFmtId="173" fontId="20" fillId="0" borderId="17" xfId="2611" applyNumberFormat="1" applyFont="1" applyBorder="1" applyAlignment="1">
      <alignment horizontal="center"/>
    </xf>
    <xf numFmtId="173" fontId="20" fillId="0" borderId="39" xfId="2611" applyNumberFormat="1" applyFont="1" applyBorder="1"/>
    <xf numFmtId="173" fontId="25" fillId="0" borderId="17" xfId="2602" applyNumberFormat="1" applyFont="1" applyBorder="1"/>
    <xf numFmtId="173" fontId="25" fillId="0" borderId="18" xfId="2602" applyNumberFormat="1" applyFont="1" applyBorder="1"/>
    <xf numFmtId="173" fontId="20" fillId="0" borderId="5" xfId="2611" applyNumberFormat="1" applyFont="1" applyBorder="1"/>
    <xf numFmtId="173" fontId="20" fillId="0" borderId="11" xfId="2611" applyNumberFormat="1" applyFont="1" applyBorder="1" applyAlignment="1">
      <alignment horizontal="center"/>
    </xf>
    <xf numFmtId="173" fontId="20" fillId="0" borderId="11" xfId="2602" applyNumberFormat="1" applyFont="1" applyBorder="1"/>
    <xf numFmtId="173" fontId="20" fillId="35" borderId="11" xfId="2602" applyNumberFormat="1" applyFont="1" applyFill="1" applyBorder="1"/>
    <xf numFmtId="173" fontId="20" fillId="0" borderId="0" xfId="2611" applyNumberFormat="1" applyFont="1"/>
    <xf numFmtId="173" fontId="20" fillId="0" borderId="13" xfId="2602" applyNumberFormat="1" applyFont="1" applyBorder="1"/>
    <xf numFmtId="173" fontId="20" fillId="0" borderId="13" xfId="2612" applyNumberFormat="1" applyFont="1" applyBorder="1"/>
    <xf numFmtId="6" fontId="25" fillId="0" borderId="0" xfId="2611" applyNumberFormat="1" applyFont="1"/>
    <xf numFmtId="165" fontId="25" fillId="0" borderId="0" xfId="2602" applyNumberFormat="1" applyFont="1"/>
    <xf numFmtId="165" fontId="20" fillId="39" borderId="11" xfId="2602" applyNumberFormat="1" applyFont="1" applyFill="1" applyBorder="1"/>
    <xf numFmtId="165" fontId="25" fillId="0" borderId="2" xfId="2602" applyNumberFormat="1" applyFont="1" applyBorder="1"/>
    <xf numFmtId="165" fontId="25" fillId="0" borderId="0" xfId="2611" applyNumberFormat="1" applyFont="1"/>
    <xf numFmtId="0" fontId="25" fillId="37" borderId="0" xfId="2611" applyFont="1" applyFill="1"/>
    <xf numFmtId="0" fontId="20" fillId="37" borderId="0" xfId="2611" applyFont="1" applyFill="1"/>
    <xf numFmtId="165" fontId="25" fillId="37" borderId="0" xfId="2602" applyNumberFormat="1" applyFont="1" applyFill="1"/>
    <xf numFmtId="170" fontId="25" fillId="37" borderId="0" xfId="2612" applyNumberFormat="1" applyFont="1" applyFill="1"/>
    <xf numFmtId="0" fontId="25" fillId="56" borderId="0" xfId="2611" applyFont="1" applyFill="1"/>
    <xf numFmtId="14" fontId="25" fillId="0" borderId="0" xfId="2611" applyNumberFormat="1" applyFont="1"/>
    <xf numFmtId="0" fontId="0" fillId="57" borderId="0" xfId="0" applyFill="1"/>
    <xf numFmtId="0" fontId="0" fillId="57" borderId="0" xfId="0" applyFill="1" applyAlignment="1">
      <alignment vertical="top"/>
    </xf>
    <xf numFmtId="4" fontId="0" fillId="57" borderId="0" xfId="0" applyNumberFormat="1" applyFill="1" applyAlignment="1">
      <alignment vertical="top"/>
    </xf>
    <xf numFmtId="0" fontId="20" fillId="35" borderId="12" xfId="2611" applyFont="1" applyFill="1" applyBorder="1" applyAlignment="1">
      <alignment horizontal="center" vertical="center" wrapText="1"/>
    </xf>
    <xf numFmtId="173" fontId="20" fillId="34" borderId="13" xfId="2602" applyNumberFormat="1" applyFont="1" applyFill="1" applyBorder="1"/>
    <xf numFmtId="173" fontId="20" fillId="34" borderId="3" xfId="2602" applyNumberFormat="1" applyFont="1" applyFill="1" applyBorder="1"/>
    <xf numFmtId="173" fontId="20" fillId="34" borderId="40" xfId="2602" applyNumberFormat="1" applyFont="1" applyFill="1" applyBorder="1"/>
    <xf numFmtId="173" fontId="25" fillId="0" borderId="52" xfId="2612" applyNumberFormat="1" applyFont="1" applyBorder="1"/>
    <xf numFmtId="173" fontId="25" fillId="0" borderId="49" xfId="2612" applyNumberFormat="1" applyFont="1" applyBorder="1"/>
    <xf numFmtId="173" fontId="20" fillId="34" borderId="18" xfId="2602" applyNumberFormat="1" applyFont="1" applyFill="1" applyBorder="1"/>
    <xf numFmtId="173" fontId="25" fillId="0" borderId="46" xfId="2612" applyNumberFormat="1" applyFont="1" applyBorder="1"/>
    <xf numFmtId="0" fontId="25" fillId="34" borderId="0" xfId="0" applyFont="1" applyFill="1" applyAlignment="1">
      <alignment horizontal="center"/>
    </xf>
    <xf numFmtId="173" fontId="20" fillId="0" borderId="5" xfId="2599" applyNumberFormat="1" applyFont="1" applyBorder="1"/>
    <xf numFmtId="0" fontId="49" fillId="36" borderId="0" xfId="0" applyFont="1" applyFill="1"/>
    <xf numFmtId="0" fontId="20" fillId="36" borderId="0" xfId="0" applyFont="1" applyFill="1"/>
    <xf numFmtId="0" fontId="25" fillId="36" borderId="0" xfId="0" applyFont="1" applyFill="1"/>
    <xf numFmtId="165" fontId="25" fillId="33" borderId="0" xfId="2602" applyNumberFormat="1" applyFont="1" applyFill="1"/>
    <xf numFmtId="0" fontId="49" fillId="33" borderId="0" xfId="0" applyFont="1" applyFill="1"/>
    <xf numFmtId="0" fontId="59" fillId="58" borderId="0" xfId="0" applyFont="1" applyFill="1"/>
    <xf numFmtId="0" fontId="60" fillId="58" borderId="0" xfId="0" applyFont="1" applyFill="1"/>
    <xf numFmtId="0" fontId="61" fillId="58" borderId="0" xfId="0" applyFont="1" applyFill="1"/>
    <xf numFmtId="170" fontId="25" fillId="0" borderId="15" xfId="2604" applyNumberFormat="1" applyFont="1" applyBorder="1"/>
    <xf numFmtId="170" fontId="25" fillId="0" borderId="0" xfId="2604" applyNumberFormat="1" applyFont="1"/>
    <xf numFmtId="170" fontId="25" fillId="33" borderId="0" xfId="2604" applyNumberFormat="1" applyFont="1" applyFill="1"/>
    <xf numFmtId="170" fontId="20" fillId="0" borderId="15" xfId="2604" applyNumberFormat="1" applyFont="1" applyBorder="1" applyAlignment="1">
      <alignment horizontal="center"/>
    </xf>
    <xf numFmtId="170" fontId="20" fillId="0" borderId="35" xfId="2604" applyNumberFormat="1" applyFont="1" applyBorder="1"/>
    <xf numFmtId="170" fontId="20" fillId="0" borderId="16" xfId="2604" applyNumberFormat="1" applyFont="1" applyBorder="1" applyAlignment="1">
      <alignment horizontal="center"/>
    </xf>
    <xf numFmtId="170" fontId="20" fillId="0" borderId="36" xfId="2604" applyNumberFormat="1" applyFont="1" applyBorder="1"/>
    <xf numFmtId="170" fontId="20" fillId="0" borderId="17" xfId="2604" applyNumberFormat="1" applyFont="1" applyBorder="1" applyAlignment="1">
      <alignment horizontal="center"/>
    </xf>
    <xf numFmtId="170" fontId="20" fillId="0" borderId="39" xfId="2604" applyNumberFormat="1" applyFont="1" applyBorder="1"/>
    <xf numFmtId="170" fontId="20" fillId="0" borderId="0" xfId="2604" applyNumberFormat="1" applyFont="1"/>
    <xf numFmtId="170" fontId="20" fillId="0" borderId="5" xfId="2604" applyNumberFormat="1" applyFont="1" applyBorder="1"/>
    <xf numFmtId="170" fontId="20" fillId="0" borderId="11" xfId="2604" applyNumberFormat="1" applyFont="1" applyBorder="1" applyAlignment="1">
      <alignment horizontal="center"/>
    </xf>
    <xf numFmtId="0" fontId="59" fillId="37" borderId="0" xfId="0" applyFont="1" applyFill="1"/>
    <xf numFmtId="0" fontId="60" fillId="37" borderId="0" xfId="0" applyFont="1" applyFill="1"/>
    <xf numFmtId="0" fontId="61" fillId="37" borderId="0" xfId="0" applyFont="1" applyFill="1"/>
    <xf numFmtId="41" fontId="0" fillId="37" borderId="0" xfId="2604" applyFont="1" applyFill="1"/>
    <xf numFmtId="0" fontId="0" fillId="37" borderId="0" xfId="0" applyFill="1" applyAlignment="1">
      <alignment horizontal="center"/>
    </xf>
    <xf numFmtId="41" fontId="0" fillId="37" borderId="0" xfId="2601" applyFont="1" applyFill="1"/>
    <xf numFmtId="43" fontId="0" fillId="37" borderId="0" xfId="0" applyNumberFormat="1" applyFill="1"/>
    <xf numFmtId="41" fontId="41" fillId="0" borderId="0" xfId="2601" applyFont="1" applyFill="1" applyBorder="1" applyAlignment="1">
      <alignment horizontal="center"/>
    </xf>
    <xf numFmtId="171" fontId="0" fillId="0" borderId="0" xfId="2601" applyNumberFormat="1" applyFont="1" applyFill="1" applyBorder="1"/>
    <xf numFmtId="171" fontId="0" fillId="0" borderId="0" xfId="2601" applyNumberFormat="1" applyFont="1" applyFill="1"/>
    <xf numFmtId="171" fontId="22" fillId="0" borderId="0" xfId="2601" applyNumberFormat="1" applyFont="1" applyFill="1" applyBorder="1"/>
    <xf numFmtId="41" fontId="41" fillId="34" borderId="45" xfId="2601" applyFont="1" applyFill="1" applyBorder="1" applyAlignment="1">
      <alignment horizontal="center"/>
    </xf>
    <xf numFmtId="0" fontId="19" fillId="0" borderId="0" xfId="0" applyFont="1" applyAlignment="1">
      <alignment horizontal="center"/>
    </xf>
    <xf numFmtId="41" fontId="41" fillId="38" borderId="33" xfId="2601" applyFont="1" applyFill="1" applyBorder="1" applyAlignment="1">
      <alignment horizontal="center"/>
    </xf>
    <xf numFmtId="0" fontId="0" fillId="0" borderId="3" xfId="0" applyBorder="1"/>
    <xf numFmtId="0" fontId="22" fillId="0" borderId="19" xfId="0" applyFont="1" applyBorder="1"/>
    <xf numFmtId="0" fontId="22" fillId="0" borderId="45" xfId="0" applyFont="1" applyBorder="1"/>
    <xf numFmtId="41" fontId="41" fillId="38" borderId="19" xfId="2601" applyFont="1" applyFill="1" applyBorder="1" applyAlignment="1">
      <alignment horizontal="center"/>
    </xf>
    <xf numFmtId="41" fontId="41" fillId="38" borderId="11" xfId="2601" applyFont="1" applyFill="1" applyBorder="1" applyAlignment="1">
      <alignment horizontal="center"/>
    </xf>
    <xf numFmtId="0" fontId="0" fillId="0" borderId="72" xfId="0" applyBorder="1" applyAlignment="1">
      <alignment horizontal="center"/>
    </xf>
    <xf numFmtId="0" fontId="0" fillId="0" borderId="55" xfId="0" applyBorder="1" applyAlignment="1">
      <alignment horizontal="center"/>
    </xf>
    <xf numFmtId="0" fontId="0" fillId="0" borderId="68" xfId="0" applyBorder="1" applyAlignment="1">
      <alignment horizontal="center"/>
    </xf>
    <xf numFmtId="171" fontId="0" fillId="0" borderId="54" xfId="2601" applyNumberFormat="1" applyFont="1" applyBorder="1"/>
    <xf numFmtId="0" fontId="0" fillId="0" borderId="40" xfId="0" applyBorder="1"/>
    <xf numFmtId="171" fontId="0" fillId="0" borderId="52" xfId="2601" applyNumberFormat="1" applyFont="1" applyBorder="1"/>
    <xf numFmtId="171" fontId="0" fillId="0" borderId="55" xfId="2601" applyNumberFormat="1" applyFont="1" applyBorder="1"/>
    <xf numFmtId="171" fontId="0" fillId="0" borderId="68" xfId="2601" applyNumberFormat="1" applyFont="1" applyBorder="1"/>
    <xf numFmtId="0" fontId="0" fillId="0" borderId="18" xfId="0" applyBorder="1"/>
    <xf numFmtId="0" fontId="55" fillId="37" borderId="0" xfId="0" applyFont="1" applyFill="1"/>
    <xf numFmtId="17" fontId="41" fillId="0" borderId="3" xfId="0" applyNumberFormat="1" applyFont="1" applyBorder="1" applyAlignment="1">
      <alignment horizontal="center" vertical="center" wrapText="1"/>
    </xf>
    <xf numFmtId="174" fontId="25" fillId="0" borderId="21" xfId="2601" applyNumberFormat="1" applyFont="1" applyBorder="1"/>
    <xf numFmtId="174" fontId="25" fillId="0" borderId="22" xfId="2601" applyNumberFormat="1" applyFont="1" applyBorder="1"/>
    <xf numFmtId="174" fontId="25" fillId="0" borderId="23" xfId="2601" applyNumberFormat="1" applyFont="1" applyBorder="1"/>
    <xf numFmtId="174" fontId="20" fillId="0" borderId="13" xfId="2601" applyNumberFormat="1" applyFont="1" applyBorder="1"/>
    <xf numFmtId="176" fontId="25" fillId="0" borderId="0" xfId="0" applyNumberFormat="1" applyFont="1"/>
    <xf numFmtId="0" fontId="41" fillId="34" borderId="0" xfId="2601" applyNumberFormat="1" applyFont="1" applyFill="1" applyBorder="1" applyAlignment="1">
      <alignment horizontal="center"/>
    </xf>
    <xf numFmtId="41" fontId="0" fillId="55" borderId="18" xfId="2601" applyFont="1" applyFill="1" applyBorder="1"/>
    <xf numFmtId="41" fontId="41" fillId="55" borderId="51" xfId="2601" applyFont="1" applyFill="1" applyBorder="1" applyAlignment="1">
      <alignment horizontal="left"/>
    </xf>
    <xf numFmtId="41" fontId="0" fillId="55" borderId="57" xfId="2601" applyFont="1" applyFill="1" applyBorder="1"/>
    <xf numFmtId="41" fontId="41" fillId="55" borderId="16" xfId="2601" applyFont="1" applyFill="1" applyBorder="1" applyAlignment="1">
      <alignment horizontal="left"/>
    </xf>
    <xf numFmtId="41" fontId="0" fillId="55" borderId="4" xfId="2601" applyFont="1" applyFill="1" applyBorder="1"/>
    <xf numFmtId="41" fontId="41" fillId="54" borderId="16" xfId="2601" applyFont="1" applyFill="1" applyBorder="1" applyAlignment="1">
      <alignment horizontal="left"/>
    </xf>
    <xf numFmtId="41" fontId="0" fillId="54" borderId="58" xfId="2601" applyFont="1" applyFill="1" applyBorder="1"/>
    <xf numFmtId="41" fontId="0" fillId="54" borderId="4" xfId="2601" applyFont="1" applyFill="1" applyBorder="1"/>
    <xf numFmtId="41" fontId="41" fillId="0" borderId="16" xfId="2601" applyFont="1" applyFill="1" applyBorder="1" applyAlignment="1">
      <alignment horizontal="left"/>
    </xf>
    <xf numFmtId="41" fontId="0" fillId="0" borderId="3" xfId="2601" applyFont="1" applyFill="1" applyBorder="1"/>
    <xf numFmtId="41" fontId="41" fillId="55" borderId="17" xfId="2601" applyFont="1" applyFill="1" applyBorder="1" applyAlignment="1">
      <alignment horizontal="left"/>
    </xf>
    <xf numFmtId="175" fontId="25" fillId="0" borderId="0" xfId="2599" applyNumberFormat="1" applyFont="1"/>
    <xf numFmtId="165" fontId="25" fillId="0" borderId="0" xfId="2602" applyNumberFormat="1" applyFont="1" applyFill="1"/>
    <xf numFmtId="0" fontId="20" fillId="0" borderId="73" xfId="0" applyFont="1" applyBorder="1" applyAlignment="1">
      <alignment horizontal="center" vertical="center" wrapText="1"/>
    </xf>
    <xf numFmtId="0" fontId="20" fillId="0" borderId="67" xfId="0" applyFont="1" applyBorder="1" applyAlignment="1">
      <alignment horizontal="center" vertical="center" wrapText="1"/>
    </xf>
    <xf numFmtId="170" fontId="25" fillId="0" borderId="51" xfId="2604" applyNumberFormat="1" applyFont="1" applyBorder="1"/>
    <xf numFmtId="170" fontId="25" fillId="0" borderId="74" xfId="2604" applyNumberFormat="1" applyFont="1" applyBorder="1"/>
    <xf numFmtId="0" fontId="20" fillId="0" borderId="1" xfId="0" applyFont="1" applyBorder="1" applyAlignment="1">
      <alignment horizontal="center" vertical="center" wrapText="1"/>
    </xf>
    <xf numFmtId="0" fontId="20" fillId="0" borderId="2" xfId="0" applyFont="1" applyBorder="1"/>
    <xf numFmtId="172" fontId="20" fillId="0" borderId="2" xfId="0" applyNumberFormat="1" applyFont="1" applyBorder="1" applyAlignment="1">
      <alignment horizontal="right"/>
    </xf>
    <xf numFmtId="14" fontId="20" fillId="0" borderId="2" xfId="0" applyNumberFormat="1" applyFont="1" applyBorder="1"/>
    <xf numFmtId="0" fontId="20" fillId="0" borderId="10" xfId="0" applyFont="1" applyBorder="1"/>
    <xf numFmtId="14" fontId="20" fillId="0" borderId="10" xfId="0" applyNumberFormat="1" applyFont="1" applyBorder="1"/>
    <xf numFmtId="0" fontId="62" fillId="0" borderId="33" xfId="0" applyFont="1" applyBorder="1" applyAlignment="1">
      <alignment horizontal="center" vertical="center" wrapText="1"/>
    </xf>
    <xf numFmtId="0" fontId="22" fillId="0" borderId="75" xfId="0" applyFont="1" applyBorder="1" applyAlignment="1">
      <alignment horizontal="center"/>
    </xf>
    <xf numFmtId="0" fontId="22" fillId="0" borderId="76" xfId="0" applyFont="1" applyBorder="1" applyAlignment="1">
      <alignment horizontal="center"/>
    </xf>
    <xf numFmtId="0" fontId="22" fillId="0" borderId="77" xfId="0" applyFont="1" applyBorder="1" applyAlignment="1">
      <alignment horizontal="center"/>
    </xf>
    <xf numFmtId="9" fontId="62" fillId="0" borderId="5" xfId="0" applyNumberFormat="1" applyFont="1" applyBorder="1" applyAlignment="1">
      <alignment horizontal="center"/>
    </xf>
    <xf numFmtId="9" fontId="62" fillId="0" borderId="11" xfId="0" applyNumberFormat="1" applyFont="1" applyBorder="1" applyAlignment="1">
      <alignment horizontal="center"/>
    </xf>
    <xf numFmtId="4" fontId="19" fillId="39" borderId="0" xfId="0" applyNumberFormat="1" applyFont="1" applyFill="1" applyAlignment="1">
      <alignment vertical="top"/>
    </xf>
    <xf numFmtId="173" fontId="20" fillId="0" borderId="5" xfId="0" applyNumberFormat="1" applyFont="1" applyBorder="1" applyAlignment="1">
      <alignment horizontal="center"/>
    </xf>
    <xf numFmtId="173" fontId="20" fillId="0" borderId="10" xfId="2599" applyNumberFormat="1" applyFont="1" applyBorder="1"/>
    <xf numFmtId="173" fontId="25" fillId="0" borderId="47" xfId="2601" applyNumberFormat="1" applyFont="1" applyBorder="1"/>
    <xf numFmtId="173" fontId="25" fillId="0" borderId="76" xfId="2601" applyNumberFormat="1" applyFont="1" applyBorder="1"/>
    <xf numFmtId="173" fontId="25" fillId="0" borderId="71" xfId="2601" applyNumberFormat="1" applyFont="1" applyBorder="1"/>
    <xf numFmtId="173" fontId="25" fillId="0" borderId="13" xfId="2599" applyNumberFormat="1" applyFont="1" applyBorder="1"/>
    <xf numFmtId="0" fontId="20" fillId="34" borderId="14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173" fontId="25" fillId="0" borderId="66" xfId="2601" applyNumberFormat="1" applyFont="1" applyBorder="1"/>
    <xf numFmtId="173" fontId="20" fillId="38" borderId="23" xfId="2599" applyNumberFormat="1" applyFont="1" applyFill="1" applyBorder="1"/>
    <xf numFmtId="0" fontId="0" fillId="0" borderId="21" xfId="0" applyBorder="1"/>
    <xf numFmtId="0" fontId="0" fillId="0" borderId="22" xfId="0" applyBorder="1"/>
    <xf numFmtId="0" fontId="0" fillId="0" borderId="23" xfId="0" applyBorder="1"/>
    <xf numFmtId="0" fontId="20" fillId="34" borderId="57" xfId="0" applyFont="1" applyFill="1" applyBorder="1" applyAlignment="1">
      <alignment horizontal="center" vertical="center" wrapText="1"/>
    </xf>
    <xf numFmtId="0" fontId="62" fillId="0" borderId="5" xfId="0" applyFont="1" applyBorder="1" applyAlignment="1">
      <alignment horizontal="center" vertical="center"/>
    </xf>
    <xf numFmtId="0" fontId="62" fillId="0" borderId="11" xfId="0" applyFont="1" applyBorder="1" applyAlignment="1">
      <alignment horizontal="center" vertical="center"/>
    </xf>
    <xf numFmtId="0" fontId="62" fillId="0" borderId="53" xfId="0" applyFont="1" applyBorder="1" applyAlignment="1">
      <alignment horizontal="center" vertical="center"/>
    </xf>
    <xf numFmtId="17" fontId="62" fillId="59" borderId="5" xfId="0" applyNumberFormat="1" applyFont="1" applyFill="1" applyBorder="1" applyAlignment="1">
      <alignment horizontal="center" vertical="center" wrapText="1"/>
    </xf>
    <xf numFmtId="17" fontId="62" fillId="59" borderId="11" xfId="0" applyNumberFormat="1" applyFont="1" applyFill="1" applyBorder="1" applyAlignment="1">
      <alignment horizontal="center" vertical="center" wrapText="1"/>
    </xf>
    <xf numFmtId="17" fontId="62" fillId="0" borderId="11" xfId="0" applyNumberFormat="1" applyFont="1" applyBorder="1" applyAlignment="1">
      <alignment horizontal="center" vertical="center" wrapText="1"/>
    </xf>
    <xf numFmtId="17" fontId="62" fillId="0" borderId="53" xfId="0" applyNumberFormat="1" applyFont="1" applyBorder="1" applyAlignment="1">
      <alignment horizontal="center" vertical="center" wrapText="1"/>
    </xf>
    <xf numFmtId="41" fontId="25" fillId="0" borderId="0" xfId="2601" applyFont="1"/>
    <xf numFmtId="177" fontId="25" fillId="0" borderId="0" xfId="0" applyNumberFormat="1" applyFont="1"/>
    <xf numFmtId="3" fontId="63" fillId="0" borderId="3" xfId="2614" applyNumberFormat="1" applyBorder="1" applyAlignment="1">
      <alignment vertical="top"/>
    </xf>
    <xf numFmtId="43" fontId="25" fillId="0" borderId="0" xfId="2615" applyFont="1"/>
    <xf numFmtId="171" fontId="0" fillId="0" borderId="4" xfId="2604" applyNumberFormat="1" applyFont="1" applyBorder="1" applyAlignment="1">
      <alignment vertical="top"/>
    </xf>
    <xf numFmtId="171" fontId="0" fillId="0" borderId="49" xfId="2604" applyNumberFormat="1" applyFont="1" applyBorder="1"/>
    <xf numFmtId="171" fontId="0" fillId="0" borderId="49" xfId="2604" applyNumberFormat="1" applyFont="1" applyFill="1" applyBorder="1"/>
    <xf numFmtId="171" fontId="0" fillId="0" borderId="46" xfId="2604" applyNumberFormat="1" applyFont="1" applyBorder="1"/>
    <xf numFmtId="178" fontId="0" fillId="34" borderId="0" xfId="2601" applyNumberFormat="1" applyFont="1" applyFill="1"/>
    <xf numFmtId="179" fontId="25" fillId="0" borderId="0" xfId="0" applyNumberFormat="1" applyFont="1"/>
    <xf numFmtId="0" fontId="20" fillId="0" borderId="0" xfId="0" applyFont="1" applyAlignment="1">
      <alignment horizontal="right"/>
    </xf>
    <xf numFmtId="0" fontId="25" fillId="0" borderId="7" xfId="0" applyFont="1" applyBorder="1"/>
    <xf numFmtId="0" fontId="20" fillId="0" borderId="2" xfId="0" applyFont="1" applyBorder="1" applyAlignment="1">
      <alignment horizontal="right"/>
    </xf>
    <xf numFmtId="165" fontId="0" fillId="0" borderId="0" xfId="2615" applyNumberFormat="1" applyFont="1"/>
    <xf numFmtId="171" fontId="0" fillId="0" borderId="3" xfId="2604" applyNumberFormat="1" applyFont="1" applyFill="1" applyBorder="1" applyAlignment="1">
      <alignment vertical="top"/>
    </xf>
    <xf numFmtId="171" fontId="0" fillId="0" borderId="42" xfId="2604" applyNumberFormat="1" applyFont="1" applyFill="1" applyBorder="1" applyAlignment="1">
      <alignment vertical="top"/>
    </xf>
    <xf numFmtId="173" fontId="25" fillId="0" borderId="75" xfId="2599" applyNumberFormat="1" applyFont="1" applyBorder="1"/>
    <xf numFmtId="173" fontId="25" fillId="0" borderId="80" xfId="2599" applyNumberFormat="1" applyFont="1" applyBorder="1"/>
    <xf numFmtId="0" fontId="20" fillId="0" borderId="5" xfId="0" applyFont="1" applyBorder="1" applyAlignment="1">
      <alignment horizontal="center" vertical="center" wrapText="1"/>
    </xf>
    <xf numFmtId="173" fontId="20" fillId="0" borderId="53" xfId="2599" applyNumberFormat="1" applyFont="1" applyBorder="1"/>
    <xf numFmtId="173" fontId="25" fillId="0" borderId="10" xfId="2599" applyNumberFormat="1" applyFont="1" applyBorder="1"/>
    <xf numFmtId="0" fontId="65" fillId="0" borderId="0" xfId="2617"/>
    <xf numFmtId="49" fontId="65" fillId="0" borderId="3" xfId="2617" applyNumberFormat="1" applyBorder="1"/>
    <xf numFmtId="180" fontId="65" fillId="0" borderId="0" xfId="2617" applyNumberFormat="1"/>
    <xf numFmtId="171" fontId="0" fillId="0" borderId="41" xfId="2601" applyNumberFormat="1" applyFont="1" applyBorder="1" applyAlignment="1">
      <alignment horizontal="right"/>
    </xf>
    <xf numFmtId="171" fontId="0" fillId="0" borderId="49" xfId="2601" applyNumberFormat="1" applyFont="1" applyBorder="1" applyAlignment="1">
      <alignment horizontal="right"/>
    </xf>
    <xf numFmtId="171" fontId="0" fillId="0" borderId="46" xfId="2601" applyNumberFormat="1" applyFont="1" applyBorder="1" applyAlignment="1">
      <alignment horizontal="right"/>
    </xf>
    <xf numFmtId="41" fontId="0" fillId="0" borderId="0" xfId="2601" applyFont="1" applyAlignment="1">
      <alignment horizontal="right"/>
    </xf>
    <xf numFmtId="181" fontId="0" fillId="0" borderId="0" xfId="0" applyNumberFormat="1"/>
    <xf numFmtId="181" fontId="22" fillId="0" borderId="0" xfId="0" applyNumberFormat="1" applyFont="1"/>
    <xf numFmtId="181" fontId="0" fillId="0" borderId="0" xfId="0" applyNumberFormat="1" applyAlignment="1">
      <alignment vertical="top"/>
    </xf>
    <xf numFmtId="181" fontId="19" fillId="36" borderId="0" xfId="0" applyNumberFormat="1" applyFont="1" applyFill="1" applyAlignment="1">
      <alignment vertical="top"/>
    </xf>
    <xf numFmtId="181" fontId="19" fillId="0" borderId="0" xfId="0" applyNumberFormat="1" applyFont="1" applyAlignment="1">
      <alignment vertical="top"/>
    </xf>
    <xf numFmtId="181" fontId="0" fillId="55" borderId="0" xfId="0" applyNumberFormat="1" applyFill="1"/>
    <xf numFmtId="181" fontId="0" fillId="55" borderId="0" xfId="0" applyNumberFormat="1" applyFill="1" applyAlignment="1">
      <alignment vertical="top"/>
    </xf>
    <xf numFmtId="181" fontId="0" fillId="54" borderId="0" xfId="0" applyNumberFormat="1" applyFill="1"/>
    <xf numFmtId="181" fontId="0" fillId="54" borderId="0" xfId="0" applyNumberFormat="1" applyFill="1" applyAlignment="1">
      <alignment vertical="top"/>
    </xf>
    <xf numFmtId="181" fontId="0" fillId="38" borderId="0" xfId="0" applyNumberFormat="1" applyFill="1"/>
    <xf numFmtId="181" fontId="0" fillId="38" borderId="0" xfId="0" applyNumberFormat="1" applyFill="1" applyAlignment="1">
      <alignment vertical="top"/>
    </xf>
    <xf numFmtId="181" fontId="19" fillId="38" borderId="0" xfId="0" applyNumberFormat="1" applyFont="1" applyFill="1" applyAlignment="1">
      <alignment vertical="top"/>
    </xf>
    <xf numFmtId="181" fontId="0" fillId="33" borderId="0" xfId="0" applyNumberFormat="1" applyFill="1" applyAlignment="1">
      <alignment vertical="top"/>
    </xf>
    <xf numFmtId="181" fontId="19" fillId="33" borderId="0" xfId="0" applyNumberFormat="1" applyFont="1" applyFill="1" applyAlignment="1">
      <alignment vertical="top"/>
    </xf>
    <xf numFmtId="181" fontId="0" fillId="41" borderId="0" xfId="0" applyNumberFormat="1" applyFill="1" applyAlignment="1">
      <alignment vertical="top"/>
    </xf>
    <xf numFmtId="181" fontId="0" fillId="41" borderId="0" xfId="0" applyNumberFormat="1" applyFill="1"/>
    <xf numFmtId="181" fontId="0" fillId="46" borderId="0" xfId="0" applyNumberFormat="1" applyFill="1" applyAlignment="1">
      <alignment vertical="top"/>
    </xf>
    <xf numFmtId="181" fontId="0" fillId="39" borderId="0" xfId="0" applyNumberFormat="1" applyFill="1" applyAlignment="1">
      <alignment vertical="top"/>
    </xf>
    <xf numFmtId="181" fontId="0" fillId="48" borderId="0" xfId="0" applyNumberFormat="1" applyFill="1" applyAlignment="1">
      <alignment vertical="top"/>
    </xf>
    <xf numFmtId="181" fontId="0" fillId="37" borderId="0" xfId="0" applyNumberFormat="1" applyFill="1"/>
    <xf numFmtId="181" fontId="19" fillId="54" borderId="0" xfId="0" applyNumberFormat="1" applyFont="1" applyFill="1" applyAlignment="1">
      <alignment vertical="top"/>
    </xf>
    <xf numFmtId="181" fontId="0" fillId="39" borderId="0" xfId="0" applyNumberFormat="1" applyFill="1"/>
    <xf numFmtId="4" fontId="53" fillId="0" borderId="0" xfId="0" applyNumberFormat="1" applyFont="1"/>
    <xf numFmtId="165" fontId="25" fillId="0" borderId="0" xfId="2599" applyNumberFormat="1" applyFont="1" applyAlignment="1"/>
    <xf numFmtId="165" fontId="25" fillId="0" borderId="0" xfId="2602" applyNumberFormat="1" applyFont="1" applyBorder="1"/>
    <xf numFmtId="49" fontId="0" fillId="0" borderId="3" xfId="0" applyNumberFormat="1" applyBorder="1"/>
    <xf numFmtId="6" fontId="0" fillId="0" borderId="3" xfId="0" applyNumberFormat="1" applyBorder="1" applyAlignment="1">
      <alignment horizontal="center" vertical="center"/>
    </xf>
    <xf numFmtId="182" fontId="0" fillId="0" borderId="0" xfId="0" applyNumberFormat="1"/>
    <xf numFmtId="0" fontId="19" fillId="0" borderId="3" xfId="0" applyFont="1" applyBorder="1" applyAlignment="1">
      <alignment horizontal="center" vertical="center" wrapText="1"/>
    </xf>
    <xf numFmtId="169" fontId="22" fillId="0" borderId="0" xfId="0" applyNumberFormat="1" applyFont="1"/>
    <xf numFmtId="0" fontId="20" fillId="0" borderId="3" xfId="0" applyFont="1" applyBorder="1" applyAlignment="1">
      <alignment horizontal="center" vertical="center" wrapText="1"/>
    </xf>
    <xf numFmtId="0" fontId="20" fillId="35" borderId="3" xfId="0" applyFont="1" applyFill="1" applyBorder="1" applyAlignment="1">
      <alignment horizontal="center" vertical="center" wrapText="1"/>
    </xf>
    <xf numFmtId="4" fontId="65" fillId="0" borderId="3" xfId="2617" applyNumberFormat="1" applyBorder="1"/>
    <xf numFmtId="173" fontId="20" fillId="0" borderId="3" xfId="0" applyNumberFormat="1" applyFont="1" applyBorder="1" applyAlignment="1">
      <alignment horizontal="center"/>
    </xf>
    <xf numFmtId="4" fontId="66" fillId="0" borderId="3" xfId="2617" quotePrefix="1" applyNumberFormat="1" applyFont="1" applyBorder="1"/>
    <xf numFmtId="4" fontId="65" fillId="0" borderId="3" xfId="2617" quotePrefix="1" applyNumberFormat="1" applyBorder="1"/>
    <xf numFmtId="4" fontId="65" fillId="0" borderId="0" xfId="2617" applyNumberFormat="1"/>
    <xf numFmtId="6" fontId="65" fillId="0" borderId="0" xfId="2617" applyNumberFormat="1"/>
    <xf numFmtId="4" fontId="66" fillId="0" borderId="3" xfId="2617" applyNumberFormat="1" applyFont="1" applyBorder="1"/>
    <xf numFmtId="0" fontId="66" fillId="0" borderId="0" xfId="2617" applyFont="1"/>
    <xf numFmtId="0" fontId="0" fillId="38" borderId="0" xfId="0" applyFill="1"/>
    <xf numFmtId="0" fontId="0" fillId="38" borderId="0" xfId="0" applyFill="1" applyAlignment="1">
      <alignment vertical="top"/>
    </xf>
    <xf numFmtId="4" fontId="0" fillId="38" borderId="0" xfId="0" applyNumberFormat="1" applyFill="1" applyAlignment="1">
      <alignment vertical="top"/>
    </xf>
    <xf numFmtId="165" fontId="25" fillId="0" borderId="0" xfId="2615" applyNumberFormat="1" applyFont="1"/>
    <xf numFmtId="183" fontId="65" fillId="0" borderId="3" xfId="2617" applyNumberFormat="1" applyBorder="1"/>
    <xf numFmtId="49" fontId="67" fillId="0" borderId="3" xfId="0" applyNumberFormat="1" applyFont="1" applyBorder="1" applyAlignment="1">
      <alignment horizontal="center" vertical="center"/>
    </xf>
    <xf numFmtId="49" fontId="67" fillId="60" borderId="3" xfId="0" applyNumberFormat="1" applyFont="1" applyFill="1" applyBorder="1" applyAlignment="1">
      <alignment horizontal="center" vertical="center" wrapText="1"/>
    </xf>
    <xf numFmtId="180" fontId="0" fillId="0" borderId="0" xfId="0" applyNumberFormat="1"/>
    <xf numFmtId="184" fontId="65" fillId="0" borderId="3" xfId="2617" applyNumberFormat="1" applyBorder="1"/>
    <xf numFmtId="0" fontId="68" fillId="0" borderId="0" xfId="0" applyFont="1" applyAlignment="1">
      <alignment wrapText="1"/>
    </xf>
    <xf numFmtId="171" fontId="55" fillId="0" borderId="0" xfId="2604" applyNumberFormat="1" applyFont="1"/>
    <xf numFmtId="171" fontId="62" fillId="0" borderId="12" xfId="2604" applyNumberFormat="1" applyFont="1" applyBorder="1" applyAlignment="1">
      <alignment horizontal="center" vertical="center" wrapText="1"/>
    </xf>
    <xf numFmtId="170" fontId="55" fillId="34" borderId="3" xfId="2604" applyNumberFormat="1" applyFont="1" applyFill="1" applyBorder="1"/>
    <xf numFmtId="9" fontId="55" fillId="0" borderId="54" xfId="2603" applyFont="1" applyBorder="1" applyAlignment="1">
      <alignment horizontal="center"/>
    </xf>
    <xf numFmtId="41" fontId="55" fillId="59" borderId="72" xfId="2604" applyFont="1" applyFill="1" applyBorder="1"/>
    <xf numFmtId="41" fontId="55" fillId="59" borderId="43" xfId="2604" applyFont="1" applyFill="1" applyBorder="1"/>
    <xf numFmtId="41" fontId="55" fillId="0" borderId="43" xfId="2604" applyFont="1" applyFill="1" applyBorder="1"/>
    <xf numFmtId="41" fontId="55" fillId="0" borderId="48" xfId="2604" applyFont="1" applyFill="1" applyBorder="1"/>
    <xf numFmtId="9" fontId="55" fillId="0" borderId="55" xfId="2603" applyFont="1" applyBorder="1" applyAlignment="1">
      <alignment horizontal="center"/>
    </xf>
    <xf numFmtId="41" fontId="55" fillId="59" borderId="55" xfId="2604" applyFont="1" applyFill="1" applyBorder="1"/>
    <xf numFmtId="41" fontId="55" fillId="59" borderId="22" xfId="2604" applyFont="1" applyFill="1" applyBorder="1"/>
    <xf numFmtId="41" fontId="55" fillId="0" borderId="22" xfId="2604" applyFont="1" applyFill="1" applyBorder="1"/>
    <xf numFmtId="9" fontId="55" fillId="0" borderId="68" xfId="2603" applyFont="1" applyBorder="1" applyAlignment="1">
      <alignment horizontal="center"/>
    </xf>
    <xf numFmtId="41" fontId="55" fillId="59" borderId="78" xfId="2604" applyFont="1" applyFill="1" applyBorder="1"/>
    <xf numFmtId="41" fontId="55" fillId="59" borderId="23" xfId="2604" applyFont="1" applyFill="1" applyBorder="1"/>
    <xf numFmtId="41" fontId="55" fillId="0" borderId="23" xfId="2604" applyFont="1" applyFill="1" applyBorder="1"/>
    <xf numFmtId="41" fontId="55" fillId="0" borderId="79" xfId="2604" applyFont="1" applyFill="1" applyBorder="1"/>
    <xf numFmtId="170" fontId="62" fillId="36" borderId="11" xfId="2604" applyNumberFormat="1" applyFont="1" applyFill="1" applyBorder="1"/>
    <xf numFmtId="41" fontId="62" fillId="59" borderId="11" xfId="2604" applyFont="1" applyFill="1" applyBorder="1"/>
    <xf numFmtId="41" fontId="62" fillId="0" borderId="11" xfId="2604" applyFont="1" applyFill="1" applyBorder="1"/>
    <xf numFmtId="9" fontId="55" fillId="0" borderId="21" xfId="2603" applyFont="1" applyBorder="1" applyAlignment="1">
      <alignment horizontal="center"/>
    </xf>
    <xf numFmtId="9" fontId="55" fillId="0" borderId="22" xfId="2603" applyFont="1" applyBorder="1" applyAlignment="1">
      <alignment horizontal="center"/>
    </xf>
    <xf numFmtId="9" fontId="55" fillId="0" borderId="23" xfId="2603" applyFont="1" applyBorder="1" applyAlignment="1">
      <alignment horizontal="center"/>
    </xf>
    <xf numFmtId="41" fontId="55" fillId="36" borderId="41" xfId="2604" applyFont="1" applyFill="1" applyBorder="1"/>
    <xf numFmtId="41" fontId="55" fillId="36" borderId="49" xfId="2604" applyFont="1" applyFill="1" applyBorder="1"/>
    <xf numFmtId="41" fontId="19" fillId="0" borderId="3" xfId="2604" applyFont="1" applyBorder="1"/>
    <xf numFmtId="41" fontId="55" fillId="36" borderId="46" xfId="2604" applyFont="1" applyFill="1" applyBorder="1"/>
    <xf numFmtId="41" fontId="19" fillId="0" borderId="3" xfId="2604" applyFont="1" applyFill="1" applyBorder="1"/>
    <xf numFmtId="41" fontId="62" fillId="36" borderId="11" xfId="2604" applyFont="1" applyFill="1" applyBorder="1"/>
    <xf numFmtId="41" fontId="22" fillId="0" borderId="3" xfId="2604" applyFont="1" applyBorder="1"/>
    <xf numFmtId="165" fontId="0" fillId="0" borderId="0" xfId="2598" applyNumberFormat="1" applyFont="1"/>
    <xf numFmtId="41" fontId="0" fillId="34" borderId="3" xfId="0" applyNumberFormat="1" applyFill="1" applyBorder="1"/>
    <xf numFmtId="181" fontId="0" fillId="47" borderId="0" xfId="0" applyNumberFormat="1" applyFill="1"/>
    <xf numFmtId="181" fontId="0" fillId="47" borderId="0" xfId="0" applyNumberFormat="1" applyFill="1" applyAlignment="1">
      <alignment vertical="top"/>
    </xf>
    <xf numFmtId="181" fontId="19" fillId="47" borderId="0" xfId="0" applyNumberFormat="1" applyFont="1" applyFill="1" applyAlignment="1">
      <alignment vertical="top"/>
    </xf>
    <xf numFmtId="41" fontId="65" fillId="0" borderId="0" xfId="2617" applyNumberFormat="1"/>
    <xf numFmtId="41" fontId="65" fillId="0" borderId="3" xfId="2617" applyNumberFormat="1" applyBorder="1"/>
    <xf numFmtId="8" fontId="65" fillId="0" borderId="0" xfId="2617" applyNumberFormat="1"/>
    <xf numFmtId="185" fontId="65" fillId="0" borderId="0" xfId="0" applyNumberFormat="1" applyFont="1" applyAlignment="1">
      <alignment vertical="center"/>
    </xf>
    <xf numFmtId="0" fontId="22" fillId="36" borderId="0" xfId="0" applyFont="1" applyFill="1"/>
    <xf numFmtId="165" fontId="0" fillId="42" borderId="0" xfId="0" applyNumberFormat="1" applyFill="1"/>
    <xf numFmtId="186" fontId="0" fillId="0" borderId="0" xfId="2598" applyNumberFormat="1" applyFont="1"/>
    <xf numFmtId="186" fontId="0" fillId="0" borderId="0" xfId="0" applyNumberFormat="1"/>
    <xf numFmtId="187" fontId="0" fillId="0" borderId="0" xfId="2598" applyNumberFormat="1" applyFont="1"/>
    <xf numFmtId="165" fontId="0" fillId="42" borderId="0" xfId="2598" applyNumberFormat="1" applyFont="1" applyFill="1"/>
    <xf numFmtId="187" fontId="0" fillId="53" borderId="0" xfId="2598" applyNumberFormat="1" applyFont="1" applyFill="1"/>
    <xf numFmtId="165" fontId="0" fillId="53" borderId="0" xfId="2598" applyNumberFormat="1" applyFont="1" applyFill="1"/>
    <xf numFmtId="0" fontId="20" fillId="34" borderId="3" xfId="0" applyFont="1" applyFill="1" applyBorder="1" applyAlignment="1">
      <alignment horizontal="center" vertical="center" wrapText="1"/>
    </xf>
    <xf numFmtId="4" fontId="19" fillId="54" borderId="0" xfId="0" applyNumberFormat="1" applyFont="1" applyFill="1" applyAlignment="1">
      <alignment vertical="top"/>
    </xf>
    <xf numFmtId="188" fontId="65" fillId="0" borderId="3" xfId="2617" applyNumberFormat="1" applyBorder="1"/>
    <xf numFmtId="189" fontId="65" fillId="0" borderId="3" xfId="2617" applyNumberFormat="1" applyBorder="1"/>
    <xf numFmtId="190" fontId="25" fillId="0" borderId="0" xfId="2599" applyNumberFormat="1" applyFont="1"/>
    <xf numFmtId="181" fontId="19" fillId="46" borderId="0" xfId="0" applyNumberFormat="1" applyFont="1" applyFill="1" applyAlignment="1">
      <alignment vertical="top"/>
    </xf>
    <xf numFmtId="191" fontId="65" fillId="0" borderId="3" xfId="2617" applyNumberFormat="1" applyBorder="1"/>
    <xf numFmtId="192" fontId="0" fillId="0" borderId="3" xfId="0" applyNumberFormat="1" applyBorder="1"/>
    <xf numFmtId="41" fontId="0" fillId="0" borderId="72" xfId="2604" applyFont="1" applyBorder="1"/>
    <xf numFmtId="171" fontId="62" fillId="34" borderId="11" xfId="2601" applyNumberFormat="1" applyFont="1" applyFill="1" applyBorder="1" applyAlignment="1">
      <alignment horizontal="center" vertical="center" wrapText="1"/>
    </xf>
    <xf numFmtId="4" fontId="19" fillId="0" borderId="0" xfId="0" applyNumberFormat="1" applyFont="1" applyAlignment="1">
      <alignment vertical="top" wrapText="1"/>
    </xf>
    <xf numFmtId="4" fontId="19" fillId="33" borderId="0" xfId="0" applyNumberFormat="1" applyFont="1" applyFill="1" applyAlignment="1">
      <alignment vertical="top"/>
    </xf>
    <xf numFmtId="0" fontId="22" fillId="0" borderId="0" xfId="0" applyFont="1" applyAlignment="1">
      <alignment horizontal="center" vertical="center"/>
    </xf>
    <xf numFmtId="181" fontId="0" fillId="53" borderId="0" xfId="0" applyNumberFormat="1" applyFill="1" applyAlignment="1">
      <alignment vertical="top"/>
    </xf>
    <xf numFmtId="181" fontId="0" fillId="0" borderId="0" xfId="0" applyNumberFormat="1" applyAlignment="1">
      <alignment horizontal="center" vertical="center"/>
    </xf>
    <xf numFmtId="181" fontId="22" fillId="0" borderId="0" xfId="0" applyNumberFormat="1" applyFont="1" applyAlignment="1">
      <alignment horizontal="center" vertical="center"/>
    </xf>
    <xf numFmtId="0" fontId="0" fillId="52" borderId="0" xfId="0" applyFill="1"/>
    <xf numFmtId="43" fontId="20" fillId="38" borderId="22" xfId="2599" applyFont="1" applyFill="1" applyBorder="1"/>
    <xf numFmtId="176" fontId="25" fillId="0" borderId="15" xfId="2599" applyNumberFormat="1" applyFont="1" applyBorder="1"/>
    <xf numFmtId="176" fontId="20" fillId="35" borderId="22" xfId="2599" applyNumberFormat="1" applyFont="1" applyFill="1" applyBorder="1"/>
    <xf numFmtId="41" fontId="22" fillId="0" borderId="0" xfId="2604" applyFont="1" applyAlignment="1"/>
    <xf numFmtId="41" fontId="0" fillId="0" borderId="0" xfId="2604" applyFont="1" applyAlignment="1"/>
    <xf numFmtId="0" fontId="0" fillId="34" borderId="0" xfId="0" applyFill="1" applyAlignment="1">
      <alignment horizontal="right"/>
    </xf>
    <xf numFmtId="0" fontId="71" fillId="0" borderId="0" xfId="0" applyFont="1"/>
    <xf numFmtId="0" fontId="0" fillId="53" borderId="3" xfId="0" applyFill="1" applyBorder="1"/>
    <xf numFmtId="0" fontId="0" fillId="61" borderId="3" xfId="0" applyFill="1" applyBorder="1"/>
    <xf numFmtId="41" fontId="0" fillId="61" borderId="3" xfId="2601" applyFont="1" applyFill="1" applyBorder="1"/>
    <xf numFmtId="41" fontId="0" fillId="53" borderId="3" xfId="2601" applyFont="1" applyFill="1" applyBorder="1"/>
    <xf numFmtId="41" fontId="0" fillId="61" borderId="3" xfId="0" applyNumberFormat="1" applyFill="1" applyBorder="1"/>
    <xf numFmtId="41" fontId="0" fillId="53" borderId="3" xfId="0" applyNumberFormat="1" applyFill="1" applyBorder="1"/>
    <xf numFmtId="0" fontId="0" fillId="62" borderId="0" xfId="0" applyFill="1"/>
    <xf numFmtId="41" fontId="0" fillId="0" borderId="63" xfId="2601" applyFont="1" applyBorder="1"/>
    <xf numFmtId="4" fontId="19" fillId="38" borderId="0" xfId="0" applyNumberFormat="1" applyFont="1" applyFill="1" applyAlignment="1">
      <alignment vertical="top"/>
    </xf>
    <xf numFmtId="0" fontId="19" fillId="38" borderId="0" xfId="0" applyFont="1" applyFill="1" applyAlignment="1">
      <alignment vertical="top"/>
    </xf>
    <xf numFmtId="0" fontId="68" fillId="38" borderId="0" xfId="0" applyFont="1" applyFill="1" applyAlignment="1">
      <alignment wrapText="1"/>
    </xf>
    <xf numFmtId="4" fontId="19" fillId="38" borderId="0" xfId="0" applyNumberFormat="1" applyFont="1" applyFill="1" applyAlignment="1">
      <alignment vertical="top" wrapText="1"/>
    </xf>
    <xf numFmtId="0" fontId="0" fillId="51" borderId="0" xfId="0" applyFill="1"/>
    <xf numFmtId="0" fontId="0" fillId="51" borderId="0" xfId="0" applyFill="1" applyAlignment="1">
      <alignment vertical="top"/>
    </xf>
    <xf numFmtId="4" fontId="19" fillId="51" borderId="0" xfId="0" applyNumberFormat="1" applyFont="1" applyFill="1" applyAlignment="1">
      <alignment vertical="top"/>
    </xf>
    <xf numFmtId="4" fontId="0" fillId="51" borderId="0" xfId="0" applyNumberFormat="1" applyFill="1" applyAlignment="1">
      <alignment vertical="top"/>
    </xf>
    <xf numFmtId="181" fontId="0" fillId="33" borderId="0" xfId="0" applyNumberFormat="1" applyFill="1"/>
    <xf numFmtId="41" fontId="19" fillId="51" borderId="0" xfId="2604" applyFont="1" applyFill="1"/>
    <xf numFmtId="4" fontId="19" fillId="57" borderId="0" xfId="0" applyNumberFormat="1" applyFont="1" applyFill="1" applyAlignment="1">
      <alignment vertical="top"/>
    </xf>
    <xf numFmtId="0" fontId="62" fillId="63" borderId="53" xfId="0" applyFont="1" applyFill="1" applyBorder="1" applyAlignment="1">
      <alignment horizontal="center" vertical="center"/>
    </xf>
    <xf numFmtId="41" fontId="0" fillId="0" borderId="11" xfId="2601" applyFont="1" applyBorder="1" applyAlignment="1">
      <alignment horizontal="center"/>
    </xf>
    <xf numFmtId="41" fontId="0" fillId="55" borderId="40" xfId="2601" applyFont="1" applyFill="1" applyBorder="1"/>
    <xf numFmtId="41" fontId="0" fillId="0" borderId="65" xfId="2601" applyFont="1" applyBorder="1"/>
    <xf numFmtId="41" fontId="0" fillId="55" borderId="3" xfId="2601" applyFont="1" applyFill="1" applyBorder="1"/>
    <xf numFmtId="41" fontId="0" fillId="0" borderId="64" xfId="2601" applyFont="1" applyBorder="1"/>
    <xf numFmtId="41" fontId="0" fillId="54" borderId="3" xfId="2601" applyFont="1" applyFill="1" applyBorder="1"/>
    <xf numFmtId="41" fontId="0" fillId="0" borderId="58" xfId="2601" applyFont="1" applyBorder="1"/>
    <xf numFmtId="41" fontId="41" fillId="34" borderId="64" xfId="2601" applyFont="1" applyFill="1" applyBorder="1"/>
    <xf numFmtId="41" fontId="0" fillId="0" borderId="4" xfId="2601" applyFont="1" applyBorder="1"/>
    <xf numFmtId="41" fontId="41" fillId="34" borderId="81" xfId="2601" applyFont="1" applyFill="1" applyBorder="1"/>
    <xf numFmtId="0" fontId="0" fillId="47" borderId="0" xfId="0" applyFill="1"/>
    <xf numFmtId="0" fontId="19" fillId="47" borderId="0" xfId="0" applyFont="1" applyFill="1" applyAlignment="1">
      <alignment vertical="top"/>
    </xf>
    <xf numFmtId="0" fontId="68" fillId="47" borderId="0" xfId="0" applyFont="1" applyFill="1" applyAlignment="1">
      <alignment wrapText="1"/>
    </xf>
    <xf numFmtId="0" fontId="56" fillId="0" borderId="0" xfId="0" applyFont="1" applyAlignment="1">
      <alignment horizontal="center"/>
    </xf>
    <xf numFmtId="0" fontId="0" fillId="0" borderId="0" xfId="0" applyAlignment="1">
      <alignment horizontal="center" vertical="center"/>
    </xf>
    <xf numFmtId="0" fontId="22" fillId="0" borderId="0" xfId="0" applyFont="1" applyAlignment="1">
      <alignment horizontal="center" vertical="center" wrapText="1"/>
    </xf>
    <xf numFmtId="0" fontId="22" fillId="0" borderId="0" xfId="0" applyFont="1" applyAlignment="1">
      <alignment horizontal="center" vertical="center"/>
    </xf>
    <xf numFmtId="0" fontId="22" fillId="34" borderId="0" xfId="0" applyFont="1" applyFill="1" applyAlignment="1">
      <alignment horizontal="center" vertical="center"/>
    </xf>
    <xf numFmtId="181" fontId="22" fillId="0" borderId="0" xfId="0" applyNumberFormat="1" applyFont="1" applyAlignment="1">
      <alignment horizontal="center" vertical="center" wrapText="1"/>
    </xf>
    <xf numFmtId="181" fontId="0" fillId="0" borderId="0" xfId="0" applyNumberFormat="1" applyAlignment="1">
      <alignment horizontal="center" vertical="center"/>
    </xf>
    <xf numFmtId="181" fontId="22" fillId="0" borderId="0" xfId="0" applyNumberFormat="1" applyFont="1" applyAlignment="1">
      <alignment horizontal="center" vertical="center"/>
    </xf>
    <xf numFmtId="181" fontId="22" fillId="34" borderId="0" xfId="0" applyNumberFormat="1" applyFont="1" applyFill="1" applyAlignment="1">
      <alignment horizontal="center" vertical="center"/>
    </xf>
    <xf numFmtId="41" fontId="62" fillId="0" borderId="5" xfId="0" applyNumberFormat="1" applyFont="1" applyBorder="1" applyAlignment="1">
      <alignment horizontal="center"/>
    </xf>
    <xf numFmtId="41" fontId="62" fillId="0" borderId="53" xfId="0" applyNumberFormat="1" applyFont="1" applyBorder="1" applyAlignment="1">
      <alignment horizontal="center"/>
    </xf>
  </cellXfs>
  <cellStyles count="2618">
    <cellStyle name="20% - Énfasis1" xfId="20" builtinId="30" customBuiltin="1"/>
    <cellStyle name="20% - Énfasis1 10" xfId="332" xr:uid="{00000000-0005-0000-0000-000001000000}"/>
    <cellStyle name="20% - Énfasis1 11" xfId="496" xr:uid="{00000000-0005-0000-0000-000002000000}"/>
    <cellStyle name="20% - Énfasis1 12" xfId="543" xr:uid="{00000000-0005-0000-0000-000003000000}"/>
    <cellStyle name="20% - Énfasis1 13" xfId="804" xr:uid="{00000000-0005-0000-0000-000004000000}"/>
    <cellStyle name="20% - Énfasis1 14" xfId="978" xr:uid="{00000000-0005-0000-0000-000005000000}"/>
    <cellStyle name="20% - Énfasis1 15" xfId="1161" xr:uid="{00000000-0005-0000-0000-000006000000}"/>
    <cellStyle name="20% - Énfasis1 16" xfId="1322" xr:uid="{00000000-0005-0000-0000-000007000000}"/>
    <cellStyle name="20% - Énfasis1 17" xfId="1528" xr:uid="{00000000-0005-0000-0000-000008000000}"/>
    <cellStyle name="20% - Énfasis1 18" xfId="1690" xr:uid="{00000000-0005-0000-0000-000009000000}"/>
    <cellStyle name="20% - Énfasis1 19" xfId="1838" xr:uid="{00000000-0005-0000-0000-00000A000000}"/>
    <cellStyle name="20% - Énfasis1 2" xfId="77" xr:uid="{00000000-0005-0000-0000-00000B000000}"/>
    <cellStyle name="20% - Énfasis1 20" xfId="1999" xr:uid="{00000000-0005-0000-0000-00000C000000}"/>
    <cellStyle name="20% - Énfasis1 21" xfId="2147" xr:uid="{00000000-0005-0000-0000-00000D000000}"/>
    <cellStyle name="20% - Énfasis1 22" xfId="2282" xr:uid="{00000000-0005-0000-0000-00000E000000}"/>
    <cellStyle name="20% - Énfasis1 23" xfId="2435" xr:uid="{00000000-0005-0000-0000-00000F000000}"/>
    <cellStyle name="20% - Énfasis1 24" xfId="2584" xr:uid="{00000000-0005-0000-0000-000010000000}"/>
    <cellStyle name="20% - Énfasis1 3" xfId="122" xr:uid="{00000000-0005-0000-0000-000011000000}"/>
    <cellStyle name="20% - Énfasis1 4" xfId="173" xr:uid="{00000000-0005-0000-0000-000012000000}"/>
    <cellStyle name="20% - Énfasis1 5" xfId="208" xr:uid="{00000000-0005-0000-0000-000013000000}"/>
    <cellStyle name="20% - Énfasis1 6" xfId="231" xr:uid="{00000000-0005-0000-0000-000014000000}"/>
    <cellStyle name="20% - Énfasis1 7" xfId="243" xr:uid="{00000000-0005-0000-0000-000015000000}"/>
    <cellStyle name="20% - Énfasis1 8" xfId="283" xr:uid="{00000000-0005-0000-0000-000016000000}"/>
    <cellStyle name="20% - Énfasis1 9" xfId="313" xr:uid="{00000000-0005-0000-0000-000017000000}"/>
    <cellStyle name="20% - Énfasis2" xfId="24" builtinId="34" customBuiltin="1"/>
    <cellStyle name="20% - Énfasis2 10" xfId="333" xr:uid="{00000000-0005-0000-0000-000019000000}"/>
    <cellStyle name="20% - Énfasis2 11" xfId="497" xr:uid="{00000000-0005-0000-0000-00001A000000}"/>
    <cellStyle name="20% - Énfasis2 12" xfId="542" xr:uid="{00000000-0005-0000-0000-00001B000000}"/>
    <cellStyle name="20% - Énfasis2 13" xfId="805" xr:uid="{00000000-0005-0000-0000-00001C000000}"/>
    <cellStyle name="20% - Énfasis2 14" xfId="979" xr:uid="{00000000-0005-0000-0000-00001D000000}"/>
    <cellStyle name="20% - Énfasis2 15" xfId="1160" xr:uid="{00000000-0005-0000-0000-00001E000000}"/>
    <cellStyle name="20% - Énfasis2 16" xfId="1323" xr:uid="{00000000-0005-0000-0000-00001F000000}"/>
    <cellStyle name="20% - Énfasis2 17" xfId="1527" xr:uid="{00000000-0005-0000-0000-000020000000}"/>
    <cellStyle name="20% - Énfasis2 18" xfId="1691" xr:uid="{00000000-0005-0000-0000-000021000000}"/>
    <cellStyle name="20% - Énfasis2 19" xfId="1839" xr:uid="{00000000-0005-0000-0000-000022000000}"/>
    <cellStyle name="20% - Énfasis2 2" xfId="78" xr:uid="{00000000-0005-0000-0000-000023000000}"/>
    <cellStyle name="20% - Énfasis2 20" xfId="1998" xr:uid="{00000000-0005-0000-0000-000024000000}"/>
    <cellStyle name="20% - Énfasis2 21" xfId="2146" xr:uid="{00000000-0005-0000-0000-000025000000}"/>
    <cellStyle name="20% - Énfasis2 22" xfId="2283" xr:uid="{00000000-0005-0000-0000-000026000000}"/>
    <cellStyle name="20% - Énfasis2 23" xfId="2436" xr:uid="{00000000-0005-0000-0000-000027000000}"/>
    <cellStyle name="20% - Énfasis2 24" xfId="2586" xr:uid="{00000000-0005-0000-0000-000028000000}"/>
    <cellStyle name="20% - Énfasis2 3" xfId="121" xr:uid="{00000000-0005-0000-0000-000029000000}"/>
    <cellStyle name="20% - Énfasis2 4" xfId="174" xr:uid="{00000000-0005-0000-0000-00002A000000}"/>
    <cellStyle name="20% - Énfasis2 5" xfId="207" xr:uid="{00000000-0005-0000-0000-00002B000000}"/>
    <cellStyle name="20% - Énfasis2 6" xfId="230" xr:uid="{00000000-0005-0000-0000-00002C000000}"/>
    <cellStyle name="20% - Énfasis2 7" xfId="244" xr:uid="{00000000-0005-0000-0000-00002D000000}"/>
    <cellStyle name="20% - Énfasis2 8" xfId="282" xr:uid="{00000000-0005-0000-0000-00002E000000}"/>
    <cellStyle name="20% - Énfasis2 9" xfId="312" xr:uid="{00000000-0005-0000-0000-00002F000000}"/>
    <cellStyle name="20% - Énfasis3" xfId="28" builtinId="38" customBuiltin="1"/>
    <cellStyle name="20% - Énfasis3 10" xfId="334" xr:uid="{00000000-0005-0000-0000-000031000000}"/>
    <cellStyle name="20% - Énfasis3 11" xfId="498" xr:uid="{00000000-0005-0000-0000-000032000000}"/>
    <cellStyle name="20% - Énfasis3 12" xfId="521" xr:uid="{00000000-0005-0000-0000-000033000000}"/>
    <cellStyle name="20% - Énfasis3 13" xfId="806" xr:uid="{00000000-0005-0000-0000-000034000000}"/>
    <cellStyle name="20% - Énfasis3 14" xfId="980" xr:uid="{00000000-0005-0000-0000-000035000000}"/>
    <cellStyle name="20% - Énfasis3 15" xfId="1159" xr:uid="{00000000-0005-0000-0000-000036000000}"/>
    <cellStyle name="20% - Énfasis3 16" xfId="1324" xr:uid="{00000000-0005-0000-0000-000037000000}"/>
    <cellStyle name="20% - Énfasis3 17" xfId="1526" xr:uid="{00000000-0005-0000-0000-000038000000}"/>
    <cellStyle name="20% - Énfasis3 18" xfId="1692" xr:uid="{00000000-0005-0000-0000-000039000000}"/>
    <cellStyle name="20% - Énfasis3 19" xfId="1840" xr:uid="{00000000-0005-0000-0000-00003A000000}"/>
    <cellStyle name="20% - Énfasis3 2" xfId="79" xr:uid="{00000000-0005-0000-0000-00003B000000}"/>
    <cellStyle name="20% - Énfasis3 20" xfId="1997" xr:uid="{00000000-0005-0000-0000-00003C000000}"/>
    <cellStyle name="20% - Énfasis3 21" xfId="2145" xr:uid="{00000000-0005-0000-0000-00003D000000}"/>
    <cellStyle name="20% - Énfasis3 22" xfId="2284" xr:uid="{00000000-0005-0000-0000-00003E000000}"/>
    <cellStyle name="20% - Énfasis3 23" xfId="2437" xr:uid="{00000000-0005-0000-0000-00003F000000}"/>
    <cellStyle name="20% - Énfasis3 24" xfId="2588" xr:uid="{00000000-0005-0000-0000-000040000000}"/>
    <cellStyle name="20% - Énfasis3 3" xfId="120" xr:uid="{00000000-0005-0000-0000-000041000000}"/>
    <cellStyle name="20% - Énfasis3 4" xfId="175" xr:uid="{00000000-0005-0000-0000-000042000000}"/>
    <cellStyle name="20% - Énfasis3 5" xfId="206" xr:uid="{00000000-0005-0000-0000-000043000000}"/>
    <cellStyle name="20% - Énfasis3 6" xfId="229" xr:uid="{00000000-0005-0000-0000-000044000000}"/>
    <cellStyle name="20% - Énfasis3 7" xfId="245" xr:uid="{00000000-0005-0000-0000-000045000000}"/>
    <cellStyle name="20% - Énfasis3 8" xfId="281" xr:uid="{00000000-0005-0000-0000-000046000000}"/>
    <cellStyle name="20% - Énfasis3 9" xfId="311" xr:uid="{00000000-0005-0000-0000-000047000000}"/>
    <cellStyle name="20% - Énfasis4" xfId="32" builtinId="42" customBuiltin="1"/>
    <cellStyle name="20% - Énfasis4 10" xfId="335" xr:uid="{00000000-0005-0000-0000-000049000000}"/>
    <cellStyle name="20% - Énfasis4 11" xfId="499" xr:uid="{00000000-0005-0000-0000-00004A000000}"/>
    <cellStyle name="20% - Énfasis4 12" xfId="520" xr:uid="{00000000-0005-0000-0000-00004B000000}"/>
    <cellStyle name="20% - Énfasis4 13" xfId="807" xr:uid="{00000000-0005-0000-0000-00004C000000}"/>
    <cellStyle name="20% - Énfasis4 14" xfId="981" xr:uid="{00000000-0005-0000-0000-00004D000000}"/>
    <cellStyle name="20% - Énfasis4 15" xfId="1158" xr:uid="{00000000-0005-0000-0000-00004E000000}"/>
    <cellStyle name="20% - Énfasis4 16" xfId="1325" xr:uid="{00000000-0005-0000-0000-00004F000000}"/>
    <cellStyle name="20% - Énfasis4 17" xfId="1525" xr:uid="{00000000-0005-0000-0000-000050000000}"/>
    <cellStyle name="20% - Énfasis4 18" xfId="1693" xr:uid="{00000000-0005-0000-0000-000051000000}"/>
    <cellStyle name="20% - Énfasis4 19" xfId="1841" xr:uid="{00000000-0005-0000-0000-000052000000}"/>
    <cellStyle name="20% - Énfasis4 2" xfId="80" xr:uid="{00000000-0005-0000-0000-000053000000}"/>
    <cellStyle name="20% - Énfasis4 20" xfId="1996" xr:uid="{00000000-0005-0000-0000-000054000000}"/>
    <cellStyle name="20% - Énfasis4 21" xfId="2144" xr:uid="{00000000-0005-0000-0000-000055000000}"/>
    <cellStyle name="20% - Énfasis4 22" xfId="2285" xr:uid="{00000000-0005-0000-0000-000056000000}"/>
    <cellStyle name="20% - Énfasis4 23" xfId="2438" xr:uid="{00000000-0005-0000-0000-000057000000}"/>
    <cellStyle name="20% - Énfasis4 24" xfId="2590" xr:uid="{00000000-0005-0000-0000-000058000000}"/>
    <cellStyle name="20% - Énfasis4 3" xfId="119" xr:uid="{00000000-0005-0000-0000-000059000000}"/>
    <cellStyle name="20% - Énfasis4 4" xfId="176" xr:uid="{00000000-0005-0000-0000-00005A000000}"/>
    <cellStyle name="20% - Énfasis4 5" xfId="205" xr:uid="{00000000-0005-0000-0000-00005B000000}"/>
    <cellStyle name="20% - Énfasis4 6" xfId="228" xr:uid="{00000000-0005-0000-0000-00005C000000}"/>
    <cellStyle name="20% - Énfasis4 7" xfId="246" xr:uid="{00000000-0005-0000-0000-00005D000000}"/>
    <cellStyle name="20% - Énfasis4 8" xfId="280" xr:uid="{00000000-0005-0000-0000-00005E000000}"/>
    <cellStyle name="20% - Énfasis4 9" xfId="310" xr:uid="{00000000-0005-0000-0000-00005F000000}"/>
    <cellStyle name="20% - Énfasis5" xfId="36" builtinId="46" customBuiltin="1"/>
    <cellStyle name="20% - Énfasis5 10" xfId="336" xr:uid="{00000000-0005-0000-0000-000061000000}"/>
    <cellStyle name="20% - Énfasis5 11" xfId="500" xr:uid="{00000000-0005-0000-0000-000062000000}"/>
    <cellStyle name="20% - Énfasis5 12" xfId="519" xr:uid="{00000000-0005-0000-0000-000063000000}"/>
    <cellStyle name="20% - Énfasis5 13" xfId="808" xr:uid="{00000000-0005-0000-0000-000064000000}"/>
    <cellStyle name="20% - Énfasis5 14" xfId="982" xr:uid="{00000000-0005-0000-0000-000065000000}"/>
    <cellStyle name="20% - Énfasis5 15" xfId="1157" xr:uid="{00000000-0005-0000-0000-000066000000}"/>
    <cellStyle name="20% - Énfasis5 16" xfId="1326" xr:uid="{00000000-0005-0000-0000-000067000000}"/>
    <cellStyle name="20% - Énfasis5 17" xfId="1524" xr:uid="{00000000-0005-0000-0000-000068000000}"/>
    <cellStyle name="20% - Énfasis5 18" xfId="1694" xr:uid="{00000000-0005-0000-0000-000069000000}"/>
    <cellStyle name="20% - Énfasis5 19" xfId="1842" xr:uid="{00000000-0005-0000-0000-00006A000000}"/>
    <cellStyle name="20% - Énfasis5 2" xfId="81" xr:uid="{00000000-0005-0000-0000-00006B000000}"/>
    <cellStyle name="20% - Énfasis5 20" xfId="1995" xr:uid="{00000000-0005-0000-0000-00006C000000}"/>
    <cellStyle name="20% - Énfasis5 21" xfId="2143" xr:uid="{00000000-0005-0000-0000-00006D000000}"/>
    <cellStyle name="20% - Énfasis5 22" xfId="2286" xr:uid="{00000000-0005-0000-0000-00006E000000}"/>
    <cellStyle name="20% - Énfasis5 23" xfId="2439" xr:uid="{00000000-0005-0000-0000-00006F000000}"/>
    <cellStyle name="20% - Énfasis5 24" xfId="2592" xr:uid="{00000000-0005-0000-0000-000070000000}"/>
    <cellStyle name="20% - Énfasis5 3" xfId="118" xr:uid="{00000000-0005-0000-0000-000071000000}"/>
    <cellStyle name="20% - Énfasis5 4" xfId="177" xr:uid="{00000000-0005-0000-0000-000072000000}"/>
    <cellStyle name="20% - Énfasis5 5" xfId="204" xr:uid="{00000000-0005-0000-0000-000073000000}"/>
    <cellStyle name="20% - Énfasis5 6" xfId="227" xr:uid="{00000000-0005-0000-0000-000074000000}"/>
    <cellStyle name="20% - Énfasis5 7" xfId="247" xr:uid="{00000000-0005-0000-0000-000075000000}"/>
    <cellStyle name="20% - Énfasis5 8" xfId="279" xr:uid="{00000000-0005-0000-0000-000076000000}"/>
    <cellStyle name="20% - Énfasis5 9" xfId="309" xr:uid="{00000000-0005-0000-0000-000077000000}"/>
    <cellStyle name="20% - Énfasis6" xfId="40" builtinId="50" customBuiltin="1"/>
    <cellStyle name="20% - Énfasis6 10" xfId="337" xr:uid="{00000000-0005-0000-0000-000079000000}"/>
    <cellStyle name="20% - Énfasis6 11" xfId="501" xr:uid="{00000000-0005-0000-0000-00007A000000}"/>
    <cellStyle name="20% - Énfasis6 12" xfId="516" xr:uid="{00000000-0005-0000-0000-00007B000000}"/>
    <cellStyle name="20% - Énfasis6 13" xfId="809" xr:uid="{00000000-0005-0000-0000-00007C000000}"/>
    <cellStyle name="20% - Énfasis6 14" xfId="983" xr:uid="{00000000-0005-0000-0000-00007D000000}"/>
    <cellStyle name="20% - Énfasis6 15" xfId="1156" xr:uid="{00000000-0005-0000-0000-00007E000000}"/>
    <cellStyle name="20% - Énfasis6 16" xfId="1327" xr:uid="{00000000-0005-0000-0000-00007F000000}"/>
    <cellStyle name="20% - Énfasis6 17" xfId="1398" xr:uid="{00000000-0005-0000-0000-000080000000}"/>
    <cellStyle name="20% - Énfasis6 18" xfId="1695" xr:uid="{00000000-0005-0000-0000-000081000000}"/>
    <cellStyle name="20% - Énfasis6 19" xfId="1843" xr:uid="{00000000-0005-0000-0000-000082000000}"/>
    <cellStyle name="20% - Énfasis6 2" xfId="82" xr:uid="{00000000-0005-0000-0000-000083000000}"/>
    <cellStyle name="20% - Énfasis6 20" xfId="1994" xr:uid="{00000000-0005-0000-0000-000084000000}"/>
    <cellStyle name="20% - Énfasis6 21" xfId="2142" xr:uid="{00000000-0005-0000-0000-000085000000}"/>
    <cellStyle name="20% - Énfasis6 22" xfId="2287" xr:uid="{00000000-0005-0000-0000-000086000000}"/>
    <cellStyle name="20% - Énfasis6 23" xfId="2440" xr:uid="{00000000-0005-0000-0000-000087000000}"/>
    <cellStyle name="20% - Énfasis6 24" xfId="2594" xr:uid="{00000000-0005-0000-0000-000088000000}"/>
    <cellStyle name="20% - Énfasis6 3" xfId="117" xr:uid="{00000000-0005-0000-0000-000089000000}"/>
    <cellStyle name="20% - Énfasis6 4" xfId="178" xr:uid="{00000000-0005-0000-0000-00008A000000}"/>
    <cellStyle name="20% - Énfasis6 5" xfId="203" xr:uid="{00000000-0005-0000-0000-00008B000000}"/>
    <cellStyle name="20% - Énfasis6 6" xfId="226" xr:uid="{00000000-0005-0000-0000-00008C000000}"/>
    <cellStyle name="20% - Énfasis6 7" xfId="248" xr:uid="{00000000-0005-0000-0000-00008D000000}"/>
    <cellStyle name="20% - Énfasis6 8" xfId="262" xr:uid="{00000000-0005-0000-0000-00008E000000}"/>
    <cellStyle name="20% - Énfasis6 9" xfId="308" xr:uid="{00000000-0005-0000-0000-00008F000000}"/>
    <cellStyle name="40% - Énfasis1" xfId="21" builtinId="31" customBuiltin="1"/>
    <cellStyle name="40% - Énfasis1 10" xfId="338" xr:uid="{00000000-0005-0000-0000-000091000000}"/>
    <cellStyle name="40% - Énfasis1 11" xfId="502" xr:uid="{00000000-0005-0000-0000-000092000000}"/>
    <cellStyle name="40% - Énfasis1 12" xfId="513" xr:uid="{00000000-0005-0000-0000-000093000000}"/>
    <cellStyle name="40% - Énfasis1 13" xfId="810" xr:uid="{00000000-0005-0000-0000-000094000000}"/>
    <cellStyle name="40% - Énfasis1 14" xfId="984" xr:uid="{00000000-0005-0000-0000-000095000000}"/>
    <cellStyle name="40% - Énfasis1 15" xfId="1155" xr:uid="{00000000-0005-0000-0000-000096000000}"/>
    <cellStyle name="40% - Énfasis1 16" xfId="1328" xr:uid="{00000000-0005-0000-0000-000097000000}"/>
    <cellStyle name="40% - Énfasis1 17" xfId="1363" xr:uid="{00000000-0005-0000-0000-000098000000}"/>
    <cellStyle name="40% - Énfasis1 18" xfId="1696" xr:uid="{00000000-0005-0000-0000-000099000000}"/>
    <cellStyle name="40% - Énfasis1 19" xfId="1844" xr:uid="{00000000-0005-0000-0000-00009A000000}"/>
    <cellStyle name="40% - Énfasis1 2" xfId="83" xr:uid="{00000000-0005-0000-0000-00009B000000}"/>
    <cellStyle name="40% - Énfasis1 20" xfId="1882" xr:uid="{00000000-0005-0000-0000-00009C000000}"/>
    <cellStyle name="40% - Énfasis1 21" xfId="2141" xr:uid="{00000000-0005-0000-0000-00009D000000}"/>
    <cellStyle name="40% - Énfasis1 22" xfId="2288" xr:uid="{00000000-0005-0000-0000-00009E000000}"/>
    <cellStyle name="40% - Énfasis1 23" xfId="2441" xr:uid="{00000000-0005-0000-0000-00009F000000}"/>
    <cellStyle name="40% - Énfasis1 24" xfId="2585" xr:uid="{00000000-0005-0000-0000-0000A0000000}"/>
    <cellStyle name="40% - Énfasis1 3" xfId="116" xr:uid="{00000000-0005-0000-0000-0000A1000000}"/>
    <cellStyle name="40% - Énfasis1 4" xfId="179" xr:uid="{00000000-0005-0000-0000-0000A2000000}"/>
    <cellStyle name="40% - Énfasis1 5" xfId="202" xr:uid="{00000000-0005-0000-0000-0000A3000000}"/>
    <cellStyle name="40% - Énfasis1 6" xfId="225" xr:uid="{00000000-0005-0000-0000-0000A4000000}"/>
    <cellStyle name="40% - Énfasis1 7" xfId="249" xr:uid="{00000000-0005-0000-0000-0000A5000000}"/>
    <cellStyle name="40% - Énfasis1 8" xfId="242" xr:uid="{00000000-0005-0000-0000-0000A6000000}"/>
    <cellStyle name="40% - Énfasis1 9" xfId="307" xr:uid="{00000000-0005-0000-0000-0000A7000000}"/>
    <cellStyle name="40% - Énfasis2" xfId="25" builtinId="35" customBuiltin="1"/>
    <cellStyle name="40% - Énfasis2 10" xfId="339" xr:uid="{00000000-0005-0000-0000-0000A9000000}"/>
    <cellStyle name="40% - Énfasis2 11" xfId="503" xr:uid="{00000000-0005-0000-0000-0000AA000000}"/>
    <cellStyle name="40% - Énfasis2 12" xfId="512" xr:uid="{00000000-0005-0000-0000-0000AB000000}"/>
    <cellStyle name="40% - Énfasis2 13" xfId="811" xr:uid="{00000000-0005-0000-0000-0000AC000000}"/>
    <cellStyle name="40% - Énfasis2 14" xfId="985" xr:uid="{00000000-0005-0000-0000-0000AD000000}"/>
    <cellStyle name="40% - Énfasis2 15" xfId="1020" xr:uid="{00000000-0005-0000-0000-0000AE000000}"/>
    <cellStyle name="40% - Énfasis2 16" xfId="1329" xr:uid="{00000000-0005-0000-0000-0000AF000000}"/>
    <cellStyle name="40% - Énfasis2 17" xfId="1362" xr:uid="{00000000-0005-0000-0000-0000B0000000}"/>
    <cellStyle name="40% - Énfasis2 18" xfId="1697" xr:uid="{00000000-0005-0000-0000-0000B1000000}"/>
    <cellStyle name="40% - Énfasis2 19" xfId="1845" xr:uid="{00000000-0005-0000-0000-0000B2000000}"/>
    <cellStyle name="40% - Énfasis2 2" xfId="84" xr:uid="{00000000-0005-0000-0000-0000B3000000}"/>
    <cellStyle name="40% - Énfasis2 20" xfId="1881" xr:uid="{00000000-0005-0000-0000-0000B4000000}"/>
    <cellStyle name="40% - Énfasis2 21" xfId="2029" xr:uid="{00000000-0005-0000-0000-0000B5000000}"/>
    <cellStyle name="40% - Énfasis2 22" xfId="2289" xr:uid="{00000000-0005-0000-0000-0000B6000000}"/>
    <cellStyle name="40% - Énfasis2 23" xfId="2442" xr:uid="{00000000-0005-0000-0000-0000B7000000}"/>
    <cellStyle name="40% - Énfasis2 24" xfId="2587" xr:uid="{00000000-0005-0000-0000-0000B8000000}"/>
    <cellStyle name="40% - Énfasis2 3" xfId="97" xr:uid="{00000000-0005-0000-0000-0000B9000000}"/>
    <cellStyle name="40% - Énfasis2 4" xfId="180" xr:uid="{00000000-0005-0000-0000-0000BA000000}"/>
    <cellStyle name="40% - Énfasis2 5" xfId="191" xr:uid="{00000000-0005-0000-0000-0000BB000000}"/>
    <cellStyle name="40% - Énfasis2 6" xfId="215" xr:uid="{00000000-0005-0000-0000-0000BC000000}"/>
    <cellStyle name="40% - Énfasis2 7" xfId="250" xr:uid="{00000000-0005-0000-0000-0000BD000000}"/>
    <cellStyle name="40% - Énfasis2 8" xfId="261" xr:uid="{00000000-0005-0000-0000-0000BE000000}"/>
    <cellStyle name="40% - Énfasis2 9" xfId="290" xr:uid="{00000000-0005-0000-0000-0000BF000000}"/>
    <cellStyle name="40% - Énfasis3" xfId="29" builtinId="39" customBuiltin="1"/>
    <cellStyle name="40% - Énfasis3 10" xfId="340" xr:uid="{00000000-0005-0000-0000-0000C1000000}"/>
    <cellStyle name="40% - Énfasis3 11" xfId="504" xr:uid="{00000000-0005-0000-0000-0000C2000000}"/>
    <cellStyle name="40% - Énfasis3 12" xfId="511" xr:uid="{00000000-0005-0000-0000-0000C3000000}"/>
    <cellStyle name="40% - Énfasis3 13" xfId="812" xr:uid="{00000000-0005-0000-0000-0000C4000000}"/>
    <cellStyle name="40% - Énfasis3 14" xfId="986" xr:uid="{00000000-0005-0000-0000-0000C5000000}"/>
    <cellStyle name="40% - Énfasis3 15" xfId="1019" xr:uid="{00000000-0005-0000-0000-0000C6000000}"/>
    <cellStyle name="40% - Énfasis3 16" xfId="1330" xr:uid="{00000000-0005-0000-0000-0000C7000000}"/>
    <cellStyle name="40% - Énfasis3 17" xfId="1321" xr:uid="{00000000-0005-0000-0000-0000C8000000}"/>
    <cellStyle name="40% - Énfasis3 18" xfId="1698" xr:uid="{00000000-0005-0000-0000-0000C9000000}"/>
    <cellStyle name="40% - Énfasis3 19" xfId="1846" xr:uid="{00000000-0005-0000-0000-0000CA000000}"/>
    <cellStyle name="40% - Énfasis3 2" xfId="85" xr:uid="{00000000-0005-0000-0000-0000CB000000}"/>
    <cellStyle name="40% - Énfasis3 20" xfId="1837" xr:uid="{00000000-0005-0000-0000-0000CC000000}"/>
    <cellStyle name="40% - Énfasis3 21" xfId="2028" xr:uid="{00000000-0005-0000-0000-0000CD000000}"/>
    <cellStyle name="40% - Énfasis3 22" xfId="2290" xr:uid="{00000000-0005-0000-0000-0000CE000000}"/>
    <cellStyle name="40% - Énfasis3 23" xfId="2443" xr:uid="{00000000-0005-0000-0000-0000CF000000}"/>
    <cellStyle name="40% - Énfasis3 24" xfId="2589" xr:uid="{00000000-0005-0000-0000-0000D0000000}"/>
    <cellStyle name="40% - Énfasis3 3" xfId="76" xr:uid="{00000000-0005-0000-0000-0000D1000000}"/>
    <cellStyle name="40% - Énfasis3 4" xfId="181" xr:uid="{00000000-0005-0000-0000-0000D2000000}"/>
    <cellStyle name="40% - Énfasis3 5" xfId="172" xr:uid="{00000000-0005-0000-0000-0000D3000000}"/>
    <cellStyle name="40% - Énfasis3 6" xfId="214" xr:uid="{00000000-0005-0000-0000-0000D4000000}"/>
    <cellStyle name="40% - Énfasis3 7" xfId="251" xr:uid="{00000000-0005-0000-0000-0000D5000000}"/>
    <cellStyle name="40% - Énfasis3 8" xfId="260" xr:uid="{00000000-0005-0000-0000-0000D6000000}"/>
    <cellStyle name="40% - Énfasis3 9" xfId="284" xr:uid="{00000000-0005-0000-0000-0000D7000000}"/>
    <cellStyle name="40% - Énfasis4" xfId="33" builtinId="43" customBuiltin="1"/>
    <cellStyle name="40% - Énfasis4 10" xfId="341" xr:uid="{00000000-0005-0000-0000-0000D9000000}"/>
    <cellStyle name="40% - Énfasis4 11" xfId="505" xr:uid="{00000000-0005-0000-0000-0000DA000000}"/>
    <cellStyle name="40% - Énfasis4 12" xfId="510" xr:uid="{00000000-0005-0000-0000-0000DB000000}"/>
    <cellStyle name="40% - Énfasis4 13" xfId="813" xr:uid="{00000000-0005-0000-0000-0000DC000000}"/>
    <cellStyle name="40% - Énfasis4 14" xfId="987" xr:uid="{00000000-0005-0000-0000-0000DD000000}"/>
    <cellStyle name="40% - Énfasis4 15" xfId="977" xr:uid="{00000000-0005-0000-0000-0000DE000000}"/>
    <cellStyle name="40% - Énfasis4 16" xfId="1331" xr:uid="{00000000-0005-0000-0000-0000DF000000}"/>
    <cellStyle name="40% - Énfasis4 17" xfId="1341" xr:uid="{00000000-0005-0000-0000-0000E0000000}"/>
    <cellStyle name="40% - Énfasis4 18" xfId="1699" xr:uid="{00000000-0005-0000-0000-0000E1000000}"/>
    <cellStyle name="40% - Énfasis4 19" xfId="1847" xr:uid="{00000000-0005-0000-0000-0000E2000000}"/>
    <cellStyle name="40% - Énfasis4 2" xfId="86" xr:uid="{00000000-0005-0000-0000-0000E3000000}"/>
    <cellStyle name="40% - Énfasis4 20" xfId="1860" xr:uid="{00000000-0005-0000-0000-0000E4000000}"/>
    <cellStyle name="40% - Énfasis4 21" xfId="2000" xr:uid="{00000000-0005-0000-0000-0000E5000000}"/>
    <cellStyle name="40% - Énfasis4 22" xfId="2291" xr:uid="{00000000-0005-0000-0000-0000E6000000}"/>
    <cellStyle name="40% - Énfasis4 23" xfId="2444" xr:uid="{00000000-0005-0000-0000-0000E7000000}"/>
    <cellStyle name="40% - Énfasis4 24" xfId="2591" xr:uid="{00000000-0005-0000-0000-0000E8000000}"/>
    <cellStyle name="40% - Énfasis4 3" xfId="93" xr:uid="{00000000-0005-0000-0000-0000E9000000}"/>
    <cellStyle name="40% - Énfasis4 4" xfId="182" xr:uid="{00000000-0005-0000-0000-0000EA000000}"/>
    <cellStyle name="40% - Énfasis4 5" xfId="190" xr:uid="{00000000-0005-0000-0000-0000EB000000}"/>
    <cellStyle name="40% - Énfasis4 6" xfId="209" xr:uid="{00000000-0005-0000-0000-0000EC000000}"/>
    <cellStyle name="40% - Énfasis4 7" xfId="252" xr:uid="{00000000-0005-0000-0000-0000ED000000}"/>
    <cellStyle name="40% - Énfasis4 8" xfId="259" xr:uid="{00000000-0005-0000-0000-0000EE000000}"/>
    <cellStyle name="40% - Énfasis4 9" xfId="289" xr:uid="{00000000-0005-0000-0000-0000EF000000}"/>
    <cellStyle name="40% - Énfasis5" xfId="37" builtinId="47" customBuiltin="1"/>
    <cellStyle name="40% - Énfasis5 10" xfId="342" xr:uid="{00000000-0005-0000-0000-0000F1000000}"/>
    <cellStyle name="40% - Énfasis5 11" xfId="506" xr:uid="{00000000-0005-0000-0000-0000F2000000}"/>
    <cellStyle name="40% - Énfasis5 12" xfId="509" xr:uid="{00000000-0005-0000-0000-0000F3000000}"/>
    <cellStyle name="40% - Énfasis5 13" xfId="814" xr:uid="{00000000-0005-0000-0000-0000F4000000}"/>
    <cellStyle name="40% - Énfasis5 14" xfId="988" xr:uid="{00000000-0005-0000-0000-0000F5000000}"/>
    <cellStyle name="40% - Énfasis5 15" xfId="998" xr:uid="{00000000-0005-0000-0000-0000F6000000}"/>
    <cellStyle name="40% - Énfasis5 16" xfId="1332" xr:uid="{00000000-0005-0000-0000-0000F7000000}"/>
    <cellStyle name="40% - Énfasis5 17" xfId="1340" xr:uid="{00000000-0005-0000-0000-0000F8000000}"/>
    <cellStyle name="40% - Énfasis5 18" xfId="1700" xr:uid="{00000000-0005-0000-0000-0000F9000000}"/>
    <cellStyle name="40% - Énfasis5 19" xfId="1848" xr:uid="{00000000-0005-0000-0000-0000FA000000}"/>
    <cellStyle name="40% - Énfasis5 2" xfId="87" xr:uid="{00000000-0005-0000-0000-0000FB000000}"/>
    <cellStyle name="40% - Énfasis5 20" xfId="1859" xr:uid="{00000000-0005-0000-0000-0000FC000000}"/>
    <cellStyle name="40% - Énfasis5 21" xfId="2007" xr:uid="{00000000-0005-0000-0000-0000FD000000}"/>
    <cellStyle name="40% - Énfasis5 22" xfId="2292" xr:uid="{00000000-0005-0000-0000-0000FE000000}"/>
    <cellStyle name="40% - Énfasis5 23" xfId="2445" xr:uid="{00000000-0005-0000-0000-0000FF000000}"/>
    <cellStyle name="40% - Énfasis5 24" xfId="2593" xr:uid="{00000000-0005-0000-0000-000000010000}"/>
    <cellStyle name="40% - Énfasis5 3" xfId="92" xr:uid="{00000000-0005-0000-0000-000001010000}"/>
    <cellStyle name="40% - Énfasis5 4" xfId="183" xr:uid="{00000000-0005-0000-0000-000002010000}"/>
    <cellStyle name="40% - Énfasis5 5" xfId="189" xr:uid="{00000000-0005-0000-0000-000003010000}"/>
    <cellStyle name="40% - Énfasis5 6" xfId="213" xr:uid="{00000000-0005-0000-0000-000004010000}"/>
    <cellStyle name="40% - Énfasis5 7" xfId="253" xr:uid="{00000000-0005-0000-0000-000005010000}"/>
    <cellStyle name="40% - Énfasis5 8" xfId="257" xr:uid="{00000000-0005-0000-0000-000006010000}"/>
    <cellStyle name="40% - Énfasis5 9" xfId="288" xr:uid="{00000000-0005-0000-0000-000007010000}"/>
    <cellStyle name="40% - Énfasis6" xfId="41" builtinId="51" customBuiltin="1"/>
    <cellStyle name="40% - Énfasis6 10" xfId="343" xr:uid="{00000000-0005-0000-0000-000009010000}"/>
    <cellStyle name="40% - Énfasis6 11" xfId="507" xr:uid="{00000000-0005-0000-0000-00000A010000}"/>
    <cellStyle name="40% - Énfasis6 12" xfId="508" xr:uid="{00000000-0005-0000-0000-00000B010000}"/>
    <cellStyle name="40% - Énfasis6 13" xfId="815" xr:uid="{00000000-0005-0000-0000-00000C010000}"/>
    <cellStyle name="40% - Énfasis6 14" xfId="989" xr:uid="{00000000-0005-0000-0000-00000D010000}"/>
    <cellStyle name="40% - Énfasis6 15" xfId="997" xr:uid="{00000000-0005-0000-0000-00000E010000}"/>
    <cellStyle name="40% - Énfasis6 16" xfId="1333" xr:uid="{00000000-0005-0000-0000-00000F010000}"/>
    <cellStyle name="40% - Énfasis6 17" xfId="1337" xr:uid="{00000000-0005-0000-0000-000010010000}"/>
    <cellStyle name="40% - Énfasis6 18" xfId="1701" xr:uid="{00000000-0005-0000-0000-000011010000}"/>
    <cellStyle name="40% - Énfasis6 19" xfId="1849" xr:uid="{00000000-0005-0000-0000-000012010000}"/>
    <cellStyle name="40% - Énfasis6 2" xfId="88" xr:uid="{00000000-0005-0000-0000-000013010000}"/>
    <cellStyle name="40% - Énfasis6 20" xfId="1855" xr:uid="{00000000-0005-0000-0000-000014010000}"/>
    <cellStyle name="40% - Énfasis6 21" xfId="2006" xr:uid="{00000000-0005-0000-0000-000015010000}"/>
    <cellStyle name="40% - Énfasis6 22" xfId="2293" xr:uid="{00000000-0005-0000-0000-000016010000}"/>
    <cellStyle name="40% - Énfasis6 23" xfId="2446" xr:uid="{00000000-0005-0000-0000-000017010000}"/>
    <cellStyle name="40% - Énfasis6 24" xfId="2595" xr:uid="{00000000-0005-0000-0000-000018010000}"/>
    <cellStyle name="40% - Énfasis6 3" xfId="90" xr:uid="{00000000-0005-0000-0000-000019010000}"/>
    <cellStyle name="40% - Énfasis6 4" xfId="184" xr:uid="{00000000-0005-0000-0000-00001A010000}"/>
    <cellStyle name="40% - Énfasis6 5" xfId="187" xr:uid="{00000000-0005-0000-0000-00001B010000}"/>
    <cellStyle name="40% - Énfasis6 6" xfId="212" xr:uid="{00000000-0005-0000-0000-00001C010000}"/>
    <cellStyle name="40% - Énfasis6 7" xfId="254" xr:uid="{00000000-0005-0000-0000-00001D010000}"/>
    <cellStyle name="40% - Énfasis6 8" xfId="256" xr:uid="{00000000-0005-0000-0000-00001E010000}"/>
    <cellStyle name="40% - Énfasis6 9" xfId="287" xr:uid="{00000000-0005-0000-0000-00001F010000}"/>
    <cellStyle name="60% - Énfasis1" xfId="22" builtinId="32" customBuiltin="1"/>
    <cellStyle name="60% - Énfasis2" xfId="26" builtinId="36" customBuiltin="1"/>
    <cellStyle name="60% - Énfasis3" xfId="30" builtinId="40" customBuiltin="1"/>
    <cellStyle name="60% - Énfasis4" xfId="34" builtinId="44" customBuiltin="1"/>
    <cellStyle name="60% - Énfasis5" xfId="38" builtinId="48" customBuiltin="1"/>
    <cellStyle name="60% - Énfasis6" xfId="42" builtinId="52" customBuiltin="1"/>
    <cellStyle name="Bueno" xfId="8" builtinId="26" customBuiltin="1"/>
    <cellStyle name="Cálculo" xfId="13" builtinId="22" customBuiltin="1"/>
    <cellStyle name="Celda de comprobación" xfId="15" builtinId="23" customBuiltin="1"/>
    <cellStyle name="Celda vinculada" xfId="14" builtinId="24" customBuiltin="1"/>
    <cellStyle name="Encabezado 1" xfId="4" builtinId="16" customBuiltin="1"/>
    <cellStyle name="Encabezado 4" xfId="7" builtinId="19" customBuiltin="1"/>
    <cellStyle name="Énfasis1" xfId="19" builtinId="29" customBuiltin="1"/>
    <cellStyle name="Énfasis2" xfId="23" builtinId="33" customBuiltin="1"/>
    <cellStyle name="Énfasis3" xfId="27" builtinId="37" customBuiltin="1"/>
    <cellStyle name="Énfasis4" xfId="31" builtinId="41" customBuiltin="1"/>
    <cellStyle name="Énfasis5" xfId="35" builtinId="45" customBuiltin="1"/>
    <cellStyle name="Énfasis6" xfId="39" builtinId="49" customBuiltin="1"/>
    <cellStyle name="Entrada" xfId="11" builtinId="20" customBuiltin="1"/>
    <cellStyle name="Euro" xfId="1" xr:uid="{00000000-0005-0000-0000-000033010000}"/>
    <cellStyle name="Euro 10" xfId="210" xr:uid="{00000000-0005-0000-0000-000034010000}"/>
    <cellStyle name="Euro 11" xfId="185" xr:uid="{00000000-0005-0000-0000-000035010000}"/>
    <cellStyle name="Euro 12" xfId="258" xr:uid="{00000000-0005-0000-0000-000036010000}"/>
    <cellStyle name="Euro 13" xfId="285" xr:uid="{00000000-0005-0000-0000-000037010000}"/>
    <cellStyle name="Euro 14" xfId="255" xr:uid="{00000000-0005-0000-0000-000038010000}"/>
    <cellStyle name="Euro 15" xfId="344" xr:uid="{00000000-0005-0000-0000-000039010000}"/>
    <cellStyle name="Euro 16" xfId="816" xr:uid="{00000000-0005-0000-0000-00003A010000}"/>
    <cellStyle name="Euro 17" xfId="991" xr:uid="{00000000-0005-0000-0000-00003B010000}"/>
    <cellStyle name="Euro 18" xfId="990" xr:uid="{00000000-0005-0000-0000-00003C010000}"/>
    <cellStyle name="Euro 19" xfId="1334" xr:uid="{00000000-0005-0000-0000-00003D010000}"/>
    <cellStyle name="Euro 2" xfId="47" xr:uid="{00000000-0005-0000-0000-00003E010000}"/>
    <cellStyle name="Euro 2 10" xfId="1702" xr:uid="{00000000-0005-0000-0000-00003F010000}"/>
    <cellStyle name="Euro 2 11" xfId="1853" xr:uid="{00000000-0005-0000-0000-000040010000}"/>
    <cellStyle name="Euro 2 12" xfId="2002" xr:uid="{00000000-0005-0000-0000-000041010000}"/>
    <cellStyle name="Euro 2 13" xfId="1851" xr:uid="{00000000-0005-0000-0000-000042010000}"/>
    <cellStyle name="Euro 2 14" xfId="2295" xr:uid="{00000000-0005-0000-0000-000043010000}"/>
    <cellStyle name="Euro 2 2" xfId="345" xr:uid="{00000000-0005-0000-0000-000044010000}"/>
    <cellStyle name="Euro 2 3" xfId="514" xr:uid="{00000000-0005-0000-0000-000045010000}"/>
    <cellStyle name="Euro 2 4" xfId="667" xr:uid="{00000000-0005-0000-0000-000046010000}"/>
    <cellStyle name="Euro 2 5" xfId="817" xr:uid="{00000000-0005-0000-0000-000047010000}"/>
    <cellStyle name="Euro 2 6" xfId="992" xr:uid="{00000000-0005-0000-0000-000048010000}"/>
    <cellStyle name="Euro 2 7" xfId="1162" xr:uid="{00000000-0005-0000-0000-000049010000}"/>
    <cellStyle name="Euro 2 8" xfId="1335" xr:uid="{00000000-0005-0000-0000-00004A010000}"/>
    <cellStyle name="Euro 2 9" xfId="1530" xr:uid="{00000000-0005-0000-0000-00004B010000}"/>
    <cellStyle name="Euro 20" xfId="1529" xr:uid="{00000000-0005-0000-0000-00004C010000}"/>
    <cellStyle name="Euro 21" xfId="1852" xr:uid="{00000000-0005-0000-0000-00004D010000}"/>
    <cellStyle name="Euro 22" xfId="2001" xr:uid="{00000000-0005-0000-0000-00004E010000}"/>
    <cellStyle name="Euro 23" xfId="1850" xr:uid="{00000000-0005-0000-0000-00004F010000}"/>
    <cellStyle name="Euro 24" xfId="2294" xr:uid="{00000000-0005-0000-0000-000050010000}"/>
    <cellStyle name="Euro 25" xfId="2447" xr:uid="{00000000-0005-0000-0000-000051010000}"/>
    <cellStyle name="Euro 3" xfId="44" xr:uid="{00000000-0005-0000-0000-000052010000}"/>
    <cellStyle name="Euro 3 10" xfId="1703" xr:uid="{00000000-0005-0000-0000-000053010000}"/>
    <cellStyle name="Euro 3 11" xfId="1854" xr:uid="{00000000-0005-0000-0000-000054010000}"/>
    <cellStyle name="Euro 3 12" xfId="2003" xr:uid="{00000000-0005-0000-0000-000055010000}"/>
    <cellStyle name="Euro 3 13" xfId="2148" xr:uid="{00000000-0005-0000-0000-000056010000}"/>
    <cellStyle name="Euro 3 14" xfId="2296" xr:uid="{00000000-0005-0000-0000-000057010000}"/>
    <cellStyle name="Euro 3 2" xfId="346" xr:uid="{00000000-0005-0000-0000-000058010000}"/>
    <cellStyle name="Euro 3 3" xfId="515" xr:uid="{00000000-0005-0000-0000-000059010000}"/>
    <cellStyle name="Euro 3 4" xfId="668" xr:uid="{00000000-0005-0000-0000-00005A010000}"/>
    <cellStyle name="Euro 3 5" xfId="818" xr:uid="{00000000-0005-0000-0000-00005B010000}"/>
    <cellStyle name="Euro 3 6" xfId="993" xr:uid="{00000000-0005-0000-0000-00005C010000}"/>
    <cellStyle name="Euro 3 7" xfId="1163" xr:uid="{00000000-0005-0000-0000-00005D010000}"/>
    <cellStyle name="Euro 3 8" xfId="1336" xr:uid="{00000000-0005-0000-0000-00005E010000}"/>
    <cellStyle name="Euro 3 9" xfId="1531" xr:uid="{00000000-0005-0000-0000-00005F010000}"/>
    <cellStyle name="Euro 4" xfId="74" xr:uid="{00000000-0005-0000-0000-000060010000}"/>
    <cellStyle name="Euro 5" xfId="46" xr:uid="{00000000-0005-0000-0000-000061010000}"/>
    <cellStyle name="Euro 6" xfId="75" xr:uid="{00000000-0005-0000-0000-000062010000}"/>
    <cellStyle name="Euro 7" xfId="89" xr:uid="{00000000-0005-0000-0000-000063010000}"/>
    <cellStyle name="Euro 8" xfId="149" xr:uid="{00000000-0005-0000-0000-000064010000}"/>
    <cellStyle name="Euro 9" xfId="186" xr:uid="{00000000-0005-0000-0000-000065010000}"/>
    <cellStyle name="Incorrecto" xfId="9" builtinId="27" customBuiltin="1"/>
    <cellStyle name="Millares" xfId="2615" builtinId="3"/>
    <cellStyle name="Millares [0]" xfId="2601" builtinId="6"/>
    <cellStyle name="Millares [0] 2" xfId="2604" xr:uid="{00000000-0005-0000-0000-000069010000}"/>
    <cellStyle name="Millares [0] 3" xfId="2607" xr:uid="{00000000-0005-0000-0000-00006A010000}"/>
    <cellStyle name="Millares [0] 4" xfId="2610" xr:uid="{00000000-0005-0000-0000-00006B010000}"/>
    <cellStyle name="Millares [0] 5" xfId="2612" xr:uid="{00000000-0005-0000-0000-00006C010000}"/>
    <cellStyle name="Millares 10" xfId="286" xr:uid="{00000000-0005-0000-0000-00006D010000}"/>
    <cellStyle name="Millares 10 10" xfId="1704" xr:uid="{00000000-0005-0000-0000-00006E010000}"/>
    <cellStyle name="Millares 10 11" xfId="1857" xr:uid="{00000000-0005-0000-0000-00006F010000}"/>
    <cellStyle name="Millares 10 12" xfId="2004" xr:uid="{00000000-0005-0000-0000-000070010000}"/>
    <cellStyle name="Millares 10 13" xfId="2149" xr:uid="{00000000-0005-0000-0000-000071010000}"/>
    <cellStyle name="Millares 10 14" xfId="2298" xr:uid="{00000000-0005-0000-0000-000072010000}"/>
    <cellStyle name="Millares 10 2" xfId="348" xr:uid="{00000000-0005-0000-0000-000073010000}"/>
    <cellStyle name="Millares 10 3" xfId="517" xr:uid="{00000000-0005-0000-0000-000074010000}"/>
    <cellStyle name="Millares 10 4" xfId="670" xr:uid="{00000000-0005-0000-0000-000075010000}"/>
    <cellStyle name="Millares 10 5" xfId="820" xr:uid="{00000000-0005-0000-0000-000076010000}"/>
    <cellStyle name="Millares 10 6" xfId="995" xr:uid="{00000000-0005-0000-0000-000077010000}"/>
    <cellStyle name="Millares 10 7" xfId="1165" xr:uid="{00000000-0005-0000-0000-000078010000}"/>
    <cellStyle name="Millares 10 8" xfId="1338" xr:uid="{00000000-0005-0000-0000-000079010000}"/>
    <cellStyle name="Millares 10 9" xfId="1533" xr:uid="{00000000-0005-0000-0000-00007A010000}"/>
    <cellStyle name="Millares 11" xfId="314" xr:uid="{00000000-0005-0000-0000-00007B010000}"/>
    <cellStyle name="Millares 12" xfId="347" xr:uid="{00000000-0005-0000-0000-00007C010000}"/>
    <cellStyle name="Millares 13" xfId="495" xr:uid="{00000000-0005-0000-0000-00007D010000}"/>
    <cellStyle name="Millares 14" xfId="819" xr:uid="{00000000-0005-0000-0000-00007E010000}"/>
    <cellStyle name="Millares 15" xfId="669" xr:uid="{00000000-0005-0000-0000-00007F010000}"/>
    <cellStyle name="Millares 16" xfId="994" xr:uid="{00000000-0005-0000-0000-000080010000}"/>
    <cellStyle name="Millares 17" xfId="1164" xr:uid="{00000000-0005-0000-0000-000081010000}"/>
    <cellStyle name="Millares 18" xfId="1856" xr:uid="{00000000-0005-0000-0000-000082010000}"/>
    <cellStyle name="Millares 19" xfId="1532" xr:uid="{00000000-0005-0000-0000-000083010000}"/>
    <cellStyle name="Millares 2" xfId="91" xr:uid="{00000000-0005-0000-0000-000084010000}"/>
    <cellStyle name="Millares 2 10" xfId="1705" xr:uid="{00000000-0005-0000-0000-000085010000}"/>
    <cellStyle name="Millares 2 11" xfId="1858" xr:uid="{00000000-0005-0000-0000-000086010000}"/>
    <cellStyle name="Millares 2 12" xfId="2005" xr:uid="{00000000-0005-0000-0000-000087010000}"/>
    <cellStyle name="Millares 2 13" xfId="2150" xr:uid="{00000000-0005-0000-0000-000088010000}"/>
    <cellStyle name="Millares 2 14" xfId="2299" xr:uid="{00000000-0005-0000-0000-000089010000}"/>
    <cellStyle name="Millares 2 15" xfId="2598" xr:uid="{00000000-0005-0000-0000-00008A010000}"/>
    <cellStyle name="Millares 2 2" xfId="349" xr:uid="{00000000-0005-0000-0000-00008B010000}"/>
    <cellStyle name="Millares 2 3" xfId="518" xr:uid="{00000000-0005-0000-0000-00008C010000}"/>
    <cellStyle name="Millares 2 4" xfId="671" xr:uid="{00000000-0005-0000-0000-00008D010000}"/>
    <cellStyle name="Millares 2 5" xfId="821" xr:uid="{00000000-0005-0000-0000-00008E010000}"/>
    <cellStyle name="Millares 2 6" xfId="996" xr:uid="{00000000-0005-0000-0000-00008F010000}"/>
    <cellStyle name="Millares 2 7" xfId="1166" xr:uid="{00000000-0005-0000-0000-000090010000}"/>
    <cellStyle name="Millares 2 8" xfId="1339" xr:uid="{00000000-0005-0000-0000-000091010000}"/>
    <cellStyle name="Millares 2 9" xfId="1534" xr:uid="{00000000-0005-0000-0000-000092010000}"/>
    <cellStyle name="Millares 20" xfId="2297" xr:uid="{00000000-0005-0000-0000-000093010000}"/>
    <cellStyle name="Millares 21" xfId="2448" xr:uid="{00000000-0005-0000-0000-000094010000}"/>
    <cellStyle name="Millares 22" xfId="2599" xr:uid="{00000000-0005-0000-0000-000095010000}"/>
    <cellStyle name="Millares 22 2" xfId="2602" xr:uid="{00000000-0005-0000-0000-000096010000}"/>
    <cellStyle name="Millares 3" xfId="150" xr:uid="{00000000-0005-0000-0000-000097010000}"/>
    <cellStyle name="Millares 4" xfId="188" xr:uid="{00000000-0005-0000-0000-000098010000}"/>
    <cellStyle name="Millares 5" xfId="43" xr:uid="{00000000-0005-0000-0000-000099010000}"/>
    <cellStyle name="Millares 6" xfId="45" xr:uid="{00000000-0005-0000-0000-00009A010000}"/>
    <cellStyle name="Millares 7" xfId="211" xr:uid="{00000000-0005-0000-0000-00009B010000}"/>
    <cellStyle name="Millares 8" xfId="232" xr:uid="{00000000-0005-0000-0000-00009C010000}"/>
    <cellStyle name="Millares 9" xfId="331" xr:uid="{00000000-0005-0000-0000-00009D010000}"/>
    <cellStyle name="Moneda 2" xfId="48" xr:uid="{00000000-0005-0000-0000-00009E010000}"/>
    <cellStyle name="Moneda 3" xfId="2600" xr:uid="{00000000-0005-0000-0000-00009F010000}"/>
    <cellStyle name="Neutral" xfId="10" builtinId="28" customBuiltin="1"/>
    <cellStyle name="Normal" xfId="0" builtinId="0"/>
    <cellStyle name="Normal 10" xfId="61" xr:uid="{00000000-0005-0000-0000-0000A2010000}"/>
    <cellStyle name="Normal 10 2" xfId="94" xr:uid="{00000000-0005-0000-0000-0000A3010000}"/>
    <cellStyle name="Normal 10 2 10" xfId="1706" xr:uid="{00000000-0005-0000-0000-0000A4010000}"/>
    <cellStyle name="Normal 10 2 11" xfId="1861" xr:uid="{00000000-0005-0000-0000-0000A5010000}"/>
    <cellStyle name="Normal 10 2 12" xfId="2008" xr:uid="{00000000-0005-0000-0000-0000A6010000}"/>
    <cellStyle name="Normal 10 2 13" xfId="2151" xr:uid="{00000000-0005-0000-0000-0000A7010000}"/>
    <cellStyle name="Normal 10 2 14" xfId="2300" xr:uid="{00000000-0005-0000-0000-0000A8010000}"/>
    <cellStyle name="Normal 10 2 15" xfId="2449" xr:uid="{00000000-0005-0000-0000-0000A9010000}"/>
    <cellStyle name="Normal 10 2 2" xfId="350" xr:uid="{00000000-0005-0000-0000-0000AA010000}"/>
    <cellStyle name="Normal 10 2 3" xfId="522" xr:uid="{00000000-0005-0000-0000-0000AB010000}"/>
    <cellStyle name="Normal 10 2 4" xfId="672" xr:uid="{00000000-0005-0000-0000-0000AC010000}"/>
    <cellStyle name="Normal 10 2 5" xfId="822" xr:uid="{00000000-0005-0000-0000-0000AD010000}"/>
    <cellStyle name="Normal 10 2 6" xfId="999" xr:uid="{00000000-0005-0000-0000-0000AE010000}"/>
    <cellStyle name="Normal 10 2 7" xfId="1167" xr:uid="{00000000-0005-0000-0000-0000AF010000}"/>
    <cellStyle name="Normal 10 2 8" xfId="1342" xr:uid="{00000000-0005-0000-0000-0000B0010000}"/>
    <cellStyle name="Normal 10 2 9" xfId="1535" xr:uid="{00000000-0005-0000-0000-0000B1010000}"/>
    <cellStyle name="Normal 10 3" xfId="151" xr:uid="{00000000-0005-0000-0000-0000B2010000}"/>
    <cellStyle name="Normal 10 3 10" xfId="1707" xr:uid="{00000000-0005-0000-0000-0000B3010000}"/>
    <cellStyle name="Normal 10 3 11" xfId="1862" xr:uid="{00000000-0005-0000-0000-0000B4010000}"/>
    <cellStyle name="Normal 10 3 12" xfId="2009" xr:uid="{00000000-0005-0000-0000-0000B5010000}"/>
    <cellStyle name="Normal 10 3 13" xfId="2152" xr:uid="{00000000-0005-0000-0000-0000B6010000}"/>
    <cellStyle name="Normal 10 3 14" xfId="2301" xr:uid="{00000000-0005-0000-0000-0000B7010000}"/>
    <cellStyle name="Normal 10 3 15" xfId="2450" xr:uid="{00000000-0005-0000-0000-0000B8010000}"/>
    <cellStyle name="Normal 10 3 2" xfId="351" xr:uid="{00000000-0005-0000-0000-0000B9010000}"/>
    <cellStyle name="Normal 10 3 3" xfId="523" xr:uid="{00000000-0005-0000-0000-0000BA010000}"/>
    <cellStyle name="Normal 10 3 4" xfId="673" xr:uid="{00000000-0005-0000-0000-0000BB010000}"/>
    <cellStyle name="Normal 10 3 5" xfId="823" xr:uid="{00000000-0005-0000-0000-0000BC010000}"/>
    <cellStyle name="Normal 10 3 6" xfId="1000" xr:uid="{00000000-0005-0000-0000-0000BD010000}"/>
    <cellStyle name="Normal 10 3 7" xfId="1168" xr:uid="{00000000-0005-0000-0000-0000BE010000}"/>
    <cellStyle name="Normal 10 3 8" xfId="1343" xr:uid="{00000000-0005-0000-0000-0000BF010000}"/>
    <cellStyle name="Normal 10 3 9" xfId="1536" xr:uid="{00000000-0005-0000-0000-0000C0010000}"/>
    <cellStyle name="Normal 11" xfId="54" xr:uid="{00000000-0005-0000-0000-0000C1010000}"/>
    <cellStyle name="Normal 11 2" xfId="95" xr:uid="{00000000-0005-0000-0000-0000C2010000}"/>
    <cellStyle name="Normal 11 2 10" xfId="1708" xr:uid="{00000000-0005-0000-0000-0000C3010000}"/>
    <cellStyle name="Normal 11 2 11" xfId="1863" xr:uid="{00000000-0005-0000-0000-0000C4010000}"/>
    <cellStyle name="Normal 11 2 12" xfId="2010" xr:uid="{00000000-0005-0000-0000-0000C5010000}"/>
    <cellStyle name="Normal 11 2 13" xfId="2153" xr:uid="{00000000-0005-0000-0000-0000C6010000}"/>
    <cellStyle name="Normal 11 2 14" xfId="2302" xr:uid="{00000000-0005-0000-0000-0000C7010000}"/>
    <cellStyle name="Normal 11 2 15" xfId="2451" xr:uid="{00000000-0005-0000-0000-0000C8010000}"/>
    <cellStyle name="Normal 11 2 2" xfId="352" xr:uid="{00000000-0005-0000-0000-0000C9010000}"/>
    <cellStyle name="Normal 11 2 3" xfId="524" xr:uid="{00000000-0005-0000-0000-0000CA010000}"/>
    <cellStyle name="Normal 11 2 4" xfId="674" xr:uid="{00000000-0005-0000-0000-0000CB010000}"/>
    <cellStyle name="Normal 11 2 5" xfId="824" xr:uid="{00000000-0005-0000-0000-0000CC010000}"/>
    <cellStyle name="Normal 11 2 6" xfId="1001" xr:uid="{00000000-0005-0000-0000-0000CD010000}"/>
    <cellStyle name="Normal 11 2 7" xfId="1169" xr:uid="{00000000-0005-0000-0000-0000CE010000}"/>
    <cellStyle name="Normal 11 2 8" xfId="1344" xr:uid="{00000000-0005-0000-0000-0000CF010000}"/>
    <cellStyle name="Normal 11 2 9" xfId="1537" xr:uid="{00000000-0005-0000-0000-0000D0010000}"/>
    <cellStyle name="Normal 11 3" xfId="152" xr:uid="{00000000-0005-0000-0000-0000D1010000}"/>
    <cellStyle name="Normal 11 3 10" xfId="1709" xr:uid="{00000000-0005-0000-0000-0000D2010000}"/>
    <cellStyle name="Normal 11 3 11" xfId="1864" xr:uid="{00000000-0005-0000-0000-0000D3010000}"/>
    <cellStyle name="Normal 11 3 12" xfId="2011" xr:uid="{00000000-0005-0000-0000-0000D4010000}"/>
    <cellStyle name="Normal 11 3 13" xfId="2154" xr:uid="{00000000-0005-0000-0000-0000D5010000}"/>
    <cellStyle name="Normal 11 3 14" xfId="2303" xr:uid="{00000000-0005-0000-0000-0000D6010000}"/>
    <cellStyle name="Normal 11 3 15" xfId="2452" xr:uid="{00000000-0005-0000-0000-0000D7010000}"/>
    <cellStyle name="Normal 11 3 2" xfId="353" xr:uid="{00000000-0005-0000-0000-0000D8010000}"/>
    <cellStyle name="Normal 11 3 3" xfId="525" xr:uid="{00000000-0005-0000-0000-0000D9010000}"/>
    <cellStyle name="Normal 11 3 4" xfId="675" xr:uid="{00000000-0005-0000-0000-0000DA010000}"/>
    <cellStyle name="Normal 11 3 5" xfId="825" xr:uid="{00000000-0005-0000-0000-0000DB010000}"/>
    <cellStyle name="Normal 11 3 6" xfId="1002" xr:uid="{00000000-0005-0000-0000-0000DC010000}"/>
    <cellStyle name="Normal 11 3 7" xfId="1170" xr:uid="{00000000-0005-0000-0000-0000DD010000}"/>
    <cellStyle name="Normal 11 3 8" xfId="1345" xr:uid="{00000000-0005-0000-0000-0000DE010000}"/>
    <cellStyle name="Normal 11 3 9" xfId="1538" xr:uid="{00000000-0005-0000-0000-0000DF010000}"/>
    <cellStyle name="Normal 12" xfId="50" xr:uid="{00000000-0005-0000-0000-0000E0010000}"/>
    <cellStyle name="Normal 12 2" xfId="354" xr:uid="{00000000-0005-0000-0000-0000E1010000}"/>
    <cellStyle name="Normal 12 2 10" xfId="1865" xr:uid="{00000000-0005-0000-0000-0000E2010000}"/>
    <cellStyle name="Normal 12 2 11" xfId="2012" xr:uid="{00000000-0005-0000-0000-0000E3010000}"/>
    <cellStyle name="Normal 12 2 12" xfId="2155" xr:uid="{00000000-0005-0000-0000-0000E4010000}"/>
    <cellStyle name="Normal 12 2 13" xfId="2304" xr:uid="{00000000-0005-0000-0000-0000E5010000}"/>
    <cellStyle name="Normal 12 2 14" xfId="2453" xr:uid="{00000000-0005-0000-0000-0000E6010000}"/>
    <cellStyle name="Normal 12 2 2" xfId="526" xr:uid="{00000000-0005-0000-0000-0000E7010000}"/>
    <cellStyle name="Normal 12 2 3" xfId="676" xr:uid="{00000000-0005-0000-0000-0000E8010000}"/>
    <cellStyle name="Normal 12 2 4" xfId="826" xr:uid="{00000000-0005-0000-0000-0000E9010000}"/>
    <cellStyle name="Normal 12 2 5" xfId="1003" xr:uid="{00000000-0005-0000-0000-0000EA010000}"/>
    <cellStyle name="Normal 12 2 6" xfId="1171" xr:uid="{00000000-0005-0000-0000-0000EB010000}"/>
    <cellStyle name="Normal 12 2 7" xfId="1346" xr:uid="{00000000-0005-0000-0000-0000EC010000}"/>
    <cellStyle name="Normal 12 2 8" xfId="1539" xr:uid="{00000000-0005-0000-0000-0000ED010000}"/>
    <cellStyle name="Normal 12 2 9" xfId="1710" xr:uid="{00000000-0005-0000-0000-0000EE010000}"/>
    <cellStyle name="Normal 12 3" xfId="355" xr:uid="{00000000-0005-0000-0000-0000EF010000}"/>
    <cellStyle name="Normal 12 3 10" xfId="1866" xr:uid="{00000000-0005-0000-0000-0000F0010000}"/>
    <cellStyle name="Normal 12 3 11" xfId="2013" xr:uid="{00000000-0005-0000-0000-0000F1010000}"/>
    <cellStyle name="Normal 12 3 12" xfId="2156" xr:uid="{00000000-0005-0000-0000-0000F2010000}"/>
    <cellStyle name="Normal 12 3 13" xfId="2305" xr:uid="{00000000-0005-0000-0000-0000F3010000}"/>
    <cellStyle name="Normal 12 3 14" xfId="2454" xr:uid="{00000000-0005-0000-0000-0000F4010000}"/>
    <cellStyle name="Normal 12 3 2" xfId="527" xr:uid="{00000000-0005-0000-0000-0000F5010000}"/>
    <cellStyle name="Normal 12 3 3" xfId="677" xr:uid="{00000000-0005-0000-0000-0000F6010000}"/>
    <cellStyle name="Normal 12 3 4" xfId="827" xr:uid="{00000000-0005-0000-0000-0000F7010000}"/>
    <cellStyle name="Normal 12 3 5" xfId="1004" xr:uid="{00000000-0005-0000-0000-0000F8010000}"/>
    <cellStyle name="Normal 12 3 6" xfId="1172" xr:uid="{00000000-0005-0000-0000-0000F9010000}"/>
    <cellStyle name="Normal 12 3 7" xfId="1347" xr:uid="{00000000-0005-0000-0000-0000FA010000}"/>
    <cellStyle name="Normal 12 3 8" xfId="1540" xr:uid="{00000000-0005-0000-0000-0000FB010000}"/>
    <cellStyle name="Normal 12 3 9" xfId="1711" xr:uid="{00000000-0005-0000-0000-0000FC010000}"/>
    <cellStyle name="Normal 13" xfId="57" xr:uid="{00000000-0005-0000-0000-0000FD010000}"/>
    <cellStyle name="Normal 13 2" xfId="356" xr:uid="{00000000-0005-0000-0000-0000FE010000}"/>
    <cellStyle name="Normal 13 2 10" xfId="1867" xr:uid="{00000000-0005-0000-0000-0000FF010000}"/>
    <cellStyle name="Normal 13 2 11" xfId="2014" xr:uid="{00000000-0005-0000-0000-000000020000}"/>
    <cellStyle name="Normal 13 2 12" xfId="2157" xr:uid="{00000000-0005-0000-0000-000001020000}"/>
    <cellStyle name="Normal 13 2 13" xfId="2306" xr:uid="{00000000-0005-0000-0000-000002020000}"/>
    <cellStyle name="Normal 13 2 14" xfId="2455" xr:uid="{00000000-0005-0000-0000-000003020000}"/>
    <cellStyle name="Normal 13 2 2" xfId="528" xr:uid="{00000000-0005-0000-0000-000004020000}"/>
    <cellStyle name="Normal 13 2 3" xfId="678" xr:uid="{00000000-0005-0000-0000-000005020000}"/>
    <cellStyle name="Normal 13 2 4" xfId="828" xr:uid="{00000000-0005-0000-0000-000006020000}"/>
    <cellStyle name="Normal 13 2 5" xfId="1005" xr:uid="{00000000-0005-0000-0000-000007020000}"/>
    <cellStyle name="Normal 13 2 6" xfId="1173" xr:uid="{00000000-0005-0000-0000-000008020000}"/>
    <cellStyle name="Normal 13 2 7" xfId="1348" xr:uid="{00000000-0005-0000-0000-000009020000}"/>
    <cellStyle name="Normal 13 2 8" xfId="1541" xr:uid="{00000000-0005-0000-0000-00000A020000}"/>
    <cellStyle name="Normal 13 2 9" xfId="1712" xr:uid="{00000000-0005-0000-0000-00000B020000}"/>
    <cellStyle name="Normal 13 3" xfId="357" xr:uid="{00000000-0005-0000-0000-00000C020000}"/>
    <cellStyle name="Normal 13 3 10" xfId="1868" xr:uid="{00000000-0005-0000-0000-00000D020000}"/>
    <cellStyle name="Normal 13 3 11" xfId="2015" xr:uid="{00000000-0005-0000-0000-00000E020000}"/>
    <cellStyle name="Normal 13 3 12" xfId="2158" xr:uid="{00000000-0005-0000-0000-00000F020000}"/>
    <cellStyle name="Normal 13 3 13" xfId="2307" xr:uid="{00000000-0005-0000-0000-000010020000}"/>
    <cellStyle name="Normal 13 3 14" xfId="2456" xr:uid="{00000000-0005-0000-0000-000011020000}"/>
    <cellStyle name="Normal 13 3 2" xfId="529" xr:uid="{00000000-0005-0000-0000-000012020000}"/>
    <cellStyle name="Normal 13 3 3" xfId="679" xr:uid="{00000000-0005-0000-0000-000013020000}"/>
    <cellStyle name="Normal 13 3 4" xfId="829" xr:uid="{00000000-0005-0000-0000-000014020000}"/>
    <cellStyle name="Normal 13 3 5" xfId="1006" xr:uid="{00000000-0005-0000-0000-000015020000}"/>
    <cellStyle name="Normal 13 3 6" xfId="1174" xr:uid="{00000000-0005-0000-0000-000016020000}"/>
    <cellStyle name="Normal 13 3 7" xfId="1349" xr:uid="{00000000-0005-0000-0000-000017020000}"/>
    <cellStyle name="Normal 13 3 8" xfId="1542" xr:uid="{00000000-0005-0000-0000-000018020000}"/>
    <cellStyle name="Normal 13 3 9" xfId="1713" xr:uid="{00000000-0005-0000-0000-000019020000}"/>
    <cellStyle name="Normal 14" xfId="58" xr:uid="{00000000-0005-0000-0000-00001A020000}"/>
    <cellStyle name="Normal 14 2" xfId="96" xr:uid="{00000000-0005-0000-0000-00001B020000}"/>
    <cellStyle name="Normal 14 2 10" xfId="1714" xr:uid="{00000000-0005-0000-0000-00001C020000}"/>
    <cellStyle name="Normal 14 2 11" xfId="1869" xr:uid="{00000000-0005-0000-0000-00001D020000}"/>
    <cellStyle name="Normal 14 2 12" xfId="2016" xr:uid="{00000000-0005-0000-0000-00001E020000}"/>
    <cellStyle name="Normal 14 2 13" xfId="2159" xr:uid="{00000000-0005-0000-0000-00001F020000}"/>
    <cellStyle name="Normal 14 2 14" xfId="2308" xr:uid="{00000000-0005-0000-0000-000020020000}"/>
    <cellStyle name="Normal 14 2 15" xfId="2457" xr:uid="{00000000-0005-0000-0000-000021020000}"/>
    <cellStyle name="Normal 14 2 2" xfId="358" xr:uid="{00000000-0005-0000-0000-000022020000}"/>
    <cellStyle name="Normal 14 2 3" xfId="530" xr:uid="{00000000-0005-0000-0000-000023020000}"/>
    <cellStyle name="Normal 14 2 4" xfId="680" xr:uid="{00000000-0005-0000-0000-000024020000}"/>
    <cellStyle name="Normal 14 2 5" xfId="830" xr:uid="{00000000-0005-0000-0000-000025020000}"/>
    <cellStyle name="Normal 14 2 6" xfId="1007" xr:uid="{00000000-0005-0000-0000-000026020000}"/>
    <cellStyle name="Normal 14 2 7" xfId="1175" xr:uid="{00000000-0005-0000-0000-000027020000}"/>
    <cellStyle name="Normal 14 2 8" xfId="1350" xr:uid="{00000000-0005-0000-0000-000028020000}"/>
    <cellStyle name="Normal 14 2 9" xfId="1543" xr:uid="{00000000-0005-0000-0000-000029020000}"/>
    <cellStyle name="Normal 14 3" xfId="153" xr:uid="{00000000-0005-0000-0000-00002A020000}"/>
    <cellStyle name="Normal 14 3 10" xfId="1715" xr:uid="{00000000-0005-0000-0000-00002B020000}"/>
    <cellStyle name="Normal 14 3 11" xfId="1870" xr:uid="{00000000-0005-0000-0000-00002C020000}"/>
    <cellStyle name="Normal 14 3 12" xfId="2017" xr:uid="{00000000-0005-0000-0000-00002D020000}"/>
    <cellStyle name="Normal 14 3 13" xfId="2160" xr:uid="{00000000-0005-0000-0000-00002E020000}"/>
    <cellStyle name="Normal 14 3 14" xfId="2309" xr:uid="{00000000-0005-0000-0000-00002F020000}"/>
    <cellStyle name="Normal 14 3 15" xfId="2458" xr:uid="{00000000-0005-0000-0000-000030020000}"/>
    <cellStyle name="Normal 14 3 2" xfId="359" xr:uid="{00000000-0005-0000-0000-000031020000}"/>
    <cellStyle name="Normal 14 3 3" xfId="531" xr:uid="{00000000-0005-0000-0000-000032020000}"/>
    <cellStyle name="Normal 14 3 4" xfId="681" xr:uid="{00000000-0005-0000-0000-000033020000}"/>
    <cellStyle name="Normal 14 3 5" xfId="831" xr:uid="{00000000-0005-0000-0000-000034020000}"/>
    <cellStyle name="Normal 14 3 6" xfId="1008" xr:uid="{00000000-0005-0000-0000-000035020000}"/>
    <cellStyle name="Normal 14 3 7" xfId="1176" xr:uid="{00000000-0005-0000-0000-000036020000}"/>
    <cellStyle name="Normal 14 3 8" xfId="1351" xr:uid="{00000000-0005-0000-0000-000037020000}"/>
    <cellStyle name="Normal 14 3 9" xfId="1544" xr:uid="{00000000-0005-0000-0000-000038020000}"/>
    <cellStyle name="Normal 15" xfId="56" xr:uid="{00000000-0005-0000-0000-000039020000}"/>
    <cellStyle name="Normal 15 2" xfId="360" xr:uid="{00000000-0005-0000-0000-00003A020000}"/>
    <cellStyle name="Normal 15 2 10" xfId="1871" xr:uid="{00000000-0005-0000-0000-00003B020000}"/>
    <cellStyle name="Normal 15 2 11" xfId="2018" xr:uid="{00000000-0005-0000-0000-00003C020000}"/>
    <cellStyle name="Normal 15 2 12" xfId="2161" xr:uid="{00000000-0005-0000-0000-00003D020000}"/>
    <cellStyle name="Normal 15 2 13" xfId="2310" xr:uid="{00000000-0005-0000-0000-00003E020000}"/>
    <cellStyle name="Normal 15 2 14" xfId="2459" xr:uid="{00000000-0005-0000-0000-00003F020000}"/>
    <cellStyle name="Normal 15 2 2" xfId="532" xr:uid="{00000000-0005-0000-0000-000040020000}"/>
    <cellStyle name="Normal 15 2 3" xfId="682" xr:uid="{00000000-0005-0000-0000-000041020000}"/>
    <cellStyle name="Normal 15 2 4" xfId="832" xr:uid="{00000000-0005-0000-0000-000042020000}"/>
    <cellStyle name="Normal 15 2 5" xfId="1009" xr:uid="{00000000-0005-0000-0000-000043020000}"/>
    <cellStyle name="Normal 15 2 6" xfId="1177" xr:uid="{00000000-0005-0000-0000-000044020000}"/>
    <cellStyle name="Normal 15 2 7" xfId="1352" xr:uid="{00000000-0005-0000-0000-000045020000}"/>
    <cellStyle name="Normal 15 2 8" xfId="1545" xr:uid="{00000000-0005-0000-0000-000046020000}"/>
    <cellStyle name="Normal 15 2 9" xfId="1716" xr:uid="{00000000-0005-0000-0000-000047020000}"/>
    <cellStyle name="Normal 15 3" xfId="361" xr:uid="{00000000-0005-0000-0000-000048020000}"/>
    <cellStyle name="Normal 15 3 10" xfId="1872" xr:uid="{00000000-0005-0000-0000-000049020000}"/>
    <cellStyle name="Normal 15 3 11" xfId="2019" xr:uid="{00000000-0005-0000-0000-00004A020000}"/>
    <cellStyle name="Normal 15 3 12" xfId="2162" xr:uid="{00000000-0005-0000-0000-00004B020000}"/>
    <cellStyle name="Normal 15 3 13" xfId="2311" xr:uid="{00000000-0005-0000-0000-00004C020000}"/>
    <cellStyle name="Normal 15 3 14" xfId="2460" xr:uid="{00000000-0005-0000-0000-00004D020000}"/>
    <cellStyle name="Normal 15 3 2" xfId="533" xr:uid="{00000000-0005-0000-0000-00004E020000}"/>
    <cellStyle name="Normal 15 3 3" xfId="683" xr:uid="{00000000-0005-0000-0000-00004F020000}"/>
    <cellStyle name="Normal 15 3 4" xfId="833" xr:uid="{00000000-0005-0000-0000-000050020000}"/>
    <cellStyle name="Normal 15 3 5" xfId="1010" xr:uid="{00000000-0005-0000-0000-000051020000}"/>
    <cellStyle name="Normal 15 3 6" xfId="1178" xr:uid="{00000000-0005-0000-0000-000052020000}"/>
    <cellStyle name="Normal 15 3 7" xfId="1353" xr:uid="{00000000-0005-0000-0000-000053020000}"/>
    <cellStyle name="Normal 15 3 8" xfId="1546" xr:uid="{00000000-0005-0000-0000-000054020000}"/>
    <cellStyle name="Normal 15 3 9" xfId="1717" xr:uid="{00000000-0005-0000-0000-000055020000}"/>
    <cellStyle name="Normal 16" xfId="59" xr:uid="{00000000-0005-0000-0000-000056020000}"/>
    <cellStyle name="Normal 16 2" xfId="362" xr:uid="{00000000-0005-0000-0000-000057020000}"/>
    <cellStyle name="Normal 16 2 10" xfId="1873" xr:uid="{00000000-0005-0000-0000-000058020000}"/>
    <cellStyle name="Normal 16 2 11" xfId="2020" xr:uid="{00000000-0005-0000-0000-000059020000}"/>
    <cellStyle name="Normal 16 2 12" xfId="2163" xr:uid="{00000000-0005-0000-0000-00005A020000}"/>
    <cellStyle name="Normal 16 2 13" xfId="2312" xr:uid="{00000000-0005-0000-0000-00005B020000}"/>
    <cellStyle name="Normal 16 2 14" xfId="2461" xr:uid="{00000000-0005-0000-0000-00005C020000}"/>
    <cellStyle name="Normal 16 2 2" xfId="534" xr:uid="{00000000-0005-0000-0000-00005D020000}"/>
    <cellStyle name="Normal 16 2 3" xfId="684" xr:uid="{00000000-0005-0000-0000-00005E020000}"/>
    <cellStyle name="Normal 16 2 4" xfId="834" xr:uid="{00000000-0005-0000-0000-00005F020000}"/>
    <cellStyle name="Normal 16 2 5" xfId="1011" xr:uid="{00000000-0005-0000-0000-000060020000}"/>
    <cellStyle name="Normal 16 2 6" xfId="1179" xr:uid="{00000000-0005-0000-0000-000061020000}"/>
    <cellStyle name="Normal 16 2 7" xfId="1354" xr:uid="{00000000-0005-0000-0000-000062020000}"/>
    <cellStyle name="Normal 16 2 8" xfId="1547" xr:uid="{00000000-0005-0000-0000-000063020000}"/>
    <cellStyle name="Normal 16 2 9" xfId="1718" xr:uid="{00000000-0005-0000-0000-000064020000}"/>
    <cellStyle name="Normal 16 3" xfId="363" xr:uid="{00000000-0005-0000-0000-000065020000}"/>
    <cellStyle name="Normal 16 3 10" xfId="1874" xr:uid="{00000000-0005-0000-0000-000066020000}"/>
    <cellStyle name="Normal 16 3 11" xfId="2021" xr:uid="{00000000-0005-0000-0000-000067020000}"/>
    <cellStyle name="Normal 16 3 12" xfId="2164" xr:uid="{00000000-0005-0000-0000-000068020000}"/>
    <cellStyle name="Normal 16 3 13" xfId="2313" xr:uid="{00000000-0005-0000-0000-000069020000}"/>
    <cellStyle name="Normal 16 3 14" xfId="2462" xr:uid="{00000000-0005-0000-0000-00006A020000}"/>
    <cellStyle name="Normal 16 3 2" xfId="535" xr:uid="{00000000-0005-0000-0000-00006B020000}"/>
    <cellStyle name="Normal 16 3 3" xfId="685" xr:uid="{00000000-0005-0000-0000-00006C020000}"/>
    <cellStyle name="Normal 16 3 4" xfId="835" xr:uid="{00000000-0005-0000-0000-00006D020000}"/>
    <cellStyle name="Normal 16 3 5" xfId="1012" xr:uid="{00000000-0005-0000-0000-00006E020000}"/>
    <cellStyle name="Normal 16 3 6" xfId="1180" xr:uid="{00000000-0005-0000-0000-00006F020000}"/>
    <cellStyle name="Normal 16 3 7" xfId="1355" xr:uid="{00000000-0005-0000-0000-000070020000}"/>
    <cellStyle name="Normal 16 3 8" xfId="1548" xr:uid="{00000000-0005-0000-0000-000071020000}"/>
    <cellStyle name="Normal 16 3 9" xfId="1719" xr:uid="{00000000-0005-0000-0000-000072020000}"/>
    <cellStyle name="Normal 17" xfId="2605" xr:uid="{00000000-0005-0000-0000-000073020000}"/>
    <cellStyle name="Normal 17 2" xfId="364" xr:uid="{00000000-0005-0000-0000-000074020000}"/>
    <cellStyle name="Normal 17 2 10" xfId="1875" xr:uid="{00000000-0005-0000-0000-000075020000}"/>
    <cellStyle name="Normal 17 2 11" xfId="2022" xr:uid="{00000000-0005-0000-0000-000076020000}"/>
    <cellStyle name="Normal 17 2 12" xfId="2165" xr:uid="{00000000-0005-0000-0000-000077020000}"/>
    <cellStyle name="Normal 17 2 13" xfId="2314" xr:uid="{00000000-0005-0000-0000-000078020000}"/>
    <cellStyle name="Normal 17 2 14" xfId="2463" xr:uid="{00000000-0005-0000-0000-000079020000}"/>
    <cellStyle name="Normal 17 2 2" xfId="536" xr:uid="{00000000-0005-0000-0000-00007A020000}"/>
    <cellStyle name="Normal 17 2 3" xfId="686" xr:uid="{00000000-0005-0000-0000-00007B020000}"/>
    <cellStyle name="Normal 17 2 4" xfId="836" xr:uid="{00000000-0005-0000-0000-00007C020000}"/>
    <cellStyle name="Normal 17 2 5" xfId="1013" xr:uid="{00000000-0005-0000-0000-00007D020000}"/>
    <cellStyle name="Normal 17 2 6" xfId="1181" xr:uid="{00000000-0005-0000-0000-00007E020000}"/>
    <cellStyle name="Normal 17 2 7" xfId="1356" xr:uid="{00000000-0005-0000-0000-00007F020000}"/>
    <cellStyle name="Normal 17 2 8" xfId="1549" xr:uid="{00000000-0005-0000-0000-000080020000}"/>
    <cellStyle name="Normal 17 2 9" xfId="1720" xr:uid="{00000000-0005-0000-0000-000081020000}"/>
    <cellStyle name="Normal 17 3" xfId="365" xr:uid="{00000000-0005-0000-0000-000082020000}"/>
    <cellStyle name="Normal 17 3 10" xfId="1876" xr:uid="{00000000-0005-0000-0000-000083020000}"/>
    <cellStyle name="Normal 17 3 11" xfId="2023" xr:uid="{00000000-0005-0000-0000-000084020000}"/>
    <cellStyle name="Normal 17 3 12" xfId="2166" xr:uid="{00000000-0005-0000-0000-000085020000}"/>
    <cellStyle name="Normal 17 3 13" xfId="2315" xr:uid="{00000000-0005-0000-0000-000086020000}"/>
    <cellStyle name="Normal 17 3 14" xfId="2464" xr:uid="{00000000-0005-0000-0000-000087020000}"/>
    <cellStyle name="Normal 17 3 2" xfId="537" xr:uid="{00000000-0005-0000-0000-000088020000}"/>
    <cellStyle name="Normal 17 3 3" xfId="687" xr:uid="{00000000-0005-0000-0000-000089020000}"/>
    <cellStyle name="Normal 17 3 4" xfId="837" xr:uid="{00000000-0005-0000-0000-00008A020000}"/>
    <cellStyle name="Normal 17 3 5" xfId="1014" xr:uid="{00000000-0005-0000-0000-00008B020000}"/>
    <cellStyle name="Normal 17 3 6" xfId="1182" xr:uid="{00000000-0005-0000-0000-00008C020000}"/>
    <cellStyle name="Normal 17 3 7" xfId="1357" xr:uid="{00000000-0005-0000-0000-00008D020000}"/>
    <cellStyle name="Normal 17 3 8" xfId="1550" xr:uid="{00000000-0005-0000-0000-00008E020000}"/>
    <cellStyle name="Normal 17 3 9" xfId="1721" xr:uid="{00000000-0005-0000-0000-00008F020000}"/>
    <cellStyle name="Normal 18" xfId="123" xr:uid="{00000000-0005-0000-0000-000090020000}"/>
    <cellStyle name="Normal 18 2" xfId="366" xr:uid="{00000000-0005-0000-0000-000091020000}"/>
    <cellStyle name="Normal 18 2 10" xfId="1877" xr:uid="{00000000-0005-0000-0000-000092020000}"/>
    <cellStyle name="Normal 18 2 11" xfId="2024" xr:uid="{00000000-0005-0000-0000-000093020000}"/>
    <cellStyle name="Normal 18 2 12" xfId="2167" xr:uid="{00000000-0005-0000-0000-000094020000}"/>
    <cellStyle name="Normal 18 2 13" xfId="2316" xr:uid="{00000000-0005-0000-0000-000095020000}"/>
    <cellStyle name="Normal 18 2 14" xfId="2465" xr:uid="{00000000-0005-0000-0000-000096020000}"/>
    <cellStyle name="Normal 18 2 2" xfId="538" xr:uid="{00000000-0005-0000-0000-000097020000}"/>
    <cellStyle name="Normal 18 2 3" xfId="688" xr:uid="{00000000-0005-0000-0000-000098020000}"/>
    <cellStyle name="Normal 18 2 4" xfId="838" xr:uid="{00000000-0005-0000-0000-000099020000}"/>
    <cellStyle name="Normal 18 2 5" xfId="1015" xr:uid="{00000000-0005-0000-0000-00009A020000}"/>
    <cellStyle name="Normal 18 2 6" xfId="1183" xr:uid="{00000000-0005-0000-0000-00009B020000}"/>
    <cellStyle name="Normal 18 2 7" xfId="1358" xr:uid="{00000000-0005-0000-0000-00009C020000}"/>
    <cellStyle name="Normal 18 2 8" xfId="1551" xr:uid="{00000000-0005-0000-0000-00009D020000}"/>
    <cellStyle name="Normal 18 2 9" xfId="1722" xr:uid="{00000000-0005-0000-0000-00009E020000}"/>
    <cellStyle name="Normal 18 3" xfId="367" xr:uid="{00000000-0005-0000-0000-00009F020000}"/>
    <cellStyle name="Normal 18 3 10" xfId="1878" xr:uid="{00000000-0005-0000-0000-0000A0020000}"/>
    <cellStyle name="Normal 18 3 11" xfId="2025" xr:uid="{00000000-0005-0000-0000-0000A1020000}"/>
    <cellStyle name="Normal 18 3 12" xfId="2168" xr:uid="{00000000-0005-0000-0000-0000A2020000}"/>
    <cellStyle name="Normal 18 3 13" xfId="2317" xr:uid="{00000000-0005-0000-0000-0000A3020000}"/>
    <cellStyle name="Normal 18 3 14" xfId="2466" xr:uid="{00000000-0005-0000-0000-0000A4020000}"/>
    <cellStyle name="Normal 18 3 2" xfId="539" xr:uid="{00000000-0005-0000-0000-0000A5020000}"/>
    <cellStyle name="Normal 18 3 3" xfId="689" xr:uid="{00000000-0005-0000-0000-0000A6020000}"/>
    <cellStyle name="Normal 18 3 4" xfId="839" xr:uid="{00000000-0005-0000-0000-0000A7020000}"/>
    <cellStyle name="Normal 18 3 5" xfId="1016" xr:uid="{00000000-0005-0000-0000-0000A8020000}"/>
    <cellStyle name="Normal 18 3 6" xfId="1184" xr:uid="{00000000-0005-0000-0000-0000A9020000}"/>
    <cellStyle name="Normal 18 3 7" xfId="1359" xr:uid="{00000000-0005-0000-0000-0000AA020000}"/>
    <cellStyle name="Normal 18 3 8" xfId="1552" xr:uid="{00000000-0005-0000-0000-0000AB020000}"/>
    <cellStyle name="Normal 18 3 9" xfId="1723" xr:uid="{00000000-0005-0000-0000-0000AC020000}"/>
    <cellStyle name="Normal 19" xfId="125" xr:uid="{00000000-0005-0000-0000-0000AD020000}"/>
    <cellStyle name="Normal 19 2" xfId="369" xr:uid="{00000000-0005-0000-0000-0000AE020000}"/>
    <cellStyle name="Normal 19 2 10" xfId="1879" xr:uid="{00000000-0005-0000-0000-0000AF020000}"/>
    <cellStyle name="Normal 19 2 11" xfId="2026" xr:uid="{00000000-0005-0000-0000-0000B0020000}"/>
    <cellStyle name="Normal 19 2 12" xfId="2169" xr:uid="{00000000-0005-0000-0000-0000B1020000}"/>
    <cellStyle name="Normal 19 2 13" xfId="2318" xr:uid="{00000000-0005-0000-0000-0000B2020000}"/>
    <cellStyle name="Normal 19 2 14" xfId="2467" xr:uid="{00000000-0005-0000-0000-0000B3020000}"/>
    <cellStyle name="Normal 19 2 2" xfId="540" xr:uid="{00000000-0005-0000-0000-0000B4020000}"/>
    <cellStyle name="Normal 19 2 3" xfId="690" xr:uid="{00000000-0005-0000-0000-0000B5020000}"/>
    <cellStyle name="Normal 19 2 4" xfId="840" xr:uid="{00000000-0005-0000-0000-0000B6020000}"/>
    <cellStyle name="Normal 19 2 5" xfId="1017" xr:uid="{00000000-0005-0000-0000-0000B7020000}"/>
    <cellStyle name="Normal 19 2 6" xfId="1185" xr:uid="{00000000-0005-0000-0000-0000B8020000}"/>
    <cellStyle name="Normal 19 2 7" xfId="1360" xr:uid="{00000000-0005-0000-0000-0000B9020000}"/>
    <cellStyle name="Normal 19 2 8" xfId="1553" xr:uid="{00000000-0005-0000-0000-0000BA020000}"/>
    <cellStyle name="Normal 19 2 9" xfId="1724" xr:uid="{00000000-0005-0000-0000-0000BB020000}"/>
    <cellStyle name="Normal 19 3" xfId="370" xr:uid="{00000000-0005-0000-0000-0000BC020000}"/>
    <cellStyle name="Normal 19 3 10" xfId="1880" xr:uid="{00000000-0005-0000-0000-0000BD020000}"/>
    <cellStyle name="Normal 19 3 11" xfId="2027" xr:uid="{00000000-0005-0000-0000-0000BE020000}"/>
    <cellStyle name="Normal 19 3 12" xfId="2170" xr:uid="{00000000-0005-0000-0000-0000BF020000}"/>
    <cellStyle name="Normal 19 3 13" xfId="2319" xr:uid="{00000000-0005-0000-0000-0000C0020000}"/>
    <cellStyle name="Normal 19 3 14" xfId="2468" xr:uid="{00000000-0005-0000-0000-0000C1020000}"/>
    <cellStyle name="Normal 19 3 2" xfId="541" xr:uid="{00000000-0005-0000-0000-0000C2020000}"/>
    <cellStyle name="Normal 19 3 3" xfId="691" xr:uid="{00000000-0005-0000-0000-0000C3020000}"/>
    <cellStyle name="Normal 19 3 4" xfId="841" xr:uid="{00000000-0005-0000-0000-0000C4020000}"/>
    <cellStyle name="Normal 19 3 5" xfId="1018" xr:uid="{00000000-0005-0000-0000-0000C5020000}"/>
    <cellStyle name="Normal 19 3 6" xfId="1186" xr:uid="{00000000-0005-0000-0000-0000C6020000}"/>
    <cellStyle name="Normal 19 3 7" xfId="1361" xr:uid="{00000000-0005-0000-0000-0000C7020000}"/>
    <cellStyle name="Normal 19 3 8" xfId="1554" xr:uid="{00000000-0005-0000-0000-0000C8020000}"/>
    <cellStyle name="Normal 19 3 9" xfId="1725" xr:uid="{00000000-0005-0000-0000-0000C9020000}"/>
    <cellStyle name="Normal 19 4" xfId="368" xr:uid="{00000000-0005-0000-0000-0000CA020000}"/>
    <cellStyle name="Normal 2" xfId="2" xr:uid="{00000000-0005-0000-0000-0000CB020000}"/>
    <cellStyle name="Normal 2 2" xfId="371" xr:uid="{00000000-0005-0000-0000-0000CC020000}"/>
    <cellStyle name="Normal 2 2 2" xfId="2616" xr:uid="{00000000-0005-0000-0000-0000CD020000}"/>
    <cellStyle name="Normal 2 3" xfId="2596" xr:uid="{00000000-0005-0000-0000-0000CE020000}"/>
    <cellStyle name="Normal 20" xfId="127" xr:uid="{00000000-0005-0000-0000-0000CF020000}"/>
    <cellStyle name="Normal 20 2" xfId="373" xr:uid="{00000000-0005-0000-0000-0000D0020000}"/>
    <cellStyle name="Normal 20 2 10" xfId="1883" xr:uid="{00000000-0005-0000-0000-0000D1020000}"/>
    <cellStyle name="Normal 20 2 11" xfId="2030" xr:uid="{00000000-0005-0000-0000-0000D2020000}"/>
    <cellStyle name="Normal 20 2 12" xfId="2171" xr:uid="{00000000-0005-0000-0000-0000D3020000}"/>
    <cellStyle name="Normal 20 2 13" xfId="2320" xr:uid="{00000000-0005-0000-0000-0000D4020000}"/>
    <cellStyle name="Normal 20 2 14" xfId="2469" xr:uid="{00000000-0005-0000-0000-0000D5020000}"/>
    <cellStyle name="Normal 20 2 2" xfId="544" xr:uid="{00000000-0005-0000-0000-0000D6020000}"/>
    <cellStyle name="Normal 20 2 3" xfId="692" xr:uid="{00000000-0005-0000-0000-0000D7020000}"/>
    <cellStyle name="Normal 20 2 4" xfId="842" xr:uid="{00000000-0005-0000-0000-0000D8020000}"/>
    <cellStyle name="Normal 20 2 5" xfId="1021" xr:uid="{00000000-0005-0000-0000-0000D9020000}"/>
    <cellStyle name="Normal 20 2 6" xfId="1187" xr:uid="{00000000-0005-0000-0000-0000DA020000}"/>
    <cellStyle name="Normal 20 2 7" xfId="1364" xr:uid="{00000000-0005-0000-0000-0000DB020000}"/>
    <cellStyle name="Normal 20 2 8" xfId="1555" xr:uid="{00000000-0005-0000-0000-0000DC020000}"/>
    <cellStyle name="Normal 20 2 9" xfId="1726" xr:uid="{00000000-0005-0000-0000-0000DD020000}"/>
    <cellStyle name="Normal 20 3" xfId="374" xr:uid="{00000000-0005-0000-0000-0000DE020000}"/>
    <cellStyle name="Normal 20 3 10" xfId="1884" xr:uid="{00000000-0005-0000-0000-0000DF020000}"/>
    <cellStyle name="Normal 20 3 11" xfId="2031" xr:uid="{00000000-0005-0000-0000-0000E0020000}"/>
    <cellStyle name="Normal 20 3 12" xfId="2172" xr:uid="{00000000-0005-0000-0000-0000E1020000}"/>
    <cellStyle name="Normal 20 3 13" xfId="2321" xr:uid="{00000000-0005-0000-0000-0000E2020000}"/>
    <cellStyle name="Normal 20 3 14" xfId="2470" xr:uid="{00000000-0005-0000-0000-0000E3020000}"/>
    <cellStyle name="Normal 20 3 2" xfId="545" xr:uid="{00000000-0005-0000-0000-0000E4020000}"/>
    <cellStyle name="Normal 20 3 3" xfId="693" xr:uid="{00000000-0005-0000-0000-0000E5020000}"/>
    <cellStyle name="Normal 20 3 4" xfId="843" xr:uid="{00000000-0005-0000-0000-0000E6020000}"/>
    <cellStyle name="Normal 20 3 5" xfId="1022" xr:uid="{00000000-0005-0000-0000-0000E7020000}"/>
    <cellStyle name="Normal 20 3 6" xfId="1188" xr:uid="{00000000-0005-0000-0000-0000E8020000}"/>
    <cellStyle name="Normal 20 3 7" xfId="1365" xr:uid="{00000000-0005-0000-0000-0000E9020000}"/>
    <cellStyle name="Normal 20 3 8" xfId="1556" xr:uid="{00000000-0005-0000-0000-0000EA020000}"/>
    <cellStyle name="Normal 20 3 9" xfId="1727" xr:uid="{00000000-0005-0000-0000-0000EB020000}"/>
    <cellStyle name="Normal 20 4" xfId="372" xr:uid="{00000000-0005-0000-0000-0000EC020000}"/>
    <cellStyle name="Normal 21" xfId="124" xr:uid="{00000000-0005-0000-0000-0000ED020000}"/>
    <cellStyle name="Normal 21 2" xfId="375" xr:uid="{00000000-0005-0000-0000-0000EE020000}"/>
    <cellStyle name="Normal 21 2 10" xfId="1885" xr:uid="{00000000-0005-0000-0000-0000EF020000}"/>
    <cellStyle name="Normal 21 2 11" xfId="2032" xr:uid="{00000000-0005-0000-0000-0000F0020000}"/>
    <cellStyle name="Normal 21 2 12" xfId="2173" xr:uid="{00000000-0005-0000-0000-0000F1020000}"/>
    <cellStyle name="Normal 21 2 13" xfId="2322" xr:uid="{00000000-0005-0000-0000-0000F2020000}"/>
    <cellStyle name="Normal 21 2 14" xfId="2471" xr:uid="{00000000-0005-0000-0000-0000F3020000}"/>
    <cellStyle name="Normal 21 2 2" xfId="546" xr:uid="{00000000-0005-0000-0000-0000F4020000}"/>
    <cellStyle name="Normal 21 2 3" xfId="694" xr:uid="{00000000-0005-0000-0000-0000F5020000}"/>
    <cellStyle name="Normal 21 2 4" xfId="844" xr:uid="{00000000-0005-0000-0000-0000F6020000}"/>
    <cellStyle name="Normal 21 2 5" xfId="1023" xr:uid="{00000000-0005-0000-0000-0000F7020000}"/>
    <cellStyle name="Normal 21 2 6" xfId="1189" xr:uid="{00000000-0005-0000-0000-0000F8020000}"/>
    <cellStyle name="Normal 21 2 7" xfId="1366" xr:uid="{00000000-0005-0000-0000-0000F9020000}"/>
    <cellStyle name="Normal 21 2 8" xfId="1557" xr:uid="{00000000-0005-0000-0000-0000FA020000}"/>
    <cellStyle name="Normal 21 2 9" xfId="1728" xr:uid="{00000000-0005-0000-0000-0000FB020000}"/>
    <cellStyle name="Normal 21 3" xfId="376" xr:uid="{00000000-0005-0000-0000-0000FC020000}"/>
    <cellStyle name="Normal 21 3 10" xfId="1886" xr:uid="{00000000-0005-0000-0000-0000FD020000}"/>
    <cellStyle name="Normal 21 3 11" xfId="2033" xr:uid="{00000000-0005-0000-0000-0000FE020000}"/>
    <cellStyle name="Normal 21 3 12" xfId="2174" xr:uid="{00000000-0005-0000-0000-0000FF020000}"/>
    <cellStyle name="Normal 21 3 13" xfId="2323" xr:uid="{00000000-0005-0000-0000-000000030000}"/>
    <cellStyle name="Normal 21 3 14" xfId="2472" xr:uid="{00000000-0005-0000-0000-000001030000}"/>
    <cellStyle name="Normal 21 3 2" xfId="547" xr:uid="{00000000-0005-0000-0000-000002030000}"/>
    <cellStyle name="Normal 21 3 3" xfId="695" xr:uid="{00000000-0005-0000-0000-000003030000}"/>
    <cellStyle name="Normal 21 3 4" xfId="845" xr:uid="{00000000-0005-0000-0000-000004030000}"/>
    <cellStyle name="Normal 21 3 5" xfId="1024" xr:uid="{00000000-0005-0000-0000-000005030000}"/>
    <cellStyle name="Normal 21 3 6" xfId="1190" xr:uid="{00000000-0005-0000-0000-000006030000}"/>
    <cellStyle name="Normal 21 3 7" xfId="1367" xr:uid="{00000000-0005-0000-0000-000007030000}"/>
    <cellStyle name="Normal 21 3 8" xfId="1558" xr:uid="{00000000-0005-0000-0000-000008030000}"/>
    <cellStyle name="Normal 21 3 9" xfId="1729" xr:uid="{00000000-0005-0000-0000-000009030000}"/>
    <cellStyle name="Normal 22" xfId="126" xr:uid="{00000000-0005-0000-0000-00000A030000}"/>
    <cellStyle name="Normal 22 2" xfId="377" xr:uid="{00000000-0005-0000-0000-00000B030000}"/>
    <cellStyle name="Normal 22 2 10" xfId="1887" xr:uid="{00000000-0005-0000-0000-00000C030000}"/>
    <cellStyle name="Normal 22 2 11" xfId="2034" xr:uid="{00000000-0005-0000-0000-00000D030000}"/>
    <cellStyle name="Normal 22 2 12" xfId="2175" xr:uid="{00000000-0005-0000-0000-00000E030000}"/>
    <cellStyle name="Normal 22 2 13" xfId="2324" xr:uid="{00000000-0005-0000-0000-00000F030000}"/>
    <cellStyle name="Normal 22 2 14" xfId="2473" xr:uid="{00000000-0005-0000-0000-000010030000}"/>
    <cellStyle name="Normal 22 2 2" xfId="548" xr:uid="{00000000-0005-0000-0000-000011030000}"/>
    <cellStyle name="Normal 22 2 3" xfId="696" xr:uid="{00000000-0005-0000-0000-000012030000}"/>
    <cellStyle name="Normal 22 2 4" xfId="846" xr:uid="{00000000-0005-0000-0000-000013030000}"/>
    <cellStyle name="Normal 22 2 5" xfId="1025" xr:uid="{00000000-0005-0000-0000-000014030000}"/>
    <cellStyle name="Normal 22 2 6" xfId="1191" xr:uid="{00000000-0005-0000-0000-000015030000}"/>
    <cellStyle name="Normal 22 2 7" xfId="1368" xr:uid="{00000000-0005-0000-0000-000016030000}"/>
    <cellStyle name="Normal 22 2 8" xfId="1559" xr:uid="{00000000-0005-0000-0000-000017030000}"/>
    <cellStyle name="Normal 22 2 9" xfId="1730" xr:uid="{00000000-0005-0000-0000-000018030000}"/>
    <cellStyle name="Normal 22 3" xfId="378" xr:uid="{00000000-0005-0000-0000-000019030000}"/>
    <cellStyle name="Normal 22 3 10" xfId="1888" xr:uid="{00000000-0005-0000-0000-00001A030000}"/>
    <cellStyle name="Normal 22 3 11" xfId="2035" xr:uid="{00000000-0005-0000-0000-00001B030000}"/>
    <cellStyle name="Normal 22 3 12" xfId="2176" xr:uid="{00000000-0005-0000-0000-00001C030000}"/>
    <cellStyle name="Normal 22 3 13" xfId="2325" xr:uid="{00000000-0005-0000-0000-00001D030000}"/>
    <cellStyle name="Normal 22 3 14" xfId="2474" xr:uid="{00000000-0005-0000-0000-00001E030000}"/>
    <cellStyle name="Normal 22 3 2" xfId="549" xr:uid="{00000000-0005-0000-0000-00001F030000}"/>
    <cellStyle name="Normal 22 3 3" xfId="697" xr:uid="{00000000-0005-0000-0000-000020030000}"/>
    <cellStyle name="Normal 22 3 4" xfId="847" xr:uid="{00000000-0005-0000-0000-000021030000}"/>
    <cellStyle name="Normal 22 3 5" xfId="1026" xr:uid="{00000000-0005-0000-0000-000022030000}"/>
    <cellStyle name="Normal 22 3 6" xfId="1192" xr:uid="{00000000-0005-0000-0000-000023030000}"/>
    <cellStyle name="Normal 22 3 7" xfId="1369" xr:uid="{00000000-0005-0000-0000-000024030000}"/>
    <cellStyle name="Normal 22 3 8" xfId="1560" xr:uid="{00000000-0005-0000-0000-000025030000}"/>
    <cellStyle name="Normal 22 3 9" xfId="1731" xr:uid="{00000000-0005-0000-0000-000026030000}"/>
    <cellStyle name="Normal 23" xfId="134" xr:uid="{00000000-0005-0000-0000-000027030000}"/>
    <cellStyle name="Normal 23 2" xfId="379" xr:uid="{00000000-0005-0000-0000-000028030000}"/>
    <cellStyle name="Normal 23 2 10" xfId="1889" xr:uid="{00000000-0005-0000-0000-000029030000}"/>
    <cellStyle name="Normal 23 2 11" xfId="2036" xr:uid="{00000000-0005-0000-0000-00002A030000}"/>
    <cellStyle name="Normal 23 2 12" xfId="2177" xr:uid="{00000000-0005-0000-0000-00002B030000}"/>
    <cellStyle name="Normal 23 2 13" xfId="2326" xr:uid="{00000000-0005-0000-0000-00002C030000}"/>
    <cellStyle name="Normal 23 2 14" xfId="2475" xr:uid="{00000000-0005-0000-0000-00002D030000}"/>
    <cellStyle name="Normal 23 2 2" xfId="550" xr:uid="{00000000-0005-0000-0000-00002E030000}"/>
    <cellStyle name="Normal 23 2 3" xfId="698" xr:uid="{00000000-0005-0000-0000-00002F030000}"/>
    <cellStyle name="Normal 23 2 4" xfId="848" xr:uid="{00000000-0005-0000-0000-000030030000}"/>
    <cellStyle name="Normal 23 2 5" xfId="1027" xr:uid="{00000000-0005-0000-0000-000031030000}"/>
    <cellStyle name="Normal 23 2 6" xfId="1193" xr:uid="{00000000-0005-0000-0000-000032030000}"/>
    <cellStyle name="Normal 23 2 7" xfId="1370" xr:uid="{00000000-0005-0000-0000-000033030000}"/>
    <cellStyle name="Normal 23 2 8" xfId="1561" xr:uid="{00000000-0005-0000-0000-000034030000}"/>
    <cellStyle name="Normal 23 2 9" xfId="1732" xr:uid="{00000000-0005-0000-0000-000035030000}"/>
    <cellStyle name="Normal 23 3" xfId="380" xr:uid="{00000000-0005-0000-0000-000036030000}"/>
    <cellStyle name="Normal 23 3 10" xfId="1890" xr:uid="{00000000-0005-0000-0000-000037030000}"/>
    <cellStyle name="Normal 23 3 11" xfId="2037" xr:uid="{00000000-0005-0000-0000-000038030000}"/>
    <cellStyle name="Normal 23 3 12" xfId="2178" xr:uid="{00000000-0005-0000-0000-000039030000}"/>
    <cellStyle name="Normal 23 3 13" xfId="2327" xr:uid="{00000000-0005-0000-0000-00003A030000}"/>
    <cellStyle name="Normal 23 3 14" xfId="2476" xr:uid="{00000000-0005-0000-0000-00003B030000}"/>
    <cellStyle name="Normal 23 3 2" xfId="551" xr:uid="{00000000-0005-0000-0000-00003C030000}"/>
    <cellStyle name="Normal 23 3 3" xfId="699" xr:uid="{00000000-0005-0000-0000-00003D030000}"/>
    <cellStyle name="Normal 23 3 4" xfId="849" xr:uid="{00000000-0005-0000-0000-00003E030000}"/>
    <cellStyle name="Normal 23 3 5" xfId="1028" xr:uid="{00000000-0005-0000-0000-00003F030000}"/>
    <cellStyle name="Normal 23 3 6" xfId="1194" xr:uid="{00000000-0005-0000-0000-000040030000}"/>
    <cellStyle name="Normal 23 3 7" xfId="1371" xr:uid="{00000000-0005-0000-0000-000041030000}"/>
    <cellStyle name="Normal 23 3 8" xfId="1562" xr:uid="{00000000-0005-0000-0000-000042030000}"/>
    <cellStyle name="Normal 23 3 9" xfId="1733" xr:uid="{00000000-0005-0000-0000-000043030000}"/>
    <cellStyle name="Normal 24" xfId="2606" xr:uid="{00000000-0005-0000-0000-000044030000}"/>
    <cellStyle name="Normal 25" xfId="381" xr:uid="{00000000-0005-0000-0000-000045030000}"/>
    <cellStyle name="Normal 26" xfId="552" xr:uid="{00000000-0005-0000-0000-000046030000}"/>
    <cellStyle name="Normal 27" xfId="131" xr:uid="{00000000-0005-0000-0000-000047030000}"/>
    <cellStyle name="Normal 27 2" xfId="382" xr:uid="{00000000-0005-0000-0000-000048030000}"/>
    <cellStyle name="Normal 27 3" xfId="553" xr:uid="{00000000-0005-0000-0000-000049030000}"/>
    <cellStyle name="Normal 27 4" xfId="700" xr:uid="{00000000-0005-0000-0000-00004A030000}"/>
    <cellStyle name="Normal 28" xfId="132" xr:uid="{00000000-0005-0000-0000-00004B030000}"/>
    <cellStyle name="Normal 28 2" xfId="383" xr:uid="{00000000-0005-0000-0000-00004C030000}"/>
    <cellStyle name="Normal 28 3" xfId="554" xr:uid="{00000000-0005-0000-0000-00004D030000}"/>
    <cellStyle name="Normal 28 4" xfId="701" xr:uid="{00000000-0005-0000-0000-00004E030000}"/>
    <cellStyle name="Normal 28 5" xfId="850" xr:uid="{00000000-0005-0000-0000-00004F030000}"/>
    <cellStyle name="Normal 28 6" xfId="1029" xr:uid="{00000000-0005-0000-0000-000050030000}"/>
    <cellStyle name="Normal 28 7" xfId="1195" xr:uid="{00000000-0005-0000-0000-000051030000}"/>
    <cellStyle name="Normal 28 8" xfId="1372" xr:uid="{00000000-0005-0000-0000-000052030000}"/>
    <cellStyle name="Normal 28 9" xfId="1563" xr:uid="{00000000-0005-0000-0000-000053030000}"/>
    <cellStyle name="Normal 29" xfId="130" xr:uid="{00000000-0005-0000-0000-000054030000}"/>
    <cellStyle name="Normal 29 2" xfId="384" xr:uid="{00000000-0005-0000-0000-000055030000}"/>
    <cellStyle name="Normal 29 3" xfId="555" xr:uid="{00000000-0005-0000-0000-000056030000}"/>
    <cellStyle name="Normal 29 4" xfId="702" xr:uid="{00000000-0005-0000-0000-000057030000}"/>
    <cellStyle name="Normal 29 5" xfId="851" xr:uid="{00000000-0005-0000-0000-000058030000}"/>
    <cellStyle name="Normal 3" xfId="192" xr:uid="{00000000-0005-0000-0000-000059030000}"/>
    <cellStyle name="Normal 3 2" xfId="385" xr:uid="{00000000-0005-0000-0000-00005A030000}"/>
    <cellStyle name="Normal 3 2 10" xfId="1891" xr:uid="{00000000-0005-0000-0000-00005B030000}"/>
    <cellStyle name="Normal 3 2 11" xfId="2038" xr:uid="{00000000-0005-0000-0000-00005C030000}"/>
    <cellStyle name="Normal 3 2 12" xfId="2179" xr:uid="{00000000-0005-0000-0000-00005D030000}"/>
    <cellStyle name="Normal 3 2 13" xfId="2328" xr:uid="{00000000-0005-0000-0000-00005E030000}"/>
    <cellStyle name="Normal 3 2 14" xfId="2477" xr:uid="{00000000-0005-0000-0000-00005F030000}"/>
    <cellStyle name="Normal 3 2 2" xfId="557" xr:uid="{00000000-0005-0000-0000-000060030000}"/>
    <cellStyle name="Normal 3 2 3" xfId="704" xr:uid="{00000000-0005-0000-0000-000061030000}"/>
    <cellStyle name="Normal 3 2 4" xfId="852" xr:uid="{00000000-0005-0000-0000-000062030000}"/>
    <cellStyle name="Normal 3 2 5" xfId="1030" xr:uid="{00000000-0005-0000-0000-000063030000}"/>
    <cellStyle name="Normal 3 2 6" xfId="1196" xr:uid="{00000000-0005-0000-0000-000064030000}"/>
    <cellStyle name="Normal 3 2 7" xfId="1373" xr:uid="{00000000-0005-0000-0000-000065030000}"/>
    <cellStyle name="Normal 3 2 8" xfId="1564" xr:uid="{00000000-0005-0000-0000-000066030000}"/>
    <cellStyle name="Normal 3 2 9" xfId="1734" xr:uid="{00000000-0005-0000-0000-000067030000}"/>
    <cellStyle name="Normal 3 3" xfId="386" xr:uid="{00000000-0005-0000-0000-000068030000}"/>
    <cellStyle name="Normal 3 3 10" xfId="1892" xr:uid="{00000000-0005-0000-0000-000069030000}"/>
    <cellStyle name="Normal 3 3 11" xfId="2039" xr:uid="{00000000-0005-0000-0000-00006A030000}"/>
    <cellStyle name="Normal 3 3 12" xfId="2180" xr:uid="{00000000-0005-0000-0000-00006B030000}"/>
    <cellStyle name="Normal 3 3 13" xfId="2329" xr:uid="{00000000-0005-0000-0000-00006C030000}"/>
    <cellStyle name="Normal 3 3 14" xfId="2478" xr:uid="{00000000-0005-0000-0000-00006D030000}"/>
    <cellStyle name="Normal 3 3 2" xfId="558" xr:uid="{00000000-0005-0000-0000-00006E030000}"/>
    <cellStyle name="Normal 3 3 3" xfId="705" xr:uid="{00000000-0005-0000-0000-00006F030000}"/>
    <cellStyle name="Normal 3 3 4" xfId="853" xr:uid="{00000000-0005-0000-0000-000070030000}"/>
    <cellStyle name="Normal 3 3 5" xfId="1031" xr:uid="{00000000-0005-0000-0000-000071030000}"/>
    <cellStyle name="Normal 3 3 6" xfId="1197" xr:uid="{00000000-0005-0000-0000-000072030000}"/>
    <cellStyle name="Normal 3 3 7" xfId="1374" xr:uid="{00000000-0005-0000-0000-000073030000}"/>
    <cellStyle name="Normal 3 3 8" xfId="1565" xr:uid="{00000000-0005-0000-0000-000074030000}"/>
    <cellStyle name="Normal 3 3 9" xfId="1735" xr:uid="{00000000-0005-0000-0000-000075030000}"/>
    <cellStyle name="Normal 3 4" xfId="556" xr:uid="{00000000-0005-0000-0000-000076030000}"/>
    <cellStyle name="Normal 3 5" xfId="703" xr:uid="{00000000-0005-0000-0000-000077030000}"/>
    <cellStyle name="Normal 30" xfId="133" xr:uid="{00000000-0005-0000-0000-000078030000}"/>
    <cellStyle name="Normal 30 2" xfId="387" xr:uid="{00000000-0005-0000-0000-000079030000}"/>
    <cellStyle name="Normal 30 3" xfId="559" xr:uid="{00000000-0005-0000-0000-00007A030000}"/>
    <cellStyle name="Normal 30 4" xfId="706" xr:uid="{00000000-0005-0000-0000-00007B030000}"/>
    <cellStyle name="Normal 31" xfId="388" xr:uid="{00000000-0005-0000-0000-00007C030000}"/>
    <cellStyle name="Normal 32" xfId="2609" xr:uid="{00000000-0005-0000-0000-00007D030000}"/>
    <cellStyle name="Normal 33" xfId="389" xr:uid="{00000000-0005-0000-0000-00007E030000}"/>
    <cellStyle name="Normal 34" xfId="390" xr:uid="{00000000-0005-0000-0000-00007F030000}"/>
    <cellStyle name="Normal 35" xfId="391" xr:uid="{00000000-0005-0000-0000-000080030000}"/>
    <cellStyle name="Normal 36" xfId="392" xr:uid="{00000000-0005-0000-0000-000081030000}"/>
    <cellStyle name="Normal 37" xfId="393" xr:uid="{00000000-0005-0000-0000-000082030000}"/>
    <cellStyle name="Normal 38" xfId="394" xr:uid="{00000000-0005-0000-0000-000083030000}"/>
    <cellStyle name="Normal 39" xfId="395" xr:uid="{00000000-0005-0000-0000-000084030000}"/>
    <cellStyle name="Normal 4" xfId="1689" xr:uid="{00000000-0005-0000-0000-000085030000}"/>
    <cellStyle name="Normal 4 2" xfId="396" xr:uid="{00000000-0005-0000-0000-000086030000}"/>
    <cellStyle name="Normal 4 2 10" xfId="1893" xr:uid="{00000000-0005-0000-0000-000087030000}"/>
    <cellStyle name="Normal 4 2 11" xfId="2040" xr:uid="{00000000-0005-0000-0000-000088030000}"/>
    <cellStyle name="Normal 4 2 12" xfId="2181" xr:uid="{00000000-0005-0000-0000-000089030000}"/>
    <cellStyle name="Normal 4 2 13" xfId="2330" xr:uid="{00000000-0005-0000-0000-00008A030000}"/>
    <cellStyle name="Normal 4 2 14" xfId="2479" xr:uid="{00000000-0005-0000-0000-00008B030000}"/>
    <cellStyle name="Normal 4 2 2" xfId="560" xr:uid="{00000000-0005-0000-0000-00008C030000}"/>
    <cellStyle name="Normal 4 2 3" xfId="707" xr:uid="{00000000-0005-0000-0000-00008D030000}"/>
    <cellStyle name="Normal 4 2 4" xfId="854" xr:uid="{00000000-0005-0000-0000-00008E030000}"/>
    <cellStyle name="Normal 4 2 5" xfId="1032" xr:uid="{00000000-0005-0000-0000-00008F030000}"/>
    <cellStyle name="Normal 4 2 6" xfId="1198" xr:uid="{00000000-0005-0000-0000-000090030000}"/>
    <cellStyle name="Normal 4 2 7" xfId="1375" xr:uid="{00000000-0005-0000-0000-000091030000}"/>
    <cellStyle name="Normal 4 2 8" xfId="1566" xr:uid="{00000000-0005-0000-0000-000092030000}"/>
    <cellStyle name="Normal 4 2 9" xfId="1736" xr:uid="{00000000-0005-0000-0000-000093030000}"/>
    <cellStyle name="Normal 4 3" xfId="397" xr:uid="{00000000-0005-0000-0000-000094030000}"/>
    <cellStyle name="Normal 4 3 10" xfId="1894" xr:uid="{00000000-0005-0000-0000-000095030000}"/>
    <cellStyle name="Normal 4 3 11" xfId="2041" xr:uid="{00000000-0005-0000-0000-000096030000}"/>
    <cellStyle name="Normal 4 3 12" xfId="2182" xr:uid="{00000000-0005-0000-0000-000097030000}"/>
    <cellStyle name="Normal 4 3 13" xfId="2331" xr:uid="{00000000-0005-0000-0000-000098030000}"/>
    <cellStyle name="Normal 4 3 14" xfId="2480" xr:uid="{00000000-0005-0000-0000-000099030000}"/>
    <cellStyle name="Normal 4 3 2" xfId="561" xr:uid="{00000000-0005-0000-0000-00009A030000}"/>
    <cellStyle name="Normal 4 3 3" xfId="708" xr:uid="{00000000-0005-0000-0000-00009B030000}"/>
    <cellStyle name="Normal 4 3 4" xfId="855" xr:uid="{00000000-0005-0000-0000-00009C030000}"/>
    <cellStyle name="Normal 4 3 5" xfId="1033" xr:uid="{00000000-0005-0000-0000-00009D030000}"/>
    <cellStyle name="Normal 4 3 6" xfId="1199" xr:uid="{00000000-0005-0000-0000-00009E030000}"/>
    <cellStyle name="Normal 4 3 7" xfId="1376" xr:uid="{00000000-0005-0000-0000-00009F030000}"/>
    <cellStyle name="Normal 4 3 8" xfId="1567" xr:uid="{00000000-0005-0000-0000-0000A0030000}"/>
    <cellStyle name="Normal 4 3 9" xfId="1737" xr:uid="{00000000-0005-0000-0000-0000A1030000}"/>
    <cellStyle name="Normal 40" xfId="398" xr:uid="{00000000-0005-0000-0000-0000A2030000}"/>
    <cellStyle name="Normal 41" xfId="399" xr:uid="{00000000-0005-0000-0000-0000A3030000}"/>
    <cellStyle name="Normal 42" xfId="400" xr:uid="{00000000-0005-0000-0000-0000A4030000}"/>
    <cellStyle name="Normal 43" xfId="401" xr:uid="{00000000-0005-0000-0000-0000A5030000}"/>
    <cellStyle name="Normal 44" xfId="2611" xr:uid="{00000000-0005-0000-0000-0000A6030000}"/>
    <cellStyle name="Normal 45" xfId="2614" xr:uid="{00000000-0005-0000-0000-0000A7030000}"/>
    <cellStyle name="Normal 46" xfId="2613" xr:uid="{00000000-0005-0000-0000-0000A8030000}"/>
    <cellStyle name="Normal 47" xfId="2617" xr:uid="{461B376A-31E1-4E99-837C-6F7A97540CF3}"/>
    <cellStyle name="Normal 5" xfId="574" xr:uid="{00000000-0005-0000-0000-0000A9030000}"/>
    <cellStyle name="Normal 5 2" xfId="402" xr:uid="{00000000-0005-0000-0000-0000AA030000}"/>
    <cellStyle name="Normal 5 2 10" xfId="1895" xr:uid="{00000000-0005-0000-0000-0000AB030000}"/>
    <cellStyle name="Normal 5 2 11" xfId="2042" xr:uid="{00000000-0005-0000-0000-0000AC030000}"/>
    <cellStyle name="Normal 5 2 12" xfId="2183" xr:uid="{00000000-0005-0000-0000-0000AD030000}"/>
    <cellStyle name="Normal 5 2 13" xfId="2332" xr:uid="{00000000-0005-0000-0000-0000AE030000}"/>
    <cellStyle name="Normal 5 2 14" xfId="2481" xr:uid="{00000000-0005-0000-0000-0000AF030000}"/>
    <cellStyle name="Normal 5 2 2" xfId="562" xr:uid="{00000000-0005-0000-0000-0000B0030000}"/>
    <cellStyle name="Normal 5 2 3" xfId="709" xr:uid="{00000000-0005-0000-0000-0000B1030000}"/>
    <cellStyle name="Normal 5 2 4" xfId="856" xr:uid="{00000000-0005-0000-0000-0000B2030000}"/>
    <cellStyle name="Normal 5 2 5" xfId="1034" xr:uid="{00000000-0005-0000-0000-0000B3030000}"/>
    <cellStyle name="Normal 5 2 6" xfId="1200" xr:uid="{00000000-0005-0000-0000-0000B4030000}"/>
    <cellStyle name="Normal 5 2 7" xfId="1377" xr:uid="{00000000-0005-0000-0000-0000B5030000}"/>
    <cellStyle name="Normal 5 2 8" xfId="1568" xr:uid="{00000000-0005-0000-0000-0000B6030000}"/>
    <cellStyle name="Normal 5 2 9" xfId="1738" xr:uid="{00000000-0005-0000-0000-0000B7030000}"/>
    <cellStyle name="Normal 5 3" xfId="403" xr:uid="{00000000-0005-0000-0000-0000B8030000}"/>
    <cellStyle name="Normal 5 3 10" xfId="1896" xr:uid="{00000000-0005-0000-0000-0000B9030000}"/>
    <cellStyle name="Normal 5 3 11" xfId="2043" xr:uid="{00000000-0005-0000-0000-0000BA030000}"/>
    <cellStyle name="Normal 5 3 12" xfId="2184" xr:uid="{00000000-0005-0000-0000-0000BB030000}"/>
    <cellStyle name="Normal 5 3 13" xfId="2333" xr:uid="{00000000-0005-0000-0000-0000BC030000}"/>
    <cellStyle name="Normal 5 3 14" xfId="2482" xr:uid="{00000000-0005-0000-0000-0000BD030000}"/>
    <cellStyle name="Normal 5 3 2" xfId="563" xr:uid="{00000000-0005-0000-0000-0000BE030000}"/>
    <cellStyle name="Normal 5 3 3" xfId="710" xr:uid="{00000000-0005-0000-0000-0000BF030000}"/>
    <cellStyle name="Normal 5 3 4" xfId="857" xr:uid="{00000000-0005-0000-0000-0000C0030000}"/>
    <cellStyle name="Normal 5 3 5" xfId="1035" xr:uid="{00000000-0005-0000-0000-0000C1030000}"/>
    <cellStyle name="Normal 5 3 6" xfId="1201" xr:uid="{00000000-0005-0000-0000-0000C2030000}"/>
    <cellStyle name="Normal 5 3 7" xfId="1378" xr:uid="{00000000-0005-0000-0000-0000C3030000}"/>
    <cellStyle name="Normal 5 3 8" xfId="1569" xr:uid="{00000000-0005-0000-0000-0000C4030000}"/>
    <cellStyle name="Normal 5 3 9" xfId="1739" xr:uid="{00000000-0005-0000-0000-0000C5030000}"/>
    <cellStyle name="Normal 6" xfId="52" xr:uid="{00000000-0005-0000-0000-0000C6030000}"/>
    <cellStyle name="Normal 6 2" xfId="98" xr:uid="{00000000-0005-0000-0000-0000C7030000}"/>
    <cellStyle name="Normal 6 2 10" xfId="1740" xr:uid="{00000000-0005-0000-0000-0000C8030000}"/>
    <cellStyle name="Normal 6 2 11" xfId="1897" xr:uid="{00000000-0005-0000-0000-0000C9030000}"/>
    <cellStyle name="Normal 6 2 12" xfId="2044" xr:uid="{00000000-0005-0000-0000-0000CA030000}"/>
    <cellStyle name="Normal 6 2 13" xfId="2185" xr:uid="{00000000-0005-0000-0000-0000CB030000}"/>
    <cellStyle name="Normal 6 2 14" xfId="2334" xr:uid="{00000000-0005-0000-0000-0000CC030000}"/>
    <cellStyle name="Normal 6 2 15" xfId="2483" xr:uid="{00000000-0005-0000-0000-0000CD030000}"/>
    <cellStyle name="Normal 6 2 2" xfId="404" xr:uid="{00000000-0005-0000-0000-0000CE030000}"/>
    <cellStyle name="Normal 6 2 3" xfId="565" xr:uid="{00000000-0005-0000-0000-0000CF030000}"/>
    <cellStyle name="Normal 6 2 4" xfId="712" xr:uid="{00000000-0005-0000-0000-0000D0030000}"/>
    <cellStyle name="Normal 6 2 5" xfId="858" xr:uid="{00000000-0005-0000-0000-0000D1030000}"/>
    <cellStyle name="Normal 6 2 6" xfId="1036" xr:uid="{00000000-0005-0000-0000-0000D2030000}"/>
    <cellStyle name="Normal 6 2 7" xfId="1202" xr:uid="{00000000-0005-0000-0000-0000D3030000}"/>
    <cellStyle name="Normal 6 2 8" xfId="1379" xr:uid="{00000000-0005-0000-0000-0000D4030000}"/>
    <cellStyle name="Normal 6 2 9" xfId="1570" xr:uid="{00000000-0005-0000-0000-0000D5030000}"/>
    <cellStyle name="Normal 6 3" xfId="154" xr:uid="{00000000-0005-0000-0000-0000D6030000}"/>
    <cellStyle name="Normal 6 3 10" xfId="1741" xr:uid="{00000000-0005-0000-0000-0000D7030000}"/>
    <cellStyle name="Normal 6 3 11" xfId="1898" xr:uid="{00000000-0005-0000-0000-0000D8030000}"/>
    <cellStyle name="Normal 6 3 12" xfId="2045" xr:uid="{00000000-0005-0000-0000-0000D9030000}"/>
    <cellStyle name="Normal 6 3 13" xfId="2186" xr:uid="{00000000-0005-0000-0000-0000DA030000}"/>
    <cellStyle name="Normal 6 3 14" xfId="2335" xr:uid="{00000000-0005-0000-0000-0000DB030000}"/>
    <cellStyle name="Normal 6 3 15" xfId="2484" xr:uid="{00000000-0005-0000-0000-0000DC030000}"/>
    <cellStyle name="Normal 6 3 2" xfId="405" xr:uid="{00000000-0005-0000-0000-0000DD030000}"/>
    <cellStyle name="Normal 6 3 3" xfId="566" xr:uid="{00000000-0005-0000-0000-0000DE030000}"/>
    <cellStyle name="Normal 6 3 4" xfId="713" xr:uid="{00000000-0005-0000-0000-0000DF030000}"/>
    <cellStyle name="Normal 6 3 5" xfId="859" xr:uid="{00000000-0005-0000-0000-0000E0030000}"/>
    <cellStyle name="Normal 6 3 6" xfId="1037" xr:uid="{00000000-0005-0000-0000-0000E1030000}"/>
    <cellStyle name="Normal 6 3 7" xfId="1203" xr:uid="{00000000-0005-0000-0000-0000E2030000}"/>
    <cellStyle name="Normal 6 3 8" xfId="1380" xr:uid="{00000000-0005-0000-0000-0000E3030000}"/>
    <cellStyle name="Normal 6 3 9" xfId="1571" xr:uid="{00000000-0005-0000-0000-0000E4030000}"/>
    <cellStyle name="Normal 6 4" xfId="564" xr:uid="{00000000-0005-0000-0000-0000E5030000}"/>
    <cellStyle name="Normal 6 5" xfId="711" xr:uid="{00000000-0005-0000-0000-0000E6030000}"/>
    <cellStyle name="Normal 7" xfId="53" xr:uid="{00000000-0005-0000-0000-0000E7030000}"/>
    <cellStyle name="Normal 7 2" xfId="99" xr:uid="{00000000-0005-0000-0000-0000E8030000}"/>
    <cellStyle name="Normal 7 2 10" xfId="1742" xr:uid="{00000000-0005-0000-0000-0000E9030000}"/>
    <cellStyle name="Normal 7 2 11" xfId="1899" xr:uid="{00000000-0005-0000-0000-0000EA030000}"/>
    <cellStyle name="Normal 7 2 12" xfId="2046" xr:uid="{00000000-0005-0000-0000-0000EB030000}"/>
    <cellStyle name="Normal 7 2 13" xfId="2187" xr:uid="{00000000-0005-0000-0000-0000EC030000}"/>
    <cellStyle name="Normal 7 2 14" xfId="2336" xr:uid="{00000000-0005-0000-0000-0000ED030000}"/>
    <cellStyle name="Normal 7 2 15" xfId="2485" xr:uid="{00000000-0005-0000-0000-0000EE030000}"/>
    <cellStyle name="Normal 7 2 2" xfId="406" xr:uid="{00000000-0005-0000-0000-0000EF030000}"/>
    <cellStyle name="Normal 7 2 3" xfId="568" xr:uid="{00000000-0005-0000-0000-0000F0030000}"/>
    <cellStyle name="Normal 7 2 4" xfId="715" xr:uid="{00000000-0005-0000-0000-0000F1030000}"/>
    <cellStyle name="Normal 7 2 5" xfId="860" xr:uid="{00000000-0005-0000-0000-0000F2030000}"/>
    <cellStyle name="Normal 7 2 6" xfId="1038" xr:uid="{00000000-0005-0000-0000-0000F3030000}"/>
    <cellStyle name="Normal 7 2 7" xfId="1204" xr:uid="{00000000-0005-0000-0000-0000F4030000}"/>
    <cellStyle name="Normal 7 2 8" xfId="1381" xr:uid="{00000000-0005-0000-0000-0000F5030000}"/>
    <cellStyle name="Normal 7 2 9" xfId="1572" xr:uid="{00000000-0005-0000-0000-0000F6030000}"/>
    <cellStyle name="Normal 7 3" xfId="155" xr:uid="{00000000-0005-0000-0000-0000F7030000}"/>
    <cellStyle name="Normal 7 3 10" xfId="1743" xr:uid="{00000000-0005-0000-0000-0000F8030000}"/>
    <cellStyle name="Normal 7 3 11" xfId="1900" xr:uid="{00000000-0005-0000-0000-0000F9030000}"/>
    <cellStyle name="Normal 7 3 12" xfId="2047" xr:uid="{00000000-0005-0000-0000-0000FA030000}"/>
    <cellStyle name="Normal 7 3 13" xfId="2188" xr:uid="{00000000-0005-0000-0000-0000FB030000}"/>
    <cellStyle name="Normal 7 3 14" xfId="2337" xr:uid="{00000000-0005-0000-0000-0000FC030000}"/>
    <cellStyle name="Normal 7 3 15" xfId="2486" xr:uid="{00000000-0005-0000-0000-0000FD030000}"/>
    <cellStyle name="Normal 7 3 2" xfId="407" xr:uid="{00000000-0005-0000-0000-0000FE030000}"/>
    <cellStyle name="Normal 7 3 3" xfId="569" xr:uid="{00000000-0005-0000-0000-0000FF030000}"/>
    <cellStyle name="Normal 7 3 4" xfId="716" xr:uid="{00000000-0005-0000-0000-000000040000}"/>
    <cellStyle name="Normal 7 3 5" xfId="861" xr:uid="{00000000-0005-0000-0000-000001040000}"/>
    <cellStyle name="Normal 7 3 6" xfId="1039" xr:uid="{00000000-0005-0000-0000-000002040000}"/>
    <cellStyle name="Normal 7 3 7" xfId="1205" xr:uid="{00000000-0005-0000-0000-000003040000}"/>
    <cellStyle name="Normal 7 3 8" xfId="1382" xr:uid="{00000000-0005-0000-0000-000004040000}"/>
    <cellStyle name="Normal 7 3 9" xfId="1573" xr:uid="{00000000-0005-0000-0000-000005040000}"/>
    <cellStyle name="Normal 7 4" xfId="567" xr:uid="{00000000-0005-0000-0000-000006040000}"/>
    <cellStyle name="Normal 7 5" xfId="714" xr:uid="{00000000-0005-0000-0000-000007040000}"/>
    <cellStyle name="Normal 75" xfId="1383" xr:uid="{00000000-0005-0000-0000-000008040000}"/>
    <cellStyle name="Normal 76" xfId="1384" xr:uid="{00000000-0005-0000-0000-000009040000}"/>
    <cellStyle name="Normal 77" xfId="1385" xr:uid="{00000000-0005-0000-0000-00000A040000}"/>
    <cellStyle name="Normal 78" xfId="1386" xr:uid="{00000000-0005-0000-0000-00000B040000}"/>
    <cellStyle name="Normal 79" xfId="1387" xr:uid="{00000000-0005-0000-0000-00000C040000}"/>
    <cellStyle name="Normal 8" xfId="49" xr:uid="{00000000-0005-0000-0000-00000D040000}"/>
    <cellStyle name="Normal 8 2" xfId="100" xr:uid="{00000000-0005-0000-0000-00000E040000}"/>
    <cellStyle name="Normal 8 2 10" xfId="1744" xr:uid="{00000000-0005-0000-0000-00000F040000}"/>
    <cellStyle name="Normal 8 2 11" xfId="1901" xr:uid="{00000000-0005-0000-0000-000010040000}"/>
    <cellStyle name="Normal 8 2 12" xfId="2048" xr:uid="{00000000-0005-0000-0000-000011040000}"/>
    <cellStyle name="Normal 8 2 13" xfId="2189" xr:uid="{00000000-0005-0000-0000-000012040000}"/>
    <cellStyle name="Normal 8 2 14" xfId="2338" xr:uid="{00000000-0005-0000-0000-000013040000}"/>
    <cellStyle name="Normal 8 2 15" xfId="2487" xr:uid="{00000000-0005-0000-0000-000014040000}"/>
    <cellStyle name="Normal 8 2 2" xfId="408" xr:uid="{00000000-0005-0000-0000-000015040000}"/>
    <cellStyle name="Normal 8 2 3" xfId="570" xr:uid="{00000000-0005-0000-0000-000016040000}"/>
    <cellStyle name="Normal 8 2 4" xfId="717" xr:uid="{00000000-0005-0000-0000-000017040000}"/>
    <cellStyle name="Normal 8 2 5" xfId="862" xr:uid="{00000000-0005-0000-0000-000018040000}"/>
    <cellStyle name="Normal 8 2 6" xfId="1040" xr:uid="{00000000-0005-0000-0000-000019040000}"/>
    <cellStyle name="Normal 8 2 7" xfId="1206" xr:uid="{00000000-0005-0000-0000-00001A040000}"/>
    <cellStyle name="Normal 8 2 8" xfId="1388" xr:uid="{00000000-0005-0000-0000-00001B040000}"/>
    <cellStyle name="Normal 8 2 9" xfId="1574" xr:uid="{00000000-0005-0000-0000-00001C040000}"/>
    <cellStyle name="Normal 8 3" xfId="156" xr:uid="{00000000-0005-0000-0000-00001D040000}"/>
    <cellStyle name="Normal 8 3 10" xfId="1745" xr:uid="{00000000-0005-0000-0000-00001E040000}"/>
    <cellStyle name="Normal 8 3 11" xfId="1902" xr:uid="{00000000-0005-0000-0000-00001F040000}"/>
    <cellStyle name="Normal 8 3 12" xfId="2049" xr:uid="{00000000-0005-0000-0000-000020040000}"/>
    <cellStyle name="Normal 8 3 13" xfId="2190" xr:uid="{00000000-0005-0000-0000-000021040000}"/>
    <cellStyle name="Normal 8 3 14" xfId="2339" xr:uid="{00000000-0005-0000-0000-000022040000}"/>
    <cellStyle name="Normal 8 3 15" xfId="2488" xr:uid="{00000000-0005-0000-0000-000023040000}"/>
    <cellStyle name="Normal 8 3 2" xfId="409" xr:uid="{00000000-0005-0000-0000-000024040000}"/>
    <cellStyle name="Normal 8 3 3" xfId="571" xr:uid="{00000000-0005-0000-0000-000025040000}"/>
    <cellStyle name="Normal 8 3 4" xfId="718" xr:uid="{00000000-0005-0000-0000-000026040000}"/>
    <cellStyle name="Normal 8 3 5" xfId="863" xr:uid="{00000000-0005-0000-0000-000027040000}"/>
    <cellStyle name="Normal 8 3 6" xfId="1041" xr:uid="{00000000-0005-0000-0000-000028040000}"/>
    <cellStyle name="Normal 8 3 7" xfId="1207" xr:uid="{00000000-0005-0000-0000-000029040000}"/>
    <cellStyle name="Normal 8 3 8" xfId="1389" xr:uid="{00000000-0005-0000-0000-00002A040000}"/>
    <cellStyle name="Normal 8 3 9" xfId="1575" xr:uid="{00000000-0005-0000-0000-00002B040000}"/>
    <cellStyle name="Normal 80" xfId="1390" xr:uid="{00000000-0005-0000-0000-00002C040000}"/>
    <cellStyle name="Normal 81" xfId="1391" xr:uid="{00000000-0005-0000-0000-00002D040000}"/>
    <cellStyle name="Normal 82" xfId="1392" xr:uid="{00000000-0005-0000-0000-00002E040000}"/>
    <cellStyle name="Normal 83" xfId="1393" xr:uid="{00000000-0005-0000-0000-00002F040000}"/>
    <cellStyle name="Normal 84" xfId="1394" xr:uid="{00000000-0005-0000-0000-000030040000}"/>
    <cellStyle name="Normal 85" xfId="1395" xr:uid="{00000000-0005-0000-0000-000031040000}"/>
    <cellStyle name="Normal 9" xfId="60" xr:uid="{00000000-0005-0000-0000-000032040000}"/>
    <cellStyle name="Normal 9 2" xfId="101" xr:uid="{00000000-0005-0000-0000-000033040000}"/>
    <cellStyle name="Normal 9 2 10" xfId="1746" xr:uid="{00000000-0005-0000-0000-000034040000}"/>
    <cellStyle name="Normal 9 2 11" xfId="1903" xr:uid="{00000000-0005-0000-0000-000035040000}"/>
    <cellStyle name="Normal 9 2 12" xfId="2050" xr:uid="{00000000-0005-0000-0000-000036040000}"/>
    <cellStyle name="Normal 9 2 13" xfId="2191" xr:uid="{00000000-0005-0000-0000-000037040000}"/>
    <cellStyle name="Normal 9 2 14" xfId="2340" xr:uid="{00000000-0005-0000-0000-000038040000}"/>
    <cellStyle name="Normal 9 2 15" xfId="2489" xr:uid="{00000000-0005-0000-0000-000039040000}"/>
    <cellStyle name="Normal 9 2 2" xfId="410" xr:uid="{00000000-0005-0000-0000-00003A040000}"/>
    <cellStyle name="Normal 9 2 3" xfId="572" xr:uid="{00000000-0005-0000-0000-00003B040000}"/>
    <cellStyle name="Normal 9 2 4" xfId="719" xr:uid="{00000000-0005-0000-0000-00003C040000}"/>
    <cellStyle name="Normal 9 2 5" xfId="864" xr:uid="{00000000-0005-0000-0000-00003D040000}"/>
    <cellStyle name="Normal 9 2 6" xfId="1042" xr:uid="{00000000-0005-0000-0000-00003E040000}"/>
    <cellStyle name="Normal 9 2 7" xfId="1208" xr:uid="{00000000-0005-0000-0000-00003F040000}"/>
    <cellStyle name="Normal 9 2 8" xfId="1396" xr:uid="{00000000-0005-0000-0000-000040040000}"/>
    <cellStyle name="Normal 9 2 9" xfId="1576" xr:uid="{00000000-0005-0000-0000-000041040000}"/>
    <cellStyle name="Normal 9 3" xfId="157" xr:uid="{00000000-0005-0000-0000-000042040000}"/>
    <cellStyle name="Normal 9 3 10" xfId="1747" xr:uid="{00000000-0005-0000-0000-000043040000}"/>
    <cellStyle name="Normal 9 3 11" xfId="1904" xr:uid="{00000000-0005-0000-0000-000044040000}"/>
    <cellStyle name="Normal 9 3 12" xfId="2051" xr:uid="{00000000-0005-0000-0000-000045040000}"/>
    <cellStyle name="Normal 9 3 13" xfId="2192" xr:uid="{00000000-0005-0000-0000-000046040000}"/>
    <cellStyle name="Normal 9 3 14" xfId="2341" xr:uid="{00000000-0005-0000-0000-000047040000}"/>
    <cellStyle name="Normal 9 3 15" xfId="2490" xr:uid="{00000000-0005-0000-0000-000048040000}"/>
    <cellStyle name="Normal 9 3 2" xfId="411" xr:uid="{00000000-0005-0000-0000-000049040000}"/>
    <cellStyle name="Normal 9 3 3" xfId="573" xr:uid="{00000000-0005-0000-0000-00004A040000}"/>
    <cellStyle name="Normal 9 3 4" xfId="720" xr:uid="{00000000-0005-0000-0000-00004B040000}"/>
    <cellStyle name="Normal 9 3 5" xfId="865" xr:uid="{00000000-0005-0000-0000-00004C040000}"/>
    <cellStyle name="Normal 9 3 6" xfId="1043" xr:uid="{00000000-0005-0000-0000-00004D040000}"/>
    <cellStyle name="Normal 9 3 7" xfId="1209" xr:uid="{00000000-0005-0000-0000-00004E040000}"/>
    <cellStyle name="Normal 9 3 8" xfId="1397" xr:uid="{00000000-0005-0000-0000-00004F040000}"/>
    <cellStyle name="Normal 9 3 9" xfId="1577" xr:uid="{00000000-0005-0000-0000-000050040000}"/>
    <cellStyle name="Notas 10" xfId="68" xr:uid="{00000000-0005-0000-0000-000051040000}"/>
    <cellStyle name="Notas 10 10" xfId="412" xr:uid="{00000000-0005-0000-0000-000052040000}"/>
    <cellStyle name="Notas 10 11" xfId="575" xr:uid="{00000000-0005-0000-0000-000053040000}"/>
    <cellStyle name="Notas 10 12" xfId="721" xr:uid="{00000000-0005-0000-0000-000054040000}"/>
    <cellStyle name="Notas 10 13" xfId="866" xr:uid="{00000000-0005-0000-0000-000055040000}"/>
    <cellStyle name="Notas 10 14" xfId="1044" xr:uid="{00000000-0005-0000-0000-000056040000}"/>
    <cellStyle name="Notas 10 15" xfId="1210" xr:uid="{00000000-0005-0000-0000-000057040000}"/>
    <cellStyle name="Notas 10 16" xfId="1399" xr:uid="{00000000-0005-0000-0000-000058040000}"/>
    <cellStyle name="Notas 10 17" xfId="1578" xr:uid="{00000000-0005-0000-0000-000059040000}"/>
    <cellStyle name="Notas 10 18" xfId="1748" xr:uid="{00000000-0005-0000-0000-00005A040000}"/>
    <cellStyle name="Notas 10 19" xfId="1905" xr:uid="{00000000-0005-0000-0000-00005B040000}"/>
    <cellStyle name="Notas 10 2" xfId="102" xr:uid="{00000000-0005-0000-0000-00005C040000}"/>
    <cellStyle name="Notas 10 2 10" xfId="1749" xr:uid="{00000000-0005-0000-0000-00005D040000}"/>
    <cellStyle name="Notas 10 2 11" xfId="1906" xr:uid="{00000000-0005-0000-0000-00005E040000}"/>
    <cellStyle name="Notas 10 2 12" xfId="2053" xr:uid="{00000000-0005-0000-0000-00005F040000}"/>
    <cellStyle name="Notas 10 2 13" xfId="2194" xr:uid="{00000000-0005-0000-0000-000060040000}"/>
    <cellStyle name="Notas 10 2 14" xfId="2343" xr:uid="{00000000-0005-0000-0000-000061040000}"/>
    <cellStyle name="Notas 10 2 15" xfId="2492" xr:uid="{00000000-0005-0000-0000-000062040000}"/>
    <cellStyle name="Notas 10 2 2" xfId="413" xr:uid="{00000000-0005-0000-0000-000063040000}"/>
    <cellStyle name="Notas 10 2 3" xfId="576" xr:uid="{00000000-0005-0000-0000-000064040000}"/>
    <cellStyle name="Notas 10 2 4" xfId="722" xr:uid="{00000000-0005-0000-0000-000065040000}"/>
    <cellStyle name="Notas 10 2 5" xfId="867" xr:uid="{00000000-0005-0000-0000-000066040000}"/>
    <cellStyle name="Notas 10 2 6" xfId="1045" xr:uid="{00000000-0005-0000-0000-000067040000}"/>
    <cellStyle name="Notas 10 2 7" xfId="1211" xr:uid="{00000000-0005-0000-0000-000068040000}"/>
    <cellStyle name="Notas 10 2 8" xfId="1400" xr:uid="{00000000-0005-0000-0000-000069040000}"/>
    <cellStyle name="Notas 10 2 9" xfId="1579" xr:uid="{00000000-0005-0000-0000-00006A040000}"/>
    <cellStyle name="Notas 10 20" xfId="2052" xr:uid="{00000000-0005-0000-0000-00006B040000}"/>
    <cellStyle name="Notas 10 21" xfId="2193" xr:uid="{00000000-0005-0000-0000-00006C040000}"/>
    <cellStyle name="Notas 10 22" xfId="2342" xr:uid="{00000000-0005-0000-0000-00006D040000}"/>
    <cellStyle name="Notas 10 23" xfId="2491" xr:uid="{00000000-0005-0000-0000-00006E040000}"/>
    <cellStyle name="Notas 10 3" xfId="158" xr:uid="{00000000-0005-0000-0000-00006F040000}"/>
    <cellStyle name="Notas 10 3 10" xfId="1750" xr:uid="{00000000-0005-0000-0000-000070040000}"/>
    <cellStyle name="Notas 10 3 11" xfId="1907" xr:uid="{00000000-0005-0000-0000-000071040000}"/>
    <cellStyle name="Notas 10 3 12" xfId="2054" xr:uid="{00000000-0005-0000-0000-000072040000}"/>
    <cellStyle name="Notas 10 3 13" xfId="2195" xr:uid="{00000000-0005-0000-0000-000073040000}"/>
    <cellStyle name="Notas 10 3 14" xfId="2344" xr:uid="{00000000-0005-0000-0000-000074040000}"/>
    <cellStyle name="Notas 10 3 15" xfId="2493" xr:uid="{00000000-0005-0000-0000-000075040000}"/>
    <cellStyle name="Notas 10 3 2" xfId="414" xr:uid="{00000000-0005-0000-0000-000076040000}"/>
    <cellStyle name="Notas 10 3 3" xfId="577" xr:uid="{00000000-0005-0000-0000-000077040000}"/>
    <cellStyle name="Notas 10 3 4" xfId="723" xr:uid="{00000000-0005-0000-0000-000078040000}"/>
    <cellStyle name="Notas 10 3 5" xfId="868" xr:uid="{00000000-0005-0000-0000-000079040000}"/>
    <cellStyle name="Notas 10 3 6" xfId="1046" xr:uid="{00000000-0005-0000-0000-00007A040000}"/>
    <cellStyle name="Notas 10 3 7" xfId="1212" xr:uid="{00000000-0005-0000-0000-00007B040000}"/>
    <cellStyle name="Notas 10 3 8" xfId="1401" xr:uid="{00000000-0005-0000-0000-00007C040000}"/>
    <cellStyle name="Notas 10 3 9" xfId="1580" xr:uid="{00000000-0005-0000-0000-00007D040000}"/>
    <cellStyle name="Notas 10 4" xfId="193" xr:uid="{00000000-0005-0000-0000-00007E040000}"/>
    <cellStyle name="Notas 10 5" xfId="216" xr:uid="{00000000-0005-0000-0000-00007F040000}"/>
    <cellStyle name="Notas 10 6" xfId="233" xr:uid="{00000000-0005-0000-0000-000080040000}"/>
    <cellStyle name="Notas 10 7" xfId="263" xr:uid="{00000000-0005-0000-0000-000081040000}"/>
    <cellStyle name="Notas 10 8" xfId="291" xr:uid="{00000000-0005-0000-0000-000082040000}"/>
    <cellStyle name="Notas 10 9" xfId="315" xr:uid="{00000000-0005-0000-0000-000083040000}"/>
    <cellStyle name="Notas 11" xfId="69" xr:uid="{00000000-0005-0000-0000-000084040000}"/>
    <cellStyle name="Notas 11 10" xfId="869" xr:uid="{00000000-0005-0000-0000-000085040000}"/>
    <cellStyle name="Notas 11 11" xfId="1047" xr:uid="{00000000-0005-0000-0000-000086040000}"/>
    <cellStyle name="Notas 11 12" xfId="1213" xr:uid="{00000000-0005-0000-0000-000087040000}"/>
    <cellStyle name="Notas 11 13" xfId="1402" xr:uid="{00000000-0005-0000-0000-000088040000}"/>
    <cellStyle name="Notas 11 14" xfId="1581" xr:uid="{00000000-0005-0000-0000-000089040000}"/>
    <cellStyle name="Notas 11 15" xfId="1751" xr:uid="{00000000-0005-0000-0000-00008A040000}"/>
    <cellStyle name="Notas 11 16" xfId="1908" xr:uid="{00000000-0005-0000-0000-00008B040000}"/>
    <cellStyle name="Notas 11 17" xfId="2055" xr:uid="{00000000-0005-0000-0000-00008C040000}"/>
    <cellStyle name="Notas 11 18" xfId="2196" xr:uid="{00000000-0005-0000-0000-00008D040000}"/>
    <cellStyle name="Notas 11 19" xfId="2345" xr:uid="{00000000-0005-0000-0000-00008E040000}"/>
    <cellStyle name="Notas 11 2" xfId="103" xr:uid="{00000000-0005-0000-0000-00008F040000}"/>
    <cellStyle name="Notas 11 2 10" xfId="1752" xr:uid="{00000000-0005-0000-0000-000090040000}"/>
    <cellStyle name="Notas 11 2 11" xfId="1909" xr:uid="{00000000-0005-0000-0000-000091040000}"/>
    <cellStyle name="Notas 11 2 12" xfId="2056" xr:uid="{00000000-0005-0000-0000-000092040000}"/>
    <cellStyle name="Notas 11 2 13" xfId="2197" xr:uid="{00000000-0005-0000-0000-000093040000}"/>
    <cellStyle name="Notas 11 2 14" xfId="2346" xr:uid="{00000000-0005-0000-0000-000094040000}"/>
    <cellStyle name="Notas 11 2 15" xfId="2495" xr:uid="{00000000-0005-0000-0000-000095040000}"/>
    <cellStyle name="Notas 11 2 2" xfId="416" xr:uid="{00000000-0005-0000-0000-000096040000}"/>
    <cellStyle name="Notas 11 2 3" xfId="579" xr:uid="{00000000-0005-0000-0000-000097040000}"/>
    <cellStyle name="Notas 11 2 4" xfId="725" xr:uid="{00000000-0005-0000-0000-000098040000}"/>
    <cellStyle name="Notas 11 2 5" xfId="870" xr:uid="{00000000-0005-0000-0000-000099040000}"/>
    <cellStyle name="Notas 11 2 6" xfId="1048" xr:uid="{00000000-0005-0000-0000-00009A040000}"/>
    <cellStyle name="Notas 11 2 7" xfId="1214" xr:uid="{00000000-0005-0000-0000-00009B040000}"/>
    <cellStyle name="Notas 11 2 8" xfId="1403" xr:uid="{00000000-0005-0000-0000-00009C040000}"/>
    <cellStyle name="Notas 11 2 9" xfId="1582" xr:uid="{00000000-0005-0000-0000-00009D040000}"/>
    <cellStyle name="Notas 11 20" xfId="2494" xr:uid="{00000000-0005-0000-0000-00009E040000}"/>
    <cellStyle name="Notas 11 3" xfId="159" xr:uid="{00000000-0005-0000-0000-00009F040000}"/>
    <cellStyle name="Notas 11 3 10" xfId="1753" xr:uid="{00000000-0005-0000-0000-0000A0040000}"/>
    <cellStyle name="Notas 11 3 11" xfId="1910" xr:uid="{00000000-0005-0000-0000-0000A1040000}"/>
    <cellStyle name="Notas 11 3 12" xfId="2057" xr:uid="{00000000-0005-0000-0000-0000A2040000}"/>
    <cellStyle name="Notas 11 3 13" xfId="2198" xr:uid="{00000000-0005-0000-0000-0000A3040000}"/>
    <cellStyle name="Notas 11 3 14" xfId="2347" xr:uid="{00000000-0005-0000-0000-0000A4040000}"/>
    <cellStyle name="Notas 11 3 15" xfId="2496" xr:uid="{00000000-0005-0000-0000-0000A5040000}"/>
    <cellStyle name="Notas 11 3 2" xfId="417" xr:uid="{00000000-0005-0000-0000-0000A6040000}"/>
    <cellStyle name="Notas 11 3 3" xfId="580" xr:uid="{00000000-0005-0000-0000-0000A7040000}"/>
    <cellStyle name="Notas 11 3 4" xfId="726" xr:uid="{00000000-0005-0000-0000-0000A8040000}"/>
    <cellStyle name="Notas 11 3 5" xfId="871" xr:uid="{00000000-0005-0000-0000-0000A9040000}"/>
    <cellStyle name="Notas 11 3 6" xfId="1049" xr:uid="{00000000-0005-0000-0000-0000AA040000}"/>
    <cellStyle name="Notas 11 3 7" xfId="1215" xr:uid="{00000000-0005-0000-0000-0000AB040000}"/>
    <cellStyle name="Notas 11 3 8" xfId="1404" xr:uid="{00000000-0005-0000-0000-0000AC040000}"/>
    <cellStyle name="Notas 11 3 9" xfId="1583" xr:uid="{00000000-0005-0000-0000-0000AD040000}"/>
    <cellStyle name="Notas 11 4" xfId="264" xr:uid="{00000000-0005-0000-0000-0000AE040000}"/>
    <cellStyle name="Notas 11 5" xfId="292" xr:uid="{00000000-0005-0000-0000-0000AF040000}"/>
    <cellStyle name="Notas 11 6" xfId="316" xr:uid="{00000000-0005-0000-0000-0000B0040000}"/>
    <cellStyle name="Notas 11 7" xfId="415" xr:uid="{00000000-0005-0000-0000-0000B1040000}"/>
    <cellStyle name="Notas 11 8" xfId="578" xr:uid="{00000000-0005-0000-0000-0000B2040000}"/>
    <cellStyle name="Notas 11 9" xfId="724" xr:uid="{00000000-0005-0000-0000-0000B3040000}"/>
    <cellStyle name="Notas 12" xfId="70" xr:uid="{00000000-0005-0000-0000-0000B4040000}"/>
    <cellStyle name="Notas 12 10" xfId="872" xr:uid="{00000000-0005-0000-0000-0000B5040000}"/>
    <cellStyle name="Notas 12 11" xfId="1050" xr:uid="{00000000-0005-0000-0000-0000B6040000}"/>
    <cellStyle name="Notas 12 12" xfId="1216" xr:uid="{00000000-0005-0000-0000-0000B7040000}"/>
    <cellStyle name="Notas 12 13" xfId="1405" xr:uid="{00000000-0005-0000-0000-0000B8040000}"/>
    <cellStyle name="Notas 12 14" xfId="1584" xr:uid="{00000000-0005-0000-0000-0000B9040000}"/>
    <cellStyle name="Notas 12 15" xfId="1754" xr:uid="{00000000-0005-0000-0000-0000BA040000}"/>
    <cellStyle name="Notas 12 16" xfId="1911" xr:uid="{00000000-0005-0000-0000-0000BB040000}"/>
    <cellStyle name="Notas 12 17" xfId="2058" xr:uid="{00000000-0005-0000-0000-0000BC040000}"/>
    <cellStyle name="Notas 12 18" xfId="2199" xr:uid="{00000000-0005-0000-0000-0000BD040000}"/>
    <cellStyle name="Notas 12 19" xfId="2348" xr:uid="{00000000-0005-0000-0000-0000BE040000}"/>
    <cellStyle name="Notas 12 2" xfId="104" xr:uid="{00000000-0005-0000-0000-0000BF040000}"/>
    <cellStyle name="Notas 12 2 10" xfId="1755" xr:uid="{00000000-0005-0000-0000-0000C0040000}"/>
    <cellStyle name="Notas 12 2 11" xfId="1912" xr:uid="{00000000-0005-0000-0000-0000C1040000}"/>
    <cellStyle name="Notas 12 2 12" xfId="2059" xr:uid="{00000000-0005-0000-0000-0000C2040000}"/>
    <cellStyle name="Notas 12 2 13" xfId="2200" xr:uid="{00000000-0005-0000-0000-0000C3040000}"/>
    <cellStyle name="Notas 12 2 14" xfId="2349" xr:uid="{00000000-0005-0000-0000-0000C4040000}"/>
    <cellStyle name="Notas 12 2 15" xfId="2498" xr:uid="{00000000-0005-0000-0000-0000C5040000}"/>
    <cellStyle name="Notas 12 2 2" xfId="419" xr:uid="{00000000-0005-0000-0000-0000C6040000}"/>
    <cellStyle name="Notas 12 2 3" xfId="582" xr:uid="{00000000-0005-0000-0000-0000C7040000}"/>
    <cellStyle name="Notas 12 2 4" xfId="728" xr:uid="{00000000-0005-0000-0000-0000C8040000}"/>
    <cellStyle name="Notas 12 2 5" xfId="873" xr:uid="{00000000-0005-0000-0000-0000C9040000}"/>
    <cellStyle name="Notas 12 2 6" xfId="1051" xr:uid="{00000000-0005-0000-0000-0000CA040000}"/>
    <cellStyle name="Notas 12 2 7" xfId="1217" xr:uid="{00000000-0005-0000-0000-0000CB040000}"/>
    <cellStyle name="Notas 12 2 8" xfId="1406" xr:uid="{00000000-0005-0000-0000-0000CC040000}"/>
    <cellStyle name="Notas 12 2 9" xfId="1585" xr:uid="{00000000-0005-0000-0000-0000CD040000}"/>
    <cellStyle name="Notas 12 20" xfId="2497" xr:uid="{00000000-0005-0000-0000-0000CE040000}"/>
    <cellStyle name="Notas 12 3" xfId="160" xr:uid="{00000000-0005-0000-0000-0000CF040000}"/>
    <cellStyle name="Notas 12 3 10" xfId="1756" xr:uid="{00000000-0005-0000-0000-0000D0040000}"/>
    <cellStyle name="Notas 12 3 11" xfId="1913" xr:uid="{00000000-0005-0000-0000-0000D1040000}"/>
    <cellStyle name="Notas 12 3 12" xfId="2060" xr:uid="{00000000-0005-0000-0000-0000D2040000}"/>
    <cellStyle name="Notas 12 3 13" xfId="2201" xr:uid="{00000000-0005-0000-0000-0000D3040000}"/>
    <cellStyle name="Notas 12 3 14" xfId="2350" xr:uid="{00000000-0005-0000-0000-0000D4040000}"/>
    <cellStyle name="Notas 12 3 15" xfId="2499" xr:uid="{00000000-0005-0000-0000-0000D5040000}"/>
    <cellStyle name="Notas 12 3 2" xfId="420" xr:uid="{00000000-0005-0000-0000-0000D6040000}"/>
    <cellStyle name="Notas 12 3 3" xfId="583" xr:uid="{00000000-0005-0000-0000-0000D7040000}"/>
    <cellStyle name="Notas 12 3 4" xfId="729" xr:uid="{00000000-0005-0000-0000-0000D8040000}"/>
    <cellStyle name="Notas 12 3 5" xfId="874" xr:uid="{00000000-0005-0000-0000-0000D9040000}"/>
    <cellStyle name="Notas 12 3 6" xfId="1052" xr:uid="{00000000-0005-0000-0000-0000DA040000}"/>
    <cellStyle name="Notas 12 3 7" xfId="1218" xr:uid="{00000000-0005-0000-0000-0000DB040000}"/>
    <cellStyle name="Notas 12 3 8" xfId="1407" xr:uid="{00000000-0005-0000-0000-0000DC040000}"/>
    <cellStyle name="Notas 12 3 9" xfId="1586" xr:uid="{00000000-0005-0000-0000-0000DD040000}"/>
    <cellStyle name="Notas 12 4" xfId="265" xr:uid="{00000000-0005-0000-0000-0000DE040000}"/>
    <cellStyle name="Notas 12 5" xfId="293" xr:uid="{00000000-0005-0000-0000-0000DF040000}"/>
    <cellStyle name="Notas 12 6" xfId="317" xr:uid="{00000000-0005-0000-0000-0000E0040000}"/>
    <cellStyle name="Notas 12 7" xfId="418" xr:uid="{00000000-0005-0000-0000-0000E1040000}"/>
    <cellStyle name="Notas 12 8" xfId="581" xr:uid="{00000000-0005-0000-0000-0000E2040000}"/>
    <cellStyle name="Notas 12 9" xfId="727" xr:uid="{00000000-0005-0000-0000-0000E3040000}"/>
    <cellStyle name="Notas 13" xfId="71" xr:uid="{00000000-0005-0000-0000-0000E4040000}"/>
    <cellStyle name="Notas 13 10" xfId="875" xr:uid="{00000000-0005-0000-0000-0000E5040000}"/>
    <cellStyle name="Notas 13 11" xfId="1053" xr:uid="{00000000-0005-0000-0000-0000E6040000}"/>
    <cellStyle name="Notas 13 12" xfId="1219" xr:uid="{00000000-0005-0000-0000-0000E7040000}"/>
    <cellStyle name="Notas 13 13" xfId="1408" xr:uid="{00000000-0005-0000-0000-0000E8040000}"/>
    <cellStyle name="Notas 13 14" xfId="1587" xr:uid="{00000000-0005-0000-0000-0000E9040000}"/>
    <cellStyle name="Notas 13 15" xfId="1757" xr:uid="{00000000-0005-0000-0000-0000EA040000}"/>
    <cellStyle name="Notas 13 16" xfId="1914" xr:uid="{00000000-0005-0000-0000-0000EB040000}"/>
    <cellStyle name="Notas 13 17" xfId="2061" xr:uid="{00000000-0005-0000-0000-0000EC040000}"/>
    <cellStyle name="Notas 13 18" xfId="2202" xr:uid="{00000000-0005-0000-0000-0000ED040000}"/>
    <cellStyle name="Notas 13 19" xfId="2351" xr:uid="{00000000-0005-0000-0000-0000EE040000}"/>
    <cellStyle name="Notas 13 2" xfId="105" xr:uid="{00000000-0005-0000-0000-0000EF040000}"/>
    <cellStyle name="Notas 13 2 10" xfId="1758" xr:uid="{00000000-0005-0000-0000-0000F0040000}"/>
    <cellStyle name="Notas 13 2 11" xfId="1915" xr:uid="{00000000-0005-0000-0000-0000F1040000}"/>
    <cellStyle name="Notas 13 2 12" xfId="2062" xr:uid="{00000000-0005-0000-0000-0000F2040000}"/>
    <cellStyle name="Notas 13 2 13" xfId="2203" xr:uid="{00000000-0005-0000-0000-0000F3040000}"/>
    <cellStyle name="Notas 13 2 14" xfId="2352" xr:uid="{00000000-0005-0000-0000-0000F4040000}"/>
    <cellStyle name="Notas 13 2 15" xfId="2501" xr:uid="{00000000-0005-0000-0000-0000F5040000}"/>
    <cellStyle name="Notas 13 2 2" xfId="422" xr:uid="{00000000-0005-0000-0000-0000F6040000}"/>
    <cellStyle name="Notas 13 2 3" xfId="585" xr:uid="{00000000-0005-0000-0000-0000F7040000}"/>
    <cellStyle name="Notas 13 2 4" xfId="731" xr:uid="{00000000-0005-0000-0000-0000F8040000}"/>
    <cellStyle name="Notas 13 2 5" xfId="876" xr:uid="{00000000-0005-0000-0000-0000F9040000}"/>
    <cellStyle name="Notas 13 2 6" xfId="1054" xr:uid="{00000000-0005-0000-0000-0000FA040000}"/>
    <cellStyle name="Notas 13 2 7" xfId="1220" xr:uid="{00000000-0005-0000-0000-0000FB040000}"/>
    <cellStyle name="Notas 13 2 8" xfId="1409" xr:uid="{00000000-0005-0000-0000-0000FC040000}"/>
    <cellStyle name="Notas 13 2 9" xfId="1588" xr:uid="{00000000-0005-0000-0000-0000FD040000}"/>
    <cellStyle name="Notas 13 20" xfId="2500" xr:uid="{00000000-0005-0000-0000-0000FE040000}"/>
    <cellStyle name="Notas 13 3" xfId="161" xr:uid="{00000000-0005-0000-0000-0000FF040000}"/>
    <cellStyle name="Notas 13 3 10" xfId="1759" xr:uid="{00000000-0005-0000-0000-000000050000}"/>
    <cellStyle name="Notas 13 3 11" xfId="1916" xr:uid="{00000000-0005-0000-0000-000001050000}"/>
    <cellStyle name="Notas 13 3 12" xfId="2063" xr:uid="{00000000-0005-0000-0000-000002050000}"/>
    <cellStyle name="Notas 13 3 13" xfId="2204" xr:uid="{00000000-0005-0000-0000-000003050000}"/>
    <cellStyle name="Notas 13 3 14" xfId="2353" xr:uid="{00000000-0005-0000-0000-000004050000}"/>
    <cellStyle name="Notas 13 3 15" xfId="2502" xr:uid="{00000000-0005-0000-0000-000005050000}"/>
    <cellStyle name="Notas 13 3 2" xfId="423" xr:uid="{00000000-0005-0000-0000-000006050000}"/>
    <cellStyle name="Notas 13 3 3" xfId="586" xr:uid="{00000000-0005-0000-0000-000007050000}"/>
    <cellStyle name="Notas 13 3 4" xfId="732" xr:uid="{00000000-0005-0000-0000-000008050000}"/>
    <cellStyle name="Notas 13 3 5" xfId="877" xr:uid="{00000000-0005-0000-0000-000009050000}"/>
    <cellStyle name="Notas 13 3 6" xfId="1055" xr:uid="{00000000-0005-0000-0000-00000A050000}"/>
    <cellStyle name="Notas 13 3 7" xfId="1221" xr:uid="{00000000-0005-0000-0000-00000B050000}"/>
    <cellStyle name="Notas 13 3 8" xfId="1410" xr:uid="{00000000-0005-0000-0000-00000C050000}"/>
    <cellStyle name="Notas 13 3 9" xfId="1589" xr:uid="{00000000-0005-0000-0000-00000D050000}"/>
    <cellStyle name="Notas 13 4" xfId="266" xr:uid="{00000000-0005-0000-0000-00000E050000}"/>
    <cellStyle name="Notas 13 5" xfId="294" xr:uid="{00000000-0005-0000-0000-00000F050000}"/>
    <cellStyle name="Notas 13 6" xfId="318" xr:uid="{00000000-0005-0000-0000-000010050000}"/>
    <cellStyle name="Notas 13 7" xfId="421" xr:uid="{00000000-0005-0000-0000-000011050000}"/>
    <cellStyle name="Notas 13 8" xfId="584" xr:uid="{00000000-0005-0000-0000-000012050000}"/>
    <cellStyle name="Notas 13 9" xfId="730" xr:uid="{00000000-0005-0000-0000-000013050000}"/>
    <cellStyle name="Notas 14" xfId="72" xr:uid="{00000000-0005-0000-0000-000014050000}"/>
    <cellStyle name="Notas 14 10" xfId="878" xr:uid="{00000000-0005-0000-0000-000015050000}"/>
    <cellStyle name="Notas 14 11" xfId="1056" xr:uid="{00000000-0005-0000-0000-000016050000}"/>
    <cellStyle name="Notas 14 12" xfId="1222" xr:uid="{00000000-0005-0000-0000-000017050000}"/>
    <cellStyle name="Notas 14 13" xfId="1411" xr:uid="{00000000-0005-0000-0000-000018050000}"/>
    <cellStyle name="Notas 14 14" xfId="1590" xr:uid="{00000000-0005-0000-0000-000019050000}"/>
    <cellStyle name="Notas 14 15" xfId="1760" xr:uid="{00000000-0005-0000-0000-00001A050000}"/>
    <cellStyle name="Notas 14 16" xfId="1917" xr:uid="{00000000-0005-0000-0000-00001B050000}"/>
    <cellStyle name="Notas 14 17" xfId="2064" xr:uid="{00000000-0005-0000-0000-00001C050000}"/>
    <cellStyle name="Notas 14 18" xfId="2205" xr:uid="{00000000-0005-0000-0000-00001D050000}"/>
    <cellStyle name="Notas 14 19" xfId="2354" xr:uid="{00000000-0005-0000-0000-00001E050000}"/>
    <cellStyle name="Notas 14 2" xfId="106" xr:uid="{00000000-0005-0000-0000-00001F050000}"/>
    <cellStyle name="Notas 14 2 10" xfId="1761" xr:uid="{00000000-0005-0000-0000-000020050000}"/>
    <cellStyle name="Notas 14 2 11" xfId="1918" xr:uid="{00000000-0005-0000-0000-000021050000}"/>
    <cellStyle name="Notas 14 2 12" xfId="2065" xr:uid="{00000000-0005-0000-0000-000022050000}"/>
    <cellStyle name="Notas 14 2 13" xfId="2206" xr:uid="{00000000-0005-0000-0000-000023050000}"/>
    <cellStyle name="Notas 14 2 14" xfId="2355" xr:uid="{00000000-0005-0000-0000-000024050000}"/>
    <cellStyle name="Notas 14 2 15" xfId="2504" xr:uid="{00000000-0005-0000-0000-000025050000}"/>
    <cellStyle name="Notas 14 2 2" xfId="425" xr:uid="{00000000-0005-0000-0000-000026050000}"/>
    <cellStyle name="Notas 14 2 3" xfId="588" xr:uid="{00000000-0005-0000-0000-000027050000}"/>
    <cellStyle name="Notas 14 2 4" xfId="734" xr:uid="{00000000-0005-0000-0000-000028050000}"/>
    <cellStyle name="Notas 14 2 5" xfId="879" xr:uid="{00000000-0005-0000-0000-000029050000}"/>
    <cellStyle name="Notas 14 2 6" xfId="1057" xr:uid="{00000000-0005-0000-0000-00002A050000}"/>
    <cellStyle name="Notas 14 2 7" xfId="1223" xr:uid="{00000000-0005-0000-0000-00002B050000}"/>
    <cellStyle name="Notas 14 2 8" xfId="1412" xr:uid="{00000000-0005-0000-0000-00002C050000}"/>
    <cellStyle name="Notas 14 2 9" xfId="1591" xr:uid="{00000000-0005-0000-0000-00002D050000}"/>
    <cellStyle name="Notas 14 20" xfId="2503" xr:uid="{00000000-0005-0000-0000-00002E050000}"/>
    <cellStyle name="Notas 14 3" xfId="162" xr:uid="{00000000-0005-0000-0000-00002F050000}"/>
    <cellStyle name="Notas 14 3 10" xfId="1762" xr:uid="{00000000-0005-0000-0000-000030050000}"/>
    <cellStyle name="Notas 14 3 11" xfId="1919" xr:uid="{00000000-0005-0000-0000-000031050000}"/>
    <cellStyle name="Notas 14 3 12" xfId="2066" xr:uid="{00000000-0005-0000-0000-000032050000}"/>
    <cellStyle name="Notas 14 3 13" xfId="2207" xr:uid="{00000000-0005-0000-0000-000033050000}"/>
    <cellStyle name="Notas 14 3 14" xfId="2356" xr:uid="{00000000-0005-0000-0000-000034050000}"/>
    <cellStyle name="Notas 14 3 15" xfId="2505" xr:uid="{00000000-0005-0000-0000-000035050000}"/>
    <cellStyle name="Notas 14 3 2" xfId="426" xr:uid="{00000000-0005-0000-0000-000036050000}"/>
    <cellStyle name="Notas 14 3 3" xfId="589" xr:uid="{00000000-0005-0000-0000-000037050000}"/>
    <cellStyle name="Notas 14 3 4" xfId="735" xr:uid="{00000000-0005-0000-0000-000038050000}"/>
    <cellStyle name="Notas 14 3 5" xfId="880" xr:uid="{00000000-0005-0000-0000-000039050000}"/>
    <cellStyle name="Notas 14 3 6" xfId="1058" xr:uid="{00000000-0005-0000-0000-00003A050000}"/>
    <cellStyle name="Notas 14 3 7" xfId="1224" xr:uid="{00000000-0005-0000-0000-00003B050000}"/>
    <cellStyle name="Notas 14 3 8" xfId="1413" xr:uid="{00000000-0005-0000-0000-00003C050000}"/>
    <cellStyle name="Notas 14 3 9" xfId="1592" xr:uid="{00000000-0005-0000-0000-00003D050000}"/>
    <cellStyle name="Notas 14 4" xfId="267" xr:uid="{00000000-0005-0000-0000-00003E050000}"/>
    <cellStyle name="Notas 14 5" xfId="295" xr:uid="{00000000-0005-0000-0000-00003F050000}"/>
    <cellStyle name="Notas 14 6" xfId="319" xr:uid="{00000000-0005-0000-0000-000040050000}"/>
    <cellStyle name="Notas 14 7" xfId="424" xr:uid="{00000000-0005-0000-0000-000041050000}"/>
    <cellStyle name="Notas 14 8" xfId="587" xr:uid="{00000000-0005-0000-0000-000042050000}"/>
    <cellStyle name="Notas 14 9" xfId="733" xr:uid="{00000000-0005-0000-0000-000043050000}"/>
    <cellStyle name="Notas 15" xfId="73" xr:uid="{00000000-0005-0000-0000-000044050000}"/>
    <cellStyle name="Notas 15 10" xfId="881" xr:uid="{00000000-0005-0000-0000-000045050000}"/>
    <cellStyle name="Notas 15 11" xfId="1059" xr:uid="{00000000-0005-0000-0000-000046050000}"/>
    <cellStyle name="Notas 15 12" xfId="1225" xr:uid="{00000000-0005-0000-0000-000047050000}"/>
    <cellStyle name="Notas 15 13" xfId="1414" xr:uid="{00000000-0005-0000-0000-000048050000}"/>
    <cellStyle name="Notas 15 14" xfId="1593" xr:uid="{00000000-0005-0000-0000-000049050000}"/>
    <cellStyle name="Notas 15 15" xfId="1763" xr:uid="{00000000-0005-0000-0000-00004A050000}"/>
    <cellStyle name="Notas 15 16" xfId="1920" xr:uid="{00000000-0005-0000-0000-00004B050000}"/>
    <cellStyle name="Notas 15 17" xfId="2067" xr:uid="{00000000-0005-0000-0000-00004C050000}"/>
    <cellStyle name="Notas 15 18" xfId="2208" xr:uid="{00000000-0005-0000-0000-00004D050000}"/>
    <cellStyle name="Notas 15 19" xfId="2357" xr:uid="{00000000-0005-0000-0000-00004E050000}"/>
    <cellStyle name="Notas 15 2" xfId="107" xr:uid="{00000000-0005-0000-0000-00004F050000}"/>
    <cellStyle name="Notas 15 2 10" xfId="1764" xr:uid="{00000000-0005-0000-0000-000050050000}"/>
    <cellStyle name="Notas 15 2 11" xfId="1921" xr:uid="{00000000-0005-0000-0000-000051050000}"/>
    <cellStyle name="Notas 15 2 12" xfId="2068" xr:uid="{00000000-0005-0000-0000-000052050000}"/>
    <cellStyle name="Notas 15 2 13" xfId="2209" xr:uid="{00000000-0005-0000-0000-000053050000}"/>
    <cellStyle name="Notas 15 2 14" xfId="2358" xr:uid="{00000000-0005-0000-0000-000054050000}"/>
    <cellStyle name="Notas 15 2 15" xfId="2507" xr:uid="{00000000-0005-0000-0000-000055050000}"/>
    <cellStyle name="Notas 15 2 2" xfId="428" xr:uid="{00000000-0005-0000-0000-000056050000}"/>
    <cellStyle name="Notas 15 2 3" xfId="591" xr:uid="{00000000-0005-0000-0000-000057050000}"/>
    <cellStyle name="Notas 15 2 4" xfId="737" xr:uid="{00000000-0005-0000-0000-000058050000}"/>
    <cellStyle name="Notas 15 2 5" xfId="882" xr:uid="{00000000-0005-0000-0000-000059050000}"/>
    <cellStyle name="Notas 15 2 6" xfId="1060" xr:uid="{00000000-0005-0000-0000-00005A050000}"/>
    <cellStyle name="Notas 15 2 7" xfId="1226" xr:uid="{00000000-0005-0000-0000-00005B050000}"/>
    <cellStyle name="Notas 15 2 8" xfId="1415" xr:uid="{00000000-0005-0000-0000-00005C050000}"/>
    <cellStyle name="Notas 15 2 9" xfId="1594" xr:uid="{00000000-0005-0000-0000-00005D050000}"/>
    <cellStyle name="Notas 15 20" xfId="2506" xr:uid="{00000000-0005-0000-0000-00005E050000}"/>
    <cellStyle name="Notas 15 3" xfId="163" xr:uid="{00000000-0005-0000-0000-00005F050000}"/>
    <cellStyle name="Notas 15 3 10" xfId="1765" xr:uid="{00000000-0005-0000-0000-000060050000}"/>
    <cellStyle name="Notas 15 3 11" xfId="1922" xr:uid="{00000000-0005-0000-0000-000061050000}"/>
    <cellStyle name="Notas 15 3 12" xfId="2069" xr:uid="{00000000-0005-0000-0000-000062050000}"/>
    <cellStyle name="Notas 15 3 13" xfId="2210" xr:uid="{00000000-0005-0000-0000-000063050000}"/>
    <cellStyle name="Notas 15 3 14" xfId="2359" xr:uid="{00000000-0005-0000-0000-000064050000}"/>
    <cellStyle name="Notas 15 3 15" xfId="2508" xr:uid="{00000000-0005-0000-0000-000065050000}"/>
    <cellStyle name="Notas 15 3 2" xfId="429" xr:uid="{00000000-0005-0000-0000-000066050000}"/>
    <cellStyle name="Notas 15 3 3" xfId="592" xr:uid="{00000000-0005-0000-0000-000067050000}"/>
    <cellStyle name="Notas 15 3 4" xfId="738" xr:uid="{00000000-0005-0000-0000-000068050000}"/>
    <cellStyle name="Notas 15 3 5" xfId="883" xr:uid="{00000000-0005-0000-0000-000069050000}"/>
    <cellStyle name="Notas 15 3 6" xfId="1061" xr:uid="{00000000-0005-0000-0000-00006A050000}"/>
    <cellStyle name="Notas 15 3 7" xfId="1227" xr:uid="{00000000-0005-0000-0000-00006B050000}"/>
    <cellStyle name="Notas 15 3 8" xfId="1416" xr:uid="{00000000-0005-0000-0000-00006C050000}"/>
    <cellStyle name="Notas 15 3 9" xfId="1595" xr:uid="{00000000-0005-0000-0000-00006D050000}"/>
    <cellStyle name="Notas 15 4" xfId="268" xr:uid="{00000000-0005-0000-0000-00006E050000}"/>
    <cellStyle name="Notas 15 5" xfId="296" xr:uid="{00000000-0005-0000-0000-00006F050000}"/>
    <cellStyle name="Notas 15 6" xfId="320" xr:uid="{00000000-0005-0000-0000-000070050000}"/>
    <cellStyle name="Notas 15 7" xfId="427" xr:uid="{00000000-0005-0000-0000-000071050000}"/>
    <cellStyle name="Notas 15 8" xfId="590" xr:uid="{00000000-0005-0000-0000-000072050000}"/>
    <cellStyle name="Notas 15 9" xfId="736" xr:uid="{00000000-0005-0000-0000-000073050000}"/>
    <cellStyle name="Notas 16" xfId="128" xr:uid="{00000000-0005-0000-0000-000074050000}"/>
    <cellStyle name="Notas 16 10" xfId="1228" xr:uid="{00000000-0005-0000-0000-000075050000}"/>
    <cellStyle name="Notas 16 11" xfId="1417" xr:uid="{00000000-0005-0000-0000-000076050000}"/>
    <cellStyle name="Notas 16 12" xfId="1596" xr:uid="{00000000-0005-0000-0000-000077050000}"/>
    <cellStyle name="Notas 16 13" xfId="1766" xr:uid="{00000000-0005-0000-0000-000078050000}"/>
    <cellStyle name="Notas 16 14" xfId="1923" xr:uid="{00000000-0005-0000-0000-000079050000}"/>
    <cellStyle name="Notas 16 15" xfId="2070" xr:uid="{00000000-0005-0000-0000-00007A050000}"/>
    <cellStyle name="Notas 16 16" xfId="2211" xr:uid="{00000000-0005-0000-0000-00007B050000}"/>
    <cellStyle name="Notas 16 17" xfId="2360" xr:uid="{00000000-0005-0000-0000-00007C050000}"/>
    <cellStyle name="Notas 16 18" xfId="2509" xr:uid="{00000000-0005-0000-0000-00007D050000}"/>
    <cellStyle name="Notas 16 2" xfId="269" xr:uid="{00000000-0005-0000-0000-00007E050000}"/>
    <cellStyle name="Notas 16 2 10" xfId="1767" xr:uid="{00000000-0005-0000-0000-00007F050000}"/>
    <cellStyle name="Notas 16 2 11" xfId="1924" xr:uid="{00000000-0005-0000-0000-000080050000}"/>
    <cellStyle name="Notas 16 2 12" xfId="2071" xr:uid="{00000000-0005-0000-0000-000081050000}"/>
    <cellStyle name="Notas 16 2 13" xfId="2212" xr:uid="{00000000-0005-0000-0000-000082050000}"/>
    <cellStyle name="Notas 16 2 14" xfId="2361" xr:uid="{00000000-0005-0000-0000-000083050000}"/>
    <cellStyle name="Notas 16 2 15" xfId="2510" xr:uid="{00000000-0005-0000-0000-000084050000}"/>
    <cellStyle name="Notas 16 2 2" xfId="431" xr:uid="{00000000-0005-0000-0000-000085050000}"/>
    <cellStyle name="Notas 16 2 3" xfId="594" xr:uid="{00000000-0005-0000-0000-000086050000}"/>
    <cellStyle name="Notas 16 2 4" xfId="740" xr:uid="{00000000-0005-0000-0000-000087050000}"/>
    <cellStyle name="Notas 16 2 5" xfId="885" xr:uid="{00000000-0005-0000-0000-000088050000}"/>
    <cellStyle name="Notas 16 2 6" xfId="1063" xr:uid="{00000000-0005-0000-0000-000089050000}"/>
    <cellStyle name="Notas 16 2 7" xfId="1229" xr:uid="{00000000-0005-0000-0000-00008A050000}"/>
    <cellStyle name="Notas 16 2 8" xfId="1418" xr:uid="{00000000-0005-0000-0000-00008B050000}"/>
    <cellStyle name="Notas 16 2 9" xfId="1597" xr:uid="{00000000-0005-0000-0000-00008C050000}"/>
    <cellStyle name="Notas 16 3" xfId="297" xr:uid="{00000000-0005-0000-0000-00008D050000}"/>
    <cellStyle name="Notas 16 3 10" xfId="1768" xr:uid="{00000000-0005-0000-0000-00008E050000}"/>
    <cellStyle name="Notas 16 3 11" xfId="1925" xr:uid="{00000000-0005-0000-0000-00008F050000}"/>
    <cellStyle name="Notas 16 3 12" xfId="2072" xr:uid="{00000000-0005-0000-0000-000090050000}"/>
    <cellStyle name="Notas 16 3 13" xfId="2213" xr:uid="{00000000-0005-0000-0000-000091050000}"/>
    <cellStyle name="Notas 16 3 14" xfId="2362" xr:uid="{00000000-0005-0000-0000-000092050000}"/>
    <cellStyle name="Notas 16 3 15" xfId="2511" xr:uid="{00000000-0005-0000-0000-000093050000}"/>
    <cellStyle name="Notas 16 3 2" xfId="432" xr:uid="{00000000-0005-0000-0000-000094050000}"/>
    <cellStyle name="Notas 16 3 3" xfId="595" xr:uid="{00000000-0005-0000-0000-000095050000}"/>
    <cellStyle name="Notas 16 3 4" xfId="741" xr:uid="{00000000-0005-0000-0000-000096050000}"/>
    <cellStyle name="Notas 16 3 5" xfId="886" xr:uid="{00000000-0005-0000-0000-000097050000}"/>
    <cellStyle name="Notas 16 3 6" xfId="1064" xr:uid="{00000000-0005-0000-0000-000098050000}"/>
    <cellStyle name="Notas 16 3 7" xfId="1230" xr:uid="{00000000-0005-0000-0000-000099050000}"/>
    <cellStyle name="Notas 16 3 8" xfId="1419" xr:uid="{00000000-0005-0000-0000-00009A050000}"/>
    <cellStyle name="Notas 16 3 9" xfId="1598" xr:uid="{00000000-0005-0000-0000-00009B050000}"/>
    <cellStyle name="Notas 16 4" xfId="321" xr:uid="{00000000-0005-0000-0000-00009C050000}"/>
    <cellStyle name="Notas 16 5" xfId="430" xr:uid="{00000000-0005-0000-0000-00009D050000}"/>
    <cellStyle name="Notas 16 6" xfId="593" xr:uid="{00000000-0005-0000-0000-00009E050000}"/>
    <cellStyle name="Notas 16 7" xfId="739" xr:uid="{00000000-0005-0000-0000-00009F050000}"/>
    <cellStyle name="Notas 16 8" xfId="884" xr:uid="{00000000-0005-0000-0000-0000A0050000}"/>
    <cellStyle name="Notas 16 9" xfId="1062" xr:uid="{00000000-0005-0000-0000-0000A1050000}"/>
    <cellStyle name="Notas 17" xfId="129" xr:uid="{00000000-0005-0000-0000-0000A2050000}"/>
    <cellStyle name="Notas 17 10" xfId="1231" xr:uid="{00000000-0005-0000-0000-0000A3050000}"/>
    <cellStyle name="Notas 17 11" xfId="1420" xr:uid="{00000000-0005-0000-0000-0000A4050000}"/>
    <cellStyle name="Notas 17 12" xfId="1599" xr:uid="{00000000-0005-0000-0000-0000A5050000}"/>
    <cellStyle name="Notas 17 13" xfId="1769" xr:uid="{00000000-0005-0000-0000-0000A6050000}"/>
    <cellStyle name="Notas 17 14" xfId="1926" xr:uid="{00000000-0005-0000-0000-0000A7050000}"/>
    <cellStyle name="Notas 17 15" xfId="2073" xr:uid="{00000000-0005-0000-0000-0000A8050000}"/>
    <cellStyle name="Notas 17 16" xfId="2214" xr:uid="{00000000-0005-0000-0000-0000A9050000}"/>
    <cellStyle name="Notas 17 17" xfId="2363" xr:uid="{00000000-0005-0000-0000-0000AA050000}"/>
    <cellStyle name="Notas 17 18" xfId="2512" xr:uid="{00000000-0005-0000-0000-0000AB050000}"/>
    <cellStyle name="Notas 17 2" xfId="270" xr:uid="{00000000-0005-0000-0000-0000AC050000}"/>
    <cellStyle name="Notas 17 2 10" xfId="1770" xr:uid="{00000000-0005-0000-0000-0000AD050000}"/>
    <cellStyle name="Notas 17 2 11" xfId="1927" xr:uid="{00000000-0005-0000-0000-0000AE050000}"/>
    <cellStyle name="Notas 17 2 12" xfId="2074" xr:uid="{00000000-0005-0000-0000-0000AF050000}"/>
    <cellStyle name="Notas 17 2 13" xfId="2215" xr:uid="{00000000-0005-0000-0000-0000B0050000}"/>
    <cellStyle name="Notas 17 2 14" xfId="2364" xr:uid="{00000000-0005-0000-0000-0000B1050000}"/>
    <cellStyle name="Notas 17 2 15" xfId="2513" xr:uid="{00000000-0005-0000-0000-0000B2050000}"/>
    <cellStyle name="Notas 17 2 2" xfId="434" xr:uid="{00000000-0005-0000-0000-0000B3050000}"/>
    <cellStyle name="Notas 17 2 3" xfId="597" xr:uid="{00000000-0005-0000-0000-0000B4050000}"/>
    <cellStyle name="Notas 17 2 4" xfId="743" xr:uid="{00000000-0005-0000-0000-0000B5050000}"/>
    <cellStyle name="Notas 17 2 5" xfId="888" xr:uid="{00000000-0005-0000-0000-0000B6050000}"/>
    <cellStyle name="Notas 17 2 6" xfId="1066" xr:uid="{00000000-0005-0000-0000-0000B7050000}"/>
    <cellStyle name="Notas 17 2 7" xfId="1232" xr:uid="{00000000-0005-0000-0000-0000B8050000}"/>
    <cellStyle name="Notas 17 2 8" xfId="1421" xr:uid="{00000000-0005-0000-0000-0000B9050000}"/>
    <cellStyle name="Notas 17 2 9" xfId="1600" xr:uid="{00000000-0005-0000-0000-0000BA050000}"/>
    <cellStyle name="Notas 17 3" xfId="298" xr:uid="{00000000-0005-0000-0000-0000BB050000}"/>
    <cellStyle name="Notas 17 3 10" xfId="1771" xr:uid="{00000000-0005-0000-0000-0000BC050000}"/>
    <cellStyle name="Notas 17 3 11" xfId="1928" xr:uid="{00000000-0005-0000-0000-0000BD050000}"/>
    <cellStyle name="Notas 17 3 12" xfId="2075" xr:uid="{00000000-0005-0000-0000-0000BE050000}"/>
    <cellStyle name="Notas 17 3 13" xfId="2216" xr:uid="{00000000-0005-0000-0000-0000BF050000}"/>
    <cellStyle name="Notas 17 3 14" xfId="2365" xr:uid="{00000000-0005-0000-0000-0000C0050000}"/>
    <cellStyle name="Notas 17 3 15" xfId="2514" xr:uid="{00000000-0005-0000-0000-0000C1050000}"/>
    <cellStyle name="Notas 17 3 2" xfId="435" xr:uid="{00000000-0005-0000-0000-0000C2050000}"/>
    <cellStyle name="Notas 17 3 3" xfId="598" xr:uid="{00000000-0005-0000-0000-0000C3050000}"/>
    <cellStyle name="Notas 17 3 4" xfId="744" xr:uid="{00000000-0005-0000-0000-0000C4050000}"/>
    <cellStyle name="Notas 17 3 5" xfId="889" xr:uid="{00000000-0005-0000-0000-0000C5050000}"/>
    <cellStyle name="Notas 17 3 6" xfId="1067" xr:uid="{00000000-0005-0000-0000-0000C6050000}"/>
    <cellStyle name="Notas 17 3 7" xfId="1233" xr:uid="{00000000-0005-0000-0000-0000C7050000}"/>
    <cellStyle name="Notas 17 3 8" xfId="1422" xr:uid="{00000000-0005-0000-0000-0000C8050000}"/>
    <cellStyle name="Notas 17 3 9" xfId="1601" xr:uid="{00000000-0005-0000-0000-0000C9050000}"/>
    <cellStyle name="Notas 17 4" xfId="322" xr:uid="{00000000-0005-0000-0000-0000CA050000}"/>
    <cellStyle name="Notas 17 5" xfId="433" xr:uid="{00000000-0005-0000-0000-0000CB050000}"/>
    <cellStyle name="Notas 17 6" xfId="596" xr:uid="{00000000-0005-0000-0000-0000CC050000}"/>
    <cellStyle name="Notas 17 7" xfId="742" xr:uid="{00000000-0005-0000-0000-0000CD050000}"/>
    <cellStyle name="Notas 17 8" xfId="887" xr:uid="{00000000-0005-0000-0000-0000CE050000}"/>
    <cellStyle name="Notas 17 9" xfId="1065" xr:uid="{00000000-0005-0000-0000-0000CF050000}"/>
    <cellStyle name="Notas 18" xfId="135" xr:uid="{00000000-0005-0000-0000-0000D0050000}"/>
    <cellStyle name="Notas 18 10" xfId="1423" xr:uid="{00000000-0005-0000-0000-0000D1050000}"/>
    <cellStyle name="Notas 18 11" xfId="1602" xr:uid="{00000000-0005-0000-0000-0000D2050000}"/>
    <cellStyle name="Notas 18 12" xfId="1772" xr:uid="{00000000-0005-0000-0000-0000D3050000}"/>
    <cellStyle name="Notas 18 13" xfId="1929" xr:uid="{00000000-0005-0000-0000-0000D4050000}"/>
    <cellStyle name="Notas 18 14" xfId="2076" xr:uid="{00000000-0005-0000-0000-0000D5050000}"/>
    <cellStyle name="Notas 18 15" xfId="2217" xr:uid="{00000000-0005-0000-0000-0000D6050000}"/>
    <cellStyle name="Notas 18 16" xfId="2366" xr:uid="{00000000-0005-0000-0000-0000D7050000}"/>
    <cellStyle name="Notas 18 17" xfId="2515" xr:uid="{00000000-0005-0000-0000-0000D8050000}"/>
    <cellStyle name="Notas 18 2" xfId="437" xr:uid="{00000000-0005-0000-0000-0000D9050000}"/>
    <cellStyle name="Notas 18 2 10" xfId="1930" xr:uid="{00000000-0005-0000-0000-0000DA050000}"/>
    <cellStyle name="Notas 18 2 11" xfId="2077" xr:uid="{00000000-0005-0000-0000-0000DB050000}"/>
    <cellStyle name="Notas 18 2 12" xfId="2218" xr:uid="{00000000-0005-0000-0000-0000DC050000}"/>
    <cellStyle name="Notas 18 2 13" xfId="2367" xr:uid="{00000000-0005-0000-0000-0000DD050000}"/>
    <cellStyle name="Notas 18 2 14" xfId="2516" xr:uid="{00000000-0005-0000-0000-0000DE050000}"/>
    <cellStyle name="Notas 18 2 2" xfId="600" xr:uid="{00000000-0005-0000-0000-0000DF050000}"/>
    <cellStyle name="Notas 18 2 3" xfId="746" xr:uid="{00000000-0005-0000-0000-0000E0050000}"/>
    <cellStyle name="Notas 18 2 4" xfId="891" xr:uid="{00000000-0005-0000-0000-0000E1050000}"/>
    <cellStyle name="Notas 18 2 5" xfId="1069" xr:uid="{00000000-0005-0000-0000-0000E2050000}"/>
    <cellStyle name="Notas 18 2 6" xfId="1235" xr:uid="{00000000-0005-0000-0000-0000E3050000}"/>
    <cellStyle name="Notas 18 2 7" xfId="1424" xr:uid="{00000000-0005-0000-0000-0000E4050000}"/>
    <cellStyle name="Notas 18 2 8" xfId="1603" xr:uid="{00000000-0005-0000-0000-0000E5050000}"/>
    <cellStyle name="Notas 18 2 9" xfId="1773" xr:uid="{00000000-0005-0000-0000-0000E6050000}"/>
    <cellStyle name="Notas 18 3" xfId="438" xr:uid="{00000000-0005-0000-0000-0000E7050000}"/>
    <cellStyle name="Notas 18 3 10" xfId="1931" xr:uid="{00000000-0005-0000-0000-0000E8050000}"/>
    <cellStyle name="Notas 18 3 11" xfId="2078" xr:uid="{00000000-0005-0000-0000-0000E9050000}"/>
    <cellStyle name="Notas 18 3 12" xfId="2219" xr:uid="{00000000-0005-0000-0000-0000EA050000}"/>
    <cellStyle name="Notas 18 3 13" xfId="2368" xr:uid="{00000000-0005-0000-0000-0000EB050000}"/>
    <cellStyle name="Notas 18 3 14" xfId="2517" xr:uid="{00000000-0005-0000-0000-0000EC050000}"/>
    <cellStyle name="Notas 18 3 2" xfId="601" xr:uid="{00000000-0005-0000-0000-0000ED050000}"/>
    <cellStyle name="Notas 18 3 3" xfId="747" xr:uid="{00000000-0005-0000-0000-0000EE050000}"/>
    <cellStyle name="Notas 18 3 4" xfId="892" xr:uid="{00000000-0005-0000-0000-0000EF050000}"/>
    <cellStyle name="Notas 18 3 5" xfId="1070" xr:uid="{00000000-0005-0000-0000-0000F0050000}"/>
    <cellStyle name="Notas 18 3 6" xfId="1236" xr:uid="{00000000-0005-0000-0000-0000F1050000}"/>
    <cellStyle name="Notas 18 3 7" xfId="1425" xr:uid="{00000000-0005-0000-0000-0000F2050000}"/>
    <cellStyle name="Notas 18 3 8" xfId="1604" xr:uid="{00000000-0005-0000-0000-0000F3050000}"/>
    <cellStyle name="Notas 18 3 9" xfId="1774" xr:uid="{00000000-0005-0000-0000-0000F4050000}"/>
    <cellStyle name="Notas 18 4" xfId="436" xr:uid="{00000000-0005-0000-0000-0000F5050000}"/>
    <cellStyle name="Notas 18 5" xfId="599" xr:uid="{00000000-0005-0000-0000-0000F6050000}"/>
    <cellStyle name="Notas 18 6" xfId="745" xr:uid="{00000000-0005-0000-0000-0000F7050000}"/>
    <cellStyle name="Notas 18 7" xfId="890" xr:uid="{00000000-0005-0000-0000-0000F8050000}"/>
    <cellStyle name="Notas 18 8" xfId="1068" xr:uid="{00000000-0005-0000-0000-0000F9050000}"/>
    <cellStyle name="Notas 18 9" xfId="1234" xr:uid="{00000000-0005-0000-0000-0000FA050000}"/>
    <cellStyle name="Notas 19" xfId="136" xr:uid="{00000000-0005-0000-0000-0000FB050000}"/>
    <cellStyle name="Notas 19 10" xfId="1426" xr:uid="{00000000-0005-0000-0000-0000FC050000}"/>
    <cellStyle name="Notas 19 11" xfId="1605" xr:uid="{00000000-0005-0000-0000-0000FD050000}"/>
    <cellStyle name="Notas 19 12" xfId="1775" xr:uid="{00000000-0005-0000-0000-0000FE050000}"/>
    <cellStyle name="Notas 19 13" xfId="1932" xr:uid="{00000000-0005-0000-0000-0000FF050000}"/>
    <cellStyle name="Notas 19 14" xfId="2079" xr:uid="{00000000-0005-0000-0000-000000060000}"/>
    <cellStyle name="Notas 19 15" xfId="2220" xr:uid="{00000000-0005-0000-0000-000001060000}"/>
    <cellStyle name="Notas 19 16" xfId="2369" xr:uid="{00000000-0005-0000-0000-000002060000}"/>
    <cellStyle name="Notas 19 17" xfId="2518" xr:uid="{00000000-0005-0000-0000-000003060000}"/>
    <cellStyle name="Notas 19 2" xfId="440" xr:uid="{00000000-0005-0000-0000-000004060000}"/>
    <cellStyle name="Notas 19 2 10" xfId="1933" xr:uid="{00000000-0005-0000-0000-000005060000}"/>
    <cellStyle name="Notas 19 2 11" xfId="2080" xr:uid="{00000000-0005-0000-0000-000006060000}"/>
    <cellStyle name="Notas 19 2 12" xfId="2221" xr:uid="{00000000-0005-0000-0000-000007060000}"/>
    <cellStyle name="Notas 19 2 13" xfId="2370" xr:uid="{00000000-0005-0000-0000-000008060000}"/>
    <cellStyle name="Notas 19 2 14" xfId="2519" xr:uid="{00000000-0005-0000-0000-000009060000}"/>
    <cellStyle name="Notas 19 2 2" xfId="603" xr:uid="{00000000-0005-0000-0000-00000A060000}"/>
    <cellStyle name="Notas 19 2 3" xfId="749" xr:uid="{00000000-0005-0000-0000-00000B060000}"/>
    <cellStyle name="Notas 19 2 4" xfId="894" xr:uid="{00000000-0005-0000-0000-00000C060000}"/>
    <cellStyle name="Notas 19 2 5" xfId="1072" xr:uid="{00000000-0005-0000-0000-00000D060000}"/>
    <cellStyle name="Notas 19 2 6" xfId="1238" xr:uid="{00000000-0005-0000-0000-00000E060000}"/>
    <cellStyle name="Notas 19 2 7" xfId="1427" xr:uid="{00000000-0005-0000-0000-00000F060000}"/>
    <cellStyle name="Notas 19 2 8" xfId="1606" xr:uid="{00000000-0005-0000-0000-000010060000}"/>
    <cellStyle name="Notas 19 2 9" xfId="1776" xr:uid="{00000000-0005-0000-0000-000011060000}"/>
    <cellStyle name="Notas 19 3" xfId="441" xr:uid="{00000000-0005-0000-0000-000012060000}"/>
    <cellStyle name="Notas 19 3 10" xfId="1934" xr:uid="{00000000-0005-0000-0000-000013060000}"/>
    <cellStyle name="Notas 19 3 11" xfId="2081" xr:uid="{00000000-0005-0000-0000-000014060000}"/>
    <cellStyle name="Notas 19 3 12" xfId="2222" xr:uid="{00000000-0005-0000-0000-000015060000}"/>
    <cellStyle name="Notas 19 3 13" xfId="2371" xr:uid="{00000000-0005-0000-0000-000016060000}"/>
    <cellStyle name="Notas 19 3 14" xfId="2520" xr:uid="{00000000-0005-0000-0000-000017060000}"/>
    <cellStyle name="Notas 19 3 2" xfId="604" xr:uid="{00000000-0005-0000-0000-000018060000}"/>
    <cellStyle name="Notas 19 3 3" xfId="750" xr:uid="{00000000-0005-0000-0000-000019060000}"/>
    <cellStyle name="Notas 19 3 4" xfId="895" xr:uid="{00000000-0005-0000-0000-00001A060000}"/>
    <cellStyle name="Notas 19 3 5" xfId="1073" xr:uid="{00000000-0005-0000-0000-00001B060000}"/>
    <cellStyle name="Notas 19 3 6" xfId="1239" xr:uid="{00000000-0005-0000-0000-00001C060000}"/>
    <cellStyle name="Notas 19 3 7" xfId="1428" xr:uid="{00000000-0005-0000-0000-00001D060000}"/>
    <cellStyle name="Notas 19 3 8" xfId="1607" xr:uid="{00000000-0005-0000-0000-00001E060000}"/>
    <cellStyle name="Notas 19 3 9" xfId="1777" xr:uid="{00000000-0005-0000-0000-00001F060000}"/>
    <cellStyle name="Notas 19 4" xfId="439" xr:uid="{00000000-0005-0000-0000-000020060000}"/>
    <cellStyle name="Notas 19 5" xfId="602" xr:uid="{00000000-0005-0000-0000-000021060000}"/>
    <cellStyle name="Notas 19 6" xfId="748" xr:uid="{00000000-0005-0000-0000-000022060000}"/>
    <cellStyle name="Notas 19 7" xfId="893" xr:uid="{00000000-0005-0000-0000-000023060000}"/>
    <cellStyle name="Notas 19 8" xfId="1071" xr:uid="{00000000-0005-0000-0000-000024060000}"/>
    <cellStyle name="Notas 19 9" xfId="1237" xr:uid="{00000000-0005-0000-0000-000025060000}"/>
    <cellStyle name="Notas 2" xfId="51" xr:uid="{00000000-0005-0000-0000-000026060000}"/>
    <cellStyle name="Notas 2 10" xfId="442" xr:uid="{00000000-0005-0000-0000-000027060000}"/>
    <cellStyle name="Notas 2 11" xfId="605" xr:uid="{00000000-0005-0000-0000-000028060000}"/>
    <cellStyle name="Notas 2 12" xfId="751" xr:uid="{00000000-0005-0000-0000-000029060000}"/>
    <cellStyle name="Notas 2 13" xfId="896" xr:uid="{00000000-0005-0000-0000-00002A060000}"/>
    <cellStyle name="Notas 2 14" xfId="1074" xr:uid="{00000000-0005-0000-0000-00002B060000}"/>
    <cellStyle name="Notas 2 15" xfId="1240" xr:uid="{00000000-0005-0000-0000-00002C060000}"/>
    <cellStyle name="Notas 2 16" xfId="1429" xr:uid="{00000000-0005-0000-0000-00002D060000}"/>
    <cellStyle name="Notas 2 17" xfId="1608" xr:uid="{00000000-0005-0000-0000-00002E060000}"/>
    <cellStyle name="Notas 2 18" xfId="1778" xr:uid="{00000000-0005-0000-0000-00002F060000}"/>
    <cellStyle name="Notas 2 19" xfId="1935" xr:uid="{00000000-0005-0000-0000-000030060000}"/>
    <cellStyle name="Notas 2 2" xfId="108" xr:uid="{00000000-0005-0000-0000-000031060000}"/>
    <cellStyle name="Notas 2 2 10" xfId="1779" xr:uid="{00000000-0005-0000-0000-000032060000}"/>
    <cellStyle name="Notas 2 2 11" xfId="1936" xr:uid="{00000000-0005-0000-0000-000033060000}"/>
    <cellStyle name="Notas 2 2 12" xfId="2083" xr:uid="{00000000-0005-0000-0000-000034060000}"/>
    <cellStyle name="Notas 2 2 13" xfId="2224" xr:uid="{00000000-0005-0000-0000-000035060000}"/>
    <cellStyle name="Notas 2 2 14" xfId="2373" xr:uid="{00000000-0005-0000-0000-000036060000}"/>
    <cellStyle name="Notas 2 2 15" xfId="2522" xr:uid="{00000000-0005-0000-0000-000037060000}"/>
    <cellStyle name="Notas 2 2 2" xfId="443" xr:uid="{00000000-0005-0000-0000-000038060000}"/>
    <cellStyle name="Notas 2 2 3" xfId="606" xr:uid="{00000000-0005-0000-0000-000039060000}"/>
    <cellStyle name="Notas 2 2 4" xfId="752" xr:uid="{00000000-0005-0000-0000-00003A060000}"/>
    <cellStyle name="Notas 2 2 5" xfId="897" xr:uid="{00000000-0005-0000-0000-00003B060000}"/>
    <cellStyle name="Notas 2 2 6" xfId="1075" xr:uid="{00000000-0005-0000-0000-00003C060000}"/>
    <cellStyle name="Notas 2 2 7" xfId="1241" xr:uid="{00000000-0005-0000-0000-00003D060000}"/>
    <cellStyle name="Notas 2 2 8" xfId="1430" xr:uid="{00000000-0005-0000-0000-00003E060000}"/>
    <cellStyle name="Notas 2 2 9" xfId="1609" xr:uid="{00000000-0005-0000-0000-00003F060000}"/>
    <cellStyle name="Notas 2 20" xfId="2082" xr:uid="{00000000-0005-0000-0000-000040060000}"/>
    <cellStyle name="Notas 2 21" xfId="2223" xr:uid="{00000000-0005-0000-0000-000041060000}"/>
    <cellStyle name="Notas 2 22" xfId="2372" xr:uid="{00000000-0005-0000-0000-000042060000}"/>
    <cellStyle name="Notas 2 23" xfId="2521" xr:uid="{00000000-0005-0000-0000-000043060000}"/>
    <cellStyle name="Notas 2 24" xfId="2597" xr:uid="{00000000-0005-0000-0000-000044060000}"/>
    <cellStyle name="Notas 2 3" xfId="164" xr:uid="{00000000-0005-0000-0000-000045060000}"/>
    <cellStyle name="Notas 2 3 10" xfId="1780" xr:uid="{00000000-0005-0000-0000-000046060000}"/>
    <cellStyle name="Notas 2 3 11" xfId="1937" xr:uid="{00000000-0005-0000-0000-000047060000}"/>
    <cellStyle name="Notas 2 3 12" xfId="2084" xr:uid="{00000000-0005-0000-0000-000048060000}"/>
    <cellStyle name="Notas 2 3 13" xfId="2225" xr:uid="{00000000-0005-0000-0000-000049060000}"/>
    <cellStyle name="Notas 2 3 14" xfId="2374" xr:uid="{00000000-0005-0000-0000-00004A060000}"/>
    <cellStyle name="Notas 2 3 15" xfId="2523" xr:uid="{00000000-0005-0000-0000-00004B060000}"/>
    <cellStyle name="Notas 2 3 2" xfId="444" xr:uid="{00000000-0005-0000-0000-00004C060000}"/>
    <cellStyle name="Notas 2 3 3" xfId="607" xr:uid="{00000000-0005-0000-0000-00004D060000}"/>
    <cellStyle name="Notas 2 3 4" xfId="753" xr:uid="{00000000-0005-0000-0000-00004E060000}"/>
    <cellStyle name="Notas 2 3 5" xfId="898" xr:uid="{00000000-0005-0000-0000-00004F060000}"/>
    <cellStyle name="Notas 2 3 6" xfId="1076" xr:uid="{00000000-0005-0000-0000-000050060000}"/>
    <cellStyle name="Notas 2 3 7" xfId="1242" xr:uid="{00000000-0005-0000-0000-000051060000}"/>
    <cellStyle name="Notas 2 3 8" xfId="1431" xr:uid="{00000000-0005-0000-0000-000052060000}"/>
    <cellStyle name="Notas 2 3 9" xfId="1610" xr:uid="{00000000-0005-0000-0000-000053060000}"/>
    <cellStyle name="Notas 2 4" xfId="194" xr:uid="{00000000-0005-0000-0000-000054060000}"/>
    <cellStyle name="Notas 2 5" xfId="217" xr:uid="{00000000-0005-0000-0000-000055060000}"/>
    <cellStyle name="Notas 2 6" xfId="234" xr:uid="{00000000-0005-0000-0000-000056060000}"/>
    <cellStyle name="Notas 2 7" xfId="271" xr:uid="{00000000-0005-0000-0000-000057060000}"/>
    <cellStyle name="Notas 2 8" xfId="299" xr:uid="{00000000-0005-0000-0000-000058060000}"/>
    <cellStyle name="Notas 2 9" xfId="323" xr:uid="{00000000-0005-0000-0000-000059060000}"/>
    <cellStyle name="Notas 20" xfId="137" xr:uid="{00000000-0005-0000-0000-00005A060000}"/>
    <cellStyle name="Notas 20 10" xfId="1432" xr:uid="{00000000-0005-0000-0000-00005B060000}"/>
    <cellStyle name="Notas 20 11" xfId="1611" xr:uid="{00000000-0005-0000-0000-00005C060000}"/>
    <cellStyle name="Notas 20 12" xfId="1781" xr:uid="{00000000-0005-0000-0000-00005D060000}"/>
    <cellStyle name="Notas 20 13" xfId="1938" xr:uid="{00000000-0005-0000-0000-00005E060000}"/>
    <cellStyle name="Notas 20 14" xfId="2085" xr:uid="{00000000-0005-0000-0000-00005F060000}"/>
    <cellStyle name="Notas 20 15" xfId="2226" xr:uid="{00000000-0005-0000-0000-000060060000}"/>
    <cellStyle name="Notas 20 16" xfId="2375" xr:uid="{00000000-0005-0000-0000-000061060000}"/>
    <cellStyle name="Notas 20 17" xfId="2524" xr:uid="{00000000-0005-0000-0000-000062060000}"/>
    <cellStyle name="Notas 20 2" xfId="446" xr:uid="{00000000-0005-0000-0000-000063060000}"/>
    <cellStyle name="Notas 20 2 10" xfId="1939" xr:uid="{00000000-0005-0000-0000-000064060000}"/>
    <cellStyle name="Notas 20 2 11" xfId="2086" xr:uid="{00000000-0005-0000-0000-000065060000}"/>
    <cellStyle name="Notas 20 2 12" xfId="2227" xr:uid="{00000000-0005-0000-0000-000066060000}"/>
    <cellStyle name="Notas 20 2 13" xfId="2376" xr:uid="{00000000-0005-0000-0000-000067060000}"/>
    <cellStyle name="Notas 20 2 14" xfId="2525" xr:uid="{00000000-0005-0000-0000-000068060000}"/>
    <cellStyle name="Notas 20 2 2" xfId="609" xr:uid="{00000000-0005-0000-0000-000069060000}"/>
    <cellStyle name="Notas 20 2 3" xfId="755" xr:uid="{00000000-0005-0000-0000-00006A060000}"/>
    <cellStyle name="Notas 20 2 4" xfId="900" xr:uid="{00000000-0005-0000-0000-00006B060000}"/>
    <cellStyle name="Notas 20 2 5" xfId="1078" xr:uid="{00000000-0005-0000-0000-00006C060000}"/>
    <cellStyle name="Notas 20 2 6" xfId="1244" xr:uid="{00000000-0005-0000-0000-00006D060000}"/>
    <cellStyle name="Notas 20 2 7" xfId="1433" xr:uid="{00000000-0005-0000-0000-00006E060000}"/>
    <cellStyle name="Notas 20 2 8" xfId="1612" xr:uid="{00000000-0005-0000-0000-00006F060000}"/>
    <cellStyle name="Notas 20 2 9" xfId="1782" xr:uid="{00000000-0005-0000-0000-000070060000}"/>
    <cellStyle name="Notas 20 3" xfId="447" xr:uid="{00000000-0005-0000-0000-000071060000}"/>
    <cellStyle name="Notas 20 3 10" xfId="1940" xr:uid="{00000000-0005-0000-0000-000072060000}"/>
    <cellStyle name="Notas 20 3 11" xfId="2087" xr:uid="{00000000-0005-0000-0000-000073060000}"/>
    <cellStyle name="Notas 20 3 12" xfId="2228" xr:uid="{00000000-0005-0000-0000-000074060000}"/>
    <cellStyle name="Notas 20 3 13" xfId="2377" xr:uid="{00000000-0005-0000-0000-000075060000}"/>
    <cellStyle name="Notas 20 3 14" xfId="2526" xr:uid="{00000000-0005-0000-0000-000076060000}"/>
    <cellStyle name="Notas 20 3 2" xfId="610" xr:uid="{00000000-0005-0000-0000-000077060000}"/>
    <cellStyle name="Notas 20 3 3" xfId="756" xr:uid="{00000000-0005-0000-0000-000078060000}"/>
    <cellStyle name="Notas 20 3 4" xfId="901" xr:uid="{00000000-0005-0000-0000-000079060000}"/>
    <cellStyle name="Notas 20 3 5" xfId="1079" xr:uid="{00000000-0005-0000-0000-00007A060000}"/>
    <cellStyle name="Notas 20 3 6" xfId="1245" xr:uid="{00000000-0005-0000-0000-00007B060000}"/>
    <cellStyle name="Notas 20 3 7" xfId="1434" xr:uid="{00000000-0005-0000-0000-00007C060000}"/>
    <cellStyle name="Notas 20 3 8" xfId="1613" xr:uid="{00000000-0005-0000-0000-00007D060000}"/>
    <cellStyle name="Notas 20 3 9" xfId="1783" xr:uid="{00000000-0005-0000-0000-00007E060000}"/>
    <cellStyle name="Notas 20 4" xfId="445" xr:uid="{00000000-0005-0000-0000-00007F060000}"/>
    <cellStyle name="Notas 20 5" xfId="608" xr:uid="{00000000-0005-0000-0000-000080060000}"/>
    <cellStyle name="Notas 20 6" xfId="754" xr:uid="{00000000-0005-0000-0000-000081060000}"/>
    <cellStyle name="Notas 20 7" xfId="899" xr:uid="{00000000-0005-0000-0000-000082060000}"/>
    <cellStyle name="Notas 20 8" xfId="1077" xr:uid="{00000000-0005-0000-0000-000083060000}"/>
    <cellStyle name="Notas 20 9" xfId="1243" xr:uid="{00000000-0005-0000-0000-000084060000}"/>
    <cellStyle name="Notas 21" xfId="138" xr:uid="{00000000-0005-0000-0000-000085060000}"/>
    <cellStyle name="Notas 21 10" xfId="1435" xr:uid="{00000000-0005-0000-0000-000086060000}"/>
    <cellStyle name="Notas 21 11" xfId="1614" xr:uid="{00000000-0005-0000-0000-000087060000}"/>
    <cellStyle name="Notas 21 12" xfId="1784" xr:uid="{00000000-0005-0000-0000-000088060000}"/>
    <cellStyle name="Notas 21 13" xfId="1941" xr:uid="{00000000-0005-0000-0000-000089060000}"/>
    <cellStyle name="Notas 21 14" xfId="2088" xr:uid="{00000000-0005-0000-0000-00008A060000}"/>
    <cellStyle name="Notas 21 15" xfId="2229" xr:uid="{00000000-0005-0000-0000-00008B060000}"/>
    <cellStyle name="Notas 21 16" xfId="2378" xr:uid="{00000000-0005-0000-0000-00008C060000}"/>
    <cellStyle name="Notas 21 17" xfId="2527" xr:uid="{00000000-0005-0000-0000-00008D060000}"/>
    <cellStyle name="Notas 21 2" xfId="449" xr:uid="{00000000-0005-0000-0000-00008E060000}"/>
    <cellStyle name="Notas 21 2 10" xfId="1942" xr:uid="{00000000-0005-0000-0000-00008F060000}"/>
    <cellStyle name="Notas 21 2 11" xfId="2089" xr:uid="{00000000-0005-0000-0000-000090060000}"/>
    <cellStyle name="Notas 21 2 12" xfId="2230" xr:uid="{00000000-0005-0000-0000-000091060000}"/>
    <cellStyle name="Notas 21 2 13" xfId="2379" xr:uid="{00000000-0005-0000-0000-000092060000}"/>
    <cellStyle name="Notas 21 2 14" xfId="2528" xr:uid="{00000000-0005-0000-0000-000093060000}"/>
    <cellStyle name="Notas 21 2 2" xfId="612" xr:uid="{00000000-0005-0000-0000-000094060000}"/>
    <cellStyle name="Notas 21 2 3" xfId="758" xr:uid="{00000000-0005-0000-0000-000095060000}"/>
    <cellStyle name="Notas 21 2 4" xfId="903" xr:uid="{00000000-0005-0000-0000-000096060000}"/>
    <cellStyle name="Notas 21 2 5" xfId="1081" xr:uid="{00000000-0005-0000-0000-000097060000}"/>
    <cellStyle name="Notas 21 2 6" xfId="1247" xr:uid="{00000000-0005-0000-0000-000098060000}"/>
    <cellStyle name="Notas 21 2 7" xfId="1436" xr:uid="{00000000-0005-0000-0000-000099060000}"/>
    <cellStyle name="Notas 21 2 8" xfId="1615" xr:uid="{00000000-0005-0000-0000-00009A060000}"/>
    <cellStyle name="Notas 21 2 9" xfId="1785" xr:uid="{00000000-0005-0000-0000-00009B060000}"/>
    <cellStyle name="Notas 21 3" xfId="450" xr:uid="{00000000-0005-0000-0000-00009C060000}"/>
    <cellStyle name="Notas 21 3 10" xfId="1943" xr:uid="{00000000-0005-0000-0000-00009D060000}"/>
    <cellStyle name="Notas 21 3 11" xfId="2090" xr:uid="{00000000-0005-0000-0000-00009E060000}"/>
    <cellStyle name="Notas 21 3 12" xfId="2231" xr:uid="{00000000-0005-0000-0000-00009F060000}"/>
    <cellStyle name="Notas 21 3 13" xfId="2380" xr:uid="{00000000-0005-0000-0000-0000A0060000}"/>
    <cellStyle name="Notas 21 3 14" xfId="2529" xr:uid="{00000000-0005-0000-0000-0000A1060000}"/>
    <cellStyle name="Notas 21 3 2" xfId="613" xr:uid="{00000000-0005-0000-0000-0000A2060000}"/>
    <cellStyle name="Notas 21 3 3" xfId="759" xr:uid="{00000000-0005-0000-0000-0000A3060000}"/>
    <cellStyle name="Notas 21 3 4" xfId="904" xr:uid="{00000000-0005-0000-0000-0000A4060000}"/>
    <cellStyle name="Notas 21 3 5" xfId="1082" xr:uid="{00000000-0005-0000-0000-0000A5060000}"/>
    <cellStyle name="Notas 21 3 6" xfId="1248" xr:uid="{00000000-0005-0000-0000-0000A6060000}"/>
    <cellStyle name="Notas 21 3 7" xfId="1437" xr:uid="{00000000-0005-0000-0000-0000A7060000}"/>
    <cellStyle name="Notas 21 3 8" xfId="1616" xr:uid="{00000000-0005-0000-0000-0000A8060000}"/>
    <cellStyle name="Notas 21 3 9" xfId="1786" xr:uid="{00000000-0005-0000-0000-0000A9060000}"/>
    <cellStyle name="Notas 21 4" xfId="448" xr:uid="{00000000-0005-0000-0000-0000AA060000}"/>
    <cellStyle name="Notas 21 5" xfId="611" xr:uid="{00000000-0005-0000-0000-0000AB060000}"/>
    <cellStyle name="Notas 21 6" xfId="757" xr:uid="{00000000-0005-0000-0000-0000AC060000}"/>
    <cellStyle name="Notas 21 7" xfId="902" xr:uid="{00000000-0005-0000-0000-0000AD060000}"/>
    <cellStyle name="Notas 21 8" xfId="1080" xr:uid="{00000000-0005-0000-0000-0000AE060000}"/>
    <cellStyle name="Notas 21 9" xfId="1246" xr:uid="{00000000-0005-0000-0000-0000AF060000}"/>
    <cellStyle name="Notas 22" xfId="139" xr:uid="{00000000-0005-0000-0000-0000B0060000}"/>
    <cellStyle name="Notas 22 10" xfId="1438" xr:uid="{00000000-0005-0000-0000-0000B1060000}"/>
    <cellStyle name="Notas 22 11" xfId="1617" xr:uid="{00000000-0005-0000-0000-0000B2060000}"/>
    <cellStyle name="Notas 22 12" xfId="1787" xr:uid="{00000000-0005-0000-0000-0000B3060000}"/>
    <cellStyle name="Notas 22 13" xfId="1944" xr:uid="{00000000-0005-0000-0000-0000B4060000}"/>
    <cellStyle name="Notas 22 14" xfId="2091" xr:uid="{00000000-0005-0000-0000-0000B5060000}"/>
    <cellStyle name="Notas 22 15" xfId="2232" xr:uid="{00000000-0005-0000-0000-0000B6060000}"/>
    <cellStyle name="Notas 22 16" xfId="2381" xr:uid="{00000000-0005-0000-0000-0000B7060000}"/>
    <cellStyle name="Notas 22 17" xfId="2530" xr:uid="{00000000-0005-0000-0000-0000B8060000}"/>
    <cellStyle name="Notas 22 2" xfId="452" xr:uid="{00000000-0005-0000-0000-0000B9060000}"/>
    <cellStyle name="Notas 22 2 10" xfId="1945" xr:uid="{00000000-0005-0000-0000-0000BA060000}"/>
    <cellStyle name="Notas 22 2 11" xfId="2092" xr:uid="{00000000-0005-0000-0000-0000BB060000}"/>
    <cellStyle name="Notas 22 2 12" xfId="2233" xr:uid="{00000000-0005-0000-0000-0000BC060000}"/>
    <cellStyle name="Notas 22 2 13" xfId="2382" xr:uid="{00000000-0005-0000-0000-0000BD060000}"/>
    <cellStyle name="Notas 22 2 14" xfId="2531" xr:uid="{00000000-0005-0000-0000-0000BE060000}"/>
    <cellStyle name="Notas 22 2 2" xfId="615" xr:uid="{00000000-0005-0000-0000-0000BF060000}"/>
    <cellStyle name="Notas 22 2 3" xfId="761" xr:uid="{00000000-0005-0000-0000-0000C0060000}"/>
    <cellStyle name="Notas 22 2 4" xfId="906" xr:uid="{00000000-0005-0000-0000-0000C1060000}"/>
    <cellStyle name="Notas 22 2 5" xfId="1084" xr:uid="{00000000-0005-0000-0000-0000C2060000}"/>
    <cellStyle name="Notas 22 2 6" xfId="1250" xr:uid="{00000000-0005-0000-0000-0000C3060000}"/>
    <cellStyle name="Notas 22 2 7" xfId="1439" xr:uid="{00000000-0005-0000-0000-0000C4060000}"/>
    <cellStyle name="Notas 22 2 8" xfId="1618" xr:uid="{00000000-0005-0000-0000-0000C5060000}"/>
    <cellStyle name="Notas 22 2 9" xfId="1788" xr:uid="{00000000-0005-0000-0000-0000C6060000}"/>
    <cellStyle name="Notas 22 3" xfId="453" xr:uid="{00000000-0005-0000-0000-0000C7060000}"/>
    <cellStyle name="Notas 22 3 10" xfId="1946" xr:uid="{00000000-0005-0000-0000-0000C8060000}"/>
    <cellStyle name="Notas 22 3 11" xfId="2093" xr:uid="{00000000-0005-0000-0000-0000C9060000}"/>
    <cellStyle name="Notas 22 3 12" xfId="2234" xr:uid="{00000000-0005-0000-0000-0000CA060000}"/>
    <cellStyle name="Notas 22 3 13" xfId="2383" xr:uid="{00000000-0005-0000-0000-0000CB060000}"/>
    <cellStyle name="Notas 22 3 14" xfId="2532" xr:uid="{00000000-0005-0000-0000-0000CC060000}"/>
    <cellStyle name="Notas 22 3 2" xfId="616" xr:uid="{00000000-0005-0000-0000-0000CD060000}"/>
    <cellStyle name="Notas 22 3 3" xfId="762" xr:uid="{00000000-0005-0000-0000-0000CE060000}"/>
    <cellStyle name="Notas 22 3 4" xfId="907" xr:uid="{00000000-0005-0000-0000-0000CF060000}"/>
    <cellStyle name="Notas 22 3 5" xfId="1085" xr:uid="{00000000-0005-0000-0000-0000D0060000}"/>
    <cellStyle name="Notas 22 3 6" xfId="1251" xr:uid="{00000000-0005-0000-0000-0000D1060000}"/>
    <cellStyle name="Notas 22 3 7" xfId="1440" xr:uid="{00000000-0005-0000-0000-0000D2060000}"/>
    <cellStyle name="Notas 22 3 8" xfId="1619" xr:uid="{00000000-0005-0000-0000-0000D3060000}"/>
    <cellStyle name="Notas 22 3 9" xfId="1789" xr:uid="{00000000-0005-0000-0000-0000D4060000}"/>
    <cellStyle name="Notas 22 4" xfId="451" xr:uid="{00000000-0005-0000-0000-0000D5060000}"/>
    <cellStyle name="Notas 22 5" xfId="614" xr:uid="{00000000-0005-0000-0000-0000D6060000}"/>
    <cellStyle name="Notas 22 6" xfId="760" xr:uid="{00000000-0005-0000-0000-0000D7060000}"/>
    <cellStyle name="Notas 22 7" xfId="905" xr:uid="{00000000-0005-0000-0000-0000D8060000}"/>
    <cellStyle name="Notas 22 8" xfId="1083" xr:uid="{00000000-0005-0000-0000-0000D9060000}"/>
    <cellStyle name="Notas 22 9" xfId="1249" xr:uid="{00000000-0005-0000-0000-0000DA060000}"/>
    <cellStyle name="Notas 23" xfId="140" xr:uid="{00000000-0005-0000-0000-0000DB060000}"/>
    <cellStyle name="Notas 23 10" xfId="1790" xr:uid="{00000000-0005-0000-0000-0000DC060000}"/>
    <cellStyle name="Notas 23 11" xfId="1947" xr:uid="{00000000-0005-0000-0000-0000DD060000}"/>
    <cellStyle name="Notas 23 12" xfId="2094" xr:uid="{00000000-0005-0000-0000-0000DE060000}"/>
    <cellStyle name="Notas 23 13" xfId="2235" xr:uid="{00000000-0005-0000-0000-0000DF060000}"/>
    <cellStyle name="Notas 23 14" xfId="2384" xr:uid="{00000000-0005-0000-0000-0000E0060000}"/>
    <cellStyle name="Notas 23 15" xfId="2533" xr:uid="{00000000-0005-0000-0000-0000E1060000}"/>
    <cellStyle name="Notas 23 2" xfId="454" xr:uid="{00000000-0005-0000-0000-0000E2060000}"/>
    <cellStyle name="Notas 23 3" xfId="617" xr:uid="{00000000-0005-0000-0000-0000E3060000}"/>
    <cellStyle name="Notas 23 4" xfId="763" xr:uid="{00000000-0005-0000-0000-0000E4060000}"/>
    <cellStyle name="Notas 23 5" xfId="908" xr:uid="{00000000-0005-0000-0000-0000E5060000}"/>
    <cellStyle name="Notas 23 6" xfId="1086" xr:uid="{00000000-0005-0000-0000-0000E6060000}"/>
    <cellStyle name="Notas 23 7" xfId="1252" xr:uid="{00000000-0005-0000-0000-0000E7060000}"/>
    <cellStyle name="Notas 23 8" xfId="1441" xr:uid="{00000000-0005-0000-0000-0000E8060000}"/>
    <cellStyle name="Notas 23 9" xfId="1620" xr:uid="{00000000-0005-0000-0000-0000E9060000}"/>
    <cellStyle name="Notas 24" xfId="141" xr:uid="{00000000-0005-0000-0000-0000EA060000}"/>
    <cellStyle name="Notas 24 10" xfId="1791" xr:uid="{00000000-0005-0000-0000-0000EB060000}"/>
    <cellStyle name="Notas 24 11" xfId="1948" xr:uid="{00000000-0005-0000-0000-0000EC060000}"/>
    <cellStyle name="Notas 24 12" xfId="2095" xr:uid="{00000000-0005-0000-0000-0000ED060000}"/>
    <cellStyle name="Notas 24 13" xfId="2236" xr:uid="{00000000-0005-0000-0000-0000EE060000}"/>
    <cellStyle name="Notas 24 14" xfId="2385" xr:uid="{00000000-0005-0000-0000-0000EF060000}"/>
    <cellStyle name="Notas 24 15" xfId="2534" xr:uid="{00000000-0005-0000-0000-0000F0060000}"/>
    <cellStyle name="Notas 24 2" xfId="455" xr:uid="{00000000-0005-0000-0000-0000F1060000}"/>
    <cellStyle name="Notas 24 3" xfId="618" xr:uid="{00000000-0005-0000-0000-0000F2060000}"/>
    <cellStyle name="Notas 24 4" xfId="764" xr:uid="{00000000-0005-0000-0000-0000F3060000}"/>
    <cellStyle name="Notas 24 5" xfId="909" xr:uid="{00000000-0005-0000-0000-0000F4060000}"/>
    <cellStyle name="Notas 24 6" xfId="1087" xr:uid="{00000000-0005-0000-0000-0000F5060000}"/>
    <cellStyle name="Notas 24 7" xfId="1253" xr:uid="{00000000-0005-0000-0000-0000F6060000}"/>
    <cellStyle name="Notas 24 8" xfId="1442" xr:uid="{00000000-0005-0000-0000-0000F7060000}"/>
    <cellStyle name="Notas 24 9" xfId="1621" xr:uid="{00000000-0005-0000-0000-0000F8060000}"/>
    <cellStyle name="Notas 25" xfId="142" xr:uid="{00000000-0005-0000-0000-0000F9060000}"/>
    <cellStyle name="Notas 25 10" xfId="1792" xr:uid="{00000000-0005-0000-0000-0000FA060000}"/>
    <cellStyle name="Notas 25 11" xfId="1949" xr:uid="{00000000-0005-0000-0000-0000FB060000}"/>
    <cellStyle name="Notas 25 12" xfId="2096" xr:uid="{00000000-0005-0000-0000-0000FC060000}"/>
    <cellStyle name="Notas 25 13" xfId="2237" xr:uid="{00000000-0005-0000-0000-0000FD060000}"/>
    <cellStyle name="Notas 25 14" xfId="2386" xr:uid="{00000000-0005-0000-0000-0000FE060000}"/>
    <cellStyle name="Notas 25 15" xfId="2535" xr:uid="{00000000-0005-0000-0000-0000FF060000}"/>
    <cellStyle name="Notas 25 2" xfId="456" xr:uid="{00000000-0005-0000-0000-000000070000}"/>
    <cellStyle name="Notas 25 3" xfId="619" xr:uid="{00000000-0005-0000-0000-000001070000}"/>
    <cellStyle name="Notas 25 4" xfId="765" xr:uid="{00000000-0005-0000-0000-000002070000}"/>
    <cellStyle name="Notas 25 5" xfId="910" xr:uid="{00000000-0005-0000-0000-000003070000}"/>
    <cellStyle name="Notas 25 6" xfId="1088" xr:uid="{00000000-0005-0000-0000-000004070000}"/>
    <cellStyle name="Notas 25 7" xfId="1254" xr:uid="{00000000-0005-0000-0000-000005070000}"/>
    <cellStyle name="Notas 25 8" xfId="1443" xr:uid="{00000000-0005-0000-0000-000006070000}"/>
    <cellStyle name="Notas 25 9" xfId="1622" xr:uid="{00000000-0005-0000-0000-000007070000}"/>
    <cellStyle name="Notas 26" xfId="143" xr:uid="{00000000-0005-0000-0000-000008070000}"/>
    <cellStyle name="Notas 26 10" xfId="1793" xr:uid="{00000000-0005-0000-0000-000009070000}"/>
    <cellStyle name="Notas 26 11" xfId="1950" xr:uid="{00000000-0005-0000-0000-00000A070000}"/>
    <cellStyle name="Notas 26 12" xfId="2097" xr:uid="{00000000-0005-0000-0000-00000B070000}"/>
    <cellStyle name="Notas 26 13" xfId="2238" xr:uid="{00000000-0005-0000-0000-00000C070000}"/>
    <cellStyle name="Notas 26 14" xfId="2387" xr:uid="{00000000-0005-0000-0000-00000D070000}"/>
    <cellStyle name="Notas 26 15" xfId="2536" xr:uid="{00000000-0005-0000-0000-00000E070000}"/>
    <cellStyle name="Notas 26 2" xfId="457" xr:uid="{00000000-0005-0000-0000-00000F070000}"/>
    <cellStyle name="Notas 26 3" xfId="620" xr:uid="{00000000-0005-0000-0000-000010070000}"/>
    <cellStyle name="Notas 26 4" xfId="766" xr:uid="{00000000-0005-0000-0000-000011070000}"/>
    <cellStyle name="Notas 26 5" xfId="911" xr:uid="{00000000-0005-0000-0000-000012070000}"/>
    <cellStyle name="Notas 26 6" xfId="1089" xr:uid="{00000000-0005-0000-0000-000013070000}"/>
    <cellStyle name="Notas 26 7" xfId="1255" xr:uid="{00000000-0005-0000-0000-000014070000}"/>
    <cellStyle name="Notas 26 8" xfId="1444" xr:uid="{00000000-0005-0000-0000-000015070000}"/>
    <cellStyle name="Notas 26 9" xfId="1623" xr:uid="{00000000-0005-0000-0000-000016070000}"/>
    <cellStyle name="Notas 27" xfId="144" xr:uid="{00000000-0005-0000-0000-000017070000}"/>
    <cellStyle name="Notas 27 10" xfId="1794" xr:uid="{00000000-0005-0000-0000-000018070000}"/>
    <cellStyle name="Notas 27 11" xfId="1951" xr:uid="{00000000-0005-0000-0000-000019070000}"/>
    <cellStyle name="Notas 27 12" xfId="2098" xr:uid="{00000000-0005-0000-0000-00001A070000}"/>
    <cellStyle name="Notas 27 13" xfId="2239" xr:uid="{00000000-0005-0000-0000-00001B070000}"/>
    <cellStyle name="Notas 27 14" xfId="2388" xr:uid="{00000000-0005-0000-0000-00001C070000}"/>
    <cellStyle name="Notas 27 15" xfId="2537" xr:uid="{00000000-0005-0000-0000-00001D070000}"/>
    <cellStyle name="Notas 27 2" xfId="458" xr:uid="{00000000-0005-0000-0000-00001E070000}"/>
    <cellStyle name="Notas 27 3" xfId="621" xr:uid="{00000000-0005-0000-0000-00001F070000}"/>
    <cellStyle name="Notas 27 4" xfId="767" xr:uid="{00000000-0005-0000-0000-000020070000}"/>
    <cellStyle name="Notas 27 5" xfId="912" xr:uid="{00000000-0005-0000-0000-000021070000}"/>
    <cellStyle name="Notas 27 6" xfId="1090" xr:uid="{00000000-0005-0000-0000-000022070000}"/>
    <cellStyle name="Notas 27 7" xfId="1256" xr:uid="{00000000-0005-0000-0000-000023070000}"/>
    <cellStyle name="Notas 27 8" xfId="1445" xr:uid="{00000000-0005-0000-0000-000024070000}"/>
    <cellStyle name="Notas 27 9" xfId="1624" xr:uid="{00000000-0005-0000-0000-000025070000}"/>
    <cellStyle name="Notas 28" xfId="145" xr:uid="{00000000-0005-0000-0000-000026070000}"/>
    <cellStyle name="Notas 28 10" xfId="1795" xr:uid="{00000000-0005-0000-0000-000027070000}"/>
    <cellStyle name="Notas 28 11" xfId="1952" xr:uid="{00000000-0005-0000-0000-000028070000}"/>
    <cellStyle name="Notas 28 12" xfId="2099" xr:uid="{00000000-0005-0000-0000-000029070000}"/>
    <cellStyle name="Notas 28 13" xfId="2240" xr:uid="{00000000-0005-0000-0000-00002A070000}"/>
    <cellStyle name="Notas 28 14" xfId="2389" xr:uid="{00000000-0005-0000-0000-00002B070000}"/>
    <cellStyle name="Notas 28 15" xfId="2538" xr:uid="{00000000-0005-0000-0000-00002C070000}"/>
    <cellStyle name="Notas 28 2" xfId="459" xr:uid="{00000000-0005-0000-0000-00002D070000}"/>
    <cellStyle name="Notas 28 3" xfId="622" xr:uid="{00000000-0005-0000-0000-00002E070000}"/>
    <cellStyle name="Notas 28 4" xfId="768" xr:uid="{00000000-0005-0000-0000-00002F070000}"/>
    <cellStyle name="Notas 28 5" xfId="913" xr:uid="{00000000-0005-0000-0000-000030070000}"/>
    <cellStyle name="Notas 28 6" xfId="1091" xr:uid="{00000000-0005-0000-0000-000031070000}"/>
    <cellStyle name="Notas 28 7" xfId="1257" xr:uid="{00000000-0005-0000-0000-000032070000}"/>
    <cellStyle name="Notas 28 8" xfId="1446" xr:uid="{00000000-0005-0000-0000-000033070000}"/>
    <cellStyle name="Notas 28 9" xfId="1625" xr:uid="{00000000-0005-0000-0000-000034070000}"/>
    <cellStyle name="Notas 29" xfId="146" xr:uid="{00000000-0005-0000-0000-000035070000}"/>
    <cellStyle name="Notas 29 10" xfId="1796" xr:uid="{00000000-0005-0000-0000-000036070000}"/>
    <cellStyle name="Notas 29 11" xfId="1953" xr:uid="{00000000-0005-0000-0000-000037070000}"/>
    <cellStyle name="Notas 29 12" xfId="2100" xr:uid="{00000000-0005-0000-0000-000038070000}"/>
    <cellStyle name="Notas 29 13" xfId="2241" xr:uid="{00000000-0005-0000-0000-000039070000}"/>
    <cellStyle name="Notas 29 14" xfId="2390" xr:uid="{00000000-0005-0000-0000-00003A070000}"/>
    <cellStyle name="Notas 29 15" xfId="2539" xr:uid="{00000000-0005-0000-0000-00003B070000}"/>
    <cellStyle name="Notas 29 2" xfId="460" xr:uid="{00000000-0005-0000-0000-00003C070000}"/>
    <cellStyle name="Notas 29 3" xfId="623" xr:uid="{00000000-0005-0000-0000-00003D070000}"/>
    <cellStyle name="Notas 29 4" xfId="769" xr:uid="{00000000-0005-0000-0000-00003E070000}"/>
    <cellStyle name="Notas 29 5" xfId="914" xr:uid="{00000000-0005-0000-0000-00003F070000}"/>
    <cellStyle name="Notas 29 6" xfId="1092" xr:uid="{00000000-0005-0000-0000-000040070000}"/>
    <cellStyle name="Notas 29 7" xfId="1258" xr:uid="{00000000-0005-0000-0000-000041070000}"/>
    <cellStyle name="Notas 29 8" xfId="1447" xr:uid="{00000000-0005-0000-0000-000042070000}"/>
    <cellStyle name="Notas 29 9" xfId="1626" xr:uid="{00000000-0005-0000-0000-000043070000}"/>
    <cellStyle name="Notas 3" xfId="55" xr:uid="{00000000-0005-0000-0000-000044070000}"/>
    <cellStyle name="Notas 3 10" xfId="461" xr:uid="{00000000-0005-0000-0000-000045070000}"/>
    <cellStyle name="Notas 3 11" xfId="624" xr:uid="{00000000-0005-0000-0000-000046070000}"/>
    <cellStyle name="Notas 3 12" xfId="770" xr:uid="{00000000-0005-0000-0000-000047070000}"/>
    <cellStyle name="Notas 3 13" xfId="915" xr:uid="{00000000-0005-0000-0000-000048070000}"/>
    <cellStyle name="Notas 3 14" xfId="1093" xr:uid="{00000000-0005-0000-0000-000049070000}"/>
    <cellStyle name="Notas 3 15" xfId="1259" xr:uid="{00000000-0005-0000-0000-00004A070000}"/>
    <cellStyle name="Notas 3 16" xfId="1448" xr:uid="{00000000-0005-0000-0000-00004B070000}"/>
    <cellStyle name="Notas 3 17" xfId="1627" xr:uid="{00000000-0005-0000-0000-00004C070000}"/>
    <cellStyle name="Notas 3 18" xfId="1797" xr:uid="{00000000-0005-0000-0000-00004D070000}"/>
    <cellStyle name="Notas 3 19" xfId="1954" xr:uid="{00000000-0005-0000-0000-00004E070000}"/>
    <cellStyle name="Notas 3 2" xfId="109" xr:uid="{00000000-0005-0000-0000-00004F070000}"/>
    <cellStyle name="Notas 3 2 10" xfId="1798" xr:uid="{00000000-0005-0000-0000-000050070000}"/>
    <cellStyle name="Notas 3 2 11" xfId="1955" xr:uid="{00000000-0005-0000-0000-000051070000}"/>
    <cellStyle name="Notas 3 2 12" xfId="2102" xr:uid="{00000000-0005-0000-0000-000052070000}"/>
    <cellStyle name="Notas 3 2 13" xfId="2243" xr:uid="{00000000-0005-0000-0000-000053070000}"/>
    <cellStyle name="Notas 3 2 14" xfId="2392" xr:uid="{00000000-0005-0000-0000-000054070000}"/>
    <cellStyle name="Notas 3 2 15" xfId="2541" xr:uid="{00000000-0005-0000-0000-000055070000}"/>
    <cellStyle name="Notas 3 2 2" xfId="462" xr:uid="{00000000-0005-0000-0000-000056070000}"/>
    <cellStyle name="Notas 3 2 3" xfId="625" xr:uid="{00000000-0005-0000-0000-000057070000}"/>
    <cellStyle name="Notas 3 2 4" xfId="771" xr:uid="{00000000-0005-0000-0000-000058070000}"/>
    <cellStyle name="Notas 3 2 5" xfId="916" xr:uid="{00000000-0005-0000-0000-000059070000}"/>
    <cellStyle name="Notas 3 2 6" xfId="1094" xr:uid="{00000000-0005-0000-0000-00005A070000}"/>
    <cellStyle name="Notas 3 2 7" xfId="1260" xr:uid="{00000000-0005-0000-0000-00005B070000}"/>
    <cellStyle name="Notas 3 2 8" xfId="1449" xr:uid="{00000000-0005-0000-0000-00005C070000}"/>
    <cellStyle name="Notas 3 2 9" xfId="1628" xr:uid="{00000000-0005-0000-0000-00005D070000}"/>
    <cellStyle name="Notas 3 20" xfId="2101" xr:uid="{00000000-0005-0000-0000-00005E070000}"/>
    <cellStyle name="Notas 3 21" xfId="2242" xr:uid="{00000000-0005-0000-0000-00005F070000}"/>
    <cellStyle name="Notas 3 22" xfId="2391" xr:uid="{00000000-0005-0000-0000-000060070000}"/>
    <cellStyle name="Notas 3 23" xfId="2540" xr:uid="{00000000-0005-0000-0000-000061070000}"/>
    <cellStyle name="Notas 3 3" xfId="165" xr:uid="{00000000-0005-0000-0000-000062070000}"/>
    <cellStyle name="Notas 3 3 10" xfId="1799" xr:uid="{00000000-0005-0000-0000-000063070000}"/>
    <cellStyle name="Notas 3 3 11" xfId="1956" xr:uid="{00000000-0005-0000-0000-000064070000}"/>
    <cellStyle name="Notas 3 3 12" xfId="2103" xr:uid="{00000000-0005-0000-0000-000065070000}"/>
    <cellStyle name="Notas 3 3 13" xfId="2244" xr:uid="{00000000-0005-0000-0000-000066070000}"/>
    <cellStyle name="Notas 3 3 14" xfId="2393" xr:uid="{00000000-0005-0000-0000-000067070000}"/>
    <cellStyle name="Notas 3 3 15" xfId="2542" xr:uid="{00000000-0005-0000-0000-000068070000}"/>
    <cellStyle name="Notas 3 3 2" xfId="463" xr:uid="{00000000-0005-0000-0000-000069070000}"/>
    <cellStyle name="Notas 3 3 3" xfId="626" xr:uid="{00000000-0005-0000-0000-00006A070000}"/>
    <cellStyle name="Notas 3 3 4" xfId="772" xr:uid="{00000000-0005-0000-0000-00006B070000}"/>
    <cellStyle name="Notas 3 3 5" xfId="917" xr:uid="{00000000-0005-0000-0000-00006C070000}"/>
    <cellStyle name="Notas 3 3 6" xfId="1095" xr:uid="{00000000-0005-0000-0000-00006D070000}"/>
    <cellStyle name="Notas 3 3 7" xfId="1261" xr:uid="{00000000-0005-0000-0000-00006E070000}"/>
    <cellStyle name="Notas 3 3 8" xfId="1450" xr:uid="{00000000-0005-0000-0000-00006F070000}"/>
    <cellStyle name="Notas 3 3 9" xfId="1629" xr:uid="{00000000-0005-0000-0000-000070070000}"/>
    <cellStyle name="Notas 3 4" xfId="195" xr:uid="{00000000-0005-0000-0000-000071070000}"/>
    <cellStyle name="Notas 3 5" xfId="218" xr:uid="{00000000-0005-0000-0000-000072070000}"/>
    <cellStyle name="Notas 3 6" xfId="235" xr:uid="{00000000-0005-0000-0000-000073070000}"/>
    <cellStyle name="Notas 3 7" xfId="272" xr:uid="{00000000-0005-0000-0000-000074070000}"/>
    <cellStyle name="Notas 3 8" xfId="300" xr:uid="{00000000-0005-0000-0000-000075070000}"/>
    <cellStyle name="Notas 3 9" xfId="324" xr:uid="{00000000-0005-0000-0000-000076070000}"/>
    <cellStyle name="Notas 30" xfId="147" xr:uid="{00000000-0005-0000-0000-000077070000}"/>
    <cellStyle name="Notas 30 10" xfId="1800" xr:uid="{00000000-0005-0000-0000-000078070000}"/>
    <cellStyle name="Notas 30 11" xfId="1957" xr:uid="{00000000-0005-0000-0000-000079070000}"/>
    <cellStyle name="Notas 30 12" xfId="2104" xr:uid="{00000000-0005-0000-0000-00007A070000}"/>
    <cellStyle name="Notas 30 13" xfId="2245" xr:uid="{00000000-0005-0000-0000-00007B070000}"/>
    <cellStyle name="Notas 30 14" xfId="2394" xr:uid="{00000000-0005-0000-0000-00007C070000}"/>
    <cellStyle name="Notas 30 15" xfId="2543" xr:uid="{00000000-0005-0000-0000-00007D070000}"/>
    <cellStyle name="Notas 30 2" xfId="464" xr:uid="{00000000-0005-0000-0000-00007E070000}"/>
    <cellStyle name="Notas 30 3" xfId="627" xr:uid="{00000000-0005-0000-0000-00007F070000}"/>
    <cellStyle name="Notas 30 4" xfId="773" xr:uid="{00000000-0005-0000-0000-000080070000}"/>
    <cellStyle name="Notas 30 5" xfId="918" xr:uid="{00000000-0005-0000-0000-000081070000}"/>
    <cellStyle name="Notas 30 6" xfId="1096" xr:uid="{00000000-0005-0000-0000-000082070000}"/>
    <cellStyle name="Notas 30 7" xfId="1262" xr:uid="{00000000-0005-0000-0000-000083070000}"/>
    <cellStyle name="Notas 30 8" xfId="1451" xr:uid="{00000000-0005-0000-0000-000084070000}"/>
    <cellStyle name="Notas 30 9" xfId="1630" xr:uid="{00000000-0005-0000-0000-000085070000}"/>
    <cellStyle name="Notas 31" xfId="148" xr:uid="{00000000-0005-0000-0000-000086070000}"/>
    <cellStyle name="Notas 31 10" xfId="1801" xr:uid="{00000000-0005-0000-0000-000087070000}"/>
    <cellStyle name="Notas 31 11" xfId="1958" xr:uid="{00000000-0005-0000-0000-000088070000}"/>
    <cellStyle name="Notas 31 12" xfId="2105" xr:uid="{00000000-0005-0000-0000-000089070000}"/>
    <cellStyle name="Notas 31 13" xfId="2246" xr:uid="{00000000-0005-0000-0000-00008A070000}"/>
    <cellStyle name="Notas 31 14" xfId="2395" xr:uid="{00000000-0005-0000-0000-00008B070000}"/>
    <cellStyle name="Notas 31 15" xfId="2544" xr:uid="{00000000-0005-0000-0000-00008C070000}"/>
    <cellStyle name="Notas 31 2" xfId="465" xr:uid="{00000000-0005-0000-0000-00008D070000}"/>
    <cellStyle name="Notas 31 3" xfId="628" xr:uid="{00000000-0005-0000-0000-00008E070000}"/>
    <cellStyle name="Notas 31 4" xfId="774" xr:uid="{00000000-0005-0000-0000-00008F070000}"/>
    <cellStyle name="Notas 31 5" xfId="919" xr:uid="{00000000-0005-0000-0000-000090070000}"/>
    <cellStyle name="Notas 31 6" xfId="1097" xr:uid="{00000000-0005-0000-0000-000091070000}"/>
    <cellStyle name="Notas 31 7" xfId="1263" xr:uid="{00000000-0005-0000-0000-000092070000}"/>
    <cellStyle name="Notas 31 8" xfId="1452" xr:uid="{00000000-0005-0000-0000-000093070000}"/>
    <cellStyle name="Notas 31 9" xfId="1631" xr:uid="{00000000-0005-0000-0000-000094070000}"/>
    <cellStyle name="Notas 32" xfId="466" xr:uid="{00000000-0005-0000-0000-000095070000}"/>
    <cellStyle name="Notas 32 10" xfId="1959" xr:uid="{00000000-0005-0000-0000-000096070000}"/>
    <cellStyle name="Notas 32 11" xfId="2106" xr:uid="{00000000-0005-0000-0000-000097070000}"/>
    <cellStyle name="Notas 32 12" xfId="2247" xr:uid="{00000000-0005-0000-0000-000098070000}"/>
    <cellStyle name="Notas 32 13" xfId="2396" xr:uid="{00000000-0005-0000-0000-000099070000}"/>
    <cellStyle name="Notas 32 14" xfId="2545" xr:uid="{00000000-0005-0000-0000-00009A070000}"/>
    <cellStyle name="Notas 32 2" xfId="629" xr:uid="{00000000-0005-0000-0000-00009B070000}"/>
    <cellStyle name="Notas 32 3" xfId="775" xr:uid="{00000000-0005-0000-0000-00009C070000}"/>
    <cellStyle name="Notas 32 4" xfId="920" xr:uid="{00000000-0005-0000-0000-00009D070000}"/>
    <cellStyle name="Notas 32 5" xfId="1098" xr:uid="{00000000-0005-0000-0000-00009E070000}"/>
    <cellStyle name="Notas 32 6" xfId="1264" xr:uid="{00000000-0005-0000-0000-00009F070000}"/>
    <cellStyle name="Notas 32 7" xfId="1453" xr:uid="{00000000-0005-0000-0000-0000A0070000}"/>
    <cellStyle name="Notas 32 8" xfId="1632" xr:uid="{00000000-0005-0000-0000-0000A1070000}"/>
    <cellStyle name="Notas 32 9" xfId="1802" xr:uid="{00000000-0005-0000-0000-0000A2070000}"/>
    <cellStyle name="Notas 33" xfId="467" xr:uid="{00000000-0005-0000-0000-0000A3070000}"/>
    <cellStyle name="Notas 33 10" xfId="1960" xr:uid="{00000000-0005-0000-0000-0000A4070000}"/>
    <cellStyle name="Notas 33 11" xfId="2107" xr:uid="{00000000-0005-0000-0000-0000A5070000}"/>
    <cellStyle name="Notas 33 12" xfId="2248" xr:uid="{00000000-0005-0000-0000-0000A6070000}"/>
    <cellStyle name="Notas 33 13" xfId="2397" xr:uid="{00000000-0005-0000-0000-0000A7070000}"/>
    <cellStyle name="Notas 33 14" xfId="2546" xr:uid="{00000000-0005-0000-0000-0000A8070000}"/>
    <cellStyle name="Notas 33 2" xfId="630" xr:uid="{00000000-0005-0000-0000-0000A9070000}"/>
    <cellStyle name="Notas 33 3" xfId="776" xr:uid="{00000000-0005-0000-0000-0000AA070000}"/>
    <cellStyle name="Notas 33 4" xfId="921" xr:uid="{00000000-0005-0000-0000-0000AB070000}"/>
    <cellStyle name="Notas 33 5" xfId="1099" xr:uid="{00000000-0005-0000-0000-0000AC070000}"/>
    <cellStyle name="Notas 33 6" xfId="1265" xr:uid="{00000000-0005-0000-0000-0000AD070000}"/>
    <cellStyle name="Notas 33 7" xfId="1454" xr:uid="{00000000-0005-0000-0000-0000AE070000}"/>
    <cellStyle name="Notas 33 8" xfId="1633" xr:uid="{00000000-0005-0000-0000-0000AF070000}"/>
    <cellStyle name="Notas 33 9" xfId="1803" xr:uid="{00000000-0005-0000-0000-0000B0070000}"/>
    <cellStyle name="Notas 34" xfId="468" xr:uid="{00000000-0005-0000-0000-0000B1070000}"/>
    <cellStyle name="Notas 34 10" xfId="1961" xr:uid="{00000000-0005-0000-0000-0000B2070000}"/>
    <cellStyle name="Notas 34 11" xfId="2108" xr:uid="{00000000-0005-0000-0000-0000B3070000}"/>
    <cellStyle name="Notas 34 12" xfId="2249" xr:uid="{00000000-0005-0000-0000-0000B4070000}"/>
    <cellStyle name="Notas 34 13" xfId="2398" xr:uid="{00000000-0005-0000-0000-0000B5070000}"/>
    <cellStyle name="Notas 34 14" xfId="2547" xr:uid="{00000000-0005-0000-0000-0000B6070000}"/>
    <cellStyle name="Notas 34 2" xfId="631" xr:uid="{00000000-0005-0000-0000-0000B7070000}"/>
    <cellStyle name="Notas 34 3" xfId="777" xr:uid="{00000000-0005-0000-0000-0000B8070000}"/>
    <cellStyle name="Notas 34 4" xfId="922" xr:uid="{00000000-0005-0000-0000-0000B9070000}"/>
    <cellStyle name="Notas 34 5" xfId="1100" xr:uid="{00000000-0005-0000-0000-0000BA070000}"/>
    <cellStyle name="Notas 34 6" xfId="1266" xr:uid="{00000000-0005-0000-0000-0000BB070000}"/>
    <cellStyle name="Notas 34 7" xfId="1455" xr:uid="{00000000-0005-0000-0000-0000BC070000}"/>
    <cellStyle name="Notas 34 8" xfId="1634" xr:uid="{00000000-0005-0000-0000-0000BD070000}"/>
    <cellStyle name="Notas 34 9" xfId="1804" xr:uid="{00000000-0005-0000-0000-0000BE070000}"/>
    <cellStyle name="Notas 35" xfId="469" xr:uid="{00000000-0005-0000-0000-0000BF070000}"/>
    <cellStyle name="Notas 35 10" xfId="1962" xr:uid="{00000000-0005-0000-0000-0000C0070000}"/>
    <cellStyle name="Notas 35 11" xfId="2109" xr:uid="{00000000-0005-0000-0000-0000C1070000}"/>
    <cellStyle name="Notas 35 12" xfId="2250" xr:uid="{00000000-0005-0000-0000-0000C2070000}"/>
    <cellStyle name="Notas 35 13" xfId="2399" xr:uid="{00000000-0005-0000-0000-0000C3070000}"/>
    <cellStyle name="Notas 35 14" xfId="2548" xr:uid="{00000000-0005-0000-0000-0000C4070000}"/>
    <cellStyle name="Notas 35 2" xfId="632" xr:uid="{00000000-0005-0000-0000-0000C5070000}"/>
    <cellStyle name="Notas 35 3" xfId="778" xr:uid="{00000000-0005-0000-0000-0000C6070000}"/>
    <cellStyle name="Notas 35 4" xfId="923" xr:uid="{00000000-0005-0000-0000-0000C7070000}"/>
    <cellStyle name="Notas 35 5" xfId="1101" xr:uid="{00000000-0005-0000-0000-0000C8070000}"/>
    <cellStyle name="Notas 35 6" xfId="1267" xr:uid="{00000000-0005-0000-0000-0000C9070000}"/>
    <cellStyle name="Notas 35 7" xfId="1456" xr:uid="{00000000-0005-0000-0000-0000CA070000}"/>
    <cellStyle name="Notas 35 8" xfId="1635" xr:uid="{00000000-0005-0000-0000-0000CB070000}"/>
    <cellStyle name="Notas 35 9" xfId="1805" xr:uid="{00000000-0005-0000-0000-0000CC070000}"/>
    <cellStyle name="Notas 36" xfId="470" xr:uid="{00000000-0005-0000-0000-0000CD070000}"/>
    <cellStyle name="Notas 36 10" xfId="1963" xr:uid="{00000000-0005-0000-0000-0000CE070000}"/>
    <cellStyle name="Notas 36 11" xfId="2110" xr:uid="{00000000-0005-0000-0000-0000CF070000}"/>
    <cellStyle name="Notas 36 12" xfId="2251" xr:uid="{00000000-0005-0000-0000-0000D0070000}"/>
    <cellStyle name="Notas 36 13" xfId="2400" xr:uid="{00000000-0005-0000-0000-0000D1070000}"/>
    <cellStyle name="Notas 36 14" xfId="2549" xr:uid="{00000000-0005-0000-0000-0000D2070000}"/>
    <cellStyle name="Notas 36 2" xfId="633" xr:uid="{00000000-0005-0000-0000-0000D3070000}"/>
    <cellStyle name="Notas 36 3" xfId="779" xr:uid="{00000000-0005-0000-0000-0000D4070000}"/>
    <cellStyle name="Notas 36 4" xfId="924" xr:uid="{00000000-0005-0000-0000-0000D5070000}"/>
    <cellStyle name="Notas 36 5" xfId="1102" xr:uid="{00000000-0005-0000-0000-0000D6070000}"/>
    <cellStyle name="Notas 36 6" xfId="1268" xr:uid="{00000000-0005-0000-0000-0000D7070000}"/>
    <cellStyle name="Notas 36 7" xfId="1457" xr:uid="{00000000-0005-0000-0000-0000D8070000}"/>
    <cellStyle name="Notas 36 8" xfId="1636" xr:uid="{00000000-0005-0000-0000-0000D9070000}"/>
    <cellStyle name="Notas 36 9" xfId="1806" xr:uid="{00000000-0005-0000-0000-0000DA070000}"/>
    <cellStyle name="Notas 37" xfId="471" xr:uid="{00000000-0005-0000-0000-0000DB070000}"/>
    <cellStyle name="Notas 37 10" xfId="1964" xr:uid="{00000000-0005-0000-0000-0000DC070000}"/>
    <cellStyle name="Notas 37 11" xfId="2111" xr:uid="{00000000-0005-0000-0000-0000DD070000}"/>
    <cellStyle name="Notas 37 12" xfId="2252" xr:uid="{00000000-0005-0000-0000-0000DE070000}"/>
    <cellStyle name="Notas 37 13" xfId="2401" xr:uid="{00000000-0005-0000-0000-0000DF070000}"/>
    <cellStyle name="Notas 37 14" xfId="2550" xr:uid="{00000000-0005-0000-0000-0000E0070000}"/>
    <cellStyle name="Notas 37 2" xfId="634" xr:uid="{00000000-0005-0000-0000-0000E1070000}"/>
    <cellStyle name="Notas 37 3" xfId="780" xr:uid="{00000000-0005-0000-0000-0000E2070000}"/>
    <cellStyle name="Notas 37 4" xfId="925" xr:uid="{00000000-0005-0000-0000-0000E3070000}"/>
    <cellStyle name="Notas 37 5" xfId="1103" xr:uid="{00000000-0005-0000-0000-0000E4070000}"/>
    <cellStyle name="Notas 37 6" xfId="1269" xr:uid="{00000000-0005-0000-0000-0000E5070000}"/>
    <cellStyle name="Notas 37 7" xfId="1458" xr:uid="{00000000-0005-0000-0000-0000E6070000}"/>
    <cellStyle name="Notas 37 8" xfId="1637" xr:uid="{00000000-0005-0000-0000-0000E7070000}"/>
    <cellStyle name="Notas 37 9" xfId="1807" xr:uid="{00000000-0005-0000-0000-0000E8070000}"/>
    <cellStyle name="Notas 38" xfId="472" xr:uid="{00000000-0005-0000-0000-0000E9070000}"/>
    <cellStyle name="Notas 38 10" xfId="1965" xr:uid="{00000000-0005-0000-0000-0000EA070000}"/>
    <cellStyle name="Notas 38 11" xfId="2112" xr:uid="{00000000-0005-0000-0000-0000EB070000}"/>
    <cellStyle name="Notas 38 12" xfId="2253" xr:uid="{00000000-0005-0000-0000-0000EC070000}"/>
    <cellStyle name="Notas 38 13" xfId="2402" xr:uid="{00000000-0005-0000-0000-0000ED070000}"/>
    <cellStyle name="Notas 38 14" xfId="2551" xr:uid="{00000000-0005-0000-0000-0000EE070000}"/>
    <cellStyle name="Notas 38 2" xfId="635" xr:uid="{00000000-0005-0000-0000-0000EF070000}"/>
    <cellStyle name="Notas 38 3" xfId="781" xr:uid="{00000000-0005-0000-0000-0000F0070000}"/>
    <cellStyle name="Notas 38 4" xfId="926" xr:uid="{00000000-0005-0000-0000-0000F1070000}"/>
    <cellStyle name="Notas 38 5" xfId="1104" xr:uid="{00000000-0005-0000-0000-0000F2070000}"/>
    <cellStyle name="Notas 38 6" xfId="1270" xr:uid="{00000000-0005-0000-0000-0000F3070000}"/>
    <cellStyle name="Notas 38 7" xfId="1459" xr:uid="{00000000-0005-0000-0000-0000F4070000}"/>
    <cellStyle name="Notas 38 8" xfId="1638" xr:uid="{00000000-0005-0000-0000-0000F5070000}"/>
    <cellStyle name="Notas 38 9" xfId="1808" xr:uid="{00000000-0005-0000-0000-0000F6070000}"/>
    <cellStyle name="Notas 39" xfId="473" xr:uid="{00000000-0005-0000-0000-0000F7070000}"/>
    <cellStyle name="Notas 39 10" xfId="1966" xr:uid="{00000000-0005-0000-0000-0000F8070000}"/>
    <cellStyle name="Notas 39 11" xfId="2113" xr:uid="{00000000-0005-0000-0000-0000F9070000}"/>
    <cellStyle name="Notas 39 12" xfId="2254" xr:uid="{00000000-0005-0000-0000-0000FA070000}"/>
    <cellStyle name="Notas 39 13" xfId="2403" xr:uid="{00000000-0005-0000-0000-0000FB070000}"/>
    <cellStyle name="Notas 39 14" xfId="2552" xr:uid="{00000000-0005-0000-0000-0000FC070000}"/>
    <cellStyle name="Notas 39 2" xfId="636" xr:uid="{00000000-0005-0000-0000-0000FD070000}"/>
    <cellStyle name="Notas 39 3" xfId="782" xr:uid="{00000000-0005-0000-0000-0000FE070000}"/>
    <cellStyle name="Notas 39 4" xfId="927" xr:uid="{00000000-0005-0000-0000-0000FF070000}"/>
    <cellStyle name="Notas 39 5" xfId="1105" xr:uid="{00000000-0005-0000-0000-000000080000}"/>
    <cellStyle name="Notas 39 6" xfId="1271" xr:uid="{00000000-0005-0000-0000-000001080000}"/>
    <cellStyle name="Notas 39 7" xfId="1460" xr:uid="{00000000-0005-0000-0000-000002080000}"/>
    <cellStyle name="Notas 39 8" xfId="1639" xr:uid="{00000000-0005-0000-0000-000003080000}"/>
    <cellStyle name="Notas 39 9" xfId="1809" xr:uid="{00000000-0005-0000-0000-000004080000}"/>
    <cellStyle name="Notas 4" xfId="62" xr:uid="{00000000-0005-0000-0000-000005080000}"/>
    <cellStyle name="Notas 4 10" xfId="474" xr:uid="{00000000-0005-0000-0000-000006080000}"/>
    <cellStyle name="Notas 4 11" xfId="637" xr:uid="{00000000-0005-0000-0000-000007080000}"/>
    <cellStyle name="Notas 4 12" xfId="783" xr:uid="{00000000-0005-0000-0000-000008080000}"/>
    <cellStyle name="Notas 4 13" xfId="928" xr:uid="{00000000-0005-0000-0000-000009080000}"/>
    <cellStyle name="Notas 4 14" xfId="1106" xr:uid="{00000000-0005-0000-0000-00000A080000}"/>
    <cellStyle name="Notas 4 15" xfId="1272" xr:uid="{00000000-0005-0000-0000-00000B080000}"/>
    <cellStyle name="Notas 4 16" xfId="1461" xr:uid="{00000000-0005-0000-0000-00000C080000}"/>
    <cellStyle name="Notas 4 17" xfId="1640" xr:uid="{00000000-0005-0000-0000-00000D080000}"/>
    <cellStyle name="Notas 4 18" xfId="1810" xr:uid="{00000000-0005-0000-0000-00000E080000}"/>
    <cellStyle name="Notas 4 19" xfId="1967" xr:uid="{00000000-0005-0000-0000-00000F080000}"/>
    <cellStyle name="Notas 4 2" xfId="110" xr:uid="{00000000-0005-0000-0000-000010080000}"/>
    <cellStyle name="Notas 4 2 10" xfId="1811" xr:uid="{00000000-0005-0000-0000-000011080000}"/>
    <cellStyle name="Notas 4 2 11" xfId="1968" xr:uid="{00000000-0005-0000-0000-000012080000}"/>
    <cellStyle name="Notas 4 2 12" xfId="2115" xr:uid="{00000000-0005-0000-0000-000013080000}"/>
    <cellStyle name="Notas 4 2 13" xfId="2256" xr:uid="{00000000-0005-0000-0000-000014080000}"/>
    <cellStyle name="Notas 4 2 14" xfId="2405" xr:uid="{00000000-0005-0000-0000-000015080000}"/>
    <cellStyle name="Notas 4 2 15" xfId="2554" xr:uid="{00000000-0005-0000-0000-000016080000}"/>
    <cellStyle name="Notas 4 2 2" xfId="475" xr:uid="{00000000-0005-0000-0000-000017080000}"/>
    <cellStyle name="Notas 4 2 3" xfId="638" xr:uid="{00000000-0005-0000-0000-000018080000}"/>
    <cellStyle name="Notas 4 2 4" xfId="784" xr:uid="{00000000-0005-0000-0000-000019080000}"/>
    <cellStyle name="Notas 4 2 5" xfId="929" xr:uid="{00000000-0005-0000-0000-00001A080000}"/>
    <cellStyle name="Notas 4 2 6" xfId="1107" xr:uid="{00000000-0005-0000-0000-00001B080000}"/>
    <cellStyle name="Notas 4 2 7" xfId="1273" xr:uid="{00000000-0005-0000-0000-00001C080000}"/>
    <cellStyle name="Notas 4 2 8" xfId="1462" xr:uid="{00000000-0005-0000-0000-00001D080000}"/>
    <cellStyle name="Notas 4 2 9" xfId="1641" xr:uid="{00000000-0005-0000-0000-00001E080000}"/>
    <cellStyle name="Notas 4 20" xfId="2114" xr:uid="{00000000-0005-0000-0000-00001F080000}"/>
    <cellStyle name="Notas 4 21" xfId="2255" xr:uid="{00000000-0005-0000-0000-000020080000}"/>
    <cellStyle name="Notas 4 22" xfId="2404" xr:uid="{00000000-0005-0000-0000-000021080000}"/>
    <cellStyle name="Notas 4 23" xfId="2553" xr:uid="{00000000-0005-0000-0000-000022080000}"/>
    <cellStyle name="Notas 4 3" xfId="166" xr:uid="{00000000-0005-0000-0000-000023080000}"/>
    <cellStyle name="Notas 4 3 10" xfId="1812" xr:uid="{00000000-0005-0000-0000-000024080000}"/>
    <cellStyle name="Notas 4 3 11" xfId="1969" xr:uid="{00000000-0005-0000-0000-000025080000}"/>
    <cellStyle name="Notas 4 3 12" xfId="2116" xr:uid="{00000000-0005-0000-0000-000026080000}"/>
    <cellStyle name="Notas 4 3 13" xfId="2257" xr:uid="{00000000-0005-0000-0000-000027080000}"/>
    <cellStyle name="Notas 4 3 14" xfId="2406" xr:uid="{00000000-0005-0000-0000-000028080000}"/>
    <cellStyle name="Notas 4 3 15" xfId="2555" xr:uid="{00000000-0005-0000-0000-000029080000}"/>
    <cellStyle name="Notas 4 3 2" xfId="476" xr:uid="{00000000-0005-0000-0000-00002A080000}"/>
    <cellStyle name="Notas 4 3 3" xfId="639" xr:uid="{00000000-0005-0000-0000-00002B080000}"/>
    <cellStyle name="Notas 4 3 4" xfId="785" xr:uid="{00000000-0005-0000-0000-00002C080000}"/>
    <cellStyle name="Notas 4 3 5" xfId="930" xr:uid="{00000000-0005-0000-0000-00002D080000}"/>
    <cellStyle name="Notas 4 3 6" xfId="1108" xr:uid="{00000000-0005-0000-0000-00002E080000}"/>
    <cellStyle name="Notas 4 3 7" xfId="1274" xr:uid="{00000000-0005-0000-0000-00002F080000}"/>
    <cellStyle name="Notas 4 3 8" xfId="1463" xr:uid="{00000000-0005-0000-0000-000030080000}"/>
    <cellStyle name="Notas 4 3 9" xfId="1642" xr:uid="{00000000-0005-0000-0000-000031080000}"/>
    <cellStyle name="Notas 4 4" xfId="196" xr:uid="{00000000-0005-0000-0000-000032080000}"/>
    <cellStyle name="Notas 4 5" xfId="219" xr:uid="{00000000-0005-0000-0000-000033080000}"/>
    <cellStyle name="Notas 4 6" xfId="236" xr:uid="{00000000-0005-0000-0000-000034080000}"/>
    <cellStyle name="Notas 4 7" xfId="273" xr:uid="{00000000-0005-0000-0000-000035080000}"/>
    <cellStyle name="Notas 4 8" xfId="301" xr:uid="{00000000-0005-0000-0000-000036080000}"/>
    <cellStyle name="Notas 4 9" xfId="325" xr:uid="{00000000-0005-0000-0000-000037080000}"/>
    <cellStyle name="Notas 40" xfId="477" xr:uid="{00000000-0005-0000-0000-000038080000}"/>
    <cellStyle name="Notas 40 10" xfId="1970" xr:uid="{00000000-0005-0000-0000-000039080000}"/>
    <cellStyle name="Notas 40 11" xfId="2117" xr:uid="{00000000-0005-0000-0000-00003A080000}"/>
    <cellStyle name="Notas 40 12" xfId="2258" xr:uid="{00000000-0005-0000-0000-00003B080000}"/>
    <cellStyle name="Notas 40 13" xfId="2407" xr:uid="{00000000-0005-0000-0000-00003C080000}"/>
    <cellStyle name="Notas 40 14" xfId="2556" xr:uid="{00000000-0005-0000-0000-00003D080000}"/>
    <cellStyle name="Notas 40 2" xfId="640" xr:uid="{00000000-0005-0000-0000-00003E080000}"/>
    <cellStyle name="Notas 40 3" xfId="786" xr:uid="{00000000-0005-0000-0000-00003F080000}"/>
    <cellStyle name="Notas 40 4" xfId="931" xr:uid="{00000000-0005-0000-0000-000040080000}"/>
    <cellStyle name="Notas 40 5" xfId="1109" xr:uid="{00000000-0005-0000-0000-000041080000}"/>
    <cellStyle name="Notas 40 6" xfId="1275" xr:uid="{00000000-0005-0000-0000-000042080000}"/>
    <cellStyle name="Notas 40 7" xfId="1464" xr:uid="{00000000-0005-0000-0000-000043080000}"/>
    <cellStyle name="Notas 40 8" xfId="1643" xr:uid="{00000000-0005-0000-0000-000044080000}"/>
    <cellStyle name="Notas 40 9" xfId="1813" xr:uid="{00000000-0005-0000-0000-000045080000}"/>
    <cellStyle name="Notas 41" xfId="478" xr:uid="{00000000-0005-0000-0000-000046080000}"/>
    <cellStyle name="Notas 41 10" xfId="1971" xr:uid="{00000000-0005-0000-0000-000047080000}"/>
    <cellStyle name="Notas 41 11" xfId="2118" xr:uid="{00000000-0005-0000-0000-000048080000}"/>
    <cellStyle name="Notas 41 12" xfId="2259" xr:uid="{00000000-0005-0000-0000-000049080000}"/>
    <cellStyle name="Notas 41 13" xfId="2408" xr:uid="{00000000-0005-0000-0000-00004A080000}"/>
    <cellStyle name="Notas 41 14" xfId="2557" xr:uid="{00000000-0005-0000-0000-00004B080000}"/>
    <cellStyle name="Notas 41 2" xfId="641" xr:uid="{00000000-0005-0000-0000-00004C080000}"/>
    <cellStyle name="Notas 41 3" xfId="787" xr:uid="{00000000-0005-0000-0000-00004D080000}"/>
    <cellStyle name="Notas 41 4" xfId="932" xr:uid="{00000000-0005-0000-0000-00004E080000}"/>
    <cellStyle name="Notas 41 5" xfId="1110" xr:uid="{00000000-0005-0000-0000-00004F080000}"/>
    <cellStyle name="Notas 41 6" xfId="1276" xr:uid="{00000000-0005-0000-0000-000050080000}"/>
    <cellStyle name="Notas 41 7" xfId="1465" xr:uid="{00000000-0005-0000-0000-000051080000}"/>
    <cellStyle name="Notas 41 8" xfId="1644" xr:uid="{00000000-0005-0000-0000-000052080000}"/>
    <cellStyle name="Notas 41 9" xfId="1814" xr:uid="{00000000-0005-0000-0000-000053080000}"/>
    <cellStyle name="Notas 42" xfId="479" xr:uid="{00000000-0005-0000-0000-000054080000}"/>
    <cellStyle name="Notas 42 10" xfId="1972" xr:uid="{00000000-0005-0000-0000-000055080000}"/>
    <cellStyle name="Notas 42 11" xfId="2119" xr:uid="{00000000-0005-0000-0000-000056080000}"/>
    <cellStyle name="Notas 42 12" xfId="2260" xr:uid="{00000000-0005-0000-0000-000057080000}"/>
    <cellStyle name="Notas 42 13" xfId="2409" xr:uid="{00000000-0005-0000-0000-000058080000}"/>
    <cellStyle name="Notas 42 14" xfId="2558" xr:uid="{00000000-0005-0000-0000-000059080000}"/>
    <cellStyle name="Notas 42 2" xfId="642" xr:uid="{00000000-0005-0000-0000-00005A080000}"/>
    <cellStyle name="Notas 42 3" xfId="788" xr:uid="{00000000-0005-0000-0000-00005B080000}"/>
    <cellStyle name="Notas 42 4" xfId="933" xr:uid="{00000000-0005-0000-0000-00005C080000}"/>
    <cellStyle name="Notas 42 5" xfId="1111" xr:uid="{00000000-0005-0000-0000-00005D080000}"/>
    <cellStyle name="Notas 42 6" xfId="1277" xr:uid="{00000000-0005-0000-0000-00005E080000}"/>
    <cellStyle name="Notas 42 7" xfId="1466" xr:uid="{00000000-0005-0000-0000-00005F080000}"/>
    <cellStyle name="Notas 42 8" xfId="1645" xr:uid="{00000000-0005-0000-0000-000060080000}"/>
    <cellStyle name="Notas 42 9" xfId="1815" xr:uid="{00000000-0005-0000-0000-000061080000}"/>
    <cellStyle name="Notas 43" xfId="643" xr:uid="{00000000-0005-0000-0000-000062080000}"/>
    <cellStyle name="Notas 43 10" xfId="2261" xr:uid="{00000000-0005-0000-0000-000063080000}"/>
    <cellStyle name="Notas 43 11" xfId="2410" xr:uid="{00000000-0005-0000-0000-000064080000}"/>
    <cellStyle name="Notas 43 12" xfId="2559" xr:uid="{00000000-0005-0000-0000-000065080000}"/>
    <cellStyle name="Notas 43 2" xfId="934" xr:uid="{00000000-0005-0000-0000-000066080000}"/>
    <cellStyle name="Notas 43 3" xfId="1112" xr:uid="{00000000-0005-0000-0000-000067080000}"/>
    <cellStyle name="Notas 43 4" xfId="1278" xr:uid="{00000000-0005-0000-0000-000068080000}"/>
    <cellStyle name="Notas 43 5" xfId="1467" xr:uid="{00000000-0005-0000-0000-000069080000}"/>
    <cellStyle name="Notas 43 6" xfId="1646" xr:uid="{00000000-0005-0000-0000-00006A080000}"/>
    <cellStyle name="Notas 43 7" xfId="1816" xr:uid="{00000000-0005-0000-0000-00006B080000}"/>
    <cellStyle name="Notas 43 8" xfId="1973" xr:uid="{00000000-0005-0000-0000-00006C080000}"/>
    <cellStyle name="Notas 43 9" xfId="2120" xr:uid="{00000000-0005-0000-0000-00006D080000}"/>
    <cellStyle name="Notas 44" xfId="644" xr:uid="{00000000-0005-0000-0000-00006E080000}"/>
    <cellStyle name="Notas 44 10" xfId="2262" xr:uid="{00000000-0005-0000-0000-00006F080000}"/>
    <cellStyle name="Notas 44 11" xfId="2411" xr:uid="{00000000-0005-0000-0000-000070080000}"/>
    <cellStyle name="Notas 44 12" xfId="2560" xr:uid="{00000000-0005-0000-0000-000071080000}"/>
    <cellStyle name="Notas 44 2" xfId="935" xr:uid="{00000000-0005-0000-0000-000072080000}"/>
    <cellStyle name="Notas 44 3" xfId="1113" xr:uid="{00000000-0005-0000-0000-000073080000}"/>
    <cellStyle name="Notas 44 4" xfId="1279" xr:uid="{00000000-0005-0000-0000-000074080000}"/>
    <cellStyle name="Notas 44 5" xfId="1468" xr:uid="{00000000-0005-0000-0000-000075080000}"/>
    <cellStyle name="Notas 44 6" xfId="1647" xr:uid="{00000000-0005-0000-0000-000076080000}"/>
    <cellStyle name="Notas 44 7" xfId="1817" xr:uid="{00000000-0005-0000-0000-000077080000}"/>
    <cellStyle name="Notas 44 8" xfId="1974" xr:uid="{00000000-0005-0000-0000-000078080000}"/>
    <cellStyle name="Notas 44 9" xfId="2121" xr:uid="{00000000-0005-0000-0000-000079080000}"/>
    <cellStyle name="Notas 45" xfId="645" xr:uid="{00000000-0005-0000-0000-00007A080000}"/>
    <cellStyle name="Notas 45 10" xfId="2263" xr:uid="{00000000-0005-0000-0000-00007B080000}"/>
    <cellStyle name="Notas 45 11" xfId="2412" xr:uid="{00000000-0005-0000-0000-00007C080000}"/>
    <cellStyle name="Notas 45 12" xfId="2561" xr:uid="{00000000-0005-0000-0000-00007D080000}"/>
    <cellStyle name="Notas 45 2" xfId="936" xr:uid="{00000000-0005-0000-0000-00007E080000}"/>
    <cellStyle name="Notas 45 3" xfId="1114" xr:uid="{00000000-0005-0000-0000-00007F080000}"/>
    <cellStyle name="Notas 45 4" xfId="1280" xr:uid="{00000000-0005-0000-0000-000080080000}"/>
    <cellStyle name="Notas 45 5" xfId="1469" xr:uid="{00000000-0005-0000-0000-000081080000}"/>
    <cellStyle name="Notas 45 6" xfId="1648" xr:uid="{00000000-0005-0000-0000-000082080000}"/>
    <cellStyle name="Notas 45 7" xfId="1818" xr:uid="{00000000-0005-0000-0000-000083080000}"/>
    <cellStyle name="Notas 45 8" xfId="1975" xr:uid="{00000000-0005-0000-0000-000084080000}"/>
    <cellStyle name="Notas 45 9" xfId="2122" xr:uid="{00000000-0005-0000-0000-000085080000}"/>
    <cellStyle name="Notas 46" xfId="646" xr:uid="{00000000-0005-0000-0000-000086080000}"/>
    <cellStyle name="Notas 46 10" xfId="2264" xr:uid="{00000000-0005-0000-0000-000087080000}"/>
    <cellStyle name="Notas 46 11" xfId="2413" xr:uid="{00000000-0005-0000-0000-000088080000}"/>
    <cellStyle name="Notas 46 12" xfId="2562" xr:uid="{00000000-0005-0000-0000-000089080000}"/>
    <cellStyle name="Notas 46 2" xfId="937" xr:uid="{00000000-0005-0000-0000-00008A080000}"/>
    <cellStyle name="Notas 46 3" xfId="1115" xr:uid="{00000000-0005-0000-0000-00008B080000}"/>
    <cellStyle name="Notas 46 4" xfId="1281" xr:uid="{00000000-0005-0000-0000-00008C080000}"/>
    <cellStyle name="Notas 46 5" xfId="1470" xr:uid="{00000000-0005-0000-0000-00008D080000}"/>
    <cellStyle name="Notas 46 6" xfId="1649" xr:uid="{00000000-0005-0000-0000-00008E080000}"/>
    <cellStyle name="Notas 46 7" xfId="1819" xr:uid="{00000000-0005-0000-0000-00008F080000}"/>
    <cellStyle name="Notas 46 8" xfId="1976" xr:uid="{00000000-0005-0000-0000-000090080000}"/>
    <cellStyle name="Notas 46 9" xfId="2123" xr:uid="{00000000-0005-0000-0000-000091080000}"/>
    <cellStyle name="Notas 47" xfId="647" xr:uid="{00000000-0005-0000-0000-000092080000}"/>
    <cellStyle name="Notas 47 10" xfId="2265" xr:uid="{00000000-0005-0000-0000-000093080000}"/>
    <cellStyle name="Notas 47 11" xfId="2414" xr:uid="{00000000-0005-0000-0000-000094080000}"/>
    <cellStyle name="Notas 47 12" xfId="2563" xr:uid="{00000000-0005-0000-0000-000095080000}"/>
    <cellStyle name="Notas 47 2" xfId="938" xr:uid="{00000000-0005-0000-0000-000096080000}"/>
    <cellStyle name="Notas 47 3" xfId="1116" xr:uid="{00000000-0005-0000-0000-000097080000}"/>
    <cellStyle name="Notas 47 4" xfId="1282" xr:uid="{00000000-0005-0000-0000-000098080000}"/>
    <cellStyle name="Notas 47 5" xfId="1471" xr:uid="{00000000-0005-0000-0000-000099080000}"/>
    <cellStyle name="Notas 47 6" xfId="1650" xr:uid="{00000000-0005-0000-0000-00009A080000}"/>
    <cellStyle name="Notas 47 7" xfId="1820" xr:uid="{00000000-0005-0000-0000-00009B080000}"/>
    <cellStyle name="Notas 47 8" xfId="1977" xr:uid="{00000000-0005-0000-0000-00009C080000}"/>
    <cellStyle name="Notas 47 9" xfId="2124" xr:uid="{00000000-0005-0000-0000-00009D080000}"/>
    <cellStyle name="Notas 48" xfId="648" xr:uid="{00000000-0005-0000-0000-00009E080000}"/>
    <cellStyle name="Notas 48 10" xfId="2266" xr:uid="{00000000-0005-0000-0000-00009F080000}"/>
    <cellStyle name="Notas 48 11" xfId="2415" xr:uid="{00000000-0005-0000-0000-0000A0080000}"/>
    <cellStyle name="Notas 48 12" xfId="2564" xr:uid="{00000000-0005-0000-0000-0000A1080000}"/>
    <cellStyle name="Notas 48 2" xfId="939" xr:uid="{00000000-0005-0000-0000-0000A2080000}"/>
    <cellStyle name="Notas 48 3" xfId="1117" xr:uid="{00000000-0005-0000-0000-0000A3080000}"/>
    <cellStyle name="Notas 48 4" xfId="1283" xr:uid="{00000000-0005-0000-0000-0000A4080000}"/>
    <cellStyle name="Notas 48 5" xfId="1472" xr:uid="{00000000-0005-0000-0000-0000A5080000}"/>
    <cellStyle name="Notas 48 6" xfId="1651" xr:uid="{00000000-0005-0000-0000-0000A6080000}"/>
    <cellStyle name="Notas 48 7" xfId="1821" xr:uid="{00000000-0005-0000-0000-0000A7080000}"/>
    <cellStyle name="Notas 48 8" xfId="1978" xr:uid="{00000000-0005-0000-0000-0000A8080000}"/>
    <cellStyle name="Notas 48 9" xfId="2125" xr:uid="{00000000-0005-0000-0000-0000A9080000}"/>
    <cellStyle name="Notas 49" xfId="649" xr:uid="{00000000-0005-0000-0000-0000AA080000}"/>
    <cellStyle name="Notas 49 2" xfId="940" xr:uid="{00000000-0005-0000-0000-0000AB080000}"/>
    <cellStyle name="Notas 49 3" xfId="1118" xr:uid="{00000000-0005-0000-0000-0000AC080000}"/>
    <cellStyle name="Notas 49 4" xfId="1284" xr:uid="{00000000-0005-0000-0000-0000AD080000}"/>
    <cellStyle name="Notas 49 5" xfId="1473" xr:uid="{00000000-0005-0000-0000-0000AE080000}"/>
    <cellStyle name="Notas 49 6" xfId="1652" xr:uid="{00000000-0005-0000-0000-0000AF080000}"/>
    <cellStyle name="Notas 49 7" xfId="2416" xr:uid="{00000000-0005-0000-0000-0000B0080000}"/>
    <cellStyle name="Notas 49 8" xfId="2565" xr:uid="{00000000-0005-0000-0000-0000B1080000}"/>
    <cellStyle name="Notas 5" xfId="63" xr:uid="{00000000-0005-0000-0000-0000B2080000}"/>
    <cellStyle name="Notas 5 10" xfId="480" xr:uid="{00000000-0005-0000-0000-0000B3080000}"/>
    <cellStyle name="Notas 5 11" xfId="650" xr:uid="{00000000-0005-0000-0000-0000B4080000}"/>
    <cellStyle name="Notas 5 12" xfId="789" xr:uid="{00000000-0005-0000-0000-0000B5080000}"/>
    <cellStyle name="Notas 5 13" xfId="941" xr:uid="{00000000-0005-0000-0000-0000B6080000}"/>
    <cellStyle name="Notas 5 14" xfId="1119" xr:uid="{00000000-0005-0000-0000-0000B7080000}"/>
    <cellStyle name="Notas 5 15" xfId="1285" xr:uid="{00000000-0005-0000-0000-0000B8080000}"/>
    <cellStyle name="Notas 5 16" xfId="1474" xr:uid="{00000000-0005-0000-0000-0000B9080000}"/>
    <cellStyle name="Notas 5 17" xfId="1653" xr:uid="{00000000-0005-0000-0000-0000BA080000}"/>
    <cellStyle name="Notas 5 18" xfId="1822" xr:uid="{00000000-0005-0000-0000-0000BB080000}"/>
    <cellStyle name="Notas 5 19" xfId="1979" xr:uid="{00000000-0005-0000-0000-0000BC080000}"/>
    <cellStyle name="Notas 5 2" xfId="111" xr:uid="{00000000-0005-0000-0000-0000BD080000}"/>
    <cellStyle name="Notas 5 2 10" xfId="1823" xr:uid="{00000000-0005-0000-0000-0000BE080000}"/>
    <cellStyle name="Notas 5 2 11" xfId="1980" xr:uid="{00000000-0005-0000-0000-0000BF080000}"/>
    <cellStyle name="Notas 5 2 12" xfId="2127" xr:uid="{00000000-0005-0000-0000-0000C0080000}"/>
    <cellStyle name="Notas 5 2 13" xfId="2268" xr:uid="{00000000-0005-0000-0000-0000C1080000}"/>
    <cellStyle name="Notas 5 2 14" xfId="2418" xr:uid="{00000000-0005-0000-0000-0000C2080000}"/>
    <cellStyle name="Notas 5 2 15" xfId="2567" xr:uid="{00000000-0005-0000-0000-0000C3080000}"/>
    <cellStyle name="Notas 5 2 2" xfId="481" xr:uid="{00000000-0005-0000-0000-0000C4080000}"/>
    <cellStyle name="Notas 5 2 3" xfId="651" xr:uid="{00000000-0005-0000-0000-0000C5080000}"/>
    <cellStyle name="Notas 5 2 4" xfId="790" xr:uid="{00000000-0005-0000-0000-0000C6080000}"/>
    <cellStyle name="Notas 5 2 5" xfId="942" xr:uid="{00000000-0005-0000-0000-0000C7080000}"/>
    <cellStyle name="Notas 5 2 6" xfId="1120" xr:uid="{00000000-0005-0000-0000-0000C8080000}"/>
    <cellStyle name="Notas 5 2 7" xfId="1286" xr:uid="{00000000-0005-0000-0000-0000C9080000}"/>
    <cellStyle name="Notas 5 2 8" xfId="1475" xr:uid="{00000000-0005-0000-0000-0000CA080000}"/>
    <cellStyle name="Notas 5 2 9" xfId="1654" xr:uid="{00000000-0005-0000-0000-0000CB080000}"/>
    <cellStyle name="Notas 5 20" xfId="2126" xr:uid="{00000000-0005-0000-0000-0000CC080000}"/>
    <cellStyle name="Notas 5 21" xfId="2267" xr:uid="{00000000-0005-0000-0000-0000CD080000}"/>
    <cellStyle name="Notas 5 22" xfId="2417" xr:uid="{00000000-0005-0000-0000-0000CE080000}"/>
    <cellStyle name="Notas 5 23" xfId="2566" xr:uid="{00000000-0005-0000-0000-0000CF080000}"/>
    <cellStyle name="Notas 5 3" xfId="167" xr:uid="{00000000-0005-0000-0000-0000D0080000}"/>
    <cellStyle name="Notas 5 3 10" xfId="1824" xr:uid="{00000000-0005-0000-0000-0000D1080000}"/>
    <cellStyle name="Notas 5 3 11" xfId="1981" xr:uid="{00000000-0005-0000-0000-0000D2080000}"/>
    <cellStyle name="Notas 5 3 12" xfId="2128" xr:uid="{00000000-0005-0000-0000-0000D3080000}"/>
    <cellStyle name="Notas 5 3 13" xfId="2269" xr:uid="{00000000-0005-0000-0000-0000D4080000}"/>
    <cellStyle name="Notas 5 3 14" xfId="2419" xr:uid="{00000000-0005-0000-0000-0000D5080000}"/>
    <cellStyle name="Notas 5 3 15" xfId="2568" xr:uid="{00000000-0005-0000-0000-0000D6080000}"/>
    <cellStyle name="Notas 5 3 2" xfId="482" xr:uid="{00000000-0005-0000-0000-0000D7080000}"/>
    <cellStyle name="Notas 5 3 3" xfId="652" xr:uid="{00000000-0005-0000-0000-0000D8080000}"/>
    <cellStyle name="Notas 5 3 4" xfId="791" xr:uid="{00000000-0005-0000-0000-0000D9080000}"/>
    <cellStyle name="Notas 5 3 5" xfId="943" xr:uid="{00000000-0005-0000-0000-0000DA080000}"/>
    <cellStyle name="Notas 5 3 6" xfId="1121" xr:uid="{00000000-0005-0000-0000-0000DB080000}"/>
    <cellStyle name="Notas 5 3 7" xfId="1287" xr:uid="{00000000-0005-0000-0000-0000DC080000}"/>
    <cellStyle name="Notas 5 3 8" xfId="1476" xr:uid="{00000000-0005-0000-0000-0000DD080000}"/>
    <cellStyle name="Notas 5 3 9" xfId="1655" xr:uid="{00000000-0005-0000-0000-0000DE080000}"/>
    <cellStyle name="Notas 5 4" xfId="197" xr:uid="{00000000-0005-0000-0000-0000DF080000}"/>
    <cellStyle name="Notas 5 5" xfId="220" xr:uid="{00000000-0005-0000-0000-0000E0080000}"/>
    <cellStyle name="Notas 5 6" xfId="237" xr:uid="{00000000-0005-0000-0000-0000E1080000}"/>
    <cellStyle name="Notas 5 7" xfId="274" xr:uid="{00000000-0005-0000-0000-0000E2080000}"/>
    <cellStyle name="Notas 5 8" xfId="302" xr:uid="{00000000-0005-0000-0000-0000E3080000}"/>
    <cellStyle name="Notas 5 9" xfId="326" xr:uid="{00000000-0005-0000-0000-0000E4080000}"/>
    <cellStyle name="Notas 50" xfId="653" xr:uid="{00000000-0005-0000-0000-0000E5080000}"/>
    <cellStyle name="Notas 50 2" xfId="944" xr:uid="{00000000-0005-0000-0000-0000E6080000}"/>
    <cellStyle name="Notas 50 3" xfId="1122" xr:uid="{00000000-0005-0000-0000-0000E7080000}"/>
    <cellStyle name="Notas 50 4" xfId="1288" xr:uid="{00000000-0005-0000-0000-0000E8080000}"/>
    <cellStyle name="Notas 50 5" xfId="1477" xr:uid="{00000000-0005-0000-0000-0000E9080000}"/>
    <cellStyle name="Notas 50 6" xfId="1656" xr:uid="{00000000-0005-0000-0000-0000EA080000}"/>
    <cellStyle name="Notas 50 7" xfId="2420" xr:uid="{00000000-0005-0000-0000-0000EB080000}"/>
    <cellStyle name="Notas 50 8" xfId="2569" xr:uid="{00000000-0005-0000-0000-0000EC080000}"/>
    <cellStyle name="Notas 51" xfId="654" xr:uid="{00000000-0005-0000-0000-0000ED080000}"/>
    <cellStyle name="Notas 51 2" xfId="945" xr:uid="{00000000-0005-0000-0000-0000EE080000}"/>
    <cellStyle name="Notas 51 3" xfId="1123" xr:uid="{00000000-0005-0000-0000-0000EF080000}"/>
    <cellStyle name="Notas 51 4" xfId="1289" xr:uid="{00000000-0005-0000-0000-0000F0080000}"/>
    <cellStyle name="Notas 51 5" xfId="1478" xr:uid="{00000000-0005-0000-0000-0000F1080000}"/>
    <cellStyle name="Notas 51 6" xfId="1657" xr:uid="{00000000-0005-0000-0000-0000F2080000}"/>
    <cellStyle name="Notas 51 7" xfId="2421" xr:uid="{00000000-0005-0000-0000-0000F3080000}"/>
    <cellStyle name="Notas 51 8" xfId="2570" xr:uid="{00000000-0005-0000-0000-0000F4080000}"/>
    <cellStyle name="Notas 52" xfId="946" xr:uid="{00000000-0005-0000-0000-0000F5080000}"/>
    <cellStyle name="Notas 52 2" xfId="1124" xr:uid="{00000000-0005-0000-0000-0000F6080000}"/>
    <cellStyle name="Notas 52 3" xfId="1290" xr:uid="{00000000-0005-0000-0000-0000F7080000}"/>
    <cellStyle name="Notas 52 4" xfId="1479" xr:uid="{00000000-0005-0000-0000-0000F8080000}"/>
    <cellStyle name="Notas 52 5" xfId="1658" xr:uid="{00000000-0005-0000-0000-0000F9080000}"/>
    <cellStyle name="Notas 52 6" xfId="2422" xr:uid="{00000000-0005-0000-0000-0000FA080000}"/>
    <cellStyle name="Notas 52 7" xfId="2571" xr:uid="{00000000-0005-0000-0000-0000FB080000}"/>
    <cellStyle name="Notas 53" xfId="947" xr:uid="{00000000-0005-0000-0000-0000FC080000}"/>
    <cellStyle name="Notas 53 2" xfId="1125" xr:uid="{00000000-0005-0000-0000-0000FD080000}"/>
    <cellStyle name="Notas 53 3" xfId="1291" xr:uid="{00000000-0005-0000-0000-0000FE080000}"/>
    <cellStyle name="Notas 53 4" xfId="1480" xr:uid="{00000000-0005-0000-0000-0000FF080000}"/>
    <cellStyle name="Notas 53 5" xfId="1659" xr:uid="{00000000-0005-0000-0000-000000090000}"/>
    <cellStyle name="Notas 54" xfId="948" xr:uid="{00000000-0005-0000-0000-000001090000}"/>
    <cellStyle name="Notas 54 2" xfId="1126" xr:uid="{00000000-0005-0000-0000-000002090000}"/>
    <cellStyle name="Notas 54 3" xfId="1292" xr:uid="{00000000-0005-0000-0000-000003090000}"/>
    <cellStyle name="Notas 54 4" xfId="1481" xr:uid="{00000000-0005-0000-0000-000004090000}"/>
    <cellStyle name="Notas 54 5" xfId="1660" xr:uid="{00000000-0005-0000-0000-000005090000}"/>
    <cellStyle name="Notas 55" xfId="949" xr:uid="{00000000-0005-0000-0000-000006090000}"/>
    <cellStyle name="Notas 55 2" xfId="1127" xr:uid="{00000000-0005-0000-0000-000007090000}"/>
    <cellStyle name="Notas 55 3" xfId="1293" xr:uid="{00000000-0005-0000-0000-000008090000}"/>
    <cellStyle name="Notas 55 4" xfId="1482" xr:uid="{00000000-0005-0000-0000-000009090000}"/>
    <cellStyle name="Notas 55 5" xfId="1661" xr:uid="{00000000-0005-0000-0000-00000A090000}"/>
    <cellStyle name="Notas 56" xfId="950" xr:uid="{00000000-0005-0000-0000-00000B090000}"/>
    <cellStyle name="Notas 56 2" xfId="1128" xr:uid="{00000000-0005-0000-0000-00000C090000}"/>
    <cellStyle name="Notas 56 3" xfId="1294" xr:uid="{00000000-0005-0000-0000-00000D090000}"/>
    <cellStyle name="Notas 56 4" xfId="1483" xr:uid="{00000000-0005-0000-0000-00000E090000}"/>
    <cellStyle name="Notas 56 5" xfId="1662" xr:uid="{00000000-0005-0000-0000-00000F090000}"/>
    <cellStyle name="Notas 57" xfId="951" xr:uid="{00000000-0005-0000-0000-000010090000}"/>
    <cellStyle name="Notas 57 2" xfId="1129" xr:uid="{00000000-0005-0000-0000-000011090000}"/>
    <cellStyle name="Notas 57 3" xfId="1295" xr:uid="{00000000-0005-0000-0000-000012090000}"/>
    <cellStyle name="Notas 57 4" xfId="1484" xr:uid="{00000000-0005-0000-0000-000013090000}"/>
    <cellStyle name="Notas 57 5" xfId="1663" xr:uid="{00000000-0005-0000-0000-000014090000}"/>
    <cellStyle name="Notas 58" xfId="952" xr:uid="{00000000-0005-0000-0000-000015090000}"/>
    <cellStyle name="Notas 58 2" xfId="1130" xr:uid="{00000000-0005-0000-0000-000016090000}"/>
    <cellStyle name="Notas 58 3" xfId="1296" xr:uid="{00000000-0005-0000-0000-000017090000}"/>
    <cellStyle name="Notas 58 4" xfId="1485" xr:uid="{00000000-0005-0000-0000-000018090000}"/>
    <cellStyle name="Notas 58 5" xfId="1664" xr:uid="{00000000-0005-0000-0000-000019090000}"/>
    <cellStyle name="Notas 59" xfId="953" xr:uid="{00000000-0005-0000-0000-00001A090000}"/>
    <cellStyle name="Notas 59 2" xfId="1131" xr:uid="{00000000-0005-0000-0000-00001B090000}"/>
    <cellStyle name="Notas 59 3" xfId="1297" xr:uid="{00000000-0005-0000-0000-00001C090000}"/>
    <cellStyle name="Notas 59 4" xfId="1486" xr:uid="{00000000-0005-0000-0000-00001D090000}"/>
    <cellStyle name="Notas 59 5" xfId="1665" xr:uid="{00000000-0005-0000-0000-00001E090000}"/>
    <cellStyle name="Notas 6" xfId="64" xr:uid="{00000000-0005-0000-0000-00001F090000}"/>
    <cellStyle name="Notas 6 10" xfId="483" xr:uid="{00000000-0005-0000-0000-000020090000}"/>
    <cellStyle name="Notas 6 11" xfId="655" xr:uid="{00000000-0005-0000-0000-000021090000}"/>
    <cellStyle name="Notas 6 12" xfId="792" xr:uid="{00000000-0005-0000-0000-000022090000}"/>
    <cellStyle name="Notas 6 13" xfId="954" xr:uid="{00000000-0005-0000-0000-000023090000}"/>
    <cellStyle name="Notas 6 14" xfId="1132" xr:uid="{00000000-0005-0000-0000-000024090000}"/>
    <cellStyle name="Notas 6 15" xfId="1298" xr:uid="{00000000-0005-0000-0000-000025090000}"/>
    <cellStyle name="Notas 6 16" xfId="1487" xr:uid="{00000000-0005-0000-0000-000026090000}"/>
    <cellStyle name="Notas 6 17" xfId="1666" xr:uid="{00000000-0005-0000-0000-000027090000}"/>
    <cellStyle name="Notas 6 18" xfId="1825" xr:uid="{00000000-0005-0000-0000-000028090000}"/>
    <cellStyle name="Notas 6 19" xfId="1982" xr:uid="{00000000-0005-0000-0000-000029090000}"/>
    <cellStyle name="Notas 6 2" xfId="112" xr:uid="{00000000-0005-0000-0000-00002A090000}"/>
    <cellStyle name="Notas 6 2 10" xfId="1826" xr:uid="{00000000-0005-0000-0000-00002B090000}"/>
    <cellStyle name="Notas 6 2 11" xfId="1983" xr:uid="{00000000-0005-0000-0000-00002C090000}"/>
    <cellStyle name="Notas 6 2 12" xfId="2130" xr:uid="{00000000-0005-0000-0000-00002D090000}"/>
    <cellStyle name="Notas 6 2 13" xfId="2271" xr:uid="{00000000-0005-0000-0000-00002E090000}"/>
    <cellStyle name="Notas 6 2 14" xfId="2424" xr:uid="{00000000-0005-0000-0000-00002F090000}"/>
    <cellStyle name="Notas 6 2 15" xfId="2573" xr:uid="{00000000-0005-0000-0000-000030090000}"/>
    <cellStyle name="Notas 6 2 2" xfId="484" xr:uid="{00000000-0005-0000-0000-000031090000}"/>
    <cellStyle name="Notas 6 2 3" xfId="656" xr:uid="{00000000-0005-0000-0000-000032090000}"/>
    <cellStyle name="Notas 6 2 4" xfId="793" xr:uid="{00000000-0005-0000-0000-000033090000}"/>
    <cellStyle name="Notas 6 2 5" xfId="955" xr:uid="{00000000-0005-0000-0000-000034090000}"/>
    <cellStyle name="Notas 6 2 6" xfId="1133" xr:uid="{00000000-0005-0000-0000-000035090000}"/>
    <cellStyle name="Notas 6 2 7" xfId="1299" xr:uid="{00000000-0005-0000-0000-000036090000}"/>
    <cellStyle name="Notas 6 2 8" xfId="1488" xr:uid="{00000000-0005-0000-0000-000037090000}"/>
    <cellStyle name="Notas 6 2 9" xfId="1667" xr:uid="{00000000-0005-0000-0000-000038090000}"/>
    <cellStyle name="Notas 6 20" xfId="2129" xr:uid="{00000000-0005-0000-0000-000039090000}"/>
    <cellStyle name="Notas 6 21" xfId="2270" xr:uid="{00000000-0005-0000-0000-00003A090000}"/>
    <cellStyle name="Notas 6 22" xfId="2423" xr:uid="{00000000-0005-0000-0000-00003B090000}"/>
    <cellStyle name="Notas 6 23" xfId="2572" xr:uid="{00000000-0005-0000-0000-00003C090000}"/>
    <cellStyle name="Notas 6 3" xfId="168" xr:uid="{00000000-0005-0000-0000-00003D090000}"/>
    <cellStyle name="Notas 6 3 10" xfId="1827" xr:uid="{00000000-0005-0000-0000-00003E090000}"/>
    <cellStyle name="Notas 6 3 11" xfId="1984" xr:uid="{00000000-0005-0000-0000-00003F090000}"/>
    <cellStyle name="Notas 6 3 12" xfId="2131" xr:uid="{00000000-0005-0000-0000-000040090000}"/>
    <cellStyle name="Notas 6 3 13" xfId="2272" xr:uid="{00000000-0005-0000-0000-000041090000}"/>
    <cellStyle name="Notas 6 3 14" xfId="2425" xr:uid="{00000000-0005-0000-0000-000042090000}"/>
    <cellStyle name="Notas 6 3 15" xfId="2574" xr:uid="{00000000-0005-0000-0000-000043090000}"/>
    <cellStyle name="Notas 6 3 2" xfId="485" xr:uid="{00000000-0005-0000-0000-000044090000}"/>
    <cellStyle name="Notas 6 3 3" xfId="657" xr:uid="{00000000-0005-0000-0000-000045090000}"/>
    <cellStyle name="Notas 6 3 4" xfId="794" xr:uid="{00000000-0005-0000-0000-000046090000}"/>
    <cellStyle name="Notas 6 3 5" xfId="956" xr:uid="{00000000-0005-0000-0000-000047090000}"/>
    <cellStyle name="Notas 6 3 6" xfId="1134" xr:uid="{00000000-0005-0000-0000-000048090000}"/>
    <cellStyle name="Notas 6 3 7" xfId="1300" xr:uid="{00000000-0005-0000-0000-000049090000}"/>
    <cellStyle name="Notas 6 3 8" xfId="1489" xr:uid="{00000000-0005-0000-0000-00004A090000}"/>
    <cellStyle name="Notas 6 3 9" xfId="1668" xr:uid="{00000000-0005-0000-0000-00004B090000}"/>
    <cellStyle name="Notas 6 4" xfId="198" xr:uid="{00000000-0005-0000-0000-00004C090000}"/>
    <cellStyle name="Notas 6 5" xfId="221" xr:uid="{00000000-0005-0000-0000-00004D090000}"/>
    <cellStyle name="Notas 6 6" xfId="238" xr:uid="{00000000-0005-0000-0000-00004E090000}"/>
    <cellStyle name="Notas 6 7" xfId="275" xr:uid="{00000000-0005-0000-0000-00004F090000}"/>
    <cellStyle name="Notas 6 8" xfId="303" xr:uid="{00000000-0005-0000-0000-000050090000}"/>
    <cellStyle name="Notas 6 9" xfId="327" xr:uid="{00000000-0005-0000-0000-000051090000}"/>
    <cellStyle name="Notas 60" xfId="957" xr:uid="{00000000-0005-0000-0000-000052090000}"/>
    <cellStyle name="Notas 60 2" xfId="1135" xr:uid="{00000000-0005-0000-0000-000053090000}"/>
    <cellStyle name="Notas 60 3" xfId="1301" xr:uid="{00000000-0005-0000-0000-000054090000}"/>
    <cellStyle name="Notas 60 4" xfId="1490" xr:uid="{00000000-0005-0000-0000-000055090000}"/>
    <cellStyle name="Notas 60 5" xfId="1669" xr:uid="{00000000-0005-0000-0000-000056090000}"/>
    <cellStyle name="Notas 61" xfId="958" xr:uid="{00000000-0005-0000-0000-000057090000}"/>
    <cellStyle name="Notas 61 2" xfId="1136" xr:uid="{00000000-0005-0000-0000-000058090000}"/>
    <cellStyle name="Notas 61 3" xfId="1302" xr:uid="{00000000-0005-0000-0000-000059090000}"/>
    <cellStyle name="Notas 61 4" xfId="1491" xr:uid="{00000000-0005-0000-0000-00005A090000}"/>
    <cellStyle name="Notas 61 5" xfId="1670" xr:uid="{00000000-0005-0000-0000-00005B090000}"/>
    <cellStyle name="Notas 62" xfId="959" xr:uid="{00000000-0005-0000-0000-00005C090000}"/>
    <cellStyle name="Notas 62 2" xfId="1137" xr:uid="{00000000-0005-0000-0000-00005D090000}"/>
    <cellStyle name="Notas 62 3" xfId="1303" xr:uid="{00000000-0005-0000-0000-00005E090000}"/>
    <cellStyle name="Notas 62 4" xfId="1492" xr:uid="{00000000-0005-0000-0000-00005F090000}"/>
    <cellStyle name="Notas 62 5" xfId="1671" xr:uid="{00000000-0005-0000-0000-000060090000}"/>
    <cellStyle name="Notas 63" xfId="960" xr:uid="{00000000-0005-0000-0000-000061090000}"/>
    <cellStyle name="Notas 63 2" xfId="1138" xr:uid="{00000000-0005-0000-0000-000062090000}"/>
    <cellStyle name="Notas 63 3" xfId="1304" xr:uid="{00000000-0005-0000-0000-000063090000}"/>
    <cellStyle name="Notas 63 4" xfId="1493" xr:uid="{00000000-0005-0000-0000-000064090000}"/>
    <cellStyle name="Notas 63 5" xfId="1672" xr:uid="{00000000-0005-0000-0000-000065090000}"/>
    <cellStyle name="Notas 64" xfId="961" xr:uid="{00000000-0005-0000-0000-000066090000}"/>
    <cellStyle name="Notas 64 2" xfId="1139" xr:uid="{00000000-0005-0000-0000-000067090000}"/>
    <cellStyle name="Notas 64 3" xfId="1305" xr:uid="{00000000-0005-0000-0000-000068090000}"/>
    <cellStyle name="Notas 64 4" xfId="1494" xr:uid="{00000000-0005-0000-0000-000069090000}"/>
    <cellStyle name="Notas 64 5" xfId="1673" xr:uid="{00000000-0005-0000-0000-00006A090000}"/>
    <cellStyle name="Notas 65" xfId="962" xr:uid="{00000000-0005-0000-0000-00006B090000}"/>
    <cellStyle name="Notas 65 2" xfId="1140" xr:uid="{00000000-0005-0000-0000-00006C090000}"/>
    <cellStyle name="Notas 65 3" xfId="1306" xr:uid="{00000000-0005-0000-0000-00006D090000}"/>
    <cellStyle name="Notas 65 4" xfId="1495" xr:uid="{00000000-0005-0000-0000-00006E090000}"/>
    <cellStyle name="Notas 65 5" xfId="1674" xr:uid="{00000000-0005-0000-0000-00006F090000}"/>
    <cellStyle name="Notas 66" xfId="963" xr:uid="{00000000-0005-0000-0000-000070090000}"/>
    <cellStyle name="Notas 66 2" xfId="1141" xr:uid="{00000000-0005-0000-0000-000071090000}"/>
    <cellStyle name="Notas 66 3" xfId="1307" xr:uid="{00000000-0005-0000-0000-000072090000}"/>
    <cellStyle name="Notas 66 4" xfId="1496" xr:uid="{00000000-0005-0000-0000-000073090000}"/>
    <cellStyle name="Notas 66 5" xfId="1675" xr:uid="{00000000-0005-0000-0000-000074090000}"/>
    <cellStyle name="Notas 67" xfId="964" xr:uid="{00000000-0005-0000-0000-000075090000}"/>
    <cellStyle name="Notas 67 2" xfId="1142" xr:uid="{00000000-0005-0000-0000-000076090000}"/>
    <cellStyle name="Notas 67 3" xfId="1308" xr:uid="{00000000-0005-0000-0000-000077090000}"/>
    <cellStyle name="Notas 67 4" xfId="1497" xr:uid="{00000000-0005-0000-0000-000078090000}"/>
    <cellStyle name="Notas 67 5" xfId="1676" xr:uid="{00000000-0005-0000-0000-000079090000}"/>
    <cellStyle name="Notas 68" xfId="965" xr:uid="{00000000-0005-0000-0000-00007A090000}"/>
    <cellStyle name="Notas 68 2" xfId="1143" xr:uid="{00000000-0005-0000-0000-00007B090000}"/>
    <cellStyle name="Notas 68 3" xfId="1309" xr:uid="{00000000-0005-0000-0000-00007C090000}"/>
    <cellStyle name="Notas 68 4" xfId="1498" xr:uid="{00000000-0005-0000-0000-00007D090000}"/>
    <cellStyle name="Notas 68 5" xfId="1677" xr:uid="{00000000-0005-0000-0000-00007E090000}"/>
    <cellStyle name="Notas 69" xfId="966" xr:uid="{00000000-0005-0000-0000-00007F090000}"/>
    <cellStyle name="Notas 69 2" xfId="1144" xr:uid="{00000000-0005-0000-0000-000080090000}"/>
    <cellStyle name="Notas 69 3" xfId="1310" xr:uid="{00000000-0005-0000-0000-000081090000}"/>
    <cellStyle name="Notas 69 4" xfId="1499" xr:uid="{00000000-0005-0000-0000-000082090000}"/>
    <cellStyle name="Notas 69 5" xfId="1678" xr:uid="{00000000-0005-0000-0000-000083090000}"/>
    <cellStyle name="Notas 7" xfId="65" xr:uid="{00000000-0005-0000-0000-000084090000}"/>
    <cellStyle name="Notas 7 10" xfId="486" xr:uid="{00000000-0005-0000-0000-000085090000}"/>
    <cellStyle name="Notas 7 11" xfId="658" xr:uid="{00000000-0005-0000-0000-000086090000}"/>
    <cellStyle name="Notas 7 12" xfId="795" xr:uid="{00000000-0005-0000-0000-000087090000}"/>
    <cellStyle name="Notas 7 13" xfId="967" xr:uid="{00000000-0005-0000-0000-000088090000}"/>
    <cellStyle name="Notas 7 14" xfId="1145" xr:uid="{00000000-0005-0000-0000-000089090000}"/>
    <cellStyle name="Notas 7 15" xfId="1311" xr:uid="{00000000-0005-0000-0000-00008A090000}"/>
    <cellStyle name="Notas 7 16" xfId="1500" xr:uid="{00000000-0005-0000-0000-00008B090000}"/>
    <cellStyle name="Notas 7 17" xfId="1679" xr:uid="{00000000-0005-0000-0000-00008C090000}"/>
    <cellStyle name="Notas 7 18" xfId="1828" xr:uid="{00000000-0005-0000-0000-00008D090000}"/>
    <cellStyle name="Notas 7 19" xfId="1985" xr:uid="{00000000-0005-0000-0000-00008E090000}"/>
    <cellStyle name="Notas 7 2" xfId="113" xr:uid="{00000000-0005-0000-0000-00008F090000}"/>
    <cellStyle name="Notas 7 2 10" xfId="1829" xr:uid="{00000000-0005-0000-0000-000090090000}"/>
    <cellStyle name="Notas 7 2 11" xfId="1986" xr:uid="{00000000-0005-0000-0000-000091090000}"/>
    <cellStyle name="Notas 7 2 12" xfId="2133" xr:uid="{00000000-0005-0000-0000-000092090000}"/>
    <cellStyle name="Notas 7 2 13" xfId="2274" xr:uid="{00000000-0005-0000-0000-000093090000}"/>
    <cellStyle name="Notas 7 2 14" xfId="2427" xr:uid="{00000000-0005-0000-0000-000094090000}"/>
    <cellStyle name="Notas 7 2 15" xfId="2576" xr:uid="{00000000-0005-0000-0000-000095090000}"/>
    <cellStyle name="Notas 7 2 2" xfId="487" xr:uid="{00000000-0005-0000-0000-000096090000}"/>
    <cellStyle name="Notas 7 2 3" xfId="659" xr:uid="{00000000-0005-0000-0000-000097090000}"/>
    <cellStyle name="Notas 7 2 4" xfId="796" xr:uid="{00000000-0005-0000-0000-000098090000}"/>
    <cellStyle name="Notas 7 2 5" xfId="968" xr:uid="{00000000-0005-0000-0000-000099090000}"/>
    <cellStyle name="Notas 7 2 6" xfId="1146" xr:uid="{00000000-0005-0000-0000-00009A090000}"/>
    <cellStyle name="Notas 7 2 7" xfId="1312" xr:uid="{00000000-0005-0000-0000-00009B090000}"/>
    <cellStyle name="Notas 7 2 8" xfId="1501" xr:uid="{00000000-0005-0000-0000-00009C090000}"/>
    <cellStyle name="Notas 7 2 9" xfId="1680" xr:uid="{00000000-0005-0000-0000-00009D090000}"/>
    <cellStyle name="Notas 7 20" xfId="2132" xr:uid="{00000000-0005-0000-0000-00009E090000}"/>
    <cellStyle name="Notas 7 21" xfId="2273" xr:uid="{00000000-0005-0000-0000-00009F090000}"/>
    <cellStyle name="Notas 7 22" xfId="2426" xr:uid="{00000000-0005-0000-0000-0000A0090000}"/>
    <cellStyle name="Notas 7 23" xfId="2575" xr:uid="{00000000-0005-0000-0000-0000A1090000}"/>
    <cellStyle name="Notas 7 3" xfId="169" xr:uid="{00000000-0005-0000-0000-0000A2090000}"/>
    <cellStyle name="Notas 7 3 10" xfId="1830" xr:uid="{00000000-0005-0000-0000-0000A3090000}"/>
    <cellStyle name="Notas 7 3 11" xfId="1987" xr:uid="{00000000-0005-0000-0000-0000A4090000}"/>
    <cellStyle name="Notas 7 3 12" xfId="2134" xr:uid="{00000000-0005-0000-0000-0000A5090000}"/>
    <cellStyle name="Notas 7 3 13" xfId="2275" xr:uid="{00000000-0005-0000-0000-0000A6090000}"/>
    <cellStyle name="Notas 7 3 14" xfId="2428" xr:uid="{00000000-0005-0000-0000-0000A7090000}"/>
    <cellStyle name="Notas 7 3 15" xfId="2577" xr:uid="{00000000-0005-0000-0000-0000A8090000}"/>
    <cellStyle name="Notas 7 3 2" xfId="488" xr:uid="{00000000-0005-0000-0000-0000A9090000}"/>
    <cellStyle name="Notas 7 3 3" xfId="660" xr:uid="{00000000-0005-0000-0000-0000AA090000}"/>
    <cellStyle name="Notas 7 3 4" xfId="797" xr:uid="{00000000-0005-0000-0000-0000AB090000}"/>
    <cellStyle name="Notas 7 3 5" xfId="969" xr:uid="{00000000-0005-0000-0000-0000AC090000}"/>
    <cellStyle name="Notas 7 3 6" xfId="1147" xr:uid="{00000000-0005-0000-0000-0000AD090000}"/>
    <cellStyle name="Notas 7 3 7" xfId="1313" xr:uid="{00000000-0005-0000-0000-0000AE090000}"/>
    <cellStyle name="Notas 7 3 8" xfId="1502" xr:uid="{00000000-0005-0000-0000-0000AF090000}"/>
    <cellStyle name="Notas 7 3 9" xfId="1681" xr:uid="{00000000-0005-0000-0000-0000B0090000}"/>
    <cellStyle name="Notas 7 4" xfId="199" xr:uid="{00000000-0005-0000-0000-0000B1090000}"/>
    <cellStyle name="Notas 7 5" xfId="222" xr:uid="{00000000-0005-0000-0000-0000B2090000}"/>
    <cellStyle name="Notas 7 6" xfId="239" xr:uid="{00000000-0005-0000-0000-0000B3090000}"/>
    <cellStyle name="Notas 7 7" xfId="276" xr:uid="{00000000-0005-0000-0000-0000B4090000}"/>
    <cellStyle name="Notas 7 8" xfId="304" xr:uid="{00000000-0005-0000-0000-0000B5090000}"/>
    <cellStyle name="Notas 7 9" xfId="328" xr:uid="{00000000-0005-0000-0000-0000B6090000}"/>
    <cellStyle name="Notas 70" xfId="970" xr:uid="{00000000-0005-0000-0000-0000B7090000}"/>
    <cellStyle name="Notas 70 2" xfId="1148" xr:uid="{00000000-0005-0000-0000-0000B8090000}"/>
    <cellStyle name="Notas 70 3" xfId="1314" xr:uid="{00000000-0005-0000-0000-0000B9090000}"/>
    <cellStyle name="Notas 70 4" xfId="1503" xr:uid="{00000000-0005-0000-0000-0000BA090000}"/>
    <cellStyle name="Notas 70 5" xfId="1682" xr:uid="{00000000-0005-0000-0000-0000BB090000}"/>
    <cellStyle name="Notas 71" xfId="1504" xr:uid="{00000000-0005-0000-0000-0000BC090000}"/>
    <cellStyle name="Notas 72" xfId="1505" xr:uid="{00000000-0005-0000-0000-0000BD090000}"/>
    <cellStyle name="Notas 73" xfId="1506" xr:uid="{00000000-0005-0000-0000-0000BE090000}"/>
    <cellStyle name="Notas 74" xfId="1507" xr:uid="{00000000-0005-0000-0000-0000BF090000}"/>
    <cellStyle name="Notas 75" xfId="1508" xr:uid="{00000000-0005-0000-0000-0000C0090000}"/>
    <cellStyle name="Notas 76" xfId="1509" xr:uid="{00000000-0005-0000-0000-0000C1090000}"/>
    <cellStyle name="Notas 77" xfId="1510" xr:uid="{00000000-0005-0000-0000-0000C2090000}"/>
    <cellStyle name="Notas 78" xfId="1511" xr:uid="{00000000-0005-0000-0000-0000C3090000}"/>
    <cellStyle name="Notas 79" xfId="1512" xr:uid="{00000000-0005-0000-0000-0000C4090000}"/>
    <cellStyle name="Notas 8" xfId="66" xr:uid="{00000000-0005-0000-0000-0000C5090000}"/>
    <cellStyle name="Notas 8 10" xfId="489" xr:uid="{00000000-0005-0000-0000-0000C6090000}"/>
    <cellStyle name="Notas 8 11" xfId="661" xr:uid="{00000000-0005-0000-0000-0000C7090000}"/>
    <cellStyle name="Notas 8 12" xfId="798" xr:uid="{00000000-0005-0000-0000-0000C8090000}"/>
    <cellStyle name="Notas 8 13" xfId="971" xr:uid="{00000000-0005-0000-0000-0000C9090000}"/>
    <cellStyle name="Notas 8 14" xfId="1149" xr:uid="{00000000-0005-0000-0000-0000CA090000}"/>
    <cellStyle name="Notas 8 15" xfId="1315" xr:uid="{00000000-0005-0000-0000-0000CB090000}"/>
    <cellStyle name="Notas 8 16" xfId="1513" xr:uid="{00000000-0005-0000-0000-0000CC090000}"/>
    <cellStyle name="Notas 8 17" xfId="1683" xr:uid="{00000000-0005-0000-0000-0000CD090000}"/>
    <cellStyle name="Notas 8 18" xfId="1831" xr:uid="{00000000-0005-0000-0000-0000CE090000}"/>
    <cellStyle name="Notas 8 19" xfId="1988" xr:uid="{00000000-0005-0000-0000-0000CF090000}"/>
    <cellStyle name="Notas 8 2" xfId="114" xr:uid="{00000000-0005-0000-0000-0000D0090000}"/>
    <cellStyle name="Notas 8 2 10" xfId="1832" xr:uid="{00000000-0005-0000-0000-0000D1090000}"/>
    <cellStyle name="Notas 8 2 11" xfId="1989" xr:uid="{00000000-0005-0000-0000-0000D2090000}"/>
    <cellStyle name="Notas 8 2 12" xfId="2136" xr:uid="{00000000-0005-0000-0000-0000D3090000}"/>
    <cellStyle name="Notas 8 2 13" xfId="2277" xr:uid="{00000000-0005-0000-0000-0000D4090000}"/>
    <cellStyle name="Notas 8 2 14" xfId="2430" xr:uid="{00000000-0005-0000-0000-0000D5090000}"/>
    <cellStyle name="Notas 8 2 15" xfId="2579" xr:uid="{00000000-0005-0000-0000-0000D6090000}"/>
    <cellStyle name="Notas 8 2 2" xfId="490" xr:uid="{00000000-0005-0000-0000-0000D7090000}"/>
    <cellStyle name="Notas 8 2 3" xfId="662" xr:uid="{00000000-0005-0000-0000-0000D8090000}"/>
    <cellStyle name="Notas 8 2 4" xfId="799" xr:uid="{00000000-0005-0000-0000-0000D9090000}"/>
    <cellStyle name="Notas 8 2 5" xfId="972" xr:uid="{00000000-0005-0000-0000-0000DA090000}"/>
    <cellStyle name="Notas 8 2 6" xfId="1150" xr:uid="{00000000-0005-0000-0000-0000DB090000}"/>
    <cellStyle name="Notas 8 2 7" xfId="1316" xr:uid="{00000000-0005-0000-0000-0000DC090000}"/>
    <cellStyle name="Notas 8 2 8" xfId="1514" xr:uid="{00000000-0005-0000-0000-0000DD090000}"/>
    <cellStyle name="Notas 8 2 9" xfId="1684" xr:uid="{00000000-0005-0000-0000-0000DE090000}"/>
    <cellStyle name="Notas 8 20" xfId="2135" xr:uid="{00000000-0005-0000-0000-0000DF090000}"/>
    <cellStyle name="Notas 8 21" xfId="2276" xr:uid="{00000000-0005-0000-0000-0000E0090000}"/>
    <cellStyle name="Notas 8 22" xfId="2429" xr:uid="{00000000-0005-0000-0000-0000E1090000}"/>
    <cellStyle name="Notas 8 23" xfId="2578" xr:uid="{00000000-0005-0000-0000-0000E2090000}"/>
    <cellStyle name="Notas 8 3" xfId="170" xr:uid="{00000000-0005-0000-0000-0000E3090000}"/>
    <cellStyle name="Notas 8 3 10" xfId="1833" xr:uid="{00000000-0005-0000-0000-0000E4090000}"/>
    <cellStyle name="Notas 8 3 11" xfId="1990" xr:uid="{00000000-0005-0000-0000-0000E5090000}"/>
    <cellStyle name="Notas 8 3 12" xfId="2137" xr:uid="{00000000-0005-0000-0000-0000E6090000}"/>
    <cellStyle name="Notas 8 3 13" xfId="2278" xr:uid="{00000000-0005-0000-0000-0000E7090000}"/>
    <cellStyle name="Notas 8 3 14" xfId="2431" xr:uid="{00000000-0005-0000-0000-0000E8090000}"/>
    <cellStyle name="Notas 8 3 15" xfId="2580" xr:uid="{00000000-0005-0000-0000-0000E9090000}"/>
    <cellStyle name="Notas 8 3 2" xfId="491" xr:uid="{00000000-0005-0000-0000-0000EA090000}"/>
    <cellStyle name="Notas 8 3 3" xfId="663" xr:uid="{00000000-0005-0000-0000-0000EB090000}"/>
    <cellStyle name="Notas 8 3 4" xfId="800" xr:uid="{00000000-0005-0000-0000-0000EC090000}"/>
    <cellStyle name="Notas 8 3 5" xfId="973" xr:uid="{00000000-0005-0000-0000-0000ED090000}"/>
    <cellStyle name="Notas 8 3 6" xfId="1151" xr:uid="{00000000-0005-0000-0000-0000EE090000}"/>
    <cellStyle name="Notas 8 3 7" xfId="1317" xr:uid="{00000000-0005-0000-0000-0000EF090000}"/>
    <cellStyle name="Notas 8 3 8" xfId="1515" xr:uid="{00000000-0005-0000-0000-0000F0090000}"/>
    <cellStyle name="Notas 8 3 9" xfId="1685" xr:uid="{00000000-0005-0000-0000-0000F1090000}"/>
    <cellStyle name="Notas 8 4" xfId="200" xr:uid="{00000000-0005-0000-0000-0000F2090000}"/>
    <cellStyle name="Notas 8 5" xfId="223" xr:uid="{00000000-0005-0000-0000-0000F3090000}"/>
    <cellStyle name="Notas 8 6" xfId="240" xr:uid="{00000000-0005-0000-0000-0000F4090000}"/>
    <cellStyle name="Notas 8 7" xfId="277" xr:uid="{00000000-0005-0000-0000-0000F5090000}"/>
    <cellStyle name="Notas 8 8" xfId="305" xr:uid="{00000000-0005-0000-0000-0000F6090000}"/>
    <cellStyle name="Notas 8 9" xfId="329" xr:uid="{00000000-0005-0000-0000-0000F7090000}"/>
    <cellStyle name="Notas 80" xfId="1516" xr:uid="{00000000-0005-0000-0000-0000F8090000}"/>
    <cellStyle name="Notas 81" xfId="1517" xr:uid="{00000000-0005-0000-0000-0000F9090000}"/>
    <cellStyle name="Notas 82" xfId="1518" xr:uid="{00000000-0005-0000-0000-0000FA090000}"/>
    <cellStyle name="Notas 83" xfId="1519" xr:uid="{00000000-0005-0000-0000-0000FB090000}"/>
    <cellStyle name="Notas 84" xfId="1520" xr:uid="{00000000-0005-0000-0000-0000FC090000}"/>
    <cellStyle name="Notas 9" xfId="67" xr:uid="{00000000-0005-0000-0000-0000FD090000}"/>
    <cellStyle name="Notas 9 10" xfId="492" xr:uid="{00000000-0005-0000-0000-0000FE090000}"/>
    <cellStyle name="Notas 9 11" xfId="664" xr:uid="{00000000-0005-0000-0000-0000FF090000}"/>
    <cellStyle name="Notas 9 12" xfId="801" xr:uid="{00000000-0005-0000-0000-0000000A0000}"/>
    <cellStyle name="Notas 9 13" xfId="974" xr:uid="{00000000-0005-0000-0000-0000010A0000}"/>
    <cellStyle name="Notas 9 14" xfId="1152" xr:uid="{00000000-0005-0000-0000-0000020A0000}"/>
    <cellStyle name="Notas 9 15" xfId="1318" xr:uid="{00000000-0005-0000-0000-0000030A0000}"/>
    <cellStyle name="Notas 9 16" xfId="1521" xr:uid="{00000000-0005-0000-0000-0000040A0000}"/>
    <cellStyle name="Notas 9 17" xfId="1686" xr:uid="{00000000-0005-0000-0000-0000050A0000}"/>
    <cellStyle name="Notas 9 18" xfId="1834" xr:uid="{00000000-0005-0000-0000-0000060A0000}"/>
    <cellStyle name="Notas 9 19" xfId="1991" xr:uid="{00000000-0005-0000-0000-0000070A0000}"/>
    <cellStyle name="Notas 9 2" xfId="115" xr:uid="{00000000-0005-0000-0000-0000080A0000}"/>
    <cellStyle name="Notas 9 2 10" xfId="1835" xr:uid="{00000000-0005-0000-0000-0000090A0000}"/>
    <cellStyle name="Notas 9 2 11" xfId="1992" xr:uid="{00000000-0005-0000-0000-00000A0A0000}"/>
    <cellStyle name="Notas 9 2 12" xfId="2139" xr:uid="{00000000-0005-0000-0000-00000B0A0000}"/>
    <cellStyle name="Notas 9 2 13" xfId="2280" xr:uid="{00000000-0005-0000-0000-00000C0A0000}"/>
    <cellStyle name="Notas 9 2 14" xfId="2433" xr:uid="{00000000-0005-0000-0000-00000D0A0000}"/>
    <cellStyle name="Notas 9 2 15" xfId="2582" xr:uid="{00000000-0005-0000-0000-00000E0A0000}"/>
    <cellStyle name="Notas 9 2 2" xfId="493" xr:uid="{00000000-0005-0000-0000-00000F0A0000}"/>
    <cellStyle name="Notas 9 2 3" xfId="665" xr:uid="{00000000-0005-0000-0000-0000100A0000}"/>
    <cellStyle name="Notas 9 2 4" xfId="802" xr:uid="{00000000-0005-0000-0000-0000110A0000}"/>
    <cellStyle name="Notas 9 2 5" xfId="975" xr:uid="{00000000-0005-0000-0000-0000120A0000}"/>
    <cellStyle name="Notas 9 2 6" xfId="1153" xr:uid="{00000000-0005-0000-0000-0000130A0000}"/>
    <cellStyle name="Notas 9 2 7" xfId="1319" xr:uid="{00000000-0005-0000-0000-0000140A0000}"/>
    <cellStyle name="Notas 9 2 8" xfId="1522" xr:uid="{00000000-0005-0000-0000-0000150A0000}"/>
    <cellStyle name="Notas 9 2 9" xfId="1687" xr:uid="{00000000-0005-0000-0000-0000160A0000}"/>
    <cellStyle name="Notas 9 20" xfId="2138" xr:uid="{00000000-0005-0000-0000-0000170A0000}"/>
    <cellStyle name="Notas 9 21" xfId="2279" xr:uid="{00000000-0005-0000-0000-0000180A0000}"/>
    <cellStyle name="Notas 9 22" xfId="2432" xr:uid="{00000000-0005-0000-0000-0000190A0000}"/>
    <cellStyle name="Notas 9 23" xfId="2581" xr:uid="{00000000-0005-0000-0000-00001A0A0000}"/>
    <cellStyle name="Notas 9 3" xfId="171" xr:uid="{00000000-0005-0000-0000-00001B0A0000}"/>
    <cellStyle name="Notas 9 3 10" xfId="1836" xr:uid="{00000000-0005-0000-0000-00001C0A0000}"/>
    <cellStyle name="Notas 9 3 11" xfId="1993" xr:uid="{00000000-0005-0000-0000-00001D0A0000}"/>
    <cellStyle name="Notas 9 3 12" xfId="2140" xr:uid="{00000000-0005-0000-0000-00001E0A0000}"/>
    <cellStyle name="Notas 9 3 13" xfId="2281" xr:uid="{00000000-0005-0000-0000-00001F0A0000}"/>
    <cellStyle name="Notas 9 3 14" xfId="2434" xr:uid="{00000000-0005-0000-0000-0000200A0000}"/>
    <cellStyle name="Notas 9 3 15" xfId="2583" xr:uid="{00000000-0005-0000-0000-0000210A0000}"/>
    <cellStyle name="Notas 9 3 2" xfId="494" xr:uid="{00000000-0005-0000-0000-0000220A0000}"/>
    <cellStyle name="Notas 9 3 3" xfId="666" xr:uid="{00000000-0005-0000-0000-0000230A0000}"/>
    <cellStyle name="Notas 9 3 4" xfId="803" xr:uid="{00000000-0005-0000-0000-0000240A0000}"/>
    <cellStyle name="Notas 9 3 5" xfId="976" xr:uid="{00000000-0005-0000-0000-0000250A0000}"/>
    <cellStyle name="Notas 9 3 6" xfId="1154" xr:uid="{00000000-0005-0000-0000-0000260A0000}"/>
    <cellStyle name="Notas 9 3 7" xfId="1320" xr:uid="{00000000-0005-0000-0000-0000270A0000}"/>
    <cellStyle name="Notas 9 3 8" xfId="1523" xr:uid="{00000000-0005-0000-0000-0000280A0000}"/>
    <cellStyle name="Notas 9 3 9" xfId="1688" xr:uid="{00000000-0005-0000-0000-0000290A0000}"/>
    <cellStyle name="Notas 9 4" xfId="201" xr:uid="{00000000-0005-0000-0000-00002A0A0000}"/>
    <cellStyle name="Notas 9 5" xfId="224" xr:uid="{00000000-0005-0000-0000-00002B0A0000}"/>
    <cellStyle name="Notas 9 6" xfId="241" xr:uid="{00000000-0005-0000-0000-00002C0A0000}"/>
    <cellStyle name="Notas 9 7" xfId="278" xr:uid="{00000000-0005-0000-0000-00002D0A0000}"/>
    <cellStyle name="Notas 9 8" xfId="306" xr:uid="{00000000-0005-0000-0000-00002E0A0000}"/>
    <cellStyle name="Notas 9 9" xfId="330" xr:uid="{00000000-0005-0000-0000-00002F0A0000}"/>
    <cellStyle name="Porcentaje 2" xfId="2603" xr:uid="{00000000-0005-0000-0000-0000310A0000}"/>
    <cellStyle name="Porcentaje 3" xfId="2608" xr:uid="{00000000-0005-0000-0000-0000320A0000}"/>
    <cellStyle name="Salida" xfId="12" builtinId="21" customBuiltin="1"/>
    <cellStyle name="Texto de advertencia" xfId="16" builtinId="11" customBuiltin="1"/>
    <cellStyle name="Texto explicativo" xfId="17" builtinId="53" customBuiltin="1"/>
    <cellStyle name="Título" xfId="3" builtinId="15" customBuiltin="1"/>
    <cellStyle name="Título 2" xfId="5" builtinId="17" customBuiltin="1"/>
    <cellStyle name="Título 3" xfId="6" builtinId="18" customBuiltin="1"/>
    <cellStyle name="Total" xfId="18" builtinId="25" customBuiltin="1"/>
  </cellStyles>
  <dxfs count="105"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ont>
        <b/>
        <i val="0"/>
      </font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</dxfs>
  <tableStyles count="0" defaultTableStyle="TableStyleMedium9" defaultPivotStyle="PivotStyleLight16"/>
  <colors>
    <mruColors>
      <color rgb="FF9966FF"/>
      <color rgb="FFFFFF00"/>
      <color rgb="FF9ACDD4"/>
      <color rgb="FF00FF99"/>
      <color rgb="FFCCFFCC"/>
      <color rgb="FF00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externalLink" Target="externalLinks/externalLink2.xml"/><Relationship Id="rId47" Type="http://schemas.openxmlformats.org/officeDocument/2006/relationships/styles" Target="style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externalLink" Target="externalLinks/externalLink5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externalLink" Target="externalLinks/externalLink4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externalLink" Target="externalLinks/externalLink3.xml"/><Relationship Id="rId48" Type="http://schemas.openxmlformats.org/officeDocument/2006/relationships/sharedStrings" Target="sharedStrings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theme" Target="theme/theme1.xml"/><Relationship Id="rId20" Type="http://schemas.openxmlformats.org/officeDocument/2006/relationships/worksheet" Target="worksheets/sheet20.xml"/><Relationship Id="rId41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g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20</xdr:col>
      <xdr:colOff>333375</xdr:colOff>
      <xdr:row>5</xdr:row>
      <xdr:rowOff>76200</xdr:rowOff>
    </xdr:from>
    <xdr:ext cx="2619375" cy="495300"/>
    <xdr:pic>
      <xdr:nvPicPr>
        <xdr:cNvPr id="11" name="image2.png">
          <a:extLst>
            <a:ext uri="{FF2B5EF4-FFF2-40B4-BE49-F238E27FC236}">
              <a16:creationId xmlns:a16="http://schemas.microsoft.com/office/drawing/2014/main" id="{00000000-0008-0000-0300-00000B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3849350" y="1009650"/>
          <a:ext cx="2619375" cy="495300"/>
        </a:xfrm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8987</xdr:colOff>
      <xdr:row>4</xdr:row>
      <xdr:rowOff>17972</xdr:rowOff>
    </xdr:from>
    <xdr:to>
      <xdr:col>2</xdr:col>
      <xdr:colOff>1504412</xdr:colOff>
      <xdr:row>8</xdr:row>
      <xdr:rowOff>135830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0000000-0008-0000-0F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3209" y="637996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13</xdr:col>
      <xdr:colOff>197688</xdr:colOff>
      <xdr:row>4</xdr:row>
      <xdr:rowOff>80872</xdr:rowOff>
    </xdr:from>
    <xdr:to>
      <xdr:col>14</xdr:col>
      <xdr:colOff>947288</xdr:colOff>
      <xdr:row>9</xdr:row>
      <xdr:rowOff>1041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00000000-0008-0000-0F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349127" y="700896"/>
          <a:ext cx="1495425" cy="90861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57149</xdr:colOff>
      <xdr:row>1</xdr:row>
      <xdr:rowOff>85726</xdr:rowOff>
    </xdr:from>
    <xdr:to>
      <xdr:col>2</xdr:col>
      <xdr:colOff>1257299</xdr:colOff>
      <xdr:row>6</xdr:row>
      <xdr:rowOff>67238</xdr:rowOff>
    </xdr:to>
    <xdr:pic>
      <xdr:nvPicPr>
        <xdr:cNvPr id="16" name="Imagen 15">
          <a:extLst>
            <a:ext uri="{FF2B5EF4-FFF2-40B4-BE49-F238E27FC236}">
              <a16:creationId xmlns:a16="http://schemas.microsoft.com/office/drawing/2014/main" id="{00000000-0008-0000-1000-00001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7174" y="247651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2</xdr:col>
      <xdr:colOff>19050</xdr:colOff>
      <xdr:row>20</xdr:row>
      <xdr:rowOff>93133</xdr:rowOff>
    </xdr:from>
    <xdr:to>
      <xdr:col>2</xdr:col>
      <xdr:colOff>1456267</xdr:colOff>
      <xdr:row>25</xdr:row>
      <xdr:rowOff>29021</xdr:rowOff>
    </xdr:to>
    <xdr:pic>
      <xdr:nvPicPr>
        <xdr:cNvPr id="17" name="Imagen 16">
          <a:extLst>
            <a:ext uri="{FF2B5EF4-FFF2-40B4-BE49-F238E27FC236}">
              <a16:creationId xmlns:a16="http://schemas.microsoft.com/office/drawing/2014/main" id="{00000000-0008-0000-1000-00001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7050" y="4106333"/>
          <a:ext cx="1437217" cy="833355"/>
        </a:xfrm>
        <a:prstGeom prst="rect">
          <a:avLst/>
        </a:prstGeom>
      </xdr:spPr>
    </xdr:pic>
    <xdr:clientData/>
  </xdr:twoCellAnchor>
  <xdr:twoCellAnchor editAs="oneCell">
    <xdr:from>
      <xdr:col>1</xdr:col>
      <xdr:colOff>76200</xdr:colOff>
      <xdr:row>39</xdr:row>
      <xdr:rowOff>66675</xdr:rowOff>
    </xdr:from>
    <xdr:to>
      <xdr:col>2</xdr:col>
      <xdr:colOff>1276350</xdr:colOff>
      <xdr:row>44</xdr:row>
      <xdr:rowOff>48187</xdr:rowOff>
    </xdr:to>
    <xdr:pic>
      <xdr:nvPicPr>
        <xdr:cNvPr id="18" name="Imagen 17">
          <a:extLst>
            <a:ext uri="{FF2B5EF4-FFF2-40B4-BE49-F238E27FC236}">
              <a16:creationId xmlns:a16="http://schemas.microsoft.com/office/drawing/2014/main" id="{00000000-0008-0000-1000-00001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6225" y="803910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76200</xdr:colOff>
      <xdr:row>58</xdr:row>
      <xdr:rowOff>114300</xdr:rowOff>
    </xdr:from>
    <xdr:to>
      <xdr:col>2</xdr:col>
      <xdr:colOff>1276350</xdr:colOff>
      <xdr:row>63</xdr:row>
      <xdr:rowOff>83112</xdr:rowOff>
    </xdr:to>
    <xdr:pic>
      <xdr:nvPicPr>
        <xdr:cNvPr id="19" name="Imagen 18">
          <a:extLst>
            <a:ext uri="{FF2B5EF4-FFF2-40B4-BE49-F238E27FC236}">
              <a16:creationId xmlns:a16="http://schemas.microsoft.com/office/drawing/2014/main" id="{00000000-0008-0000-1000-00001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6225" y="1199197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133350</xdr:colOff>
      <xdr:row>77</xdr:row>
      <xdr:rowOff>85725</xdr:rowOff>
    </xdr:from>
    <xdr:to>
      <xdr:col>2</xdr:col>
      <xdr:colOff>1333500</xdr:colOff>
      <xdr:row>82</xdr:row>
      <xdr:rowOff>67237</xdr:rowOff>
    </xdr:to>
    <xdr:pic>
      <xdr:nvPicPr>
        <xdr:cNvPr id="20" name="Imagen 19">
          <a:extLst>
            <a:ext uri="{FF2B5EF4-FFF2-40B4-BE49-F238E27FC236}">
              <a16:creationId xmlns:a16="http://schemas.microsoft.com/office/drawing/2014/main" id="{00000000-0008-0000-1000-00001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3375" y="1586865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85725</xdr:colOff>
      <xdr:row>96</xdr:row>
      <xdr:rowOff>133350</xdr:rowOff>
    </xdr:from>
    <xdr:to>
      <xdr:col>2</xdr:col>
      <xdr:colOff>1285875</xdr:colOff>
      <xdr:row>101</xdr:row>
      <xdr:rowOff>102162</xdr:rowOff>
    </xdr:to>
    <xdr:pic>
      <xdr:nvPicPr>
        <xdr:cNvPr id="21" name="Imagen 20">
          <a:extLst>
            <a:ext uri="{FF2B5EF4-FFF2-40B4-BE49-F238E27FC236}">
              <a16:creationId xmlns:a16="http://schemas.microsoft.com/office/drawing/2014/main" id="{00000000-0008-0000-1000-00001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5750" y="1982152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76200</xdr:colOff>
      <xdr:row>115</xdr:row>
      <xdr:rowOff>85725</xdr:rowOff>
    </xdr:from>
    <xdr:to>
      <xdr:col>2</xdr:col>
      <xdr:colOff>1276350</xdr:colOff>
      <xdr:row>120</xdr:row>
      <xdr:rowOff>140262</xdr:rowOff>
    </xdr:to>
    <xdr:pic>
      <xdr:nvPicPr>
        <xdr:cNvPr id="22" name="Imagen 21">
          <a:extLst>
            <a:ext uri="{FF2B5EF4-FFF2-40B4-BE49-F238E27FC236}">
              <a16:creationId xmlns:a16="http://schemas.microsoft.com/office/drawing/2014/main" id="{00000000-0008-0000-1000-00001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6225" y="2374582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104775</xdr:colOff>
      <xdr:row>1</xdr:row>
      <xdr:rowOff>85725</xdr:rowOff>
    </xdr:from>
    <xdr:to>
      <xdr:col>19</xdr:col>
      <xdr:colOff>857250</xdr:colOff>
      <xdr:row>6</xdr:row>
      <xdr:rowOff>67237</xdr:rowOff>
    </xdr:to>
    <xdr:pic>
      <xdr:nvPicPr>
        <xdr:cNvPr id="23" name="Imagen 22">
          <a:extLst>
            <a:ext uri="{FF2B5EF4-FFF2-40B4-BE49-F238E27FC236}">
              <a16:creationId xmlns:a16="http://schemas.microsoft.com/office/drawing/2014/main" id="{00000000-0008-0000-1000-00001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25925" y="24765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104775</xdr:colOff>
      <xdr:row>20</xdr:row>
      <xdr:rowOff>76200</xdr:rowOff>
    </xdr:from>
    <xdr:to>
      <xdr:col>19</xdr:col>
      <xdr:colOff>857250</xdr:colOff>
      <xdr:row>25</xdr:row>
      <xdr:rowOff>45012</xdr:rowOff>
    </xdr:to>
    <xdr:pic>
      <xdr:nvPicPr>
        <xdr:cNvPr id="24" name="Imagen 23">
          <a:extLst>
            <a:ext uri="{FF2B5EF4-FFF2-40B4-BE49-F238E27FC236}">
              <a16:creationId xmlns:a16="http://schemas.microsoft.com/office/drawing/2014/main" id="{00000000-0008-0000-1000-00001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25925" y="414337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76200</xdr:colOff>
      <xdr:row>39</xdr:row>
      <xdr:rowOff>85725</xdr:rowOff>
    </xdr:from>
    <xdr:to>
      <xdr:col>19</xdr:col>
      <xdr:colOff>828675</xdr:colOff>
      <xdr:row>44</xdr:row>
      <xdr:rowOff>67237</xdr:rowOff>
    </xdr:to>
    <xdr:pic>
      <xdr:nvPicPr>
        <xdr:cNvPr id="25" name="Imagen 24">
          <a:extLst>
            <a:ext uri="{FF2B5EF4-FFF2-40B4-BE49-F238E27FC236}">
              <a16:creationId xmlns:a16="http://schemas.microsoft.com/office/drawing/2014/main" id="{00000000-0008-0000-1000-00001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897350" y="805815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85725</xdr:colOff>
      <xdr:row>58</xdr:row>
      <xdr:rowOff>114300</xdr:rowOff>
    </xdr:from>
    <xdr:to>
      <xdr:col>19</xdr:col>
      <xdr:colOff>838200</xdr:colOff>
      <xdr:row>63</xdr:row>
      <xdr:rowOff>83112</xdr:rowOff>
    </xdr:to>
    <xdr:pic>
      <xdr:nvPicPr>
        <xdr:cNvPr id="26" name="Imagen 25">
          <a:extLst>
            <a:ext uri="{FF2B5EF4-FFF2-40B4-BE49-F238E27FC236}">
              <a16:creationId xmlns:a16="http://schemas.microsoft.com/office/drawing/2014/main" id="{00000000-0008-0000-1000-00001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06875" y="1199197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47625</xdr:colOff>
      <xdr:row>77</xdr:row>
      <xdr:rowOff>104775</xdr:rowOff>
    </xdr:from>
    <xdr:to>
      <xdr:col>19</xdr:col>
      <xdr:colOff>800100</xdr:colOff>
      <xdr:row>82</xdr:row>
      <xdr:rowOff>86287</xdr:rowOff>
    </xdr:to>
    <xdr:pic>
      <xdr:nvPicPr>
        <xdr:cNvPr id="27" name="Imagen 26">
          <a:extLst>
            <a:ext uri="{FF2B5EF4-FFF2-40B4-BE49-F238E27FC236}">
              <a16:creationId xmlns:a16="http://schemas.microsoft.com/office/drawing/2014/main" id="{00000000-0008-0000-1000-00001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868775" y="1588770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38100</xdr:colOff>
      <xdr:row>96</xdr:row>
      <xdr:rowOff>142875</xdr:rowOff>
    </xdr:from>
    <xdr:to>
      <xdr:col>19</xdr:col>
      <xdr:colOff>790575</xdr:colOff>
      <xdr:row>101</xdr:row>
      <xdr:rowOff>124387</xdr:rowOff>
    </xdr:to>
    <xdr:pic>
      <xdr:nvPicPr>
        <xdr:cNvPr id="28" name="Imagen 27">
          <a:extLst>
            <a:ext uri="{FF2B5EF4-FFF2-40B4-BE49-F238E27FC236}">
              <a16:creationId xmlns:a16="http://schemas.microsoft.com/office/drawing/2014/main" id="{00000000-0008-0000-1000-00001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859250" y="19831050"/>
          <a:ext cx="1495425" cy="908612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141390</xdr:colOff>
      <xdr:row>1</xdr:row>
      <xdr:rowOff>106913</xdr:rowOff>
    </xdr:from>
    <xdr:to>
      <xdr:col>2</xdr:col>
      <xdr:colOff>1345233</xdr:colOff>
      <xdr:row>6</xdr:row>
      <xdr:rowOff>63025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0000000-0008-0000-12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9079" y="268658"/>
          <a:ext cx="1500376" cy="881655"/>
        </a:xfrm>
        <a:prstGeom prst="rect">
          <a:avLst/>
        </a:prstGeom>
      </xdr:spPr>
    </xdr:pic>
    <xdr:clientData/>
  </xdr:twoCellAnchor>
  <xdr:twoCellAnchor editAs="oneCell">
    <xdr:from>
      <xdr:col>1</xdr:col>
      <xdr:colOff>87474</xdr:colOff>
      <xdr:row>20</xdr:row>
      <xdr:rowOff>116633</xdr:rowOff>
    </xdr:from>
    <xdr:to>
      <xdr:col>2</xdr:col>
      <xdr:colOff>1291317</xdr:colOff>
      <xdr:row>25</xdr:row>
      <xdr:rowOff>160219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0000000-0008-0000-12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1581" y="4908291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77755</xdr:colOff>
      <xdr:row>1</xdr:row>
      <xdr:rowOff>145791</xdr:rowOff>
    </xdr:from>
    <xdr:to>
      <xdr:col>19</xdr:col>
      <xdr:colOff>834506</xdr:colOff>
      <xdr:row>6</xdr:row>
      <xdr:rowOff>101903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00000000-0008-0000-12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79770" y="311021"/>
          <a:ext cx="1495425" cy="908612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95250</xdr:colOff>
      <xdr:row>1</xdr:row>
      <xdr:rowOff>76200</xdr:rowOff>
    </xdr:from>
    <xdr:to>
      <xdr:col>2</xdr:col>
      <xdr:colOff>1295400</xdr:colOff>
      <xdr:row>6</xdr:row>
      <xdr:rowOff>48187</xdr:rowOff>
    </xdr:to>
    <xdr:pic>
      <xdr:nvPicPr>
        <xdr:cNvPr id="15" name="Imagen 14">
          <a:extLst>
            <a:ext uri="{FF2B5EF4-FFF2-40B4-BE49-F238E27FC236}">
              <a16:creationId xmlns:a16="http://schemas.microsoft.com/office/drawing/2014/main" id="{00000000-0008-0000-13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5275" y="23812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85725</xdr:colOff>
      <xdr:row>20</xdr:row>
      <xdr:rowOff>85725</xdr:rowOff>
    </xdr:from>
    <xdr:to>
      <xdr:col>2</xdr:col>
      <xdr:colOff>1282700</xdr:colOff>
      <xdr:row>25</xdr:row>
      <xdr:rowOff>64062</xdr:rowOff>
    </xdr:to>
    <xdr:pic>
      <xdr:nvPicPr>
        <xdr:cNvPr id="16" name="Imagen 15">
          <a:extLst>
            <a:ext uri="{FF2B5EF4-FFF2-40B4-BE49-F238E27FC236}">
              <a16:creationId xmlns:a16="http://schemas.microsoft.com/office/drawing/2014/main" id="{00000000-0008-0000-1300-00001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5750" y="415290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76200</xdr:colOff>
      <xdr:row>39</xdr:row>
      <xdr:rowOff>104775</xdr:rowOff>
    </xdr:from>
    <xdr:to>
      <xdr:col>2</xdr:col>
      <xdr:colOff>1276350</xdr:colOff>
      <xdr:row>44</xdr:row>
      <xdr:rowOff>83112</xdr:rowOff>
    </xdr:to>
    <xdr:pic>
      <xdr:nvPicPr>
        <xdr:cNvPr id="17" name="Imagen 16">
          <a:extLst>
            <a:ext uri="{FF2B5EF4-FFF2-40B4-BE49-F238E27FC236}">
              <a16:creationId xmlns:a16="http://schemas.microsoft.com/office/drawing/2014/main" id="{00000000-0008-0000-1300-00001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6225" y="807720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66675</xdr:colOff>
      <xdr:row>58</xdr:row>
      <xdr:rowOff>85725</xdr:rowOff>
    </xdr:from>
    <xdr:to>
      <xdr:col>2</xdr:col>
      <xdr:colOff>1263650</xdr:colOff>
      <xdr:row>63</xdr:row>
      <xdr:rowOff>64062</xdr:rowOff>
    </xdr:to>
    <xdr:pic>
      <xdr:nvPicPr>
        <xdr:cNvPr id="18" name="Imagen 17">
          <a:extLst>
            <a:ext uri="{FF2B5EF4-FFF2-40B4-BE49-F238E27FC236}">
              <a16:creationId xmlns:a16="http://schemas.microsoft.com/office/drawing/2014/main" id="{00000000-0008-0000-1300-00001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6700" y="1196340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57150</xdr:colOff>
      <xdr:row>77</xdr:row>
      <xdr:rowOff>104775</xdr:rowOff>
    </xdr:from>
    <xdr:to>
      <xdr:col>2</xdr:col>
      <xdr:colOff>1257300</xdr:colOff>
      <xdr:row>82</xdr:row>
      <xdr:rowOff>83112</xdr:rowOff>
    </xdr:to>
    <xdr:pic>
      <xdr:nvPicPr>
        <xdr:cNvPr id="19" name="Imagen 18">
          <a:extLst>
            <a:ext uri="{FF2B5EF4-FFF2-40B4-BE49-F238E27FC236}">
              <a16:creationId xmlns:a16="http://schemas.microsoft.com/office/drawing/2014/main" id="{00000000-0008-0000-1300-00001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7175" y="1588770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57150</xdr:colOff>
      <xdr:row>96</xdr:row>
      <xdr:rowOff>133350</xdr:rowOff>
    </xdr:from>
    <xdr:to>
      <xdr:col>2</xdr:col>
      <xdr:colOff>1257300</xdr:colOff>
      <xdr:row>101</xdr:row>
      <xdr:rowOff>105337</xdr:rowOff>
    </xdr:to>
    <xdr:pic>
      <xdr:nvPicPr>
        <xdr:cNvPr id="20" name="Imagen 19">
          <a:extLst>
            <a:ext uri="{FF2B5EF4-FFF2-40B4-BE49-F238E27FC236}">
              <a16:creationId xmlns:a16="http://schemas.microsoft.com/office/drawing/2014/main" id="{00000000-0008-0000-1300-00001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7175" y="1982152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85725</xdr:colOff>
      <xdr:row>115</xdr:row>
      <xdr:rowOff>142875</xdr:rowOff>
    </xdr:from>
    <xdr:to>
      <xdr:col>2</xdr:col>
      <xdr:colOff>1282700</xdr:colOff>
      <xdr:row>121</xdr:row>
      <xdr:rowOff>6912</xdr:rowOff>
    </xdr:to>
    <xdr:pic>
      <xdr:nvPicPr>
        <xdr:cNvPr id="21" name="Imagen 20">
          <a:extLst>
            <a:ext uri="{FF2B5EF4-FFF2-40B4-BE49-F238E27FC236}">
              <a16:creationId xmlns:a16="http://schemas.microsoft.com/office/drawing/2014/main" id="{00000000-0008-0000-1300-00001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5750" y="2380297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76200</xdr:colOff>
      <xdr:row>1</xdr:row>
      <xdr:rowOff>114300</xdr:rowOff>
    </xdr:from>
    <xdr:to>
      <xdr:col>19</xdr:col>
      <xdr:colOff>825500</xdr:colOff>
      <xdr:row>6</xdr:row>
      <xdr:rowOff>86287</xdr:rowOff>
    </xdr:to>
    <xdr:pic>
      <xdr:nvPicPr>
        <xdr:cNvPr id="22" name="Imagen 21">
          <a:extLst>
            <a:ext uri="{FF2B5EF4-FFF2-40B4-BE49-F238E27FC236}">
              <a16:creationId xmlns:a16="http://schemas.microsoft.com/office/drawing/2014/main" id="{00000000-0008-0000-1300-00001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744950" y="27622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66675</xdr:colOff>
      <xdr:row>20</xdr:row>
      <xdr:rowOff>104775</xdr:rowOff>
    </xdr:from>
    <xdr:to>
      <xdr:col>19</xdr:col>
      <xdr:colOff>819150</xdr:colOff>
      <xdr:row>25</xdr:row>
      <xdr:rowOff>83112</xdr:rowOff>
    </xdr:to>
    <xdr:pic>
      <xdr:nvPicPr>
        <xdr:cNvPr id="23" name="Imagen 22">
          <a:extLst>
            <a:ext uri="{FF2B5EF4-FFF2-40B4-BE49-F238E27FC236}">
              <a16:creationId xmlns:a16="http://schemas.microsoft.com/office/drawing/2014/main" id="{00000000-0008-0000-1300-00001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735425" y="417195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57150</xdr:colOff>
      <xdr:row>39</xdr:row>
      <xdr:rowOff>133350</xdr:rowOff>
    </xdr:from>
    <xdr:to>
      <xdr:col>19</xdr:col>
      <xdr:colOff>806450</xdr:colOff>
      <xdr:row>44</xdr:row>
      <xdr:rowOff>105337</xdr:rowOff>
    </xdr:to>
    <xdr:pic>
      <xdr:nvPicPr>
        <xdr:cNvPr id="24" name="Imagen 23">
          <a:extLst>
            <a:ext uri="{FF2B5EF4-FFF2-40B4-BE49-F238E27FC236}">
              <a16:creationId xmlns:a16="http://schemas.microsoft.com/office/drawing/2014/main" id="{00000000-0008-0000-1300-00001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725900" y="810577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57150</xdr:colOff>
      <xdr:row>58</xdr:row>
      <xdr:rowOff>114300</xdr:rowOff>
    </xdr:from>
    <xdr:to>
      <xdr:col>19</xdr:col>
      <xdr:colOff>806450</xdr:colOff>
      <xdr:row>63</xdr:row>
      <xdr:rowOff>86287</xdr:rowOff>
    </xdr:to>
    <xdr:pic>
      <xdr:nvPicPr>
        <xdr:cNvPr id="25" name="Imagen 24">
          <a:extLst>
            <a:ext uri="{FF2B5EF4-FFF2-40B4-BE49-F238E27FC236}">
              <a16:creationId xmlns:a16="http://schemas.microsoft.com/office/drawing/2014/main" id="{00000000-0008-0000-1300-00001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725900" y="1199197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95250</xdr:colOff>
      <xdr:row>77</xdr:row>
      <xdr:rowOff>95250</xdr:rowOff>
    </xdr:from>
    <xdr:to>
      <xdr:col>19</xdr:col>
      <xdr:colOff>844550</xdr:colOff>
      <xdr:row>82</xdr:row>
      <xdr:rowOff>67237</xdr:rowOff>
    </xdr:to>
    <xdr:pic>
      <xdr:nvPicPr>
        <xdr:cNvPr id="26" name="Imagen 25">
          <a:extLst>
            <a:ext uri="{FF2B5EF4-FFF2-40B4-BE49-F238E27FC236}">
              <a16:creationId xmlns:a16="http://schemas.microsoft.com/office/drawing/2014/main" id="{00000000-0008-0000-1300-00001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764000" y="1587817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66675</xdr:colOff>
      <xdr:row>96</xdr:row>
      <xdr:rowOff>123825</xdr:rowOff>
    </xdr:from>
    <xdr:to>
      <xdr:col>19</xdr:col>
      <xdr:colOff>819150</xdr:colOff>
      <xdr:row>101</xdr:row>
      <xdr:rowOff>102162</xdr:rowOff>
    </xdr:to>
    <xdr:pic>
      <xdr:nvPicPr>
        <xdr:cNvPr id="27" name="Imagen 26">
          <a:extLst>
            <a:ext uri="{FF2B5EF4-FFF2-40B4-BE49-F238E27FC236}">
              <a16:creationId xmlns:a16="http://schemas.microsoft.com/office/drawing/2014/main" id="{00000000-0008-0000-1300-00001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735425" y="19812000"/>
          <a:ext cx="1495425" cy="908612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87475</xdr:colOff>
      <xdr:row>20</xdr:row>
      <xdr:rowOff>68036</xdr:rowOff>
    </xdr:from>
    <xdr:to>
      <xdr:col>2</xdr:col>
      <xdr:colOff>1291318</xdr:colOff>
      <xdr:row>25</xdr:row>
      <xdr:rowOff>111622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00000000-0008-0000-15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1582" y="4859694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48597</xdr:colOff>
      <xdr:row>1</xdr:row>
      <xdr:rowOff>136072</xdr:rowOff>
    </xdr:from>
    <xdr:to>
      <xdr:col>2</xdr:col>
      <xdr:colOff>1252440</xdr:colOff>
      <xdr:row>6</xdr:row>
      <xdr:rowOff>92184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00000000-0008-0000-15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2704" y="301302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81642</xdr:colOff>
      <xdr:row>1</xdr:row>
      <xdr:rowOff>136071</xdr:rowOff>
    </xdr:from>
    <xdr:to>
      <xdr:col>19</xdr:col>
      <xdr:colOff>838393</xdr:colOff>
      <xdr:row>6</xdr:row>
      <xdr:rowOff>92183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00000000-0008-0000-15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036142" y="299357"/>
          <a:ext cx="1505144" cy="895005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28575</xdr:colOff>
      <xdr:row>1</xdr:row>
      <xdr:rowOff>95250</xdr:rowOff>
    </xdr:from>
    <xdr:to>
      <xdr:col>2</xdr:col>
      <xdr:colOff>1228725</xdr:colOff>
      <xdr:row>6</xdr:row>
      <xdr:rowOff>64062</xdr:rowOff>
    </xdr:to>
    <xdr:pic>
      <xdr:nvPicPr>
        <xdr:cNvPr id="15" name="Imagen 14">
          <a:extLst>
            <a:ext uri="{FF2B5EF4-FFF2-40B4-BE49-F238E27FC236}">
              <a16:creationId xmlns:a16="http://schemas.microsoft.com/office/drawing/2014/main" id="{00000000-0008-0000-16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25717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76200</xdr:colOff>
      <xdr:row>20</xdr:row>
      <xdr:rowOff>123825</xdr:rowOff>
    </xdr:from>
    <xdr:to>
      <xdr:col>2</xdr:col>
      <xdr:colOff>1276350</xdr:colOff>
      <xdr:row>25</xdr:row>
      <xdr:rowOff>105337</xdr:rowOff>
    </xdr:to>
    <xdr:pic>
      <xdr:nvPicPr>
        <xdr:cNvPr id="16" name="Imagen 15">
          <a:extLst>
            <a:ext uri="{FF2B5EF4-FFF2-40B4-BE49-F238E27FC236}">
              <a16:creationId xmlns:a16="http://schemas.microsoft.com/office/drawing/2014/main" id="{00000000-0008-0000-1600-00001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6225" y="419100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39</xdr:row>
      <xdr:rowOff>133350</xdr:rowOff>
    </xdr:from>
    <xdr:to>
      <xdr:col>2</xdr:col>
      <xdr:colOff>1247775</xdr:colOff>
      <xdr:row>44</xdr:row>
      <xdr:rowOff>102162</xdr:rowOff>
    </xdr:to>
    <xdr:pic>
      <xdr:nvPicPr>
        <xdr:cNvPr id="17" name="Imagen 16">
          <a:extLst>
            <a:ext uri="{FF2B5EF4-FFF2-40B4-BE49-F238E27FC236}">
              <a16:creationId xmlns:a16="http://schemas.microsoft.com/office/drawing/2014/main" id="{00000000-0008-0000-1600-00001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811530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58</xdr:row>
      <xdr:rowOff>104775</xdr:rowOff>
    </xdr:from>
    <xdr:to>
      <xdr:col>2</xdr:col>
      <xdr:colOff>1247775</xdr:colOff>
      <xdr:row>63</xdr:row>
      <xdr:rowOff>86287</xdr:rowOff>
    </xdr:to>
    <xdr:pic>
      <xdr:nvPicPr>
        <xdr:cNvPr id="18" name="Imagen 17">
          <a:extLst>
            <a:ext uri="{FF2B5EF4-FFF2-40B4-BE49-F238E27FC236}">
              <a16:creationId xmlns:a16="http://schemas.microsoft.com/office/drawing/2014/main" id="{00000000-0008-0000-1600-00001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200150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95250</xdr:colOff>
      <xdr:row>77</xdr:row>
      <xdr:rowOff>104775</xdr:rowOff>
    </xdr:from>
    <xdr:to>
      <xdr:col>2</xdr:col>
      <xdr:colOff>1295400</xdr:colOff>
      <xdr:row>82</xdr:row>
      <xdr:rowOff>86287</xdr:rowOff>
    </xdr:to>
    <xdr:pic>
      <xdr:nvPicPr>
        <xdr:cNvPr id="19" name="Imagen 18">
          <a:extLst>
            <a:ext uri="{FF2B5EF4-FFF2-40B4-BE49-F238E27FC236}">
              <a16:creationId xmlns:a16="http://schemas.microsoft.com/office/drawing/2014/main" id="{00000000-0008-0000-1600-00001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5275" y="1590675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38100</xdr:colOff>
      <xdr:row>96</xdr:row>
      <xdr:rowOff>133350</xdr:rowOff>
    </xdr:from>
    <xdr:to>
      <xdr:col>2</xdr:col>
      <xdr:colOff>1238250</xdr:colOff>
      <xdr:row>101</xdr:row>
      <xdr:rowOff>102162</xdr:rowOff>
    </xdr:to>
    <xdr:pic>
      <xdr:nvPicPr>
        <xdr:cNvPr id="20" name="Imagen 19">
          <a:extLst>
            <a:ext uri="{FF2B5EF4-FFF2-40B4-BE49-F238E27FC236}">
              <a16:creationId xmlns:a16="http://schemas.microsoft.com/office/drawing/2014/main" id="{00000000-0008-0000-1600-00001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8125" y="1984057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85725</xdr:colOff>
      <xdr:row>115</xdr:row>
      <xdr:rowOff>85725</xdr:rowOff>
    </xdr:from>
    <xdr:to>
      <xdr:col>2</xdr:col>
      <xdr:colOff>1285875</xdr:colOff>
      <xdr:row>120</xdr:row>
      <xdr:rowOff>140262</xdr:rowOff>
    </xdr:to>
    <xdr:pic>
      <xdr:nvPicPr>
        <xdr:cNvPr id="21" name="Imagen 20">
          <a:extLst>
            <a:ext uri="{FF2B5EF4-FFF2-40B4-BE49-F238E27FC236}">
              <a16:creationId xmlns:a16="http://schemas.microsoft.com/office/drawing/2014/main" id="{00000000-0008-0000-1600-00001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5750" y="2376487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47625</xdr:colOff>
      <xdr:row>1</xdr:row>
      <xdr:rowOff>85725</xdr:rowOff>
    </xdr:from>
    <xdr:to>
      <xdr:col>19</xdr:col>
      <xdr:colOff>800100</xdr:colOff>
      <xdr:row>6</xdr:row>
      <xdr:rowOff>67237</xdr:rowOff>
    </xdr:to>
    <xdr:pic>
      <xdr:nvPicPr>
        <xdr:cNvPr id="22" name="Imagen 21">
          <a:extLst>
            <a:ext uri="{FF2B5EF4-FFF2-40B4-BE49-F238E27FC236}">
              <a16:creationId xmlns:a16="http://schemas.microsoft.com/office/drawing/2014/main" id="{00000000-0008-0000-1600-00001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002125" y="24765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66675</xdr:colOff>
      <xdr:row>20</xdr:row>
      <xdr:rowOff>104775</xdr:rowOff>
    </xdr:from>
    <xdr:to>
      <xdr:col>19</xdr:col>
      <xdr:colOff>819150</xdr:colOff>
      <xdr:row>25</xdr:row>
      <xdr:rowOff>86287</xdr:rowOff>
    </xdr:to>
    <xdr:pic>
      <xdr:nvPicPr>
        <xdr:cNvPr id="23" name="Imagen 22">
          <a:extLst>
            <a:ext uri="{FF2B5EF4-FFF2-40B4-BE49-F238E27FC236}">
              <a16:creationId xmlns:a16="http://schemas.microsoft.com/office/drawing/2014/main" id="{00000000-0008-0000-1600-00001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021175" y="417195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38100</xdr:colOff>
      <xdr:row>39</xdr:row>
      <xdr:rowOff>28575</xdr:rowOff>
    </xdr:from>
    <xdr:to>
      <xdr:col>19</xdr:col>
      <xdr:colOff>790575</xdr:colOff>
      <xdr:row>44</xdr:row>
      <xdr:rowOff>10087</xdr:rowOff>
    </xdr:to>
    <xdr:pic>
      <xdr:nvPicPr>
        <xdr:cNvPr id="24" name="Imagen 23">
          <a:extLst>
            <a:ext uri="{FF2B5EF4-FFF2-40B4-BE49-F238E27FC236}">
              <a16:creationId xmlns:a16="http://schemas.microsoft.com/office/drawing/2014/main" id="{00000000-0008-0000-1600-00001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92600" y="801052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28575</xdr:colOff>
      <xdr:row>58</xdr:row>
      <xdr:rowOff>85725</xdr:rowOff>
    </xdr:from>
    <xdr:to>
      <xdr:col>19</xdr:col>
      <xdr:colOff>781050</xdr:colOff>
      <xdr:row>63</xdr:row>
      <xdr:rowOff>67237</xdr:rowOff>
    </xdr:to>
    <xdr:pic>
      <xdr:nvPicPr>
        <xdr:cNvPr id="25" name="Imagen 24">
          <a:extLst>
            <a:ext uri="{FF2B5EF4-FFF2-40B4-BE49-F238E27FC236}">
              <a16:creationId xmlns:a16="http://schemas.microsoft.com/office/drawing/2014/main" id="{00000000-0008-0000-1600-00001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83075" y="1198245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57150</xdr:colOff>
      <xdr:row>77</xdr:row>
      <xdr:rowOff>66675</xdr:rowOff>
    </xdr:from>
    <xdr:to>
      <xdr:col>19</xdr:col>
      <xdr:colOff>809625</xdr:colOff>
      <xdr:row>82</xdr:row>
      <xdr:rowOff>48187</xdr:rowOff>
    </xdr:to>
    <xdr:pic>
      <xdr:nvPicPr>
        <xdr:cNvPr id="26" name="Imagen 25">
          <a:extLst>
            <a:ext uri="{FF2B5EF4-FFF2-40B4-BE49-F238E27FC236}">
              <a16:creationId xmlns:a16="http://schemas.microsoft.com/office/drawing/2014/main" id="{00000000-0008-0000-1600-00001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011650" y="1586865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38100</xdr:colOff>
      <xdr:row>96</xdr:row>
      <xdr:rowOff>123825</xdr:rowOff>
    </xdr:from>
    <xdr:to>
      <xdr:col>19</xdr:col>
      <xdr:colOff>790575</xdr:colOff>
      <xdr:row>101</xdr:row>
      <xdr:rowOff>105337</xdr:rowOff>
    </xdr:to>
    <xdr:pic>
      <xdr:nvPicPr>
        <xdr:cNvPr id="27" name="Imagen 26">
          <a:extLst>
            <a:ext uri="{FF2B5EF4-FFF2-40B4-BE49-F238E27FC236}">
              <a16:creationId xmlns:a16="http://schemas.microsoft.com/office/drawing/2014/main" id="{00000000-0008-0000-1600-00001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92600" y="19831050"/>
          <a:ext cx="1495425" cy="908612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68035</xdr:colOff>
      <xdr:row>1</xdr:row>
      <xdr:rowOff>116633</xdr:rowOff>
    </xdr:from>
    <xdr:to>
      <xdr:col>2</xdr:col>
      <xdr:colOff>1268703</xdr:colOff>
      <xdr:row>6</xdr:row>
      <xdr:rowOff>69570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00000000-0008-0000-18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42" y="281863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174949</xdr:colOff>
      <xdr:row>20</xdr:row>
      <xdr:rowOff>145791</xdr:rowOff>
    </xdr:from>
    <xdr:to>
      <xdr:col>2</xdr:col>
      <xdr:colOff>1381967</xdr:colOff>
      <xdr:row>25</xdr:row>
      <xdr:rowOff>189377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00000000-0008-0000-18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9056" y="4937449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87475</xdr:colOff>
      <xdr:row>1</xdr:row>
      <xdr:rowOff>87475</xdr:rowOff>
    </xdr:from>
    <xdr:to>
      <xdr:col>19</xdr:col>
      <xdr:colOff>847401</xdr:colOff>
      <xdr:row>6</xdr:row>
      <xdr:rowOff>46762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00000000-0008-0000-18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067245" y="252705"/>
          <a:ext cx="1495425" cy="908612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28575</xdr:colOff>
      <xdr:row>1</xdr:row>
      <xdr:rowOff>95250</xdr:rowOff>
    </xdr:from>
    <xdr:to>
      <xdr:col>2</xdr:col>
      <xdr:colOff>1228725</xdr:colOff>
      <xdr:row>6</xdr:row>
      <xdr:rowOff>64062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76CE724B-CE46-489F-BE31-7B5160E859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4950" y="247650"/>
          <a:ext cx="1514475" cy="876862"/>
        </a:xfrm>
        <a:prstGeom prst="rect">
          <a:avLst/>
        </a:prstGeom>
      </xdr:spPr>
    </xdr:pic>
    <xdr:clientData/>
  </xdr:twoCellAnchor>
  <xdr:twoCellAnchor editAs="oneCell">
    <xdr:from>
      <xdr:col>1</xdr:col>
      <xdr:colOff>76200</xdr:colOff>
      <xdr:row>20</xdr:row>
      <xdr:rowOff>123825</xdr:rowOff>
    </xdr:from>
    <xdr:to>
      <xdr:col>2</xdr:col>
      <xdr:colOff>1276350</xdr:colOff>
      <xdr:row>25</xdr:row>
      <xdr:rowOff>105337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B0BD5F05-FCEE-42A5-A436-76D6A2EE01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5750" y="4035425"/>
          <a:ext cx="1514475" cy="886387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39</xdr:row>
      <xdr:rowOff>133350</xdr:rowOff>
    </xdr:from>
    <xdr:to>
      <xdr:col>2</xdr:col>
      <xdr:colOff>1247775</xdr:colOff>
      <xdr:row>44</xdr:row>
      <xdr:rowOff>102162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804123F7-8419-4699-8DED-66E3F48A39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4000" y="7820025"/>
          <a:ext cx="1514475" cy="876862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58</xdr:row>
      <xdr:rowOff>104775</xdr:rowOff>
    </xdr:from>
    <xdr:to>
      <xdr:col>2</xdr:col>
      <xdr:colOff>1247775</xdr:colOff>
      <xdr:row>63</xdr:row>
      <xdr:rowOff>86287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6C46CE13-D795-475E-8788-C3F638BFE2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4000" y="11560175"/>
          <a:ext cx="1514475" cy="886387"/>
        </a:xfrm>
        <a:prstGeom prst="rect">
          <a:avLst/>
        </a:prstGeom>
      </xdr:spPr>
    </xdr:pic>
    <xdr:clientData/>
  </xdr:twoCellAnchor>
  <xdr:twoCellAnchor editAs="oneCell">
    <xdr:from>
      <xdr:col>1</xdr:col>
      <xdr:colOff>95250</xdr:colOff>
      <xdr:row>77</xdr:row>
      <xdr:rowOff>104775</xdr:rowOff>
    </xdr:from>
    <xdr:to>
      <xdr:col>2</xdr:col>
      <xdr:colOff>1295400</xdr:colOff>
      <xdr:row>82</xdr:row>
      <xdr:rowOff>86287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F6F6FCF3-B16E-4BC1-8F9B-0479CEEDA6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4800" y="15322550"/>
          <a:ext cx="1514475" cy="886387"/>
        </a:xfrm>
        <a:prstGeom prst="rect">
          <a:avLst/>
        </a:prstGeom>
      </xdr:spPr>
    </xdr:pic>
    <xdr:clientData/>
  </xdr:twoCellAnchor>
  <xdr:twoCellAnchor editAs="oneCell">
    <xdr:from>
      <xdr:col>1</xdr:col>
      <xdr:colOff>38100</xdr:colOff>
      <xdr:row>96</xdr:row>
      <xdr:rowOff>133350</xdr:rowOff>
    </xdr:from>
    <xdr:to>
      <xdr:col>2</xdr:col>
      <xdr:colOff>1238250</xdr:colOff>
      <xdr:row>101</xdr:row>
      <xdr:rowOff>102162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7D4E2B21-2CE2-4028-842C-2E6EE9EF41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9116675"/>
          <a:ext cx="1514475" cy="876862"/>
        </a:xfrm>
        <a:prstGeom prst="rect">
          <a:avLst/>
        </a:prstGeom>
      </xdr:spPr>
    </xdr:pic>
    <xdr:clientData/>
  </xdr:twoCellAnchor>
  <xdr:twoCellAnchor editAs="oneCell">
    <xdr:from>
      <xdr:col>1</xdr:col>
      <xdr:colOff>85725</xdr:colOff>
      <xdr:row>115</xdr:row>
      <xdr:rowOff>85725</xdr:rowOff>
    </xdr:from>
    <xdr:to>
      <xdr:col>2</xdr:col>
      <xdr:colOff>1285875</xdr:colOff>
      <xdr:row>120</xdr:row>
      <xdr:rowOff>140262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0C8D5054-D83D-4583-BD7F-9D3DE3C27F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2100" y="22904450"/>
          <a:ext cx="1514475" cy="870512"/>
        </a:xfrm>
        <a:prstGeom prst="rect">
          <a:avLst/>
        </a:prstGeom>
      </xdr:spPr>
    </xdr:pic>
    <xdr:clientData/>
  </xdr:twoCellAnchor>
  <xdr:twoCellAnchor editAs="oneCell">
    <xdr:from>
      <xdr:col>18</xdr:col>
      <xdr:colOff>47625</xdr:colOff>
      <xdr:row>1</xdr:row>
      <xdr:rowOff>85725</xdr:rowOff>
    </xdr:from>
    <xdr:to>
      <xdr:col>19</xdr:col>
      <xdr:colOff>800100</xdr:colOff>
      <xdr:row>6</xdr:row>
      <xdr:rowOff>67237</xdr:rowOff>
    </xdr:to>
    <xdr:pic>
      <xdr:nvPicPr>
        <xdr:cNvPr id="9" name="Imagen 8">
          <a:extLst>
            <a:ext uri="{FF2B5EF4-FFF2-40B4-BE49-F238E27FC236}">
              <a16:creationId xmlns:a16="http://schemas.microsoft.com/office/drawing/2014/main" id="{6E698FAC-A40D-45AF-95CD-9B8AA33DB5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789525" y="234950"/>
          <a:ext cx="1536700" cy="886387"/>
        </a:xfrm>
        <a:prstGeom prst="rect">
          <a:avLst/>
        </a:prstGeom>
      </xdr:spPr>
    </xdr:pic>
    <xdr:clientData/>
  </xdr:twoCellAnchor>
  <xdr:twoCellAnchor editAs="oneCell">
    <xdr:from>
      <xdr:col>18</xdr:col>
      <xdr:colOff>66675</xdr:colOff>
      <xdr:row>20</xdr:row>
      <xdr:rowOff>104775</xdr:rowOff>
    </xdr:from>
    <xdr:to>
      <xdr:col>19</xdr:col>
      <xdr:colOff>819150</xdr:colOff>
      <xdr:row>25</xdr:row>
      <xdr:rowOff>86287</xdr:rowOff>
    </xdr:to>
    <xdr:pic>
      <xdr:nvPicPr>
        <xdr:cNvPr id="10" name="Imagen 9">
          <a:extLst>
            <a:ext uri="{FF2B5EF4-FFF2-40B4-BE49-F238E27FC236}">
              <a16:creationId xmlns:a16="http://schemas.microsoft.com/office/drawing/2014/main" id="{EF56020C-0792-4A51-8675-94E96E03A0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808575" y="4016375"/>
          <a:ext cx="1536700" cy="886387"/>
        </a:xfrm>
        <a:prstGeom prst="rect">
          <a:avLst/>
        </a:prstGeom>
      </xdr:spPr>
    </xdr:pic>
    <xdr:clientData/>
  </xdr:twoCellAnchor>
  <xdr:twoCellAnchor editAs="oneCell">
    <xdr:from>
      <xdr:col>18</xdr:col>
      <xdr:colOff>38100</xdr:colOff>
      <xdr:row>39</xdr:row>
      <xdr:rowOff>28575</xdr:rowOff>
    </xdr:from>
    <xdr:to>
      <xdr:col>19</xdr:col>
      <xdr:colOff>790575</xdr:colOff>
      <xdr:row>44</xdr:row>
      <xdr:rowOff>10087</xdr:rowOff>
    </xdr:to>
    <xdr:pic>
      <xdr:nvPicPr>
        <xdr:cNvPr id="11" name="Imagen 10">
          <a:extLst>
            <a:ext uri="{FF2B5EF4-FFF2-40B4-BE49-F238E27FC236}">
              <a16:creationId xmlns:a16="http://schemas.microsoft.com/office/drawing/2014/main" id="{CA412CE7-731C-474B-A10D-5C3DF04AEF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783175" y="7712075"/>
          <a:ext cx="1530350" cy="886387"/>
        </a:xfrm>
        <a:prstGeom prst="rect">
          <a:avLst/>
        </a:prstGeom>
      </xdr:spPr>
    </xdr:pic>
    <xdr:clientData/>
  </xdr:twoCellAnchor>
  <xdr:twoCellAnchor editAs="oneCell">
    <xdr:from>
      <xdr:col>18</xdr:col>
      <xdr:colOff>28575</xdr:colOff>
      <xdr:row>58</xdr:row>
      <xdr:rowOff>85725</xdr:rowOff>
    </xdr:from>
    <xdr:to>
      <xdr:col>19</xdr:col>
      <xdr:colOff>781050</xdr:colOff>
      <xdr:row>63</xdr:row>
      <xdr:rowOff>67237</xdr:rowOff>
    </xdr:to>
    <xdr:pic>
      <xdr:nvPicPr>
        <xdr:cNvPr id="12" name="Imagen 11">
          <a:extLst>
            <a:ext uri="{FF2B5EF4-FFF2-40B4-BE49-F238E27FC236}">
              <a16:creationId xmlns:a16="http://schemas.microsoft.com/office/drawing/2014/main" id="{7862BF5A-B454-400A-8F27-AA54D99470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770475" y="11541125"/>
          <a:ext cx="1536700" cy="886387"/>
        </a:xfrm>
        <a:prstGeom prst="rect">
          <a:avLst/>
        </a:prstGeom>
      </xdr:spPr>
    </xdr:pic>
    <xdr:clientData/>
  </xdr:twoCellAnchor>
  <xdr:twoCellAnchor editAs="oneCell">
    <xdr:from>
      <xdr:col>18</xdr:col>
      <xdr:colOff>57150</xdr:colOff>
      <xdr:row>77</xdr:row>
      <xdr:rowOff>66675</xdr:rowOff>
    </xdr:from>
    <xdr:to>
      <xdr:col>19</xdr:col>
      <xdr:colOff>809625</xdr:colOff>
      <xdr:row>82</xdr:row>
      <xdr:rowOff>48187</xdr:rowOff>
    </xdr:to>
    <xdr:pic>
      <xdr:nvPicPr>
        <xdr:cNvPr id="13" name="Imagen 12">
          <a:extLst>
            <a:ext uri="{FF2B5EF4-FFF2-40B4-BE49-F238E27FC236}">
              <a16:creationId xmlns:a16="http://schemas.microsoft.com/office/drawing/2014/main" id="{89DC5C3F-A21B-4AFF-92E5-EF3B4001F2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802225" y="15284450"/>
          <a:ext cx="1530350" cy="886387"/>
        </a:xfrm>
        <a:prstGeom prst="rect">
          <a:avLst/>
        </a:prstGeom>
      </xdr:spPr>
    </xdr:pic>
    <xdr:clientData/>
  </xdr:twoCellAnchor>
  <xdr:twoCellAnchor editAs="oneCell">
    <xdr:from>
      <xdr:col>18</xdr:col>
      <xdr:colOff>38100</xdr:colOff>
      <xdr:row>96</xdr:row>
      <xdr:rowOff>123825</xdr:rowOff>
    </xdr:from>
    <xdr:to>
      <xdr:col>19</xdr:col>
      <xdr:colOff>790575</xdr:colOff>
      <xdr:row>101</xdr:row>
      <xdr:rowOff>105337</xdr:rowOff>
    </xdr:to>
    <xdr:pic>
      <xdr:nvPicPr>
        <xdr:cNvPr id="14" name="Imagen 13">
          <a:extLst>
            <a:ext uri="{FF2B5EF4-FFF2-40B4-BE49-F238E27FC236}">
              <a16:creationId xmlns:a16="http://schemas.microsoft.com/office/drawing/2014/main" id="{4E23E018-286C-4EF8-9237-252062B19E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783175" y="19103975"/>
          <a:ext cx="1530350" cy="886387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68035</xdr:colOff>
      <xdr:row>1</xdr:row>
      <xdr:rowOff>116633</xdr:rowOff>
    </xdr:from>
    <xdr:to>
      <xdr:col>2</xdr:col>
      <xdr:colOff>1268703</xdr:colOff>
      <xdr:row>6</xdr:row>
      <xdr:rowOff>69570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BCA7ABED-C9B5-4606-A6C7-D26C4E1513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4410" y="269033"/>
          <a:ext cx="1518168" cy="857812"/>
        </a:xfrm>
        <a:prstGeom prst="rect">
          <a:avLst/>
        </a:prstGeom>
      </xdr:spPr>
    </xdr:pic>
    <xdr:clientData/>
  </xdr:twoCellAnchor>
  <xdr:twoCellAnchor editAs="oneCell">
    <xdr:from>
      <xdr:col>1</xdr:col>
      <xdr:colOff>174949</xdr:colOff>
      <xdr:row>20</xdr:row>
      <xdr:rowOff>145791</xdr:rowOff>
    </xdr:from>
    <xdr:to>
      <xdr:col>2</xdr:col>
      <xdr:colOff>1381967</xdr:colOff>
      <xdr:row>25</xdr:row>
      <xdr:rowOff>189377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47EE53EA-5B8A-497C-A104-97B404CB698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7674" y="4695566"/>
          <a:ext cx="1518168" cy="856386"/>
        </a:xfrm>
        <a:prstGeom prst="rect">
          <a:avLst/>
        </a:prstGeom>
      </xdr:spPr>
    </xdr:pic>
    <xdr:clientData/>
  </xdr:twoCellAnchor>
  <xdr:twoCellAnchor editAs="oneCell">
    <xdr:from>
      <xdr:col>18</xdr:col>
      <xdr:colOff>87475</xdr:colOff>
      <xdr:row>1</xdr:row>
      <xdr:rowOff>87475</xdr:rowOff>
    </xdr:from>
    <xdr:to>
      <xdr:col>19</xdr:col>
      <xdr:colOff>847401</xdr:colOff>
      <xdr:row>6</xdr:row>
      <xdr:rowOff>46762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C35AE321-9017-459D-9AEE-1A3425E209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829375" y="236700"/>
          <a:ext cx="1544151" cy="867337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66675</xdr:colOff>
      <xdr:row>1</xdr:row>
      <xdr:rowOff>114300</xdr:rowOff>
    </xdr:from>
    <xdr:to>
      <xdr:col>2</xdr:col>
      <xdr:colOff>1263650</xdr:colOff>
      <xdr:row>6</xdr:row>
      <xdr:rowOff>86287</xdr:rowOff>
    </xdr:to>
    <xdr:pic>
      <xdr:nvPicPr>
        <xdr:cNvPr id="15" name="Imagen 14">
          <a:extLst>
            <a:ext uri="{FF2B5EF4-FFF2-40B4-BE49-F238E27FC236}">
              <a16:creationId xmlns:a16="http://schemas.microsoft.com/office/drawing/2014/main" id="{00000000-0008-0000-19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6700" y="27622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57150</xdr:colOff>
      <xdr:row>20</xdr:row>
      <xdr:rowOff>104775</xdr:rowOff>
    </xdr:from>
    <xdr:to>
      <xdr:col>2</xdr:col>
      <xdr:colOff>1257300</xdr:colOff>
      <xdr:row>25</xdr:row>
      <xdr:rowOff>83112</xdr:rowOff>
    </xdr:to>
    <xdr:pic>
      <xdr:nvPicPr>
        <xdr:cNvPr id="16" name="Imagen 15">
          <a:extLst>
            <a:ext uri="{FF2B5EF4-FFF2-40B4-BE49-F238E27FC236}">
              <a16:creationId xmlns:a16="http://schemas.microsoft.com/office/drawing/2014/main" id="{00000000-0008-0000-1900-00001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7175" y="417195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76200</xdr:colOff>
      <xdr:row>39</xdr:row>
      <xdr:rowOff>114300</xdr:rowOff>
    </xdr:from>
    <xdr:to>
      <xdr:col>2</xdr:col>
      <xdr:colOff>1276350</xdr:colOff>
      <xdr:row>44</xdr:row>
      <xdr:rowOff>86287</xdr:rowOff>
    </xdr:to>
    <xdr:pic>
      <xdr:nvPicPr>
        <xdr:cNvPr id="17" name="Imagen 16">
          <a:extLst>
            <a:ext uri="{FF2B5EF4-FFF2-40B4-BE49-F238E27FC236}">
              <a16:creationId xmlns:a16="http://schemas.microsoft.com/office/drawing/2014/main" id="{00000000-0008-0000-1900-00001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6225" y="808672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57150</xdr:colOff>
      <xdr:row>58</xdr:row>
      <xdr:rowOff>76200</xdr:rowOff>
    </xdr:from>
    <xdr:to>
      <xdr:col>2</xdr:col>
      <xdr:colOff>1257300</xdr:colOff>
      <xdr:row>63</xdr:row>
      <xdr:rowOff>48187</xdr:rowOff>
    </xdr:to>
    <xdr:pic>
      <xdr:nvPicPr>
        <xdr:cNvPr id="18" name="Imagen 17">
          <a:extLst>
            <a:ext uri="{FF2B5EF4-FFF2-40B4-BE49-F238E27FC236}">
              <a16:creationId xmlns:a16="http://schemas.microsoft.com/office/drawing/2014/main" id="{00000000-0008-0000-1900-00001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7175" y="1195387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76200</xdr:colOff>
      <xdr:row>77</xdr:row>
      <xdr:rowOff>114300</xdr:rowOff>
    </xdr:from>
    <xdr:to>
      <xdr:col>2</xdr:col>
      <xdr:colOff>1276350</xdr:colOff>
      <xdr:row>82</xdr:row>
      <xdr:rowOff>86287</xdr:rowOff>
    </xdr:to>
    <xdr:pic>
      <xdr:nvPicPr>
        <xdr:cNvPr id="19" name="Imagen 18">
          <a:extLst>
            <a:ext uri="{FF2B5EF4-FFF2-40B4-BE49-F238E27FC236}">
              <a16:creationId xmlns:a16="http://schemas.microsoft.com/office/drawing/2014/main" id="{00000000-0008-0000-1900-00001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6225" y="1589722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57150</xdr:colOff>
      <xdr:row>96</xdr:row>
      <xdr:rowOff>123825</xdr:rowOff>
    </xdr:from>
    <xdr:to>
      <xdr:col>2</xdr:col>
      <xdr:colOff>1257300</xdr:colOff>
      <xdr:row>101</xdr:row>
      <xdr:rowOff>102162</xdr:rowOff>
    </xdr:to>
    <xdr:pic>
      <xdr:nvPicPr>
        <xdr:cNvPr id="20" name="Imagen 19">
          <a:extLst>
            <a:ext uri="{FF2B5EF4-FFF2-40B4-BE49-F238E27FC236}">
              <a16:creationId xmlns:a16="http://schemas.microsoft.com/office/drawing/2014/main" id="{00000000-0008-0000-1900-00001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7175" y="1981200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76200</xdr:colOff>
      <xdr:row>115</xdr:row>
      <xdr:rowOff>114300</xdr:rowOff>
    </xdr:from>
    <xdr:to>
      <xdr:col>2</xdr:col>
      <xdr:colOff>1276350</xdr:colOff>
      <xdr:row>120</xdr:row>
      <xdr:rowOff>178362</xdr:rowOff>
    </xdr:to>
    <xdr:pic>
      <xdr:nvPicPr>
        <xdr:cNvPr id="21" name="Imagen 20">
          <a:extLst>
            <a:ext uri="{FF2B5EF4-FFF2-40B4-BE49-F238E27FC236}">
              <a16:creationId xmlns:a16="http://schemas.microsoft.com/office/drawing/2014/main" id="{00000000-0008-0000-1900-00001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6225" y="2377440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38100</xdr:colOff>
      <xdr:row>1</xdr:row>
      <xdr:rowOff>85725</xdr:rowOff>
    </xdr:from>
    <xdr:to>
      <xdr:col>19</xdr:col>
      <xdr:colOff>787400</xdr:colOff>
      <xdr:row>6</xdr:row>
      <xdr:rowOff>64062</xdr:rowOff>
    </xdr:to>
    <xdr:pic>
      <xdr:nvPicPr>
        <xdr:cNvPr id="22" name="Imagen 21">
          <a:extLst>
            <a:ext uri="{FF2B5EF4-FFF2-40B4-BE49-F238E27FC236}">
              <a16:creationId xmlns:a16="http://schemas.microsoft.com/office/drawing/2014/main" id="{00000000-0008-0000-1900-00001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002125" y="24765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57150</xdr:colOff>
      <xdr:row>20</xdr:row>
      <xdr:rowOff>66675</xdr:rowOff>
    </xdr:from>
    <xdr:to>
      <xdr:col>19</xdr:col>
      <xdr:colOff>806450</xdr:colOff>
      <xdr:row>25</xdr:row>
      <xdr:rowOff>45012</xdr:rowOff>
    </xdr:to>
    <xdr:pic>
      <xdr:nvPicPr>
        <xdr:cNvPr id="23" name="Imagen 22">
          <a:extLst>
            <a:ext uri="{FF2B5EF4-FFF2-40B4-BE49-F238E27FC236}">
              <a16:creationId xmlns:a16="http://schemas.microsoft.com/office/drawing/2014/main" id="{00000000-0008-0000-1900-00001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021175" y="413385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38100</xdr:colOff>
      <xdr:row>39</xdr:row>
      <xdr:rowOff>114300</xdr:rowOff>
    </xdr:from>
    <xdr:to>
      <xdr:col>19</xdr:col>
      <xdr:colOff>787400</xdr:colOff>
      <xdr:row>44</xdr:row>
      <xdr:rowOff>86287</xdr:rowOff>
    </xdr:to>
    <xdr:pic>
      <xdr:nvPicPr>
        <xdr:cNvPr id="24" name="Imagen 23">
          <a:extLst>
            <a:ext uri="{FF2B5EF4-FFF2-40B4-BE49-F238E27FC236}">
              <a16:creationId xmlns:a16="http://schemas.microsoft.com/office/drawing/2014/main" id="{00000000-0008-0000-1900-00001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002125" y="808672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38100</xdr:colOff>
      <xdr:row>58</xdr:row>
      <xdr:rowOff>85725</xdr:rowOff>
    </xdr:from>
    <xdr:to>
      <xdr:col>19</xdr:col>
      <xdr:colOff>787400</xdr:colOff>
      <xdr:row>63</xdr:row>
      <xdr:rowOff>64062</xdr:rowOff>
    </xdr:to>
    <xdr:pic>
      <xdr:nvPicPr>
        <xdr:cNvPr id="25" name="Imagen 24">
          <a:extLst>
            <a:ext uri="{FF2B5EF4-FFF2-40B4-BE49-F238E27FC236}">
              <a16:creationId xmlns:a16="http://schemas.microsoft.com/office/drawing/2014/main" id="{00000000-0008-0000-1900-00001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002125" y="1196340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38100</xdr:colOff>
      <xdr:row>77</xdr:row>
      <xdr:rowOff>66675</xdr:rowOff>
    </xdr:from>
    <xdr:to>
      <xdr:col>19</xdr:col>
      <xdr:colOff>787400</xdr:colOff>
      <xdr:row>82</xdr:row>
      <xdr:rowOff>45012</xdr:rowOff>
    </xdr:to>
    <xdr:pic>
      <xdr:nvPicPr>
        <xdr:cNvPr id="26" name="Imagen 25">
          <a:extLst>
            <a:ext uri="{FF2B5EF4-FFF2-40B4-BE49-F238E27FC236}">
              <a16:creationId xmlns:a16="http://schemas.microsoft.com/office/drawing/2014/main" id="{00000000-0008-0000-1900-00001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002125" y="1584960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57150</xdr:colOff>
      <xdr:row>96</xdr:row>
      <xdr:rowOff>95250</xdr:rowOff>
    </xdr:from>
    <xdr:to>
      <xdr:col>19</xdr:col>
      <xdr:colOff>806450</xdr:colOff>
      <xdr:row>101</xdr:row>
      <xdr:rowOff>67237</xdr:rowOff>
    </xdr:to>
    <xdr:pic>
      <xdr:nvPicPr>
        <xdr:cNvPr id="27" name="Imagen 26">
          <a:extLst>
            <a:ext uri="{FF2B5EF4-FFF2-40B4-BE49-F238E27FC236}">
              <a16:creationId xmlns:a16="http://schemas.microsoft.com/office/drawing/2014/main" id="{00000000-0008-0000-1900-00001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021175" y="19783425"/>
          <a:ext cx="1495425" cy="908612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68036</xdr:colOff>
      <xdr:row>2</xdr:row>
      <xdr:rowOff>0</xdr:rowOff>
    </xdr:from>
    <xdr:to>
      <xdr:col>2</xdr:col>
      <xdr:colOff>1271879</xdr:colOff>
      <xdr:row>6</xdr:row>
      <xdr:rowOff>111622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00000000-0008-0000-1B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43" y="32074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106914</xdr:colOff>
      <xdr:row>20</xdr:row>
      <xdr:rowOff>106913</xdr:rowOff>
    </xdr:from>
    <xdr:to>
      <xdr:col>2</xdr:col>
      <xdr:colOff>1310757</xdr:colOff>
      <xdr:row>25</xdr:row>
      <xdr:rowOff>150499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00000000-0008-0000-1B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1021" y="4898571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77755</xdr:colOff>
      <xdr:row>1</xdr:row>
      <xdr:rowOff>106913</xdr:rowOff>
    </xdr:from>
    <xdr:to>
      <xdr:col>19</xdr:col>
      <xdr:colOff>834506</xdr:colOff>
      <xdr:row>6</xdr:row>
      <xdr:rowOff>63025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00000000-0008-0000-1B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057525" y="272143"/>
          <a:ext cx="1495425" cy="908612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47625</xdr:colOff>
      <xdr:row>1</xdr:row>
      <xdr:rowOff>104775</xdr:rowOff>
    </xdr:from>
    <xdr:to>
      <xdr:col>2</xdr:col>
      <xdr:colOff>1247775</xdr:colOff>
      <xdr:row>6</xdr:row>
      <xdr:rowOff>79937</xdr:rowOff>
    </xdr:to>
    <xdr:pic>
      <xdr:nvPicPr>
        <xdr:cNvPr id="15" name="Imagen 14">
          <a:extLst>
            <a:ext uri="{FF2B5EF4-FFF2-40B4-BE49-F238E27FC236}">
              <a16:creationId xmlns:a16="http://schemas.microsoft.com/office/drawing/2014/main" id="{00000000-0008-0000-1C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6670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57150</xdr:colOff>
      <xdr:row>20</xdr:row>
      <xdr:rowOff>95250</xdr:rowOff>
    </xdr:from>
    <xdr:to>
      <xdr:col>2</xdr:col>
      <xdr:colOff>1257300</xdr:colOff>
      <xdr:row>25</xdr:row>
      <xdr:rowOff>70412</xdr:rowOff>
    </xdr:to>
    <xdr:pic>
      <xdr:nvPicPr>
        <xdr:cNvPr id="16" name="Imagen 15">
          <a:extLst>
            <a:ext uri="{FF2B5EF4-FFF2-40B4-BE49-F238E27FC236}">
              <a16:creationId xmlns:a16="http://schemas.microsoft.com/office/drawing/2014/main" id="{00000000-0008-0000-1C00-00001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7175" y="416242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38100</xdr:colOff>
      <xdr:row>39</xdr:row>
      <xdr:rowOff>114300</xdr:rowOff>
    </xdr:from>
    <xdr:to>
      <xdr:col>2</xdr:col>
      <xdr:colOff>1238250</xdr:colOff>
      <xdr:row>44</xdr:row>
      <xdr:rowOff>89462</xdr:rowOff>
    </xdr:to>
    <xdr:pic>
      <xdr:nvPicPr>
        <xdr:cNvPr id="17" name="Imagen 16">
          <a:extLst>
            <a:ext uri="{FF2B5EF4-FFF2-40B4-BE49-F238E27FC236}">
              <a16:creationId xmlns:a16="http://schemas.microsoft.com/office/drawing/2014/main" id="{00000000-0008-0000-1C00-00001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8125" y="808672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57150</xdr:colOff>
      <xdr:row>58</xdr:row>
      <xdr:rowOff>114300</xdr:rowOff>
    </xdr:from>
    <xdr:to>
      <xdr:col>2</xdr:col>
      <xdr:colOff>1257300</xdr:colOff>
      <xdr:row>63</xdr:row>
      <xdr:rowOff>89462</xdr:rowOff>
    </xdr:to>
    <xdr:pic>
      <xdr:nvPicPr>
        <xdr:cNvPr id="18" name="Imagen 17">
          <a:extLst>
            <a:ext uri="{FF2B5EF4-FFF2-40B4-BE49-F238E27FC236}">
              <a16:creationId xmlns:a16="http://schemas.microsoft.com/office/drawing/2014/main" id="{00000000-0008-0000-1C00-00001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7175" y="1199197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38100</xdr:colOff>
      <xdr:row>77</xdr:row>
      <xdr:rowOff>104775</xdr:rowOff>
    </xdr:from>
    <xdr:to>
      <xdr:col>2</xdr:col>
      <xdr:colOff>1238250</xdr:colOff>
      <xdr:row>82</xdr:row>
      <xdr:rowOff>79937</xdr:rowOff>
    </xdr:to>
    <xdr:pic>
      <xdr:nvPicPr>
        <xdr:cNvPr id="19" name="Imagen 18">
          <a:extLst>
            <a:ext uri="{FF2B5EF4-FFF2-40B4-BE49-F238E27FC236}">
              <a16:creationId xmlns:a16="http://schemas.microsoft.com/office/drawing/2014/main" id="{00000000-0008-0000-1C00-00001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8125" y="1588770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96</xdr:row>
      <xdr:rowOff>104775</xdr:rowOff>
    </xdr:from>
    <xdr:to>
      <xdr:col>2</xdr:col>
      <xdr:colOff>1247775</xdr:colOff>
      <xdr:row>101</xdr:row>
      <xdr:rowOff>79937</xdr:rowOff>
    </xdr:to>
    <xdr:pic>
      <xdr:nvPicPr>
        <xdr:cNvPr id="20" name="Imagen 19">
          <a:extLst>
            <a:ext uri="{FF2B5EF4-FFF2-40B4-BE49-F238E27FC236}">
              <a16:creationId xmlns:a16="http://schemas.microsoft.com/office/drawing/2014/main" id="{00000000-0008-0000-1C00-00001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979295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85725</xdr:colOff>
      <xdr:row>115</xdr:row>
      <xdr:rowOff>85725</xdr:rowOff>
    </xdr:from>
    <xdr:to>
      <xdr:col>2</xdr:col>
      <xdr:colOff>1285875</xdr:colOff>
      <xdr:row>120</xdr:row>
      <xdr:rowOff>146612</xdr:rowOff>
    </xdr:to>
    <xdr:pic>
      <xdr:nvPicPr>
        <xdr:cNvPr id="21" name="Imagen 20">
          <a:extLst>
            <a:ext uri="{FF2B5EF4-FFF2-40B4-BE49-F238E27FC236}">
              <a16:creationId xmlns:a16="http://schemas.microsoft.com/office/drawing/2014/main" id="{00000000-0008-0000-1C00-00001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5750" y="2374582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47625</xdr:colOff>
      <xdr:row>1</xdr:row>
      <xdr:rowOff>114300</xdr:rowOff>
    </xdr:from>
    <xdr:to>
      <xdr:col>19</xdr:col>
      <xdr:colOff>800100</xdr:colOff>
      <xdr:row>6</xdr:row>
      <xdr:rowOff>89462</xdr:rowOff>
    </xdr:to>
    <xdr:pic>
      <xdr:nvPicPr>
        <xdr:cNvPr id="23" name="Imagen 22">
          <a:extLst>
            <a:ext uri="{FF2B5EF4-FFF2-40B4-BE49-F238E27FC236}">
              <a16:creationId xmlns:a16="http://schemas.microsoft.com/office/drawing/2014/main" id="{00000000-0008-0000-1C00-00001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011650" y="27622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76200</xdr:colOff>
      <xdr:row>20</xdr:row>
      <xdr:rowOff>104775</xdr:rowOff>
    </xdr:from>
    <xdr:to>
      <xdr:col>19</xdr:col>
      <xdr:colOff>828675</xdr:colOff>
      <xdr:row>25</xdr:row>
      <xdr:rowOff>79937</xdr:rowOff>
    </xdr:to>
    <xdr:pic>
      <xdr:nvPicPr>
        <xdr:cNvPr id="24" name="Imagen 23">
          <a:extLst>
            <a:ext uri="{FF2B5EF4-FFF2-40B4-BE49-F238E27FC236}">
              <a16:creationId xmlns:a16="http://schemas.microsoft.com/office/drawing/2014/main" id="{00000000-0008-0000-1C00-00001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040225" y="417195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114300</xdr:colOff>
      <xdr:row>39</xdr:row>
      <xdr:rowOff>123825</xdr:rowOff>
    </xdr:from>
    <xdr:to>
      <xdr:col>19</xdr:col>
      <xdr:colOff>866775</xdr:colOff>
      <xdr:row>44</xdr:row>
      <xdr:rowOff>98987</xdr:rowOff>
    </xdr:to>
    <xdr:pic>
      <xdr:nvPicPr>
        <xdr:cNvPr id="25" name="Imagen 24">
          <a:extLst>
            <a:ext uri="{FF2B5EF4-FFF2-40B4-BE49-F238E27FC236}">
              <a16:creationId xmlns:a16="http://schemas.microsoft.com/office/drawing/2014/main" id="{00000000-0008-0000-1C00-00001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078325" y="809625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123825</xdr:colOff>
      <xdr:row>58</xdr:row>
      <xdr:rowOff>123825</xdr:rowOff>
    </xdr:from>
    <xdr:to>
      <xdr:col>19</xdr:col>
      <xdr:colOff>876300</xdr:colOff>
      <xdr:row>63</xdr:row>
      <xdr:rowOff>98987</xdr:rowOff>
    </xdr:to>
    <xdr:pic>
      <xdr:nvPicPr>
        <xdr:cNvPr id="26" name="Imagen 25">
          <a:extLst>
            <a:ext uri="{FF2B5EF4-FFF2-40B4-BE49-F238E27FC236}">
              <a16:creationId xmlns:a16="http://schemas.microsoft.com/office/drawing/2014/main" id="{00000000-0008-0000-1C00-00001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087850" y="1200150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66675</xdr:colOff>
      <xdr:row>77</xdr:row>
      <xdr:rowOff>104775</xdr:rowOff>
    </xdr:from>
    <xdr:to>
      <xdr:col>19</xdr:col>
      <xdr:colOff>819150</xdr:colOff>
      <xdr:row>82</xdr:row>
      <xdr:rowOff>79937</xdr:rowOff>
    </xdr:to>
    <xdr:pic>
      <xdr:nvPicPr>
        <xdr:cNvPr id="27" name="Imagen 26">
          <a:extLst>
            <a:ext uri="{FF2B5EF4-FFF2-40B4-BE49-F238E27FC236}">
              <a16:creationId xmlns:a16="http://schemas.microsoft.com/office/drawing/2014/main" id="{00000000-0008-0000-1C00-00001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030700" y="1588770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76200</xdr:colOff>
      <xdr:row>96</xdr:row>
      <xdr:rowOff>123825</xdr:rowOff>
    </xdr:from>
    <xdr:to>
      <xdr:col>19</xdr:col>
      <xdr:colOff>828675</xdr:colOff>
      <xdr:row>101</xdr:row>
      <xdr:rowOff>98987</xdr:rowOff>
    </xdr:to>
    <xdr:pic>
      <xdr:nvPicPr>
        <xdr:cNvPr id="28" name="Imagen 27">
          <a:extLst>
            <a:ext uri="{FF2B5EF4-FFF2-40B4-BE49-F238E27FC236}">
              <a16:creationId xmlns:a16="http://schemas.microsoft.com/office/drawing/2014/main" id="{00000000-0008-0000-1C00-00001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040225" y="19812000"/>
          <a:ext cx="1495425" cy="908612"/>
        </a:xfrm>
        <a:prstGeom prst="rect">
          <a:avLst/>
        </a:prstGeom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58316</xdr:colOff>
      <xdr:row>1</xdr:row>
      <xdr:rowOff>38878</xdr:rowOff>
    </xdr:from>
    <xdr:to>
      <xdr:col>2</xdr:col>
      <xdr:colOff>1263417</xdr:colOff>
      <xdr:row>5</xdr:row>
      <xdr:rowOff>191191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00000000-0008-0000-1E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2423" y="204108"/>
          <a:ext cx="1496683" cy="900705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1496683</xdr:colOff>
      <xdr:row>25</xdr:row>
      <xdr:rowOff>191189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00000000-0008-0000-1E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5689" y="4947168"/>
          <a:ext cx="1496683" cy="900705"/>
        </a:xfrm>
        <a:prstGeom prst="rect">
          <a:avLst/>
        </a:prstGeom>
      </xdr:spPr>
    </xdr:pic>
    <xdr:clientData/>
  </xdr:twoCellAnchor>
  <xdr:twoCellAnchor editAs="oneCell">
    <xdr:from>
      <xdr:col>18</xdr:col>
      <xdr:colOff>311021</xdr:colOff>
      <xdr:row>1</xdr:row>
      <xdr:rowOff>126352</xdr:rowOff>
    </xdr:from>
    <xdr:to>
      <xdr:col>19</xdr:col>
      <xdr:colOff>1069030</xdr:colOff>
      <xdr:row>6</xdr:row>
      <xdr:rowOff>74557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00000000-0008-0000-1E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290791" y="291582"/>
          <a:ext cx="1496683" cy="900705"/>
        </a:xfrm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absoluteAnchor>
    <xdr:pos x="254000" y="127000"/>
    <xdr:ext cx="3095625" cy="571500"/>
    <xdr:pic>
      <xdr:nvPicPr>
        <xdr:cNvPr id="2" name="Picture 1">
          <a:extLst>
            <a:ext uri="{FF2B5EF4-FFF2-40B4-BE49-F238E27FC236}">
              <a16:creationId xmlns:a16="http://schemas.microsoft.com/office/drawing/2014/main" id="{7DD8B201-7E44-4396-8D3A-0F4A223FC8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54000" y="127000"/>
          <a:ext cx="3095625" cy="571500"/>
        </a:xfrm>
        <a:prstGeom prst="rect">
          <a:avLst/>
        </a:prstGeom>
        <a:noFill/>
      </xdr:spPr>
    </xdr:pic>
    <xdr:clientData/>
  </xdr:absoluteAnchor>
</xdr:wsDr>
</file>

<file path=xl/drawings/drawing16.xml><?xml version="1.0" encoding="utf-8"?>
<xdr:wsDr xmlns:xdr="http://schemas.openxmlformats.org/drawingml/2006/spreadsheetDrawing" xmlns:a="http://schemas.openxmlformats.org/drawingml/2006/main">
  <xdr:absoluteAnchor>
    <xdr:pos x="756920" y="149860"/>
    <xdr:ext cx="3095625" cy="571500"/>
    <xdr:pic>
      <xdr:nvPicPr>
        <xdr:cNvPr id="2" name="Picture 1">
          <a:extLst>
            <a:ext uri="{FF2B5EF4-FFF2-40B4-BE49-F238E27FC236}">
              <a16:creationId xmlns:a16="http://schemas.microsoft.com/office/drawing/2014/main" id="{FD2702D1-B595-4D57-8BF2-5E67337AFB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756920" y="149860"/>
          <a:ext cx="3095625" cy="571500"/>
        </a:xfrm>
        <a:prstGeom prst="rect">
          <a:avLst/>
        </a:prstGeom>
        <a:noFill/>
      </xdr:spPr>
    </xdr:pic>
    <xdr:clientData/>
  </xdr:absolute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C:\NTDATCAL\Comercial\Mis%20documentos\Comercial%20Aseo\Estudio%20Tarifa\Buga\BUGAASEO7000CRA%20decisi&#243;n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C:\INFORMACION%20DOS%20EMPRESAS\TARIFAS%20SICO\A&#209;O%202011\TARIFAS_PERIODO_DE_FACTURACION_ENERO_2011%20DOS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Cupic03\recaudo\INFORME%20GENERAL\2008\ENERO%202008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C:\W3datcal\comercial\Comercial%20Aseo\Marco%20regulario2006\ESTIMACION%20TARIFAS\Modelo%20TARIFARIO%20Palmira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C:\NTNETPAL\Operaciones\HOJAS%202003\MARZO%20%202003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UGAASEO7000CRA decisión"/>
    </sheetNames>
    <definedNames>
      <definedName name="ADM"/>
      <definedName name="InformacionGeneral"/>
      <definedName name="INV"/>
      <definedName name="OYM"/>
      <definedName name="parametros"/>
      <definedName name="RES"/>
      <definedName name="SUBSIDIOS"/>
      <definedName name="TAR"/>
    </defined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FMR 04"/>
      <sheetName val="CVMR 04"/>
      <sheetName val="resúmen actualización"/>
      <sheetName val="inf. base"/>
      <sheetName val="Variables"/>
      <sheetName val="TARIFA no aforos"/>
      <sheetName val="TARIFA no reco. pta pta"/>
      <sheetName val="TARIFA inm. desocupado"/>
      <sheetName val="TARIFA aforo ord. extra."/>
      <sheetName val="TARIFA aforo permanen"/>
      <sheetName val="resúmen con subsidios"/>
      <sheetName val="Informe de compatibilidad"/>
    </sheetNames>
    <sheetDataSet>
      <sheetData sheetId="0"/>
      <sheetData sheetId="1"/>
      <sheetData sheetId="2"/>
      <sheetData sheetId="3"/>
      <sheetData sheetId="4"/>
      <sheetData sheetId="5" refreshError="1">
        <row r="9">
          <cell r="C9">
            <v>44114.7065</v>
          </cell>
        </row>
        <row r="10">
          <cell r="C10">
            <v>3342.9475000000002</v>
          </cell>
        </row>
        <row r="11">
          <cell r="C11">
            <v>8929.9432375000142</v>
          </cell>
        </row>
        <row r="12">
          <cell r="C12">
            <v>5360.8834375000006</v>
          </cell>
        </row>
        <row r="39">
          <cell r="C39">
            <v>44095</v>
          </cell>
        </row>
        <row r="40">
          <cell r="C40">
            <v>3569.0598000000141</v>
          </cell>
        </row>
      </sheetData>
      <sheetData sheetId="6"/>
      <sheetData sheetId="7"/>
      <sheetData sheetId="8"/>
      <sheetData sheetId="9"/>
      <sheetData sheetId="10"/>
      <sheetData sheetId="1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x"/>
      <sheetName val="DIARIO"/>
      <sheetName val="CONSOLIDADO"/>
      <sheetName val="SEMANAL"/>
      <sheetName val="BOGOTA"/>
      <sheetName val="POPULAR"/>
      <sheetName val="SERVIBANCA"/>
      <sheetName val="SANTANDER"/>
      <sheetName val="BANCOLOMBIA"/>
      <sheetName val="ABN AMRO BANK"/>
      <sheetName val="CITIBANK"/>
      <sheetName val="HSBC"/>
      <sheetName val="SUDAMERIS"/>
      <sheetName val="CREDITO"/>
      <sheetName val="COLPATRIA 131"/>
      <sheetName val="CAJA SOCIAL"/>
      <sheetName val="BANCAFE"/>
      <sheetName val="DAVIVIENDA"/>
      <sheetName val="COLMENA"/>
      <sheetName val="CONSOL.MENSUAL"/>
      <sheetName val="BANITSMO-LLOYDS"/>
    </sheetNames>
    <sheetDataSet>
      <sheetData sheetId="0">
        <row r="2">
          <cell r="C2" t="str">
            <v>BOGOTA</v>
          </cell>
        </row>
        <row r="3">
          <cell r="C3" t="str">
            <v xml:space="preserve">POPULAR  </v>
          </cell>
        </row>
        <row r="4">
          <cell r="C4" t="str">
            <v>ATH POPULAR</v>
          </cell>
        </row>
        <row r="5">
          <cell r="C5" t="str">
            <v>SERVIBANCA POPULAR</v>
          </cell>
        </row>
        <row r="6">
          <cell r="C6" t="str">
            <v>SANTANDER</v>
          </cell>
        </row>
        <row r="7">
          <cell r="C7" t="str">
            <v>REDEBAN</v>
          </cell>
        </row>
        <row r="8">
          <cell r="C8" t="str">
            <v>ABN AMBRO</v>
          </cell>
        </row>
        <row r="9">
          <cell r="C9" t="str">
            <v>CITIBANK</v>
          </cell>
        </row>
        <row r="10">
          <cell r="C10" t="str">
            <v>CITIBANK PAGOS</v>
          </cell>
        </row>
        <row r="11">
          <cell r="C11" t="str">
            <v>CITIBANK BALOTO</v>
          </cell>
        </row>
        <row r="12">
          <cell r="C12" t="str">
            <v>BANITSMO</v>
          </cell>
        </row>
        <row r="13">
          <cell r="C13" t="str">
            <v>SUDAMERIS</v>
          </cell>
        </row>
        <row r="14">
          <cell r="C14" t="str">
            <v>CREDITO</v>
          </cell>
        </row>
        <row r="15">
          <cell r="C15" t="str">
            <v>COLPATRIA OFICINA</v>
          </cell>
        </row>
        <row r="16">
          <cell r="C16" t="str">
            <v>COLPATRIA CADES</v>
          </cell>
        </row>
        <row r="17">
          <cell r="C17" t="str">
            <v>COLPATRIA ELECTRONICO</v>
          </cell>
        </row>
        <row r="18">
          <cell r="C18" t="str">
            <v>COLPATRIA DOMICILIARIO</v>
          </cell>
        </row>
        <row r="19">
          <cell r="C19" t="str">
            <v>CAJA SOCIAL</v>
          </cell>
        </row>
        <row r="20">
          <cell r="C20" t="str">
            <v>BANCAFE</v>
          </cell>
        </row>
        <row r="21">
          <cell r="C21" t="str">
            <v>DAVIVIENDA OFICINA</v>
          </cell>
        </row>
        <row r="22">
          <cell r="C22" t="str">
            <v>DAVIVIENDA CADES</v>
          </cell>
        </row>
        <row r="23">
          <cell r="C23" t="str">
            <v>COLMENA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DT"/>
      <sheetName val="COSTOS AJUSTADOS"/>
      <sheetName val="CTE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TRA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6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9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0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1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13.bin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14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16.bin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17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19.bin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20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22.bin"/></Relationships>
</file>

<file path=xl/worksheets/_rels/sheet3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23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3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25.bin"/></Relationships>
</file>

<file path=xl/worksheets/_rels/sheet3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26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3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28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3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29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69"/>
  <sheetViews>
    <sheetView workbookViewId="0"/>
  </sheetViews>
  <sheetFormatPr baseColWidth="10" defaultRowHeight="12.5" x14ac:dyDescent="0.25"/>
  <cols>
    <col min="1" max="1" width="2.26953125" customWidth="1"/>
    <col min="2" max="2" width="12.7265625" bestFit="1" customWidth="1"/>
    <col min="3" max="3" width="7.26953125" customWidth="1"/>
    <col min="4" max="4" width="15.26953125" style="167" customWidth="1"/>
    <col min="5" max="5" width="20.453125" style="167" customWidth="1"/>
    <col min="6" max="6" width="15.26953125" style="167" customWidth="1"/>
    <col min="7" max="7" width="20.26953125" style="167" customWidth="1"/>
    <col min="8" max="8" width="3.7265625" style="167" customWidth="1"/>
    <col min="9" max="10" width="26.54296875" style="167" bestFit="1" customWidth="1"/>
    <col min="11" max="13" width="19.7265625" style="167" customWidth="1"/>
  </cols>
  <sheetData>
    <row r="1" spans="2:13" ht="13" thickBot="1" x14ac:dyDescent="0.3"/>
    <row r="2" spans="2:13" s="102" customFormat="1" ht="13.5" thickBot="1" x14ac:dyDescent="0.35">
      <c r="B2" s="102" t="s">
        <v>132</v>
      </c>
      <c r="C2" s="206" t="s">
        <v>3</v>
      </c>
      <c r="D2" s="170" t="s">
        <v>136</v>
      </c>
      <c r="E2" s="171" t="s">
        <v>137</v>
      </c>
      <c r="F2" s="171" t="s">
        <v>138</v>
      </c>
      <c r="G2" s="172" t="s">
        <v>139</v>
      </c>
      <c r="H2" s="173"/>
      <c r="I2" s="173"/>
      <c r="J2" s="726"/>
      <c r="K2" s="173"/>
      <c r="L2" s="173"/>
      <c r="M2" s="173"/>
    </row>
    <row r="3" spans="2:13" x14ac:dyDescent="0.25">
      <c r="C3" s="174">
        <v>1</v>
      </c>
      <c r="D3" s="175">
        <v>0</v>
      </c>
      <c r="E3" s="176">
        <v>0</v>
      </c>
      <c r="F3" s="176">
        <v>0</v>
      </c>
      <c r="G3" s="177">
        <v>0</v>
      </c>
      <c r="J3" s="727"/>
    </row>
    <row r="4" spans="2:13" x14ac:dyDescent="0.25">
      <c r="C4" s="178">
        <v>2</v>
      </c>
      <c r="D4" s="179">
        <v>29345550</v>
      </c>
      <c r="E4" s="180">
        <v>341</v>
      </c>
      <c r="F4" s="180">
        <v>0</v>
      </c>
      <c r="G4" s="181">
        <v>0</v>
      </c>
      <c r="J4" s="727"/>
    </row>
    <row r="5" spans="2:13" x14ac:dyDescent="0.25">
      <c r="C5" s="178">
        <v>3</v>
      </c>
      <c r="D5" s="179">
        <v>0</v>
      </c>
      <c r="E5" s="180">
        <v>0</v>
      </c>
      <c r="F5" s="180">
        <v>0</v>
      </c>
      <c r="G5" s="181">
        <v>0</v>
      </c>
      <c r="J5" s="727"/>
    </row>
    <row r="6" spans="2:13" ht="13.5" customHeight="1" x14ac:dyDescent="0.25">
      <c r="C6" s="178">
        <v>4</v>
      </c>
      <c r="D6" s="179">
        <v>15240310</v>
      </c>
      <c r="E6" s="180">
        <v>108</v>
      </c>
      <c r="F6" s="180">
        <v>0</v>
      </c>
      <c r="G6" s="181">
        <v>0</v>
      </c>
      <c r="J6" s="727"/>
    </row>
    <row r="7" spans="2:13" ht="13.5" customHeight="1" x14ac:dyDescent="0.25">
      <c r="C7" s="178">
        <v>5</v>
      </c>
      <c r="D7" s="179">
        <v>0</v>
      </c>
      <c r="E7" s="180">
        <v>0</v>
      </c>
      <c r="F7" s="180">
        <v>0</v>
      </c>
      <c r="G7" s="181">
        <v>0</v>
      </c>
      <c r="J7" s="727"/>
    </row>
    <row r="8" spans="2:13" ht="13" thickBot="1" x14ac:dyDescent="0.3">
      <c r="C8" s="182" t="s">
        <v>89</v>
      </c>
      <c r="D8" s="183"/>
      <c r="E8" s="184"/>
      <c r="F8" s="184"/>
      <c r="G8" s="185"/>
      <c r="J8" s="727"/>
    </row>
    <row r="9" spans="2:13" ht="13.5" thickBot="1" x14ac:dyDescent="0.35">
      <c r="D9" s="186">
        <v>44585860</v>
      </c>
      <c r="E9" s="186">
        <v>449</v>
      </c>
      <c r="F9" s="186">
        <v>0</v>
      </c>
      <c r="G9" s="186">
        <v>0</v>
      </c>
      <c r="J9" s="727"/>
    </row>
    <row r="10" spans="2:13" ht="13" thickBot="1" x14ac:dyDescent="0.3"/>
    <row r="11" spans="2:13" s="102" customFormat="1" ht="13.5" thickBot="1" x14ac:dyDescent="0.35">
      <c r="C11" s="206" t="s">
        <v>3</v>
      </c>
      <c r="D11" s="170" t="s">
        <v>136</v>
      </c>
      <c r="E11" s="171" t="s">
        <v>137</v>
      </c>
      <c r="F11" s="171" t="s">
        <v>138</v>
      </c>
      <c r="G11" s="172" t="s">
        <v>139</v>
      </c>
      <c r="H11" s="173"/>
      <c r="I11" s="173"/>
      <c r="J11" s="173"/>
      <c r="K11" s="173"/>
      <c r="L11" s="173"/>
      <c r="M11" s="173"/>
    </row>
    <row r="12" spans="2:13" ht="13" x14ac:dyDescent="0.3">
      <c r="B12" s="97" t="s">
        <v>140</v>
      </c>
      <c r="C12" s="174">
        <v>1</v>
      </c>
      <c r="D12" s="175">
        <v>0</v>
      </c>
      <c r="E12" s="176">
        <v>0</v>
      </c>
      <c r="F12" s="176">
        <v>0</v>
      </c>
      <c r="G12" s="177">
        <v>0</v>
      </c>
    </row>
    <row r="13" spans="2:13" x14ac:dyDescent="0.25">
      <c r="C13" s="178">
        <v>2</v>
      </c>
      <c r="D13" s="179">
        <v>0</v>
      </c>
      <c r="E13" s="180">
        <v>0</v>
      </c>
      <c r="F13" s="180">
        <v>0</v>
      </c>
      <c r="G13" s="181">
        <v>0</v>
      </c>
    </row>
    <row r="14" spans="2:13" x14ac:dyDescent="0.25">
      <c r="C14" s="178">
        <v>3</v>
      </c>
      <c r="D14" s="179">
        <v>0</v>
      </c>
      <c r="E14" s="180">
        <v>0</v>
      </c>
      <c r="F14" s="180">
        <v>0</v>
      </c>
      <c r="G14" s="181">
        <v>0</v>
      </c>
    </row>
    <row r="15" spans="2:13" x14ac:dyDescent="0.25">
      <c r="C15" s="178">
        <v>4</v>
      </c>
      <c r="D15" s="179">
        <v>0</v>
      </c>
      <c r="E15" s="180">
        <v>0</v>
      </c>
      <c r="F15" s="180">
        <v>0</v>
      </c>
      <c r="G15" s="181">
        <v>0</v>
      </c>
    </row>
    <row r="16" spans="2:13" x14ac:dyDescent="0.25">
      <c r="C16" s="178">
        <v>5</v>
      </c>
      <c r="D16" s="179">
        <v>0</v>
      </c>
      <c r="E16" s="180">
        <v>0</v>
      </c>
      <c r="F16" s="180">
        <v>0</v>
      </c>
      <c r="G16" s="181">
        <v>0</v>
      </c>
    </row>
    <row r="17" spans="1:11" ht="13" thickBot="1" x14ac:dyDescent="0.3">
      <c r="C17" s="182" t="s">
        <v>89</v>
      </c>
      <c r="D17" s="183"/>
      <c r="E17" s="184"/>
      <c r="F17" s="184"/>
      <c r="G17" s="185"/>
    </row>
    <row r="18" spans="1:11" ht="13.5" thickBot="1" x14ac:dyDescent="0.35">
      <c r="D18" s="186">
        <v>0</v>
      </c>
      <c r="E18" s="186">
        <v>0</v>
      </c>
      <c r="F18" s="186">
        <v>0</v>
      </c>
      <c r="G18" s="186">
        <v>0</v>
      </c>
    </row>
    <row r="19" spans="1:11" ht="13" thickBot="1" x14ac:dyDescent="0.3"/>
    <row r="20" spans="1:11" ht="13.5" thickBot="1" x14ac:dyDescent="0.35">
      <c r="C20" s="206" t="s">
        <v>3</v>
      </c>
      <c r="D20" s="170" t="s">
        <v>136</v>
      </c>
      <c r="E20" s="171" t="s">
        <v>137</v>
      </c>
      <c r="F20" s="171" t="s">
        <v>138</v>
      </c>
      <c r="G20" s="172" t="s">
        <v>139</v>
      </c>
      <c r="I20" s="199" t="s">
        <v>141</v>
      </c>
      <c r="J20" s="200" t="s">
        <v>142</v>
      </c>
    </row>
    <row r="21" spans="1:11" s="167" customFormat="1" ht="13" x14ac:dyDescent="0.3">
      <c r="B21" s="207" t="s">
        <v>2</v>
      </c>
      <c r="C21" s="174">
        <v>1</v>
      </c>
      <c r="D21" s="175">
        <v>0</v>
      </c>
      <c r="E21" s="176">
        <v>0</v>
      </c>
      <c r="F21" s="176">
        <v>0</v>
      </c>
      <c r="G21" s="177">
        <v>0</v>
      </c>
      <c r="I21" s="175">
        <v>0</v>
      </c>
      <c r="J21" s="177">
        <v>0</v>
      </c>
    </row>
    <row r="22" spans="1:11" s="167" customFormat="1" x14ac:dyDescent="0.25">
      <c r="B22"/>
      <c r="C22" s="178">
        <v>2</v>
      </c>
      <c r="D22" s="179">
        <v>29345550</v>
      </c>
      <c r="E22" s="180">
        <v>341</v>
      </c>
      <c r="F22" s="180">
        <v>0</v>
      </c>
      <c r="G22" s="181">
        <v>0</v>
      </c>
      <c r="I22" s="179">
        <v>29345550</v>
      </c>
      <c r="J22" s="181">
        <v>341</v>
      </c>
    </row>
    <row r="23" spans="1:11" s="167" customFormat="1" x14ac:dyDescent="0.25">
      <c r="B23"/>
      <c r="C23" s="178">
        <v>3</v>
      </c>
      <c r="D23" s="179">
        <v>0</v>
      </c>
      <c r="E23" s="180">
        <v>0</v>
      </c>
      <c r="F23" s="180">
        <v>0</v>
      </c>
      <c r="G23" s="181">
        <v>0</v>
      </c>
      <c r="I23" s="179">
        <v>0</v>
      </c>
      <c r="J23" s="181">
        <v>0</v>
      </c>
    </row>
    <row r="24" spans="1:11" s="167" customFormat="1" x14ac:dyDescent="0.25">
      <c r="B24"/>
      <c r="C24" s="178">
        <v>4</v>
      </c>
      <c r="D24" s="179">
        <v>15240310</v>
      </c>
      <c r="E24" s="180">
        <v>108</v>
      </c>
      <c r="F24" s="180">
        <v>0</v>
      </c>
      <c r="G24" s="181">
        <v>0</v>
      </c>
      <c r="I24" s="179">
        <v>15240310</v>
      </c>
      <c r="J24" s="181">
        <v>108</v>
      </c>
    </row>
    <row r="25" spans="1:11" s="167" customFormat="1" x14ac:dyDescent="0.25">
      <c r="B25"/>
      <c r="C25" s="178">
        <v>5</v>
      </c>
      <c r="D25" s="179">
        <v>0</v>
      </c>
      <c r="E25" s="180">
        <v>0</v>
      </c>
      <c r="F25" s="180">
        <v>0</v>
      </c>
      <c r="G25" s="181">
        <v>0</v>
      </c>
      <c r="I25" s="179">
        <v>0</v>
      </c>
      <c r="J25" s="181">
        <v>0</v>
      </c>
    </row>
    <row r="26" spans="1:11" ht="13" thickBot="1" x14ac:dyDescent="0.3">
      <c r="C26" s="182" t="s">
        <v>89</v>
      </c>
      <c r="D26" s="183"/>
      <c r="E26" s="184"/>
      <c r="F26" s="184"/>
      <c r="G26" s="185"/>
      <c r="I26" s="202">
        <v>0</v>
      </c>
      <c r="J26" s="203">
        <v>0</v>
      </c>
    </row>
    <row r="27" spans="1:11" ht="13.5" thickBot="1" x14ac:dyDescent="0.35">
      <c r="D27" s="186">
        <v>44585860</v>
      </c>
      <c r="E27" s="186">
        <v>449</v>
      </c>
      <c r="F27" s="186">
        <v>0</v>
      </c>
      <c r="G27" s="186">
        <v>0</v>
      </c>
      <c r="I27" s="204">
        <v>44585860</v>
      </c>
      <c r="J27" s="205">
        <v>449</v>
      </c>
    </row>
    <row r="29" spans="1:11" x14ac:dyDescent="0.25">
      <c r="A29" s="238"/>
      <c r="B29" s="238"/>
      <c r="C29" s="238"/>
      <c r="D29" s="497"/>
      <c r="E29" s="497"/>
      <c r="F29" s="497"/>
      <c r="G29" s="497"/>
      <c r="H29" s="497"/>
      <c r="I29" s="497"/>
      <c r="J29" s="497"/>
      <c r="K29" s="497"/>
    </row>
    <row r="31" spans="1:11" ht="13" x14ac:dyDescent="0.3">
      <c r="B31" s="102" t="s">
        <v>132</v>
      </c>
      <c r="D31" s="167" t="b">
        <f>D9=SUM(D3:D8)</f>
        <v>1</v>
      </c>
      <c r="E31" s="167" t="b">
        <f t="shared" ref="E31:G31" si="0">E9=SUM(E3:E8)</f>
        <v>1</v>
      </c>
      <c r="F31" s="167" t="b">
        <f t="shared" si="0"/>
        <v>1</v>
      </c>
      <c r="G31" s="167" t="b">
        <f t="shared" si="0"/>
        <v>1</v>
      </c>
    </row>
    <row r="33" spans="2:10" ht="13" x14ac:dyDescent="0.3">
      <c r="B33" s="97" t="s">
        <v>140</v>
      </c>
      <c r="D33" s="167" t="b">
        <f>D18=SUM(D12:D17)</f>
        <v>1</v>
      </c>
      <c r="E33" s="167" t="b">
        <f t="shared" ref="E33:G33" si="1">E18=SUM(E12:E17)</f>
        <v>1</v>
      </c>
      <c r="F33" s="167" t="b">
        <f t="shared" si="1"/>
        <v>1</v>
      </c>
      <c r="G33" s="167" t="b">
        <f t="shared" si="1"/>
        <v>1</v>
      </c>
    </row>
    <row r="35" spans="2:10" ht="13" x14ac:dyDescent="0.3">
      <c r="B35" s="97" t="s">
        <v>2</v>
      </c>
      <c r="D35" s="167" t="b">
        <f>D27=SUM(D21:D26)</f>
        <v>1</v>
      </c>
      <c r="E35" s="167" t="b">
        <f t="shared" ref="E35:J35" si="2">E27=SUM(E21:E26)</f>
        <v>1</v>
      </c>
      <c r="F35" s="167" t="b">
        <f t="shared" si="2"/>
        <v>1</v>
      </c>
      <c r="G35" s="167" t="b">
        <f t="shared" si="2"/>
        <v>1</v>
      </c>
      <c r="I35" s="167" t="b">
        <f t="shared" si="2"/>
        <v>1</v>
      </c>
      <c r="J35" s="167" t="b">
        <f t="shared" si="2"/>
        <v>1</v>
      </c>
    </row>
    <row r="69" spans="5:5" x14ac:dyDescent="0.25">
      <c r="E69" s="167">
        <f>C69-G17</f>
        <v>0</v>
      </c>
    </row>
  </sheetData>
  <conditionalFormatting sqref="D31:G31">
    <cfRule type="cellIs" dxfId="104" priority="5" operator="notEqual">
      <formula>TRUE</formula>
    </cfRule>
  </conditionalFormatting>
  <conditionalFormatting sqref="D33:G33">
    <cfRule type="cellIs" dxfId="103" priority="4" operator="notEqual">
      <formula>TRUE</formula>
    </cfRule>
  </conditionalFormatting>
  <conditionalFormatting sqref="D35:G35">
    <cfRule type="cellIs" dxfId="102" priority="3" operator="notEqual">
      <formula>TRUE</formula>
    </cfRule>
  </conditionalFormatting>
  <conditionalFormatting sqref="I35:J35">
    <cfRule type="cellIs" dxfId="101" priority="1" operator="notEqual">
      <formula>TRUE</formula>
    </cfRule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69"/>
  <sheetViews>
    <sheetView zoomScaleNormal="100" workbookViewId="0"/>
  </sheetViews>
  <sheetFormatPr baseColWidth="10" defaultRowHeight="12.5" x14ac:dyDescent="0.25"/>
  <cols>
    <col min="1" max="1" width="2.26953125" customWidth="1"/>
    <col min="2" max="2" width="12.7265625" bestFit="1" customWidth="1"/>
    <col min="3" max="3" width="7.26953125" customWidth="1"/>
    <col min="4" max="4" width="16" style="167" bestFit="1" customWidth="1"/>
    <col min="5" max="5" width="20.453125" style="167" customWidth="1"/>
    <col min="6" max="6" width="16" style="167" bestFit="1" customWidth="1"/>
    <col min="7" max="7" width="20.26953125" style="167" customWidth="1"/>
    <col min="8" max="8" width="3.7265625" style="167" customWidth="1"/>
    <col min="9" max="10" width="26.54296875" style="167" bestFit="1" customWidth="1"/>
    <col min="11" max="13" width="19.7265625" style="167" customWidth="1"/>
  </cols>
  <sheetData>
    <row r="1" spans="2:13" ht="14.65" customHeight="1" thickBot="1" x14ac:dyDescent="0.3"/>
    <row r="2" spans="2:13" s="102" customFormat="1" ht="12.65" customHeight="1" thickBot="1" x14ac:dyDescent="0.35">
      <c r="B2" s="102" t="s">
        <v>132</v>
      </c>
      <c r="C2" s="206" t="s">
        <v>3</v>
      </c>
      <c r="D2" s="170" t="s">
        <v>136</v>
      </c>
      <c r="E2" s="171" t="s">
        <v>137</v>
      </c>
      <c r="F2" s="171" t="s">
        <v>138</v>
      </c>
      <c r="G2" s="172" t="s">
        <v>139</v>
      </c>
      <c r="H2" s="173"/>
      <c r="I2" s="173"/>
      <c r="J2" s="726"/>
      <c r="K2" s="173"/>
      <c r="L2" s="173"/>
      <c r="M2" s="173"/>
    </row>
    <row r="3" spans="2:13" ht="12.65" customHeight="1" x14ac:dyDescent="0.25">
      <c r="C3" s="174">
        <v>1</v>
      </c>
      <c r="D3" s="175">
        <v>16020970408</v>
      </c>
      <c r="E3" s="176">
        <v>330319</v>
      </c>
      <c r="F3" s="176">
        <v>0</v>
      </c>
      <c r="G3" s="177">
        <v>0</v>
      </c>
      <c r="J3" s="727"/>
    </row>
    <row r="4" spans="2:13" ht="12.65" customHeight="1" x14ac:dyDescent="0.25">
      <c r="C4" s="178">
        <v>2</v>
      </c>
      <c r="D4" s="179">
        <v>11733539858</v>
      </c>
      <c r="E4" s="180">
        <v>232298</v>
      </c>
      <c r="F4" s="180">
        <v>0</v>
      </c>
      <c r="G4" s="181">
        <v>0</v>
      </c>
      <c r="J4" s="727"/>
    </row>
    <row r="5" spans="2:13" ht="12.65" customHeight="1" x14ac:dyDescent="0.25">
      <c r="C5" s="178">
        <v>3</v>
      </c>
      <c r="D5" s="179">
        <v>9618825681</v>
      </c>
      <c r="E5" s="180">
        <v>222340</v>
      </c>
      <c r="F5" s="180">
        <v>0</v>
      </c>
      <c r="G5" s="181">
        <v>0</v>
      </c>
      <c r="J5" s="727"/>
    </row>
    <row r="6" spans="2:13" ht="12.65" customHeight="1" x14ac:dyDescent="0.25">
      <c r="C6" s="178">
        <v>4</v>
      </c>
      <c r="D6" s="179">
        <v>10290225466</v>
      </c>
      <c r="E6" s="180">
        <v>177955</v>
      </c>
      <c r="F6" s="180">
        <v>0</v>
      </c>
      <c r="G6" s="181">
        <v>0</v>
      </c>
    </row>
    <row r="7" spans="2:13" ht="12.65" customHeight="1" x14ac:dyDescent="0.25">
      <c r="C7" s="178">
        <v>5</v>
      </c>
      <c r="D7" s="179">
        <v>8111886280</v>
      </c>
      <c r="E7" s="180">
        <v>159077</v>
      </c>
      <c r="F7" s="180">
        <v>0</v>
      </c>
      <c r="G7" s="181">
        <v>0</v>
      </c>
    </row>
    <row r="8" spans="2:13" ht="12.65" customHeight="1" thickBot="1" x14ac:dyDescent="0.3">
      <c r="C8" s="182" t="s">
        <v>89</v>
      </c>
      <c r="D8" s="183"/>
      <c r="E8" s="184"/>
      <c r="F8" s="184"/>
      <c r="G8" s="185"/>
    </row>
    <row r="9" spans="2:13" ht="12.65" customHeight="1" thickBot="1" x14ac:dyDescent="0.35">
      <c r="D9" s="186">
        <v>55775447693</v>
      </c>
      <c r="E9" s="186">
        <v>1121989</v>
      </c>
      <c r="F9" s="186">
        <v>0</v>
      </c>
      <c r="G9" s="186">
        <v>0</v>
      </c>
    </row>
    <row r="10" spans="2:13" ht="12.65" customHeight="1" thickBot="1" x14ac:dyDescent="0.3"/>
    <row r="11" spans="2:13" s="102" customFormat="1" ht="12.65" customHeight="1" thickBot="1" x14ac:dyDescent="0.35">
      <c r="C11" s="206" t="s">
        <v>3</v>
      </c>
      <c r="D11" s="170" t="s">
        <v>136</v>
      </c>
      <c r="E11" s="171" t="s">
        <v>137</v>
      </c>
      <c r="F11" s="171" t="s">
        <v>138</v>
      </c>
      <c r="G11" s="172" t="s">
        <v>139</v>
      </c>
      <c r="H11" s="173"/>
      <c r="I11" s="173"/>
      <c r="J11" s="173"/>
      <c r="K11" s="173"/>
      <c r="L11" s="173"/>
      <c r="M11" s="173"/>
    </row>
    <row r="12" spans="2:13" ht="12.65" customHeight="1" x14ac:dyDescent="0.3">
      <c r="B12" s="97" t="s">
        <v>140</v>
      </c>
      <c r="C12" s="174">
        <v>1</v>
      </c>
      <c r="D12" s="175">
        <v>223833110</v>
      </c>
      <c r="E12" s="176">
        <v>3064</v>
      </c>
      <c r="F12" s="176">
        <v>0</v>
      </c>
      <c r="G12" s="177">
        <v>0</v>
      </c>
    </row>
    <row r="13" spans="2:13" ht="12.65" customHeight="1" x14ac:dyDescent="0.25">
      <c r="C13" s="178">
        <v>2</v>
      </c>
      <c r="D13" s="179">
        <v>99273804</v>
      </c>
      <c r="E13" s="180">
        <v>1926</v>
      </c>
      <c r="F13" s="180">
        <v>0</v>
      </c>
      <c r="G13" s="181">
        <v>0</v>
      </c>
    </row>
    <row r="14" spans="2:13" ht="12.65" customHeight="1" x14ac:dyDescent="0.25">
      <c r="C14" s="178">
        <v>3</v>
      </c>
      <c r="D14" s="179">
        <v>66145670</v>
      </c>
      <c r="E14" s="180">
        <v>1462</v>
      </c>
      <c r="F14" s="180">
        <v>0</v>
      </c>
      <c r="G14" s="181">
        <v>0</v>
      </c>
    </row>
    <row r="15" spans="2:13" ht="12.65" customHeight="1" x14ac:dyDescent="0.25">
      <c r="C15" s="178">
        <v>4</v>
      </c>
      <c r="D15" s="179">
        <v>85892126</v>
      </c>
      <c r="E15" s="180">
        <v>1255</v>
      </c>
      <c r="F15" s="180">
        <v>0</v>
      </c>
      <c r="G15" s="181">
        <v>0</v>
      </c>
    </row>
    <row r="16" spans="2:13" ht="12.65" customHeight="1" x14ac:dyDescent="0.25">
      <c r="C16" s="178">
        <v>5</v>
      </c>
      <c r="D16" s="179">
        <v>166326259</v>
      </c>
      <c r="E16" s="180">
        <v>2744</v>
      </c>
      <c r="F16" s="180">
        <v>0</v>
      </c>
      <c r="G16" s="181">
        <v>0</v>
      </c>
    </row>
    <row r="17" spans="1:11" ht="12.65" customHeight="1" thickBot="1" x14ac:dyDescent="0.3">
      <c r="C17" s="182" t="s">
        <v>89</v>
      </c>
      <c r="D17" s="183"/>
      <c r="E17" s="184"/>
      <c r="F17" s="184"/>
      <c r="G17" s="185"/>
    </row>
    <row r="18" spans="1:11" ht="12.65" customHeight="1" thickBot="1" x14ac:dyDescent="0.35">
      <c r="D18" s="186">
        <v>641470969</v>
      </c>
      <c r="E18" s="186">
        <v>10451</v>
      </c>
      <c r="F18" s="186">
        <v>0</v>
      </c>
      <c r="G18" s="186">
        <v>0</v>
      </c>
    </row>
    <row r="19" spans="1:11" ht="12.65" customHeight="1" thickBot="1" x14ac:dyDescent="0.3"/>
    <row r="20" spans="1:11" ht="12.65" customHeight="1" thickBot="1" x14ac:dyDescent="0.35">
      <c r="C20" s="206" t="s">
        <v>3</v>
      </c>
      <c r="D20" s="170" t="s">
        <v>136</v>
      </c>
      <c r="E20" s="171" t="s">
        <v>137</v>
      </c>
      <c r="F20" s="171" t="s">
        <v>138</v>
      </c>
      <c r="G20" s="172" t="s">
        <v>139</v>
      </c>
      <c r="I20" s="199" t="s">
        <v>141</v>
      </c>
      <c r="J20" s="200" t="s">
        <v>142</v>
      </c>
    </row>
    <row r="21" spans="1:11" s="167" customFormat="1" ht="12.65" customHeight="1" x14ac:dyDescent="0.3">
      <c r="B21" s="207" t="s">
        <v>2</v>
      </c>
      <c r="C21" s="174">
        <v>1</v>
      </c>
      <c r="D21" s="175">
        <v>16244803518</v>
      </c>
      <c r="E21" s="176">
        <v>333383</v>
      </c>
      <c r="F21" s="176">
        <v>0</v>
      </c>
      <c r="G21" s="177">
        <v>0</v>
      </c>
      <c r="I21" s="175">
        <v>16244803518</v>
      </c>
      <c r="J21" s="177">
        <v>333383</v>
      </c>
    </row>
    <row r="22" spans="1:11" s="167" customFormat="1" ht="12.65" customHeight="1" x14ac:dyDescent="0.25">
      <c r="B22"/>
      <c r="C22" s="178">
        <v>2</v>
      </c>
      <c r="D22" s="179">
        <v>11832813662</v>
      </c>
      <c r="E22" s="180">
        <v>234224</v>
      </c>
      <c r="F22" s="180">
        <v>0</v>
      </c>
      <c r="G22" s="181">
        <v>0</v>
      </c>
      <c r="I22" s="179">
        <v>11832813662</v>
      </c>
      <c r="J22" s="181">
        <v>234224</v>
      </c>
    </row>
    <row r="23" spans="1:11" s="167" customFormat="1" ht="12.65" customHeight="1" x14ac:dyDescent="0.25">
      <c r="B23"/>
      <c r="C23" s="178">
        <v>3</v>
      </c>
      <c r="D23" s="179">
        <v>9684971351</v>
      </c>
      <c r="E23" s="180">
        <v>223802</v>
      </c>
      <c r="F23" s="180">
        <v>0</v>
      </c>
      <c r="G23" s="181">
        <v>0</v>
      </c>
      <c r="I23" s="179">
        <v>9684971351</v>
      </c>
      <c r="J23" s="181">
        <v>223802</v>
      </c>
    </row>
    <row r="24" spans="1:11" s="167" customFormat="1" ht="12.65" customHeight="1" x14ac:dyDescent="0.25">
      <c r="B24"/>
      <c r="C24" s="178">
        <v>4</v>
      </c>
      <c r="D24" s="179">
        <v>10376117592</v>
      </c>
      <c r="E24" s="180">
        <v>179210</v>
      </c>
      <c r="F24" s="180">
        <v>0</v>
      </c>
      <c r="G24" s="181">
        <v>0</v>
      </c>
      <c r="I24" s="179">
        <v>10376117592</v>
      </c>
      <c r="J24" s="181">
        <v>179210</v>
      </c>
    </row>
    <row r="25" spans="1:11" s="167" customFormat="1" ht="12.65" customHeight="1" x14ac:dyDescent="0.25">
      <c r="B25"/>
      <c r="C25" s="178">
        <v>5</v>
      </c>
      <c r="D25" s="179">
        <v>8278212539</v>
      </c>
      <c r="E25" s="180">
        <v>161821</v>
      </c>
      <c r="F25" s="180">
        <v>0</v>
      </c>
      <c r="G25" s="181">
        <v>0</v>
      </c>
      <c r="I25" s="179">
        <v>8278212539</v>
      </c>
      <c r="J25" s="181">
        <v>161821</v>
      </c>
    </row>
    <row r="26" spans="1:11" ht="12.65" customHeight="1" thickBot="1" x14ac:dyDescent="0.3">
      <c r="C26" s="182" t="s">
        <v>89</v>
      </c>
      <c r="D26" s="183"/>
      <c r="E26" s="184"/>
      <c r="F26" s="184"/>
      <c r="G26" s="185"/>
      <c r="I26" s="202">
        <v>0</v>
      </c>
      <c r="J26" s="203">
        <v>0</v>
      </c>
    </row>
    <row r="27" spans="1:11" ht="12.65" customHeight="1" thickBot="1" x14ac:dyDescent="0.35">
      <c r="D27" s="186">
        <v>56416918662</v>
      </c>
      <c r="E27" s="186">
        <v>1132440</v>
      </c>
      <c r="F27" s="186">
        <v>0</v>
      </c>
      <c r="G27" s="186">
        <v>0</v>
      </c>
      <c r="I27" s="204">
        <v>56416918662</v>
      </c>
      <c r="J27" s="205">
        <v>1132440</v>
      </c>
    </row>
    <row r="29" spans="1:11" x14ac:dyDescent="0.25">
      <c r="A29" s="238"/>
      <c r="B29" s="238"/>
      <c r="C29" s="238"/>
      <c r="D29" s="497"/>
      <c r="E29" s="497"/>
      <c r="F29" s="497"/>
      <c r="G29" s="497"/>
      <c r="H29" s="497"/>
      <c r="I29" s="497"/>
      <c r="J29" s="497"/>
      <c r="K29" s="497"/>
    </row>
    <row r="31" spans="1:11" ht="13" x14ac:dyDescent="0.3">
      <c r="B31" s="102" t="s">
        <v>132</v>
      </c>
      <c r="D31" s="167" t="b">
        <f>D9=SUM(D3:D8)</f>
        <v>1</v>
      </c>
      <c r="E31" s="167" t="b">
        <f t="shared" ref="E31:G31" si="0">E9=SUM(E3:E8)</f>
        <v>1</v>
      </c>
      <c r="F31" s="167" t="b">
        <f t="shared" si="0"/>
        <v>1</v>
      </c>
      <c r="G31" s="167" t="b">
        <f t="shared" si="0"/>
        <v>1</v>
      </c>
    </row>
    <row r="33" spans="2:10" ht="13" x14ac:dyDescent="0.3">
      <c r="B33" s="97" t="s">
        <v>140</v>
      </c>
      <c r="D33" s="167" t="b">
        <f>D18=SUM(D12:D17)</f>
        <v>1</v>
      </c>
      <c r="E33" s="167" t="b">
        <f t="shared" ref="E33:G33" si="1">E18=SUM(E12:E17)</f>
        <v>1</v>
      </c>
      <c r="F33" s="167" t="b">
        <f t="shared" si="1"/>
        <v>1</v>
      </c>
      <c r="G33" s="167" t="b">
        <f t="shared" si="1"/>
        <v>1</v>
      </c>
    </row>
    <row r="35" spans="2:10" ht="13" x14ac:dyDescent="0.3">
      <c r="B35" s="97" t="s">
        <v>2</v>
      </c>
      <c r="D35" s="167" t="b">
        <f>D27=SUM(D21:D26)</f>
        <v>1</v>
      </c>
      <c r="E35" s="167" t="b">
        <f t="shared" ref="E35:J35" si="2">E27=SUM(E21:E26)</f>
        <v>1</v>
      </c>
      <c r="F35" s="167" t="b">
        <f>F27=SUM(F21:F26)</f>
        <v>1</v>
      </c>
      <c r="G35" s="167" t="b">
        <f t="shared" si="2"/>
        <v>1</v>
      </c>
      <c r="I35" s="167" t="b">
        <f t="shared" si="2"/>
        <v>1</v>
      </c>
      <c r="J35" s="167" t="b">
        <f t="shared" si="2"/>
        <v>1</v>
      </c>
    </row>
    <row r="69" spans="5:5" x14ac:dyDescent="0.25">
      <c r="E69" s="167">
        <f>C69-G17</f>
        <v>0</v>
      </c>
    </row>
  </sheetData>
  <conditionalFormatting sqref="D31:G31">
    <cfRule type="cellIs" dxfId="100" priority="5" operator="notEqual">
      <formula>TRUE</formula>
    </cfRule>
  </conditionalFormatting>
  <conditionalFormatting sqref="D33:G33">
    <cfRule type="cellIs" dxfId="99" priority="4" operator="notEqual">
      <formula>TRUE</formula>
    </cfRule>
  </conditionalFormatting>
  <conditionalFormatting sqref="D35:G35">
    <cfRule type="cellIs" dxfId="98" priority="3" operator="notEqual">
      <formula>TRUE</formula>
    </cfRule>
  </conditionalFormatting>
  <conditionalFormatting sqref="I35:J35">
    <cfRule type="cellIs" dxfId="97" priority="1" operator="notEqual">
      <formula>TRUE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D0F965-C917-49F6-90EC-EEF6E0E10FCD}">
  <dimension ref="A1:M69"/>
  <sheetViews>
    <sheetView zoomScaleNormal="100" workbookViewId="0"/>
  </sheetViews>
  <sheetFormatPr baseColWidth="10" defaultRowHeight="12.5" x14ac:dyDescent="0.25"/>
  <cols>
    <col min="1" max="1" width="2.26953125" customWidth="1"/>
    <col min="2" max="2" width="12.7265625" bestFit="1" customWidth="1"/>
    <col min="3" max="3" width="7.26953125" customWidth="1"/>
    <col min="4" max="4" width="16" style="167" bestFit="1" customWidth="1"/>
    <col min="5" max="5" width="20.453125" style="167" customWidth="1"/>
    <col min="6" max="6" width="16" style="167" bestFit="1" customWidth="1"/>
    <col min="7" max="7" width="20.26953125" style="167" customWidth="1"/>
    <col min="8" max="8" width="3.7265625" style="167" customWidth="1"/>
    <col min="9" max="10" width="26.54296875" style="167" bestFit="1" customWidth="1"/>
    <col min="11" max="13" width="19.7265625" style="167" customWidth="1"/>
  </cols>
  <sheetData>
    <row r="1" spans="2:13" ht="14.65" customHeight="1" thickBot="1" x14ac:dyDescent="0.3"/>
    <row r="2" spans="2:13" s="102" customFormat="1" ht="12.65" customHeight="1" thickBot="1" x14ac:dyDescent="0.35">
      <c r="B2" s="102" t="s">
        <v>132</v>
      </c>
      <c r="C2" s="206" t="s">
        <v>3</v>
      </c>
      <c r="D2" s="170" t="s">
        <v>136</v>
      </c>
      <c r="E2" s="171" t="s">
        <v>137</v>
      </c>
      <c r="F2" s="171" t="s">
        <v>138</v>
      </c>
      <c r="G2" s="172" t="s">
        <v>139</v>
      </c>
      <c r="H2" s="173"/>
      <c r="I2" s="173"/>
      <c r="J2" s="726"/>
      <c r="K2" s="173"/>
      <c r="L2" s="173"/>
      <c r="M2" s="173"/>
    </row>
    <row r="3" spans="2:13" ht="12.65" customHeight="1" x14ac:dyDescent="0.25">
      <c r="C3" s="174">
        <v>1</v>
      </c>
      <c r="D3" s="175">
        <v>0</v>
      </c>
      <c r="E3" s="176">
        <v>0</v>
      </c>
      <c r="F3" s="176">
        <v>0</v>
      </c>
      <c r="G3" s="177">
        <v>0</v>
      </c>
      <c r="J3" s="727"/>
    </row>
    <row r="4" spans="2:13" ht="12.65" customHeight="1" x14ac:dyDescent="0.25">
      <c r="C4" s="178">
        <v>2</v>
      </c>
      <c r="D4" s="179">
        <v>0</v>
      </c>
      <c r="E4" s="180">
        <v>0</v>
      </c>
      <c r="F4" s="180">
        <v>0</v>
      </c>
      <c r="G4" s="181">
        <v>0</v>
      </c>
      <c r="J4" s="727"/>
    </row>
    <row r="5" spans="2:13" ht="12.65" customHeight="1" x14ac:dyDescent="0.25">
      <c r="C5" s="178">
        <v>3</v>
      </c>
      <c r="D5" s="179">
        <v>0</v>
      </c>
      <c r="E5" s="180">
        <v>0</v>
      </c>
      <c r="F5" s="180">
        <v>0</v>
      </c>
      <c r="G5" s="181">
        <v>0</v>
      </c>
      <c r="J5" s="727"/>
    </row>
    <row r="6" spans="2:13" ht="12.65" customHeight="1" x14ac:dyDescent="0.25">
      <c r="C6" s="178">
        <v>4</v>
      </c>
      <c r="D6" s="179">
        <v>0</v>
      </c>
      <c r="E6" s="180">
        <v>0</v>
      </c>
      <c r="F6" s="180">
        <v>0</v>
      </c>
      <c r="G6" s="181">
        <v>0</v>
      </c>
    </row>
    <row r="7" spans="2:13" ht="12.65" customHeight="1" x14ac:dyDescent="0.25">
      <c r="C7" s="178">
        <v>5</v>
      </c>
      <c r="D7" s="179">
        <v>129429946</v>
      </c>
      <c r="E7" s="180">
        <v>2854</v>
      </c>
      <c r="F7" s="180">
        <v>0</v>
      </c>
      <c r="G7" s="181">
        <v>0</v>
      </c>
    </row>
    <row r="8" spans="2:13" ht="12.65" customHeight="1" thickBot="1" x14ac:dyDescent="0.3">
      <c r="C8" s="182" t="s">
        <v>89</v>
      </c>
      <c r="D8" s="183"/>
      <c r="E8" s="184"/>
      <c r="F8" s="184"/>
      <c r="G8" s="185"/>
    </row>
    <row r="9" spans="2:13" ht="12.65" customHeight="1" thickBot="1" x14ac:dyDescent="0.35">
      <c r="D9" s="186">
        <v>129429946</v>
      </c>
      <c r="E9" s="186">
        <v>2854</v>
      </c>
      <c r="F9" s="186">
        <v>0</v>
      </c>
      <c r="G9" s="186">
        <v>0</v>
      </c>
    </row>
    <row r="10" spans="2:13" ht="12.65" customHeight="1" thickBot="1" x14ac:dyDescent="0.3"/>
    <row r="11" spans="2:13" s="102" customFormat="1" ht="12.65" customHeight="1" thickBot="1" x14ac:dyDescent="0.35">
      <c r="C11" s="206" t="s">
        <v>3</v>
      </c>
      <c r="D11" s="170" t="s">
        <v>136</v>
      </c>
      <c r="E11" s="171" t="s">
        <v>137</v>
      </c>
      <c r="F11" s="171" t="s">
        <v>138</v>
      </c>
      <c r="G11" s="172" t="s">
        <v>139</v>
      </c>
      <c r="H11" s="173"/>
      <c r="I11" s="173"/>
      <c r="J11" s="173"/>
      <c r="K11" s="173"/>
      <c r="L11" s="173"/>
      <c r="M11" s="173"/>
    </row>
    <row r="12" spans="2:13" ht="12.65" customHeight="1" x14ac:dyDescent="0.3">
      <c r="B12" s="97" t="s">
        <v>140</v>
      </c>
      <c r="C12" s="174">
        <v>1</v>
      </c>
      <c r="D12" s="175">
        <v>0</v>
      </c>
      <c r="E12" s="176">
        <v>0</v>
      </c>
      <c r="F12" s="176">
        <v>0</v>
      </c>
      <c r="G12" s="177">
        <v>0</v>
      </c>
    </row>
    <row r="13" spans="2:13" ht="12.65" customHeight="1" x14ac:dyDescent="0.25">
      <c r="C13" s="178">
        <v>2</v>
      </c>
      <c r="D13" s="179">
        <v>0</v>
      </c>
      <c r="E13" s="180">
        <v>0</v>
      </c>
      <c r="F13" s="180">
        <v>0</v>
      </c>
      <c r="G13" s="181">
        <v>0</v>
      </c>
    </row>
    <row r="14" spans="2:13" ht="12.65" customHeight="1" x14ac:dyDescent="0.25">
      <c r="C14" s="178">
        <v>3</v>
      </c>
      <c r="D14" s="179">
        <v>0</v>
      </c>
      <c r="E14" s="180">
        <v>0</v>
      </c>
      <c r="F14" s="180">
        <v>0</v>
      </c>
      <c r="G14" s="181">
        <v>0</v>
      </c>
    </row>
    <row r="15" spans="2:13" ht="12.65" customHeight="1" x14ac:dyDescent="0.25">
      <c r="C15" s="178">
        <v>4</v>
      </c>
      <c r="D15" s="179">
        <v>0</v>
      </c>
      <c r="E15" s="180">
        <v>0</v>
      </c>
      <c r="F15" s="180">
        <v>0</v>
      </c>
      <c r="G15" s="181">
        <v>0</v>
      </c>
    </row>
    <row r="16" spans="2:13" ht="12.65" customHeight="1" x14ac:dyDescent="0.25">
      <c r="C16" s="178">
        <v>5</v>
      </c>
      <c r="D16" s="179">
        <v>106710</v>
      </c>
      <c r="E16" s="180">
        <v>1</v>
      </c>
      <c r="F16" s="180">
        <v>0</v>
      </c>
      <c r="G16" s="181">
        <v>0</v>
      </c>
    </row>
    <row r="17" spans="1:11" ht="12.65" customHeight="1" thickBot="1" x14ac:dyDescent="0.3">
      <c r="C17" s="182" t="s">
        <v>89</v>
      </c>
      <c r="D17" s="183"/>
      <c r="E17" s="184"/>
      <c r="F17" s="184"/>
      <c r="G17" s="185"/>
    </row>
    <row r="18" spans="1:11" ht="12.65" customHeight="1" thickBot="1" x14ac:dyDescent="0.35">
      <c r="D18" s="186">
        <v>106710</v>
      </c>
      <c r="E18" s="186">
        <v>1</v>
      </c>
      <c r="F18" s="186">
        <v>0</v>
      </c>
      <c r="G18" s="186">
        <v>0</v>
      </c>
    </row>
    <row r="19" spans="1:11" ht="12.65" customHeight="1" thickBot="1" x14ac:dyDescent="0.3"/>
    <row r="20" spans="1:11" ht="12.65" customHeight="1" thickBot="1" x14ac:dyDescent="0.35">
      <c r="C20" s="206" t="s">
        <v>3</v>
      </c>
      <c r="D20" s="170" t="s">
        <v>136</v>
      </c>
      <c r="E20" s="171" t="s">
        <v>137</v>
      </c>
      <c r="F20" s="171" t="s">
        <v>138</v>
      </c>
      <c r="G20" s="172" t="s">
        <v>139</v>
      </c>
      <c r="I20" s="199" t="s">
        <v>141</v>
      </c>
      <c r="J20" s="200" t="s">
        <v>142</v>
      </c>
    </row>
    <row r="21" spans="1:11" s="167" customFormat="1" ht="12.65" customHeight="1" x14ac:dyDescent="0.3">
      <c r="B21" s="207" t="s">
        <v>2</v>
      </c>
      <c r="C21" s="174">
        <v>1</v>
      </c>
      <c r="D21" s="175">
        <v>0</v>
      </c>
      <c r="E21" s="176">
        <v>0</v>
      </c>
      <c r="F21" s="176">
        <v>0</v>
      </c>
      <c r="G21" s="177">
        <v>0</v>
      </c>
      <c r="I21" s="175">
        <v>0</v>
      </c>
      <c r="J21" s="177">
        <v>0</v>
      </c>
    </row>
    <row r="22" spans="1:11" s="167" customFormat="1" ht="12.65" customHeight="1" x14ac:dyDescent="0.25">
      <c r="B22"/>
      <c r="C22" s="178">
        <v>2</v>
      </c>
      <c r="D22" s="179">
        <v>0</v>
      </c>
      <c r="E22" s="180">
        <v>0</v>
      </c>
      <c r="F22" s="180">
        <v>0</v>
      </c>
      <c r="G22" s="181">
        <v>0</v>
      </c>
      <c r="I22" s="179">
        <v>0</v>
      </c>
      <c r="J22" s="181">
        <v>0</v>
      </c>
    </row>
    <row r="23" spans="1:11" s="167" customFormat="1" ht="12.65" customHeight="1" x14ac:dyDescent="0.25">
      <c r="B23"/>
      <c r="C23" s="178">
        <v>3</v>
      </c>
      <c r="D23" s="179">
        <v>0</v>
      </c>
      <c r="E23" s="180">
        <v>0</v>
      </c>
      <c r="F23" s="180">
        <v>0</v>
      </c>
      <c r="G23" s="181">
        <v>0</v>
      </c>
      <c r="I23" s="179">
        <v>0</v>
      </c>
      <c r="J23" s="181">
        <v>0</v>
      </c>
    </row>
    <row r="24" spans="1:11" s="167" customFormat="1" ht="12.65" customHeight="1" x14ac:dyDescent="0.25">
      <c r="B24"/>
      <c r="C24" s="178">
        <v>4</v>
      </c>
      <c r="D24" s="179">
        <v>0</v>
      </c>
      <c r="E24" s="180">
        <v>0</v>
      </c>
      <c r="F24" s="180">
        <v>0</v>
      </c>
      <c r="G24" s="181">
        <v>0</v>
      </c>
      <c r="I24" s="179">
        <v>0</v>
      </c>
      <c r="J24" s="181">
        <v>0</v>
      </c>
    </row>
    <row r="25" spans="1:11" s="167" customFormat="1" ht="12.65" customHeight="1" x14ac:dyDescent="0.25">
      <c r="B25"/>
      <c r="C25" s="178">
        <v>5</v>
      </c>
      <c r="D25" s="179">
        <v>129536656</v>
      </c>
      <c r="E25" s="180">
        <v>2855</v>
      </c>
      <c r="F25" s="180">
        <v>0</v>
      </c>
      <c r="G25" s="181">
        <v>0</v>
      </c>
      <c r="I25" s="179">
        <v>129536656</v>
      </c>
      <c r="J25" s="181">
        <v>2855</v>
      </c>
    </row>
    <row r="26" spans="1:11" ht="12.65" customHeight="1" thickBot="1" x14ac:dyDescent="0.3">
      <c r="C26" s="182" t="s">
        <v>89</v>
      </c>
      <c r="D26" s="183"/>
      <c r="E26" s="184"/>
      <c r="F26" s="184"/>
      <c r="G26" s="185"/>
      <c r="I26" s="202">
        <v>0</v>
      </c>
      <c r="J26" s="203">
        <v>0</v>
      </c>
    </row>
    <row r="27" spans="1:11" ht="12.65" customHeight="1" thickBot="1" x14ac:dyDescent="0.35">
      <c r="D27" s="186">
        <v>129536656</v>
      </c>
      <c r="E27" s="186">
        <v>2855</v>
      </c>
      <c r="F27" s="186">
        <v>0</v>
      </c>
      <c r="G27" s="186">
        <v>0</v>
      </c>
      <c r="I27" s="204">
        <v>129536656</v>
      </c>
      <c r="J27" s="205">
        <v>2855</v>
      </c>
    </row>
    <row r="29" spans="1:11" x14ac:dyDescent="0.25">
      <c r="A29" s="238"/>
      <c r="B29" s="238"/>
      <c r="C29" s="238"/>
      <c r="D29" s="497"/>
      <c r="E29" s="497"/>
      <c r="F29" s="497"/>
      <c r="G29" s="497"/>
      <c r="H29" s="497"/>
      <c r="I29" s="497"/>
      <c r="J29" s="497"/>
      <c r="K29" s="497"/>
    </row>
    <row r="31" spans="1:11" ht="13" x14ac:dyDescent="0.3">
      <c r="B31" s="102" t="s">
        <v>132</v>
      </c>
      <c r="D31" s="167" t="b">
        <f>D9=SUM(D3:D8)</f>
        <v>1</v>
      </c>
      <c r="E31" s="167" t="b">
        <f t="shared" ref="E31:G31" si="0">E9=SUM(E3:E8)</f>
        <v>1</v>
      </c>
      <c r="F31" s="167" t="b">
        <f t="shared" si="0"/>
        <v>1</v>
      </c>
      <c r="G31" s="167" t="b">
        <f t="shared" si="0"/>
        <v>1</v>
      </c>
    </row>
    <row r="33" spans="2:10" ht="13" x14ac:dyDescent="0.3">
      <c r="B33" s="97" t="s">
        <v>140</v>
      </c>
      <c r="D33" s="167" t="b">
        <f>D18=SUM(D12:D17)</f>
        <v>1</v>
      </c>
      <c r="E33" s="167" t="b">
        <f t="shared" ref="E33:G33" si="1">E18=SUM(E12:E17)</f>
        <v>1</v>
      </c>
      <c r="F33" s="167" t="b">
        <f t="shared" si="1"/>
        <v>1</v>
      </c>
      <c r="G33" s="167" t="b">
        <f t="shared" si="1"/>
        <v>1</v>
      </c>
    </row>
    <row r="35" spans="2:10" ht="13" x14ac:dyDescent="0.3">
      <c r="B35" s="97" t="s">
        <v>2</v>
      </c>
      <c r="D35" s="167" t="b">
        <f>D27=SUM(D21:D26)</f>
        <v>1</v>
      </c>
      <c r="E35" s="167" t="b">
        <f t="shared" ref="E35:J35" si="2">E27=SUM(E21:E26)</f>
        <v>1</v>
      </c>
      <c r="F35" s="167" t="b">
        <f>F27=SUM(F21:F26)</f>
        <v>1</v>
      </c>
      <c r="G35" s="167" t="b">
        <f t="shared" si="2"/>
        <v>1</v>
      </c>
      <c r="I35" s="167" t="b">
        <f>I27=SUM(I21:I26)</f>
        <v>1</v>
      </c>
      <c r="J35" s="167" t="b">
        <f t="shared" si="2"/>
        <v>1</v>
      </c>
    </row>
    <row r="69" spans="5:5" x14ac:dyDescent="0.25">
      <c r="E69" s="167">
        <f>C69-G17</f>
        <v>0</v>
      </c>
    </row>
  </sheetData>
  <conditionalFormatting sqref="D31:G31">
    <cfRule type="cellIs" dxfId="96" priority="4" operator="notEqual">
      <formula>TRUE</formula>
    </cfRule>
  </conditionalFormatting>
  <conditionalFormatting sqref="D33:G33">
    <cfRule type="cellIs" dxfId="95" priority="3" operator="notEqual">
      <formula>TRUE</formula>
    </cfRule>
  </conditionalFormatting>
  <conditionalFormatting sqref="D35:G35">
    <cfRule type="cellIs" dxfId="94" priority="2" operator="notEqual">
      <formula>TRUE</formula>
    </cfRule>
  </conditionalFormatting>
  <conditionalFormatting sqref="I35:J35">
    <cfRule type="cellIs" dxfId="93" priority="1" operator="notEqual">
      <formula>TRUE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37"/>
  <sheetViews>
    <sheetView workbookViewId="0"/>
  </sheetViews>
  <sheetFormatPr baseColWidth="10" defaultColWidth="11.453125" defaultRowHeight="12.5" x14ac:dyDescent="0.25"/>
  <cols>
    <col min="1" max="1" width="2.26953125" style="213" customWidth="1"/>
    <col min="2" max="2" width="25" style="213" bestFit="1" customWidth="1"/>
    <col min="3" max="3" width="4.7265625" style="213" bestFit="1" customWidth="1"/>
    <col min="4" max="4" width="13.7265625" style="167" bestFit="1" customWidth="1"/>
    <col min="5" max="5" width="19" style="167" bestFit="1" customWidth="1"/>
    <col min="6" max="6" width="13.7265625" style="167" bestFit="1" customWidth="1"/>
    <col min="7" max="7" width="19" style="167" bestFit="1" customWidth="1"/>
    <col min="8" max="8" width="3.7265625" style="167" customWidth="1"/>
    <col min="9" max="9" width="20" style="167" bestFit="1" customWidth="1"/>
    <col min="10" max="10" width="26.54296875" style="167" bestFit="1" customWidth="1"/>
    <col min="11" max="13" width="19.7265625" style="167" customWidth="1"/>
    <col min="14" max="16384" width="11.453125" style="213"/>
  </cols>
  <sheetData>
    <row r="1" spans="2:13" ht="13" thickBot="1" x14ac:dyDescent="0.3"/>
    <row r="2" spans="2:13" s="214" customFormat="1" ht="13.5" thickBot="1" x14ac:dyDescent="0.35">
      <c r="B2" s="214" t="s">
        <v>157</v>
      </c>
      <c r="C2" s="215" t="s">
        <v>3</v>
      </c>
      <c r="D2" s="170" t="s">
        <v>136</v>
      </c>
      <c r="E2" s="171" t="s">
        <v>137</v>
      </c>
      <c r="F2" s="171" t="s">
        <v>138</v>
      </c>
      <c r="G2" s="172" t="s">
        <v>139</v>
      </c>
      <c r="H2" s="173"/>
      <c r="I2" s="173"/>
      <c r="J2" s="173"/>
      <c r="K2" s="173"/>
      <c r="L2" s="173"/>
      <c r="M2" s="173"/>
    </row>
    <row r="3" spans="2:13" x14ac:dyDescent="0.25">
      <c r="C3" s="174">
        <v>1</v>
      </c>
      <c r="D3" s="175">
        <v>0</v>
      </c>
      <c r="E3" s="180">
        <v>0</v>
      </c>
      <c r="F3" s="176">
        <v>0</v>
      </c>
      <c r="G3" s="177">
        <v>0</v>
      </c>
    </row>
    <row r="4" spans="2:13" x14ac:dyDescent="0.25">
      <c r="C4" s="178">
        <v>2</v>
      </c>
      <c r="D4" s="180">
        <v>0</v>
      </c>
      <c r="E4" s="180">
        <v>0</v>
      </c>
      <c r="F4" s="180">
        <v>0</v>
      </c>
      <c r="G4" s="181">
        <v>0</v>
      </c>
    </row>
    <row r="5" spans="2:13" x14ac:dyDescent="0.25">
      <c r="C5" s="178">
        <v>3</v>
      </c>
      <c r="D5" s="180">
        <v>0</v>
      </c>
      <c r="E5" s="180">
        <v>0</v>
      </c>
      <c r="F5" s="180">
        <v>0</v>
      </c>
      <c r="G5" s="181">
        <v>0</v>
      </c>
    </row>
    <row r="6" spans="2:13" ht="13.5" customHeight="1" x14ac:dyDescent="0.25">
      <c r="C6" s="178">
        <v>4</v>
      </c>
      <c r="D6" s="180">
        <v>0</v>
      </c>
      <c r="E6" s="180">
        <v>0</v>
      </c>
      <c r="F6" s="180">
        <v>0</v>
      </c>
      <c r="G6" s="181">
        <v>0</v>
      </c>
    </row>
    <row r="7" spans="2:13" ht="13.5" customHeight="1" x14ac:dyDescent="0.25">
      <c r="C7" s="178">
        <v>5</v>
      </c>
      <c r="D7" s="180">
        <v>0</v>
      </c>
      <c r="E7" s="180">
        <v>0</v>
      </c>
      <c r="F7" s="180">
        <v>0</v>
      </c>
      <c r="G7" s="181">
        <v>0</v>
      </c>
    </row>
    <row r="8" spans="2:13" ht="13" thickBot="1" x14ac:dyDescent="0.3">
      <c r="C8" s="182" t="s">
        <v>89</v>
      </c>
      <c r="D8" s="183"/>
      <c r="E8" s="184"/>
      <c r="F8" s="184"/>
      <c r="G8" s="185"/>
    </row>
    <row r="9" spans="2:13" ht="13.5" thickBot="1" x14ac:dyDescent="0.35">
      <c r="D9" s="186">
        <v>0</v>
      </c>
      <c r="E9" s="186">
        <v>0</v>
      </c>
      <c r="F9" s="186">
        <v>0</v>
      </c>
      <c r="G9" s="186">
        <v>0</v>
      </c>
    </row>
    <row r="10" spans="2:13" ht="13" thickBot="1" x14ac:dyDescent="0.3"/>
    <row r="11" spans="2:13" s="214" customFormat="1" ht="13.5" thickBot="1" x14ac:dyDescent="0.35">
      <c r="C11" s="215" t="s">
        <v>3</v>
      </c>
      <c r="D11" s="170" t="s">
        <v>136</v>
      </c>
      <c r="E11" s="171" t="s">
        <v>137</v>
      </c>
      <c r="F11" s="171" t="s">
        <v>138</v>
      </c>
      <c r="G11" s="172" t="s">
        <v>139</v>
      </c>
      <c r="H11" s="173"/>
      <c r="I11" s="173"/>
      <c r="J11" s="173"/>
      <c r="K11" s="173"/>
      <c r="L11" s="173"/>
      <c r="M11" s="173"/>
    </row>
    <row r="12" spans="2:13" ht="13" x14ac:dyDescent="0.3">
      <c r="B12" s="216" t="s">
        <v>158</v>
      </c>
      <c r="C12" s="174">
        <v>1</v>
      </c>
      <c r="D12" s="175">
        <v>0</v>
      </c>
      <c r="E12" s="180">
        <v>0</v>
      </c>
      <c r="F12" s="176">
        <v>0</v>
      </c>
      <c r="G12" s="177">
        <v>0</v>
      </c>
    </row>
    <row r="13" spans="2:13" x14ac:dyDescent="0.25">
      <c r="C13" s="178">
        <v>2</v>
      </c>
      <c r="D13" s="180">
        <v>0</v>
      </c>
      <c r="E13" s="180">
        <v>0</v>
      </c>
      <c r="F13" s="180">
        <v>0</v>
      </c>
      <c r="G13" s="181">
        <v>0</v>
      </c>
    </row>
    <row r="14" spans="2:13" x14ac:dyDescent="0.25">
      <c r="C14" s="178">
        <v>3</v>
      </c>
      <c r="D14" s="180">
        <v>0</v>
      </c>
      <c r="E14" s="180">
        <v>0</v>
      </c>
      <c r="F14" s="180">
        <v>0</v>
      </c>
      <c r="G14" s="181">
        <v>0</v>
      </c>
    </row>
    <row r="15" spans="2:13" x14ac:dyDescent="0.25">
      <c r="C15" s="178">
        <v>4</v>
      </c>
      <c r="D15" s="180">
        <v>0</v>
      </c>
      <c r="E15" s="180">
        <v>0</v>
      </c>
      <c r="F15" s="180">
        <v>0</v>
      </c>
      <c r="G15" s="181">
        <v>0</v>
      </c>
    </row>
    <row r="16" spans="2:13" x14ac:dyDescent="0.25">
      <c r="C16" s="178">
        <v>5</v>
      </c>
      <c r="D16" s="180">
        <v>0</v>
      </c>
      <c r="E16" s="180">
        <v>0</v>
      </c>
      <c r="F16" s="180">
        <v>0</v>
      </c>
      <c r="G16" s="181">
        <v>0</v>
      </c>
    </row>
    <row r="17" spans="1:13" ht="13" thickBot="1" x14ac:dyDescent="0.3">
      <c r="C17" s="182" t="s">
        <v>89</v>
      </c>
      <c r="D17" s="183"/>
      <c r="E17" s="184"/>
      <c r="F17" s="184"/>
      <c r="G17" s="185"/>
    </row>
    <row r="18" spans="1:13" ht="13.5" thickBot="1" x14ac:dyDescent="0.35">
      <c r="D18" s="186">
        <v>0</v>
      </c>
      <c r="E18" s="186">
        <v>0</v>
      </c>
      <c r="F18" s="186">
        <v>0</v>
      </c>
      <c r="G18" s="186">
        <v>0</v>
      </c>
    </row>
    <row r="19" spans="1:13" ht="13" thickBot="1" x14ac:dyDescent="0.3"/>
    <row r="20" spans="1:13" ht="13.5" thickBot="1" x14ac:dyDescent="0.35">
      <c r="C20" s="215" t="s">
        <v>3</v>
      </c>
      <c r="D20" s="170" t="s">
        <v>136</v>
      </c>
      <c r="E20" s="171" t="s">
        <v>137</v>
      </c>
      <c r="F20" s="171" t="s">
        <v>138</v>
      </c>
      <c r="G20" s="172" t="s">
        <v>139</v>
      </c>
      <c r="I20" s="199" t="s">
        <v>141</v>
      </c>
      <c r="J20" s="200" t="s">
        <v>142</v>
      </c>
    </row>
    <row r="21" spans="1:13" s="167" customFormat="1" ht="13" x14ac:dyDescent="0.3">
      <c r="B21" s="217" t="s">
        <v>2</v>
      </c>
      <c r="C21" s="174">
        <v>1</v>
      </c>
      <c r="D21" s="175">
        <v>0</v>
      </c>
      <c r="E21" s="176">
        <v>0</v>
      </c>
      <c r="F21" s="176">
        <v>0</v>
      </c>
      <c r="G21" s="177">
        <v>0</v>
      </c>
      <c r="I21" s="175">
        <v>0</v>
      </c>
      <c r="J21" s="177">
        <v>0</v>
      </c>
    </row>
    <row r="22" spans="1:13" s="167" customFormat="1" x14ac:dyDescent="0.25">
      <c r="B22" s="213"/>
      <c r="C22" s="178">
        <v>2</v>
      </c>
      <c r="D22" s="179">
        <v>0</v>
      </c>
      <c r="E22" s="180">
        <v>0</v>
      </c>
      <c r="F22" s="180">
        <v>0</v>
      </c>
      <c r="G22" s="181">
        <v>0</v>
      </c>
      <c r="I22" s="179">
        <v>0</v>
      </c>
      <c r="J22" s="181">
        <v>0</v>
      </c>
    </row>
    <row r="23" spans="1:13" s="167" customFormat="1" x14ac:dyDescent="0.25">
      <c r="B23" s="213"/>
      <c r="C23" s="178">
        <v>3</v>
      </c>
      <c r="D23" s="179">
        <v>0</v>
      </c>
      <c r="E23" s="180">
        <v>0</v>
      </c>
      <c r="F23" s="180">
        <v>0</v>
      </c>
      <c r="G23" s="181">
        <v>0</v>
      </c>
      <c r="I23" s="179">
        <v>0</v>
      </c>
      <c r="J23" s="181">
        <v>0</v>
      </c>
    </row>
    <row r="24" spans="1:13" s="167" customFormat="1" x14ac:dyDescent="0.25">
      <c r="B24" s="213"/>
      <c r="C24" s="178">
        <v>4</v>
      </c>
      <c r="D24" s="179">
        <v>0</v>
      </c>
      <c r="E24" s="180">
        <v>0</v>
      </c>
      <c r="F24" s="180">
        <v>0</v>
      </c>
      <c r="G24" s="181">
        <v>0</v>
      </c>
      <c r="I24" s="179">
        <v>0</v>
      </c>
      <c r="J24" s="181">
        <v>0</v>
      </c>
    </row>
    <row r="25" spans="1:13" s="167" customFormat="1" x14ac:dyDescent="0.25">
      <c r="B25" s="213"/>
      <c r="C25" s="178">
        <v>5</v>
      </c>
      <c r="D25" s="179">
        <v>0</v>
      </c>
      <c r="E25" s="180">
        <v>0</v>
      </c>
      <c r="F25" s="180">
        <v>0</v>
      </c>
      <c r="G25" s="181">
        <v>0</v>
      </c>
      <c r="I25" s="179">
        <v>0</v>
      </c>
      <c r="J25" s="181">
        <v>0</v>
      </c>
    </row>
    <row r="26" spans="1:13" ht="13" thickBot="1" x14ac:dyDescent="0.3">
      <c r="C26" s="182" t="s">
        <v>89</v>
      </c>
      <c r="D26" s="183"/>
      <c r="E26" s="184"/>
      <c r="F26" s="184"/>
      <c r="G26" s="185"/>
      <c r="I26" s="202">
        <v>0</v>
      </c>
      <c r="J26" s="203">
        <v>0</v>
      </c>
    </row>
    <row r="27" spans="1:13" ht="13.5" thickBot="1" x14ac:dyDescent="0.35">
      <c r="D27" s="186">
        <v>0</v>
      </c>
      <c r="E27" s="186">
        <v>0</v>
      </c>
      <c r="F27" s="186">
        <v>0</v>
      </c>
      <c r="G27" s="186">
        <v>0</v>
      </c>
      <c r="I27" s="204">
        <v>0</v>
      </c>
      <c r="J27" s="205">
        <v>0</v>
      </c>
    </row>
    <row r="29" spans="1:13" customFormat="1" x14ac:dyDescent="0.25">
      <c r="A29" s="238"/>
      <c r="B29" s="238"/>
      <c r="C29" s="238"/>
      <c r="D29" s="497"/>
      <c r="E29" s="497"/>
      <c r="F29" s="497"/>
      <c r="G29" s="497"/>
      <c r="H29" s="497"/>
      <c r="I29" s="497"/>
      <c r="J29" s="497"/>
      <c r="K29" s="497"/>
      <c r="L29" s="167"/>
      <c r="M29" s="167"/>
    </row>
    <row r="30" spans="1:13" customFormat="1" x14ac:dyDescent="0.25">
      <c r="D30" s="167"/>
      <c r="E30" s="167"/>
      <c r="F30" s="167"/>
      <c r="G30" s="167"/>
      <c r="H30" s="167"/>
      <c r="I30" s="167"/>
      <c r="J30" s="167"/>
      <c r="K30" s="167"/>
      <c r="L30" s="167"/>
      <c r="M30" s="167"/>
    </row>
    <row r="31" spans="1:13" customFormat="1" ht="13" x14ac:dyDescent="0.3">
      <c r="B31" s="102" t="s">
        <v>132</v>
      </c>
      <c r="D31" s="167" t="b">
        <f>D9=SUM(D3:D8)</f>
        <v>1</v>
      </c>
      <c r="E31" s="167" t="b">
        <f t="shared" ref="E31:G31" si="0">E9=SUM(E3:E8)</f>
        <v>1</v>
      </c>
      <c r="F31" s="167" t="b">
        <f t="shared" si="0"/>
        <v>1</v>
      </c>
      <c r="G31" s="167" t="b">
        <f t="shared" si="0"/>
        <v>1</v>
      </c>
      <c r="H31" s="167"/>
      <c r="I31" s="167"/>
      <c r="J31" s="167"/>
      <c r="K31" s="167"/>
      <c r="L31" s="167"/>
      <c r="M31" s="167"/>
    </row>
    <row r="32" spans="1:13" customFormat="1" x14ac:dyDescent="0.25">
      <c r="D32" s="167"/>
      <c r="E32" s="167"/>
      <c r="F32" s="167"/>
      <c r="G32" s="167"/>
      <c r="H32" s="167"/>
      <c r="I32" s="167"/>
      <c r="J32" s="167"/>
      <c r="K32" s="167"/>
      <c r="L32" s="167"/>
      <c r="M32" s="167"/>
    </row>
    <row r="33" spans="2:13" customFormat="1" ht="13" x14ac:dyDescent="0.3">
      <c r="B33" s="97" t="s">
        <v>140</v>
      </c>
      <c r="D33" s="167" t="b">
        <f>D18=SUM(D12:D17)</f>
        <v>1</v>
      </c>
      <c r="E33" s="167" t="b">
        <f t="shared" ref="E33:G33" si="1">E18=SUM(E12:E17)</f>
        <v>1</v>
      </c>
      <c r="F33" s="167" t="b">
        <f t="shared" si="1"/>
        <v>1</v>
      </c>
      <c r="G33" s="167" t="b">
        <f t="shared" si="1"/>
        <v>1</v>
      </c>
      <c r="H33" s="167"/>
      <c r="I33" s="167"/>
      <c r="J33" s="167"/>
      <c r="K33" s="167"/>
      <c r="L33" s="167"/>
      <c r="M33" s="167"/>
    </row>
    <row r="34" spans="2:13" customFormat="1" x14ac:dyDescent="0.25">
      <c r="D34" s="167"/>
      <c r="E34" s="167"/>
      <c r="F34" s="167"/>
      <c r="G34" s="167"/>
      <c r="H34" s="167"/>
      <c r="I34" s="167"/>
      <c r="J34" s="167"/>
      <c r="K34" s="167"/>
      <c r="L34" s="167"/>
      <c r="M34" s="167"/>
    </row>
    <row r="35" spans="2:13" customFormat="1" ht="13" x14ac:dyDescent="0.3">
      <c r="B35" s="97" t="s">
        <v>2</v>
      </c>
      <c r="D35" s="167" t="b">
        <f>D27=SUM(D21:D26)</f>
        <v>1</v>
      </c>
      <c r="E35" s="167" t="b">
        <f t="shared" ref="E35:J35" si="2">E27=SUM(E21:E26)</f>
        <v>1</v>
      </c>
      <c r="F35" s="167" t="b">
        <f t="shared" si="2"/>
        <v>1</v>
      </c>
      <c r="G35" s="167" t="b">
        <f t="shared" si="2"/>
        <v>1</v>
      </c>
      <c r="H35" s="167"/>
      <c r="I35" s="167" t="b">
        <f t="shared" si="2"/>
        <v>1</v>
      </c>
      <c r="J35" s="167" t="b">
        <f t="shared" si="2"/>
        <v>1</v>
      </c>
      <c r="K35" s="167"/>
      <c r="L35" s="167"/>
      <c r="M35" s="167"/>
    </row>
    <row r="36" spans="2:13" customFormat="1" x14ac:dyDescent="0.25">
      <c r="D36" s="167"/>
      <c r="E36" s="167"/>
      <c r="F36" s="167"/>
      <c r="G36" s="167"/>
      <c r="H36" s="167"/>
      <c r="I36" s="167"/>
      <c r="J36" s="167"/>
      <c r="K36" s="167"/>
      <c r="L36" s="167"/>
      <c r="M36" s="167"/>
    </row>
    <row r="37" spans="2:13" customFormat="1" x14ac:dyDescent="0.25">
      <c r="D37" s="167"/>
      <c r="E37" s="167"/>
      <c r="F37" s="167"/>
      <c r="G37" s="167"/>
      <c r="H37" s="167"/>
      <c r="I37" s="167"/>
      <c r="J37" s="167"/>
      <c r="K37" s="167"/>
      <c r="L37" s="167"/>
      <c r="M37" s="167"/>
    </row>
  </sheetData>
  <conditionalFormatting sqref="D31:G31">
    <cfRule type="cellIs" dxfId="92" priority="5" operator="notEqual">
      <formula>TRUE</formula>
    </cfRule>
  </conditionalFormatting>
  <conditionalFormatting sqref="D33:G33">
    <cfRule type="cellIs" dxfId="91" priority="4" operator="notEqual">
      <formula>TRUE</formula>
    </cfRule>
  </conditionalFormatting>
  <conditionalFormatting sqref="D35:G35">
    <cfRule type="cellIs" dxfId="90" priority="3" operator="notEqual">
      <formula>TRUE</formula>
    </cfRule>
  </conditionalFormatting>
  <conditionalFormatting sqref="I35:J35">
    <cfRule type="cellIs" dxfId="89" priority="1" operator="notEqual">
      <formula>TRUE</formula>
    </cfRule>
  </conditionalFormatting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69"/>
  <sheetViews>
    <sheetView zoomScaleNormal="100" workbookViewId="0"/>
  </sheetViews>
  <sheetFormatPr baseColWidth="10" defaultColWidth="11.453125" defaultRowHeight="12.5" x14ac:dyDescent="0.25"/>
  <cols>
    <col min="1" max="1" width="2.26953125" style="166" customWidth="1"/>
    <col min="2" max="2" width="12.7265625" style="166" bestFit="1" customWidth="1"/>
    <col min="3" max="3" width="7.26953125" style="166" customWidth="1"/>
    <col min="4" max="4" width="15.26953125" style="167" customWidth="1"/>
    <col min="5" max="5" width="20.453125" style="167" customWidth="1"/>
    <col min="6" max="6" width="15.26953125" style="167" customWidth="1"/>
    <col min="7" max="7" width="20.26953125" style="167" customWidth="1"/>
    <col min="8" max="8" width="3.7265625" style="167" customWidth="1"/>
    <col min="9" max="10" width="26.54296875" style="167" bestFit="1" customWidth="1"/>
    <col min="11" max="13" width="19.7265625" style="167" customWidth="1"/>
    <col min="14" max="16384" width="11.453125" style="166"/>
  </cols>
  <sheetData>
    <row r="1" spans="2:13" ht="13" thickBot="1" x14ac:dyDescent="0.3"/>
    <row r="2" spans="2:13" s="168" customFormat="1" ht="13.5" thickBot="1" x14ac:dyDescent="0.35">
      <c r="B2" s="168" t="s">
        <v>132</v>
      </c>
      <c r="C2" s="169" t="s">
        <v>3</v>
      </c>
      <c r="D2" s="170" t="s">
        <v>136</v>
      </c>
      <c r="E2" s="171" t="s">
        <v>137</v>
      </c>
      <c r="F2" s="171" t="s">
        <v>138</v>
      </c>
      <c r="G2" s="172" t="s">
        <v>139</v>
      </c>
      <c r="H2" s="173"/>
      <c r="I2" s="173"/>
      <c r="J2" s="726"/>
      <c r="K2" s="173"/>
      <c r="L2" s="173"/>
      <c r="M2" s="173"/>
    </row>
    <row r="3" spans="2:13" x14ac:dyDescent="0.25">
      <c r="C3" s="174">
        <v>1</v>
      </c>
      <c r="D3" s="280">
        <v>335015748</v>
      </c>
      <c r="E3" s="176">
        <v>1590</v>
      </c>
      <c r="F3" s="176">
        <v>0</v>
      </c>
      <c r="G3" s="177">
        <v>0</v>
      </c>
      <c r="J3" s="727"/>
    </row>
    <row r="4" spans="2:13" x14ac:dyDescent="0.25">
      <c r="C4" s="178">
        <v>2</v>
      </c>
      <c r="D4" s="281">
        <v>389025865</v>
      </c>
      <c r="E4" s="180">
        <v>2713</v>
      </c>
      <c r="F4" s="180">
        <v>0</v>
      </c>
      <c r="G4" s="181">
        <v>0</v>
      </c>
      <c r="J4" s="727"/>
    </row>
    <row r="5" spans="2:13" x14ac:dyDescent="0.25">
      <c r="C5" s="178">
        <v>3</v>
      </c>
      <c r="D5" s="281">
        <v>346289622</v>
      </c>
      <c r="E5" s="180">
        <v>1123</v>
      </c>
      <c r="F5" s="180">
        <v>0</v>
      </c>
      <c r="G5" s="181">
        <v>0</v>
      </c>
      <c r="J5" s="727"/>
    </row>
    <row r="6" spans="2:13" x14ac:dyDescent="0.25">
      <c r="C6" s="178">
        <v>4</v>
      </c>
      <c r="D6" s="281">
        <v>236541566</v>
      </c>
      <c r="E6" s="180">
        <v>1643</v>
      </c>
      <c r="F6" s="180">
        <v>0</v>
      </c>
      <c r="G6" s="181">
        <v>0</v>
      </c>
    </row>
    <row r="7" spans="2:13" x14ac:dyDescent="0.25">
      <c r="C7" s="178">
        <v>5</v>
      </c>
      <c r="D7" s="281">
        <v>155743651</v>
      </c>
      <c r="E7" s="180">
        <v>776</v>
      </c>
      <c r="F7" s="180">
        <v>0</v>
      </c>
      <c r="G7" s="181">
        <v>0</v>
      </c>
    </row>
    <row r="8" spans="2:13" ht="13" thickBot="1" x14ac:dyDescent="0.3">
      <c r="C8" s="182" t="s">
        <v>89</v>
      </c>
      <c r="D8" s="282">
        <v>0</v>
      </c>
      <c r="E8" s="184">
        <v>0</v>
      </c>
      <c r="F8" s="184">
        <v>0</v>
      </c>
      <c r="G8" s="185">
        <v>0</v>
      </c>
    </row>
    <row r="9" spans="2:13" ht="13.5" thickBot="1" x14ac:dyDescent="0.35">
      <c r="D9" s="186">
        <v>1462616452</v>
      </c>
      <c r="E9" s="186">
        <v>7845</v>
      </c>
      <c r="F9" s="186">
        <v>0</v>
      </c>
      <c r="G9" s="186">
        <v>0</v>
      </c>
    </row>
    <row r="10" spans="2:13" ht="13" thickBot="1" x14ac:dyDescent="0.3">
      <c r="D10" s="283"/>
    </row>
    <row r="11" spans="2:13" s="168" customFormat="1" ht="13.5" thickBot="1" x14ac:dyDescent="0.35">
      <c r="C11" s="169" t="s">
        <v>3</v>
      </c>
      <c r="D11" s="169" t="s">
        <v>136</v>
      </c>
      <c r="E11" s="187" t="s">
        <v>137</v>
      </c>
      <c r="F11" s="187" t="s">
        <v>138</v>
      </c>
      <c r="G11" s="188" t="s">
        <v>139</v>
      </c>
      <c r="H11" s="173"/>
      <c r="I11" s="173"/>
      <c r="J11" s="173"/>
      <c r="K11" s="173"/>
      <c r="L11" s="173"/>
      <c r="M11" s="173"/>
    </row>
    <row r="12" spans="2:13" ht="13" x14ac:dyDescent="0.3">
      <c r="B12" s="189" t="s">
        <v>140</v>
      </c>
      <c r="C12" s="190">
        <v>1</v>
      </c>
      <c r="D12" s="284">
        <v>205459944</v>
      </c>
      <c r="E12" s="191">
        <v>70</v>
      </c>
      <c r="F12" s="191">
        <v>0</v>
      </c>
      <c r="G12" s="192">
        <v>0</v>
      </c>
    </row>
    <row r="13" spans="2:13" x14ac:dyDescent="0.25">
      <c r="C13" s="193">
        <v>2</v>
      </c>
      <c r="D13" s="281">
        <v>33195420</v>
      </c>
      <c r="E13" s="180">
        <v>58</v>
      </c>
      <c r="F13" s="180">
        <v>0</v>
      </c>
      <c r="G13" s="181">
        <v>0</v>
      </c>
    </row>
    <row r="14" spans="2:13" x14ac:dyDescent="0.25">
      <c r="C14" s="193">
        <v>3</v>
      </c>
      <c r="D14" s="281">
        <v>126229443</v>
      </c>
      <c r="E14" s="180">
        <v>55</v>
      </c>
      <c r="F14" s="180">
        <v>0</v>
      </c>
      <c r="G14" s="181">
        <v>0</v>
      </c>
    </row>
    <row r="15" spans="2:13" x14ac:dyDescent="0.25">
      <c r="C15" s="193">
        <v>4</v>
      </c>
      <c r="D15" s="281">
        <v>2600820</v>
      </c>
      <c r="E15" s="180">
        <v>21</v>
      </c>
      <c r="F15" s="180">
        <v>0</v>
      </c>
      <c r="G15" s="181">
        <v>0</v>
      </c>
    </row>
    <row r="16" spans="2:13" x14ac:dyDescent="0.25">
      <c r="C16" s="193">
        <v>5</v>
      </c>
      <c r="D16" s="281">
        <v>25989911</v>
      </c>
      <c r="E16" s="180">
        <v>18</v>
      </c>
      <c r="F16" s="180">
        <v>0</v>
      </c>
      <c r="G16" s="181">
        <v>0</v>
      </c>
    </row>
    <row r="17" spans="1:13" ht="13" thickBot="1" x14ac:dyDescent="0.3">
      <c r="C17" s="194" t="s">
        <v>89</v>
      </c>
      <c r="D17" s="195">
        <v>0</v>
      </c>
      <c r="E17" s="196">
        <v>0</v>
      </c>
      <c r="F17" s="196">
        <v>0</v>
      </c>
      <c r="G17" s="197">
        <v>0</v>
      </c>
    </row>
    <row r="18" spans="1:13" ht="13.5" thickBot="1" x14ac:dyDescent="0.35">
      <c r="D18" s="198">
        <v>393475538</v>
      </c>
      <c r="E18" s="198">
        <v>222</v>
      </c>
      <c r="F18" s="198">
        <v>0</v>
      </c>
      <c r="G18" s="198">
        <v>0</v>
      </c>
    </row>
    <row r="19" spans="1:13" ht="13" thickBot="1" x14ac:dyDescent="0.3"/>
    <row r="20" spans="1:13" ht="13.5" thickBot="1" x14ac:dyDescent="0.35">
      <c r="C20" s="169" t="s">
        <v>3</v>
      </c>
      <c r="D20" s="170" t="s">
        <v>136</v>
      </c>
      <c r="E20" s="171" t="s">
        <v>137</v>
      </c>
      <c r="F20" s="171" t="s">
        <v>138</v>
      </c>
      <c r="G20" s="172" t="s">
        <v>139</v>
      </c>
      <c r="I20" s="199" t="s">
        <v>141</v>
      </c>
      <c r="J20" s="200" t="s">
        <v>142</v>
      </c>
    </row>
    <row r="21" spans="1:13" s="167" customFormat="1" ht="13" x14ac:dyDescent="0.3">
      <c r="B21" s="201" t="s">
        <v>2</v>
      </c>
      <c r="C21" s="174">
        <v>1</v>
      </c>
      <c r="D21" s="280">
        <v>540475692</v>
      </c>
      <c r="E21" s="285">
        <v>1660</v>
      </c>
      <c r="F21" s="176">
        <v>0</v>
      </c>
      <c r="G21" s="177">
        <v>0</v>
      </c>
      <c r="I21" s="175">
        <v>540475692</v>
      </c>
      <c r="J21" s="177">
        <v>1660</v>
      </c>
    </row>
    <row r="22" spans="1:13" s="167" customFormat="1" x14ac:dyDescent="0.25">
      <c r="B22" s="166"/>
      <c r="C22" s="178">
        <v>2</v>
      </c>
      <c r="D22" s="281">
        <v>422221285</v>
      </c>
      <c r="E22" s="286">
        <v>2771</v>
      </c>
      <c r="F22" s="180">
        <v>0</v>
      </c>
      <c r="G22" s="181">
        <v>0</v>
      </c>
      <c r="I22" s="179">
        <v>422221285</v>
      </c>
      <c r="J22" s="181">
        <v>2771</v>
      </c>
    </row>
    <row r="23" spans="1:13" s="167" customFormat="1" x14ac:dyDescent="0.25">
      <c r="B23" s="166"/>
      <c r="C23" s="178">
        <v>3</v>
      </c>
      <c r="D23" s="281">
        <v>472519065</v>
      </c>
      <c r="E23" s="286">
        <v>1178</v>
      </c>
      <c r="F23" s="180">
        <v>0</v>
      </c>
      <c r="G23" s="181">
        <v>0</v>
      </c>
      <c r="I23" s="179">
        <v>472519065</v>
      </c>
      <c r="J23" s="181">
        <v>1178</v>
      </c>
    </row>
    <row r="24" spans="1:13" s="167" customFormat="1" x14ac:dyDescent="0.25">
      <c r="B24" s="166"/>
      <c r="C24" s="178">
        <v>4</v>
      </c>
      <c r="D24" s="281">
        <v>239142386</v>
      </c>
      <c r="E24" s="286">
        <v>1664</v>
      </c>
      <c r="F24" s="180">
        <v>0</v>
      </c>
      <c r="G24" s="181">
        <v>0</v>
      </c>
      <c r="I24" s="179">
        <v>239142386</v>
      </c>
      <c r="J24" s="181">
        <v>1664</v>
      </c>
    </row>
    <row r="25" spans="1:13" s="167" customFormat="1" x14ac:dyDescent="0.25">
      <c r="B25" s="166"/>
      <c r="C25" s="178">
        <v>5</v>
      </c>
      <c r="D25" s="281">
        <v>181733562</v>
      </c>
      <c r="E25" s="286">
        <v>794</v>
      </c>
      <c r="F25" s="180">
        <v>0</v>
      </c>
      <c r="G25" s="181">
        <v>0</v>
      </c>
      <c r="I25" s="179">
        <v>181733562</v>
      </c>
      <c r="J25" s="181">
        <v>794</v>
      </c>
    </row>
    <row r="26" spans="1:13" ht="13" thickBot="1" x14ac:dyDescent="0.3">
      <c r="C26" s="287" t="s">
        <v>89</v>
      </c>
      <c r="D26" s="288">
        <v>0</v>
      </c>
      <c r="E26" s="286">
        <v>0</v>
      </c>
      <c r="F26" s="180">
        <v>0</v>
      </c>
      <c r="G26" s="181">
        <v>0</v>
      </c>
      <c r="I26" s="202">
        <v>0</v>
      </c>
      <c r="J26" s="203">
        <v>0</v>
      </c>
    </row>
    <row r="27" spans="1:13" ht="13.5" thickBot="1" x14ac:dyDescent="0.35">
      <c r="D27" s="186">
        <v>1856091990</v>
      </c>
      <c r="E27" s="186">
        <v>8067</v>
      </c>
      <c r="F27" s="186">
        <v>0</v>
      </c>
      <c r="G27" s="186">
        <v>0</v>
      </c>
      <c r="I27" s="204">
        <v>1856091990</v>
      </c>
      <c r="J27" s="205">
        <v>8067</v>
      </c>
    </row>
    <row r="29" spans="1:13" customFormat="1" x14ac:dyDescent="0.25">
      <c r="A29" s="238"/>
      <c r="B29" s="238"/>
      <c r="C29" s="238"/>
      <c r="D29" s="497"/>
      <c r="E29" s="497"/>
      <c r="F29" s="497"/>
      <c r="G29" s="497"/>
      <c r="H29" s="497"/>
      <c r="I29" s="497"/>
      <c r="J29" s="497"/>
      <c r="K29" s="497"/>
      <c r="L29" s="167"/>
      <c r="M29" s="167"/>
    </row>
    <row r="30" spans="1:13" customFormat="1" x14ac:dyDescent="0.25">
      <c r="D30" s="167"/>
      <c r="E30" s="167"/>
      <c r="F30" s="167"/>
      <c r="G30" s="167"/>
      <c r="H30" s="167"/>
      <c r="I30" s="167"/>
      <c r="J30" s="167"/>
      <c r="K30" s="167"/>
      <c r="L30" s="167"/>
      <c r="M30" s="167"/>
    </row>
    <row r="31" spans="1:13" customFormat="1" ht="13" x14ac:dyDescent="0.3">
      <c r="B31" s="102" t="s">
        <v>132</v>
      </c>
      <c r="D31" s="167" t="b">
        <f>D9=SUM(D3:D8)</f>
        <v>1</v>
      </c>
      <c r="E31" s="167" t="b">
        <f t="shared" ref="E31:G31" si="0">E9=SUM(E3:E8)</f>
        <v>1</v>
      </c>
      <c r="F31" s="167" t="b">
        <f t="shared" si="0"/>
        <v>1</v>
      </c>
      <c r="G31" s="167" t="b">
        <f t="shared" si="0"/>
        <v>1</v>
      </c>
      <c r="H31" s="167"/>
      <c r="I31" s="167"/>
      <c r="J31" s="167"/>
      <c r="K31" s="167"/>
      <c r="L31" s="167"/>
      <c r="M31" s="167"/>
    </row>
    <row r="32" spans="1:13" customFormat="1" x14ac:dyDescent="0.25">
      <c r="D32" s="167"/>
      <c r="E32" s="167"/>
      <c r="F32" s="167"/>
      <c r="G32" s="167"/>
      <c r="H32" s="167"/>
      <c r="I32" s="167"/>
      <c r="J32" s="167"/>
      <c r="K32" s="167"/>
      <c r="L32" s="167"/>
      <c r="M32" s="167"/>
    </row>
    <row r="33" spans="2:13" customFormat="1" ht="13" x14ac:dyDescent="0.3">
      <c r="B33" s="97" t="s">
        <v>140</v>
      </c>
      <c r="D33" s="167" t="b">
        <f>D18=SUM(D12:D17)</f>
        <v>1</v>
      </c>
      <c r="E33" s="167" t="b">
        <f t="shared" ref="E33:F33" si="1">E18=SUM(E12:E17)</f>
        <v>1</v>
      </c>
      <c r="F33" s="167" t="b">
        <f t="shared" si="1"/>
        <v>1</v>
      </c>
      <c r="G33" s="167" t="b">
        <f>G18=SUM(G12:G17)</f>
        <v>1</v>
      </c>
      <c r="H33" s="167"/>
      <c r="I33" s="167"/>
      <c r="J33" s="167"/>
      <c r="K33" s="167"/>
      <c r="L33" s="167"/>
      <c r="M33" s="167"/>
    </row>
    <row r="34" spans="2:13" customFormat="1" x14ac:dyDescent="0.25">
      <c r="D34" s="167"/>
      <c r="E34" s="167"/>
      <c r="F34" s="167"/>
      <c r="G34" s="167"/>
      <c r="H34" s="167"/>
      <c r="I34" s="167"/>
      <c r="J34" s="167"/>
      <c r="K34" s="167"/>
      <c r="L34" s="167"/>
      <c r="M34" s="167"/>
    </row>
    <row r="35" spans="2:13" customFormat="1" ht="13" x14ac:dyDescent="0.3">
      <c r="B35" s="97" t="s">
        <v>2</v>
      </c>
      <c r="D35" s="167" t="b">
        <f>D27=SUM(D21:D26)</f>
        <v>1</v>
      </c>
      <c r="E35" s="167" t="b">
        <f t="shared" ref="E35:J35" si="2">E27=SUM(E21:E26)</f>
        <v>1</v>
      </c>
      <c r="F35" s="167" t="b">
        <f>F27=SUM(F21:F26)</f>
        <v>1</v>
      </c>
      <c r="G35" s="167" t="b">
        <f t="shared" si="2"/>
        <v>1</v>
      </c>
      <c r="H35" s="167"/>
      <c r="I35" s="167" t="b">
        <f t="shared" si="2"/>
        <v>1</v>
      </c>
      <c r="J35" s="167" t="b">
        <f t="shared" si="2"/>
        <v>1</v>
      </c>
      <c r="K35" s="167"/>
      <c r="L35" s="167"/>
      <c r="M35" s="167"/>
    </row>
    <row r="36" spans="2:13" customFormat="1" x14ac:dyDescent="0.25">
      <c r="D36" s="167"/>
      <c r="E36" s="167"/>
      <c r="F36" s="167"/>
      <c r="G36" s="167"/>
      <c r="H36" s="167"/>
      <c r="I36" s="167"/>
      <c r="J36" s="167"/>
      <c r="K36" s="167"/>
      <c r="L36" s="167"/>
      <c r="M36" s="167"/>
    </row>
    <row r="37" spans="2:13" customFormat="1" x14ac:dyDescent="0.25">
      <c r="D37" s="167"/>
      <c r="E37" s="167"/>
      <c r="F37" s="167"/>
      <c r="G37" s="167"/>
      <c r="H37" s="167"/>
      <c r="I37" s="167"/>
      <c r="J37" s="167"/>
      <c r="K37" s="167"/>
      <c r="L37" s="167"/>
      <c r="M37" s="167"/>
    </row>
    <row r="69" spans="5:5" x14ac:dyDescent="0.25">
      <c r="E69" s="167">
        <f>C69-G17</f>
        <v>0</v>
      </c>
    </row>
  </sheetData>
  <conditionalFormatting sqref="D31:G31">
    <cfRule type="cellIs" dxfId="88" priority="5" operator="notEqual">
      <formula>TRUE</formula>
    </cfRule>
  </conditionalFormatting>
  <conditionalFormatting sqref="D33:G33">
    <cfRule type="cellIs" dxfId="87" priority="4" operator="notEqual">
      <formula>TRUE</formula>
    </cfRule>
  </conditionalFormatting>
  <conditionalFormatting sqref="D35:G35">
    <cfRule type="cellIs" dxfId="86" priority="3" operator="notEqual">
      <formula>TRUE</formula>
    </cfRule>
  </conditionalFormatting>
  <conditionalFormatting sqref="I35:J35">
    <cfRule type="cellIs" dxfId="85" priority="1" operator="notEqual">
      <formula>TRUE</formula>
    </cfRule>
  </conditionalFormatting>
  <printOptions horizontalCentered="1" verticalCentered="1"/>
  <pageMargins left="0.70866141732283472" right="0.70866141732283472" top="0.74803149606299213" bottom="0.74803149606299213" header="0.31496062992125984" footer="0.31496062992125984"/>
  <pageSetup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81"/>
  <sheetViews>
    <sheetView zoomScale="90" zoomScaleNormal="90" workbookViewId="0"/>
  </sheetViews>
  <sheetFormatPr baseColWidth="10" defaultRowHeight="12.5" x14ac:dyDescent="0.25"/>
  <cols>
    <col min="1" max="1" width="6" customWidth="1"/>
    <col min="2" max="2" width="47.7265625" bestFit="1" customWidth="1"/>
    <col min="3" max="9" width="22.7265625" customWidth="1"/>
    <col min="10" max="10" width="17.7265625" customWidth="1"/>
  </cols>
  <sheetData>
    <row r="1" spans="1:10" ht="13" x14ac:dyDescent="0.25">
      <c r="C1" s="248" t="s">
        <v>155</v>
      </c>
      <c r="D1" s="248" t="s">
        <v>76</v>
      </c>
      <c r="E1" s="248" t="s">
        <v>85</v>
      </c>
      <c r="F1" s="248" t="s">
        <v>120</v>
      </c>
      <c r="G1" s="248" t="s">
        <v>326</v>
      </c>
      <c r="H1" s="248" t="s">
        <v>119</v>
      </c>
      <c r="I1" s="248" t="s">
        <v>70</v>
      </c>
    </row>
    <row r="2" spans="1:10" ht="13" x14ac:dyDescent="0.3">
      <c r="B2" t="s">
        <v>97</v>
      </c>
      <c r="C2" s="249">
        <f>C13+C23+C32+C41+C51</f>
        <v>56225936823</v>
      </c>
      <c r="D2" s="249">
        <f t="shared" ref="D2:F2" si="0">D13+D23+D32+D41+D51</f>
        <v>0</v>
      </c>
      <c r="E2" s="249">
        <f t="shared" si="0"/>
        <v>0</v>
      </c>
      <c r="F2" s="249">
        <f t="shared" si="0"/>
        <v>20835040</v>
      </c>
      <c r="G2" s="249">
        <f>G13+G23+G32+G41+G51</f>
        <v>126372915</v>
      </c>
      <c r="H2" s="249">
        <f>H13+H23+H32+H41+H51</f>
        <v>1759975321.98</v>
      </c>
      <c r="I2" s="250">
        <f>SUM(C2:H2)</f>
        <v>58133120099.980003</v>
      </c>
    </row>
    <row r="3" spans="1:10" ht="13" x14ac:dyDescent="0.3">
      <c r="B3" t="s">
        <v>98</v>
      </c>
      <c r="C3" s="249">
        <f>C14+C24+C33+C42+C52</f>
        <v>192969109</v>
      </c>
      <c r="D3" s="249">
        <f t="shared" ref="D3:H5" si="1">D14+D24+D33+D42+D52</f>
        <v>0</v>
      </c>
      <c r="E3" s="249">
        <f t="shared" si="1"/>
        <v>0</v>
      </c>
      <c r="F3" s="249">
        <f t="shared" si="1"/>
        <v>23750820</v>
      </c>
      <c r="G3" s="249">
        <f>G14+G24+G33+G42+G52</f>
        <v>3163741</v>
      </c>
      <c r="H3" s="249">
        <f t="shared" si="1"/>
        <v>61262182.789999999</v>
      </c>
      <c r="I3" s="250">
        <f>SUM(C3:H3)</f>
        <v>281145852.79000002</v>
      </c>
      <c r="J3" s="252" t="s">
        <v>1</v>
      </c>
    </row>
    <row r="4" spans="1:10" ht="13" x14ac:dyDescent="0.3">
      <c r="B4" t="s">
        <v>131</v>
      </c>
      <c r="C4" s="249">
        <f>C15+C25+C34+C43+C53</f>
        <v>0</v>
      </c>
      <c r="D4" s="249">
        <f t="shared" si="1"/>
        <v>0</v>
      </c>
      <c r="E4" s="249">
        <f t="shared" si="1"/>
        <v>0</v>
      </c>
      <c r="F4" s="249">
        <f t="shared" si="1"/>
        <v>0</v>
      </c>
      <c r="G4" s="249">
        <f t="shared" ref="G4" si="2">G15+G25+G34+G43+G53</f>
        <v>0</v>
      </c>
      <c r="H4" s="249">
        <f t="shared" si="1"/>
        <v>34854485.229999997</v>
      </c>
      <c r="I4" s="250">
        <f>SUM(C4:H4)</f>
        <v>34854485.229999997</v>
      </c>
    </row>
    <row r="5" spans="1:10" ht="13" x14ac:dyDescent="0.3">
      <c r="B5" t="s">
        <v>168</v>
      </c>
      <c r="C5" s="249">
        <f>C16+C26+C35+C44+C54</f>
        <v>0</v>
      </c>
      <c r="D5" s="249">
        <f t="shared" si="1"/>
        <v>0</v>
      </c>
      <c r="E5" s="249">
        <f t="shared" si="1"/>
        <v>0</v>
      </c>
      <c r="F5" s="249">
        <f t="shared" si="1"/>
        <v>0</v>
      </c>
      <c r="G5" s="249">
        <f t="shared" ref="G5" si="3">G16+G26+G35+G44+G54</f>
        <v>0</v>
      </c>
      <c r="H5" s="249">
        <f t="shared" si="1"/>
        <v>0</v>
      </c>
      <c r="I5" s="250">
        <f>SUM(C5:H5)</f>
        <v>0</v>
      </c>
    </row>
    <row r="6" spans="1:10" ht="13" x14ac:dyDescent="0.3">
      <c r="B6" t="s">
        <v>70</v>
      </c>
      <c r="C6" s="250">
        <f>SUM(C2:C5)</f>
        <v>56418905932</v>
      </c>
      <c r="D6" s="250">
        <f t="shared" ref="D6:H6" si="4">SUM(D2:D5)</f>
        <v>0</v>
      </c>
      <c r="E6" s="250">
        <f t="shared" si="4"/>
        <v>0</v>
      </c>
      <c r="F6" s="250">
        <f t="shared" si="4"/>
        <v>44585860</v>
      </c>
      <c r="G6" s="250">
        <f>SUM(G2:G5)</f>
        <v>129536656</v>
      </c>
      <c r="H6" s="250">
        <f t="shared" si="4"/>
        <v>1856091990</v>
      </c>
      <c r="I6" s="250">
        <f>SUM(I2:I5)</f>
        <v>58449120438.000008</v>
      </c>
    </row>
    <row r="7" spans="1:10" x14ac:dyDescent="0.25">
      <c r="C7" s="251" t="b">
        <f>C6=(C17+C27+C36+C45+C55)</f>
        <v>1</v>
      </c>
      <c r="D7" s="251" t="b">
        <f t="shared" ref="D7:H7" si="5">D6=(D17+D27+D36+D45+D55)</f>
        <v>1</v>
      </c>
      <c r="E7" s="251" t="b">
        <f t="shared" si="5"/>
        <v>1</v>
      </c>
      <c r="F7" s="251" t="b">
        <f t="shared" si="5"/>
        <v>1</v>
      </c>
      <c r="G7" s="251"/>
      <c r="H7" s="251" t="b">
        <f t="shared" si="5"/>
        <v>1</v>
      </c>
      <c r="I7" s="251" t="b">
        <f>I6=(I17+I27+I36+I45+I55)</f>
        <v>1</v>
      </c>
    </row>
    <row r="8" spans="1:10" x14ac:dyDescent="0.25">
      <c r="A8" s="238"/>
      <c r="B8" s="238"/>
      <c r="C8" s="238"/>
      <c r="D8" s="238"/>
      <c r="E8" s="238"/>
      <c r="F8" s="238"/>
      <c r="G8" s="238"/>
      <c r="H8" s="238"/>
      <c r="I8" s="238"/>
      <c r="J8" s="238"/>
    </row>
    <row r="10" spans="1:10" ht="13" x14ac:dyDescent="0.3">
      <c r="B10" s="97" t="s">
        <v>99</v>
      </c>
      <c r="H10" s="212"/>
    </row>
    <row r="11" spans="1:10" x14ac:dyDescent="0.25">
      <c r="B11" s="114" t="s">
        <v>96</v>
      </c>
    </row>
    <row r="12" spans="1:10" x14ac:dyDescent="0.25">
      <c r="C12" s="89" t="s">
        <v>155</v>
      </c>
      <c r="D12" s="89" t="s">
        <v>76</v>
      </c>
      <c r="E12" s="89" t="s">
        <v>85</v>
      </c>
      <c r="F12" s="89" t="s">
        <v>120</v>
      </c>
      <c r="G12" s="89" t="s">
        <v>326</v>
      </c>
      <c r="H12" s="89" t="s">
        <v>119</v>
      </c>
      <c r="I12" s="89" t="s">
        <v>70</v>
      </c>
    </row>
    <row r="13" spans="1:10" x14ac:dyDescent="0.25">
      <c r="B13" t="s">
        <v>97</v>
      </c>
      <c r="C13" s="244">
        <v>16194517449</v>
      </c>
      <c r="D13" s="244"/>
      <c r="E13" s="244"/>
      <c r="F13" s="244"/>
      <c r="G13" s="244"/>
      <c r="H13" s="244">
        <v>523782724.81</v>
      </c>
      <c r="I13" s="246">
        <f>SUM(C13:H13)</f>
        <v>16718300173.809999</v>
      </c>
      <c r="J13" s="251" t="b">
        <f>SUM(C13:H13)=I13</f>
        <v>1</v>
      </c>
    </row>
    <row r="14" spans="1:10" x14ac:dyDescent="0.25">
      <c r="B14" s="89" t="s">
        <v>98</v>
      </c>
      <c r="C14" s="244">
        <v>50286069</v>
      </c>
      <c r="D14" s="244"/>
      <c r="E14" s="244"/>
      <c r="F14" s="244"/>
      <c r="G14" s="244"/>
      <c r="H14" s="244">
        <v>12466967.189999999</v>
      </c>
      <c r="I14" s="246">
        <f t="shared" ref="I14:I16" si="6">SUM(C14:H14)</f>
        <v>62753036.189999998</v>
      </c>
      <c r="J14" s="251" t="b">
        <f t="shared" ref="J14:J17" si="7">SUM(C14:H14)=I14</f>
        <v>1</v>
      </c>
    </row>
    <row r="15" spans="1:10" x14ac:dyDescent="0.25">
      <c r="B15" t="s">
        <v>131</v>
      </c>
      <c r="C15" s="244">
        <v>0</v>
      </c>
      <c r="D15" s="244"/>
      <c r="E15" s="244"/>
      <c r="F15" s="244"/>
      <c r="G15" s="244"/>
      <c r="H15" s="244">
        <v>4226000</v>
      </c>
      <c r="I15" s="246">
        <f t="shared" si="6"/>
        <v>4226000</v>
      </c>
      <c r="J15" s="251" t="b">
        <f t="shared" si="7"/>
        <v>1</v>
      </c>
    </row>
    <row r="16" spans="1:10" x14ac:dyDescent="0.25">
      <c r="B16" t="s">
        <v>168</v>
      </c>
      <c r="C16" s="244">
        <v>0</v>
      </c>
      <c r="D16" s="244"/>
      <c r="E16" s="244"/>
      <c r="F16" s="244"/>
      <c r="G16" s="244"/>
      <c r="H16" s="244"/>
      <c r="I16" s="246">
        <f t="shared" si="6"/>
        <v>0</v>
      </c>
      <c r="J16" s="251" t="b">
        <f t="shared" si="7"/>
        <v>1</v>
      </c>
    </row>
    <row r="17" spans="2:11" x14ac:dyDescent="0.25">
      <c r="B17" s="89" t="s">
        <v>70</v>
      </c>
      <c r="C17" s="244">
        <f>SUM(C13:C16)</f>
        <v>16244803518</v>
      </c>
      <c r="D17" s="244">
        <f t="shared" ref="D17:F17" si="8">SUM(D13:D16)</f>
        <v>0</v>
      </c>
      <c r="E17" s="244">
        <f t="shared" si="8"/>
        <v>0</v>
      </c>
      <c r="F17" s="244">
        <f t="shared" si="8"/>
        <v>0</v>
      </c>
      <c r="G17" s="244">
        <f>SUM(G13:G16)</f>
        <v>0</v>
      </c>
      <c r="H17" s="244">
        <f>SUM(H13:H16)</f>
        <v>540475692</v>
      </c>
      <c r="I17" s="247">
        <f>SUM(I13:I16)</f>
        <v>16785279210</v>
      </c>
      <c r="J17" s="251" t="b">
        <f t="shared" si="7"/>
        <v>1</v>
      </c>
      <c r="K17" s="122"/>
    </row>
    <row r="18" spans="2:11" x14ac:dyDescent="0.25">
      <c r="B18" s="89"/>
      <c r="C18" s="113"/>
      <c r="D18" s="113"/>
      <c r="E18" s="113"/>
      <c r="F18" s="113"/>
      <c r="G18" s="113"/>
      <c r="H18" s="113"/>
      <c r="I18" s="113"/>
    </row>
    <row r="19" spans="2:11" x14ac:dyDescent="0.25">
      <c r="C19" s="143"/>
      <c r="D19" s="212"/>
      <c r="I19" s="212"/>
    </row>
    <row r="20" spans="2:11" x14ac:dyDescent="0.25">
      <c r="B20" t="s">
        <v>100</v>
      </c>
    </row>
    <row r="21" spans="2:11" x14ac:dyDescent="0.25">
      <c r="B21" s="114" t="s">
        <v>96</v>
      </c>
    </row>
    <row r="22" spans="2:11" x14ac:dyDescent="0.25">
      <c r="C22" s="89" t="s">
        <v>155</v>
      </c>
      <c r="D22" s="89" t="s">
        <v>76</v>
      </c>
      <c r="E22" s="89" t="s">
        <v>85</v>
      </c>
      <c r="F22" s="89" t="s">
        <v>120</v>
      </c>
      <c r="G22" s="89" t="s">
        <v>326</v>
      </c>
      <c r="H22" s="89" t="s">
        <v>119</v>
      </c>
      <c r="I22" t="s">
        <v>70</v>
      </c>
    </row>
    <row r="23" spans="2:11" x14ac:dyDescent="0.25">
      <c r="B23" t="s">
        <v>97</v>
      </c>
      <c r="C23" s="244">
        <v>11785775189</v>
      </c>
      <c r="D23" s="244"/>
      <c r="E23" s="244">
        <v>0</v>
      </c>
      <c r="F23" s="244">
        <v>13570060</v>
      </c>
      <c r="G23" s="244"/>
      <c r="H23" s="244">
        <v>390172374</v>
      </c>
      <c r="I23" s="246">
        <f>SUM(C23:H23)</f>
        <v>12189517623</v>
      </c>
      <c r="J23" s="251" t="b">
        <f t="shared" ref="J23:J26" si="9">SUM(C23:H23)=I23</f>
        <v>1</v>
      </c>
    </row>
    <row r="24" spans="2:11" x14ac:dyDescent="0.25">
      <c r="B24" s="89" t="s">
        <v>98</v>
      </c>
      <c r="C24" s="244">
        <v>47435723</v>
      </c>
      <c r="D24" s="244"/>
      <c r="E24" s="244">
        <v>0</v>
      </c>
      <c r="F24" s="244">
        <v>15775490</v>
      </c>
      <c r="G24" s="244"/>
      <c r="H24" s="244">
        <v>32048911</v>
      </c>
      <c r="I24" s="246">
        <f t="shared" ref="I24:I26" si="10">SUM(C24:H24)</f>
        <v>95260124</v>
      </c>
      <c r="J24" s="251" t="b">
        <f t="shared" si="9"/>
        <v>1</v>
      </c>
    </row>
    <row r="25" spans="2:11" x14ac:dyDescent="0.25">
      <c r="B25" s="89" t="s">
        <v>131</v>
      </c>
      <c r="C25" s="244">
        <v>0</v>
      </c>
      <c r="D25" s="244"/>
      <c r="E25" s="244">
        <v>0</v>
      </c>
      <c r="F25" s="244">
        <v>0</v>
      </c>
      <c r="G25" s="244"/>
      <c r="H25" s="244">
        <v>0</v>
      </c>
      <c r="I25" s="246">
        <f t="shared" si="10"/>
        <v>0</v>
      </c>
      <c r="J25" s="251" t="b">
        <f t="shared" si="9"/>
        <v>1</v>
      </c>
    </row>
    <row r="26" spans="2:11" x14ac:dyDescent="0.25">
      <c r="B26" s="89" t="s">
        <v>168</v>
      </c>
      <c r="C26" s="244"/>
      <c r="D26" s="244"/>
      <c r="E26" s="244"/>
      <c r="F26" s="244">
        <v>0</v>
      </c>
      <c r="G26" s="244"/>
      <c r="H26" s="244">
        <v>0</v>
      </c>
      <c r="I26" s="246">
        <f t="shared" si="10"/>
        <v>0</v>
      </c>
      <c r="J26" s="251" t="b">
        <f t="shared" si="9"/>
        <v>1</v>
      </c>
    </row>
    <row r="27" spans="2:11" x14ac:dyDescent="0.25">
      <c r="B27" s="89" t="s">
        <v>70</v>
      </c>
      <c r="C27" s="244">
        <f>SUM(C23:C26)</f>
        <v>11833210912</v>
      </c>
      <c r="D27" s="244">
        <f t="shared" ref="D27:E27" si="11">SUM(D23:D26)</f>
        <v>0</v>
      </c>
      <c r="E27" s="244">
        <f t="shared" si="11"/>
        <v>0</v>
      </c>
      <c r="F27" s="244">
        <f>SUM(F23:F26)</f>
        <v>29345550</v>
      </c>
      <c r="G27" s="244">
        <f>SUM(G23:G26)</f>
        <v>0</v>
      </c>
      <c r="H27" s="244">
        <f>SUM(H23:H26)</f>
        <v>422221285</v>
      </c>
      <c r="I27" s="247">
        <f>SUM(I23:I26)</f>
        <v>12284777747</v>
      </c>
      <c r="J27" s="251" t="b">
        <f>SUM(C27:H27)=I27</f>
        <v>1</v>
      </c>
    </row>
    <row r="29" spans="2:11" x14ac:dyDescent="0.25">
      <c r="B29" t="s">
        <v>101</v>
      </c>
      <c r="H29" s="212"/>
      <c r="I29" s="212"/>
    </row>
    <row r="30" spans="2:11" x14ac:dyDescent="0.25">
      <c r="B30" s="114" t="s">
        <v>96</v>
      </c>
    </row>
    <row r="31" spans="2:11" x14ac:dyDescent="0.25">
      <c r="C31" s="89" t="s">
        <v>155</v>
      </c>
      <c r="D31" s="89" t="s">
        <v>76</v>
      </c>
      <c r="E31" s="89" t="s">
        <v>85</v>
      </c>
      <c r="F31" s="89" t="s">
        <v>120</v>
      </c>
      <c r="G31" s="89" t="s">
        <v>326</v>
      </c>
      <c r="H31" s="89" t="s">
        <v>119</v>
      </c>
      <c r="I31" t="s">
        <v>70</v>
      </c>
    </row>
    <row r="32" spans="2:11" x14ac:dyDescent="0.25">
      <c r="B32" s="89" t="s">
        <v>97</v>
      </c>
      <c r="C32" s="244">
        <v>9664176949</v>
      </c>
      <c r="D32" s="244"/>
      <c r="E32" s="244"/>
      <c r="F32" s="244">
        <v>0</v>
      </c>
      <c r="G32" s="244"/>
      <c r="H32" s="244">
        <v>466628267.88999999</v>
      </c>
      <c r="I32" s="246">
        <f>SUM(C32:H32)</f>
        <v>10130805216.889999</v>
      </c>
      <c r="J32" s="251" t="b">
        <f>SUM(C32:H32)=I32</f>
        <v>1</v>
      </c>
    </row>
    <row r="33" spans="2:10" x14ac:dyDescent="0.25">
      <c r="B33" s="89" t="s">
        <v>98</v>
      </c>
      <c r="C33" s="244">
        <v>21042512</v>
      </c>
      <c r="D33" s="244"/>
      <c r="E33" s="244"/>
      <c r="F33" s="244">
        <v>0</v>
      </c>
      <c r="G33" s="244"/>
      <c r="H33" s="244">
        <v>2387269</v>
      </c>
      <c r="I33" s="246">
        <f>SUM(C33:H33)</f>
        <v>23429781</v>
      </c>
      <c r="J33" s="251" t="b">
        <f t="shared" ref="J33:J36" si="12">SUM(C33:H33)=I33</f>
        <v>1</v>
      </c>
    </row>
    <row r="34" spans="2:10" x14ac:dyDescent="0.25">
      <c r="B34" s="89" t="s">
        <v>131</v>
      </c>
      <c r="C34" s="244">
        <v>0</v>
      </c>
      <c r="D34" s="244"/>
      <c r="E34" s="244"/>
      <c r="F34" s="244">
        <v>0</v>
      </c>
      <c r="G34" s="244"/>
      <c r="H34" s="244">
        <v>3503528.11</v>
      </c>
      <c r="I34" s="246">
        <f>SUM(C34:H34)</f>
        <v>3503528.11</v>
      </c>
      <c r="J34" s="251" t="b">
        <f t="shared" si="12"/>
        <v>1</v>
      </c>
    </row>
    <row r="35" spans="2:10" x14ac:dyDescent="0.25">
      <c r="B35" s="89" t="s">
        <v>168</v>
      </c>
      <c r="C35" s="244">
        <v>0</v>
      </c>
      <c r="D35" s="244"/>
      <c r="E35" s="244"/>
      <c r="F35" s="244">
        <v>0</v>
      </c>
      <c r="G35" s="244"/>
      <c r="H35" s="244"/>
      <c r="I35" s="246">
        <f>SUM(C35:H35)</f>
        <v>0</v>
      </c>
      <c r="J35" s="251" t="b">
        <f t="shared" si="12"/>
        <v>1</v>
      </c>
    </row>
    <row r="36" spans="2:10" x14ac:dyDescent="0.25">
      <c r="B36" s="89" t="s">
        <v>70</v>
      </c>
      <c r="C36" s="244">
        <f>SUM(C32:C35)</f>
        <v>9685219461</v>
      </c>
      <c r="D36" s="244">
        <f t="shared" ref="D36:G36" si="13">SUM(D32:D35)</f>
        <v>0</v>
      </c>
      <c r="E36" s="244">
        <f t="shared" si="13"/>
        <v>0</v>
      </c>
      <c r="F36" s="244">
        <f t="shared" si="13"/>
        <v>0</v>
      </c>
      <c r="G36" s="244">
        <f t="shared" si="13"/>
        <v>0</v>
      </c>
      <c r="H36" s="244">
        <f>SUM(H32:H35)</f>
        <v>472519065</v>
      </c>
      <c r="I36" s="247">
        <f>SUM(I32:I35)</f>
        <v>10157738526</v>
      </c>
      <c r="J36" s="251" t="b">
        <f t="shared" si="12"/>
        <v>1</v>
      </c>
    </row>
    <row r="38" spans="2:10" x14ac:dyDescent="0.25">
      <c r="B38" t="s">
        <v>102</v>
      </c>
    </row>
    <row r="39" spans="2:10" x14ac:dyDescent="0.25">
      <c r="B39" s="114" t="s">
        <v>96</v>
      </c>
    </row>
    <row r="40" spans="2:10" x14ac:dyDescent="0.25">
      <c r="C40" s="89" t="s">
        <v>155</v>
      </c>
      <c r="D40" s="89" t="s">
        <v>76</v>
      </c>
      <c r="E40" s="89" t="s">
        <v>85</v>
      </c>
      <c r="F40" s="89" t="s">
        <v>120</v>
      </c>
      <c r="G40" s="89" t="s">
        <v>326</v>
      </c>
      <c r="H40" s="89" t="s">
        <v>119</v>
      </c>
      <c r="I40" s="89" t="s">
        <v>70</v>
      </c>
    </row>
    <row r="41" spans="2:10" x14ac:dyDescent="0.25">
      <c r="B41" s="89" t="s">
        <v>97</v>
      </c>
      <c r="C41" s="244">
        <v>10340898687</v>
      </c>
      <c r="D41" s="244"/>
      <c r="E41" s="244">
        <v>0</v>
      </c>
      <c r="F41" s="244">
        <v>7264980</v>
      </c>
      <c r="G41" s="244"/>
      <c r="H41" s="244">
        <v>200757639.13</v>
      </c>
      <c r="I41" s="246">
        <f t="shared" ref="I41:I44" si="14">SUM(C41:H41)</f>
        <v>10548921306.129999</v>
      </c>
      <c r="J41" s="251" t="b">
        <f>SUM(C41:H41)=I41</f>
        <v>1</v>
      </c>
    </row>
    <row r="42" spans="2:10" x14ac:dyDescent="0.25">
      <c r="B42" s="89" t="s">
        <v>98</v>
      </c>
      <c r="C42" s="244">
        <v>35795695</v>
      </c>
      <c r="D42" s="244"/>
      <c r="E42" s="244">
        <v>0</v>
      </c>
      <c r="F42" s="244">
        <v>7975330</v>
      </c>
      <c r="G42" s="244"/>
      <c r="H42" s="244">
        <v>11928035.6</v>
      </c>
      <c r="I42" s="246">
        <f t="shared" si="14"/>
        <v>55699060.600000001</v>
      </c>
      <c r="J42" s="251" t="b">
        <f t="shared" ref="J42:J45" si="15">SUM(C42:H42)=I42</f>
        <v>1</v>
      </c>
    </row>
    <row r="43" spans="2:10" x14ac:dyDescent="0.25">
      <c r="B43" s="89" t="s">
        <v>131</v>
      </c>
      <c r="C43" s="244">
        <v>0</v>
      </c>
      <c r="D43" s="244"/>
      <c r="E43" s="244">
        <v>0</v>
      </c>
      <c r="F43" s="244">
        <v>0</v>
      </c>
      <c r="G43" s="244"/>
      <c r="H43" s="244">
        <v>26456711.27</v>
      </c>
      <c r="I43" s="246">
        <f t="shared" si="14"/>
        <v>26456711.27</v>
      </c>
      <c r="J43" s="251" t="b">
        <f t="shared" si="15"/>
        <v>1</v>
      </c>
    </row>
    <row r="44" spans="2:10" x14ac:dyDescent="0.25">
      <c r="B44" s="89" t="s">
        <v>168</v>
      </c>
      <c r="C44" s="244"/>
      <c r="D44" s="244"/>
      <c r="E44" s="244"/>
      <c r="F44" s="244"/>
      <c r="G44" s="244"/>
      <c r="H44" s="244"/>
      <c r="I44" s="246">
        <f t="shared" si="14"/>
        <v>0</v>
      </c>
      <c r="J44" s="251" t="b">
        <f t="shared" si="15"/>
        <v>1</v>
      </c>
    </row>
    <row r="45" spans="2:10" x14ac:dyDescent="0.25">
      <c r="B45" s="89" t="s">
        <v>70</v>
      </c>
      <c r="C45" s="244">
        <f>SUM(C41:C44)</f>
        <v>10376694382</v>
      </c>
      <c r="D45" s="244">
        <f t="shared" ref="D45:E45" si="16">SUM(D41:D44)</f>
        <v>0</v>
      </c>
      <c r="E45" s="244">
        <f t="shared" si="16"/>
        <v>0</v>
      </c>
      <c r="F45" s="244">
        <f>SUM(F41:F44)</f>
        <v>15240310</v>
      </c>
      <c r="G45" s="244">
        <f>SUM(G41:G44)</f>
        <v>0</v>
      </c>
      <c r="H45" s="244">
        <f>SUM(H41:H44)</f>
        <v>239142386</v>
      </c>
      <c r="I45" s="247">
        <f>SUM(I41:I44)</f>
        <v>10631077078</v>
      </c>
      <c r="J45" s="251" t="b">
        <f t="shared" si="15"/>
        <v>1</v>
      </c>
    </row>
    <row r="46" spans="2:10" x14ac:dyDescent="0.25">
      <c r="B46" s="89"/>
      <c r="C46" s="113"/>
      <c r="D46" s="113"/>
      <c r="E46" s="113"/>
      <c r="F46" s="113"/>
      <c r="G46" s="113"/>
      <c r="H46" s="113"/>
    </row>
    <row r="47" spans="2:10" x14ac:dyDescent="0.25">
      <c r="F47" s="212"/>
      <c r="G47" s="212"/>
    </row>
    <row r="48" spans="2:10" x14ac:dyDescent="0.25">
      <c r="B48" t="s">
        <v>103</v>
      </c>
    </row>
    <row r="49" spans="2:10" x14ac:dyDescent="0.25">
      <c r="B49" s="114" t="s">
        <v>96</v>
      </c>
    </row>
    <row r="50" spans="2:10" x14ac:dyDescent="0.25">
      <c r="C50" s="89" t="s">
        <v>155</v>
      </c>
      <c r="D50" s="89" t="s">
        <v>76</v>
      </c>
      <c r="E50" s="89" t="s">
        <v>85</v>
      </c>
      <c r="F50" s="89" t="s">
        <v>120</v>
      </c>
      <c r="G50" s="89" t="s">
        <v>326</v>
      </c>
      <c r="H50" s="89" t="s">
        <v>119</v>
      </c>
      <c r="I50" s="89" t="s">
        <v>70</v>
      </c>
    </row>
    <row r="51" spans="2:10" x14ac:dyDescent="0.25">
      <c r="B51" t="s">
        <v>97</v>
      </c>
      <c r="C51" s="583">
        <v>8240568549</v>
      </c>
      <c r="D51" s="244"/>
      <c r="E51" s="244"/>
      <c r="F51" s="244"/>
      <c r="G51" s="244">
        <v>126372915</v>
      </c>
      <c r="H51" s="583">
        <v>178634316.15000001</v>
      </c>
      <c r="I51" s="246">
        <f t="shared" ref="I51:I54" si="17">SUM(C51:H51)</f>
        <v>8545575780.1499996</v>
      </c>
      <c r="J51" s="251" t="b">
        <f>SUM(C51:H51)=I51</f>
        <v>1</v>
      </c>
    </row>
    <row r="52" spans="2:10" ht="11.5" customHeight="1" x14ac:dyDescent="0.25">
      <c r="B52" s="89" t="s">
        <v>98</v>
      </c>
      <c r="C52" s="583">
        <v>38409110</v>
      </c>
      <c r="D52" s="244"/>
      <c r="E52" s="244"/>
      <c r="F52" s="244"/>
      <c r="G52" s="244">
        <v>3163741</v>
      </c>
      <c r="H52" s="583">
        <v>2431000</v>
      </c>
      <c r="I52" s="246">
        <f>SUM(C52:H52)</f>
        <v>44003851</v>
      </c>
      <c r="J52" s="251" t="b">
        <f t="shared" ref="J52:J55" si="18">SUM(C52:H52)=I52</f>
        <v>1</v>
      </c>
    </row>
    <row r="53" spans="2:10" x14ac:dyDescent="0.25">
      <c r="B53" s="89" t="s">
        <v>131</v>
      </c>
      <c r="C53" s="583">
        <v>0</v>
      </c>
      <c r="D53" s="244"/>
      <c r="E53" s="244"/>
      <c r="F53" s="244"/>
      <c r="G53" s="244">
        <v>0</v>
      </c>
      <c r="H53" s="583">
        <v>668245.85</v>
      </c>
      <c r="I53" s="246">
        <f t="shared" si="17"/>
        <v>668245.85</v>
      </c>
      <c r="J53" s="251" t="b">
        <f t="shared" si="18"/>
        <v>1</v>
      </c>
    </row>
    <row r="54" spans="2:10" x14ac:dyDescent="0.25">
      <c r="B54" s="89" t="s">
        <v>168</v>
      </c>
      <c r="C54" s="244">
        <v>0</v>
      </c>
      <c r="D54" s="244"/>
      <c r="E54" s="244"/>
      <c r="F54" s="244"/>
      <c r="G54" s="244"/>
      <c r="H54" s="244"/>
      <c r="I54" s="246">
        <f t="shared" si="17"/>
        <v>0</v>
      </c>
      <c r="J54" s="251" t="b">
        <f t="shared" si="18"/>
        <v>1</v>
      </c>
    </row>
    <row r="55" spans="2:10" x14ac:dyDescent="0.25">
      <c r="B55" s="89" t="s">
        <v>70</v>
      </c>
      <c r="C55" s="244">
        <f>SUM(C51:C54)</f>
        <v>8278977659</v>
      </c>
      <c r="D55" s="244">
        <f t="shared" ref="D55:G55" si="19">SUM(D51:D54)</f>
        <v>0</v>
      </c>
      <c r="E55" s="244">
        <f t="shared" si="19"/>
        <v>0</v>
      </c>
      <c r="F55" s="244">
        <f t="shared" si="19"/>
        <v>0</v>
      </c>
      <c r="G55" s="244">
        <f t="shared" si="19"/>
        <v>129536656</v>
      </c>
      <c r="H55" s="244">
        <f>SUM(H51:H54)</f>
        <v>181733562</v>
      </c>
      <c r="I55" s="247">
        <f>SUM(I51:I54)</f>
        <v>8590247877</v>
      </c>
      <c r="J55" s="251" t="b">
        <f t="shared" si="18"/>
        <v>1</v>
      </c>
    </row>
    <row r="57" spans="2:10" x14ac:dyDescent="0.25">
      <c r="H57" s="212"/>
      <c r="I57" s="212"/>
    </row>
    <row r="58" spans="2:10" x14ac:dyDescent="0.25">
      <c r="F58" s="212"/>
      <c r="G58" s="212"/>
      <c r="H58" s="212"/>
      <c r="I58" s="212"/>
    </row>
    <row r="59" spans="2:10" ht="13" x14ac:dyDescent="0.3">
      <c r="B59" s="728" t="s">
        <v>335</v>
      </c>
      <c r="C59" s="209">
        <v>1</v>
      </c>
      <c r="D59" s="729" t="s">
        <v>336</v>
      </c>
      <c r="H59" s="143"/>
    </row>
    <row r="60" spans="2:10" x14ac:dyDescent="0.25">
      <c r="H60" s="212"/>
    </row>
    <row r="61" spans="2:10" x14ac:dyDescent="0.25">
      <c r="B61" t="s">
        <v>1</v>
      </c>
      <c r="C61" s="143"/>
      <c r="E61" s="142"/>
    </row>
    <row r="62" spans="2:10" x14ac:dyDescent="0.25">
      <c r="B62" s="731" t="s">
        <v>207</v>
      </c>
      <c r="C62" s="732">
        <f>IF($C$59=1,'Recaudo ENEL'!D21,'Recaudo ENEL'!F21)</f>
        <v>16244803518</v>
      </c>
      <c r="D62" s="731" t="b">
        <f>C17=C62</f>
        <v>1</v>
      </c>
      <c r="E62" s="734">
        <f>C17-C62</f>
        <v>0</v>
      </c>
      <c r="F62" s="212"/>
    </row>
    <row r="63" spans="2:10" x14ac:dyDescent="0.25">
      <c r="B63" s="731" t="s">
        <v>331</v>
      </c>
      <c r="C63" s="732">
        <f>IF($C$59=1,'Recaudo ENERBIT'!D21,'Recaudo ENERBIT'!F21)</f>
        <v>0</v>
      </c>
      <c r="D63" s="731" t="b">
        <f>G17=C63</f>
        <v>1</v>
      </c>
      <c r="E63" s="734">
        <f>G17-C63</f>
        <v>0</v>
      </c>
    </row>
    <row r="64" spans="2:10" x14ac:dyDescent="0.25">
      <c r="B64" s="730" t="s">
        <v>209</v>
      </c>
      <c r="C64" s="733">
        <f>IF($C$59=1,'Recaudo EAAB Reciprocidad'!D22,'Recaudo EAAB Reciprocidad'!F22)</f>
        <v>29345550</v>
      </c>
      <c r="D64" s="730" t="b">
        <f>F27=C64</f>
        <v>1</v>
      </c>
      <c r="E64" s="735">
        <f>F27-C64</f>
        <v>0</v>
      </c>
      <c r="H64" s="143"/>
    </row>
    <row r="65" spans="2:7" x14ac:dyDescent="0.25">
      <c r="B65" s="730" t="s">
        <v>324</v>
      </c>
      <c r="C65" s="733">
        <f>IF($C$59=1,'Recaudo ENEL'!D22,'Recaudo ENEL'!F22)</f>
        <v>11832813662</v>
      </c>
      <c r="D65" s="730" t="b">
        <f>C27=C65</f>
        <v>0</v>
      </c>
      <c r="E65" s="735">
        <f>C27-C65</f>
        <v>397250</v>
      </c>
      <c r="F65" s="142"/>
    </row>
    <row r="66" spans="2:7" x14ac:dyDescent="0.25">
      <c r="B66" s="730" t="s">
        <v>332</v>
      </c>
      <c r="C66" s="733">
        <f>IF($C$59=1,'Recaudo ENERBIT'!D22,'Recaudo ENERBIT'!F22)</f>
        <v>0</v>
      </c>
      <c r="D66" s="730" t="b">
        <f>G27=C66</f>
        <v>1</v>
      </c>
      <c r="E66" s="735">
        <f>G27-C66</f>
        <v>0</v>
      </c>
    </row>
    <row r="67" spans="2:7" x14ac:dyDescent="0.25">
      <c r="B67" s="731" t="s">
        <v>211</v>
      </c>
      <c r="C67" s="732">
        <f>IF($C$59=1,'Recaudo ENEL'!D23,'Recaudo ENEL'!F23)</f>
        <v>9684971351</v>
      </c>
      <c r="D67" s="731" t="b">
        <f>C36=C67</f>
        <v>0</v>
      </c>
      <c r="E67" s="734">
        <f>C36-C67</f>
        <v>248110</v>
      </c>
      <c r="F67" s="142"/>
    </row>
    <row r="68" spans="2:7" x14ac:dyDescent="0.25">
      <c r="B68" s="731" t="s">
        <v>333</v>
      </c>
      <c r="C68" s="732">
        <f>IF($C$59=1,'Recaudo ENERBIT'!D23,'Recaudo ENERBIT'!F23)</f>
        <v>0</v>
      </c>
      <c r="D68" s="731" t="b">
        <f>G36=C68</f>
        <v>1</v>
      </c>
      <c r="E68" s="734">
        <f>G36-C68</f>
        <v>0</v>
      </c>
    </row>
    <row r="69" spans="2:7" x14ac:dyDescent="0.25">
      <c r="B69" s="730" t="s">
        <v>210</v>
      </c>
      <c r="C69" s="733">
        <f>IF($C$59=1,'Recaudo EAAB Reciprocidad'!D24,'Recaudo EAAB Reciprocidad'!F24)</f>
        <v>15240310</v>
      </c>
      <c r="D69" s="730" t="b">
        <f>F45=C69</f>
        <v>1</v>
      </c>
      <c r="E69" s="735">
        <f>F45-C69</f>
        <v>0</v>
      </c>
    </row>
    <row r="70" spans="2:7" x14ac:dyDescent="0.25">
      <c r="B70" s="730" t="s">
        <v>325</v>
      </c>
      <c r="C70" s="733">
        <f>IF($C$59=1,'Recaudo ENEL'!D24,'Recaudo ENEL'!F24)</f>
        <v>10376117592</v>
      </c>
      <c r="D70" s="730" t="b">
        <f>C45=C70</f>
        <v>0</v>
      </c>
      <c r="E70" s="735">
        <f>C45-C70</f>
        <v>576790</v>
      </c>
      <c r="F70" s="142"/>
    </row>
    <row r="71" spans="2:7" x14ac:dyDescent="0.25">
      <c r="B71" s="730" t="s">
        <v>334</v>
      </c>
      <c r="C71" s="733">
        <f>IF($C$59=1,'Recaudo ENERBIT'!D24,'Recaudo ENERBIT'!F24)</f>
        <v>0</v>
      </c>
      <c r="D71" s="730" t="b">
        <f>G45=C71</f>
        <v>1</v>
      </c>
      <c r="E71" s="735">
        <f>G45-C71</f>
        <v>0</v>
      </c>
    </row>
    <row r="72" spans="2:7" x14ac:dyDescent="0.25">
      <c r="B72" s="731" t="s">
        <v>208</v>
      </c>
      <c r="C72" s="732">
        <f>IF($C$59=1,'Recaudo ENEL'!D25,'Recaudo ENEL'!F25)</f>
        <v>8278212539</v>
      </c>
      <c r="D72" s="731" t="b">
        <f>C55=C72</f>
        <v>0</v>
      </c>
      <c r="E72" s="734">
        <f>C55-C72</f>
        <v>765120</v>
      </c>
      <c r="F72" s="142"/>
    </row>
    <row r="73" spans="2:7" x14ac:dyDescent="0.25">
      <c r="B73" s="731" t="s">
        <v>327</v>
      </c>
      <c r="C73" s="732">
        <f>IF($C$59=1,'Recaudo ENERBIT'!D25,'Recaudo ENERBIT'!F25)</f>
        <v>129536656</v>
      </c>
      <c r="D73" s="731" t="b">
        <f>G55=C73</f>
        <v>1</v>
      </c>
      <c r="E73" s="734">
        <f>G55-C73</f>
        <v>0</v>
      </c>
    </row>
    <row r="74" spans="2:7" x14ac:dyDescent="0.25">
      <c r="C74" s="143"/>
    </row>
    <row r="75" spans="2:7" x14ac:dyDescent="0.25">
      <c r="B75" s="731" t="s">
        <v>261</v>
      </c>
      <c r="C75" s="732">
        <f>IF($C$59=1,'Recaudo Directa Occidente'!D21,'Recaudo Directa Occidente'!F21)</f>
        <v>540475692</v>
      </c>
      <c r="D75" s="731" t="b">
        <f>C75=H17</f>
        <v>1</v>
      </c>
      <c r="E75" s="734">
        <f>H17-C75</f>
        <v>0</v>
      </c>
      <c r="F75" s="594"/>
      <c r="G75" s="594"/>
    </row>
    <row r="76" spans="2:7" x14ac:dyDescent="0.25">
      <c r="B76" s="730" t="s">
        <v>262</v>
      </c>
      <c r="C76" s="733">
        <f>IF($C$59=1,'Recaudo Directa Occidente'!D22,'Recaudo Directa Occidente'!F22)</f>
        <v>422221285</v>
      </c>
      <c r="D76" s="730" t="b">
        <f>C76=H27</f>
        <v>1</v>
      </c>
      <c r="E76" s="735">
        <f>H27-C76</f>
        <v>0</v>
      </c>
    </row>
    <row r="77" spans="2:7" x14ac:dyDescent="0.25">
      <c r="B77" s="731" t="s">
        <v>263</v>
      </c>
      <c r="C77" s="732">
        <f>IF($C$59=1,'Recaudo Directa Occidente'!D23,'Recaudo Directa Occidente'!F23)</f>
        <v>472519065</v>
      </c>
      <c r="D77" s="731" t="b">
        <f>C77=H36</f>
        <v>1</v>
      </c>
      <c r="E77" s="734">
        <f>H36-C77</f>
        <v>0</v>
      </c>
      <c r="F77" s="212"/>
      <c r="G77" s="212"/>
    </row>
    <row r="78" spans="2:7" x14ac:dyDescent="0.25">
      <c r="B78" s="730" t="s">
        <v>264</v>
      </c>
      <c r="C78" s="733">
        <f>IF($C$59=1,'Recaudo Directa Occidente'!D24,'Recaudo Directa Occidente'!F24)</f>
        <v>239142386</v>
      </c>
      <c r="D78" s="730" t="b">
        <f>C78=H45</f>
        <v>1</v>
      </c>
      <c r="E78" s="735">
        <f>H45-C78</f>
        <v>0</v>
      </c>
    </row>
    <row r="79" spans="2:7" x14ac:dyDescent="0.25">
      <c r="B79" s="731" t="s">
        <v>265</v>
      </c>
      <c r="C79" s="732">
        <f>IF($C$59=1,'Recaudo Directa Occidente'!D25,'Recaudo Directa Occidente'!F25)</f>
        <v>181733562</v>
      </c>
      <c r="D79" s="731" t="b">
        <f>C79=H55</f>
        <v>1</v>
      </c>
      <c r="E79" s="734">
        <f>H55-C79</f>
        <v>0</v>
      </c>
    </row>
    <row r="81" spans="2:4" x14ac:dyDescent="0.25">
      <c r="B81" s="209" t="s">
        <v>52</v>
      </c>
      <c r="C81" s="251">
        <f>SUM(C62:C79)</f>
        <v>58447133168</v>
      </c>
      <c r="D81" s="209" t="b">
        <f>C81=(I6-SUM(E62:E79))</f>
        <v>1</v>
      </c>
    </row>
  </sheetData>
  <phoneticPr fontId="21" type="noConversion"/>
  <conditionalFormatting sqref="D81">
    <cfRule type="cellIs" dxfId="84" priority="1" operator="notEqual">
      <formula>TRUE</formula>
    </cfRule>
  </conditionalFormatting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C000"/>
  </sheetPr>
  <dimension ref="A1:P45"/>
  <sheetViews>
    <sheetView zoomScaleNormal="100" workbookViewId="0">
      <selection activeCell="C1" sqref="C1:D1"/>
    </sheetView>
  </sheetViews>
  <sheetFormatPr baseColWidth="10" defaultRowHeight="12.5" x14ac:dyDescent="0.25"/>
  <cols>
    <col min="1" max="1" width="3.453125" customWidth="1"/>
    <col min="2" max="2" width="20.7265625" bestFit="1" customWidth="1"/>
    <col min="3" max="3" width="13.26953125" bestFit="1" customWidth="1"/>
    <col min="4" max="6" width="12.7265625" bestFit="1" customWidth="1"/>
    <col min="7" max="7" width="12.54296875" customWidth="1"/>
    <col min="8" max="14" width="12.7265625" bestFit="1" customWidth="1"/>
    <col min="16" max="16" width="12.7265625" bestFit="1" customWidth="1"/>
  </cols>
  <sheetData>
    <row r="1" spans="1:16" ht="13.5" thickBot="1" x14ac:dyDescent="0.35">
      <c r="C1" s="763" t="s">
        <v>99</v>
      </c>
      <c r="D1" s="763"/>
      <c r="E1" s="763" t="s">
        <v>100</v>
      </c>
      <c r="F1" s="763"/>
      <c r="G1" s="763" t="s">
        <v>101</v>
      </c>
      <c r="H1" s="763"/>
      <c r="I1" s="763" t="s">
        <v>102</v>
      </c>
      <c r="J1" s="763"/>
      <c r="K1" s="763" t="s">
        <v>103</v>
      </c>
      <c r="L1" s="763"/>
      <c r="M1" s="763" t="s">
        <v>2</v>
      </c>
      <c r="N1" s="763"/>
    </row>
    <row r="2" spans="1:16" ht="13" x14ac:dyDescent="0.3">
      <c r="C2" s="210" t="s">
        <v>149</v>
      </c>
      <c r="D2" s="210" t="s">
        <v>150</v>
      </c>
      <c r="E2" s="210" t="s">
        <v>149</v>
      </c>
      <c r="F2" s="210" t="s">
        <v>150</v>
      </c>
      <c r="G2" s="210" t="s">
        <v>149</v>
      </c>
      <c r="H2" s="210" t="s">
        <v>150</v>
      </c>
      <c r="I2" s="210" t="s">
        <v>149</v>
      </c>
      <c r="J2" s="210" t="s">
        <v>150</v>
      </c>
      <c r="K2" s="210" t="s">
        <v>149</v>
      </c>
      <c r="L2" s="210" t="s">
        <v>150</v>
      </c>
      <c r="M2" s="258" t="s">
        <v>149</v>
      </c>
      <c r="N2" s="259" t="s">
        <v>150</v>
      </c>
    </row>
    <row r="3" spans="1:16" ht="13" x14ac:dyDescent="0.3">
      <c r="B3" s="210" t="s">
        <v>151</v>
      </c>
      <c r="C3" s="249">
        <f t="shared" ref="C3:E4" si="0">C11+C19+C27+C35+C43</f>
        <v>11673020</v>
      </c>
      <c r="D3" s="249">
        <f t="shared" si="0"/>
        <v>-12054255.65</v>
      </c>
      <c r="E3" s="249">
        <f t="shared" si="0"/>
        <v>0</v>
      </c>
      <c r="F3" s="249">
        <f t="shared" ref="F3:L3" si="1">F11+F19+F27+F35+F43</f>
        <v>-9889189.7200000007</v>
      </c>
      <c r="G3" s="249">
        <f t="shared" si="1"/>
        <v>10198723.07</v>
      </c>
      <c r="H3" s="249">
        <f t="shared" si="1"/>
        <v>-16103442.890000001</v>
      </c>
      <c r="I3" s="249">
        <f t="shared" si="1"/>
        <v>5419780</v>
      </c>
      <c r="J3" s="249">
        <f t="shared" si="1"/>
        <v>-21288908.57</v>
      </c>
      <c r="K3" s="249">
        <f t="shared" si="1"/>
        <v>0</v>
      </c>
      <c r="L3" s="249">
        <f t="shared" si="1"/>
        <v>-6421274.6799999997</v>
      </c>
      <c r="M3" s="260">
        <f>C3+E3+G3+I3+K3</f>
        <v>27291523.07</v>
      </c>
      <c r="N3" s="261">
        <f>D3+F3+H3+J3+L3</f>
        <v>-65757071.510000005</v>
      </c>
      <c r="P3" s="209" t="b">
        <f>N3=(-VALIDACION_TOTAL!M9)</f>
        <v>1</v>
      </c>
    </row>
    <row r="4" spans="1:16" ht="13.5" thickBot="1" x14ac:dyDescent="0.35">
      <c r="B4" s="210" t="s">
        <v>152</v>
      </c>
      <c r="C4" s="253">
        <f t="shared" si="0"/>
        <v>1944280</v>
      </c>
      <c r="D4" s="253">
        <f t="shared" si="0"/>
        <v>-8965804.3499999996</v>
      </c>
      <c r="E4" s="253">
        <f t="shared" si="0"/>
        <v>0</v>
      </c>
      <c r="F4" s="253">
        <f t="shared" ref="F4:L4" si="2">F12+F20+F28+F36+F44</f>
        <v>-649106.28</v>
      </c>
      <c r="G4" s="253">
        <f t="shared" si="2"/>
        <v>426786.93</v>
      </c>
      <c r="H4" s="253">
        <f t="shared" si="2"/>
        <v>-10201649.109999999</v>
      </c>
      <c r="I4" s="253">
        <f t="shared" si="2"/>
        <v>12360680</v>
      </c>
      <c r="J4" s="253">
        <f t="shared" si="2"/>
        <v>-489671.43000000005</v>
      </c>
      <c r="K4" s="253">
        <f t="shared" si="2"/>
        <v>314490</v>
      </c>
      <c r="L4" s="253">
        <f t="shared" si="2"/>
        <v>-750593.32</v>
      </c>
      <c r="M4" s="262">
        <f>C4+E4+G4+I4+K4</f>
        <v>15046236.93</v>
      </c>
      <c r="N4" s="263">
        <f>D4+F4+H4+J4+L4</f>
        <v>-21056824.489999998</v>
      </c>
      <c r="P4" s="209" t="b">
        <f>N4=(-'CONSOLIDADO_TOTAL RECAUDO'!L131)</f>
        <v>1</v>
      </c>
    </row>
    <row r="5" spans="1:16" ht="13.5" thickBot="1" x14ac:dyDescent="0.35">
      <c r="B5" s="211" t="s">
        <v>2</v>
      </c>
      <c r="C5" s="254">
        <f>SUM(C3:C4)</f>
        <v>13617300</v>
      </c>
      <c r="D5" s="254">
        <f t="shared" ref="D5:G5" si="3">SUM(D3:D4)</f>
        <v>-21020060</v>
      </c>
      <c r="E5" s="254">
        <f t="shared" si="3"/>
        <v>0</v>
      </c>
      <c r="F5" s="254">
        <f t="shared" si="3"/>
        <v>-10538296</v>
      </c>
      <c r="G5" s="254">
        <f t="shared" si="3"/>
        <v>10625510</v>
      </c>
      <c r="H5" s="255">
        <f t="shared" ref="H5:L5" si="4">SUM(H3:H4)</f>
        <v>-26305092</v>
      </c>
      <c r="I5" s="255">
        <f t="shared" si="4"/>
        <v>17780460</v>
      </c>
      <c r="J5" s="255">
        <f t="shared" si="4"/>
        <v>-21778580</v>
      </c>
      <c r="K5" s="255">
        <f>SUM(K3:K4)</f>
        <v>314490</v>
      </c>
      <c r="L5" s="257">
        <f t="shared" si="4"/>
        <v>-7171868</v>
      </c>
      <c r="M5" s="254">
        <f t="shared" ref="M5" si="5">SUM(M3:M4)</f>
        <v>42337760</v>
      </c>
      <c r="N5" s="256">
        <f>SUM(N3:N4)</f>
        <v>-86813896</v>
      </c>
    </row>
    <row r="6" spans="1:16" x14ac:dyDescent="0.25">
      <c r="C6" s="209" t="b">
        <f>C5=(C13+C21+C29+C37+C45)</f>
        <v>1</v>
      </c>
      <c r="D6" s="209" t="b">
        <f t="shared" ref="D6:N6" si="6">D5=(D13+D21+D29+D37+D45)</f>
        <v>1</v>
      </c>
      <c r="E6" s="209" t="b">
        <f t="shared" si="6"/>
        <v>1</v>
      </c>
      <c r="F6" s="209" t="b">
        <f t="shared" si="6"/>
        <v>1</v>
      </c>
      <c r="G6" s="209" t="b">
        <f t="shared" si="6"/>
        <v>1</v>
      </c>
      <c r="H6" s="209" t="b">
        <f t="shared" si="6"/>
        <v>1</v>
      </c>
      <c r="I6" s="209" t="b">
        <f t="shared" si="6"/>
        <v>1</v>
      </c>
      <c r="J6" s="209" t="b">
        <f t="shared" si="6"/>
        <v>1</v>
      </c>
      <c r="K6" s="209" t="b">
        <f t="shared" si="6"/>
        <v>1</v>
      </c>
      <c r="L6" s="209" t="b">
        <f t="shared" si="6"/>
        <v>1</v>
      </c>
      <c r="M6" s="209" t="b">
        <f t="shared" si="6"/>
        <v>1</v>
      </c>
      <c r="N6" s="209" t="b">
        <f t="shared" si="6"/>
        <v>1</v>
      </c>
    </row>
    <row r="7" spans="1:16" x14ac:dyDescent="0.25">
      <c r="A7" s="238"/>
      <c r="B7" s="238"/>
      <c r="C7" s="238"/>
      <c r="D7" s="238"/>
      <c r="E7" s="238"/>
      <c r="F7" s="238"/>
      <c r="G7" s="238"/>
      <c r="H7" s="238"/>
      <c r="I7" s="238"/>
      <c r="J7" s="238"/>
      <c r="K7" s="238"/>
      <c r="L7" s="238"/>
      <c r="M7" s="238"/>
      <c r="N7" s="238"/>
      <c r="O7" s="238"/>
      <c r="P7" s="238"/>
    </row>
    <row r="8" spans="1:16" ht="14.5" x14ac:dyDescent="0.35">
      <c r="B8" s="208" t="s">
        <v>148</v>
      </c>
      <c r="C8" s="209"/>
    </row>
    <row r="9" spans="1:16" ht="13" x14ac:dyDescent="0.3">
      <c r="C9" s="763" t="s">
        <v>99</v>
      </c>
      <c r="D9" s="763"/>
      <c r="E9" s="763" t="s">
        <v>100</v>
      </c>
      <c r="F9" s="763"/>
      <c r="G9" s="763" t="s">
        <v>101</v>
      </c>
      <c r="H9" s="763"/>
      <c r="I9" s="763" t="s">
        <v>102</v>
      </c>
      <c r="J9" s="763"/>
      <c r="K9" s="763" t="s">
        <v>103</v>
      </c>
      <c r="L9" s="763"/>
      <c r="M9" s="763" t="s">
        <v>2</v>
      </c>
      <c r="N9" s="763"/>
    </row>
    <row r="10" spans="1:16" ht="13" x14ac:dyDescent="0.3">
      <c r="C10" s="210" t="s">
        <v>149</v>
      </c>
      <c r="D10" s="210" t="s">
        <v>150</v>
      </c>
      <c r="E10" s="210" t="s">
        <v>149</v>
      </c>
      <c r="F10" s="210" t="s">
        <v>150</v>
      </c>
      <c r="G10" s="210" t="s">
        <v>149</v>
      </c>
      <c r="H10" s="210" t="s">
        <v>150</v>
      </c>
      <c r="I10" s="210" t="s">
        <v>149</v>
      </c>
      <c r="J10" s="210" t="s">
        <v>150</v>
      </c>
      <c r="K10" s="210" t="s">
        <v>149</v>
      </c>
      <c r="L10" s="210" t="s">
        <v>150</v>
      </c>
      <c r="M10" s="210" t="s">
        <v>149</v>
      </c>
      <c r="N10" s="210" t="s">
        <v>150</v>
      </c>
    </row>
    <row r="11" spans="1:16" ht="13" x14ac:dyDescent="0.3">
      <c r="B11" s="210" t="s">
        <v>151</v>
      </c>
      <c r="C11" s="245">
        <v>11673020</v>
      </c>
      <c r="D11" s="245">
        <v>-12054255.65</v>
      </c>
      <c r="E11" s="245">
        <v>0</v>
      </c>
      <c r="F11" s="245">
        <v>0</v>
      </c>
      <c r="G11" s="245">
        <v>10198723.07</v>
      </c>
      <c r="H11" s="245">
        <v>-10531481.890000001</v>
      </c>
      <c r="I11" s="245">
        <v>1855630</v>
      </c>
      <c r="J11" s="245">
        <v>-4856351.96</v>
      </c>
      <c r="K11" s="244">
        <v>0</v>
      </c>
      <c r="L11" s="245">
        <v>-950286.68</v>
      </c>
      <c r="M11" s="249">
        <f>C11+E11+G11+I11+K11</f>
        <v>23727373.07</v>
      </c>
      <c r="N11" s="245">
        <f>D11+F11+H11+J11+L11</f>
        <v>-28392376.18</v>
      </c>
    </row>
    <row r="12" spans="1:16" ht="13" x14ac:dyDescent="0.3">
      <c r="B12" s="210" t="s">
        <v>152</v>
      </c>
      <c r="C12" s="245">
        <v>1944280</v>
      </c>
      <c r="D12" s="245">
        <v>-8965804.3499999996</v>
      </c>
      <c r="E12" s="245">
        <v>0</v>
      </c>
      <c r="F12" s="245">
        <v>0</v>
      </c>
      <c r="G12" s="245">
        <v>426786.93</v>
      </c>
      <c r="H12" s="245">
        <v>-10145808.109999999</v>
      </c>
      <c r="I12" s="245">
        <v>2723150</v>
      </c>
      <c r="J12" s="245">
        <v>-245148.04</v>
      </c>
      <c r="K12" s="244">
        <v>314490</v>
      </c>
      <c r="L12" s="245">
        <v>-750593.32</v>
      </c>
      <c r="M12" s="249">
        <f>C12+E12+G12+I12+K12</f>
        <v>5408706.9299999997</v>
      </c>
      <c r="N12" s="245">
        <f>D12+F12+H12+J12+L12</f>
        <v>-20107353.82</v>
      </c>
    </row>
    <row r="13" spans="1:16" ht="13" x14ac:dyDescent="0.3">
      <c r="B13" s="211" t="s">
        <v>2</v>
      </c>
      <c r="C13" s="249">
        <f>SUM(C11:C12)</f>
        <v>13617300</v>
      </c>
      <c r="D13" s="249">
        <f t="shared" ref="D13:N13" si="7">SUM(D11:D12)</f>
        <v>-21020060</v>
      </c>
      <c r="E13" s="249">
        <f t="shared" si="7"/>
        <v>0</v>
      </c>
      <c r="F13" s="249">
        <f t="shared" si="7"/>
        <v>0</v>
      </c>
      <c r="G13" s="249">
        <f>SUM(G11:G12)</f>
        <v>10625510</v>
      </c>
      <c r="H13" s="249">
        <f>SUM(H11:H12)</f>
        <v>-20677290</v>
      </c>
      <c r="I13" s="249">
        <f t="shared" si="7"/>
        <v>4578780</v>
      </c>
      <c r="J13" s="249">
        <f t="shared" si="7"/>
        <v>-5101500</v>
      </c>
      <c r="K13" s="249">
        <f t="shared" si="7"/>
        <v>314490</v>
      </c>
      <c r="L13" s="249">
        <f t="shared" si="7"/>
        <v>-1700880</v>
      </c>
      <c r="M13" s="249">
        <f t="shared" si="7"/>
        <v>29136080</v>
      </c>
      <c r="N13" s="249">
        <f t="shared" si="7"/>
        <v>-48499730</v>
      </c>
    </row>
    <row r="14" spans="1:16" x14ac:dyDescent="0.25">
      <c r="E14" s="212"/>
    </row>
    <row r="16" spans="1:16" ht="14.5" x14ac:dyDescent="0.35">
      <c r="B16" s="208" t="s">
        <v>153</v>
      </c>
      <c r="C16" s="209"/>
    </row>
    <row r="17" spans="2:14" ht="13" x14ac:dyDescent="0.3">
      <c r="C17" s="763" t="s">
        <v>99</v>
      </c>
      <c r="D17" s="763"/>
      <c r="E17" s="763" t="s">
        <v>100</v>
      </c>
      <c r="F17" s="763"/>
      <c r="G17" s="763" t="s">
        <v>101</v>
      </c>
      <c r="H17" s="763"/>
      <c r="I17" s="763" t="s">
        <v>102</v>
      </c>
      <c r="J17" s="763"/>
      <c r="K17" s="763" t="s">
        <v>103</v>
      </c>
      <c r="L17" s="763"/>
      <c r="M17" s="763" t="s">
        <v>2</v>
      </c>
      <c r="N17" s="763"/>
    </row>
    <row r="18" spans="2:14" ht="13" x14ac:dyDescent="0.3">
      <c r="C18" s="210" t="s">
        <v>149</v>
      </c>
      <c r="D18" s="210" t="s">
        <v>150</v>
      </c>
      <c r="E18" s="210" t="s">
        <v>149</v>
      </c>
      <c r="F18" s="210" t="s">
        <v>150</v>
      </c>
      <c r="G18" s="210" t="s">
        <v>149</v>
      </c>
      <c r="H18" s="210" t="s">
        <v>150</v>
      </c>
      <c r="I18" s="210" t="s">
        <v>149</v>
      </c>
      <c r="J18" s="210" t="s">
        <v>150</v>
      </c>
      <c r="K18" s="210" t="s">
        <v>149</v>
      </c>
      <c r="L18" s="210" t="s">
        <v>150</v>
      </c>
      <c r="M18" s="210" t="s">
        <v>149</v>
      </c>
      <c r="N18" s="210" t="s">
        <v>150</v>
      </c>
    </row>
    <row r="19" spans="2:14" ht="13" x14ac:dyDescent="0.3">
      <c r="B19" s="210" t="s">
        <v>151</v>
      </c>
      <c r="C19" s="245">
        <v>0</v>
      </c>
      <c r="D19" s="245">
        <v>0</v>
      </c>
      <c r="E19" s="245">
        <v>0</v>
      </c>
      <c r="F19" s="245">
        <v>-19778.72</v>
      </c>
      <c r="G19" s="245">
        <v>0</v>
      </c>
      <c r="H19" s="245">
        <v>0</v>
      </c>
      <c r="I19" s="245">
        <v>0</v>
      </c>
      <c r="J19" s="245">
        <v>-464370</v>
      </c>
      <c r="K19" s="244">
        <v>0</v>
      </c>
      <c r="L19" s="245">
        <v>0</v>
      </c>
      <c r="M19" s="245">
        <f>C19+E19+G19+I19+K19</f>
        <v>0</v>
      </c>
      <c r="N19" s="245">
        <f>D19+F19+H19+J19+L19</f>
        <v>-484148.72</v>
      </c>
    </row>
    <row r="20" spans="2:14" ht="13" x14ac:dyDescent="0.3">
      <c r="B20" s="210" t="s">
        <v>152</v>
      </c>
      <c r="C20" s="245">
        <v>0</v>
      </c>
      <c r="D20" s="245">
        <v>0</v>
      </c>
      <c r="E20" s="245">
        <v>0</v>
      </c>
      <c r="F20" s="245">
        <v>-600714.28</v>
      </c>
      <c r="G20" s="245">
        <v>0</v>
      </c>
      <c r="H20" s="245">
        <v>0</v>
      </c>
      <c r="I20" s="245">
        <v>464370</v>
      </c>
      <c r="J20" s="539">
        <v>0</v>
      </c>
      <c r="K20" s="244">
        <v>0</v>
      </c>
      <c r="L20" s="245">
        <v>0</v>
      </c>
      <c r="M20" s="245">
        <f>C20+E20+G20+I20+K20</f>
        <v>464370</v>
      </c>
      <c r="N20" s="245">
        <f>D20+F20+H20+J20+L20</f>
        <v>-600714.28</v>
      </c>
    </row>
    <row r="21" spans="2:14" ht="13" x14ac:dyDescent="0.3">
      <c r="B21" s="211" t="s">
        <v>2</v>
      </c>
      <c r="C21" s="249">
        <f>SUM(C19:C20)</f>
        <v>0</v>
      </c>
      <c r="D21" s="249">
        <f t="shared" ref="D21:L21" si="8">SUM(D19:D20)</f>
        <v>0</v>
      </c>
      <c r="E21" s="249">
        <f t="shared" si="8"/>
        <v>0</v>
      </c>
      <c r="F21" s="249">
        <f t="shared" si="8"/>
        <v>-620493</v>
      </c>
      <c r="G21" s="249">
        <f t="shared" si="8"/>
        <v>0</v>
      </c>
      <c r="H21" s="249">
        <f t="shared" si="8"/>
        <v>0</v>
      </c>
      <c r="I21" s="249">
        <f t="shared" si="8"/>
        <v>464370</v>
      </c>
      <c r="J21" s="249">
        <f t="shared" si="8"/>
        <v>-464370</v>
      </c>
      <c r="K21" s="249">
        <f t="shared" si="8"/>
        <v>0</v>
      </c>
      <c r="L21" s="249">
        <f t="shared" si="8"/>
        <v>0</v>
      </c>
      <c r="M21" s="249">
        <f>C21+E21+G21+I21+K21</f>
        <v>464370</v>
      </c>
      <c r="N21" s="249">
        <f t="shared" ref="N21" si="9">SUM(N19:N20)</f>
        <v>-1084863</v>
      </c>
    </row>
    <row r="24" spans="2:14" ht="14.5" x14ac:dyDescent="0.35">
      <c r="B24" s="208" t="s">
        <v>154</v>
      </c>
      <c r="C24" s="209"/>
    </row>
    <row r="25" spans="2:14" ht="13" x14ac:dyDescent="0.3">
      <c r="C25" s="763" t="s">
        <v>99</v>
      </c>
      <c r="D25" s="763"/>
      <c r="E25" s="763" t="s">
        <v>100</v>
      </c>
      <c r="F25" s="763"/>
      <c r="G25" s="763" t="s">
        <v>101</v>
      </c>
      <c r="H25" s="763"/>
      <c r="I25" s="763" t="s">
        <v>102</v>
      </c>
      <c r="J25" s="763"/>
      <c r="K25" s="763" t="s">
        <v>103</v>
      </c>
      <c r="L25" s="763"/>
      <c r="M25" s="763" t="s">
        <v>2</v>
      </c>
      <c r="N25" s="763"/>
    </row>
    <row r="26" spans="2:14" ht="13" x14ac:dyDescent="0.3">
      <c r="C26" s="210" t="s">
        <v>149</v>
      </c>
      <c r="D26" s="210" t="s">
        <v>150</v>
      </c>
      <c r="E26" s="210" t="s">
        <v>149</v>
      </c>
      <c r="F26" s="210" t="s">
        <v>150</v>
      </c>
      <c r="G26" s="210" t="s">
        <v>149</v>
      </c>
      <c r="H26" s="210" t="s">
        <v>150</v>
      </c>
      <c r="I26" s="210" t="s">
        <v>149</v>
      </c>
      <c r="J26" s="210" t="s">
        <v>150</v>
      </c>
      <c r="K26" s="210" t="s">
        <v>149</v>
      </c>
      <c r="L26" s="210" t="s">
        <v>150</v>
      </c>
      <c r="M26" s="210" t="s">
        <v>149</v>
      </c>
      <c r="N26" s="210" t="s">
        <v>150</v>
      </c>
    </row>
    <row r="27" spans="2:14" ht="13" x14ac:dyDescent="0.3">
      <c r="B27" s="210" t="s">
        <v>151</v>
      </c>
      <c r="C27" s="245">
        <v>0</v>
      </c>
      <c r="D27" s="245">
        <v>0</v>
      </c>
      <c r="E27" s="245">
        <v>0</v>
      </c>
      <c r="F27" s="245">
        <v>0</v>
      </c>
      <c r="G27" s="245">
        <v>0</v>
      </c>
      <c r="H27" s="245">
        <v>0</v>
      </c>
      <c r="I27" s="245">
        <v>0</v>
      </c>
      <c r="J27" s="245">
        <v>0</v>
      </c>
      <c r="K27" s="244">
        <v>0</v>
      </c>
      <c r="L27" s="245">
        <v>0</v>
      </c>
      <c r="M27" s="245">
        <f>C27+E27+G27+I27+K27</f>
        <v>0</v>
      </c>
      <c r="N27" s="245">
        <f>D27+F27+H27+J27+L27</f>
        <v>0</v>
      </c>
    </row>
    <row r="28" spans="2:14" ht="13" x14ac:dyDescent="0.3">
      <c r="B28" s="210" t="s">
        <v>152</v>
      </c>
      <c r="C28" s="245">
        <v>0</v>
      </c>
      <c r="D28" s="245">
        <v>0</v>
      </c>
      <c r="E28" s="245">
        <v>0</v>
      </c>
      <c r="F28" s="245">
        <v>0</v>
      </c>
      <c r="G28" s="245">
        <v>0</v>
      </c>
      <c r="H28" s="245">
        <v>0</v>
      </c>
      <c r="I28" s="245">
        <v>0</v>
      </c>
      <c r="J28" s="245">
        <v>0</v>
      </c>
      <c r="K28" s="244">
        <v>0</v>
      </c>
      <c r="L28" s="245">
        <v>0</v>
      </c>
      <c r="M28" s="245">
        <f>C28+E28+G28+I28+K28</f>
        <v>0</v>
      </c>
      <c r="N28" s="245">
        <f>D28+F28+H28+J28+L28</f>
        <v>0</v>
      </c>
    </row>
    <row r="29" spans="2:14" ht="13" x14ac:dyDescent="0.3">
      <c r="B29" s="211" t="s">
        <v>2</v>
      </c>
      <c r="C29" s="249">
        <f t="shared" ref="C29:N29" si="10">SUM(C27:C28)</f>
        <v>0</v>
      </c>
      <c r="D29" s="249">
        <f t="shared" si="10"/>
        <v>0</v>
      </c>
      <c r="E29" s="249">
        <f t="shared" si="10"/>
        <v>0</v>
      </c>
      <c r="F29" s="249">
        <f t="shared" si="10"/>
        <v>0</v>
      </c>
      <c r="G29" s="249">
        <f t="shared" si="10"/>
        <v>0</v>
      </c>
      <c r="H29" s="249">
        <f t="shared" si="10"/>
        <v>0</v>
      </c>
      <c r="I29" s="249">
        <f t="shared" si="10"/>
        <v>0</v>
      </c>
      <c r="J29" s="249">
        <f t="shared" si="10"/>
        <v>0</v>
      </c>
      <c r="K29" s="249">
        <f t="shared" si="10"/>
        <v>0</v>
      </c>
      <c r="L29" s="249">
        <f t="shared" si="10"/>
        <v>0</v>
      </c>
      <c r="M29" s="249">
        <f t="shared" si="10"/>
        <v>0</v>
      </c>
      <c r="N29" s="249">
        <f t="shared" si="10"/>
        <v>0</v>
      </c>
    </row>
    <row r="32" spans="2:14" x14ac:dyDescent="0.25">
      <c r="B32" s="209" t="s">
        <v>155</v>
      </c>
    </row>
    <row r="33" spans="2:14" ht="13" x14ac:dyDescent="0.3">
      <c r="C33" s="763" t="s">
        <v>99</v>
      </c>
      <c r="D33" s="763"/>
      <c r="E33" s="763" t="s">
        <v>100</v>
      </c>
      <c r="F33" s="763"/>
      <c r="G33" s="763" t="s">
        <v>101</v>
      </c>
      <c r="H33" s="763"/>
      <c r="I33" s="763" t="s">
        <v>102</v>
      </c>
      <c r="J33" s="763"/>
      <c r="K33" s="763" t="s">
        <v>103</v>
      </c>
      <c r="L33" s="763"/>
      <c r="M33" s="763" t="s">
        <v>2</v>
      </c>
      <c r="N33" s="763"/>
    </row>
    <row r="34" spans="2:14" ht="13" x14ac:dyDescent="0.3">
      <c r="C34" s="210" t="s">
        <v>149</v>
      </c>
      <c r="D34" s="210" t="s">
        <v>150</v>
      </c>
      <c r="E34" s="210" t="s">
        <v>149</v>
      </c>
      <c r="F34" s="210" t="s">
        <v>150</v>
      </c>
      <c r="G34" s="210" t="s">
        <v>149</v>
      </c>
      <c r="H34" s="210" t="s">
        <v>150</v>
      </c>
      <c r="I34" s="210" t="s">
        <v>149</v>
      </c>
      <c r="J34" s="210" t="s">
        <v>150</v>
      </c>
      <c r="K34" s="210" t="s">
        <v>149</v>
      </c>
      <c r="L34" s="210" t="s">
        <v>150</v>
      </c>
      <c r="M34" s="210" t="s">
        <v>149</v>
      </c>
      <c r="N34" s="210" t="s">
        <v>150</v>
      </c>
    </row>
    <row r="35" spans="2:14" ht="13" x14ac:dyDescent="0.3">
      <c r="B35" s="210" t="s">
        <v>151</v>
      </c>
      <c r="C35" s="245">
        <v>0</v>
      </c>
      <c r="D35" s="245">
        <v>0</v>
      </c>
      <c r="E35" s="245">
        <v>0</v>
      </c>
      <c r="F35" s="245">
        <v>-9869411</v>
      </c>
      <c r="G35" s="245">
        <v>0</v>
      </c>
      <c r="H35" s="245">
        <v>-5571961</v>
      </c>
      <c r="I35" s="245">
        <v>3564150</v>
      </c>
      <c r="J35" s="245">
        <v>-15968186.609999999</v>
      </c>
      <c r="K35" s="244">
        <v>0</v>
      </c>
      <c r="L35" s="245">
        <v>-5470988</v>
      </c>
      <c r="M35" s="245">
        <f>C35+E35+G35+I35+K35</f>
        <v>3564150</v>
      </c>
      <c r="N35" s="245">
        <f>D35+F35+H35+J35+L35</f>
        <v>-36880546.609999999</v>
      </c>
    </row>
    <row r="36" spans="2:14" ht="13" x14ac:dyDescent="0.3">
      <c r="B36" s="210" t="s">
        <v>152</v>
      </c>
      <c r="C36" s="245">
        <v>0</v>
      </c>
      <c r="D36" s="245">
        <v>0</v>
      </c>
      <c r="E36" s="245">
        <v>0</v>
      </c>
      <c r="F36" s="245">
        <v>-48392</v>
      </c>
      <c r="G36" s="245">
        <v>0</v>
      </c>
      <c r="H36" s="245">
        <v>-55841</v>
      </c>
      <c r="I36" s="245">
        <v>9173160</v>
      </c>
      <c r="J36" s="245">
        <v>-244523.39</v>
      </c>
      <c r="K36" s="244">
        <v>0</v>
      </c>
      <c r="L36" s="245">
        <v>0</v>
      </c>
      <c r="M36" s="245">
        <f>C36+E36+G36+I36+K36</f>
        <v>9173160</v>
      </c>
      <c r="N36" s="245">
        <f>D36+F36+H36+J36+L36</f>
        <v>-348756.39</v>
      </c>
    </row>
    <row r="37" spans="2:14" ht="13" x14ac:dyDescent="0.3">
      <c r="B37" s="211" t="s">
        <v>2</v>
      </c>
      <c r="C37" s="249">
        <f>SUM(C35:C36)</f>
        <v>0</v>
      </c>
      <c r="D37" s="249">
        <f t="shared" ref="D37:L37" si="11">SUM(D35:D36)</f>
        <v>0</v>
      </c>
      <c r="E37" s="249">
        <f t="shared" si="11"/>
        <v>0</v>
      </c>
      <c r="F37" s="249">
        <f t="shared" si="11"/>
        <v>-9917803</v>
      </c>
      <c r="G37" s="249">
        <f t="shared" si="11"/>
        <v>0</v>
      </c>
      <c r="H37" s="249">
        <f t="shared" si="11"/>
        <v>-5627802</v>
      </c>
      <c r="I37" s="249">
        <f t="shared" si="11"/>
        <v>12737310</v>
      </c>
      <c r="J37" s="249">
        <f t="shared" si="11"/>
        <v>-16212710</v>
      </c>
      <c r="K37" s="249">
        <f t="shared" si="11"/>
        <v>0</v>
      </c>
      <c r="L37" s="249">
        <f t="shared" si="11"/>
        <v>-5470988</v>
      </c>
      <c r="M37" s="249">
        <f>SUM(M35:M36)</f>
        <v>12737310</v>
      </c>
      <c r="N37" s="249">
        <f t="shared" ref="N37" si="12">SUM(N35:N36)</f>
        <v>-37229303</v>
      </c>
    </row>
    <row r="39" spans="2:14" x14ac:dyDescent="0.25">
      <c r="L39" s="212"/>
    </row>
    <row r="40" spans="2:14" x14ac:dyDescent="0.25">
      <c r="B40" s="736" t="s">
        <v>326</v>
      </c>
    </row>
    <row r="41" spans="2:14" ht="13" x14ac:dyDescent="0.3">
      <c r="C41" s="763" t="s">
        <v>99</v>
      </c>
      <c r="D41" s="763"/>
      <c r="E41" s="763" t="s">
        <v>100</v>
      </c>
      <c r="F41" s="763"/>
      <c r="G41" s="763" t="s">
        <v>101</v>
      </c>
      <c r="H41" s="763"/>
      <c r="I41" s="763" t="s">
        <v>102</v>
      </c>
      <c r="J41" s="763"/>
      <c r="K41" s="763" t="s">
        <v>103</v>
      </c>
      <c r="L41" s="763"/>
      <c r="M41" s="763" t="s">
        <v>2</v>
      </c>
      <c r="N41" s="763"/>
    </row>
    <row r="42" spans="2:14" ht="13" x14ac:dyDescent="0.3">
      <c r="C42" s="210" t="s">
        <v>149</v>
      </c>
      <c r="D42" s="210" t="s">
        <v>150</v>
      </c>
      <c r="E42" s="210" t="s">
        <v>149</v>
      </c>
      <c r="F42" s="210" t="s">
        <v>150</v>
      </c>
      <c r="G42" s="210" t="s">
        <v>149</v>
      </c>
      <c r="H42" s="210" t="s">
        <v>150</v>
      </c>
      <c r="I42" s="210" t="s">
        <v>149</v>
      </c>
      <c r="J42" s="210" t="s">
        <v>150</v>
      </c>
      <c r="K42" s="210" t="s">
        <v>149</v>
      </c>
      <c r="L42" s="210" t="s">
        <v>150</v>
      </c>
      <c r="M42" s="210" t="s">
        <v>149</v>
      </c>
      <c r="N42" s="210" t="s">
        <v>150</v>
      </c>
    </row>
    <row r="43" spans="2:14" ht="13" x14ac:dyDescent="0.3">
      <c r="B43" s="210" t="s">
        <v>151</v>
      </c>
      <c r="C43" s="245">
        <v>0</v>
      </c>
      <c r="D43" s="245">
        <v>0</v>
      </c>
      <c r="E43" s="245">
        <v>0</v>
      </c>
      <c r="F43" s="245">
        <v>0</v>
      </c>
      <c r="G43" s="245">
        <v>0</v>
      </c>
      <c r="H43" s="245">
        <v>0</v>
      </c>
      <c r="I43" s="245">
        <v>0</v>
      </c>
      <c r="J43" s="245">
        <v>0</v>
      </c>
      <c r="K43" s="244">
        <v>0</v>
      </c>
      <c r="L43" s="245">
        <v>0</v>
      </c>
      <c r="M43" s="245">
        <f>C43+E43+G43+I43+K43</f>
        <v>0</v>
      </c>
      <c r="N43" s="245">
        <f>D43+F43+H43+J43+L43</f>
        <v>0</v>
      </c>
    </row>
    <row r="44" spans="2:14" ht="13" x14ac:dyDescent="0.3">
      <c r="B44" s="210" t="s">
        <v>152</v>
      </c>
      <c r="C44" s="245">
        <v>0</v>
      </c>
      <c r="D44" s="245">
        <v>0</v>
      </c>
      <c r="E44" s="245">
        <v>0</v>
      </c>
      <c r="F44" s="245">
        <v>0</v>
      </c>
      <c r="G44" s="245">
        <v>0</v>
      </c>
      <c r="H44" s="245">
        <v>0</v>
      </c>
      <c r="I44" s="245">
        <v>0</v>
      </c>
      <c r="J44" s="245">
        <v>0</v>
      </c>
      <c r="K44" s="244">
        <v>0</v>
      </c>
      <c r="L44" s="245">
        <v>0</v>
      </c>
      <c r="M44" s="245">
        <f>C44+E44+G44+I44+K44</f>
        <v>0</v>
      </c>
      <c r="N44" s="245">
        <f>D44+F44+H44+J44+L44</f>
        <v>0</v>
      </c>
    </row>
    <row r="45" spans="2:14" ht="13" x14ac:dyDescent="0.3">
      <c r="B45" s="211" t="s">
        <v>2</v>
      </c>
      <c r="C45" s="249">
        <f>SUM(C43:C44)</f>
        <v>0</v>
      </c>
      <c r="D45" s="249">
        <f>SUM(D43:D44)</f>
        <v>0</v>
      </c>
      <c r="E45" s="249">
        <f t="shared" ref="E45:J45" si="13">SUM(E43:E44)</f>
        <v>0</v>
      </c>
      <c r="F45" s="249">
        <f t="shared" si="13"/>
        <v>0</v>
      </c>
      <c r="G45" s="249">
        <f t="shared" si="13"/>
        <v>0</v>
      </c>
      <c r="H45" s="249">
        <f t="shared" si="13"/>
        <v>0</v>
      </c>
      <c r="I45" s="249">
        <f t="shared" si="13"/>
        <v>0</v>
      </c>
      <c r="J45" s="249">
        <f t="shared" si="13"/>
        <v>0</v>
      </c>
      <c r="K45" s="249">
        <f>SUM(K43:K44)</f>
        <v>0</v>
      </c>
      <c r="L45" s="249">
        <f>SUM(L43:L44)</f>
        <v>0</v>
      </c>
      <c r="M45" s="249">
        <f>SUM(M43:M44)</f>
        <v>0</v>
      </c>
      <c r="N45" s="249">
        <f>SUM(N43:N44)</f>
        <v>0</v>
      </c>
    </row>
  </sheetData>
  <mergeCells count="36">
    <mergeCell ref="M41:N41"/>
    <mergeCell ref="C41:D41"/>
    <mergeCell ref="E41:F41"/>
    <mergeCell ref="G41:H41"/>
    <mergeCell ref="I41:J41"/>
    <mergeCell ref="K41:L41"/>
    <mergeCell ref="M1:N1"/>
    <mergeCell ref="C1:D1"/>
    <mergeCell ref="E1:F1"/>
    <mergeCell ref="G1:H1"/>
    <mergeCell ref="I1:J1"/>
    <mergeCell ref="K1:L1"/>
    <mergeCell ref="M25:N25"/>
    <mergeCell ref="C17:D17"/>
    <mergeCell ref="E17:F17"/>
    <mergeCell ref="G17:H17"/>
    <mergeCell ref="I17:J17"/>
    <mergeCell ref="K17:L17"/>
    <mergeCell ref="M17:N17"/>
    <mergeCell ref="C25:D25"/>
    <mergeCell ref="E25:F25"/>
    <mergeCell ref="G25:H25"/>
    <mergeCell ref="I25:J25"/>
    <mergeCell ref="K25:L25"/>
    <mergeCell ref="M9:N9"/>
    <mergeCell ref="C9:D9"/>
    <mergeCell ref="E9:F9"/>
    <mergeCell ref="G9:H9"/>
    <mergeCell ref="I9:J9"/>
    <mergeCell ref="K9:L9"/>
    <mergeCell ref="M33:N33"/>
    <mergeCell ref="C33:D33"/>
    <mergeCell ref="E33:F33"/>
    <mergeCell ref="G33:H33"/>
    <mergeCell ref="I33:J33"/>
    <mergeCell ref="K33:L33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FFC000"/>
  </sheetPr>
  <dimension ref="B1:T27"/>
  <sheetViews>
    <sheetView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E2" sqref="E2"/>
    </sheetView>
  </sheetViews>
  <sheetFormatPr baseColWidth="10" defaultRowHeight="12.5" x14ac:dyDescent="0.25"/>
  <cols>
    <col min="1" max="1" width="2.453125" customWidth="1"/>
    <col min="2" max="2" width="8" customWidth="1"/>
    <col min="3" max="3" width="15.7265625" bestFit="1" customWidth="1"/>
    <col min="4" max="4" width="1.7265625" style="238" customWidth="1"/>
    <col min="5" max="5" width="14.7265625" customWidth="1"/>
    <col min="6" max="6" width="15.7265625" bestFit="1" customWidth="1"/>
    <col min="7" max="7" width="1.7265625" style="238" customWidth="1"/>
    <col min="8" max="8" width="9.26953125" customWidth="1"/>
    <col min="9" max="9" width="15.7265625" bestFit="1" customWidth="1"/>
    <col min="10" max="10" width="1.7265625" style="238" customWidth="1"/>
    <col min="11" max="11" width="14.26953125" customWidth="1"/>
    <col min="12" max="12" width="17.453125" customWidth="1"/>
    <col min="13" max="13" width="1.7265625" style="238" customWidth="1"/>
    <col min="14" max="14" width="14.26953125" customWidth="1"/>
    <col min="15" max="15" width="17.453125" customWidth="1"/>
    <col min="16" max="16" width="1.7265625" style="238" customWidth="1"/>
    <col min="17" max="17" width="20.26953125" customWidth="1"/>
    <col min="18" max="18" width="15.7265625" bestFit="1" customWidth="1"/>
    <col min="19" max="19" width="3.54296875" customWidth="1"/>
    <col min="20" max="20" width="48.453125" bestFit="1" customWidth="1"/>
  </cols>
  <sheetData>
    <row r="1" spans="2:20" ht="13" thickBot="1" x14ac:dyDescent="0.3">
      <c r="B1" s="142" t="s">
        <v>2</v>
      </c>
      <c r="E1" s="142" t="s">
        <v>160</v>
      </c>
      <c r="H1" t="s">
        <v>155</v>
      </c>
      <c r="K1" s="722" t="s">
        <v>326</v>
      </c>
      <c r="L1" s="722"/>
      <c r="N1" t="s">
        <v>119</v>
      </c>
      <c r="Q1" t="s">
        <v>165</v>
      </c>
    </row>
    <row r="2" spans="2:20" ht="35" thickBot="1" x14ac:dyDescent="0.3">
      <c r="B2" s="11" t="s">
        <v>3</v>
      </c>
      <c r="C2" s="12" t="s">
        <v>114</v>
      </c>
      <c r="E2" s="11" t="s">
        <v>3</v>
      </c>
      <c r="F2" s="12" t="s">
        <v>114</v>
      </c>
      <c r="H2" s="11" t="s">
        <v>3</v>
      </c>
      <c r="I2" s="12" t="s">
        <v>114</v>
      </c>
      <c r="K2" s="11" t="s">
        <v>3</v>
      </c>
      <c r="L2" s="12" t="s">
        <v>114</v>
      </c>
      <c r="N2" s="11" t="s">
        <v>3</v>
      </c>
      <c r="O2" s="12" t="s">
        <v>114</v>
      </c>
      <c r="Q2" s="11" t="s">
        <v>3</v>
      </c>
      <c r="R2" s="12" t="s">
        <v>114</v>
      </c>
      <c r="T2" t="s">
        <v>94</v>
      </c>
    </row>
    <row r="3" spans="2:20" x14ac:dyDescent="0.25">
      <c r="B3" s="14">
        <v>1</v>
      </c>
      <c r="C3" s="15">
        <f>'REPORTE RECAUDO x BANCO'!I14</f>
        <v>62753036.189999998</v>
      </c>
      <c r="E3" s="14">
        <v>1</v>
      </c>
      <c r="F3" s="15">
        <f>'REPORTE RECAUDO x BANCO'!F14</f>
        <v>0</v>
      </c>
      <c r="H3" s="14">
        <v>1</v>
      </c>
      <c r="I3" s="15">
        <f>'REPORTE RECAUDO x BANCO'!C14</f>
        <v>50286069</v>
      </c>
      <c r="K3" s="14">
        <v>1</v>
      </c>
      <c r="L3" s="15">
        <f>'REPORTE RECAUDO x BANCO'!G14</f>
        <v>0</v>
      </c>
      <c r="N3" s="14">
        <v>1</v>
      </c>
      <c r="O3" s="15">
        <f>'REPORTE RECAUDO x BANCO'!H14</f>
        <v>12466967.189999999</v>
      </c>
      <c r="Q3" s="14">
        <v>1</v>
      </c>
      <c r="R3" s="15">
        <f>'REPORTE RECAUDO x BANCO'!D14+'REPORTE RECAUDO x BANCO'!E14</f>
        <v>0</v>
      </c>
      <c r="T3" t="s">
        <v>95</v>
      </c>
    </row>
    <row r="4" spans="2:20" x14ac:dyDescent="0.25">
      <c r="B4" s="16">
        <v>2</v>
      </c>
      <c r="C4" s="15">
        <f>'REPORTE RECAUDO x BANCO'!I24</f>
        <v>95260124</v>
      </c>
      <c r="E4" s="16">
        <v>2</v>
      </c>
      <c r="F4" s="15">
        <f>'REPORTE RECAUDO x BANCO'!F24</f>
        <v>15775490</v>
      </c>
      <c r="H4" s="16">
        <v>2</v>
      </c>
      <c r="I4" s="15">
        <f>'REPORTE RECAUDO x BANCO'!C24</f>
        <v>47435723</v>
      </c>
      <c r="K4" s="16">
        <v>2</v>
      </c>
      <c r="L4" s="15">
        <f>'REPORTE RECAUDO x BANCO'!G24</f>
        <v>0</v>
      </c>
      <c r="N4" s="16">
        <v>2</v>
      </c>
      <c r="O4" s="15">
        <f>'REPORTE RECAUDO x BANCO'!H24</f>
        <v>32048911</v>
      </c>
      <c r="Q4" s="16">
        <v>2</v>
      </c>
      <c r="R4" s="15">
        <f>'REPORTE RECAUDO x BANCO'!D24+'REPORTE RECAUDO x BANCO'!E24</f>
        <v>0</v>
      </c>
    </row>
    <row r="5" spans="2:20" x14ac:dyDescent="0.25">
      <c r="B5" s="16">
        <v>3</v>
      </c>
      <c r="C5" s="15">
        <f>'REPORTE RECAUDO x BANCO'!I33</f>
        <v>23429781</v>
      </c>
      <c r="E5" s="16">
        <v>3</v>
      </c>
      <c r="F5" s="15">
        <f>'REPORTE RECAUDO x BANCO'!F33</f>
        <v>0</v>
      </c>
      <c r="H5" s="16">
        <v>3</v>
      </c>
      <c r="I5" s="15">
        <f>'REPORTE RECAUDO x BANCO'!C33</f>
        <v>21042512</v>
      </c>
      <c r="K5" s="16">
        <v>3</v>
      </c>
      <c r="L5" s="15">
        <f>'REPORTE RECAUDO x BANCO'!G33</f>
        <v>0</v>
      </c>
      <c r="N5" s="16">
        <v>3</v>
      </c>
      <c r="O5" s="15">
        <f>'REPORTE RECAUDO x BANCO'!H33</f>
        <v>2387269</v>
      </c>
      <c r="Q5" s="16">
        <v>3</v>
      </c>
      <c r="R5" s="15">
        <f>'REPORTE RECAUDO x BANCO'!D33+'REPORTE RECAUDO x BANCO'!E33</f>
        <v>0</v>
      </c>
    </row>
    <row r="6" spans="2:20" x14ac:dyDescent="0.25">
      <c r="B6" s="16">
        <v>4</v>
      </c>
      <c r="C6" s="15">
        <f>'REPORTE RECAUDO x BANCO'!I42</f>
        <v>55699060.600000001</v>
      </c>
      <c r="E6" s="16">
        <v>4</v>
      </c>
      <c r="F6" s="15">
        <f>'REPORTE RECAUDO x BANCO'!F42</f>
        <v>7975330</v>
      </c>
      <c r="H6" s="16">
        <v>4</v>
      </c>
      <c r="I6" s="15">
        <f>'REPORTE RECAUDO x BANCO'!C42</f>
        <v>35795695</v>
      </c>
      <c r="K6" s="16">
        <v>4</v>
      </c>
      <c r="L6" s="15">
        <f>'REPORTE RECAUDO x BANCO'!G42</f>
        <v>0</v>
      </c>
      <c r="N6" s="16">
        <v>4</v>
      </c>
      <c r="O6" s="15">
        <f>'REPORTE RECAUDO x BANCO'!H42</f>
        <v>11928035.6</v>
      </c>
      <c r="Q6" s="16">
        <v>4</v>
      </c>
      <c r="R6" s="15">
        <f>'REPORTE RECAUDO x BANCO'!D42+'REPORTE RECAUDO x BANCO'!E42</f>
        <v>0</v>
      </c>
    </row>
    <row r="7" spans="2:20" ht="13" thickBot="1" x14ac:dyDescent="0.3">
      <c r="B7" s="19">
        <v>5</v>
      </c>
      <c r="C7" s="15">
        <f>'REPORTE RECAUDO x BANCO'!I52</f>
        <v>44003851</v>
      </c>
      <c r="E7" s="19">
        <v>5</v>
      </c>
      <c r="F7" s="15">
        <f>'REPORTE RECAUDO x BANCO'!F52</f>
        <v>0</v>
      </c>
      <c r="H7" s="19">
        <v>5</v>
      </c>
      <c r="I7" s="15">
        <f>'REPORTE RECAUDO x BANCO'!C52</f>
        <v>38409110</v>
      </c>
      <c r="K7" s="19">
        <v>5</v>
      </c>
      <c r="L7" s="15">
        <f>'REPORTE RECAUDO x BANCO'!G52</f>
        <v>3163741</v>
      </c>
      <c r="N7" s="19">
        <v>5</v>
      </c>
      <c r="O7" s="15">
        <f>'REPORTE RECAUDO x BANCO'!H52</f>
        <v>2431000</v>
      </c>
      <c r="Q7" s="19">
        <v>5</v>
      </c>
      <c r="R7" s="15">
        <f>'REPORTE RECAUDO x BANCO'!D52+'REPORTE RECAUDO x BANCO'!E52</f>
        <v>0</v>
      </c>
    </row>
    <row r="8" spans="2:20" ht="13" thickBot="1" x14ac:dyDescent="0.3">
      <c r="B8" s="21"/>
      <c r="C8" s="47">
        <f>SUM(C3:C7)</f>
        <v>281145852.78999996</v>
      </c>
      <c r="E8" s="21"/>
      <c r="F8" s="47">
        <f>SUM(F3:F7)</f>
        <v>23750820</v>
      </c>
      <c r="H8" s="21"/>
      <c r="I8" s="47">
        <f>SUM(I3:I7)</f>
        <v>192969109</v>
      </c>
      <c r="K8" s="21"/>
      <c r="L8" s="47">
        <f>SUM(L3:L7)</f>
        <v>3163741</v>
      </c>
      <c r="N8" s="21"/>
      <c r="O8" s="47">
        <f>SUM(O3:O7)</f>
        <v>61262182.789999999</v>
      </c>
      <c r="Q8" s="21"/>
      <c r="R8" s="47">
        <f>SUM(R3:R7)</f>
        <v>0</v>
      </c>
    </row>
    <row r="9" spans="2:20" x14ac:dyDescent="0.25">
      <c r="C9" s="209" t="b">
        <f>C8='REPORTE RECAUDO x BANCO'!I3</f>
        <v>1</v>
      </c>
      <c r="F9" s="209" t="b">
        <f>F8='REPORTE RECAUDO x BANCO'!F3</f>
        <v>1</v>
      </c>
      <c r="I9" s="209" t="b">
        <f>I8='REPORTE RECAUDO x BANCO'!C3</f>
        <v>1</v>
      </c>
      <c r="L9" s="209" t="b">
        <f>L8='REPORTE RECAUDO x BANCO'!G3</f>
        <v>1</v>
      </c>
      <c r="O9" s="209" t="b">
        <f>O8='REPORTE RECAUDO x BANCO'!H3</f>
        <v>1</v>
      </c>
      <c r="R9" s="209" t="b">
        <f>R8='REPORTE RECAUDO x BANCO'!D3+'REPORTE RECAUDO x BANCO'!E3</f>
        <v>1</v>
      </c>
    </row>
    <row r="10" spans="2:20" ht="13" thickBot="1" x14ac:dyDescent="0.3"/>
    <row r="11" spans="2:20" ht="58" thickBot="1" x14ac:dyDescent="0.3">
      <c r="B11" s="11" t="s">
        <v>3</v>
      </c>
      <c r="C11" s="12" t="s">
        <v>145</v>
      </c>
      <c r="E11" s="11" t="s">
        <v>3</v>
      </c>
      <c r="F11" s="12" t="s">
        <v>145</v>
      </c>
      <c r="H11" s="11" t="s">
        <v>3</v>
      </c>
      <c r="I11" s="12" t="s">
        <v>145</v>
      </c>
      <c r="K11" s="11" t="s">
        <v>3</v>
      </c>
      <c r="L11" s="12" t="s">
        <v>145</v>
      </c>
      <c r="N11" s="11" t="s">
        <v>3</v>
      </c>
      <c r="O11" s="12" t="s">
        <v>145</v>
      </c>
      <c r="Q11" s="11" t="s">
        <v>3</v>
      </c>
      <c r="R11" s="12" t="s">
        <v>145</v>
      </c>
      <c r="T11" s="142" t="s">
        <v>146</v>
      </c>
    </row>
    <row r="12" spans="2:20" x14ac:dyDescent="0.25">
      <c r="B12" s="14">
        <v>1</v>
      </c>
      <c r="C12" s="15">
        <f>'ANT EXT-REV'!C4</f>
        <v>1944280</v>
      </c>
      <c r="E12" s="14">
        <v>1</v>
      </c>
      <c r="F12" s="15">
        <f>'ANT EXT-REV'!C20</f>
        <v>0</v>
      </c>
      <c r="H12" s="14">
        <v>1</v>
      </c>
      <c r="I12" s="15">
        <f>'ANT EXT-REV'!C36</f>
        <v>0</v>
      </c>
      <c r="K12" s="14">
        <v>1</v>
      </c>
      <c r="L12" s="15">
        <f>'ANT EXT-REV'!A12</f>
        <v>0</v>
      </c>
      <c r="N12" s="14">
        <v>1</v>
      </c>
      <c r="O12" s="15">
        <f>'ANT EXT-REV'!C12</f>
        <v>1944280</v>
      </c>
      <c r="Q12" s="14">
        <v>1</v>
      </c>
      <c r="R12" s="15">
        <f>'ANT EXT-REV'!C28</f>
        <v>0</v>
      </c>
      <c r="T12" s="142" t="s">
        <v>147</v>
      </c>
    </row>
    <row r="13" spans="2:20" x14ac:dyDescent="0.25">
      <c r="B13" s="16">
        <v>2</v>
      </c>
      <c r="C13" s="15">
        <f>'ANT EXT-REV'!E4</f>
        <v>0</v>
      </c>
      <c r="E13" s="16">
        <v>2</v>
      </c>
      <c r="F13" s="15">
        <f>'ANT EXT-REV'!E20</f>
        <v>0</v>
      </c>
      <c r="H13" s="16">
        <v>2</v>
      </c>
      <c r="I13" s="15">
        <f>'ANT EXT-REV'!E36</f>
        <v>0</v>
      </c>
      <c r="K13" s="16">
        <v>2</v>
      </c>
      <c r="L13" s="15">
        <f>'ANT EXT-REV'!E44</f>
        <v>0</v>
      </c>
      <c r="N13" s="16">
        <v>2</v>
      </c>
      <c r="O13" s="15">
        <f>'ANT EXT-REV'!E12</f>
        <v>0</v>
      </c>
      <c r="Q13" s="16">
        <v>2</v>
      </c>
      <c r="R13" s="15">
        <f>'ANT EXT-REV'!E28</f>
        <v>0</v>
      </c>
    </row>
    <row r="14" spans="2:20" x14ac:dyDescent="0.25">
      <c r="B14" s="16">
        <v>3</v>
      </c>
      <c r="C14" s="15">
        <f>'ANT EXT-REV'!G4</f>
        <v>426786.93</v>
      </c>
      <c r="E14" s="16">
        <v>3</v>
      </c>
      <c r="F14" s="15">
        <f>'ANT EXT-REV'!G20</f>
        <v>0</v>
      </c>
      <c r="H14" s="16">
        <v>3</v>
      </c>
      <c r="I14" s="15">
        <f>'ANT EXT-REV'!G36</f>
        <v>0</v>
      </c>
      <c r="K14" s="16">
        <v>3</v>
      </c>
      <c r="L14" s="15">
        <f>'ANT EXT-REV'!G44</f>
        <v>0</v>
      </c>
      <c r="N14" s="16">
        <v>3</v>
      </c>
      <c r="O14" s="15">
        <f>'ANT EXT-REV'!G12</f>
        <v>426786.93</v>
      </c>
      <c r="Q14" s="16">
        <v>3</v>
      </c>
      <c r="R14" s="15">
        <f>'ANT EXT-REV'!G28</f>
        <v>0</v>
      </c>
    </row>
    <row r="15" spans="2:20" x14ac:dyDescent="0.25">
      <c r="B15" s="16">
        <v>4</v>
      </c>
      <c r="C15" s="15">
        <f>'ANT EXT-REV'!I4</f>
        <v>12360680</v>
      </c>
      <c r="E15" s="16">
        <v>4</v>
      </c>
      <c r="F15" s="15">
        <f>'ANT EXT-REV'!I20</f>
        <v>464370</v>
      </c>
      <c r="H15" s="16">
        <v>4</v>
      </c>
      <c r="I15" s="15">
        <f>'ANT EXT-REV'!I36</f>
        <v>9173160</v>
      </c>
      <c r="K15" s="16">
        <v>4</v>
      </c>
      <c r="L15" s="15">
        <f>'ANT EXT-REV'!I44</f>
        <v>0</v>
      </c>
      <c r="N15" s="16">
        <v>4</v>
      </c>
      <c r="O15" s="15">
        <f>'ANT EXT-REV'!I12</f>
        <v>2723150</v>
      </c>
      <c r="Q15" s="16">
        <v>4</v>
      </c>
      <c r="R15" s="15">
        <f>'ANT EXT-REV'!I28</f>
        <v>0</v>
      </c>
    </row>
    <row r="16" spans="2:20" ht="13" thickBot="1" x14ac:dyDescent="0.3">
      <c r="B16" s="19">
        <v>5</v>
      </c>
      <c r="C16" s="15">
        <f>'ANT EXT-REV'!K4</f>
        <v>314490</v>
      </c>
      <c r="E16" s="19">
        <v>5</v>
      </c>
      <c r="F16" s="15">
        <f>'ANT EXT-REV'!K20</f>
        <v>0</v>
      </c>
      <c r="H16" s="19">
        <v>5</v>
      </c>
      <c r="I16" s="15">
        <f>'ANT EXT-REV'!K36</f>
        <v>0</v>
      </c>
      <c r="K16" s="19">
        <v>5</v>
      </c>
      <c r="L16" s="15">
        <f>'ANT EXT-REV'!K44</f>
        <v>0</v>
      </c>
      <c r="N16" s="19">
        <v>5</v>
      </c>
      <c r="O16" s="15">
        <f>'ANT EXT-REV'!K12</f>
        <v>314490</v>
      </c>
      <c r="Q16" s="19">
        <v>5</v>
      </c>
      <c r="R16" s="15">
        <f>'ANT EXT-REV'!K28</f>
        <v>0</v>
      </c>
    </row>
    <row r="17" spans="2:20" ht="13" thickBot="1" x14ac:dyDescent="0.3">
      <c r="B17" s="21"/>
      <c r="C17" s="47">
        <f>SUM(C12:C16)</f>
        <v>15046236.93</v>
      </c>
      <c r="E17" s="21"/>
      <c r="F17" s="47">
        <f>SUM(F12:F16)</f>
        <v>464370</v>
      </c>
      <c r="H17" s="21"/>
      <c r="I17" s="47">
        <f>SUM(I12:I16)</f>
        <v>9173160</v>
      </c>
      <c r="K17" s="21"/>
      <c r="L17" s="47">
        <f>SUM(L12:L16)</f>
        <v>0</v>
      </c>
      <c r="N17" s="21"/>
      <c r="O17" s="47">
        <f>SUM(O12:O16)</f>
        <v>5408706.9299999997</v>
      </c>
      <c r="Q17" s="21"/>
      <c r="R17" s="47">
        <f>SUM(R12:R16)</f>
        <v>0</v>
      </c>
    </row>
    <row r="18" spans="2:20" x14ac:dyDescent="0.25">
      <c r="C18" s="209" t="b">
        <f>C17='ANT EXT-REV'!M4</f>
        <v>1</v>
      </c>
      <c r="F18" s="209" t="b">
        <f>F17='ANT EXT-REV'!M20</f>
        <v>1</v>
      </c>
      <c r="I18" s="209" t="b">
        <f>I17='ANT EXT-REV'!M36</f>
        <v>1</v>
      </c>
      <c r="L18" s="209" t="b">
        <f>L17='ANT EXT-REV'!M44</f>
        <v>1</v>
      </c>
      <c r="O18" s="209" t="b">
        <f>O17='ANT EXT-REV'!M12</f>
        <v>1</v>
      </c>
      <c r="R18" s="209" t="b">
        <f>R17='ANT EXT-REV'!M28</f>
        <v>1</v>
      </c>
    </row>
    <row r="19" spans="2:20" ht="13" thickBot="1" x14ac:dyDescent="0.3"/>
    <row r="20" spans="2:20" ht="35" thickBot="1" x14ac:dyDescent="0.3">
      <c r="B20" s="11" t="s">
        <v>3</v>
      </c>
      <c r="C20" s="12" t="s">
        <v>169</v>
      </c>
      <c r="E20" s="11" t="s">
        <v>3</v>
      </c>
      <c r="F20" s="12" t="s">
        <v>169</v>
      </c>
      <c r="H20" s="11" t="s">
        <v>3</v>
      </c>
      <c r="I20" s="12" t="s">
        <v>169</v>
      </c>
      <c r="K20" s="11" t="s">
        <v>3</v>
      </c>
      <c r="L20" s="12" t="s">
        <v>169</v>
      </c>
      <c r="N20" s="11" t="s">
        <v>3</v>
      </c>
      <c r="O20" s="12" t="s">
        <v>169</v>
      </c>
      <c r="Q20" s="11" t="s">
        <v>3</v>
      </c>
      <c r="R20" s="12" t="s">
        <v>169</v>
      </c>
      <c r="T20" s="142" t="s">
        <v>170</v>
      </c>
    </row>
    <row r="21" spans="2:20" x14ac:dyDescent="0.25">
      <c r="B21" s="14">
        <v>1</v>
      </c>
      <c r="C21" s="15">
        <f>'ANT EXT-REV'!D4</f>
        <v>-8965804.3499999996</v>
      </c>
      <c r="E21" s="14">
        <v>1</v>
      </c>
      <c r="F21" s="15">
        <f>'ANT EXT-REV'!D20</f>
        <v>0</v>
      </c>
      <c r="H21" s="14">
        <v>1</v>
      </c>
      <c r="I21" s="15">
        <f>'ANT EXT-REV'!D36</f>
        <v>0</v>
      </c>
      <c r="K21" s="14">
        <v>1</v>
      </c>
      <c r="L21" s="15">
        <f>'ANT EXT-REV'!D44</f>
        <v>0</v>
      </c>
      <c r="N21" s="14">
        <v>1</v>
      </c>
      <c r="O21" s="15">
        <f>'ANT EXT-REV'!D12</f>
        <v>-8965804.3499999996</v>
      </c>
      <c r="Q21" s="14">
        <v>1</v>
      </c>
      <c r="R21" s="15">
        <f>'ANT EXT-REV'!D28</f>
        <v>0</v>
      </c>
      <c r="T21" s="142" t="s">
        <v>147</v>
      </c>
    </row>
    <row r="22" spans="2:20" x14ac:dyDescent="0.25">
      <c r="B22" s="16">
        <v>2</v>
      </c>
      <c r="C22" s="15">
        <f>'ANT EXT-REV'!F4</f>
        <v>-649106.28</v>
      </c>
      <c r="E22" s="16">
        <v>2</v>
      </c>
      <c r="F22" s="15">
        <f>'ANT EXT-REV'!F20</f>
        <v>-600714.28</v>
      </c>
      <c r="H22" s="16">
        <v>2</v>
      </c>
      <c r="I22" s="15">
        <f>'ANT EXT-REV'!F36</f>
        <v>-48392</v>
      </c>
      <c r="K22" s="16">
        <v>2</v>
      </c>
      <c r="L22" s="15">
        <f>'ANT EXT-REV'!F44</f>
        <v>0</v>
      </c>
      <c r="N22" s="16">
        <v>2</v>
      </c>
      <c r="O22" s="15">
        <f>'ANT EXT-REV'!F12</f>
        <v>0</v>
      </c>
      <c r="Q22" s="16">
        <v>2</v>
      </c>
      <c r="R22" s="15">
        <f>'ANT EXT-REV'!F28</f>
        <v>0</v>
      </c>
    </row>
    <row r="23" spans="2:20" x14ac:dyDescent="0.25">
      <c r="B23" s="16">
        <v>3</v>
      </c>
      <c r="C23" s="15">
        <f>'ANT EXT-REV'!H4</f>
        <v>-10201649.109999999</v>
      </c>
      <c r="E23" s="16">
        <v>3</v>
      </c>
      <c r="F23" s="15">
        <f>'ANT EXT-REV'!H20</f>
        <v>0</v>
      </c>
      <c r="H23" s="16">
        <v>3</v>
      </c>
      <c r="I23" s="15">
        <f>'ANT EXT-REV'!H36</f>
        <v>-55841</v>
      </c>
      <c r="K23" s="16">
        <v>3</v>
      </c>
      <c r="L23" s="15">
        <f>'ANT EXT-REV'!H44</f>
        <v>0</v>
      </c>
      <c r="N23" s="16">
        <v>3</v>
      </c>
      <c r="O23" s="15">
        <f>'ANT EXT-REV'!H12</f>
        <v>-10145808.109999999</v>
      </c>
      <c r="Q23" s="16">
        <v>3</v>
      </c>
      <c r="R23" s="15">
        <f>'ANT EXT-REV'!H28</f>
        <v>0</v>
      </c>
    </row>
    <row r="24" spans="2:20" x14ac:dyDescent="0.25">
      <c r="B24" s="16">
        <v>4</v>
      </c>
      <c r="C24" s="15">
        <f>'ANT EXT-REV'!J4</f>
        <v>-489671.43000000005</v>
      </c>
      <c r="E24" s="16">
        <v>4</v>
      </c>
      <c r="F24" s="15">
        <f>'ANT EXT-REV'!J20</f>
        <v>0</v>
      </c>
      <c r="H24" s="16">
        <v>4</v>
      </c>
      <c r="I24" s="15">
        <f>'ANT EXT-REV'!J36</f>
        <v>-244523.39</v>
      </c>
      <c r="K24" s="16">
        <v>4</v>
      </c>
      <c r="L24" s="15">
        <f>'ANT EXT-REV'!J44</f>
        <v>0</v>
      </c>
      <c r="N24" s="16">
        <v>4</v>
      </c>
      <c r="O24" s="15">
        <f>'ANT EXT-REV'!J12</f>
        <v>-245148.04</v>
      </c>
      <c r="Q24" s="16">
        <v>4</v>
      </c>
      <c r="R24" s="15">
        <f>'ANT EXT-REV'!J28</f>
        <v>0</v>
      </c>
    </row>
    <row r="25" spans="2:20" ht="13" thickBot="1" x14ac:dyDescent="0.3">
      <c r="B25" s="19">
        <v>5</v>
      </c>
      <c r="C25" s="15">
        <f>'ANT EXT-REV'!L4</f>
        <v>-750593.32</v>
      </c>
      <c r="E25" s="19">
        <v>5</v>
      </c>
      <c r="F25" s="15">
        <f>'ANT EXT-REV'!L20</f>
        <v>0</v>
      </c>
      <c r="H25" s="19">
        <v>5</v>
      </c>
      <c r="I25" s="15">
        <f>'ANT EXT-REV'!L36</f>
        <v>0</v>
      </c>
      <c r="K25" s="19">
        <v>5</v>
      </c>
      <c r="L25" s="15">
        <f>'ANT EXT-REV'!L44</f>
        <v>0</v>
      </c>
      <c r="N25" s="19">
        <v>5</v>
      </c>
      <c r="O25" s="15">
        <f>'ANT EXT-REV'!L12</f>
        <v>-750593.32</v>
      </c>
      <c r="Q25" s="19">
        <v>5</v>
      </c>
      <c r="R25" s="15">
        <f>'ANT EXT-REV'!L28</f>
        <v>0</v>
      </c>
    </row>
    <row r="26" spans="2:20" ht="13" thickBot="1" x14ac:dyDescent="0.3">
      <c r="B26" s="21"/>
      <c r="C26" s="47">
        <f t="shared" ref="C26" si="0">SUM(C21:C25)</f>
        <v>-21056824.489999998</v>
      </c>
      <c r="E26" s="21"/>
      <c r="F26" s="47">
        <f t="shared" ref="F26" si="1">SUM(F21:F25)</f>
        <v>-600714.28</v>
      </c>
      <c r="H26" s="21"/>
      <c r="I26" s="47">
        <f t="shared" ref="I26" si="2">SUM(I21:I25)</f>
        <v>-348756.39</v>
      </c>
      <c r="K26" s="21"/>
      <c r="L26" s="47">
        <f t="shared" ref="L26:O26" si="3">SUM(L21:L25)</f>
        <v>0</v>
      </c>
      <c r="N26" s="21"/>
      <c r="O26" s="47">
        <f t="shared" si="3"/>
        <v>-20107353.82</v>
      </c>
      <c r="Q26" s="21"/>
      <c r="R26" s="47">
        <f t="shared" ref="R26" si="4">SUM(R21:R25)</f>
        <v>0</v>
      </c>
    </row>
    <row r="27" spans="2:20" x14ac:dyDescent="0.25">
      <c r="C27" s="209" t="b">
        <f>C26='ANT EXT-REV'!N4</f>
        <v>1</v>
      </c>
      <c r="F27" s="209" t="b">
        <f>F26='ANT EXT-REV'!N20</f>
        <v>1</v>
      </c>
      <c r="I27" s="209" t="b">
        <f>I26='ANT EXT-REV'!N36</f>
        <v>1</v>
      </c>
      <c r="L27" s="209" t="b">
        <f>L26='ANT EXT-REV'!N44</f>
        <v>1</v>
      </c>
      <c r="O27" s="209" t="b">
        <f>O26='ANT EXT-REV'!N12</f>
        <v>1</v>
      </c>
      <c r="R27" s="209" t="b">
        <f>R26='ANT EXT-REV'!N28</f>
        <v>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7030A0"/>
  </sheetPr>
  <dimension ref="A1:J35"/>
  <sheetViews>
    <sheetView zoomScaleNormal="100" workbookViewId="0">
      <selection activeCell="I22" sqref="I21:I22"/>
    </sheetView>
  </sheetViews>
  <sheetFormatPr baseColWidth="10" defaultRowHeight="12.5" x14ac:dyDescent="0.25"/>
  <cols>
    <col min="3" max="3" width="11.453125" style="123"/>
    <col min="4" max="4" width="19.26953125" customWidth="1"/>
    <col min="5" max="5" width="18.26953125" customWidth="1"/>
    <col min="6" max="7" width="18" customWidth="1"/>
    <col min="8" max="8" width="27.7265625" customWidth="1"/>
    <col min="9" max="9" width="33.54296875" customWidth="1"/>
  </cols>
  <sheetData>
    <row r="1" spans="1:10" ht="13" thickBot="1" x14ac:dyDescent="0.3">
      <c r="H1" s="506" t="s">
        <v>1</v>
      </c>
    </row>
    <row r="2" spans="1:10" ht="15" thickBot="1" x14ac:dyDescent="0.4">
      <c r="C2" s="127" t="s">
        <v>3</v>
      </c>
      <c r="D2" s="128" t="s">
        <v>109</v>
      </c>
      <c r="E2" s="128" t="s">
        <v>110</v>
      </c>
      <c r="F2" s="129" t="s">
        <v>111</v>
      </c>
      <c r="G2" s="501"/>
      <c r="H2" s="505" t="s">
        <v>196</v>
      </c>
    </row>
    <row r="3" spans="1:10" x14ac:dyDescent="0.25">
      <c r="C3" s="126">
        <v>1</v>
      </c>
      <c r="D3" s="585">
        <v>3256235169.9699998</v>
      </c>
      <c r="E3" s="585">
        <v>-1223871491.1300001</v>
      </c>
      <c r="F3" s="586">
        <f>D3+E3</f>
        <v>2032363678.8399997</v>
      </c>
      <c r="G3" s="502"/>
      <c r="H3" s="605">
        <f>DetRetri2026071!J9</f>
        <v>2032363679</v>
      </c>
      <c r="I3" s="279">
        <f>F3-H3</f>
        <v>-0.16000032424926758</v>
      </c>
    </row>
    <row r="4" spans="1:10" x14ac:dyDescent="0.25">
      <c r="C4" s="124">
        <v>2</v>
      </c>
      <c r="D4" s="595">
        <v>1946491828.3900001</v>
      </c>
      <c r="E4" s="595">
        <v>-6958007481.9799995</v>
      </c>
      <c r="F4" s="586">
        <f>D4+E4</f>
        <v>-5011515653.5899992</v>
      </c>
      <c r="G4" s="502"/>
      <c r="H4" s="606">
        <f>DetRetri2026071!J10</f>
        <v>-5011515654</v>
      </c>
      <c r="I4" s="279">
        <f t="shared" ref="I4:I7" si="0">F4-H4</f>
        <v>0.41000080108642578</v>
      </c>
    </row>
    <row r="5" spans="1:10" x14ac:dyDescent="0.25">
      <c r="C5" s="124">
        <v>3</v>
      </c>
      <c r="D5" s="595">
        <v>1936109874.45</v>
      </c>
      <c r="E5" s="595">
        <v>-3132932285.7600002</v>
      </c>
      <c r="F5" s="587">
        <f>D5+E5</f>
        <v>-1196822411.3100002</v>
      </c>
      <c r="G5" s="502"/>
      <c r="H5" s="606">
        <f>DetRetri2026071!J11</f>
        <v>-1196822411</v>
      </c>
      <c r="I5" s="279">
        <f t="shared" si="0"/>
        <v>-0.31000018119812012</v>
      </c>
    </row>
    <row r="6" spans="1:10" x14ac:dyDescent="0.25">
      <c r="C6" s="124">
        <v>4</v>
      </c>
      <c r="D6" s="595">
        <v>474156195.45999998</v>
      </c>
      <c r="E6" s="595">
        <v>-438200379.42000002</v>
      </c>
      <c r="F6" s="586">
        <f>D6+E6</f>
        <v>35955816.039999962</v>
      </c>
      <c r="G6" s="502"/>
      <c r="H6" s="606">
        <f>DetRetri2026071!J12</f>
        <v>35955816</v>
      </c>
      <c r="I6" s="279">
        <f t="shared" si="0"/>
        <v>3.9999961853027344E-2</v>
      </c>
    </row>
    <row r="7" spans="1:10" ht="13" thickBot="1" x14ac:dyDescent="0.3">
      <c r="C7" s="125">
        <v>5</v>
      </c>
      <c r="D7" s="596">
        <v>1266769543.8</v>
      </c>
      <c r="E7" s="596">
        <v>-2477195172.1100001</v>
      </c>
      <c r="F7" s="588">
        <f>D7+E7</f>
        <v>-1210425628.3100002</v>
      </c>
      <c r="G7" s="502"/>
      <c r="H7" s="607">
        <f>DetRetri2026071!J13</f>
        <v>-1210425628</v>
      </c>
      <c r="I7" s="279">
        <f t="shared" si="0"/>
        <v>-0.31000018119812012</v>
      </c>
    </row>
    <row r="8" spans="1:10" ht="13" thickBot="1" x14ac:dyDescent="0.3">
      <c r="D8" s="144"/>
      <c r="E8" s="144"/>
      <c r="F8" s="144"/>
      <c r="G8" s="503"/>
      <c r="H8" s="143"/>
      <c r="I8" s="279"/>
    </row>
    <row r="9" spans="1:10" ht="13" thickBot="1" x14ac:dyDescent="0.3">
      <c r="D9" s="144"/>
      <c r="E9" s="144"/>
      <c r="F9" s="266">
        <f>SUM(F3:F7)</f>
        <v>-5350444198.3299999</v>
      </c>
      <c r="G9" s="502"/>
      <c r="H9" s="608">
        <f>SUM(H3:H7)</f>
        <v>-5350444198</v>
      </c>
      <c r="I9" s="279">
        <f>F9-H9</f>
        <v>-0.32999992370605469</v>
      </c>
    </row>
    <row r="10" spans="1:10" ht="13" thickBot="1" x14ac:dyDescent="0.3">
      <c r="D10" s="144"/>
      <c r="E10" s="144"/>
      <c r="F10" s="144"/>
      <c r="G10" s="503"/>
      <c r="H10" s="268" t="b">
        <f>H9=DetRetri2026071!J14</f>
        <v>1</v>
      </c>
    </row>
    <row r="11" spans="1:10" ht="13.5" thickBot="1" x14ac:dyDescent="0.35">
      <c r="D11" s="267">
        <f>SUM(D3:D7)</f>
        <v>8879762612.0699997</v>
      </c>
      <c r="E11" s="267">
        <f t="shared" ref="E11" si="1">SUM(E3:E7)</f>
        <v>-14230206810.4</v>
      </c>
      <c r="F11" s="267">
        <f>SUM(D3:E7)</f>
        <v>-5350444198.3299999</v>
      </c>
      <c r="G11" s="504"/>
      <c r="H11" s="144"/>
    </row>
    <row r="12" spans="1:10" x14ac:dyDescent="0.25">
      <c r="D12" s="144"/>
      <c r="E12" s="144"/>
      <c r="F12" s="268" t="b">
        <f>ROUND(F11,2)=ROUND(F9,2)</f>
        <v>1</v>
      </c>
      <c r="H12" s="144"/>
    </row>
    <row r="13" spans="1:10" x14ac:dyDescent="0.25">
      <c r="D13" s="144"/>
      <c r="E13" s="144"/>
      <c r="F13" s="589">
        <f>ROUND(F11,2)-ROUND(F9,2)</f>
        <v>0</v>
      </c>
      <c r="G13" s="503"/>
      <c r="H13" s="144"/>
    </row>
    <row r="14" spans="1:10" x14ac:dyDescent="0.25">
      <c r="H14" s="143"/>
      <c r="I14" s="137"/>
    </row>
    <row r="15" spans="1:10" x14ac:dyDescent="0.25">
      <c r="H15" s="143"/>
      <c r="I15" s="137"/>
    </row>
    <row r="16" spans="1:10" x14ac:dyDescent="0.25">
      <c r="A16" s="238"/>
      <c r="B16" s="238"/>
      <c r="C16" s="498"/>
      <c r="D16" s="238"/>
      <c r="E16" s="238"/>
      <c r="F16" s="238"/>
      <c r="G16" s="238"/>
      <c r="H16" s="499"/>
      <c r="I16" s="500"/>
      <c r="J16" s="238"/>
    </row>
    <row r="17" spans="4:9" ht="13" thickBot="1" x14ac:dyDescent="0.3">
      <c r="D17" s="269"/>
      <c r="E17" s="269"/>
      <c r="F17" s="269"/>
      <c r="G17" s="269"/>
      <c r="H17" s="143"/>
      <c r="I17" s="137"/>
    </row>
    <row r="18" spans="4:9" ht="15" thickBot="1" x14ac:dyDescent="0.4">
      <c r="D18" s="127" t="s">
        <v>3</v>
      </c>
      <c r="E18" s="507" t="s">
        <v>195</v>
      </c>
      <c r="F18" s="511" t="s">
        <v>199</v>
      </c>
      <c r="G18" s="129" t="s">
        <v>198</v>
      </c>
      <c r="H18" s="512" t="s">
        <v>197</v>
      </c>
      <c r="I18" s="137"/>
    </row>
    <row r="19" spans="4:9" x14ac:dyDescent="0.25">
      <c r="D19" s="513">
        <v>1</v>
      </c>
      <c r="E19" s="516">
        <f>'CONSOLIDADO_TOTAL RECAUDO'!J104</f>
        <v>2032363678.8399997</v>
      </c>
      <c r="F19" s="517" t="b">
        <f>E19=F3</f>
        <v>1</v>
      </c>
      <c r="G19" s="517" t="b">
        <f>E19=H3</f>
        <v>0</v>
      </c>
      <c r="H19" s="518">
        <f>E19-H3</f>
        <v>-0.16000032424926758</v>
      </c>
      <c r="I19" s="137"/>
    </row>
    <row r="20" spans="4:9" x14ac:dyDescent="0.25">
      <c r="D20" s="514">
        <v>2</v>
      </c>
      <c r="E20" s="519">
        <f>'CONSOLIDADO_TOTAL RECAUDO'!J105</f>
        <v>-5011515653.5899992</v>
      </c>
      <c r="F20" s="508" t="b">
        <f t="shared" ref="F20:F23" si="2">E20=F4</f>
        <v>1</v>
      </c>
      <c r="G20" s="508" t="b">
        <f t="shared" ref="G20:G23" si="3">E20=H4</f>
        <v>0</v>
      </c>
      <c r="H20" s="264">
        <f t="shared" ref="H20:H23" si="4">E20-H4</f>
        <v>0.41000080108642578</v>
      </c>
      <c r="I20" s="137"/>
    </row>
    <row r="21" spans="4:9" x14ac:dyDescent="0.25">
      <c r="D21" s="514">
        <v>3</v>
      </c>
      <c r="E21" s="519">
        <f>'CONSOLIDADO_TOTAL RECAUDO'!J106</f>
        <v>-1196822411.3100002</v>
      </c>
      <c r="F21" s="508" t="b">
        <f t="shared" si="2"/>
        <v>1</v>
      </c>
      <c r="G21" s="508" t="b">
        <f t="shared" si="3"/>
        <v>0</v>
      </c>
      <c r="H21" s="264">
        <f t="shared" si="4"/>
        <v>-0.31000018119812012</v>
      </c>
    </row>
    <row r="22" spans="4:9" x14ac:dyDescent="0.25">
      <c r="D22" s="514">
        <v>4</v>
      </c>
      <c r="E22" s="519">
        <f>'CONSOLIDADO_TOTAL RECAUDO'!J107</f>
        <v>35955816.039999962</v>
      </c>
      <c r="F22" s="508" t="b">
        <f t="shared" si="2"/>
        <v>1</v>
      </c>
      <c r="G22" s="508" t="b">
        <f t="shared" si="3"/>
        <v>0</v>
      </c>
      <c r="H22" s="264">
        <f t="shared" si="4"/>
        <v>3.9999961853027344E-2</v>
      </c>
    </row>
    <row r="23" spans="4:9" ht="13" thickBot="1" x14ac:dyDescent="0.3">
      <c r="D23" s="515">
        <v>5</v>
      </c>
      <c r="E23" s="520">
        <f>'CONSOLIDADO_TOTAL RECAUDO'!J108</f>
        <v>-1210425628.3100002</v>
      </c>
      <c r="F23" s="521" t="b">
        <f t="shared" si="2"/>
        <v>1</v>
      </c>
      <c r="G23" s="521" t="b">
        <f t="shared" si="3"/>
        <v>0</v>
      </c>
      <c r="H23" s="265">
        <f t="shared" si="4"/>
        <v>-0.31000018119812012</v>
      </c>
    </row>
    <row r="24" spans="4:9" ht="13.5" thickBot="1" x14ac:dyDescent="0.35">
      <c r="E24" s="267">
        <f>SUM(E19:E23)</f>
        <v>-5350444198.3299999</v>
      </c>
      <c r="F24" s="509" t="b">
        <f>E24=F9</f>
        <v>1</v>
      </c>
      <c r="G24" s="510" t="b">
        <f>E24=H9</f>
        <v>0</v>
      </c>
      <c r="H24" s="266">
        <f>E24-H9</f>
        <v>-0.32999992370605469</v>
      </c>
    </row>
    <row r="26" spans="4:9" x14ac:dyDescent="0.25">
      <c r="F26" s="137"/>
    </row>
    <row r="28" spans="4:9" x14ac:dyDescent="0.25">
      <c r="F28" s="269"/>
    </row>
    <row r="29" spans="4:9" x14ac:dyDescent="0.25">
      <c r="F29" s="269"/>
    </row>
    <row r="30" spans="4:9" x14ac:dyDescent="0.25">
      <c r="F30" s="269"/>
    </row>
    <row r="31" spans="4:9" x14ac:dyDescent="0.25">
      <c r="F31" s="269"/>
    </row>
    <row r="32" spans="4:9" x14ac:dyDescent="0.25">
      <c r="F32" s="269"/>
    </row>
    <row r="33" spans="6:7" x14ac:dyDescent="0.25">
      <c r="F33" s="269"/>
    </row>
    <row r="34" spans="6:7" x14ac:dyDescent="0.25">
      <c r="F34" s="269"/>
      <c r="G34" s="137"/>
    </row>
    <row r="35" spans="6:7" x14ac:dyDescent="0.25">
      <c r="F35" s="269"/>
    </row>
  </sheetData>
  <conditionalFormatting sqref="F19:H24">
    <cfRule type="cellIs" dxfId="83" priority="1" operator="notEqual">
      <formula>TRUE</formula>
    </cfRule>
  </conditionalFormatting>
  <printOptions horizontalCentered="1" verticalCentered="1"/>
  <pageMargins left="0.70866141732283472" right="0.70866141732283472" top="0.74803149606299213" bottom="0.74803149606299213" header="0.31496062992125984" footer="0.31496062992125984"/>
  <pageSetup orientation="landscape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P551"/>
  <sheetViews>
    <sheetView zoomScale="90" zoomScaleNormal="90" workbookViewId="0">
      <pane ySplit="5" topLeftCell="A114" activePane="bottomLeft" state="frozen"/>
      <selection activeCell="F540" activeCellId="2" sqref="F530 F535 F540"/>
      <selection pane="bottomLeft" activeCell="A186" sqref="A186"/>
    </sheetView>
  </sheetViews>
  <sheetFormatPr baseColWidth="10" defaultRowHeight="12.5" x14ac:dyDescent="0.25"/>
  <cols>
    <col min="1" max="1" width="13.7265625" customWidth="1"/>
    <col min="2" max="2" width="16.7265625" customWidth="1"/>
    <col min="3" max="3" width="15.7265625" bestFit="1" customWidth="1"/>
    <col min="4" max="4" width="16.7265625" bestFit="1" customWidth="1"/>
    <col min="5" max="5" width="17" bestFit="1" customWidth="1"/>
    <col min="6" max="6" width="17.453125" bestFit="1" customWidth="1"/>
    <col min="7" max="7" width="16.7265625" bestFit="1" customWidth="1"/>
    <col min="8" max="8" width="16.26953125" bestFit="1" customWidth="1"/>
    <col min="9" max="9" width="19.26953125" customWidth="1"/>
    <col min="10" max="10" width="17" customWidth="1"/>
    <col min="11" max="11" width="17.26953125" bestFit="1" customWidth="1"/>
    <col min="12" max="12" width="22.453125" bestFit="1" customWidth="1"/>
    <col min="13" max="13" width="16.7265625" bestFit="1" customWidth="1"/>
    <col min="14" max="14" width="20.453125" bestFit="1" customWidth="1"/>
    <col min="15" max="15" width="20.453125" customWidth="1"/>
    <col min="16" max="16" width="20.453125" bestFit="1" customWidth="1"/>
    <col min="17" max="17" width="25.26953125" customWidth="1"/>
    <col min="18" max="18" width="17.26953125" customWidth="1"/>
    <col min="19" max="19" width="24" customWidth="1"/>
    <col min="20" max="22" width="23.7265625" customWidth="1"/>
    <col min="23" max="24" width="20" bestFit="1" customWidth="1"/>
    <col min="25" max="25" width="18.7265625" customWidth="1"/>
    <col min="26" max="26" width="14.26953125" bestFit="1" customWidth="1"/>
  </cols>
  <sheetData>
    <row r="1" spans="2:26" x14ac:dyDescent="0.25">
      <c r="F1" s="631"/>
    </row>
    <row r="3" spans="2:26" s="238" customFormat="1" x14ac:dyDescent="0.25"/>
    <row r="4" spans="2:26" ht="13.5" customHeight="1" x14ac:dyDescent="0.3">
      <c r="B4" s="97" t="s">
        <v>74</v>
      </c>
    </row>
    <row r="5" spans="2:26" ht="12" customHeight="1" x14ac:dyDescent="0.25">
      <c r="F5" s="89" t="s">
        <v>70</v>
      </c>
      <c r="G5" s="89" t="s">
        <v>64</v>
      </c>
      <c r="H5" s="89" t="s">
        <v>65</v>
      </c>
      <c r="I5" s="218" t="s">
        <v>164</v>
      </c>
      <c r="J5" s="89" t="s">
        <v>69</v>
      </c>
      <c r="K5" s="89" t="s">
        <v>68</v>
      </c>
      <c r="L5" s="89" t="s">
        <v>71</v>
      </c>
      <c r="M5" s="89" t="s">
        <v>66</v>
      </c>
      <c r="N5" s="89" t="s">
        <v>63</v>
      </c>
      <c r="O5" s="89" t="s">
        <v>61</v>
      </c>
      <c r="P5" s="89" t="s">
        <v>62</v>
      </c>
      <c r="Q5" s="89" t="s">
        <v>67</v>
      </c>
      <c r="R5" s="89" t="s">
        <v>77</v>
      </c>
      <c r="S5" s="89" t="s">
        <v>80</v>
      </c>
      <c r="T5" s="89" t="s">
        <v>135</v>
      </c>
      <c r="U5" s="89" t="s">
        <v>223</v>
      </c>
      <c r="V5" s="89" t="s">
        <v>223</v>
      </c>
      <c r="W5" s="89" t="s">
        <v>172</v>
      </c>
      <c r="X5" t="s">
        <v>166</v>
      </c>
      <c r="Y5" s="89" t="s">
        <v>135</v>
      </c>
      <c r="Z5" s="89" t="s">
        <v>166</v>
      </c>
    </row>
    <row r="6" spans="2:26" ht="12.75" customHeight="1" x14ac:dyDescent="0.25">
      <c r="E6" s="89" t="s">
        <v>72</v>
      </c>
      <c r="F6" s="374">
        <v>6311519.1100000003</v>
      </c>
      <c r="G6" s="90">
        <v>1237788.99</v>
      </c>
      <c r="H6" s="90">
        <v>698932.72</v>
      </c>
      <c r="I6" s="90">
        <v>368148.99</v>
      </c>
      <c r="J6" s="90">
        <v>164076.41</v>
      </c>
      <c r="K6" s="90">
        <v>5902</v>
      </c>
      <c r="L6" s="90">
        <v>0</v>
      </c>
      <c r="M6" s="90">
        <v>51771.85</v>
      </c>
      <c r="N6" s="90">
        <v>67502.58</v>
      </c>
      <c r="O6" s="90">
        <v>315251.82</v>
      </c>
      <c r="P6" s="90">
        <v>3392526.69</v>
      </c>
      <c r="Q6" s="90">
        <v>9629.4599999999991</v>
      </c>
      <c r="R6" s="90">
        <v>-12.4</v>
      </c>
      <c r="S6" s="90">
        <v>0</v>
      </c>
      <c r="T6" s="90">
        <v>0</v>
      </c>
      <c r="U6" s="90">
        <v>0</v>
      </c>
      <c r="V6" s="90">
        <v>0</v>
      </c>
      <c r="W6" s="90">
        <v>0</v>
      </c>
      <c r="X6" s="90">
        <v>0</v>
      </c>
      <c r="Y6" s="90">
        <v>0</v>
      </c>
      <c r="Z6" s="90">
        <v>0</v>
      </c>
    </row>
    <row r="7" spans="2:26" ht="12.65" customHeight="1" x14ac:dyDescent="0.25">
      <c r="E7" s="89" t="s">
        <v>81</v>
      </c>
      <c r="F7" s="374">
        <v>19996.259999999998</v>
      </c>
      <c r="G7" s="90">
        <v>4031.92</v>
      </c>
      <c r="H7" s="90">
        <v>2277.16</v>
      </c>
      <c r="I7" s="90">
        <v>1198.72</v>
      </c>
      <c r="J7" s="90">
        <v>279.31</v>
      </c>
      <c r="K7" s="90">
        <v>16.579999999999998</v>
      </c>
      <c r="L7" s="90">
        <v>0</v>
      </c>
      <c r="M7" s="90">
        <v>145.13</v>
      </c>
      <c r="N7" s="90">
        <v>172.52</v>
      </c>
      <c r="O7" s="90">
        <v>800.55</v>
      </c>
      <c r="P7" s="90">
        <v>11047.38</v>
      </c>
      <c r="Q7" s="90">
        <v>26.98</v>
      </c>
      <c r="R7" s="90">
        <v>0.01</v>
      </c>
      <c r="S7" s="90">
        <v>0</v>
      </c>
      <c r="T7" s="90">
        <v>0</v>
      </c>
      <c r="U7" s="90">
        <v>0</v>
      </c>
      <c r="V7" s="90">
        <v>0</v>
      </c>
      <c r="W7" s="90">
        <v>0</v>
      </c>
      <c r="X7" s="90">
        <v>0</v>
      </c>
      <c r="Y7" s="90">
        <v>0</v>
      </c>
      <c r="Z7" s="90">
        <v>0</v>
      </c>
    </row>
    <row r="8" spans="2:26" ht="12.75" customHeight="1" x14ac:dyDescent="0.25">
      <c r="C8" s="89"/>
      <c r="D8" s="89" t="s">
        <v>87</v>
      </c>
      <c r="E8" t="s">
        <v>70</v>
      </c>
      <c r="F8" s="90">
        <v>6331515.3700000001</v>
      </c>
      <c r="G8" s="90">
        <v>1241820.9099999999</v>
      </c>
      <c r="H8" s="90">
        <v>701209.88</v>
      </c>
      <c r="I8" s="90">
        <v>369347.71</v>
      </c>
      <c r="J8" s="90">
        <v>164355.72</v>
      </c>
      <c r="K8" s="90">
        <v>5918.58</v>
      </c>
      <c r="L8" s="90">
        <v>0</v>
      </c>
      <c r="M8" s="90">
        <v>51916.98</v>
      </c>
      <c r="N8" s="90">
        <v>67675.100000000006</v>
      </c>
      <c r="O8" s="90">
        <v>316052.37</v>
      </c>
      <c r="P8" s="90">
        <v>3403574.07</v>
      </c>
      <c r="Q8" s="90">
        <v>9656.44</v>
      </c>
      <c r="R8" s="90">
        <v>-12.39</v>
      </c>
      <c r="S8" s="90">
        <v>0</v>
      </c>
      <c r="T8" s="90">
        <v>0</v>
      </c>
      <c r="U8" s="90">
        <v>0</v>
      </c>
      <c r="V8" s="90">
        <v>0</v>
      </c>
      <c r="W8" s="90">
        <v>0</v>
      </c>
      <c r="X8" s="90">
        <v>0</v>
      </c>
      <c r="Y8" s="90">
        <v>0</v>
      </c>
      <c r="Z8" s="90">
        <v>0</v>
      </c>
    </row>
    <row r="9" spans="2:26" s="94" customFormat="1" ht="12.75" customHeight="1" x14ac:dyDescent="0.25">
      <c r="C9" s="101" t="s">
        <v>119</v>
      </c>
      <c r="D9" s="101" t="s">
        <v>70</v>
      </c>
      <c r="F9" s="93">
        <v>6331515.3700000001</v>
      </c>
      <c r="G9" s="93">
        <v>1241820.9099999999</v>
      </c>
      <c r="H9" s="93">
        <v>701209.88</v>
      </c>
      <c r="I9" s="93">
        <v>369347.71</v>
      </c>
      <c r="J9" s="93">
        <v>164355.72</v>
      </c>
      <c r="K9" s="93">
        <v>5918.58</v>
      </c>
      <c r="L9" s="93">
        <v>0</v>
      </c>
      <c r="M9" s="93">
        <v>51916.98</v>
      </c>
      <c r="N9" s="93">
        <v>67675.100000000006</v>
      </c>
      <c r="O9" s="93">
        <v>316052.37</v>
      </c>
      <c r="P9" s="93">
        <v>3403574.07</v>
      </c>
      <c r="Q9" s="93">
        <v>9656.44</v>
      </c>
      <c r="R9" s="93">
        <v>-12.39</v>
      </c>
      <c r="S9" s="93">
        <v>0</v>
      </c>
      <c r="T9" s="93">
        <v>0</v>
      </c>
      <c r="U9" s="93">
        <v>0</v>
      </c>
      <c r="V9" s="93">
        <v>0</v>
      </c>
      <c r="W9" s="93">
        <v>0</v>
      </c>
      <c r="X9" s="93">
        <v>0</v>
      </c>
      <c r="Y9" s="93">
        <v>0</v>
      </c>
      <c r="Z9" s="93">
        <v>0</v>
      </c>
    </row>
    <row r="10" spans="2:26" s="381" customFormat="1" ht="12.75" customHeight="1" x14ac:dyDescent="0.25">
      <c r="B10" s="381" t="s">
        <v>122</v>
      </c>
      <c r="C10" s="381" t="s">
        <v>70</v>
      </c>
      <c r="F10" s="381">
        <v>6331515.3700000001</v>
      </c>
      <c r="G10" s="381">
        <v>1241820.9099999999</v>
      </c>
      <c r="H10" s="381">
        <v>701209.88</v>
      </c>
      <c r="I10" s="381">
        <v>369347.71</v>
      </c>
      <c r="J10" s="381">
        <v>164355.72</v>
      </c>
      <c r="K10" s="381">
        <v>5918.58</v>
      </c>
      <c r="L10" s="381">
        <v>0</v>
      </c>
      <c r="M10" s="381">
        <v>51916.98</v>
      </c>
      <c r="N10" s="381">
        <v>67675.100000000006</v>
      </c>
      <c r="O10" s="381">
        <v>316052.37</v>
      </c>
      <c r="P10" s="381">
        <v>3403574.07</v>
      </c>
      <c r="Q10" s="381">
        <v>9656.44</v>
      </c>
      <c r="R10" s="381">
        <v>-12.39</v>
      </c>
      <c r="S10" s="381">
        <v>0</v>
      </c>
      <c r="T10" s="381">
        <v>0</v>
      </c>
      <c r="U10" s="381">
        <v>0</v>
      </c>
      <c r="V10" s="381">
        <v>0</v>
      </c>
      <c r="W10" s="381">
        <v>0</v>
      </c>
      <c r="X10" s="381">
        <v>0</v>
      </c>
      <c r="Y10" s="381">
        <v>0</v>
      </c>
      <c r="Z10" s="381">
        <v>0</v>
      </c>
    </row>
    <row r="11" spans="2:26" ht="12.75" customHeight="1" x14ac:dyDescent="0.25">
      <c r="E11" s="89" t="s">
        <v>72</v>
      </c>
      <c r="F11" s="374">
        <v>19101452288.529999</v>
      </c>
      <c r="G11" s="90">
        <v>913369031.08000004</v>
      </c>
      <c r="H11" s="90">
        <v>515314289.33999997</v>
      </c>
      <c r="I11" s="90">
        <v>270565097.94</v>
      </c>
      <c r="J11" s="90">
        <v>4834618087.0900002</v>
      </c>
      <c r="K11" s="90">
        <v>167759979.59999999</v>
      </c>
      <c r="L11" s="90">
        <v>14321632.130000001</v>
      </c>
      <c r="M11" s="90">
        <v>1472439700.3099999</v>
      </c>
      <c r="N11" s="90">
        <v>1422499241.3699999</v>
      </c>
      <c r="O11" s="90">
        <v>6731702696.4200001</v>
      </c>
      <c r="P11" s="90">
        <v>2485164502.5500002</v>
      </c>
      <c r="Q11" s="90">
        <v>273731944.67000002</v>
      </c>
      <c r="R11" s="90">
        <v>-33913.97</v>
      </c>
      <c r="S11" s="90">
        <v>0</v>
      </c>
      <c r="T11" s="90">
        <v>0</v>
      </c>
      <c r="U11" s="90">
        <v>0</v>
      </c>
      <c r="V11" s="90">
        <v>0</v>
      </c>
      <c r="W11" s="90">
        <v>0</v>
      </c>
      <c r="X11" s="90">
        <v>0</v>
      </c>
      <c r="Y11" s="90">
        <v>0</v>
      </c>
      <c r="Z11" s="90">
        <v>0</v>
      </c>
    </row>
    <row r="12" spans="2:26" ht="12.75" customHeight="1" x14ac:dyDescent="0.25">
      <c r="E12" s="89" t="s">
        <v>81</v>
      </c>
      <c r="F12" s="90">
        <v>2792245.77</v>
      </c>
      <c r="G12" s="90">
        <v>155660.99</v>
      </c>
      <c r="H12" s="90">
        <v>79689.820000000007</v>
      </c>
      <c r="I12" s="90">
        <v>41740.83</v>
      </c>
      <c r="J12" s="90">
        <v>633473.56999999995</v>
      </c>
      <c r="K12" s="90">
        <v>26506.79</v>
      </c>
      <c r="L12" s="90">
        <v>312.58</v>
      </c>
      <c r="M12" s="90">
        <v>234143.87</v>
      </c>
      <c r="N12" s="90">
        <v>212449.63</v>
      </c>
      <c r="O12" s="90">
        <v>946855.03</v>
      </c>
      <c r="P12" s="90">
        <v>417682.52</v>
      </c>
      <c r="Q12" s="90">
        <v>43448.47</v>
      </c>
      <c r="R12" s="90">
        <v>2.4500000000000002</v>
      </c>
      <c r="S12" s="90">
        <v>-0.01</v>
      </c>
      <c r="T12" s="90">
        <v>279.23</v>
      </c>
      <c r="U12" s="90">
        <v>0</v>
      </c>
      <c r="V12" s="90">
        <v>0</v>
      </c>
      <c r="W12" s="90">
        <v>0</v>
      </c>
      <c r="X12" s="90">
        <v>0</v>
      </c>
      <c r="Y12" s="90">
        <v>0</v>
      </c>
      <c r="Z12" s="90">
        <v>0</v>
      </c>
    </row>
    <row r="13" spans="2:26" ht="12.75" customHeight="1" x14ac:dyDescent="0.25">
      <c r="D13" t="s">
        <v>156</v>
      </c>
      <c r="E13" s="89" t="s">
        <v>70</v>
      </c>
      <c r="F13" s="89">
        <v>19104244534.299999</v>
      </c>
      <c r="G13" s="90">
        <v>913524692.07000005</v>
      </c>
      <c r="H13" s="90">
        <v>515393979.16000003</v>
      </c>
      <c r="I13" s="90">
        <v>270606838.76999998</v>
      </c>
      <c r="J13" s="90">
        <v>4835251560.6599998</v>
      </c>
      <c r="K13" s="90">
        <v>167786486.38999999</v>
      </c>
      <c r="L13" s="90">
        <v>14321944.710000001</v>
      </c>
      <c r="M13" s="90">
        <v>1472673844.1800001</v>
      </c>
      <c r="N13" s="90">
        <v>1422711691</v>
      </c>
      <c r="O13" s="90">
        <v>6732649551.4499998</v>
      </c>
      <c r="P13" s="90">
        <v>2485582185.0700002</v>
      </c>
      <c r="Q13" s="90">
        <v>273775393.13999999</v>
      </c>
      <c r="R13" s="90">
        <v>-33911.519999999997</v>
      </c>
      <c r="S13" s="90">
        <v>-0.01</v>
      </c>
      <c r="T13" s="90">
        <v>279.23</v>
      </c>
      <c r="U13" s="90">
        <v>0</v>
      </c>
      <c r="V13" s="90">
        <v>0</v>
      </c>
      <c r="W13" s="90">
        <v>0</v>
      </c>
      <c r="X13" s="90">
        <v>0</v>
      </c>
      <c r="Y13" s="90">
        <v>0</v>
      </c>
      <c r="Z13" s="90">
        <v>0</v>
      </c>
    </row>
    <row r="14" spans="2:26" s="289" customFormat="1" ht="12.75" customHeight="1" x14ac:dyDescent="0.25">
      <c r="C14" s="289" t="s">
        <v>155</v>
      </c>
      <c r="D14" s="289" t="s">
        <v>70</v>
      </c>
      <c r="E14" s="229"/>
      <c r="F14" s="229">
        <v>19104244534.299999</v>
      </c>
      <c r="G14" s="230">
        <v>913524692.07000005</v>
      </c>
      <c r="H14" s="230">
        <v>515393979.16000003</v>
      </c>
      <c r="I14" s="230">
        <v>270606838.76999998</v>
      </c>
      <c r="J14" s="230">
        <v>4835251560.6599998</v>
      </c>
      <c r="K14" s="230">
        <v>167786486.38999999</v>
      </c>
      <c r="L14" s="230">
        <v>14321944.710000001</v>
      </c>
      <c r="M14" s="230">
        <v>1472673844.1800001</v>
      </c>
      <c r="N14" s="230">
        <v>1422711691</v>
      </c>
      <c r="O14" s="230">
        <v>6732649551.4499998</v>
      </c>
      <c r="P14" s="230">
        <v>2485582185.0700002</v>
      </c>
      <c r="Q14" s="230">
        <v>273775393.13999999</v>
      </c>
      <c r="R14" s="230">
        <v>-33911.519999999997</v>
      </c>
      <c r="S14" s="230">
        <v>-0.01</v>
      </c>
      <c r="T14" s="230">
        <v>279.23</v>
      </c>
      <c r="U14" s="230">
        <v>0</v>
      </c>
      <c r="V14" s="230">
        <v>0</v>
      </c>
      <c r="W14" s="230">
        <v>0</v>
      </c>
      <c r="X14" s="230">
        <v>0</v>
      </c>
      <c r="Y14" s="230">
        <v>0</v>
      </c>
      <c r="Z14" s="230">
        <v>0</v>
      </c>
    </row>
    <row r="15" spans="2:26" ht="12.75" customHeight="1" x14ac:dyDescent="0.25">
      <c r="E15" s="89" t="s">
        <v>72</v>
      </c>
      <c r="F15" s="89">
        <v>28587197.649999999</v>
      </c>
      <c r="G15" s="90">
        <v>2185895.4700000002</v>
      </c>
      <c r="H15" s="90">
        <v>1219113.55</v>
      </c>
      <c r="I15" s="90">
        <v>644213.84</v>
      </c>
      <c r="J15" s="90">
        <v>5793883.4000000004</v>
      </c>
      <c r="K15" s="90">
        <v>177172.65</v>
      </c>
      <c r="L15" s="90">
        <v>0</v>
      </c>
      <c r="M15" s="90">
        <v>1538870.77</v>
      </c>
      <c r="N15" s="90">
        <v>1889153.43</v>
      </c>
      <c r="O15" s="90">
        <v>8885237.5299999993</v>
      </c>
      <c r="P15" s="90">
        <v>5963781.6799999997</v>
      </c>
      <c r="Q15" s="90">
        <v>289690.76</v>
      </c>
      <c r="R15" s="90">
        <v>184.57</v>
      </c>
      <c r="S15" s="90">
        <v>0</v>
      </c>
      <c r="T15" s="90">
        <v>0</v>
      </c>
      <c r="U15" s="90">
        <v>0</v>
      </c>
      <c r="V15" s="90">
        <v>0</v>
      </c>
      <c r="W15" s="90">
        <v>0</v>
      </c>
      <c r="X15" s="90">
        <v>0</v>
      </c>
      <c r="Y15" s="90">
        <v>0</v>
      </c>
      <c r="Z15" s="90">
        <v>0</v>
      </c>
    </row>
    <row r="16" spans="2:26" ht="12.75" customHeight="1" x14ac:dyDescent="0.25">
      <c r="E16" s="89" t="s">
        <v>81</v>
      </c>
      <c r="F16" s="90">
        <v>82135.179999999993</v>
      </c>
      <c r="G16" s="90">
        <v>4908.79</v>
      </c>
      <c r="H16" s="90">
        <v>2288.0700000000002</v>
      </c>
      <c r="I16" s="90">
        <v>1256.9000000000001</v>
      </c>
      <c r="J16" s="90">
        <v>18570</v>
      </c>
      <c r="K16" s="90">
        <v>653.25</v>
      </c>
      <c r="L16" s="90">
        <v>0</v>
      </c>
      <c r="M16" s="90">
        <v>5731.29</v>
      </c>
      <c r="N16" s="90">
        <v>6136.85</v>
      </c>
      <c r="O16" s="90">
        <v>28338.84</v>
      </c>
      <c r="P16" s="90">
        <v>13182.06</v>
      </c>
      <c r="Q16" s="90">
        <v>1068.81</v>
      </c>
      <c r="R16" s="90">
        <v>0.36</v>
      </c>
      <c r="S16" s="90">
        <v>-0.04</v>
      </c>
      <c r="T16" s="90">
        <v>0</v>
      </c>
      <c r="U16" s="90">
        <v>0</v>
      </c>
      <c r="V16" s="90">
        <v>0</v>
      </c>
      <c r="W16" s="90">
        <v>0</v>
      </c>
      <c r="X16" s="90">
        <v>0</v>
      </c>
      <c r="Y16" s="90">
        <v>0</v>
      </c>
      <c r="Z16" s="90">
        <v>0</v>
      </c>
    </row>
    <row r="17" spans="1:26" ht="12.75" customHeight="1" x14ac:dyDescent="0.25">
      <c r="D17" s="89" t="s">
        <v>82</v>
      </c>
      <c r="E17" s="89" t="s">
        <v>70</v>
      </c>
      <c r="F17" s="90">
        <v>28669332.829999998</v>
      </c>
      <c r="G17" s="90">
        <v>2190804.2599999998</v>
      </c>
      <c r="H17" s="90">
        <v>1221401.6200000001</v>
      </c>
      <c r="I17" s="90">
        <v>645470.74</v>
      </c>
      <c r="J17" s="90">
        <v>5812453.4000000004</v>
      </c>
      <c r="K17" s="90">
        <v>177825.9</v>
      </c>
      <c r="L17" s="90">
        <v>0</v>
      </c>
      <c r="M17" s="90">
        <v>1544602.06</v>
      </c>
      <c r="N17" s="90">
        <v>1895290.28</v>
      </c>
      <c r="O17" s="90">
        <v>8913576.3699999992</v>
      </c>
      <c r="P17" s="90">
        <v>5976963.7400000002</v>
      </c>
      <c r="Q17" s="90">
        <v>290759.57</v>
      </c>
      <c r="R17" s="90">
        <v>184.93</v>
      </c>
      <c r="S17" s="90">
        <v>-0.04</v>
      </c>
      <c r="T17" s="90">
        <v>0</v>
      </c>
      <c r="U17" s="90">
        <v>0</v>
      </c>
      <c r="V17" s="90">
        <v>0</v>
      </c>
      <c r="W17" s="90">
        <v>0</v>
      </c>
      <c r="X17" s="90">
        <v>0</v>
      </c>
      <c r="Y17" s="90">
        <v>0</v>
      </c>
      <c r="Z17" s="90">
        <v>0</v>
      </c>
    </row>
    <row r="18" spans="1:26" ht="12.75" customHeight="1" x14ac:dyDescent="0.25">
      <c r="E18" s="89" t="s">
        <v>72</v>
      </c>
      <c r="F18" s="90">
        <v>47294938.270000003</v>
      </c>
      <c r="G18" s="90">
        <v>3974790.22</v>
      </c>
      <c r="H18" s="90">
        <v>2180819.4900000002</v>
      </c>
      <c r="I18" s="90">
        <v>1154125.0900000001</v>
      </c>
      <c r="J18" s="90">
        <v>8019548.79</v>
      </c>
      <c r="K18" s="90">
        <v>328408.33</v>
      </c>
      <c r="L18" s="90">
        <v>0</v>
      </c>
      <c r="M18" s="90">
        <v>2889896.88</v>
      </c>
      <c r="N18" s="90">
        <v>3056486.53</v>
      </c>
      <c r="O18" s="90">
        <v>14327776.82</v>
      </c>
      <c r="P18" s="90">
        <v>10827505.82</v>
      </c>
      <c r="Q18" s="90">
        <v>535821.41</v>
      </c>
      <c r="R18" s="90">
        <v>-241.11</v>
      </c>
      <c r="S18" s="90">
        <v>0</v>
      </c>
      <c r="T18" s="90">
        <v>0</v>
      </c>
      <c r="U18" s="90">
        <v>0</v>
      </c>
      <c r="V18" s="90">
        <v>0</v>
      </c>
      <c r="W18" s="90">
        <v>0</v>
      </c>
      <c r="X18" s="90">
        <v>0</v>
      </c>
      <c r="Y18" s="90">
        <v>0</v>
      </c>
      <c r="Z18" s="90">
        <v>0</v>
      </c>
    </row>
    <row r="19" spans="1:26" ht="12.75" customHeight="1" x14ac:dyDescent="0.25">
      <c r="E19" s="89" t="s">
        <v>81</v>
      </c>
      <c r="F19" s="90">
        <v>4126283.29</v>
      </c>
      <c r="G19" s="90">
        <v>86954.59</v>
      </c>
      <c r="H19" s="90">
        <v>33264.93</v>
      </c>
      <c r="I19" s="90">
        <v>11195.04</v>
      </c>
      <c r="J19" s="90">
        <v>965832.37</v>
      </c>
      <c r="K19" s="90">
        <v>60914.74</v>
      </c>
      <c r="L19" s="90">
        <v>0</v>
      </c>
      <c r="M19" s="90">
        <v>534335.02</v>
      </c>
      <c r="N19" s="90">
        <v>449770.44</v>
      </c>
      <c r="O19" s="90">
        <v>1653345.41</v>
      </c>
      <c r="P19" s="90">
        <v>231094.93</v>
      </c>
      <c r="Q19" s="90">
        <v>99387.59</v>
      </c>
      <c r="R19" s="90">
        <v>188.15</v>
      </c>
      <c r="S19" s="90">
        <v>0</v>
      </c>
      <c r="T19" s="90">
        <v>0.08</v>
      </c>
      <c r="U19" s="90">
        <v>0</v>
      </c>
      <c r="V19" s="90">
        <v>0</v>
      </c>
      <c r="W19" s="90">
        <v>0</v>
      </c>
      <c r="X19" s="90">
        <v>0</v>
      </c>
      <c r="Y19" s="90">
        <v>0</v>
      </c>
      <c r="Z19" s="90">
        <v>0</v>
      </c>
    </row>
    <row r="20" spans="1:26" ht="12.75" customHeight="1" x14ac:dyDescent="0.25">
      <c r="D20" s="89" t="s">
        <v>86</v>
      </c>
      <c r="E20" s="89" t="s">
        <v>70</v>
      </c>
      <c r="F20" s="90">
        <v>51421221.560000002</v>
      </c>
      <c r="G20" s="90">
        <v>4061744.81</v>
      </c>
      <c r="H20" s="90">
        <v>2214084.42</v>
      </c>
      <c r="I20" s="90">
        <v>1165320.1299999999</v>
      </c>
      <c r="J20" s="90">
        <v>8985381.1600000001</v>
      </c>
      <c r="K20" s="90">
        <v>389323.07</v>
      </c>
      <c r="L20" s="90">
        <v>0</v>
      </c>
      <c r="M20" s="90">
        <v>3424231.9</v>
      </c>
      <c r="N20" s="90">
        <v>3506256.97</v>
      </c>
      <c r="O20" s="90">
        <v>15981122.23</v>
      </c>
      <c r="P20" s="90">
        <v>11058600.75</v>
      </c>
      <c r="Q20" s="90">
        <v>635209</v>
      </c>
      <c r="R20" s="90">
        <v>-52.96</v>
      </c>
      <c r="S20" s="90">
        <v>0</v>
      </c>
      <c r="T20" s="90">
        <v>0.08</v>
      </c>
      <c r="U20" s="90">
        <v>0</v>
      </c>
      <c r="V20" s="90">
        <v>0</v>
      </c>
      <c r="W20" s="90">
        <v>0</v>
      </c>
      <c r="X20" s="90">
        <v>0</v>
      </c>
      <c r="Y20" s="90">
        <v>0</v>
      </c>
      <c r="Z20" s="90">
        <v>0</v>
      </c>
    </row>
    <row r="21" spans="1:26" ht="12.75" customHeight="1" x14ac:dyDescent="0.25">
      <c r="C21" s="89"/>
      <c r="D21" s="89"/>
      <c r="E21" t="s">
        <v>72</v>
      </c>
      <c r="F21" s="90">
        <v>364297991.80000001</v>
      </c>
      <c r="G21" s="90">
        <v>65257819.109999999</v>
      </c>
      <c r="H21" s="90">
        <v>34884826.590000004</v>
      </c>
      <c r="I21" s="90">
        <v>18959564.800000001</v>
      </c>
      <c r="J21" s="90">
        <v>20111068.550000001</v>
      </c>
      <c r="K21" s="90">
        <v>558599.01</v>
      </c>
      <c r="L21" s="90">
        <v>3865005</v>
      </c>
      <c r="M21" s="90">
        <v>4887941.5999999996</v>
      </c>
      <c r="N21" s="90">
        <v>6309958.9699999997</v>
      </c>
      <c r="O21" s="90">
        <v>29570698.280000001</v>
      </c>
      <c r="P21" s="90">
        <v>178981116.43000001</v>
      </c>
      <c r="Q21" s="90">
        <v>911394.98</v>
      </c>
      <c r="R21" s="90">
        <v>-1.52</v>
      </c>
      <c r="S21" s="90">
        <v>0</v>
      </c>
      <c r="T21" s="90">
        <v>0</v>
      </c>
      <c r="U21" s="90">
        <v>0</v>
      </c>
      <c r="V21" s="90">
        <v>0</v>
      </c>
      <c r="W21" s="90">
        <v>0</v>
      </c>
      <c r="X21" s="90">
        <v>0</v>
      </c>
      <c r="Y21" s="90">
        <v>0</v>
      </c>
      <c r="Z21" s="90">
        <v>0</v>
      </c>
    </row>
    <row r="22" spans="1:26" ht="12.75" customHeight="1" x14ac:dyDescent="0.25">
      <c r="B22" s="89"/>
      <c r="C22" s="89"/>
      <c r="E22" t="s">
        <v>81</v>
      </c>
      <c r="F22" s="90">
        <v>1153870.1299999999</v>
      </c>
      <c r="G22" s="90">
        <v>222671.28</v>
      </c>
      <c r="H22" s="90">
        <v>115190.8</v>
      </c>
      <c r="I22" s="90">
        <v>63892.82</v>
      </c>
      <c r="J22" s="90">
        <v>40091.93</v>
      </c>
      <c r="K22" s="90">
        <v>1378.05</v>
      </c>
      <c r="L22" s="90">
        <v>6789.53</v>
      </c>
      <c r="M22" s="90">
        <v>12094.95</v>
      </c>
      <c r="N22" s="90">
        <v>13714.71</v>
      </c>
      <c r="O22" s="90">
        <v>63652.17</v>
      </c>
      <c r="P22" s="90">
        <v>612144.4</v>
      </c>
      <c r="Q22" s="90">
        <v>2249.0100000000002</v>
      </c>
      <c r="R22" s="90">
        <v>0.47</v>
      </c>
      <c r="S22" s="90">
        <v>-0.01</v>
      </c>
      <c r="T22" s="90">
        <v>0.02</v>
      </c>
      <c r="U22" s="90">
        <v>0</v>
      </c>
      <c r="V22" s="90">
        <v>0</v>
      </c>
      <c r="W22" s="90">
        <v>0</v>
      </c>
      <c r="X22" s="90">
        <v>0</v>
      </c>
      <c r="Y22" s="90">
        <v>0</v>
      </c>
      <c r="Z22" s="90">
        <v>0</v>
      </c>
    </row>
    <row r="23" spans="1:26" ht="12.75" customHeight="1" x14ac:dyDescent="0.25">
      <c r="C23" s="89"/>
      <c r="D23" s="89" t="s">
        <v>87</v>
      </c>
      <c r="E23" t="s">
        <v>70</v>
      </c>
      <c r="F23" s="90">
        <v>365451861.93000001</v>
      </c>
      <c r="G23" s="90">
        <v>65480490.390000001</v>
      </c>
      <c r="H23" s="90">
        <v>35000017.390000001</v>
      </c>
      <c r="I23" s="90">
        <v>19023457.620000001</v>
      </c>
      <c r="J23" s="90">
        <v>20151160.48</v>
      </c>
      <c r="K23" s="90">
        <v>559977.06000000006</v>
      </c>
      <c r="L23" s="90">
        <v>3871794.53</v>
      </c>
      <c r="M23" s="90">
        <v>4900036.55</v>
      </c>
      <c r="N23" s="90">
        <v>6323673.6799999997</v>
      </c>
      <c r="O23" s="90">
        <v>29634350.449999999</v>
      </c>
      <c r="P23" s="90">
        <v>179593260.83000001</v>
      </c>
      <c r="Q23" s="90">
        <v>913643.99</v>
      </c>
      <c r="R23" s="90">
        <v>-1.05</v>
      </c>
      <c r="S23" s="90">
        <v>-0.01</v>
      </c>
      <c r="T23" s="90">
        <v>0.02</v>
      </c>
      <c r="U23" s="90">
        <v>0</v>
      </c>
      <c r="V23" s="90">
        <v>0</v>
      </c>
      <c r="W23" s="90">
        <v>0</v>
      </c>
      <c r="X23" s="90">
        <v>0</v>
      </c>
      <c r="Y23" s="90">
        <v>0</v>
      </c>
      <c r="Z23" s="90">
        <v>0</v>
      </c>
    </row>
    <row r="24" spans="1:26" s="94" customFormat="1" ht="12.75" customHeight="1" x14ac:dyDescent="0.25">
      <c r="C24" s="101" t="s">
        <v>119</v>
      </c>
      <c r="D24" s="101" t="s">
        <v>70</v>
      </c>
      <c r="F24" s="93">
        <v>445542416.31999999</v>
      </c>
      <c r="G24" s="93">
        <v>71733039.459999993</v>
      </c>
      <c r="H24" s="93">
        <v>38435503.43</v>
      </c>
      <c r="I24" s="93">
        <v>20834248.489999998</v>
      </c>
      <c r="J24" s="93">
        <v>34948995.039999999</v>
      </c>
      <c r="K24" s="93">
        <v>1127126.03</v>
      </c>
      <c r="L24" s="93">
        <v>3871794.53</v>
      </c>
      <c r="M24" s="93">
        <v>9868870.5099999998</v>
      </c>
      <c r="N24" s="93">
        <v>11725220.93</v>
      </c>
      <c r="O24" s="93">
        <v>54529049.049999997</v>
      </c>
      <c r="P24" s="93">
        <v>196628825.31999999</v>
      </c>
      <c r="Q24" s="93">
        <v>1839612.56</v>
      </c>
      <c r="R24" s="93">
        <v>130.91999999999999</v>
      </c>
      <c r="S24" s="93">
        <v>-0.05</v>
      </c>
      <c r="T24" s="93">
        <v>0.1</v>
      </c>
      <c r="U24" s="93">
        <v>0</v>
      </c>
      <c r="V24" s="93">
        <v>0</v>
      </c>
      <c r="W24" s="93">
        <v>0</v>
      </c>
      <c r="X24" s="93">
        <v>0</v>
      </c>
      <c r="Y24" s="93">
        <v>0</v>
      </c>
      <c r="Z24" s="93">
        <v>0</v>
      </c>
    </row>
    <row r="25" spans="1:26" s="226" customFormat="1" ht="12.75" customHeight="1" x14ac:dyDescent="0.25">
      <c r="B25" s="98" t="s">
        <v>112</v>
      </c>
      <c r="C25" s="98" t="s">
        <v>70</v>
      </c>
      <c r="F25" s="100">
        <v>19549786950.619999</v>
      </c>
      <c r="G25" s="100">
        <v>985257731.52999997</v>
      </c>
      <c r="H25" s="100">
        <v>553829482.59000003</v>
      </c>
      <c r="I25" s="100">
        <v>291441087.25999999</v>
      </c>
      <c r="J25" s="100">
        <v>4870200555.6999998</v>
      </c>
      <c r="K25" s="100">
        <v>168913612.41999999</v>
      </c>
      <c r="L25" s="100">
        <v>18193739.239999998</v>
      </c>
      <c r="M25" s="100">
        <v>1482542714.6900001</v>
      </c>
      <c r="N25" s="100">
        <v>1434436911.9300001</v>
      </c>
      <c r="O25" s="100">
        <v>6787178600.5</v>
      </c>
      <c r="P25" s="100">
        <v>2682211010.3899999</v>
      </c>
      <c r="Q25" s="100">
        <v>275615005.69999999</v>
      </c>
      <c r="R25" s="100">
        <v>-33780.6</v>
      </c>
      <c r="S25" s="100">
        <v>-0.06</v>
      </c>
      <c r="T25" s="100">
        <v>279.33</v>
      </c>
      <c r="U25" s="100">
        <v>0</v>
      </c>
      <c r="V25" s="100">
        <v>0</v>
      </c>
      <c r="W25" s="100">
        <v>0</v>
      </c>
      <c r="X25" s="100">
        <v>0</v>
      </c>
      <c r="Y25" s="100">
        <v>0</v>
      </c>
      <c r="Z25" s="100">
        <v>0</v>
      </c>
    </row>
    <row r="26" spans="1:26" ht="12.75" customHeight="1" x14ac:dyDescent="0.25">
      <c r="A26" t="s">
        <v>78</v>
      </c>
      <c r="B26" t="s">
        <v>70</v>
      </c>
      <c r="E26" s="89"/>
      <c r="F26" s="89">
        <v>19556118465.990002</v>
      </c>
      <c r="G26" s="90">
        <v>986499552.44000006</v>
      </c>
      <c r="H26" s="90">
        <v>554530692.47000003</v>
      </c>
      <c r="I26" s="90">
        <v>291810434.97000003</v>
      </c>
      <c r="J26" s="90">
        <v>4870364911.4200001</v>
      </c>
      <c r="K26" s="90">
        <v>168919531</v>
      </c>
      <c r="L26" s="90">
        <v>18193739.239999998</v>
      </c>
      <c r="M26" s="90">
        <v>1482594631.6700001</v>
      </c>
      <c r="N26" s="90">
        <v>1434504587.03</v>
      </c>
      <c r="O26" s="90">
        <v>6787494652.8699999</v>
      </c>
      <c r="P26" s="90">
        <v>2685614584.46</v>
      </c>
      <c r="Q26" s="90">
        <v>275624662.13999999</v>
      </c>
      <c r="R26" s="90">
        <v>-33792.99</v>
      </c>
      <c r="S26" s="90">
        <v>-0.06</v>
      </c>
      <c r="T26" s="90">
        <v>279.33</v>
      </c>
      <c r="U26" s="90">
        <v>0</v>
      </c>
      <c r="V26" s="90">
        <v>0</v>
      </c>
      <c r="W26" s="90">
        <v>0</v>
      </c>
      <c r="X26" s="90">
        <v>0</v>
      </c>
      <c r="Y26" s="90">
        <v>0</v>
      </c>
      <c r="Z26" s="90">
        <v>0</v>
      </c>
    </row>
    <row r="27" spans="1:26" ht="12.75" customHeight="1" x14ac:dyDescent="0.25">
      <c r="E27" s="89" t="s">
        <v>73</v>
      </c>
      <c r="F27" s="387">
        <v>5341504.63</v>
      </c>
      <c r="G27" s="90">
        <v>1097764.07</v>
      </c>
      <c r="H27" s="90">
        <v>620054.15</v>
      </c>
      <c r="I27" s="90">
        <v>326455.64</v>
      </c>
      <c r="J27" s="90">
        <v>77296.09</v>
      </c>
      <c r="K27" s="90">
        <v>2815.34</v>
      </c>
      <c r="L27" s="90">
        <v>0</v>
      </c>
      <c r="M27" s="90">
        <v>24695.93</v>
      </c>
      <c r="N27" s="90">
        <v>31713.91</v>
      </c>
      <c r="O27" s="90">
        <v>147438.85999999999</v>
      </c>
      <c r="P27" s="90">
        <v>3008677.22</v>
      </c>
      <c r="Q27" s="90">
        <v>4593.42</v>
      </c>
      <c r="R27" s="90">
        <v>0</v>
      </c>
      <c r="S27" s="90">
        <v>0</v>
      </c>
      <c r="T27" s="90">
        <v>0</v>
      </c>
      <c r="U27" s="90">
        <v>0</v>
      </c>
      <c r="V27" s="90">
        <v>0</v>
      </c>
      <c r="W27" s="90">
        <v>0</v>
      </c>
      <c r="X27" s="90">
        <v>0</v>
      </c>
      <c r="Y27" s="90">
        <v>0</v>
      </c>
      <c r="Z27" s="90">
        <v>0</v>
      </c>
    </row>
    <row r="28" spans="1:26" ht="12.75" customHeight="1" x14ac:dyDescent="0.25">
      <c r="D28" t="s">
        <v>87</v>
      </c>
      <c r="E28" s="89" t="s">
        <v>70</v>
      </c>
      <c r="F28" s="387">
        <v>5341504.63</v>
      </c>
      <c r="G28" s="90">
        <v>1097764.07</v>
      </c>
      <c r="H28" s="90">
        <v>620054.15</v>
      </c>
      <c r="I28" s="90">
        <v>326455.64</v>
      </c>
      <c r="J28" s="90">
        <v>77296.09</v>
      </c>
      <c r="K28" s="90">
        <v>2815.34</v>
      </c>
      <c r="L28" s="90">
        <v>0</v>
      </c>
      <c r="M28" s="90">
        <v>24695.93</v>
      </c>
      <c r="N28" s="90">
        <v>31713.91</v>
      </c>
      <c r="O28" s="90">
        <v>147438.85999999999</v>
      </c>
      <c r="P28" s="90">
        <v>3008677.22</v>
      </c>
      <c r="Q28" s="90">
        <v>4593.42</v>
      </c>
      <c r="R28" s="90">
        <v>0</v>
      </c>
      <c r="S28" s="90">
        <v>0</v>
      </c>
      <c r="T28" s="90">
        <v>0</v>
      </c>
      <c r="U28" s="90">
        <v>0</v>
      </c>
      <c r="V28" s="90">
        <v>0</v>
      </c>
      <c r="W28" s="90">
        <v>0</v>
      </c>
      <c r="X28" s="90">
        <v>0</v>
      </c>
      <c r="Y28" s="90">
        <v>0</v>
      </c>
      <c r="Z28" s="90">
        <v>0</v>
      </c>
    </row>
    <row r="29" spans="1:26" s="94" customFormat="1" ht="12.75" customHeight="1" x14ac:dyDescent="0.25">
      <c r="C29" s="101" t="s">
        <v>119</v>
      </c>
      <c r="D29" s="101" t="s">
        <v>70</v>
      </c>
      <c r="F29" s="93">
        <v>5341504.63</v>
      </c>
      <c r="G29" s="93">
        <v>1097764.07</v>
      </c>
      <c r="H29" s="93">
        <v>620054.15</v>
      </c>
      <c r="I29" s="93">
        <v>326455.64</v>
      </c>
      <c r="J29" s="93">
        <v>77296.09</v>
      </c>
      <c r="K29" s="93">
        <v>2815.34</v>
      </c>
      <c r="L29" s="93">
        <v>0</v>
      </c>
      <c r="M29" s="93">
        <v>24695.93</v>
      </c>
      <c r="N29" s="93">
        <v>31713.91</v>
      </c>
      <c r="O29" s="93">
        <v>147438.85999999999</v>
      </c>
      <c r="P29" s="93">
        <v>3008677.22</v>
      </c>
      <c r="Q29" s="93">
        <v>4593.42</v>
      </c>
      <c r="R29" s="93">
        <v>0</v>
      </c>
      <c r="S29" s="93">
        <v>0</v>
      </c>
      <c r="T29" s="93">
        <v>0</v>
      </c>
      <c r="U29" s="93">
        <v>0</v>
      </c>
      <c r="V29" s="93">
        <v>0</v>
      </c>
      <c r="W29" s="93">
        <v>0</v>
      </c>
      <c r="X29" s="93">
        <v>0</v>
      </c>
      <c r="Y29" s="93">
        <v>0</v>
      </c>
      <c r="Z29" s="93">
        <v>0</v>
      </c>
    </row>
    <row r="30" spans="1:26" s="381" customFormat="1" ht="12.75" customHeight="1" x14ac:dyDescent="0.25">
      <c r="B30" s="381" t="s">
        <v>122</v>
      </c>
      <c r="C30" s="381" t="s">
        <v>70</v>
      </c>
      <c r="F30" s="381">
        <v>5341504.63</v>
      </c>
      <c r="G30" s="381">
        <v>1097764.07</v>
      </c>
      <c r="H30" s="381">
        <v>620054.15</v>
      </c>
      <c r="I30" s="381">
        <v>326455.64</v>
      </c>
      <c r="J30" s="381">
        <v>77296.09</v>
      </c>
      <c r="K30" s="381">
        <v>2815.34</v>
      </c>
      <c r="L30" s="381">
        <v>0</v>
      </c>
      <c r="M30" s="381">
        <v>24695.93</v>
      </c>
      <c r="N30" s="381">
        <v>31713.91</v>
      </c>
      <c r="O30" s="381">
        <v>147438.85999999999</v>
      </c>
      <c r="P30" s="381">
        <v>3008677.22</v>
      </c>
      <c r="Q30" s="381">
        <v>4593.42</v>
      </c>
      <c r="R30" s="381">
        <v>0</v>
      </c>
      <c r="S30" s="381">
        <v>0</v>
      </c>
      <c r="T30" s="381">
        <v>0</v>
      </c>
      <c r="U30" s="381">
        <v>0</v>
      </c>
      <c r="V30" s="381">
        <v>0</v>
      </c>
      <c r="W30" s="381">
        <v>0</v>
      </c>
      <c r="X30" s="381">
        <v>0</v>
      </c>
      <c r="Y30" s="381">
        <v>0</v>
      </c>
      <c r="Z30" s="381">
        <v>0</v>
      </c>
    </row>
    <row r="31" spans="1:26" ht="12.75" customHeight="1" x14ac:dyDescent="0.25">
      <c r="E31" s="89" t="s">
        <v>73</v>
      </c>
      <c r="F31" s="387">
        <v>-2909727085.3000002</v>
      </c>
      <c r="G31" s="90">
        <v>-71434201.25</v>
      </c>
      <c r="H31" s="90">
        <v>-40271750.789999999</v>
      </c>
      <c r="I31" s="90">
        <v>-21151234.059999999</v>
      </c>
      <c r="J31" s="90">
        <v>-851080477.97000003</v>
      </c>
      <c r="K31" s="90">
        <v>-28933266.899999999</v>
      </c>
      <c r="L31" s="90">
        <v>0</v>
      </c>
      <c r="M31" s="90">
        <v>-253940175.31999999</v>
      </c>
      <c r="N31" s="90">
        <v>-244817632.72</v>
      </c>
      <c r="O31" s="90">
        <v>-1159313569.1800001</v>
      </c>
      <c r="P31" s="90">
        <v>-191580280.34</v>
      </c>
      <c r="Q31" s="90">
        <v>-47204496.770000003</v>
      </c>
      <c r="R31" s="90">
        <v>0</v>
      </c>
      <c r="S31" s="90">
        <v>0</v>
      </c>
      <c r="T31" s="90">
        <v>0</v>
      </c>
      <c r="U31" s="90">
        <v>0</v>
      </c>
      <c r="V31" s="90">
        <v>0</v>
      </c>
      <c r="W31" s="90">
        <v>0</v>
      </c>
      <c r="X31" s="90">
        <v>0</v>
      </c>
      <c r="Y31" s="90">
        <v>0</v>
      </c>
      <c r="Z31" s="90">
        <v>0</v>
      </c>
    </row>
    <row r="32" spans="1:26" ht="12.75" customHeight="1" x14ac:dyDescent="0.25">
      <c r="D32" t="s">
        <v>156</v>
      </c>
      <c r="E32" s="89" t="s">
        <v>70</v>
      </c>
      <c r="F32" s="387">
        <v>-2909727085.3000002</v>
      </c>
      <c r="G32" s="90">
        <v>-71434201.25</v>
      </c>
      <c r="H32" s="90">
        <v>-40271750.789999999</v>
      </c>
      <c r="I32" s="90">
        <v>-21151234.059999999</v>
      </c>
      <c r="J32" s="90">
        <v>-851080477.97000003</v>
      </c>
      <c r="K32" s="90">
        <v>-28933266.899999999</v>
      </c>
      <c r="L32" s="90">
        <v>0</v>
      </c>
      <c r="M32" s="90">
        <v>-253940175.31999999</v>
      </c>
      <c r="N32" s="90">
        <v>-244817632.72</v>
      </c>
      <c r="O32" s="90">
        <v>-1159313569.1800001</v>
      </c>
      <c r="P32" s="90">
        <v>-191580280.34</v>
      </c>
      <c r="Q32" s="90">
        <v>-47204496.770000003</v>
      </c>
      <c r="R32" s="90">
        <v>0</v>
      </c>
      <c r="S32" s="90">
        <v>0</v>
      </c>
      <c r="T32" s="90">
        <v>0</v>
      </c>
      <c r="U32" s="90">
        <v>0</v>
      </c>
      <c r="V32" s="90">
        <v>0</v>
      </c>
      <c r="W32" s="90">
        <v>0</v>
      </c>
      <c r="X32" s="90">
        <v>0</v>
      </c>
      <c r="Y32" s="90">
        <v>0</v>
      </c>
      <c r="Z32" s="90">
        <v>0</v>
      </c>
    </row>
    <row r="33" spans="1:42" s="289" customFormat="1" ht="12.75" customHeight="1" x14ac:dyDescent="0.25">
      <c r="C33" s="289" t="s">
        <v>155</v>
      </c>
      <c r="D33" s="289" t="s">
        <v>70</v>
      </c>
      <c r="E33" s="229"/>
      <c r="F33" s="229">
        <v>-2909727085.3000002</v>
      </c>
      <c r="G33" s="230">
        <v>-71434201.25</v>
      </c>
      <c r="H33" s="230">
        <v>-40271750.789999999</v>
      </c>
      <c r="I33" s="230">
        <v>-21151234.059999999</v>
      </c>
      <c r="J33" s="230">
        <v>-851080477.97000003</v>
      </c>
      <c r="K33" s="230">
        <v>-28933266.899999999</v>
      </c>
      <c r="L33" s="230">
        <v>0</v>
      </c>
      <c r="M33" s="230">
        <v>-253940175.31999999</v>
      </c>
      <c r="N33" s="230">
        <v>-244817632.72</v>
      </c>
      <c r="O33" s="230">
        <v>-1159313569.1800001</v>
      </c>
      <c r="P33" s="230">
        <v>-191580280.34</v>
      </c>
      <c r="Q33" s="230">
        <v>-47204496.770000003</v>
      </c>
      <c r="R33" s="230">
        <v>0</v>
      </c>
      <c r="S33" s="230">
        <v>0</v>
      </c>
      <c r="T33" s="230">
        <v>0</v>
      </c>
      <c r="U33" s="230">
        <v>0</v>
      </c>
      <c r="V33" s="230">
        <v>0</v>
      </c>
      <c r="W33" s="230">
        <v>0</v>
      </c>
      <c r="X33" s="230">
        <v>0</v>
      </c>
      <c r="Y33" s="230">
        <v>0</v>
      </c>
      <c r="Z33" s="230">
        <v>0</v>
      </c>
    </row>
    <row r="34" spans="1:42" ht="12.75" customHeight="1" x14ac:dyDescent="0.25">
      <c r="D34" s="89"/>
      <c r="E34" s="89" t="s">
        <v>73</v>
      </c>
      <c r="F34" s="90">
        <v>6544837.1699999999</v>
      </c>
      <c r="G34" s="90">
        <v>1138624.21</v>
      </c>
      <c r="H34" s="90">
        <v>635941.02</v>
      </c>
      <c r="I34" s="90">
        <v>334662.94</v>
      </c>
      <c r="J34" s="90">
        <v>575474.01</v>
      </c>
      <c r="K34" s="90">
        <v>3731.32</v>
      </c>
      <c r="L34" s="90">
        <v>0</v>
      </c>
      <c r="M34" s="90">
        <v>34025.379999999997</v>
      </c>
      <c r="N34" s="90">
        <v>125376.87</v>
      </c>
      <c r="O34" s="90">
        <v>588048.51</v>
      </c>
      <c r="P34" s="90">
        <v>3102866.16</v>
      </c>
      <c r="Q34" s="90">
        <v>6086.75</v>
      </c>
      <c r="R34" s="90">
        <v>0</v>
      </c>
      <c r="S34" s="90">
        <v>0</v>
      </c>
      <c r="T34" s="90">
        <v>0</v>
      </c>
      <c r="U34" s="90">
        <v>0</v>
      </c>
      <c r="V34" s="90">
        <v>0</v>
      </c>
      <c r="W34" s="90">
        <v>0</v>
      </c>
      <c r="X34" s="90">
        <v>0</v>
      </c>
      <c r="Y34" s="90">
        <v>0</v>
      </c>
      <c r="Z34" s="90">
        <v>0</v>
      </c>
    </row>
    <row r="35" spans="1:42" ht="12.75" customHeight="1" x14ac:dyDescent="0.25">
      <c r="D35" t="s">
        <v>82</v>
      </c>
      <c r="E35" s="89" t="s">
        <v>70</v>
      </c>
      <c r="F35" s="90">
        <v>6544837.1699999999</v>
      </c>
      <c r="G35" s="90">
        <v>1138624.21</v>
      </c>
      <c r="H35" s="90">
        <v>635941.02</v>
      </c>
      <c r="I35" s="90">
        <v>334662.94</v>
      </c>
      <c r="J35" s="90">
        <v>575474.01</v>
      </c>
      <c r="K35" s="90">
        <v>3731.32</v>
      </c>
      <c r="L35" s="90">
        <v>0</v>
      </c>
      <c r="M35" s="90">
        <v>34025.379999999997</v>
      </c>
      <c r="N35" s="90">
        <v>125376.87</v>
      </c>
      <c r="O35" s="90">
        <v>588048.51</v>
      </c>
      <c r="P35" s="90">
        <v>3102866.16</v>
      </c>
      <c r="Q35" s="90">
        <v>6086.75</v>
      </c>
      <c r="R35" s="90">
        <v>0</v>
      </c>
      <c r="S35" s="90">
        <v>0</v>
      </c>
      <c r="T35" s="90">
        <v>0</v>
      </c>
      <c r="U35" s="90">
        <v>0</v>
      </c>
      <c r="V35" s="90">
        <v>0</v>
      </c>
      <c r="W35" s="90">
        <v>0</v>
      </c>
      <c r="X35" s="90">
        <v>0</v>
      </c>
      <c r="Y35" s="90">
        <v>0</v>
      </c>
      <c r="Z35" s="90">
        <v>0</v>
      </c>
    </row>
    <row r="36" spans="1:42" ht="12.75" customHeight="1" x14ac:dyDescent="0.25">
      <c r="D36" s="89"/>
      <c r="E36" s="89" t="s">
        <v>73</v>
      </c>
      <c r="F36" s="90">
        <v>4991152.4400000004</v>
      </c>
      <c r="G36" s="90">
        <v>1838282.8</v>
      </c>
      <c r="H36" s="90">
        <v>703264.52</v>
      </c>
      <c r="I36" s="90">
        <v>369579.31</v>
      </c>
      <c r="J36" s="90">
        <v>-596884.46</v>
      </c>
      <c r="K36" s="90">
        <v>-26041.38</v>
      </c>
      <c r="L36" s="90">
        <v>0</v>
      </c>
      <c r="M36" s="90">
        <v>-227782.49</v>
      </c>
      <c r="N36" s="90">
        <v>-105769.99</v>
      </c>
      <c r="O36" s="90">
        <v>-532864.03</v>
      </c>
      <c r="P36" s="90">
        <v>3611859.26</v>
      </c>
      <c r="Q36" s="90">
        <v>-42491.1</v>
      </c>
      <c r="R36" s="90">
        <v>0</v>
      </c>
      <c r="S36" s="90">
        <v>0</v>
      </c>
      <c r="T36" s="90">
        <v>0</v>
      </c>
      <c r="U36" s="90">
        <v>0</v>
      </c>
      <c r="V36" s="90">
        <v>0</v>
      </c>
      <c r="W36" s="90">
        <v>0</v>
      </c>
      <c r="X36" s="90">
        <v>0</v>
      </c>
      <c r="Y36" s="90">
        <v>0</v>
      </c>
      <c r="Z36" s="90">
        <v>0</v>
      </c>
    </row>
    <row r="37" spans="1:42" ht="12.75" customHeight="1" x14ac:dyDescent="0.25">
      <c r="D37" t="s">
        <v>86</v>
      </c>
      <c r="E37" s="89" t="s">
        <v>70</v>
      </c>
      <c r="F37" s="90">
        <v>4991152.4400000004</v>
      </c>
      <c r="G37" s="90">
        <v>1838282.8</v>
      </c>
      <c r="H37" s="90">
        <v>703264.52</v>
      </c>
      <c r="I37" s="90">
        <v>369579.31</v>
      </c>
      <c r="J37" s="90">
        <v>-596884.46</v>
      </c>
      <c r="K37" s="90">
        <v>-26041.38</v>
      </c>
      <c r="L37" s="90">
        <v>0</v>
      </c>
      <c r="M37" s="90">
        <v>-227782.49</v>
      </c>
      <c r="N37" s="90">
        <v>-105769.99</v>
      </c>
      <c r="O37" s="90">
        <v>-532864.03</v>
      </c>
      <c r="P37" s="90">
        <v>3611859.26</v>
      </c>
      <c r="Q37" s="90">
        <v>-42491.1</v>
      </c>
      <c r="R37" s="90">
        <v>0</v>
      </c>
      <c r="S37" s="90">
        <v>0</v>
      </c>
      <c r="T37" s="90">
        <v>0</v>
      </c>
      <c r="U37" s="90">
        <v>0</v>
      </c>
      <c r="V37" s="90">
        <v>0</v>
      </c>
      <c r="W37" s="90">
        <v>0</v>
      </c>
      <c r="X37" s="90">
        <v>0</v>
      </c>
      <c r="Y37" s="90">
        <v>0</v>
      </c>
      <c r="Z37" s="90">
        <v>0</v>
      </c>
    </row>
    <row r="38" spans="1:42" ht="12.75" customHeight="1" x14ac:dyDescent="0.25">
      <c r="D38" s="89"/>
      <c r="E38" s="89" t="s">
        <v>73</v>
      </c>
      <c r="F38" s="90">
        <v>70930318.879999995</v>
      </c>
      <c r="G38" s="90">
        <v>13105075.789999999</v>
      </c>
      <c r="H38" s="90">
        <v>7318853</v>
      </c>
      <c r="I38" s="90">
        <v>3844097.56</v>
      </c>
      <c r="J38" s="90">
        <v>3676388.65</v>
      </c>
      <c r="K38" s="90">
        <v>77320.12</v>
      </c>
      <c r="L38" s="90">
        <v>0</v>
      </c>
      <c r="M38" s="90">
        <v>692817.17</v>
      </c>
      <c r="N38" s="90">
        <v>1177808.51</v>
      </c>
      <c r="O38" s="90">
        <v>5457053.5300000003</v>
      </c>
      <c r="P38" s="90">
        <v>35454664.020000003</v>
      </c>
      <c r="Q38" s="90">
        <v>126240.53</v>
      </c>
      <c r="R38" s="90">
        <v>0</v>
      </c>
      <c r="S38" s="90">
        <v>0</v>
      </c>
      <c r="T38" s="90">
        <v>0</v>
      </c>
      <c r="U38" s="90">
        <v>0</v>
      </c>
      <c r="V38" s="90">
        <v>0</v>
      </c>
      <c r="W38" s="90">
        <v>0</v>
      </c>
      <c r="X38" s="90">
        <v>0</v>
      </c>
      <c r="Y38" s="90">
        <v>0</v>
      </c>
      <c r="Z38" s="90">
        <v>0</v>
      </c>
    </row>
    <row r="39" spans="1:42" ht="12.75" customHeight="1" x14ac:dyDescent="0.25">
      <c r="C39" s="89"/>
      <c r="D39" s="89" t="s">
        <v>87</v>
      </c>
      <c r="E39" t="s">
        <v>70</v>
      </c>
      <c r="F39" s="90">
        <v>70930318.879999995</v>
      </c>
      <c r="G39" s="90">
        <v>13105075.789999999</v>
      </c>
      <c r="H39" s="90">
        <v>7318853</v>
      </c>
      <c r="I39" s="90">
        <v>3844097.56</v>
      </c>
      <c r="J39" s="90">
        <v>3676388.65</v>
      </c>
      <c r="K39" s="90">
        <v>77320.12</v>
      </c>
      <c r="L39" s="90">
        <v>0</v>
      </c>
      <c r="M39" s="90">
        <v>692817.17</v>
      </c>
      <c r="N39" s="90">
        <v>1177808.51</v>
      </c>
      <c r="O39" s="90">
        <v>5457053.5300000003</v>
      </c>
      <c r="P39" s="90">
        <v>35454664.020000003</v>
      </c>
      <c r="Q39" s="90">
        <v>126240.53</v>
      </c>
      <c r="R39" s="90">
        <v>0</v>
      </c>
      <c r="S39" s="90">
        <v>0</v>
      </c>
      <c r="T39" s="90">
        <v>0</v>
      </c>
      <c r="U39" s="90">
        <v>0</v>
      </c>
      <c r="V39" s="90">
        <v>0</v>
      </c>
      <c r="W39" s="90">
        <v>0</v>
      </c>
      <c r="X39" s="90">
        <v>0</v>
      </c>
      <c r="Y39" s="90">
        <v>0</v>
      </c>
      <c r="Z39" s="90">
        <v>0</v>
      </c>
    </row>
    <row r="40" spans="1:42" s="94" customFormat="1" ht="12.75" customHeight="1" x14ac:dyDescent="0.25">
      <c r="C40" s="101" t="s">
        <v>119</v>
      </c>
      <c r="D40" s="101" t="s">
        <v>70</v>
      </c>
      <c r="F40" s="93">
        <v>82466308.489999995</v>
      </c>
      <c r="G40" s="93">
        <v>16081982.800000001</v>
      </c>
      <c r="H40" s="93">
        <v>8658058.5399999991</v>
      </c>
      <c r="I40" s="93">
        <v>4548339.8099999996</v>
      </c>
      <c r="J40" s="93">
        <v>3654978.2</v>
      </c>
      <c r="K40" s="93">
        <v>55010.06</v>
      </c>
      <c r="L40" s="93">
        <v>0</v>
      </c>
      <c r="M40" s="93">
        <v>499060.06</v>
      </c>
      <c r="N40" s="93">
        <v>1197415.3899999999</v>
      </c>
      <c r="O40" s="93">
        <v>5512238.0099999998</v>
      </c>
      <c r="P40" s="93">
        <v>42169389.439999998</v>
      </c>
      <c r="Q40" s="93">
        <v>89836.18</v>
      </c>
      <c r="R40" s="93">
        <v>0</v>
      </c>
      <c r="S40" s="93">
        <v>0</v>
      </c>
      <c r="T40" s="93">
        <v>0</v>
      </c>
      <c r="U40" s="93">
        <v>0</v>
      </c>
      <c r="V40" s="93">
        <v>0</v>
      </c>
      <c r="W40" s="93">
        <v>0</v>
      </c>
      <c r="X40" s="93">
        <v>0</v>
      </c>
      <c r="Y40" s="93">
        <v>0</v>
      </c>
      <c r="Z40" s="93">
        <v>0</v>
      </c>
    </row>
    <row r="41" spans="1:42" s="226" customFormat="1" ht="12.75" customHeight="1" x14ac:dyDescent="0.25">
      <c r="B41" s="98" t="s">
        <v>112</v>
      </c>
      <c r="C41" s="98" t="s">
        <v>70</v>
      </c>
      <c r="F41" s="100">
        <v>-2827260776.8099999</v>
      </c>
      <c r="G41" s="100">
        <v>-55352218.450000003</v>
      </c>
      <c r="H41" s="100">
        <v>-31613692.25</v>
      </c>
      <c r="I41" s="100">
        <v>-16602894.25</v>
      </c>
      <c r="J41" s="100">
        <v>-847425499.76999998</v>
      </c>
      <c r="K41" s="100">
        <v>-28878256.84</v>
      </c>
      <c r="L41" s="100">
        <v>0</v>
      </c>
      <c r="M41" s="100">
        <v>-253441115.25999999</v>
      </c>
      <c r="N41" s="100">
        <v>-243620217.33000001</v>
      </c>
      <c r="O41" s="100">
        <v>-1153801331.1700001</v>
      </c>
      <c r="P41" s="100">
        <v>-149410890.90000001</v>
      </c>
      <c r="Q41" s="100">
        <v>-47114660.590000004</v>
      </c>
      <c r="R41" s="100">
        <v>0</v>
      </c>
      <c r="S41" s="100">
        <v>0</v>
      </c>
      <c r="T41" s="100">
        <v>0</v>
      </c>
      <c r="U41" s="100">
        <v>0</v>
      </c>
      <c r="V41" s="100">
        <v>0</v>
      </c>
      <c r="W41" s="100">
        <v>0</v>
      </c>
      <c r="X41" s="100">
        <v>0</v>
      </c>
      <c r="Y41" s="100">
        <v>0</v>
      </c>
      <c r="Z41" s="100">
        <v>0</v>
      </c>
    </row>
    <row r="42" spans="1:42" ht="12.75" customHeight="1" x14ac:dyDescent="0.25">
      <c r="A42" s="89" t="s">
        <v>79</v>
      </c>
      <c r="B42" t="s">
        <v>70</v>
      </c>
      <c r="F42" s="90">
        <v>-2821919272.1799998</v>
      </c>
      <c r="G42" s="90">
        <v>-54254454.380000003</v>
      </c>
      <c r="H42" s="90">
        <v>-30993638.100000001</v>
      </c>
      <c r="I42" s="90">
        <v>-16276438.609999999</v>
      </c>
      <c r="J42" s="90">
        <v>-847348203.67999995</v>
      </c>
      <c r="K42" s="90">
        <v>-28875441.5</v>
      </c>
      <c r="L42" s="90">
        <v>0</v>
      </c>
      <c r="M42" s="90">
        <v>-253416419.33000001</v>
      </c>
      <c r="N42" s="90">
        <v>-243588503.41999999</v>
      </c>
      <c r="O42" s="90">
        <v>-1153653892.3099999</v>
      </c>
      <c r="P42" s="90">
        <v>-146402213.68000001</v>
      </c>
      <c r="Q42" s="90">
        <v>-47110067.170000002</v>
      </c>
      <c r="R42" s="90">
        <v>0</v>
      </c>
      <c r="S42" s="90">
        <v>0</v>
      </c>
      <c r="T42" s="90">
        <v>0</v>
      </c>
      <c r="U42" s="90">
        <v>0</v>
      </c>
      <c r="V42" s="90">
        <v>0</v>
      </c>
      <c r="W42" s="90">
        <v>0</v>
      </c>
      <c r="X42" s="90">
        <v>0</v>
      </c>
      <c r="Y42" s="90">
        <v>0</v>
      </c>
      <c r="Z42" s="90">
        <v>0</v>
      </c>
    </row>
    <row r="43" spans="1:42" ht="12.75" customHeight="1" x14ac:dyDescent="0.25">
      <c r="A43" s="89" t="s">
        <v>70</v>
      </c>
      <c r="F43" s="90">
        <v>16734199193.809999</v>
      </c>
      <c r="G43" s="90">
        <v>932245098.05999994</v>
      </c>
      <c r="H43" s="90">
        <v>523537054.37</v>
      </c>
      <c r="I43" s="90">
        <v>275533996.36000001</v>
      </c>
      <c r="J43" s="90">
        <v>4023016707.7399998</v>
      </c>
      <c r="K43" s="90">
        <v>140044089.5</v>
      </c>
      <c r="L43" s="90">
        <v>18193739.239999998</v>
      </c>
      <c r="M43" s="90">
        <v>1229178212.3399999</v>
      </c>
      <c r="N43" s="90">
        <v>1190916083.6099999</v>
      </c>
      <c r="O43" s="90">
        <v>5633840760.5600004</v>
      </c>
      <c r="P43" s="90">
        <v>2539212370.7800002</v>
      </c>
      <c r="Q43" s="90">
        <v>228514594.97</v>
      </c>
      <c r="R43" s="90">
        <v>-33792.99</v>
      </c>
      <c r="S43" s="90">
        <v>-0.06</v>
      </c>
      <c r="T43">
        <v>279.33</v>
      </c>
      <c r="U43">
        <v>0</v>
      </c>
      <c r="V43">
        <v>0</v>
      </c>
      <c r="W43">
        <v>0</v>
      </c>
      <c r="X43" s="90">
        <v>0</v>
      </c>
      <c r="Y43" s="90">
        <v>0</v>
      </c>
      <c r="Z43">
        <v>0</v>
      </c>
    </row>
    <row r="44" spans="1:42" ht="12.75" customHeight="1" x14ac:dyDescent="0.25">
      <c r="A44" s="89"/>
      <c r="D44" s="143"/>
      <c r="E44" s="137"/>
      <c r="F44" s="90"/>
      <c r="G44" s="90"/>
      <c r="H44" s="90"/>
      <c r="I44" s="90"/>
      <c r="J44" s="90"/>
      <c r="K44" s="90"/>
      <c r="L44" s="90"/>
      <c r="M44" s="90"/>
      <c r="N44" s="90"/>
      <c r="O44" s="90"/>
      <c r="P44" s="90"/>
      <c r="Q44" s="90"/>
      <c r="R44" s="90"/>
      <c r="S44" s="90"/>
      <c r="X44" s="90"/>
      <c r="Y44" s="90"/>
    </row>
    <row r="45" spans="1:42" ht="12.75" customHeight="1" x14ac:dyDescent="0.25">
      <c r="A45" s="89"/>
      <c r="F45" s="90"/>
      <c r="G45" s="90"/>
      <c r="H45" s="90"/>
      <c r="I45" s="90"/>
      <c r="J45" s="90"/>
      <c r="K45" s="90"/>
      <c r="L45" s="90"/>
      <c r="M45" s="90"/>
      <c r="N45" s="90"/>
      <c r="O45" s="90"/>
      <c r="P45" s="90"/>
      <c r="Q45" s="90"/>
      <c r="R45" s="90"/>
      <c r="S45" s="90"/>
    </row>
    <row r="46" spans="1:42" ht="12.75" customHeight="1" x14ac:dyDescent="0.25">
      <c r="C46" s="766" t="s">
        <v>2</v>
      </c>
      <c r="D46" s="764" t="s">
        <v>132</v>
      </c>
      <c r="E46" s="98" t="s">
        <v>70</v>
      </c>
      <c r="F46" s="100">
        <f>F25+F41-L25</f>
        <v>16704332434.57</v>
      </c>
      <c r="G46" s="100">
        <f>G25</f>
        <v>985257731.52999997</v>
      </c>
      <c r="H46" s="100">
        <f t="shared" ref="H46:AP46" si="0">H25</f>
        <v>553829482.59000003</v>
      </c>
      <c r="I46" s="100">
        <f t="shared" si="0"/>
        <v>291441087.25999999</v>
      </c>
      <c r="J46" s="100">
        <f t="shared" si="0"/>
        <v>4870200555.6999998</v>
      </c>
      <c r="K46" s="100">
        <f t="shared" si="0"/>
        <v>168913612.41999999</v>
      </c>
      <c r="L46" s="100">
        <f t="shared" si="0"/>
        <v>18193739.239999998</v>
      </c>
      <c r="M46" s="100">
        <f t="shared" si="0"/>
        <v>1482542714.6900001</v>
      </c>
      <c r="N46" s="100">
        <f t="shared" si="0"/>
        <v>1434436911.9300001</v>
      </c>
      <c r="O46" s="100">
        <f t="shared" si="0"/>
        <v>6787178600.5</v>
      </c>
      <c r="P46" s="100">
        <f t="shared" si="0"/>
        <v>2682211010.3899999</v>
      </c>
      <c r="Q46" s="100">
        <f t="shared" si="0"/>
        <v>275615005.69999999</v>
      </c>
      <c r="R46" s="100">
        <f t="shared" si="0"/>
        <v>-33780.6</v>
      </c>
      <c r="S46" s="100">
        <f t="shared" si="0"/>
        <v>-0.06</v>
      </c>
      <c r="T46" s="100">
        <f t="shared" si="0"/>
        <v>279.33</v>
      </c>
      <c r="U46" s="100">
        <f t="shared" si="0"/>
        <v>0</v>
      </c>
      <c r="V46" s="100">
        <f t="shared" si="0"/>
        <v>0</v>
      </c>
      <c r="W46" s="100">
        <f t="shared" si="0"/>
        <v>0</v>
      </c>
      <c r="X46" s="100">
        <f t="shared" si="0"/>
        <v>0</v>
      </c>
      <c r="Y46" s="100">
        <f t="shared" si="0"/>
        <v>0</v>
      </c>
      <c r="Z46" s="100">
        <f t="shared" si="0"/>
        <v>0</v>
      </c>
      <c r="AA46" s="100">
        <f t="shared" si="0"/>
        <v>0</v>
      </c>
      <c r="AB46" s="100">
        <f t="shared" si="0"/>
        <v>0</v>
      </c>
      <c r="AC46" s="100">
        <f t="shared" si="0"/>
        <v>0</v>
      </c>
      <c r="AD46" s="100">
        <f t="shared" si="0"/>
        <v>0</v>
      </c>
      <c r="AE46" s="100">
        <f t="shared" si="0"/>
        <v>0</v>
      </c>
      <c r="AF46" s="100">
        <f t="shared" si="0"/>
        <v>0</v>
      </c>
      <c r="AG46" s="100">
        <f t="shared" si="0"/>
        <v>0</v>
      </c>
      <c r="AH46" s="100">
        <f t="shared" si="0"/>
        <v>0</v>
      </c>
      <c r="AI46" s="100">
        <f t="shared" si="0"/>
        <v>0</v>
      </c>
      <c r="AJ46" s="100">
        <f t="shared" si="0"/>
        <v>0</v>
      </c>
      <c r="AK46" s="100">
        <f t="shared" si="0"/>
        <v>0</v>
      </c>
      <c r="AL46" s="100">
        <f t="shared" si="0"/>
        <v>0</v>
      </c>
      <c r="AM46" s="100">
        <f t="shared" si="0"/>
        <v>0</v>
      </c>
      <c r="AN46" s="100">
        <f t="shared" si="0"/>
        <v>0</v>
      </c>
      <c r="AO46" s="100">
        <f t="shared" si="0"/>
        <v>0</v>
      </c>
      <c r="AP46" s="100">
        <f t="shared" si="0"/>
        <v>0</v>
      </c>
    </row>
    <row r="47" spans="1:42" ht="12.75" customHeight="1" x14ac:dyDescent="0.25">
      <c r="C47" s="766"/>
      <c r="D47" s="764"/>
      <c r="E47" s="98" t="s">
        <v>73</v>
      </c>
      <c r="F47" s="100">
        <f>F41</f>
        <v>-2827260776.8099999</v>
      </c>
      <c r="G47" s="90"/>
      <c r="H47" s="90"/>
      <c r="I47" s="90"/>
      <c r="J47" s="90"/>
      <c r="K47" s="90"/>
      <c r="L47" s="90"/>
      <c r="M47" s="90"/>
      <c r="N47" s="90"/>
      <c r="O47" s="90"/>
      <c r="P47" s="90"/>
      <c r="Q47" s="90"/>
      <c r="R47" s="90"/>
      <c r="S47" s="90"/>
    </row>
    <row r="48" spans="1:42" ht="12.75" customHeight="1" x14ac:dyDescent="0.25">
      <c r="C48" s="766"/>
      <c r="D48" s="764" t="s">
        <v>133</v>
      </c>
      <c r="E48" s="233" t="s">
        <v>70</v>
      </c>
      <c r="F48" s="234">
        <f>F30+F10-L10</f>
        <v>11673020</v>
      </c>
      <c r="G48" s="234">
        <f>G10</f>
        <v>1241820.9099999999</v>
      </c>
      <c r="H48" s="234">
        <f t="shared" ref="H48:AP48" si="1">H10</f>
        <v>701209.88</v>
      </c>
      <c r="I48" s="234">
        <f t="shared" si="1"/>
        <v>369347.71</v>
      </c>
      <c r="J48" s="234">
        <f t="shared" si="1"/>
        <v>164355.72</v>
      </c>
      <c r="K48" s="234">
        <f t="shared" si="1"/>
        <v>5918.58</v>
      </c>
      <c r="L48" s="234">
        <f t="shared" si="1"/>
        <v>0</v>
      </c>
      <c r="M48" s="234">
        <f t="shared" si="1"/>
        <v>51916.98</v>
      </c>
      <c r="N48" s="234">
        <f t="shared" si="1"/>
        <v>67675.100000000006</v>
      </c>
      <c r="O48" s="234">
        <f t="shared" si="1"/>
        <v>316052.37</v>
      </c>
      <c r="P48" s="234">
        <f t="shared" si="1"/>
        <v>3403574.07</v>
      </c>
      <c r="Q48" s="234">
        <f t="shared" si="1"/>
        <v>9656.44</v>
      </c>
      <c r="R48" s="234">
        <f t="shared" si="1"/>
        <v>-12.39</v>
      </c>
      <c r="S48" s="234">
        <f t="shared" si="1"/>
        <v>0</v>
      </c>
      <c r="T48" s="234">
        <f t="shared" si="1"/>
        <v>0</v>
      </c>
      <c r="U48" s="234">
        <f t="shared" si="1"/>
        <v>0</v>
      </c>
      <c r="V48" s="234">
        <f t="shared" si="1"/>
        <v>0</v>
      </c>
      <c r="W48" s="234">
        <f t="shared" si="1"/>
        <v>0</v>
      </c>
      <c r="X48" s="234">
        <f t="shared" si="1"/>
        <v>0</v>
      </c>
      <c r="Y48" s="234">
        <f t="shared" si="1"/>
        <v>0</v>
      </c>
      <c r="Z48" s="234">
        <f t="shared" si="1"/>
        <v>0</v>
      </c>
      <c r="AA48" s="234">
        <f t="shared" si="1"/>
        <v>0</v>
      </c>
      <c r="AB48" s="234">
        <f t="shared" si="1"/>
        <v>0</v>
      </c>
      <c r="AC48" s="234">
        <f t="shared" si="1"/>
        <v>0</v>
      </c>
      <c r="AD48" s="234">
        <f t="shared" si="1"/>
        <v>0</v>
      </c>
      <c r="AE48" s="234">
        <f t="shared" si="1"/>
        <v>0</v>
      </c>
      <c r="AF48" s="234">
        <f t="shared" si="1"/>
        <v>0</v>
      </c>
      <c r="AG48" s="234">
        <f t="shared" si="1"/>
        <v>0</v>
      </c>
      <c r="AH48" s="234">
        <f t="shared" si="1"/>
        <v>0</v>
      </c>
      <c r="AI48" s="234">
        <f t="shared" si="1"/>
        <v>0</v>
      </c>
      <c r="AJ48" s="234">
        <f t="shared" si="1"/>
        <v>0</v>
      </c>
      <c r="AK48" s="234">
        <f t="shared" si="1"/>
        <v>0</v>
      </c>
      <c r="AL48" s="234">
        <f t="shared" si="1"/>
        <v>0</v>
      </c>
      <c r="AM48" s="234">
        <f t="shared" si="1"/>
        <v>0</v>
      </c>
      <c r="AN48" s="234">
        <f t="shared" si="1"/>
        <v>0</v>
      </c>
      <c r="AO48" s="234">
        <f t="shared" si="1"/>
        <v>0</v>
      </c>
      <c r="AP48" s="234">
        <f t="shared" si="1"/>
        <v>0</v>
      </c>
    </row>
    <row r="49" spans="1:42" ht="12.75" customHeight="1" x14ac:dyDescent="0.25">
      <c r="C49" s="766"/>
      <c r="D49" s="764"/>
      <c r="E49" s="233" t="s">
        <v>73</v>
      </c>
      <c r="F49" s="234">
        <f>F30</f>
        <v>5341504.63</v>
      </c>
      <c r="G49" s="90"/>
      <c r="H49" s="90"/>
      <c r="I49" s="90"/>
      <c r="J49" s="90"/>
      <c r="K49" s="90"/>
      <c r="L49" s="90"/>
      <c r="M49" s="90"/>
      <c r="N49" s="90"/>
      <c r="O49" s="90"/>
      <c r="P49" s="90"/>
      <c r="Q49" s="90"/>
      <c r="R49" s="90"/>
    </row>
    <row r="50" spans="1:42" ht="12.75" customHeight="1" x14ac:dyDescent="0.3">
      <c r="A50" s="89"/>
      <c r="C50" s="97"/>
      <c r="F50" s="90"/>
      <c r="G50" s="90"/>
      <c r="H50" s="90"/>
      <c r="I50" s="90"/>
      <c r="J50" s="90"/>
      <c r="K50" s="90"/>
      <c r="L50" s="90"/>
      <c r="M50" s="90"/>
      <c r="N50" s="90"/>
      <c r="O50" s="90"/>
      <c r="P50" s="90"/>
      <c r="Q50" s="90"/>
      <c r="R50" s="90"/>
      <c r="S50" s="90"/>
    </row>
    <row r="51" spans="1:42" ht="12.75" customHeight="1" x14ac:dyDescent="0.25">
      <c r="C51" s="766" t="s">
        <v>160</v>
      </c>
      <c r="D51" s="764" t="s">
        <v>132</v>
      </c>
      <c r="E51" s="223" t="s">
        <v>70</v>
      </c>
      <c r="F51" s="225">
        <v>0</v>
      </c>
      <c r="G51" s="225">
        <v>0</v>
      </c>
      <c r="H51" s="225">
        <v>0</v>
      </c>
      <c r="I51" s="225">
        <v>0</v>
      </c>
      <c r="J51" s="225">
        <v>0</v>
      </c>
      <c r="K51" s="225">
        <v>0</v>
      </c>
      <c r="L51" s="225">
        <v>0</v>
      </c>
      <c r="M51" s="225">
        <v>0</v>
      </c>
      <c r="N51" s="225">
        <v>0</v>
      </c>
      <c r="O51" s="225">
        <v>0</v>
      </c>
      <c r="P51" s="225">
        <v>0</v>
      </c>
      <c r="Q51" s="225">
        <v>0</v>
      </c>
      <c r="R51" s="225">
        <v>0</v>
      </c>
      <c r="S51" s="225">
        <v>0</v>
      </c>
      <c r="T51" s="225">
        <v>0</v>
      </c>
      <c r="U51" s="225">
        <v>0</v>
      </c>
      <c r="V51" s="225">
        <v>0</v>
      </c>
      <c r="W51" s="225">
        <v>0</v>
      </c>
      <c r="X51" s="225">
        <v>0</v>
      </c>
      <c r="Y51" s="225">
        <v>0</v>
      </c>
      <c r="Z51" s="225">
        <v>0</v>
      </c>
      <c r="AA51" s="225">
        <v>0</v>
      </c>
      <c r="AB51" s="225">
        <v>0</v>
      </c>
      <c r="AC51" s="225">
        <v>0</v>
      </c>
      <c r="AD51" s="225">
        <v>0</v>
      </c>
      <c r="AE51" s="225">
        <v>0</v>
      </c>
      <c r="AF51" s="225">
        <v>0</v>
      </c>
      <c r="AG51" s="225">
        <v>0</v>
      </c>
      <c r="AH51" s="225">
        <v>0</v>
      </c>
      <c r="AI51" s="225">
        <v>0</v>
      </c>
      <c r="AJ51" s="225">
        <v>0</v>
      </c>
      <c r="AK51" s="225">
        <v>0</v>
      </c>
      <c r="AL51" s="225">
        <v>0</v>
      </c>
      <c r="AM51" s="225">
        <v>0</v>
      </c>
      <c r="AN51" s="225">
        <v>0</v>
      </c>
      <c r="AO51" s="225">
        <v>0</v>
      </c>
      <c r="AP51" s="225">
        <v>0</v>
      </c>
    </row>
    <row r="52" spans="1:42" ht="12.75" customHeight="1" x14ac:dyDescent="0.25">
      <c r="C52" s="766"/>
      <c r="D52" s="764"/>
      <c r="E52" s="223" t="s">
        <v>73</v>
      </c>
      <c r="F52" s="225">
        <v>0</v>
      </c>
      <c r="G52" s="90"/>
      <c r="H52" s="90"/>
      <c r="I52" s="90"/>
      <c r="J52" s="90"/>
      <c r="K52" s="90"/>
      <c r="L52" s="90"/>
      <c r="M52" s="90"/>
      <c r="N52" s="90"/>
      <c r="O52" s="90"/>
      <c r="P52" s="90"/>
      <c r="Q52" s="90"/>
      <c r="R52" s="90"/>
      <c r="S52" s="90"/>
    </row>
    <row r="53" spans="1:42" ht="12.75" customHeight="1" x14ac:dyDescent="0.25">
      <c r="C53" s="766"/>
      <c r="D53" s="764" t="s">
        <v>133</v>
      </c>
      <c r="E53" s="227" t="s">
        <v>70</v>
      </c>
      <c r="F53" s="228">
        <v>0</v>
      </c>
      <c r="G53" s="228">
        <v>0</v>
      </c>
      <c r="H53" s="228">
        <v>0</v>
      </c>
      <c r="I53" s="228">
        <v>0</v>
      </c>
      <c r="J53" s="228">
        <v>0</v>
      </c>
      <c r="K53" s="228">
        <v>0</v>
      </c>
      <c r="L53" s="228">
        <v>0</v>
      </c>
      <c r="M53" s="228">
        <v>0</v>
      </c>
      <c r="N53" s="228">
        <v>0</v>
      </c>
      <c r="O53" s="228">
        <v>0</v>
      </c>
      <c r="P53" s="228">
        <v>0</v>
      </c>
      <c r="Q53" s="228">
        <v>0</v>
      </c>
      <c r="R53" s="228">
        <v>0</v>
      </c>
      <c r="S53" s="228">
        <v>0</v>
      </c>
      <c r="T53" s="228">
        <v>0</v>
      </c>
      <c r="U53" s="228">
        <v>0</v>
      </c>
      <c r="V53" s="228">
        <v>0</v>
      </c>
      <c r="W53" s="228">
        <v>0</v>
      </c>
      <c r="X53" s="228">
        <v>0</v>
      </c>
      <c r="Y53" s="228">
        <v>0</v>
      </c>
      <c r="Z53" s="228">
        <v>0</v>
      </c>
      <c r="AA53" s="228">
        <v>0</v>
      </c>
      <c r="AB53" s="228">
        <v>0</v>
      </c>
      <c r="AC53" s="228">
        <v>0</v>
      </c>
      <c r="AD53" s="228">
        <v>0</v>
      </c>
      <c r="AE53" s="228">
        <v>0</v>
      </c>
      <c r="AF53" s="228">
        <v>0</v>
      </c>
      <c r="AG53" s="228">
        <v>0</v>
      </c>
      <c r="AH53" s="228">
        <v>0</v>
      </c>
      <c r="AI53" s="228">
        <v>0</v>
      </c>
      <c r="AJ53" s="228">
        <v>0</v>
      </c>
      <c r="AK53" s="228">
        <v>0</v>
      </c>
      <c r="AL53" s="228">
        <v>0</v>
      </c>
      <c r="AM53" s="228">
        <v>0</v>
      </c>
      <c r="AN53" s="228">
        <v>0</v>
      </c>
      <c r="AO53" s="228">
        <v>0</v>
      </c>
      <c r="AP53" s="228">
        <v>0</v>
      </c>
    </row>
    <row r="54" spans="1:42" ht="12.75" customHeight="1" x14ac:dyDescent="0.25">
      <c r="C54" s="766"/>
      <c r="D54" s="764"/>
      <c r="E54" s="227" t="s">
        <v>73</v>
      </c>
      <c r="F54" s="228">
        <v>0</v>
      </c>
      <c r="G54" s="90"/>
      <c r="H54" s="90"/>
      <c r="I54" s="90"/>
      <c r="J54" s="90"/>
      <c r="K54" s="90"/>
      <c r="L54" s="90"/>
      <c r="M54" s="90"/>
      <c r="N54" s="90"/>
      <c r="O54" s="90"/>
      <c r="P54" s="90"/>
      <c r="Q54" s="90"/>
      <c r="R54" s="90"/>
    </row>
    <row r="55" spans="1:42" ht="12.75" customHeight="1" x14ac:dyDescent="0.3">
      <c r="A55" s="89"/>
      <c r="C55" s="97"/>
      <c r="F55" s="90"/>
      <c r="G55" s="90"/>
      <c r="H55" s="90"/>
      <c r="I55" s="90"/>
      <c r="J55" s="90"/>
      <c r="K55" s="90"/>
      <c r="L55" s="90"/>
      <c r="M55" s="90"/>
      <c r="N55" s="90"/>
      <c r="O55" s="90"/>
      <c r="P55" s="90"/>
      <c r="Q55" s="90"/>
      <c r="R55" s="90"/>
      <c r="S55" s="90"/>
    </row>
    <row r="56" spans="1:42" ht="12.75" customHeight="1" x14ac:dyDescent="0.25">
      <c r="C56" s="766" t="s">
        <v>155</v>
      </c>
      <c r="D56" s="764" t="s">
        <v>132</v>
      </c>
      <c r="E56" s="221" t="s">
        <v>70</v>
      </c>
      <c r="F56" s="222">
        <f>F33+F14-L14</f>
        <v>16180195504.290001</v>
      </c>
      <c r="G56" s="222">
        <f t="shared" ref="G56:AP56" si="2">G14</f>
        <v>913524692.07000005</v>
      </c>
      <c r="H56" s="222">
        <f t="shared" si="2"/>
        <v>515393979.16000003</v>
      </c>
      <c r="I56" s="222">
        <f t="shared" si="2"/>
        <v>270606838.76999998</v>
      </c>
      <c r="J56" s="222">
        <f t="shared" si="2"/>
        <v>4835251560.6599998</v>
      </c>
      <c r="K56" s="222">
        <f t="shared" si="2"/>
        <v>167786486.38999999</v>
      </c>
      <c r="L56" s="222">
        <f t="shared" si="2"/>
        <v>14321944.710000001</v>
      </c>
      <c r="M56" s="222">
        <f t="shared" si="2"/>
        <v>1472673844.1800001</v>
      </c>
      <c r="N56" s="222">
        <f t="shared" si="2"/>
        <v>1422711691</v>
      </c>
      <c r="O56" s="222">
        <f t="shared" si="2"/>
        <v>6732649551.4499998</v>
      </c>
      <c r="P56" s="222">
        <f t="shared" si="2"/>
        <v>2485582185.0700002</v>
      </c>
      <c r="Q56" s="222">
        <f t="shared" si="2"/>
        <v>273775393.13999999</v>
      </c>
      <c r="R56" s="222">
        <f t="shared" si="2"/>
        <v>-33911.519999999997</v>
      </c>
      <c r="S56" s="222">
        <f t="shared" si="2"/>
        <v>-0.01</v>
      </c>
      <c r="T56" s="222">
        <f t="shared" si="2"/>
        <v>279.23</v>
      </c>
      <c r="U56" s="222">
        <f t="shared" si="2"/>
        <v>0</v>
      </c>
      <c r="V56" s="222">
        <f t="shared" si="2"/>
        <v>0</v>
      </c>
      <c r="W56" s="222">
        <f t="shared" si="2"/>
        <v>0</v>
      </c>
      <c r="X56" s="222">
        <f t="shared" si="2"/>
        <v>0</v>
      </c>
      <c r="Y56" s="222">
        <f t="shared" si="2"/>
        <v>0</v>
      </c>
      <c r="Z56" s="222">
        <f t="shared" si="2"/>
        <v>0</v>
      </c>
      <c r="AA56" s="222">
        <f t="shared" si="2"/>
        <v>0</v>
      </c>
      <c r="AB56" s="222">
        <f t="shared" si="2"/>
        <v>0</v>
      </c>
      <c r="AC56" s="222">
        <f t="shared" si="2"/>
        <v>0</v>
      </c>
      <c r="AD56" s="222">
        <f t="shared" si="2"/>
        <v>0</v>
      </c>
      <c r="AE56" s="222">
        <f t="shared" si="2"/>
        <v>0</v>
      </c>
      <c r="AF56" s="222">
        <f t="shared" si="2"/>
        <v>0</v>
      </c>
      <c r="AG56" s="222">
        <f t="shared" si="2"/>
        <v>0</v>
      </c>
      <c r="AH56" s="222">
        <f t="shared" si="2"/>
        <v>0</v>
      </c>
      <c r="AI56" s="222">
        <f t="shared" si="2"/>
        <v>0</v>
      </c>
      <c r="AJ56" s="222">
        <f t="shared" si="2"/>
        <v>0</v>
      </c>
      <c r="AK56" s="222">
        <f t="shared" si="2"/>
        <v>0</v>
      </c>
      <c r="AL56" s="222">
        <f t="shared" si="2"/>
        <v>0</v>
      </c>
      <c r="AM56" s="222">
        <f t="shared" si="2"/>
        <v>0</v>
      </c>
      <c r="AN56" s="222">
        <f t="shared" si="2"/>
        <v>0</v>
      </c>
      <c r="AO56" s="222">
        <f t="shared" si="2"/>
        <v>0</v>
      </c>
      <c r="AP56" s="222">
        <f t="shared" si="2"/>
        <v>0</v>
      </c>
    </row>
    <row r="57" spans="1:42" ht="12.75" customHeight="1" x14ac:dyDescent="0.25">
      <c r="C57" s="766"/>
      <c r="D57" s="764"/>
      <c r="E57" s="221" t="s">
        <v>73</v>
      </c>
      <c r="F57" s="222">
        <f>F33</f>
        <v>-2909727085.3000002</v>
      </c>
      <c r="G57" s="90"/>
      <c r="H57" s="90"/>
      <c r="I57" s="90"/>
      <c r="J57" s="90"/>
      <c r="K57" s="90"/>
      <c r="L57" s="90"/>
      <c r="M57" s="90"/>
      <c r="N57" s="90"/>
      <c r="O57" s="90"/>
      <c r="P57" s="90"/>
      <c r="Q57" s="90"/>
      <c r="R57" s="90"/>
      <c r="S57" s="90"/>
    </row>
    <row r="58" spans="1:42" ht="12.75" customHeight="1" x14ac:dyDescent="0.25">
      <c r="B58" s="150"/>
      <c r="C58" s="766"/>
      <c r="D58" s="764" t="s">
        <v>133</v>
      </c>
      <c r="E58" s="229" t="s">
        <v>70</v>
      </c>
      <c r="F58" s="230">
        <v>0</v>
      </c>
      <c r="G58" s="230">
        <v>0</v>
      </c>
      <c r="H58" s="230">
        <v>0</v>
      </c>
      <c r="I58" s="230">
        <v>0</v>
      </c>
      <c r="J58" s="230">
        <v>0</v>
      </c>
      <c r="K58" s="230">
        <v>0</v>
      </c>
      <c r="L58" s="230">
        <v>0</v>
      </c>
      <c r="M58" s="230">
        <v>0</v>
      </c>
      <c r="N58" s="230">
        <v>0</v>
      </c>
      <c r="O58" s="230">
        <v>0</v>
      </c>
      <c r="P58" s="230">
        <v>0</v>
      </c>
      <c r="Q58" s="230">
        <v>0</v>
      </c>
      <c r="R58" s="230">
        <v>0</v>
      </c>
      <c r="S58" s="230">
        <v>0</v>
      </c>
      <c r="T58" s="230">
        <v>0</v>
      </c>
      <c r="U58" s="230">
        <v>0</v>
      </c>
      <c r="V58" s="230">
        <v>0</v>
      </c>
      <c r="W58" s="230">
        <v>0</v>
      </c>
      <c r="X58" s="230">
        <v>0</v>
      </c>
      <c r="Y58" s="230">
        <v>0</v>
      </c>
      <c r="Z58" s="230">
        <v>0</v>
      </c>
      <c r="AA58" s="230">
        <v>0</v>
      </c>
      <c r="AB58" s="230">
        <v>0</v>
      </c>
      <c r="AC58" s="230">
        <v>0</v>
      </c>
      <c r="AD58" s="230">
        <v>0</v>
      </c>
      <c r="AE58" s="230">
        <v>0</v>
      </c>
      <c r="AF58" s="230">
        <v>0</v>
      </c>
      <c r="AG58" s="230">
        <v>0</v>
      </c>
      <c r="AH58" s="230">
        <v>0</v>
      </c>
      <c r="AI58" s="230">
        <v>0</v>
      </c>
      <c r="AJ58" s="230">
        <v>0</v>
      </c>
      <c r="AK58" s="230">
        <v>0</v>
      </c>
      <c r="AL58" s="230">
        <v>0</v>
      </c>
      <c r="AM58" s="230">
        <v>0</v>
      </c>
      <c r="AN58" s="230">
        <v>0</v>
      </c>
      <c r="AO58" s="230">
        <v>0</v>
      </c>
      <c r="AP58" s="230">
        <v>0</v>
      </c>
    </row>
    <row r="59" spans="1:42" ht="12.75" customHeight="1" x14ac:dyDescent="0.25">
      <c r="B59" s="150"/>
      <c r="C59" s="766"/>
      <c r="D59" s="764"/>
      <c r="E59" s="229" t="s">
        <v>73</v>
      </c>
      <c r="F59" s="230">
        <v>0</v>
      </c>
      <c r="G59" s="90"/>
      <c r="H59" s="90"/>
      <c r="I59" s="90"/>
      <c r="J59" s="90"/>
      <c r="K59" s="90"/>
      <c r="L59" s="90"/>
      <c r="M59" s="90"/>
      <c r="N59" s="90"/>
      <c r="O59" s="90"/>
      <c r="P59" s="90"/>
      <c r="Q59" s="90"/>
      <c r="R59" s="90"/>
    </row>
    <row r="60" spans="1:42" ht="12.75" customHeight="1" x14ac:dyDescent="0.3">
      <c r="A60" s="89"/>
      <c r="C60" s="97"/>
      <c r="F60" s="90"/>
      <c r="G60" s="90"/>
      <c r="H60" s="90"/>
      <c r="I60" s="90"/>
      <c r="J60" s="90"/>
      <c r="K60" s="90"/>
      <c r="L60" s="90"/>
      <c r="M60" s="90"/>
      <c r="N60" s="90"/>
      <c r="O60" s="90"/>
      <c r="P60" s="90"/>
      <c r="Q60" s="90"/>
      <c r="R60" s="90"/>
      <c r="S60" s="90"/>
    </row>
    <row r="61" spans="1:42" ht="12.75" customHeight="1" x14ac:dyDescent="0.25">
      <c r="C61" s="767" t="s">
        <v>326</v>
      </c>
      <c r="D61" s="764" t="s">
        <v>132</v>
      </c>
      <c r="E61" s="376" t="s">
        <v>70</v>
      </c>
      <c r="F61" s="377">
        <v>0</v>
      </c>
      <c r="G61" s="377">
        <v>0</v>
      </c>
      <c r="H61" s="377">
        <v>0</v>
      </c>
      <c r="I61" s="377">
        <v>0</v>
      </c>
      <c r="J61" s="377">
        <v>0</v>
      </c>
      <c r="K61" s="377">
        <v>0</v>
      </c>
      <c r="L61" s="377">
        <v>0</v>
      </c>
      <c r="M61" s="377">
        <v>0</v>
      </c>
      <c r="N61" s="377">
        <v>0</v>
      </c>
      <c r="O61" s="377">
        <v>0</v>
      </c>
      <c r="P61" s="377">
        <v>0</v>
      </c>
      <c r="Q61" s="377">
        <v>0</v>
      </c>
      <c r="R61" s="377">
        <v>0</v>
      </c>
      <c r="S61" s="377">
        <v>0</v>
      </c>
      <c r="T61" s="377">
        <v>0</v>
      </c>
      <c r="U61" s="377">
        <v>0</v>
      </c>
      <c r="V61" s="377">
        <v>0</v>
      </c>
      <c r="W61" s="377">
        <v>0</v>
      </c>
      <c r="X61" s="377">
        <v>0</v>
      </c>
      <c r="Y61" s="377">
        <v>0</v>
      </c>
      <c r="Z61" s="377">
        <v>0</v>
      </c>
      <c r="AA61" s="377">
        <v>0</v>
      </c>
      <c r="AB61" s="377">
        <v>0</v>
      </c>
      <c r="AC61" s="377">
        <v>0</v>
      </c>
      <c r="AD61" s="377">
        <v>0</v>
      </c>
      <c r="AE61" s="377">
        <v>0</v>
      </c>
      <c r="AF61" s="377">
        <v>0</v>
      </c>
      <c r="AG61" s="377">
        <v>0</v>
      </c>
      <c r="AH61" s="377">
        <v>0</v>
      </c>
      <c r="AI61" s="377">
        <v>0</v>
      </c>
      <c r="AJ61" s="377">
        <v>0</v>
      </c>
      <c r="AK61" s="377">
        <v>0</v>
      </c>
      <c r="AL61" s="377">
        <v>0</v>
      </c>
      <c r="AM61" s="377">
        <v>0</v>
      </c>
      <c r="AN61" s="377">
        <v>0</v>
      </c>
      <c r="AO61" s="377">
        <v>0</v>
      </c>
    </row>
    <row r="62" spans="1:42" ht="12.75" customHeight="1" x14ac:dyDescent="0.25">
      <c r="C62" s="767"/>
      <c r="D62" s="764"/>
      <c r="E62" s="376" t="s">
        <v>73</v>
      </c>
      <c r="F62" s="377">
        <v>0</v>
      </c>
      <c r="G62" s="90"/>
      <c r="H62" s="90"/>
      <c r="I62" s="90"/>
      <c r="J62" s="90"/>
      <c r="K62" s="90"/>
      <c r="L62" s="90"/>
      <c r="M62" s="90"/>
      <c r="N62" s="90"/>
      <c r="O62" s="90"/>
      <c r="P62" s="90"/>
      <c r="Q62" s="90"/>
      <c r="R62" s="90"/>
      <c r="S62" s="90"/>
    </row>
    <row r="63" spans="1:42" ht="12.75" customHeight="1" x14ac:dyDescent="0.25">
      <c r="C63" s="767"/>
      <c r="D63" s="764" t="s">
        <v>133</v>
      </c>
      <c r="E63" s="242" t="s">
        <v>70</v>
      </c>
      <c r="F63" s="243">
        <v>0</v>
      </c>
      <c r="G63" s="243">
        <v>0</v>
      </c>
      <c r="H63" s="243">
        <v>0</v>
      </c>
      <c r="I63" s="243">
        <v>0</v>
      </c>
      <c r="J63" s="243">
        <v>0</v>
      </c>
      <c r="K63" s="243">
        <v>0</v>
      </c>
      <c r="L63" s="243">
        <v>0</v>
      </c>
      <c r="M63" s="243">
        <v>0</v>
      </c>
      <c r="N63" s="243">
        <v>0</v>
      </c>
      <c r="O63" s="243">
        <v>0</v>
      </c>
      <c r="P63" s="243">
        <v>0</v>
      </c>
      <c r="Q63" s="243">
        <v>0</v>
      </c>
      <c r="R63" s="243">
        <v>0</v>
      </c>
      <c r="S63" s="243">
        <v>0</v>
      </c>
      <c r="T63" s="243">
        <v>0</v>
      </c>
      <c r="U63" s="243">
        <v>0</v>
      </c>
      <c r="V63" s="243">
        <v>0</v>
      </c>
      <c r="W63" s="243">
        <v>0</v>
      </c>
      <c r="X63" s="243">
        <v>0</v>
      </c>
      <c r="Y63" s="243">
        <v>0</v>
      </c>
      <c r="Z63" s="243">
        <v>0</v>
      </c>
      <c r="AA63" s="243">
        <v>0</v>
      </c>
      <c r="AB63" s="243">
        <v>0</v>
      </c>
      <c r="AC63" s="243">
        <v>0</v>
      </c>
      <c r="AD63" s="243">
        <v>0</v>
      </c>
      <c r="AE63" s="243">
        <v>0</v>
      </c>
      <c r="AF63" s="243">
        <v>0</v>
      </c>
      <c r="AG63" s="243">
        <v>0</v>
      </c>
      <c r="AH63" s="243">
        <v>0</v>
      </c>
      <c r="AI63" s="243">
        <v>0</v>
      </c>
      <c r="AJ63" s="243">
        <v>0</v>
      </c>
      <c r="AK63" s="243">
        <v>0</v>
      </c>
      <c r="AL63" s="243">
        <v>0</v>
      </c>
      <c r="AM63" s="243">
        <v>0</v>
      </c>
      <c r="AN63" s="243">
        <v>0</v>
      </c>
      <c r="AO63" s="243">
        <v>0</v>
      </c>
    </row>
    <row r="64" spans="1:42" ht="12.75" customHeight="1" x14ac:dyDescent="0.25">
      <c r="C64" s="767"/>
      <c r="D64" s="764"/>
      <c r="E64" s="242" t="s">
        <v>73</v>
      </c>
      <c r="F64" s="243">
        <v>0</v>
      </c>
      <c r="G64" s="90"/>
      <c r="H64" s="90"/>
      <c r="I64" s="90"/>
      <c r="J64" s="90"/>
      <c r="K64" s="90"/>
      <c r="L64" s="90"/>
      <c r="M64" s="90"/>
      <c r="N64" s="90"/>
      <c r="O64" s="90"/>
      <c r="P64" s="90"/>
      <c r="Q64" s="90"/>
      <c r="R64" s="90"/>
    </row>
    <row r="65" spans="1:42" ht="12.75" customHeight="1" x14ac:dyDescent="0.3">
      <c r="A65" s="89"/>
      <c r="C65" s="97"/>
      <c r="F65" s="90"/>
      <c r="G65" s="90"/>
      <c r="H65" s="90"/>
      <c r="I65" s="90"/>
      <c r="J65" s="90"/>
      <c r="K65" s="90"/>
      <c r="L65" s="90"/>
      <c r="M65" s="90"/>
      <c r="N65" s="90"/>
      <c r="O65" s="90"/>
      <c r="P65" s="90"/>
      <c r="Q65" s="90"/>
      <c r="R65" s="90"/>
      <c r="S65" s="90"/>
    </row>
    <row r="66" spans="1:42" ht="12.75" customHeight="1" x14ac:dyDescent="0.25">
      <c r="C66" s="766" t="s">
        <v>119</v>
      </c>
      <c r="D66" s="764" t="s">
        <v>132</v>
      </c>
      <c r="E66" s="101" t="s">
        <v>70</v>
      </c>
      <c r="F66" s="93">
        <f>F40+F24-L24</f>
        <v>524136930.28000003</v>
      </c>
      <c r="G66" s="93">
        <f>G24</f>
        <v>71733039.459999993</v>
      </c>
      <c r="H66" s="93">
        <f t="shared" ref="H66:AP66" si="3">H24</f>
        <v>38435503.43</v>
      </c>
      <c r="I66" s="93">
        <f t="shared" si="3"/>
        <v>20834248.489999998</v>
      </c>
      <c r="J66" s="93">
        <f t="shared" si="3"/>
        <v>34948995.039999999</v>
      </c>
      <c r="K66" s="93">
        <f t="shared" si="3"/>
        <v>1127126.03</v>
      </c>
      <c r="L66" s="93">
        <f t="shared" si="3"/>
        <v>3871794.53</v>
      </c>
      <c r="M66" s="93">
        <f t="shared" si="3"/>
        <v>9868870.5099999998</v>
      </c>
      <c r="N66" s="93">
        <f t="shared" si="3"/>
        <v>11725220.93</v>
      </c>
      <c r="O66" s="93">
        <f t="shared" si="3"/>
        <v>54529049.049999997</v>
      </c>
      <c r="P66" s="93">
        <f t="shared" si="3"/>
        <v>196628825.31999999</v>
      </c>
      <c r="Q66" s="93">
        <f t="shared" si="3"/>
        <v>1839612.56</v>
      </c>
      <c r="R66" s="93">
        <f t="shared" si="3"/>
        <v>130.91999999999999</v>
      </c>
      <c r="S66" s="93">
        <f t="shared" si="3"/>
        <v>-0.05</v>
      </c>
      <c r="T66" s="93">
        <f t="shared" si="3"/>
        <v>0.1</v>
      </c>
      <c r="U66" s="93">
        <f t="shared" si="3"/>
        <v>0</v>
      </c>
      <c r="V66" s="93">
        <f t="shared" si="3"/>
        <v>0</v>
      </c>
      <c r="W66" s="93">
        <f t="shared" si="3"/>
        <v>0</v>
      </c>
      <c r="X66" s="93">
        <f t="shared" si="3"/>
        <v>0</v>
      </c>
      <c r="Y66" s="93">
        <f t="shared" si="3"/>
        <v>0</v>
      </c>
      <c r="Z66" s="93">
        <f t="shared" si="3"/>
        <v>0</v>
      </c>
      <c r="AA66" s="93">
        <f t="shared" si="3"/>
        <v>0</v>
      </c>
      <c r="AB66" s="93">
        <f t="shared" si="3"/>
        <v>0</v>
      </c>
      <c r="AC66" s="93">
        <f t="shared" si="3"/>
        <v>0</v>
      </c>
      <c r="AD66" s="93">
        <f t="shared" si="3"/>
        <v>0</v>
      </c>
      <c r="AE66" s="93">
        <f t="shared" si="3"/>
        <v>0</v>
      </c>
      <c r="AF66" s="93">
        <f t="shared" si="3"/>
        <v>0</v>
      </c>
      <c r="AG66" s="93">
        <f t="shared" si="3"/>
        <v>0</v>
      </c>
      <c r="AH66" s="93">
        <f t="shared" si="3"/>
        <v>0</v>
      </c>
      <c r="AI66" s="93">
        <f t="shared" si="3"/>
        <v>0</v>
      </c>
      <c r="AJ66" s="93">
        <f t="shared" si="3"/>
        <v>0</v>
      </c>
      <c r="AK66" s="93">
        <f t="shared" si="3"/>
        <v>0</v>
      </c>
      <c r="AL66" s="93">
        <f t="shared" si="3"/>
        <v>0</v>
      </c>
      <c r="AM66" s="93">
        <f t="shared" si="3"/>
        <v>0</v>
      </c>
      <c r="AN66" s="93">
        <f t="shared" si="3"/>
        <v>0</v>
      </c>
      <c r="AO66" s="93">
        <f t="shared" si="3"/>
        <v>0</v>
      </c>
      <c r="AP66" s="93">
        <f t="shared" si="3"/>
        <v>0</v>
      </c>
    </row>
    <row r="67" spans="1:42" ht="12.75" customHeight="1" x14ac:dyDescent="0.25">
      <c r="C67" s="766"/>
      <c r="D67" s="764"/>
      <c r="E67" s="101" t="s">
        <v>73</v>
      </c>
      <c r="F67" s="93">
        <f>F40</f>
        <v>82466308.489999995</v>
      </c>
      <c r="G67" s="90"/>
      <c r="H67" s="90"/>
      <c r="I67" s="90"/>
      <c r="J67" s="90"/>
      <c r="K67" s="90"/>
      <c r="L67" s="90"/>
      <c r="M67" s="90"/>
      <c r="N67" s="90"/>
      <c r="O67" s="90"/>
      <c r="P67" s="90"/>
      <c r="Q67" s="90"/>
      <c r="R67" s="90"/>
      <c r="S67" s="90"/>
    </row>
    <row r="68" spans="1:42" ht="12.75" customHeight="1" x14ac:dyDescent="0.25">
      <c r="C68" s="766"/>
      <c r="D68" s="764" t="s">
        <v>133</v>
      </c>
      <c r="E68" s="235" t="s">
        <v>70</v>
      </c>
      <c r="F68" s="236">
        <f>F29+F9-L9</f>
        <v>11673020</v>
      </c>
      <c r="G68" s="236">
        <f>G9</f>
        <v>1241820.9099999999</v>
      </c>
      <c r="H68" s="236">
        <f t="shared" ref="H68:AP68" si="4">H9</f>
        <v>701209.88</v>
      </c>
      <c r="I68" s="236">
        <f t="shared" si="4"/>
        <v>369347.71</v>
      </c>
      <c r="J68" s="236">
        <f t="shared" si="4"/>
        <v>164355.72</v>
      </c>
      <c r="K68" s="236">
        <f t="shared" si="4"/>
        <v>5918.58</v>
      </c>
      <c r="L68" s="236">
        <f t="shared" si="4"/>
        <v>0</v>
      </c>
      <c r="M68" s="236">
        <f t="shared" si="4"/>
        <v>51916.98</v>
      </c>
      <c r="N68" s="236">
        <f t="shared" si="4"/>
        <v>67675.100000000006</v>
      </c>
      <c r="O68" s="236">
        <f t="shared" si="4"/>
        <v>316052.37</v>
      </c>
      <c r="P68" s="236">
        <f t="shared" si="4"/>
        <v>3403574.07</v>
      </c>
      <c r="Q68" s="236">
        <f t="shared" si="4"/>
        <v>9656.44</v>
      </c>
      <c r="R68" s="236">
        <f t="shared" si="4"/>
        <v>-12.39</v>
      </c>
      <c r="S68" s="236">
        <f t="shared" si="4"/>
        <v>0</v>
      </c>
      <c r="T68" s="236">
        <f t="shared" si="4"/>
        <v>0</v>
      </c>
      <c r="U68" s="236">
        <f t="shared" si="4"/>
        <v>0</v>
      </c>
      <c r="V68" s="236">
        <f t="shared" si="4"/>
        <v>0</v>
      </c>
      <c r="W68" s="236">
        <f t="shared" si="4"/>
        <v>0</v>
      </c>
      <c r="X68" s="236">
        <f t="shared" si="4"/>
        <v>0</v>
      </c>
      <c r="Y68" s="236">
        <f t="shared" si="4"/>
        <v>0</v>
      </c>
      <c r="Z68" s="236">
        <f t="shared" si="4"/>
        <v>0</v>
      </c>
      <c r="AA68" s="236">
        <f t="shared" si="4"/>
        <v>0</v>
      </c>
      <c r="AB68" s="236">
        <f t="shared" si="4"/>
        <v>0</v>
      </c>
      <c r="AC68" s="236">
        <f t="shared" si="4"/>
        <v>0</v>
      </c>
      <c r="AD68" s="236">
        <f t="shared" si="4"/>
        <v>0</v>
      </c>
      <c r="AE68" s="236">
        <f t="shared" si="4"/>
        <v>0</v>
      </c>
      <c r="AF68" s="236">
        <f t="shared" si="4"/>
        <v>0</v>
      </c>
      <c r="AG68" s="236">
        <f t="shared" si="4"/>
        <v>0</v>
      </c>
      <c r="AH68" s="236">
        <f t="shared" si="4"/>
        <v>0</v>
      </c>
      <c r="AI68" s="236">
        <f t="shared" si="4"/>
        <v>0</v>
      </c>
      <c r="AJ68" s="236">
        <f t="shared" si="4"/>
        <v>0</v>
      </c>
      <c r="AK68" s="236">
        <f t="shared" si="4"/>
        <v>0</v>
      </c>
      <c r="AL68" s="236">
        <f t="shared" si="4"/>
        <v>0</v>
      </c>
      <c r="AM68" s="236">
        <f t="shared" si="4"/>
        <v>0</v>
      </c>
      <c r="AN68" s="236">
        <f t="shared" si="4"/>
        <v>0</v>
      </c>
      <c r="AO68" s="236">
        <f t="shared" si="4"/>
        <v>0</v>
      </c>
      <c r="AP68" s="236">
        <f t="shared" si="4"/>
        <v>0</v>
      </c>
    </row>
    <row r="69" spans="1:42" ht="12.75" customHeight="1" x14ac:dyDescent="0.25">
      <c r="C69" s="766"/>
      <c r="D69" s="764"/>
      <c r="E69" s="235" t="s">
        <v>73</v>
      </c>
      <c r="F69" s="236">
        <f>F29</f>
        <v>5341504.63</v>
      </c>
      <c r="G69" s="90"/>
      <c r="H69" s="90"/>
      <c r="I69" s="90"/>
      <c r="J69" s="90"/>
      <c r="K69" s="90"/>
      <c r="L69" s="90"/>
      <c r="M69" s="90"/>
      <c r="N69" s="90"/>
      <c r="O69" s="90"/>
      <c r="P69" s="90"/>
      <c r="Q69" s="90"/>
      <c r="R69" s="90"/>
    </row>
    <row r="70" spans="1:42" ht="12.75" customHeight="1" x14ac:dyDescent="0.3">
      <c r="A70" s="89"/>
      <c r="C70" s="97"/>
      <c r="F70" s="90"/>
      <c r="G70" s="90"/>
      <c r="H70" s="90"/>
      <c r="I70" s="90"/>
      <c r="J70" s="90"/>
      <c r="K70" s="90"/>
      <c r="L70" s="90"/>
      <c r="M70" s="90"/>
      <c r="N70" s="90"/>
      <c r="O70" s="90"/>
      <c r="P70" s="90"/>
      <c r="Q70" s="90"/>
      <c r="R70" s="90"/>
      <c r="S70" s="90"/>
    </row>
    <row r="71" spans="1:42" ht="12.75" customHeight="1" x14ac:dyDescent="0.25">
      <c r="C71" s="765" t="s">
        <v>161</v>
      </c>
      <c r="D71" s="764" t="s">
        <v>132</v>
      </c>
      <c r="E71" s="231" t="s">
        <v>70</v>
      </c>
      <c r="F71" s="232">
        <v>0</v>
      </c>
      <c r="G71" s="232">
        <v>0</v>
      </c>
      <c r="H71" s="232">
        <v>0</v>
      </c>
      <c r="I71" s="232">
        <v>0</v>
      </c>
      <c r="J71" s="232">
        <v>0</v>
      </c>
      <c r="K71" s="232">
        <v>0</v>
      </c>
      <c r="L71" s="232">
        <v>0</v>
      </c>
      <c r="M71" s="232">
        <v>0</v>
      </c>
      <c r="N71" s="232">
        <v>0</v>
      </c>
      <c r="O71" s="232">
        <v>0</v>
      </c>
      <c r="P71" s="232">
        <v>0</v>
      </c>
      <c r="Q71" s="232">
        <v>0</v>
      </c>
      <c r="R71" s="232">
        <v>0</v>
      </c>
      <c r="S71" s="232">
        <v>0</v>
      </c>
      <c r="T71" s="232">
        <v>0</v>
      </c>
      <c r="U71" s="232">
        <v>0</v>
      </c>
      <c r="V71" s="232">
        <v>0</v>
      </c>
      <c r="W71" s="232">
        <v>0</v>
      </c>
      <c r="X71" s="232">
        <v>0</v>
      </c>
      <c r="Y71" s="232">
        <v>0</v>
      </c>
      <c r="Z71" s="232">
        <v>0</v>
      </c>
      <c r="AA71" s="232">
        <v>0</v>
      </c>
      <c r="AB71" s="232">
        <v>0</v>
      </c>
      <c r="AC71" s="232">
        <v>0</v>
      </c>
      <c r="AD71" s="232">
        <v>0</v>
      </c>
      <c r="AE71" s="232">
        <v>0</v>
      </c>
      <c r="AF71" s="232">
        <v>0</v>
      </c>
      <c r="AG71" s="232">
        <v>0</v>
      </c>
      <c r="AH71" s="232">
        <v>0</v>
      </c>
      <c r="AI71" s="232">
        <v>0</v>
      </c>
      <c r="AJ71" s="232">
        <v>0</v>
      </c>
      <c r="AK71" s="232">
        <v>0</v>
      </c>
      <c r="AL71" s="232">
        <v>0</v>
      </c>
      <c r="AM71" s="232">
        <v>0</v>
      </c>
      <c r="AN71" s="232">
        <v>0</v>
      </c>
      <c r="AO71" s="232">
        <v>0</v>
      </c>
      <c r="AP71" s="232">
        <v>0</v>
      </c>
    </row>
    <row r="72" spans="1:42" ht="12.75" customHeight="1" x14ac:dyDescent="0.25">
      <c r="C72" s="765"/>
      <c r="D72" s="764"/>
      <c r="E72" s="231" t="s">
        <v>73</v>
      </c>
      <c r="F72" s="232">
        <v>0</v>
      </c>
      <c r="G72" s="90"/>
      <c r="H72" s="90"/>
      <c r="I72" s="90"/>
      <c r="J72" s="90"/>
      <c r="K72" s="90"/>
      <c r="L72" s="90"/>
      <c r="M72" s="90"/>
      <c r="N72" s="90"/>
      <c r="O72" s="90"/>
      <c r="P72" s="90"/>
      <c r="Q72" s="90"/>
      <c r="R72" s="90"/>
      <c r="S72" s="90"/>
    </row>
    <row r="73" spans="1:42" ht="12.75" customHeight="1" x14ac:dyDescent="0.25">
      <c r="C73" s="765"/>
      <c r="D73" s="764" t="s">
        <v>133</v>
      </c>
      <c r="E73" s="148" t="s">
        <v>70</v>
      </c>
      <c r="F73" s="149">
        <v>0</v>
      </c>
      <c r="G73" s="149">
        <v>0</v>
      </c>
      <c r="H73" s="149">
        <v>0</v>
      </c>
      <c r="I73" s="149">
        <v>0</v>
      </c>
      <c r="J73" s="149">
        <v>0</v>
      </c>
      <c r="K73" s="149">
        <v>0</v>
      </c>
      <c r="L73" s="149">
        <v>0</v>
      </c>
      <c r="M73" s="149">
        <v>0</v>
      </c>
      <c r="N73" s="149">
        <v>0</v>
      </c>
      <c r="O73" s="149">
        <v>0</v>
      </c>
      <c r="P73" s="149">
        <v>0</v>
      </c>
      <c r="Q73" s="149">
        <v>0</v>
      </c>
      <c r="R73" s="149">
        <v>0</v>
      </c>
      <c r="S73" s="149">
        <v>0</v>
      </c>
      <c r="T73" s="149">
        <v>0</v>
      </c>
      <c r="U73" s="149">
        <v>0</v>
      </c>
      <c r="V73" s="149">
        <v>0</v>
      </c>
      <c r="W73" s="149">
        <v>0</v>
      </c>
      <c r="X73" s="149">
        <v>0</v>
      </c>
      <c r="Y73" s="149">
        <v>0</v>
      </c>
      <c r="Z73" s="149">
        <v>0</v>
      </c>
      <c r="AA73" s="149">
        <v>0</v>
      </c>
      <c r="AB73" s="149">
        <v>0</v>
      </c>
      <c r="AC73" s="149">
        <v>0</v>
      </c>
      <c r="AD73" s="149">
        <v>0</v>
      </c>
      <c r="AE73" s="149">
        <v>0</v>
      </c>
      <c r="AF73" s="149">
        <v>0</v>
      </c>
      <c r="AG73" s="149">
        <v>0</v>
      </c>
      <c r="AH73" s="149">
        <v>0</v>
      </c>
      <c r="AI73" s="149">
        <v>0</v>
      </c>
      <c r="AJ73" s="149">
        <v>0</v>
      </c>
      <c r="AK73" s="149">
        <v>0</v>
      </c>
      <c r="AL73" s="149">
        <v>0</v>
      </c>
      <c r="AM73" s="149">
        <v>0</v>
      </c>
      <c r="AN73" s="149">
        <v>0</v>
      </c>
      <c r="AO73" s="149">
        <v>0</v>
      </c>
      <c r="AP73" s="149">
        <v>0</v>
      </c>
    </row>
    <row r="74" spans="1:42" ht="12.75" customHeight="1" x14ac:dyDescent="0.25">
      <c r="C74" s="765"/>
      <c r="D74" s="764"/>
      <c r="E74" s="148" t="s">
        <v>73</v>
      </c>
      <c r="F74" s="149">
        <v>0</v>
      </c>
      <c r="G74" s="90"/>
      <c r="H74" s="90"/>
      <c r="I74" s="90"/>
      <c r="J74" s="90"/>
      <c r="K74" s="90"/>
      <c r="L74" s="90"/>
      <c r="M74" s="90"/>
      <c r="N74" s="90"/>
      <c r="O74" s="90"/>
      <c r="P74" s="90"/>
      <c r="Q74" s="90"/>
      <c r="R74" s="90"/>
    </row>
    <row r="75" spans="1:42" ht="12.75" customHeight="1" x14ac:dyDescent="0.25">
      <c r="C75" s="391"/>
      <c r="D75" s="220"/>
      <c r="E75" s="89"/>
      <c r="F75" s="90"/>
      <c r="G75" s="90"/>
      <c r="H75" s="90"/>
      <c r="I75" s="90"/>
      <c r="J75" s="90"/>
      <c r="K75" s="90"/>
      <c r="L75" s="90"/>
      <c r="M75" s="90"/>
      <c r="N75" s="90"/>
      <c r="O75" s="90"/>
      <c r="P75" s="90"/>
      <c r="Q75" s="90"/>
      <c r="R75" s="90"/>
    </row>
    <row r="76" spans="1:42" ht="12.75" customHeight="1" x14ac:dyDescent="0.25">
      <c r="D76" s="461" t="s">
        <v>185</v>
      </c>
      <c r="E76" s="462" t="s">
        <v>70</v>
      </c>
      <c r="F76" s="463">
        <v>0</v>
      </c>
      <c r="G76" s="463">
        <v>0</v>
      </c>
      <c r="H76" s="463">
        <v>0</v>
      </c>
      <c r="I76" s="463">
        <v>0</v>
      </c>
      <c r="J76" s="463">
        <v>0</v>
      </c>
      <c r="K76" s="463">
        <v>0</v>
      </c>
      <c r="L76" s="463">
        <v>0</v>
      </c>
      <c r="M76" s="463">
        <v>0</v>
      </c>
      <c r="N76" s="463">
        <v>0</v>
      </c>
      <c r="O76" s="463">
        <v>0</v>
      </c>
      <c r="P76" s="463">
        <v>0</v>
      </c>
      <c r="Q76" s="463">
        <v>0</v>
      </c>
      <c r="R76" s="463">
        <v>0</v>
      </c>
      <c r="S76" s="463">
        <v>0</v>
      </c>
      <c r="T76" s="463">
        <v>0</v>
      </c>
      <c r="U76" s="463">
        <v>0</v>
      </c>
      <c r="V76" s="463">
        <v>0</v>
      </c>
      <c r="W76" s="463">
        <v>0</v>
      </c>
      <c r="X76" s="463">
        <v>0</v>
      </c>
      <c r="Y76" s="463">
        <v>0</v>
      </c>
      <c r="Z76" s="463">
        <v>0</v>
      </c>
      <c r="AA76" s="463">
        <v>0</v>
      </c>
      <c r="AB76" s="463">
        <v>0</v>
      </c>
      <c r="AC76" s="463">
        <v>0</v>
      </c>
      <c r="AD76" s="463">
        <v>0</v>
      </c>
      <c r="AE76" s="463">
        <v>0</v>
      </c>
      <c r="AF76" s="463">
        <v>0</v>
      </c>
      <c r="AG76" s="463">
        <v>0</v>
      </c>
      <c r="AH76" s="463">
        <v>0</v>
      </c>
      <c r="AI76" s="463">
        <v>0</v>
      </c>
      <c r="AJ76" s="463">
        <v>0</v>
      </c>
      <c r="AK76" s="463">
        <v>0</v>
      </c>
      <c r="AL76" s="463">
        <v>0</v>
      </c>
      <c r="AM76" s="463">
        <v>0</v>
      </c>
      <c r="AN76" s="463">
        <v>0</v>
      </c>
      <c r="AO76" s="463">
        <v>0</v>
      </c>
      <c r="AP76" s="463">
        <v>0</v>
      </c>
    </row>
    <row r="77" spans="1:42" ht="12.75" customHeight="1" x14ac:dyDescent="0.25">
      <c r="C77" s="391"/>
      <c r="D77" s="220"/>
      <c r="E77" s="89"/>
      <c r="F77" s="90"/>
      <c r="G77" s="90"/>
      <c r="H77" s="90"/>
      <c r="I77" s="90"/>
      <c r="J77" s="90"/>
      <c r="K77" s="90"/>
      <c r="L77" s="90"/>
      <c r="M77" s="90"/>
      <c r="N77" s="90"/>
      <c r="O77" s="90"/>
      <c r="P77" s="90"/>
      <c r="Q77" s="90"/>
      <c r="R77" s="90"/>
    </row>
    <row r="78" spans="1:42" s="238" customFormat="1" ht="12.75" customHeight="1" x14ac:dyDescent="0.25">
      <c r="B78" s="239"/>
      <c r="C78" s="239"/>
      <c r="E78" s="240"/>
      <c r="F78" s="240"/>
      <c r="G78" s="240"/>
      <c r="H78" s="240"/>
      <c r="I78" s="240"/>
      <c r="J78" s="240"/>
      <c r="K78" s="240"/>
      <c r="L78" s="240"/>
      <c r="M78" s="240"/>
      <c r="N78" s="240"/>
      <c r="O78" s="240"/>
      <c r="P78" s="240"/>
      <c r="Q78" s="240"/>
      <c r="R78" s="240"/>
    </row>
    <row r="79" spans="1:42" ht="12" customHeight="1" x14ac:dyDescent="0.3">
      <c r="A79" s="89"/>
      <c r="B79" s="97" t="s">
        <v>75</v>
      </c>
      <c r="E79" s="90"/>
      <c r="F79" s="90"/>
      <c r="G79" s="90"/>
      <c r="H79" s="90"/>
      <c r="I79" s="90"/>
      <c r="J79" s="90"/>
      <c r="K79" s="90"/>
      <c r="L79" s="90"/>
      <c r="M79" s="90"/>
      <c r="N79" s="90"/>
      <c r="O79" s="90"/>
      <c r="P79" s="90"/>
      <c r="Q79" s="90"/>
      <c r="R79" s="90"/>
    </row>
    <row r="80" spans="1:42" ht="12.75" customHeight="1" x14ac:dyDescent="0.25">
      <c r="F80" s="89" t="s">
        <v>70</v>
      </c>
      <c r="G80" s="89" t="s">
        <v>64</v>
      </c>
      <c r="H80" s="89" t="s">
        <v>65</v>
      </c>
      <c r="I80" s="218" t="s">
        <v>164</v>
      </c>
      <c r="J80" s="89" t="s">
        <v>69</v>
      </c>
      <c r="K80" s="89" t="s">
        <v>68</v>
      </c>
      <c r="L80" s="89" t="s">
        <v>71</v>
      </c>
      <c r="M80" s="89" t="s">
        <v>66</v>
      </c>
      <c r="N80" s="89" t="s">
        <v>63</v>
      </c>
      <c r="O80" s="89" t="s">
        <v>61</v>
      </c>
      <c r="P80" s="89" t="s">
        <v>62</v>
      </c>
      <c r="Q80" s="89" t="s">
        <v>67</v>
      </c>
      <c r="R80" s="89" t="s">
        <v>77</v>
      </c>
      <c r="S80" s="89" t="s">
        <v>80</v>
      </c>
      <c r="T80" s="89" t="s">
        <v>135</v>
      </c>
      <c r="U80" s="89" t="s">
        <v>222</v>
      </c>
      <c r="V80" s="89" t="s">
        <v>223</v>
      </c>
      <c r="W80" s="89" t="s">
        <v>172</v>
      </c>
      <c r="X80" t="s">
        <v>166</v>
      </c>
      <c r="Y80" s="89" t="s">
        <v>135</v>
      </c>
      <c r="Z80" s="89" t="s">
        <v>166</v>
      </c>
    </row>
    <row r="81" spans="1:26" ht="12.75" customHeight="1" x14ac:dyDescent="0.25">
      <c r="E81" t="s">
        <v>72</v>
      </c>
      <c r="F81" s="387">
        <v>-1046185.37</v>
      </c>
      <c r="G81" s="89">
        <v>-91219.33</v>
      </c>
      <c r="H81" s="89">
        <v>-38751.51</v>
      </c>
      <c r="I81" s="658">
        <v>-16923.62</v>
      </c>
      <c r="J81" s="89">
        <v>-211175.82</v>
      </c>
      <c r="K81" s="89">
        <v>-8741.75</v>
      </c>
      <c r="L81" s="89">
        <v>0</v>
      </c>
      <c r="M81" s="89">
        <v>-77575.3</v>
      </c>
      <c r="N81" s="89">
        <v>-96108.28</v>
      </c>
      <c r="O81" s="89">
        <v>-322822.01</v>
      </c>
      <c r="P81" s="89">
        <v>-168607.62</v>
      </c>
      <c r="Q81" s="89">
        <v>-14260.13</v>
      </c>
      <c r="R81" s="89">
        <v>0</v>
      </c>
      <c r="S81" s="89">
        <v>0</v>
      </c>
      <c r="T81" s="89">
        <v>0</v>
      </c>
      <c r="U81" s="89">
        <v>0</v>
      </c>
      <c r="V81" s="89">
        <v>0</v>
      </c>
      <c r="W81" s="89">
        <v>0</v>
      </c>
      <c r="X81">
        <v>0</v>
      </c>
      <c r="Y81" s="89">
        <v>0</v>
      </c>
      <c r="Z81" s="89">
        <v>0</v>
      </c>
    </row>
    <row r="82" spans="1:26" ht="12.75" customHeight="1" x14ac:dyDescent="0.25">
      <c r="D82" t="s">
        <v>156</v>
      </c>
      <c r="E82" t="s">
        <v>70</v>
      </c>
      <c r="F82" s="387">
        <v>-1046185.37</v>
      </c>
      <c r="G82" s="89">
        <v>-91219.33</v>
      </c>
      <c r="H82" s="89">
        <v>-38751.51</v>
      </c>
      <c r="I82" s="658">
        <v>-16923.62</v>
      </c>
      <c r="J82" s="89">
        <v>-211175.82</v>
      </c>
      <c r="K82" s="89">
        <v>-8741.75</v>
      </c>
      <c r="L82" s="89">
        <v>0</v>
      </c>
      <c r="M82" s="89">
        <v>-77575.3</v>
      </c>
      <c r="N82" s="89">
        <v>-96108.28</v>
      </c>
      <c r="O82" s="89">
        <v>-322822.01</v>
      </c>
      <c r="P82" s="89">
        <v>-168607.62</v>
      </c>
      <c r="Q82" s="89">
        <v>-14260.13</v>
      </c>
      <c r="R82" s="89">
        <v>0</v>
      </c>
      <c r="S82" s="89">
        <v>0</v>
      </c>
      <c r="T82" s="89">
        <v>0</v>
      </c>
      <c r="U82" s="89">
        <v>0</v>
      </c>
      <c r="V82" s="89">
        <v>0</v>
      </c>
      <c r="W82" s="89">
        <v>0</v>
      </c>
      <c r="X82">
        <v>0</v>
      </c>
      <c r="Y82" s="89">
        <v>0</v>
      </c>
      <c r="Z82" s="89">
        <v>0</v>
      </c>
    </row>
    <row r="83" spans="1:26" s="649" customFormat="1" ht="12.75" customHeight="1" x14ac:dyDescent="0.25">
      <c r="C83" s="649" t="s">
        <v>155</v>
      </c>
      <c r="D83" s="649" t="s">
        <v>70</v>
      </c>
      <c r="F83" s="739">
        <v>-1046185.37</v>
      </c>
      <c r="G83" s="650">
        <v>-91219.33</v>
      </c>
      <c r="H83" s="650">
        <v>-38751.51</v>
      </c>
      <c r="I83" s="740">
        <v>-16923.62</v>
      </c>
      <c r="J83" s="650">
        <v>-211175.82</v>
      </c>
      <c r="K83" s="650">
        <v>-8741.75</v>
      </c>
      <c r="L83" s="650">
        <v>0</v>
      </c>
      <c r="M83" s="650">
        <v>-77575.3</v>
      </c>
      <c r="N83" s="650">
        <v>-96108.28</v>
      </c>
      <c r="O83" s="650">
        <v>-322822.01</v>
      </c>
      <c r="P83" s="650">
        <v>-168607.62</v>
      </c>
      <c r="Q83" s="650">
        <v>-14260.13</v>
      </c>
      <c r="R83" s="650">
        <v>0</v>
      </c>
      <c r="S83" s="650">
        <v>0</v>
      </c>
      <c r="T83" s="650">
        <v>0</v>
      </c>
      <c r="U83" s="650">
        <v>0</v>
      </c>
      <c r="V83" s="650">
        <v>0</v>
      </c>
      <c r="W83" s="650">
        <v>0</v>
      </c>
      <c r="X83" s="649">
        <v>0</v>
      </c>
      <c r="Y83" s="650">
        <v>0</v>
      </c>
      <c r="Z83" s="650">
        <v>0</v>
      </c>
    </row>
    <row r="84" spans="1:26" ht="12.75" customHeight="1" x14ac:dyDescent="0.25">
      <c r="E84" t="s">
        <v>72</v>
      </c>
      <c r="F84" s="387">
        <v>-16473.560000000001</v>
      </c>
      <c r="G84" s="89">
        <v>-1493.1</v>
      </c>
      <c r="H84" s="89">
        <v>-634.32000000000005</v>
      </c>
      <c r="I84" s="658">
        <v>-277.02</v>
      </c>
      <c r="J84" s="89">
        <v>-3270.82</v>
      </c>
      <c r="K84" s="89">
        <v>-134.76</v>
      </c>
      <c r="L84" s="89">
        <v>0</v>
      </c>
      <c r="M84" s="89">
        <v>-1182.21</v>
      </c>
      <c r="N84" s="89">
        <v>-1481.89</v>
      </c>
      <c r="O84" s="89">
        <v>-4977.6000000000004</v>
      </c>
      <c r="P84" s="89">
        <v>-2801.97</v>
      </c>
      <c r="Q84" s="89">
        <v>-219.87</v>
      </c>
      <c r="R84" s="89">
        <v>0</v>
      </c>
      <c r="S84" s="89">
        <v>0</v>
      </c>
      <c r="T84" s="89">
        <v>0</v>
      </c>
      <c r="U84" s="89">
        <v>0</v>
      </c>
      <c r="V84" s="89">
        <v>0</v>
      </c>
      <c r="W84" s="89">
        <v>0</v>
      </c>
      <c r="X84">
        <v>0</v>
      </c>
      <c r="Y84" s="89">
        <v>0</v>
      </c>
      <c r="Z84" s="89">
        <v>0</v>
      </c>
    </row>
    <row r="85" spans="1:26" ht="12.75" customHeight="1" x14ac:dyDescent="0.25">
      <c r="D85" t="s">
        <v>118</v>
      </c>
      <c r="E85" t="s">
        <v>70</v>
      </c>
      <c r="F85" s="387">
        <v>-16473.560000000001</v>
      </c>
      <c r="G85" s="89">
        <v>-1493.1</v>
      </c>
      <c r="H85" s="89">
        <v>-634.32000000000005</v>
      </c>
      <c r="I85" s="658">
        <v>-277.02</v>
      </c>
      <c r="J85" s="89">
        <v>-3270.82</v>
      </c>
      <c r="K85" s="89">
        <v>-134.76</v>
      </c>
      <c r="L85" s="89">
        <v>0</v>
      </c>
      <c r="M85" s="89">
        <v>-1182.21</v>
      </c>
      <c r="N85" s="89">
        <v>-1481.89</v>
      </c>
      <c r="O85" s="89">
        <v>-4977.6000000000004</v>
      </c>
      <c r="P85" s="89">
        <v>-2801.97</v>
      </c>
      <c r="Q85" s="89">
        <v>-219.87</v>
      </c>
      <c r="R85" s="89">
        <v>0</v>
      </c>
      <c r="S85" s="89">
        <v>0</v>
      </c>
      <c r="T85" s="89">
        <v>0</v>
      </c>
      <c r="U85" s="89">
        <v>0</v>
      </c>
      <c r="V85" s="89">
        <v>0</v>
      </c>
      <c r="W85" s="89">
        <v>0</v>
      </c>
      <c r="X85">
        <v>0</v>
      </c>
      <c r="Y85" s="89">
        <v>0</v>
      </c>
      <c r="Z85" s="89">
        <v>0</v>
      </c>
    </row>
    <row r="86" spans="1:26" s="760" customFormat="1" ht="12.75" customHeight="1" x14ac:dyDescent="0.25">
      <c r="C86" s="760" t="s">
        <v>120</v>
      </c>
      <c r="D86" s="760" t="s">
        <v>70</v>
      </c>
      <c r="F86" s="761">
        <v>-16473.560000000001</v>
      </c>
      <c r="G86" s="227">
        <v>-1493.1</v>
      </c>
      <c r="H86" s="227">
        <v>-634.32000000000005</v>
      </c>
      <c r="I86" s="762">
        <v>-277.02</v>
      </c>
      <c r="J86" s="227">
        <v>-3270.82</v>
      </c>
      <c r="K86" s="227">
        <v>-134.76</v>
      </c>
      <c r="L86" s="227">
        <v>0</v>
      </c>
      <c r="M86" s="227">
        <v>-1182.21</v>
      </c>
      <c r="N86" s="227">
        <v>-1481.89</v>
      </c>
      <c r="O86" s="227">
        <v>-4977.6000000000004</v>
      </c>
      <c r="P86" s="227">
        <v>-2801.97</v>
      </c>
      <c r="Q86" s="227">
        <v>-219.87</v>
      </c>
      <c r="R86" s="227">
        <v>0</v>
      </c>
      <c r="S86" s="227">
        <v>0</v>
      </c>
      <c r="T86" s="227">
        <v>0</v>
      </c>
      <c r="U86" s="227">
        <v>0</v>
      </c>
      <c r="V86" s="227">
        <v>0</v>
      </c>
      <c r="W86" s="227">
        <v>0</v>
      </c>
      <c r="X86" s="760">
        <v>0</v>
      </c>
      <c r="Y86" s="227">
        <v>0</v>
      </c>
      <c r="Z86" s="227">
        <v>0</v>
      </c>
    </row>
    <row r="87" spans="1:26" ht="12.5" customHeight="1" x14ac:dyDescent="0.25">
      <c r="C87" s="89"/>
      <c r="D87" s="89"/>
      <c r="E87" t="s">
        <v>72</v>
      </c>
      <c r="F87" s="90">
        <v>-57062.45</v>
      </c>
      <c r="G87" s="90">
        <v>-4986.76</v>
      </c>
      <c r="H87" s="90">
        <v>-2118.48</v>
      </c>
      <c r="I87" s="90">
        <v>-925.2</v>
      </c>
      <c r="J87" s="90">
        <v>-11544.09</v>
      </c>
      <c r="K87" s="90">
        <v>-475.66</v>
      </c>
      <c r="L87" s="90">
        <v>0</v>
      </c>
      <c r="M87" s="90">
        <v>-4172.45</v>
      </c>
      <c r="N87" s="90">
        <v>-5230.2299999999996</v>
      </c>
      <c r="O87" s="90">
        <v>-17568</v>
      </c>
      <c r="P87" s="90">
        <v>-9265.5300000000007</v>
      </c>
      <c r="Q87" s="90">
        <v>-776.05</v>
      </c>
      <c r="R87" s="90">
        <v>0</v>
      </c>
      <c r="S87" s="90">
        <v>0</v>
      </c>
      <c r="T87" s="90">
        <v>0</v>
      </c>
      <c r="U87" s="90">
        <v>0</v>
      </c>
      <c r="V87" s="90">
        <v>0</v>
      </c>
      <c r="W87" s="90">
        <v>0</v>
      </c>
      <c r="X87">
        <v>0</v>
      </c>
      <c r="Y87">
        <v>0</v>
      </c>
      <c r="Z87">
        <v>0</v>
      </c>
    </row>
    <row r="88" spans="1:26" ht="12.75" customHeight="1" x14ac:dyDescent="0.25">
      <c r="D88" t="s">
        <v>86</v>
      </c>
      <c r="E88" t="s">
        <v>70</v>
      </c>
      <c r="F88" s="387">
        <v>-57062.45</v>
      </c>
      <c r="G88" s="89">
        <v>-4986.76</v>
      </c>
      <c r="H88" s="89">
        <v>-2118.48</v>
      </c>
      <c r="I88" s="658">
        <v>-925.2</v>
      </c>
      <c r="J88" s="89">
        <v>-11544.09</v>
      </c>
      <c r="K88" s="89">
        <v>-475.66</v>
      </c>
      <c r="L88" s="89">
        <v>0</v>
      </c>
      <c r="M88" s="89">
        <v>-4172.45</v>
      </c>
      <c r="N88" s="89">
        <v>-5230.2299999999996</v>
      </c>
      <c r="O88" s="89">
        <v>-17568</v>
      </c>
      <c r="P88" s="89">
        <v>-9265.5300000000007</v>
      </c>
      <c r="Q88" s="89">
        <v>-776.05</v>
      </c>
      <c r="R88" s="89">
        <v>0</v>
      </c>
      <c r="S88" s="89">
        <v>0</v>
      </c>
      <c r="T88" s="89">
        <v>0</v>
      </c>
      <c r="U88" s="89">
        <v>0</v>
      </c>
      <c r="V88" s="89">
        <v>0</v>
      </c>
      <c r="W88" s="89">
        <v>0</v>
      </c>
      <c r="X88">
        <v>0</v>
      </c>
      <c r="Y88" s="89">
        <v>0</v>
      </c>
      <c r="Z88" s="89">
        <v>0</v>
      </c>
    </row>
    <row r="89" spans="1:26" s="94" customFormat="1" ht="12.75" customHeight="1" x14ac:dyDescent="0.25">
      <c r="C89" s="94" t="s">
        <v>119</v>
      </c>
      <c r="D89" s="94" t="s">
        <v>70</v>
      </c>
      <c r="E89" s="101"/>
      <c r="F89" s="93">
        <v>-57062.45</v>
      </c>
      <c r="G89" s="93">
        <v>-4986.76</v>
      </c>
      <c r="H89" s="93">
        <v>-2118.48</v>
      </c>
      <c r="I89" s="93">
        <v>-925.2</v>
      </c>
      <c r="J89" s="93">
        <v>-11544.09</v>
      </c>
      <c r="K89" s="93">
        <v>-475.66</v>
      </c>
      <c r="L89" s="93">
        <v>0</v>
      </c>
      <c r="M89" s="93">
        <v>-4172.45</v>
      </c>
      <c r="N89" s="93">
        <v>-5230.2299999999996</v>
      </c>
      <c r="O89" s="93">
        <v>-17568</v>
      </c>
      <c r="P89" s="93">
        <v>-9265.5300000000007</v>
      </c>
      <c r="Q89" s="93">
        <v>-776.05</v>
      </c>
      <c r="R89" s="93">
        <v>0</v>
      </c>
      <c r="S89" s="93">
        <v>0</v>
      </c>
      <c r="T89" s="93">
        <v>0</v>
      </c>
      <c r="U89" s="93">
        <v>0</v>
      </c>
      <c r="V89" s="93">
        <v>0</v>
      </c>
      <c r="W89" s="93">
        <v>0</v>
      </c>
      <c r="X89" s="94">
        <v>0</v>
      </c>
      <c r="Y89" s="94">
        <v>0</v>
      </c>
      <c r="Z89" s="94">
        <v>0</v>
      </c>
    </row>
    <row r="90" spans="1:26" ht="12.75" customHeight="1" x14ac:dyDescent="0.25">
      <c r="B90" t="s">
        <v>112</v>
      </c>
      <c r="C90" t="s">
        <v>70</v>
      </c>
      <c r="E90" s="89"/>
      <c r="F90" s="90">
        <v>-1119721.3799999999</v>
      </c>
      <c r="G90" s="90">
        <v>-97699.19</v>
      </c>
      <c r="H90" s="90">
        <v>-41504.31</v>
      </c>
      <c r="I90" s="90">
        <v>-18125.84</v>
      </c>
      <c r="J90" s="90">
        <v>-225990.73</v>
      </c>
      <c r="K90" s="90">
        <v>-9352.17</v>
      </c>
      <c r="L90" s="90">
        <v>0</v>
      </c>
      <c r="M90" s="90">
        <v>-82929.960000000006</v>
      </c>
      <c r="N90" s="90">
        <v>-102820.4</v>
      </c>
      <c r="O90" s="90">
        <v>-345367.61</v>
      </c>
      <c r="P90" s="90">
        <v>-180675.12</v>
      </c>
      <c r="Q90" s="90">
        <v>-15256.05</v>
      </c>
      <c r="R90" s="90">
        <v>0</v>
      </c>
      <c r="S90" s="90">
        <v>0</v>
      </c>
      <c r="T90" s="90">
        <v>0</v>
      </c>
      <c r="U90" s="90">
        <v>0</v>
      </c>
      <c r="V90" s="90">
        <v>0</v>
      </c>
      <c r="W90" s="90">
        <v>0</v>
      </c>
      <c r="X90">
        <v>0</v>
      </c>
      <c r="Y90">
        <v>0</v>
      </c>
      <c r="Z90">
        <v>0</v>
      </c>
    </row>
    <row r="91" spans="1:26" s="461" customFormat="1" x14ac:dyDescent="0.25">
      <c r="A91" s="461" t="s">
        <v>185</v>
      </c>
      <c r="B91" s="462" t="s">
        <v>70</v>
      </c>
      <c r="C91" s="462"/>
      <c r="F91" s="463">
        <v>-1119721.3799999999</v>
      </c>
      <c r="G91" s="463">
        <v>-97699.19</v>
      </c>
      <c r="H91" s="463">
        <v>-41504.31</v>
      </c>
      <c r="I91" s="463">
        <v>-18125.84</v>
      </c>
      <c r="J91" s="463">
        <v>-225990.73</v>
      </c>
      <c r="K91" s="463">
        <v>-9352.17</v>
      </c>
      <c r="L91" s="463">
        <v>0</v>
      </c>
      <c r="M91" s="463">
        <v>-82929.960000000006</v>
      </c>
      <c r="N91" s="463">
        <v>-102820.4</v>
      </c>
      <c r="O91" s="463">
        <v>-345367.61</v>
      </c>
      <c r="P91" s="463">
        <v>-180675.12</v>
      </c>
      <c r="Q91" s="463">
        <v>-15256.05</v>
      </c>
      <c r="R91" s="463">
        <v>0</v>
      </c>
      <c r="S91" s="463">
        <v>0</v>
      </c>
      <c r="T91" s="463">
        <v>0</v>
      </c>
      <c r="U91" s="463">
        <v>0</v>
      </c>
      <c r="V91" s="463">
        <v>0</v>
      </c>
      <c r="W91" s="463">
        <v>0</v>
      </c>
      <c r="X91" s="463">
        <v>0</v>
      </c>
      <c r="Y91" s="463">
        <v>0</v>
      </c>
      <c r="Z91" s="463">
        <v>0</v>
      </c>
    </row>
    <row r="92" spans="1:26" ht="12.75" customHeight="1" x14ac:dyDescent="0.25">
      <c r="E92" s="89" t="s">
        <v>72</v>
      </c>
      <c r="F92" s="374">
        <v>16314207602.790001</v>
      </c>
      <c r="G92" s="90">
        <v>951515068.48000002</v>
      </c>
      <c r="H92" s="90">
        <v>528521902.95999998</v>
      </c>
      <c r="I92" s="90">
        <v>275473863.94999999</v>
      </c>
      <c r="J92" s="90">
        <v>3804186056.3899999</v>
      </c>
      <c r="K92" s="90">
        <v>145126487.11000001</v>
      </c>
      <c r="L92" s="90">
        <v>23299357.66</v>
      </c>
      <c r="M92" s="90">
        <v>1275699192.55</v>
      </c>
      <c r="N92" s="90">
        <v>1273183616.4000001</v>
      </c>
      <c r="O92" s="90">
        <v>5943372481.9099998</v>
      </c>
      <c r="P92" s="90">
        <v>1856399071.53</v>
      </c>
      <c r="Q92" s="90">
        <v>237445556.11000001</v>
      </c>
      <c r="R92" s="90">
        <v>-15052.26</v>
      </c>
      <c r="S92" s="90">
        <v>0</v>
      </c>
      <c r="T92" s="90">
        <v>0</v>
      </c>
      <c r="U92" s="90">
        <v>0</v>
      </c>
      <c r="V92" s="90">
        <v>0</v>
      </c>
      <c r="W92" s="90">
        <v>0</v>
      </c>
      <c r="X92">
        <v>0</v>
      </c>
      <c r="Y92">
        <v>0</v>
      </c>
      <c r="Z92">
        <v>0</v>
      </c>
    </row>
    <row r="93" spans="1:26" ht="12.75" customHeight="1" x14ac:dyDescent="0.25">
      <c r="E93" s="89" t="s">
        <v>81</v>
      </c>
      <c r="F93" s="374">
        <v>108871351.95</v>
      </c>
      <c r="G93" s="90">
        <v>12946605.51</v>
      </c>
      <c r="H93" s="90">
        <v>5915805.2699999996</v>
      </c>
      <c r="I93" s="90">
        <v>2579809.66</v>
      </c>
      <c r="J93" s="90">
        <v>20057774.890000001</v>
      </c>
      <c r="K93" s="90">
        <v>708344.44</v>
      </c>
      <c r="L93" s="90">
        <v>17761.05</v>
      </c>
      <c r="M93" s="90">
        <v>6224482.2800000003</v>
      </c>
      <c r="N93" s="90">
        <v>7418679.6799999997</v>
      </c>
      <c r="O93" s="90">
        <v>26472036.649999999</v>
      </c>
      <c r="P93" s="90">
        <v>25373909.510000002</v>
      </c>
      <c r="Q93" s="90">
        <v>1156004.55</v>
      </c>
      <c r="R93" s="90">
        <v>259.58</v>
      </c>
      <c r="S93" s="90">
        <v>-3.99</v>
      </c>
      <c r="T93" s="90">
        <v>1.23</v>
      </c>
      <c r="U93" s="90">
        <v>0</v>
      </c>
      <c r="V93" s="90">
        <v>0</v>
      </c>
      <c r="W93" s="90">
        <v>0</v>
      </c>
      <c r="X93">
        <v>0</v>
      </c>
      <c r="Y93">
        <v>0</v>
      </c>
      <c r="Z93">
        <v>-118.36</v>
      </c>
    </row>
    <row r="94" spans="1:26" ht="12.75" customHeight="1" x14ac:dyDescent="0.25">
      <c r="D94" t="s">
        <v>156</v>
      </c>
      <c r="E94" s="89" t="s">
        <v>70</v>
      </c>
      <c r="F94" s="374">
        <v>16423078954.74</v>
      </c>
      <c r="G94" s="90">
        <v>964461673.99000001</v>
      </c>
      <c r="H94" s="90">
        <v>534437708.23000002</v>
      </c>
      <c r="I94" s="90">
        <v>278053673.61000001</v>
      </c>
      <c r="J94" s="90">
        <v>3824243831.2800002</v>
      </c>
      <c r="K94" s="90">
        <v>145834831.55000001</v>
      </c>
      <c r="L94" s="90">
        <v>23317118.710000001</v>
      </c>
      <c r="M94" s="90">
        <v>1281923674.8299999</v>
      </c>
      <c r="N94" s="90">
        <v>1280602296.0799999</v>
      </c>
      <c r="O94" s="90">
        <v>5969844518.5600004</v>
      </c>
      <c r="P94" s="90">
        <v>1881772981.04</v>
      </c>
      <c r="Q94" s="90">
        <v>238601560.66</v>
      </c>
      <c r="R94" s="90">
        <v>-14792.68</v>
      </c>
      <c r="S94" s="90">
        <v>-3.99</v>
      </c>
      <c r="T94" s="90">
        <v>1.23</v>
      </c>
      <c r="U94" s="90">
        <v>0</v>
      </c>
      <c r="V94" s="90">
        <v>0</v>
      </c>
      <c r="W94" s="90">
        <v>0</v>
      </c>
      <c r="X94">
        <v>0</v>
      </c>
      <c r="Y94">
        <v>0</v>
      </c>
      <c r="Z94">
        <v>-118.36</v>
      </c>
    </row>
    <row r="95" spans="1:26" s="649" customFormat="1" ht="12.75" customHeight="1" x14ac:dyDescent="0.25">
      <c r="C95" s="649" t="s">
        <v>155</v>
      </c>
      <c r="D95" s="649" t="s">
        <v>70</v>
      </c>
      <c r="E95" s="650"/>
      <c r="F95" s="738">
        <v>16423078954.74</v>
      </c>
      <c r="G95" s="651">
        <v>964461673.99000001</v>
      </c>
      <c r="H95" s="651">
        <v>534437708.23000002</v>
      </c>
      <c r="I95" s="651">
        <v>278053673.61000001</v>
      </c>
      <c r="J95" s="651">
        <v>3824243831.2800002</v>
      </c>
      <c r="K95" s="651">
        <v>145834831.55000001</v>
      </c>
      <c r="L95" s="651">
        <v>23317118.710000001</v>
      </c>
      <c r="M95" s="651">
        <v>1281923674.8299999</v>
      </c>
      <c r="N95" s="651">
        <v>1280602296.0799999</v>
      </c>
      <c r="O95" s="651">
        <v>5969844518.5600004</v>
      </c>
      <c r="P95" s="651">
        <v>1881772981.04</v>
      </c>
      <c r="Q95" s="651">
        <v>238601560.66</v>
      </c>
      <c r="R95" s="651">
        <v>-14792.68</v>
      </c>
      <c r="S95" s="651">
        <v>-3.99</v>
      </c>
      <c r="T95" s="651">
        <v>1.23</v>
      </c>
      <c r="U95" s="651">
        <v>0</v>
      </c>
      <c r="V95" s="651">
        <v>0</v>
      </c>
      <c r="W95" s="651">
        <v>0</v>
      </c>
      <c r="X95" s="649">
        <v>0</v>
      </c>
      <c r="Y95" s="649">
        <v>0</v>
      </c>
      <c r="Z95" s="649">
        <v>-118.36</v>
      </c>
    </row>
    <row r="96" spans="1:26" ht="12.75" customHeight="1" x14ac:dyDescent="0.25">
      <c r="D96" s="89"/>
      <c r="E96" s="89" t="s">
        <v>72</v>
      </c>
      <c r="F96" s="90">
        <v>2793830.65</v>
      </c>
      <c r="G96" s="90">
        <v>183700.22</v>
      </c>
      <c r="H96" s="90">
        <v>89369.61</v>
      </c>
      <c r="I96" s="90">
        <v>48325.39</v>
      </c>
      <c r="J96" s="90">
        <v>675666.11</v>
      </c>
      <c r="K96" s="90">
        <v>21056.87</v>
      </c>
      <c r="L96" s="90">
        <v>0</v>
      </c>
      <c r="M96" s="90">
        <v>184710.54</v>
      </c>
      <c r="N96" s="90">
        <v>221403.18</v>
      </c>
      <c r="O96" s="90">
        <v>967920.99</v>
      </c>
      <c r="P96" s="90">
        <v>367343.89</v>
      </c>
      <c r="Q96" s="90">
        <v>34356.29</v>
      </c>
      <c r="R96" s="90">
        <v>-22.44</v>
      </c>
      <c r="S96" s="90">
        <v>0</v>
      </c>
      <c r="T96" s="90">
        <v>0</v>
      </c>
      <c r="U96" s="90">
        <v>0</v>
      </c>
      <c r="V96" s="90">
        <v>0</v>
      </c>
      <c r="W96" s="90">
        <v>0</v>
      </c>
      <c r="X96">
        <v>0</v>
      </c>
      <c r="Y96">
        <v>0</v>
      </c>
      <c r="Z96">
        <v>0</v>
      </c>
    </row>
    <row r="97" spans="3:26" ht="12.75" customHeight="1" x14ac:dyDescent="0.25">
      <c r="D97" s="89"/>
      <c r="E97" s="89" t="s">
        <v>81</v>
      </c>
      <c r="F97" s="90">
        <v>19935.41</v>
      </c>
      <c r="G97" s="90">
        <v>2043.67</v>
      </c>
      <c r="H97" s="90">
        <v>992.48</v>
      </c>
      <c r="I97" s="90">
        <v>555.41999999999996</v>
      </c>
      <c r="J97" s="90">
        <v>4248.25</v>
      </c>
      <c r="K97" s="90">
        <v>115.41</v>
      </c>
      <c r="L97" s="90">
        <v>0</v>
      </c>
      <c r="M97" s="90">
        <v>1012.75</v>
      </c>
      <c r="N97" s="90">
        <v>1184.9000000000001</v>
      </c>
      <c r="O97" s="90">
        <v>5496.69</v>
      </c>
      <c r="P97" s="90">
        <v>4097.45</v>
      </c>
      <c r="Q97" s="90">
        <v>188.34</v>
      </c>
      <c r="R97" s="90">
        <v>0.05</v>
      </c>
      <c r="S97" s="90">
        <v>0</v>
      </c>
      <c r="T97" s="90">
        <v>0</v>
      </c>
      <c r="U97" s="90">
        <v>0</v>
      </c>
      <c r="V97" s="90">
        <v>0</v>
      </c>
      <c r="W97" s="90">
        <v>0</v>
      </c>
      <c r="X97">
        <v>0</v>
      </c>
      <c r="Y97">
        <v>0</v>
      </c>
      <c r="Z97">
        <v>0</v>
      </c>
    </row>
    <row r="98" spans="3:26" ht="12.75" customHeight="1" x14ac:dyDescent="0.25">
      <c r="D98" t="s">
        <v>115</v>
      </c>
      <c r="E98" s="89" t="s">
        <v>70</v>
      </c>
      <c r="F98" s="90">
        <v>2813766.06</v>
      </c>
      <c r="G98" s="90">
        <v>185743.89</v>
      </c>
      <c r="H98" s="90">
        <v>90362.09</v>
      </c>
      <c r="I98" s="90">
        <v>48880.81</v>
      </c>
      <c r="J98" s="90">
        <v>679914.36</v>
      </c>
      <c r="K98" s="90">
        <v>21172.28</v>
      </c>
      <c r="L98" s="90">
        <v>0</v>
      </c>
      <c r="M98" s="90">
        <v>185723.29</v>
      </c>
      <c r="N98" s="90">
        <v>222588.08</v>
      </c>
      <c r="O98" s="90">
        <v>973417.68</v>
      </c>
      <c r="P98" s="90">
        <v>371441.34</v>
      </c>
      <c r="Q98" s="90">
        <v>34544.629999999997</v>
      </c>
      <c r="R98" s="90">
        <v>-22.39</v>
      </c>
      <c r="S98" s="90">
        <v>0</v>
      </c>
      <c r="T98" s="90">
        <v>0</v>
      </c>
      <c r="U98" s="90">
        <v>0</v>
      </c>
      <c r="V98" s="90">
        <v>0</v>
      </c>
      <c r="W98" s="90">
        <v>0</v>
      </c>
      <c r="X98">
        <v>0</v>
      </c>
      <c r="Y98">
        <v>0</v>
      </c>
      <c r="Z98">
        <v>0</v>
      </c>
    </row>
    <row r="99" spans="3:26" ht="12.75" customHeight="1" x14ac:dyDescent="0.25">
      <c r="D99" s="89"/>
      <c r="E99" s="89" t="s">
        <v>72</v>
      </c>
      <c r="F99" s="90">
        <v>15556995.880000001</v>
      </c>
      <c r="G99" s="90">
        <v>906855.52</v>
      </c>
      <c r="H99" s="90">
        <v>477150.29</v>
      </c>
      <c r="I99" s="90">
        <v>245091.03</v>
      </c>
      <c r="J99" s="90">
        <v>3757740.21</v>
      </c>
      <c r="K99" s="90">
        <v>130011.87</v>
      </c>
      <c r="L99" s="90">
        <v>0</v>
      </c>
      <c r="M99" s="90">
        <v>1141338.06</v>
      </c>
      <c r="N99" s="90">
        <v>1242665.8500000001</v>
      </c>
      <c r="O99" s="90">
        <v>5691716.0499999998</v>
      </c>
      <c r="P99" s="90">
        <v>1752231</v>
      </c>
      <c r="Q99" s="90">
        <v>212228.37</v>
      </c>
      <c r="R99" s="90">
        <v>-32.369999999999997</v>
      </c>
      <c r="S99" s="90">
        <v>0</v>
      </c>
      <c r="T99" s="90">
        <v>0</v>
      </c>
      <c r="U99" s="90">
        <v>0</v>
      </c>
      <c r="V99" s="90">
        <v>0</v>
      </c>
      <c r="W99" s="90">
        <v>0</v>
      </c>
      <c r="X99">
        <v>0</v>
      </c>
      <c r="Y99">
        <v>0</v>
      </c>
      <c r="Z99">
        <v>0</v>
      </c>
    </row>
    <row r="100" spans="3:26" ht="12.75" customHeight="1" x14ac:dyDescent="0.25">
      <c r="E100" s="89" t="s">
        <v>81</v>
      </c>
      <c r="F100" s="90">
        <v>532474.38</v>
      </c>
      <c r="G100" s="90">
        <v>54438.68</v>
      </c>
      <c r="H100" s="90">
        <v>25649.66</v>
      </c>
      <c r="I100" s="90">
        <v>10870.44</v>
      </c>
      <c r="J100" s="90">
        <v>111667.2</v>
      </c>
      <c r="K100" s="90">
        <v>3936.77</v>
      </c>
      <c r="L100" s="90">
        <v>0</v>
      </c>
      <c r="M100" s="90">
        <v>34539.11</v>
      </c>
      <c r="N100" s="90">
        <v>42873.9</v>
      </c>
      <c r="O100" s="90">
        <v>140567.45000000001</v>
      </c>
      <c r="P100" s="90">
        <v>101505.72</v>
      </c>
      <c r="Q100" s="90">
        <v>6424.9</v>
      </c>
      <c r="R100" s="90">
        <v>0.55000000000000004</v>
      </c>
      <c r="S100" s="90">
        <v>0</v>
      </c>
      <c r="T100" s="90">
        <v>0</v>
      </c>
      <c r="U100" s="90">
        <v>0</v>
      </c>
      <c r="V100" s="90">
        <v>0</v>
      </c>
      <c r="W100" s="90">
        <v>0</v>
      </c>
      <c r="X100">
        <v>0</v>
      </c>
      <c r="Y100">
        <v>0</v>
      </c>
      <c r="Z100">
        <v>0</v>
      </c>
    </row>
    <row r="101" spans="3:26" ht="12.75" customHeight="1" x14ac:dyDescent="0.25">
      <c r="D101" t="s">
        <v>118</v>
      </c>
      <c r="E101" s="89" t="s">
        <v>70</v>
      </c>
      <c r="F101" s="90">
        <v>16089470.26</v>
      </c>
      <c r="G101" s="90">
        <v>961294.2</v>
      </c>
      <c r="H101" s="90">
        <v>502799.95</v>
      </c>
      <c r="I101" s="90">
        <v>255961.47</v>
      </c>
      <c r="J101" s="90">
        <v>3869407.41</v>
      </c>
      <c r="K101" s="90">
        <v>133948.64000000001</v>
      </c>
      <c r="L101" s="90">
        <v>0</v>
      </c>
      <c r="M101" s="90">
        <v>1175877.17</v>
      </c>
      <c r="N101" s="90">
        <v>1285539.75</v>
      </c>
      <c r="O101" s="90">
        <v>5832283.5</v>
      </c>
      <c r="P101" s="90">
        <v>1853736.72</v>
      </c>
      <c r="Q101" s="90">
        <v>218653.27</v>
      </c>
      <c r="R101" s="90">
        <v>-31.82</v>
      </c>
      <c r="S101" s="90">
        <v>0</v>
      </c>
      <c r="T101" s="90">
        <v>0</v>
      </c>
      <c r="U101" s="90">
        <v>0</v>
      </c>
      <c r="V101" s="90">
        <v>0</v>
      </c>
      <c r="W101" s="90">
        <v>0</v>
      </c>
      <c r="X101">
        <v>0</v>
      </c>
      <c r="Y101">
        <v>0</v>
      </c>
      <c r="Z101">
        <v>0</v>
      </c>
    </row>
    <row r="102" spans="3:26" s="224" customFormat="1" ht="12.75" customHeight="1" x14ac:dyDescent="0.25">
      <c r="C102" s="223" t="s">
        <v>120</v>
      </c>
      <c r="D102" s="223" t="s">
        <v>70</v>
      </c>
      <c r="F102" s="225">
        <v>18903236.32</v>
      </c>
      <c r="G102" s="225">
        <v>1147038.0900000001</v>
      </c>
      <c r="H102" s="225">
        <v>593162.04</v>
      </c>
      <c r="I102" s="225">
        <v>304842.28000000003</v>
      </c>
      <c r="J102" s="225">
        <v>4549321.7699999996</v>
      </c>
      <c r="K102" s="225">
        <v>155120.92000000001</v>
      </c>
      <c r="L102" s="225">
        <v>0</v>
      </c>
      <c r="M102" s="225">
        <v>1361600.46</v>
      </c>
      <c r="N102" s="225">
        <v>1508127.83</v>
      </c>
      <c r="O102" s="225">
        <v>6805701.1799999997</v>
      </c>
      <c r="P102" s="225">
        <v>2225178.06</v>
      </c>
      <c r="Q102" s="225">
        <v>253197.9</v>
      </c>
      <c r="R102" s="225">
        <v>-54.21</v>
      </c>
      <c r="S102" s="225">
        <v>0</v>
      </c>
      <c r="T102" s="225">
        <v>0</v>
      </c>
      <c r="U102" s="225">
        <v>0</v>
      </c>
      <c r="V102" s="225">
        <v>0</v>
      </c>
      <c r="W102" s="225">
        <v>0</v>
      </c>
      <c r="X102" s="224">
        <v>0</v>
      </c>
      <c r="Y102" s="224">
        <v>0</v>
      </c>
      <c r="Z102" s="224">
        <v>0</v>
      </c>
    </row>
    <row r="103" spans="3:26" ht="12.75" customHeight="1" x14ac:dyDescent="0.25">
      <c r="C103" s="89"/>
      <c r="D103" s="89"/>
      <c r="E103" t="s">
        <v>72</v>
      </c>
      <c r="F103" s="90">
        <v>92091468.530000001</v>
      </c>
      <c r="G103" s="90">
        <v>5700742.0899999999</v>
      </c>
      <c r="H103" s="90">
        <v>3218713.67</v>
      </c>
      <c r="I103" s="90">
        <v>1723015.45</v>
      </c>
      <c r="J103" s="90">
        <v>22316123.030000001</v>
      </c>
      <c r="K103" s="90">
        <v>580773.74</v>
      </c>
      <c r="L103" s="90">
        <v>0</v>
      </c>
      <c r="M103" s="90">
        <v>5106713.49</v>
      </c>
      <c r="N103" s="90">
        <v>7329496.8799999999</v>
      </c>
      <c r="O103" s="90">
        <v>33820604.130000003</v>
      </c>
      <c r="P103" s="90">
        <v>11341910.949999999</v>
      </c>
      <c r="Q103" s="90">
        <v>953919.19</v>
      </c>
      <c r="R103" s="90">
        <v>-544.09</v>
      </c>
      <c r="S103" s="90">
        <v>0</v>
      </c>
      <c r="T103" s="90">
        <v>0</v>
      </c>
      <c r="U103" s="90">
        <v>0</v>
      </c>
      <c r="V103" s="90">
        <v>0</v>
      </c>
      <c r="W103" s="90">
        <v>0</v>
      </c>
      <c r="X103">
        <v>0</v>
      </c>
      <c r="Y103">
        <v>0</v>
      </c>
      <c r="Z103">
        <v>0</v>
      </c>
    </row>
    <row r="104" spans="3:26" ht="12.75" customHeight="1" x14ac:dyDescent="0.25">
      <c r="C104" s="89"/>
      <c r="D104" s="89"/>
      <c r="E104" t="s">
        <v>81</v>
      </c>
      <c r="F104" s="90">
        <v>461993.92</v>
      </c>
      <c r="G104" s="90">
        <v>40365.839999999997</v>
      </c>
      <c r="H104" s="90">
        <v>20104.669999999998</v>
      </c>
      <c r="I104" s="90">
        <v>11175.93</v>
      </c>
      <c r="J104" s="90">
        <v>99859.49</v>
      </c>
      <c r="K104" s="90">
        <v>2757.39</v>
      </c>
      <c r="L104" s="90">
        <v>0</v>
      </c>
      <c r="M104" s="90">
        <v>23994.83</v>
      </c>
      <c r="N104" s="90">
        <v>31896.67</v>
      </c>
      <c r="O104" s="90">
        <v>149946.68</v>
      </c>
      <c r="P104" s="90">
        <v>77393.45</v>
      </c>
      <c r="Q104" s="90">
        <v>4501.53</v>
      </c>
      <c r="R104" s="90">
        <v>-2.56</v>
      </c>
      <c r="S104" s="90">
        <v>0</v>
      </c>
      <c r="T104" s="90">
        <v>0</v>
      </c>
      <c r="U104" s="90">
        <v>0</v>
      </c>
      <c r="V104" s="90">
        <v>0</v>
      </c>
      <c r="W104" s="90">
        <v>0</v>
      </c>
      <c r="X104">
        <v>0</v>
      </c>
      <c r="Y104">
        <v>0</v>
      </c>
      <c r="Z104">
        <v>0</v>
      </c>
    </row>
    <row r="105" spans="3:26" ht="12.75" customHeight="1" x14ac:dyDescent="0.25">
      <c r="D105" t="s">
        <v>82</v>
      </c>
      <c r="E105" s="89" t="s">
        <v>70</v>
      </c>
      <c r="F105" s="90">
        <v>92553462.450000003</v>
      </c>
      <c r="G105" s="90">
        <v>5741107.9299999997</v>
      </c>
      <c r="H105" s="90">
        <v>3238818.34</v>
      </c>
      <c r="I105" s="90">
        <v>1734191.38</v>
      </c>
      <c r="J105" s="90">
        <v>22415982.52</v>
      </c>
      <c r="K105" s="90">
        <v>583531.13</v>
      </c>
      <c r="L105" s="90">
        <v>0</v>
      </c>
      <c r="M105" s="90">
        <v>5130708.32</v>
      </c>
      <c r="N105" s="90">
        <v>7361393.5499999998</v>
      </c>
      <c r="O105" s="90">
        <v>33970550.810000002</v>
      </c>
      <c r="P105" s="90">
        <v>11419304.4</v>
      </c>
      <c r="Q105" s="90">
        <v>958420.72</v>
      </c>
      <c r="R105" s="90">
        <v>-546.65</v>
      </c>
      <c r="S105" s="90">
        <v>0</v>
      </c>
      <c r="T105" s="90">
        <v>0</v>
      </c>
      <c r="U105" s="90">
        <v>0</v>
      </c>
      <c r="V105" s="90">
        <v>0</v>
      </c>
      <c r="W105" s="90">
        <v>0</v>
      </c>
      <c r="X105">
        <v>0</v>
      </c>
      <c r="Y105">
        <v>0</v>
      </c>
      <c r="Z105">
        <v>0</v>
      </c>
    </row>
    <row r="106" spans="3:26" ht="12.75" customHeight="1" x14ac:dyDescent="0.25">
      <c r="E106" s="89" t="s">
        <v>72</v>
      </c>
      <c r="F106" s="90">
        <v>136334172.27000001</v>
      </c>
      <c r="G106" s="90">
        <v>13504607.77</v>
      </c>
      <c r="H106" s="90">
        <v>7144893.7599999998</v>
      </c>
      <c r="I106" s="90">
        <v>3636218.55</v>
      </c>
      <c r="J106" s="90">
        <v>25044743.190000001</v>
      </c>
      <c r="K106" s="90">
        <v>879698.86</v>
      </c>
      <c r="L106" s="90">
        <v>3139000</v>
      </c>
      <c r="M106" s="90">
        <v>7792515.8499999996</v>
      </c>
      <c r="N106" s="90">
        <v>8946101.6999999993</v>
      </c>
      <c r="O106" s="90">
        <v>38207275.93</v>
      </c>
      <c r="P106" s="90">
        <v>26597253.190000001</v>
      </c>
      <c r="Q106" s="90">
        <v>1442290.7</v>
      </c>
      <c r="R106" s="90">
        <v>-427.23</v>
      </c>
      <c r="S106" s="90">
        <v>0</v>
      </c>
      <c r="T106" s="90">
        <v>0</v>
      </c>
      <c r="U106" s="90">
        <v>0</v>
      </c>
      <c r="V106" s="90">
        <v>0</v>
      </c>
      <c r="W106" s="90">
        <v>0</v>
      </c>
      <c r="X106">
        <v>0</v>
      </c>
      <c r="Y106">
        <v>0</v>
      </c>
      <c r="Z106">
        <v>0</v>
      </c>
    </row>
    <row r="107" spans="3:26" ht="12.75" customHeight="1" x14ac:dyDescent="0.25">
      <c r="D107" s="89"/>
      <c r="E107" s="89" t="s">
        <v>81</v>
      </c>
      <c r="F107" s="90">
        <v>6368193.5999999996</v>
      </c>
      <c r="G107" s="90">
        <v>809166.87</v>
      </c>
      <c r="H107" s="90">
        <v>387770.76</v>
      </c>
      <c r="I107" s="90">
        <v>176730.68</v>
      </c>
      <c r="J107" s="90">
        <v>1124122.3899999999</v>
      </c>
      <c r="K107" s="90">
        <v>37781.040000000001</v>
      </c>
      <c r="L107" s="90">
        <v>25063.1</v>
      </c>
      <c r="M107" s="90">
        <v>330975.59000000003</v>
      </c>
      <c r="N107" s="90">
        <v>400076.03</v>
      </c>
      <c r="O107" s="90">
        <v>1459319.25</v>
      </c>
      <c r="P107" s="90">
        <v>1555514.04</v>
      </c>
      <c r="Q107" s="90">
        <v>61661.2</v>
      </c>
      <c r="R107" s="90">
        <v>0.5</v>
      </c>
      <c r="S107" s="90">
        <v>13.08</v>
      </c>
      <c r="T107" s="90">
        <v>0.18</v>
      </c>
      <c r="U107" s="90">
        <v>0</v>
      </c>
      <c r="V107" s="90">
        <v>0</v>
      </c>
      <c r="W107" s="90">
        <v>0</v>
      </c>
      <c r="X107">
        <v>0</v>
      </c>
      <c r="Y107">
        <v>0</v>
      </c>
      <c r="Z107">
        <v>-1.1100000000000001</v>
      </c>
    </row>
    <row r="108" spans="3:26" ht="12.75" customHeight="1" x14ac:dyDescent="0.25">
      <c r="D108" t="s">
        <v>86</v>
      </c>
      <c r="E108" s="89" t="s">
        <v>70</v>
      </c>
      <c r="F108" s="90">
        <v>142702365.87</v>
      </c>
      <c r="G108" s="90">
        <v>14313774.640000001</v>
      </c>
      <c r="H108" s="90">
        <v>7532664.5199999996</v>
      </c>
      <c r="I108" s="90">
        <v>3812949.23</v>
      </c>
      <c r="J108" s="90">
        <v>26168865.579999998</v>
      </c>
      <c r="K108" s="90">
        <v>917479.9</v>
      </c>
      <c r="L108" s="90">
        <v>3164063.1</v>
      </c>
      <c r="M108" s="90">
        <v>8123491.4400000004</v>
      </c>
      <c r="N108" s="90">
        <v>9346177.7300000004</v>
      </c>
      <c r="O108" s="90">
        <v>39666595.18</v>
      </c>
      <c r="P108" s="90">
        <v>28152767.23</v>
      </c>
      <c r="Q108" s="90">
        <v>1503951.9</v>
      </c>
      <c r="R108" s="90">
        <v>-426.73</v>
      </c>
      <c r="S108" s="90">
        <v>13.08</v>
      </c>
      <c r="T108" s="90">
        <v>0.18</v>
      </c>
      <c r="U108" s="90">
        <v>0</v>
      </c>
      <c r="V108" s="90">
        <v>0</v>
      </c>
      <c r="W108" s="90">
        <v>0</v>
      </c>
      <c r="X108">
        <v>0</v>
      </c>
      <c r="Y108">
        <v>0</v>
      </c>
      <c r="Z108">
        <v>-1.1100000000000001</v>
      </c>
    </row>
    <row r="109" spans="3:26" ht="12.75" customHeight="1" x14ac:dyDescent="0.25">
      <c r="E109" s="89" t="s">
        <v>72</v>
      </c>
      <c r="F109" s="90">
        <v>174471804.71000001</v>
      </c>
      <c r="G109" s="90">
        <v>29959757.289999999</v>
      </c>
      <c r="H109" s="90">
        <v>16875021.870000001</v>
      </c>
      <c r="I109" s="90">
        <v>8893691.3000000007</v>
      </c>
      <c r="J109" s="90">
        <v>18333754.699999999</v>
      </c>
      <c r="K109" s="90">
        <v>428407.94</v>
      </c>
      <c r="L109" s="90">
        <v>5256000</v>
      </c>
      <c r="M109" s="90">
        <v>3787835.97</v>
      </c>
      <c r="N109" s="90">
        <v>5386608.7199999997</v>
      </c>
      <c r="O109" s="90">
        <v>25200362.68</v>
      </c>
      <c r="P109" s="90">
        <v>59642588.490000002</v>
      </c>
      <c r="Q109" s="90">
        <v>707849.71</v>
      </c>
      <c r="R109" s="90">
        <v>-73.959999999999994</v>
      </c>
      <c r="S109" s="90">
        <v>0</v>
      </c>
      <c r="T109" s="90">
        <v>0</v>
      </c>
      <c r="U109" s="90">
        <v>0</v>
      </c>
      <c r="V109" s="90">
        <v>0</v>
      </c>
      <c r="W109" s="90">
        <v>0</v>
      </c>
      <c r="X109">
        <v>0</v>
      </c>
      <c r="Y109">
        <v>0</v>
      </c>
      <c r="Z109">
        <v>0</v>
      </c>
    </row>
    <row r="110" spans="3:26" ht="12.75" customHeight="1" x14ac:dyDescent="0.25">
      <c r="D110" s="89"/>
      <c r="E110" s="89" t="s">
        <v>81</v>
      </c>
      <c r="F110" s="90">
        <v>1310407.8799999999</v>
      </c>
      <c r="G110" s="90">
        <v>244581.12</v>
      </c>
      <c r="H110" s="90">
        <v>133735.29</v>
      </c>
      <c r="I110" s="90">
        <v>69359.72</v>
      </c>
      <c r="J110" s="90">
        <v>111129.64</v>
      </c>
      <c r="K110" s="90">
        <v>3614.72</v>
      </c>
      <c r="L110" s="90">
        <v>0</v>
      </c>
      <c r="M110" s="90">
        <v>31543.09</v>
      </c>
      <c r="N110" s="90">
        <v>42996.83</v>
      </c>
      <c r="O110" s="90">
        <v>184629.13</v>
      </c>
      <c r="P110" s="90">
        <v>482915.58</v>
      </c>
      <c r="Q110" s="90">
        <v>5897.64</v>
      </c>
      <c r="R110" s="90">
        <v>4.99</v>
      </c>
      <c r="S110" s="90">
        <v>0.13</v>
      </c>
      <c r="T110" s="90">
        <v>0</v>
      </c>
      <c r="U110" s="90">
        <v>0</v>
      </c>
      <c r="V110" s="90">
        <v>0</v>
      </c>
      <c r="W110" s="90">
        <v>0</v>
      </c>
      <c r="X110">
        <v>0</v>
      </c>
      <c r="Y110">
        <v>0</v>
      </c>
      <c r="Z110">
        <v>0</v>
      </c>
    </row>
    <row r="111" spans="3:26" ht="12.75" customHeight="1" x14ac:dyDescent="0.25">
      <c r="D111" t="s">
        <v>87</v>
      </c>
      <c r="E111" s="89" t="s">
        <v>70</v>
      </c>
      <c r="F111" s="90">
        <v>175782212.59</v>
      </c>
      <c r="G111" s="90">
        <v>30204338.41</v>
      </c>
      <c r="H111" s="90">
        <v>17008757.16</v>
      </c>
      <c r="I111" s="90">
        <v>8963051.0199999996</v>
      </c>
      <c r="J111" s="90">
        <v>18444884.34</v>
      </c>
      <c r="K111" s="90">
        <v>432022.66</v>
      </c>
      <c r="L111" s="90">
        <v>5256000</v>
      </c>
      <c r="M111" s="90">
        <v>3819379.06</v>
      </c>
      <c r="N111" s="90">
        <v>5429605.5499999998</v>
      </c>
      <c r="O111" s="90">
        <v>25384991.809999999</v>
      </c>
      <c r="P111" s="90">
        <v>60125504.07</v>
      </c>
      <c r="Q111" s="90">
        <v>713747.35</v>
      </c>
      <c r="R111" s="90">
        <v>-68.97</v>
      </c>
      <c r="S111" s="90">
        <v>0.13</v>
      </c>
      <c r="T111" s="90">
        <v>0</v>
      </c>
      <c r="U111" s="90">
        <v>0</v>
      </c>
      <c r="V111" s="90">
        <v>0</v>
      </c>
      <c r="W111" s="90">
        <v>0</v>
      </c>
      <c r="X111">
        <v>0</v>
      </c>
      <c r="Y111">
        <v>0</v>
      </c>
      <c r="Z111">
        <v>0</v>
      </c>
    </row>
    <row r="112" spans="3:26" s="94" customFormat="1" ht="12.75" customHeight="1" x14ac:dyDescent="0.25">
      <c r="C112" s="94" t="s">
        <v>119</v>
      </c>
      <c r="D112" s="94" t="s">
        <v>70</v>
      </c>
      <c r="E112" s="101"/>
      <c r="F112" s="93">
        <v>411038040.91000003</v>
      </c>
      <c r="G112" s="93">
        <v>50259220.979999997</v>
      </c>
      <c r="H112" s="93">
        <v>27780240.02</v>
      </c>
      <c r="I112" s="93">
        <v>14510191.630000001</v>
      </c>
      <c r="J112" s="93">
        <v>67029732.439999998</v>
      </c>
      <c r="K112" s="93">
        <v>1933033.69</v>
      </c>
      <c r="L112" s="93">
        <v>8420063.0999999996</v>
      </c>
      <c r="M112" s="93">
        <v>17073578.82</v>
      </c>
      <c r="N112" s="93">
        <v>22137176.829999998</v>
      </c>
      <c r="O112" s="93">
        <v>99022137.799999997</v>
      </c>
      <c r="P112" s="93">
        <v>99697575.700000003</v>
      </c>
      <c r="Q112" s="93">
        <v>3176119.97</v>
      </c>
      <c r="R112" s="93">
        <v>-1042.3499999999999</v>
      </c>
      <c r="S112" s="93">
        <v>13.21</v>
      </c>
      <c r="T112" s="93">
        <v>0.18</v>
      </c>
      <c r="U112" s="93">
        <v>0</v>
      </c>
      <c r="V112" s="93">
        <v>0</v>
      </c>
      <c r="W112" s="93">
        <v>0</v>
      </c>
      <c r="X112" s="94">
        <v>0</v>
      </c>
      <c r="Y112" s="94">
        <v>0</v>
      </c>
      <c r="Z112" s="94">
        <v>-1.1100000000000001</v>
      </c>
    </row>
    <row r="113" spans="1:26" s="226" customFormat="1" ht="12.75" customHeight="1" x14ac:dyDescent="0.25">
      <c r="B113" s="98" t="s">
        <v>112</v>
      </c>
      <c r="C113" s="98" t="s">
        <v>70</v>
      </c>
      <c r="F113" s="100">
        <v>16853020231.969999</v>
      </c>
      <c r="G113" s="100">
        <v>1015867933.0599999</v>
      </c>
      <c r="H113" s="100">
        <v>562811110.28999996</v>
      </c>
      <c r="I113" s="100">
        <v>292868707.51999998</v>
      </c>
      <c r="J113" s="100">
        <v>3895822885.4899998</v>
      </c>
      <c r="K113" s="100">
        <v>147922986.16</v>
      </c>
      <c r="L113" s="100">
        <v>31737181.809999999</v>
      </c>
      <c r="M113" s="100">
        <v>1300358854.1099999</v>
      </c>
      <c r="N113" s="100">
        <v>1304247600.74</v>
      </c>
      <c r="O113" s="100">
        <v>6075672357.54</v>
      </c>
      <c r="P113" s="100">
        <v>1983695734.8</v>
      </c>
      <c r="Q113" s="100">
        <v>242030878.53</v>
      </c>
      <c r="R113" s="100">
        <v>-15889.24</v>
      </c>
      <c r="S113" s="100">
        <v>9.2200000000000006</v>
      </c>
      <c r="T113" s="100">
        <v>1.41</v>
      </c>
      <c r="U113" s="100">
        <v>0</v>
      </c>
      <c r="V113" s="100">
        <v>0</v>
      </c>
      <c r="W113" s="100">
        <v>0</v>
      </c>
      <c r="X113" s="226">
        <v>0</v>
      </c>
      <c r="Y113" s="226">
        <v>0</v>
      </c>
      <c r="Z113" s="226">
        <v>-119.47</v>
      </c>
    </row>
    <row r="114" spans="1:26" ht="12.75" customHeight="1" x14ac:dyDescent="0.25">
      <c r="A114" t="s">
        <v>78</v>
      </c>
      <c r="B114" s="89" t="s">
        <v>70</v>
      </c>
      <c r="C114" s="89"/>
      <c r="F114" s="90">
        <v>16853020231.969999</v>
      </c>
      <c r="G114" s="90">
        <v>1015867933.0599999</v>
      </c>
      <c r="H114" s="90">
        <v>562811110.28999996</v>
      </c>
      <c r="I114" s="90">
        <v>292868707.51999998</v>
      </c>
      <c r="J114" s="90">
        <v>3895822885.4899998</v>
      </c>
      <c r="K114" s="90">
        <v>147922986.16</v>
      </c>
      <c r="L114" s="90">
        <v>31737181.809999999</v>
      </c>
      <c r="M114" s="90">
        <v>1300358854.1099999</v>
      </c>
      <c r="N114" s="90">
        <v>1304247600.74</v>
      </c>
      <c r="O114" s="90">
        <v>6075672357.54</v>
      </c>
      <c r="P114" s="90">
        <v>1983695734.8</v>
      </c>
      <c r="Q114" s="90">
        <v>242030878.53</v>
      </c>
      <c r="R114" s="90">
        <v>-15889.24</v>
      </c>
      <c r="S114" s="90">
        <v>9.2200000000000006</v>
      </c>
      <c r="T114" s="90">
        <v>1.41</v>
      </c>
      <c r="U114" s="90">
        <v>0</v>
      </c>
      <c r="V114" s="90">
        <v>0</v>
      </c>
      <c r="W114" s="90">
        <v>0</v>
      </c>
      <c r="X114">
        <v>0</v>
      </c>
      <c r="Y114">
        <v>0</v>
      </c>
      <c r="Z114">
        <v>-119.47</v>
      </c>
    </row>
    <row r="115" spans="1:26" ht="12.75" customHeight="1" x14ac:dyDescent="0.25">
      <c r="D115" s="89"/>
      <c r="E115" s="89" t="s">
        <v>73</v>
      </c>
      <c r="F115" s="374">
        <v>-4636257580.3699999</v>
      </c>
      <c r="G115" s="90">
        <v>-148112632.12</v>
      </c>
      <c r="H115" s="90">
        <v>-78718714.319999993</v>
      </c>
      <c r="I115" s="90">
        <v>-40123450.969999999</v>
      </c>
      <c r="J115" s="90">
        <v>-1254246477.51</v>
      </c>
      <c r="K115" s="90">
        <v>-46311892.079999998</v>
      </c>
      <c r="L115" s="90">
        <v>0</v>
      </c>
      <c r="M115" s="90">
        <v>-406997445.81</v>
      </c>
      <c r="N115" s="90">
        <v>-413228012.98000002</v>
      </c>
      <c r="O115" s="90">
        <v>-1894308380.72</v>
      </c>
      <c r="P115" s="90">
        <v>-278643881.93000001</v>
      </c>
      <c r="Q115" s="90">
        <v>-75566691.930000007</v>
      </c>
      <c r="R115" s="90">
        <v>0</v>
      </c>
      <c r="S115" s="90">
        <v>0</v>
      </c>
      <c r="T115" s="90">
        <v>0</v>
      </c>
      <c r="U115" s="90">
        <v>0</v>
      </c>
      <c r="V115" s="90">
        <v>0</v>
      </c>
      <c r="W115" s="90">
        <v>0</v>
      </c>
      <c r="X115">
        <v>0</v>
      </c>
      <c r="Y115">
        <v>0</v>
      </c>
      <c r="Z115">
        <v>0</v>
      </c>
    </row>
    <row r="116" spans="1:26" ht="12.75" customHeight="1" x14ac:dyDescent="0.25">
      <c r="D116" s="89" t="s">
        <v>156</v>
      </c>
      <c r="E116" s="89" t="s">
        <v>70</v>
      </c>
      <c r="F116" s="374">
        <v>-4636257580.3699999</v>
      </c>
      <c r="G116" s="90">
        <v>-148112632.12</v>
      </c>
      <c r="H116" s="90">
        <v>-78718714.319999993</v>
      </c>
      <c r="I116" s="90">
        <v>-40123450.969999999</v>
      </c>
      <c r="J116" s="90">
        <v>-1254246477.51</v>
      </c>
      <c r="K116" s="90">
        <v>-46311892.079999998</v>
      </c>
      <c r="L116" s="90">
        <v>0</v>
      </c>
      <c r="M116" s="90">
        <v>-406997445.81</v>
      </c>
      <c r="N116" s="90">
        <v>-413228012.98000002</v>
      </c>
      <c r="O116" s="90">
        <v>-1894308380.72</v>
      </c>
      <c r="P116" s="90">
        <v>-278643881.93000001</v>
      </c>
      <c r="Q116" s="90">
        <v>-75566691.930000007</v>
      </c>
      <c r="R116" s="90">
        <v>0</v>
      </c>
      <c r="S116" s="90">
        <v>0</v>
      </c>
      <c r="T116" s="90">
        <v>0</v>
      </c>
      <c r="U116" s="90">
        <v>0</v>
      </c>
      <c r="V116" s="90">
        <v>0</v>
      </c>
      <c r="W116" s="90">
        <v>0</v>
      </c>
      <c r="X116">
        <v>0</v>
      </c>
      <c r="Y116">
        <v>0</v>
      </c>
      <c r="Z116">
        <v>0</v>
      </c>
    </row>
    <row r="117" spans="1:26" s="649" customFormat="1" ht="12.75" customHeight="1" x14ac:dyDescent="0.25">
      <c r="C117" s="649" t="s">
        <v>155</v>
      </c>
      <c r="D117" s="650" t="s">
        <v>70</v>
      </c>
      <c r="E117" s="650"/>
      <c r="F117" s="738">
        <v>-4636257580.3699999</v>
      </c>
      <c r="G117" s="651">
        <v>-148112632.12</v>
      </c>
      <c r="H117" s="651">
        <v>-78718714.319999993</v>
      </c>
      <c r="I117" s="651">
        <v>-40123450.969999999</v>
      </c>
      <c r="J117" s="651">
        <v>-1254246477.51</v>
      </c>
      <c r="K117" s="651">
        <v>-46311892.079999998</v>
      </c>
      <c r="L117" s="651">
        <v>0</v>
      </c>
      <c r="M117" s="651">
        <v>-406997445.81</v>
      </c>
      <c r="N117" s="651">
        <v>-413228012.98000002</v>
      </c>
      <c r="O117" s="651">
        <v>-1894308380.72</v>
      </c>
      <c r="P117" s="651">
        <v>-278643881.93000001</v>
      </c>
      <c r="Q117" s="651">
        <v>-75566691.930000007</v>
      </c>
      <c r="R117" s="651">
        <v>0</v>
      </c>
      <c r="S117" s="651">
        <v>0</v>
      </c>
      <c r="T117" s="651">
        <v>0</v>
      </c>
      <c r="U117" s="651">
        <v>0</v>
      </c>
      <c r="V117" s="651">
        <v>0</v>
      </c>
      <c r="W117" s="651">
        <v>0</v>
      </c>
      <c r="X117" s="649">
        <v>0</v>
      </c>
      <c r="Y117" s="649">
        <v>0</v>
      </c>
      <c r="Z117" s="649">
        <v>0</v>
      </c>
    </row>
    <row r="118" spans="1:26" ht="12.75" customHeight="1" x14ac:dyDescent="0.25">
      <c r="D118" s="89"/>
      <c r="E118" s="89" t="s">
        <v>73</v>
      </c>
      <c r="F118" s="374">
        <v>-467786.06</v>
      </c>
      <c r="G118" s="90">
        <v>-11445.34</v>
      </c>
      <c r="H118" s="90">
        <v>-5486.92</v>
      </c>
      <c r="I118" s="90">
        <v>-2445.2800000000002</v>
      </c>
      <c r="J118" s="90">
        <v>-126827.61</v>
      </c>
      <c r="K118" s="90">
        <v>-4450.75</v>
      </c>
      <c r="L118" s="90">
        <v>0</v>
      </c>
      <c r="M118" s="90">
        <v>-39043.449999999997</v>
      </c>
      <c r="N118" s="90">
        <v>-47967.6</v>
      </c>
      <c r="O118" s="90">
        <v>-200257.21</v>
      </c>
      <c r="P118" s="90">
        <v>-22599.77</v>
      </c>
      <c r="Q118" s="90">
        <v>-7262.13</v>
      </c>
      <c r="R118" s="90">
        <v>0</v>
      </c>
      <c r="S118" s="90">
        <v>0</v>
      </c>
      <c r="T118" s="90">
        <v>0</v>
      </c>
      <c r="U118" s="90">
        <v>0</v>
      </c>
      <c r="V118" s="90">
        <v>0</v>
      </c>
      <c r="W118" s="90">
        <v>0</v>
      </c>
      <c r="X118">
        <v>0</v>
      </c>
      <c r="Y118">
        <v>0</v>
      </c>
      <c r="Z118">
        <v>0</v>
      </c>
    </row>
    <row r="119" spans="1:26" ht="12.75" customHeight="1" x14ac:dyDescent="0.25">
      <c r="D119" s="89" t="s">
        <v>115</v>
      </c>
      <c r="E119" s="89" t="s">
        <v>70</v>
      </c>
      <c r="F119" s="374">
        <v>-467786.06</v>
      </c>
      <c r="G119" s="90">
        <v>-11445.34</v>
      </c>
      <c r="H119" s="90">
        <v>-5486.92</v>
      </c>
      <c r="I119" s="90">
        <v>-2445.2800000000002</v>
      </c>
      <c r="J119" s="90">
        <v>-126827.61</v>
      </c>
      <c r="K119" s="90">
        <v>-4450.75</v>
      </c>
      <c r="L119" s="90">
        <v>0</v>
      </c>
      <c r="M119" s="90">
        <v>-39043.449999999997</v>
      </c>
      <c r="N119" s="90">
        <v>-47967.6</v>
      </c>
      <c r="O119" s="90">
        <v>-200257.21</v>
      </c>
      <c r="P119" s="90">
        <v>-22599.77</v>
      </c>
      <c r="Q119" s="90">
        <v>-7262.13</v>
      </c>
      <c r="R119" s="90">
        <v>0</v>
      </c>
      <c r="S119" s="90">
        <v>0</v>
      </c>
      <c r="T119" s="90">
        <v>0</v>
      </c>
      <c r="U119" s="90">
        <v>0</v>
      </c>
      <c r="V119" s="90">
        <v>0</v>
      </c>
      <c r="W119" s="90">
        <v>0</v>
      </c>
      <c r="X119">
        <v>0</v>
      </c>
      <c r="Y119">
        <v>0</v>
      </c>
      <c r="Z119">
        <v>0</v>
      </c>
    </row>
    <row r="120" spans="1:26" ht="12.75" customHeight="1" x14ac:dyDescent="0.25">
      <c r="D120" s="89"/>
      <c r="E120" s="89" t="s">
        <v>73</v>
      </c>
      <c r="F120" s="374">
        <v>-4848916.7</v>
      </c>
      <c r="G120" s="90">
        <v>-207339.37</v>
      </c>
      <c r="H120" s="90">
        <v>-108562.88</v>
      </c>
      <c r="I120" s="90">
        <v>-56193.87</v>
      </c>
      <c r="J120" s="90">
        <v>-1284725.3999999999</v>
      </c>
      <c r="K120" s="90">
        <v>-43801.39</v>
      </c>
      <c r="L120" s="90">
        <v>0</v>
      </c>
      <c r="M120" s="90">
        <v>-384216.82</v>
      </c>
      <c r="N120" s="90">
        <v>-415455.9</v>
      </c>
      <c r="O120" s="90">
        <v>-1879657.48</v>
      </c>
      <c r="P120" s="90">
        <v>-397498.86</v>
      </c>
      <c r="Q120" s="90">
        <v>-71464.73</v>
      </c>
      <c r="R120" s="90">
        <v>0</v>
      </c>
      <c r="S120" s="90">
        <v>0</v>
      </c>
      <c r="T120" s="90">
        <v>0</v>
      </c>
      <c r="U120" s="90">
        <v>0</v>
      </c>
      <c r="V120" s="90">
        <v>0</v>
      </c>
      <c r="W120" s="90">
        <v>0</v>
      </c>
      <c r="X120">
        <v>0</v>
      </c>
      <c r="Y120">
        <v>0</v>
      </c>
      <c r="Z120">
        <v>0</v>
      </c>
    </row>
    <row r="121" spans="1:26" ht="12.75" customHeight="1" x14ac:dyDescent="0.25">
      <c r="D121" s="89" t="s">
        <v>118</v>
      </c>
      <c r="E121" s="89" t="s">
        <v>70</v>
      </c>
      <c r="F121" s="90">
        <v>-4848916.7</v>
      </c>
      <c r="G121" s="90">
        <v>-207339.37</v>
      </c>
      <c r="H121" s="90">
        <v>-108562.88</v>
      </c>
      <c r="I121" s="90">
        <v>-56193.87</v>
      </c>
      <c r="J121" s="90">
        <v>-1284725.3999999999</v>
      </c>
      <c r="K121" s="90">
        <v>-43801.39</v>
      </c>
      <c r="L121" s="90">
        <v>0</v>
      </c>
      <c r="M121" s="90">
        <v>-384216.82</v>
      </c>
      <c r="N121" s="90">
        <v>-415455.9</v>
      </c>
      <c r="O121" s="90">
        <v>-1879657.48</v>
      </c>
      <c r="P121" s="90">
        <v>-397498.86</v>
      </c>
      <c r="Q121" s="90">
        <v>-71464.73</v>
      </c>
      <c r="R121" s="90">
        <v>0</v>
      </c>
      <c r="S121" s="90">
        <v>0</v>
      </c>
      <c r="T121" s="90">
        <v>0</v>
      </c>
      <c r="U121" s="90">
        <v>0</v>
      </c>
      <c r="V121" s="90">
        <v>0</v>
      </c>
      <c r="W121" s="90">
        <v>0</v>
      </c>
      <c r="X121">
        <v>0</v>
      </c>
      <c r="Y121">
        <v>0</v>
      </c>
      <c r="Z121">
        <v>0</v>
      </c>
    </row>
    <row r="122" spans="1:26" s="224" customFormat="1" ht="12.75" customHeight="1" x14ac:dyDescent="0.25">
      <c r="C122" s="223" t="s">
        <v>120</v>
      </c>
      <c r="D122" s="223" t="s">
        <v>70</v>
      </c>
      <c r="F122" s="225">
        <v>-5316702.76</v>
      </c>
      <c r="G122" s="225">
        <v>-218784.71</v>
      </c>
      <c r="H122" s="225">
        <v>-114049.8</v>
      </c>
      <c r="I122" s="225">
        <v>-58639.15</v>
      </c>
      <c r="J122" s="225">
        <v>-1411553.01</v>
      </c>
      <c r="K122" s="225">
        <v>-48252.14</v>
      </c>
      <c r="L122" s="225">
        <v>0</v>
      </c>
      <c r="M122" s="225">
        <v>-423260.27</v>
      </c>
      <c r="N122" s="225">
        <v>-463423.5</v>
      </c>
      <c r="O122" s="225">
        <v>-2079914.69</v>
      </c>
      <c r="P122" s="225">
        <v>-420098.63</v>
      </c>
      <c r="Q122" s="225">
        <v>-78726.86</v>
      </c>
      <c r="R122" s="225">
        <v>0</v>
      </c>
      <c r="S122" s="225">
        <v>0</v>
      </c>
      <c r="T122" s="225">
        <v>0</v>
      </c>
      <c r="U122" s="225">
        <v>0</v>
      </c>
      <c r="V122" s="225">
        <v>0</v>
      </c>
      <c r="W122" s="225">
        <v>0</v>
      </c>
      <c r="X122" s="224">
        <v>0</v>
      </c>
      <c r="Y122" s="224">
        <v>0</v>
      </c>
      <c r="Z122" s="224">
        <v>0</v>
      </c>
    </row>
    <row r="123" spans="1:26" ht="12.75" customHeight="1" x14ac:dyDescent="0.25">
      <c r="E123" s="89" t="s">
        <v>73</v>
      </c>
      <c r="F123" s="90">
        <v>-8836082.4499999993</v>
      </c>
      <c r="G123" s="90">
        <v>139503.64000000001</v>
      </c>
      <c r="H123" s="90">
        <v>74546.210000000006</v>
      </c>
      <c r="I123" s="90">
        <v>67535.91</v>
      </c>
      <c r="J123" s="90">
        <v>-3051519.46</v>
      </c>
      <c r="K123" s="90">
        <v>-77257.63</v>
      </c>
      <c r="L123" s="90">
        <v>0</v>
      </c>
      <c r="M123" s="90">
        <v>-679222.47</v>
      </c>
      <c r="N123" s="90">
        <v>-976995.21</v>
      </c>
      <c r="O123" s="90">
        <v>-4506032.93</v>
      </c>
      <c r="P123" s="90">
        <v>299509.99</v>
      </c>
      <c r="Q123" s="90">
        <v>-126150.5</v>
      </c>
      <c r="R123" s="90">
        <v>0</v>
      </c>
      <c r="S123" s="90">
        <v>0</v>
      </c>
      <c r="T123" s="90">
        <v>0</v>
      </c>
      <c r="U123" s="90">
        <v>0</v>
      </c>
      <c r="V123" s="90">
        <v>0</v>
      </c>
      <c r="W123" s="90">
        <v>0</v>
      </c>
      <c r="X123">
        <v>0</v>
      </c>
      <c r="Y123">
        <v>0</v>
      </c>
      <c r="Z123">
        <v>0</v>
      </c>
    </row>
    <row r="124" spans="1:26" ht="12.75" customHeight="1" x14ac:dyDescent="0.25">
      <c r="D124" s="89" t="s">
        <v>82</v>
      </c>
      <c r="E124" s="89" t="s">
        <v>70</v>
      </c>
      <c r="F124" s="90">
        <v>-8836082.4499999993</v>
      </c>
      <c r="G124" s="90">
        <v>139503.64000000001</v>
      </c>
      <c r="H124" s="90">
        <v>74546.210000000006</v>
      </c>
      <c r="I124" s="90">
        <v>67535.91</v>
      </c>
      <c r="J124" s="90">
        <v>-3051519.46</v>
      </c>
      <c r="K124" s="90">
        <v>-77257.63</v>
      </c>
      <c r="L124" s="90">
        <v>0</v>
      </c>
      <c r="M124" s="90">
        <v>-679222.47</v>
      </c>
      <c r="N124" s="90">
        <v>-976995.21</v>
      </c>
      <c r="O124" s="90">
        <v>-4506032.93</v>
      </c>
      <c r="P124" s="90">
        <v>299509.99</v>
      </c>
      <c r="Q124" s="90">
        <v>-126150.5</v>
      </c>
      <c r="R124" s="90">
        <v>0</v>
      </c>
      <c r="S124" s="90">
        <v>0</v>
      </c>
      <c r="T124" s="90">
        <v>0</v>
      </c>
      <c r="U124" s="90">
        <v>0</v>
      </c>
      <c r="V124" s="90">
        <v>0</v>
      </c>
      <c r="W124" s="90">
        <v>0</v>
      </c>
      <c r="X124">
        <v>0</v>
      </c>
      <c r="Y124">
        <v>0</v>
      </c>
      <c r="Z124">
        <v>0</v>
      </c>
    </row>
    <row r="125" spans="1:26" ht="12.75" customHeight="1" x14ac:dyDescent="0.25">
      <c r="E125" s="89" t="s">
        <v>73</v>
      </c>
      <c r="F125" s="90">
        <v>-25691473.420000002</v>
      </c>
      <c r="G125" s="90">
        <v>632495.77</v>
      </c>
      <c r="H125" s="90">
        <v>502662.71</v>
      </c>
      <c r="I125" s="90">
        <v>328861.06</v>
      </c>
      <c r="J125" s="90">
        <v>-9210894.7799999993</v>
      </c>
      <c r="K125" s="90">
        <v>-311635.57</v>
      </c>
      <c r="L125" s="90">
        <v>0</v>
      </c>
      <c r="M125" s="90">
        <v>-2734320.87</v>
      </c>
      <c r="N125" s="90">
        <v>-3143480.96</v>
      </c>
      <c r="O125" s="90">
        <v>-12593238.359999999</v>
      </c>
      <c r="P125" s="90">
        <v>1346532</v>
      </c>
      <c r="Q125" s="90">
        <v>-508454.42</v>
      </c>
      <c r="R125" s="90">
        <v>0</v>
      </c>
      <c r="S125" s="90">
        <v>0</v>
      </c>
      <c r="T125" s="90">
        <v>0</v>
      </c>
      <c r="U125" s="90">
        <v>0</v>
      </c>
      <c r="V125" s="90">
        <v>0</v>
      </c>
      <c r="W125" s="90">
        <v>0</v>
      </c>
      <c r="X125">
        <v>0</v>
      </c>
      <c r="Y125">
        <v>0</v>
      </c>
      <c r="Z125">
        <v>0</v>
      </c>
    </row>
    <row r="126" spans="1:26" ht="12.75" customHeight="1" x14ac:dyDescent="0.25">
      <c r="D126" s="89" t="s">
        <v>86</v>
      </c>
      <c r="E126" s="89" t="s">
        <v>70</v>
      </c>
      <c r="F126" s="90">
        <v>-25691473.420000002</v>
      </c>
      <c r="G126" s="90">
        <v>632495.77</v>
      </c>
      <c r="H126" s="90">
        <v>502662.71</v>
      </c>
      <c r="I126" s="90">
        <v>328861.06</v>
      </c>
      <c r="J126" s="90">
        <v>-9210894.7799999993</v>
      </c>
      <c r="K126" s="90">
        <v>-311635.57</v>
      </c>
      <c r="L126" s="90">
        <v>0</v>
      </c>
      <c r="M126" s="90">
        <v>-2734320.87</v>
      </c>
      <c r="N126" s="90">
        <v>-3143480.96</v>
      </c>
      <c r="O126" s="90">
        <v>-12593238.359999999</v>
      </c>
      <c r="P126" s="90">
        <v>1346532</v>
      </c>
      <c r="Q126" s="90">
        <v>-508454.42</v>
      </c>
      <c r="R126" s="90">
        <v>0</v>
      </c>
      <c r="S126" s="90">
        <v>0</v>
      </c>
      <c r="T126" s="90">
        <v>0</v>
      </c>
      <c r="U126" s="90">
        <v>0</v>
      </c>
      <c r="V126" s="90">
        <v>0</v>
      </c>
      <c r="W126" s="90">
        <v>0</v>
      </c>
      <c r="X126">
        <v>0</v>
      </c>
      <c r="Y126">
        <v>0</v>
      </c>
      <c r="Z126">
        <v>0</v>
      </c>
    </row>
    <row r="127" spans="1:26" ht="12.75" customHeight="1" x14ac:dyDescent="0.25">
      <c r="E127" s="89" t="s">
        <v>73</v>
      </c>
      <c r="F127" s="90">
        <v>13718951.41</v>
      </c>
      <c r="G127" s="90">
        <v>4147034.56</v>
      </c>
      <c r="H127" s="90">
        <v>2343622.23</v>
      </c>
      <c r="I127" s="90">
        <v>1246828.6100000001</v>
      </c>
      <c r="J127" s="90">
        <v>-256491.19</v>
      </c>
      <c r="K127" s="90">
        <v>-11399.55</v>
      </c>
      <c r="L127" s="90">
        <v>0</v>
      </c>
      <c r="M127" s="90">
        <v>-100195.44</v>
      </c>
      <c r="N127" s="90">
        <v>-150465.04999999999</v>
      </c>
      <c r="O127" s="90">
        <v>-623431.01</v>
      </c>
      <c r="P127" s="90">
        <v>7142058.9699999997</v>
      </c>
      <c r="Q127" s="90">
        <v>-18610.72</v>
      </c>
      <c r="R127" s="90">
        <v>0</v>
      </c>
      <c r="S127" s="90">
        <v>0</v>
      </c>
      <c r="T127" s="90">
        <v>0</v>
      </c>
      <c r="U127" s="90">
        <v>0</v>
      </c>
      <c r="V127" s="90">
        <v>0</v>
      </c>
      <c r="W127" s="90">
        <v>0</v>
      </c>
      <c r="X127">
        <v>0</v>
      </c>
      <c r="Y127">
        <v>0</v>
      </c>
      <c r="Z127">
        <v>0</v>
      </c>
    </row>
    <row r="128" spans="1:26" ht="12.75" customHeight="1" x14ac:dyDescent="0.25">
      <c r="D128" s="89" t="s">
        <v>87</v>
      </c>
      <c r="E128" s="89" t="s">
        <v>70</v>
      </c>
      <c r="F128" s="90">
        <v>13718951.41</v>
      </c>
      <c r="G128" s="90">
        <v>4147034.56</v>
      </c>
      <c r="H128" s="90">
        <v>2343622.23</v>
      </c>
      <c r="I128" s="90">
        <v>1246828.6100000001</v>
      </c>
      <c r="J128" s="90">
        <v>-256491.19</v>
      </c>
      <c r="K128" s="90">
        <v>-11399.55</v>
      </c>
      <c r="L128" s="90">
        <v>0</v>
      </c>
      <c r="M128" s="90">
        <v>-100195.44</v>
      </c>
      <c r="N128" s="90">
        <v>-150465.04999999999</v>
      </c>
      <c r="O128" s="90">
        <v>-623431.01</v>
      </c>
      <c r="P128" s="90">
        <v>7142058.9699999997</v>
      </c>
      <c r="Q128" s="90">
        <v>-18610.72</v>
      </c>
      <c r="R128" s="90">
        <v>0</v>
      </c>
      <c r="S128" s="90">
        <v>0</v>
      </c>
      <c r="T128" s="90">
        <v>0</v>
      </c>
      <c r="U128" s="90">
        <v>0</v>
      </c>
      <c r="V128" s="90">
        <v>0</v>
      </c>
      <c r="W128" s="90">
        <v>0</v>
      </c>
      <c r="X128">
        <v>0</v>
      </c>
      <c r="Y128">
        <v>0</v>
      </c>
      <c r="Z128">
        <v>0</v>
      </c>
    </row>
    <row r="129" spans="1:26" s="94" customFormat="1" ht="12.75" customHeight="1" x14ac:dyDescent="0.25">
      <c r="C129" s="101" t="s">
        <v>119</v>
      </c>
      <c r="D129" s="101" t="s">
        <v>70</v>
      </c>
      <c r="F129" s="93">
        <v>-20808604.460000001</v>
      </c>
      <c r="G129" s="93">
        <v>4919033.97</v>
      </c>
      <c r="H129" s="93">
        <v>2920831.15</v>
      </c>
      <c r="I129" s="93">
        <v>1643225.58</v>
      </c>
      <c r="J129" s="93">
        <v>-12518905.43</v>
      </c>
      <c r="K129" s="93">
        <v>-400292.75</v>
      </c>
      <c r="L129" s="93">
        <v>0</v>
      </c>
      <c r="M129" s="93">
        <v>-3513738.78</v>
      </c>
      <c r="N129" s="93">
        <v>-4270941.22</v>
      </c>
      <c r="O129" s="93">
        <v>-17722702.300000001</v>
      </c>
      <c r="P129" s="93">
        <v>8788100.9600000009</v>
      </c>
      <c r="Q129" s="93">
        <v>-653215.64</v>
      </c>
      <c r="R129" s="93">
        <v>0</v>
      </c>
      <c r="S129" s="93">
        <v>0</v>
      </c>
      <c r="T129" s="93">
        <v>0</v>
      </c>
      <c r="U129" s="93">
        <v>0</v>
      </c>
      <c r="V129" s="93">
        <v>0</v>
      </c>
      <c r="W129" s="93">
        <v>0</v>
      </c>
      <c r="X129" s="94">
        <v>0</v>
      </c>
      <c r="Y129" s="94">
        <v>0</v>
      </c>
      <c r="Z129" s="94">
        <v>0</v>
      </c>
    </row>
    <row r="130" spans="1:26" s="226" customFormat="1" ht="12.75" customHeight="1" x14ac:dyDescent="0.25">
      <c r="B130" s="98" t="s">
        <v>112</v>
      </c>
      <c r="C130" s="98" t="s">
        <v>70</v>
      </c>
      <c r="F130" s="100">
        <v>-4662382887.5900002</v>
      </c>
      <c r="G130" s="100">
        <v>-143412382.86000001</v>
      </c>
      <c r="H130" s="100">
        <v>-75911932.969999999</v>
      </c>
      <c r="I130" s="100">
        <v>-38538864.539999999</v>
      </c>
      <c r="J130" s="100">
        <v>-1268176935.95</v>
      </c>
      <c r="K130" s="100">
        <v>-46760436.969999999</v>
      </c>
      <c r="L130" s="100">
        <v>0</v>
      </c>
      <c r="M130" s="100">
        <v>-410934444.86000001</v>
      </c>
      <c r="N130" s="100">
        <v>-417962377.69999999</v>
      </c>
      <c r="O130" s="100">
        <v>-1914110997.71</v>
      </c>
      <c r="P130" s="100">
        <v>-270275879.60000002</v>
      </c>
      <c r="Q130" s="100">
        <v>-76298634.430000007</v>
      </c>
      <c r="R130" s="100">
        <v>0</v>
      </c>
      <c r="S130" s="100">
        <v>0</v>
      </c>
      <c r="T130" s="100">
        <v>0</v>
      </c>
      <c r="U130" s="100">
        <v>0</v>
      </c>
      <c r="V130" s="100">
        <v>0</v>
      </c>
      <c r="W130" s="100">
        <v>0</v>
      </c>
      <c r="X130" s="226">
        <v>0</v>
      </c>
      <c r="Y130" s="226">
        <v>0</v>
      </c>
      <c r="Z130" s="226">
        <v>0</v>
      </c>
    </row>
    <row r="131" spans="1:26" ht="12.75" customHeight="1" x14ac:dyDescent="0.25">
      <c r="A131" s="89" t="s">
        <v>79</v>
      </c>
      <c r="B131" s="89" t="s">
        <v>70</v>
      </c>
      <c r="F131" s="90">
        <v>-4662382887.5900002</v>
      </c>
      <c r="G131" s="90">
        <v>-143412382.86000001</v>
      </c>
      <c r="H131" s="90">
        <v>-75911932.969999999</v>
      </c>
      <c r="I131" s="90">
        <v>-38538864.539999999</v>
      </c>
      <c r="J131" s="90">
        <v>-1268176935.95</v>
      </c>
      <c r="K131" s="90">
        <v>-46760436.969999999</v>
      </c>
      <c r="L131" s="90">
        <v>0</v>
      </c>
      <c r="M131" s="90">
        <v>-410934444.86000001</v>
      </c>
      <c r="N131" s="90">
        <v>-417962377.69999999</v>
      </c>
      <c r="O131" s="90">
        <v>-1914110997.71</v>
      </c>
      <c r="P131" s="90">
        <v>-270275879.60000002</v>
      </c>
      <c r="Q131" s="90">
        <v>-76298634.430000007</v>
      </c>
      <c r="R131" s="90">
        <v>0</v>
      </c>
      <c r="S131" s="90">
        <v>0</v>
      </c>
      <c r="T131" s="90">
        <v>0</v>
      </c>
      <c r="U131" s="90">
        <v>0</v>
      </c>
      <c r="V131" s="90">
        <v>0</v>
      </c>
      <c r="W131" s="90">
        <v>0</v>
      </c>
      <c r="X131">
        <v>0</v>
      </c>
      <c r="Y131">
        <v>0</v>
      </c>
      <c r="Z131">
        <v>0</v>
      </c>
    </row>
    <row r="132" spans="1:26" ht="12.75" customHeight="1" x14ac:dyDescent="0.25">
      <c r="A132" s="89" t="s">
        <v>70</v>
      </c>
      <c r="F132" s="90">
        <v>12189517623</v>
      </c>
      <c r="G132" s="90">
        <v>872357851.00999999</v>
      </c>
      <c r="H132" s="90">
        <v>486857673.00999999</v>
      </c>
      <c r="I132" s="90">
        <v>254311717.13999999</v>
      </c>
      <c r="J132" s="90">
        <v>2627419958.8099999</v>
      </c>
      <c r="K132" s="90">
        <v>101153197.02</v>
      </c>
      <c r="L132" s="90">
        <v>31737181.809999999</v>
      </c>
      <c r="M132" s="90">
        <v>889341479.28999996</v>
      </c>
      <c r="N132" s="90">
        <v>886182402.63999999</v>
      </c>
      <c r="O132" s="90">
        <v>4161215992.2199998</v>
      </c>
      <c r="P132" s="90">
        <v>1713239180.0799999</v>
      </c>
      <c r="Q132" s="90">
        <v>165716988.05000001</v>
      </c>
      <c r="R132" s="90">
        <v>-15889.24</v>
      </c>
      <c r="S132" s="90">
        <v>9.2200000000000006</v>
      </c>
      <c r="T132" s="90">
        <v>1.41</v>
      </c>
      <c r="U132" s="90">
        <v>0</v>
      </c>
      <c r="V132" s="90">
        <v>0</v>
      </c>
      <c r="W132" s="90">
        <v>0</v>
      </c>
      <c r="X132">
        <v>0</v>
      </c>
      <c r="Y132">
        <v>0</v>
      </c>
      <c r="Z132">
        <v>-119.47</v>
      </c>
    </row>
    <row r="133" spans="1:26" ht="12.75" customHeight="1" x14ac:dyDescent="0.25">
      <c r="A133" s="89"/>
      <c r="D133" s="89"/>
      <c r="E133" s="89"/>
      <c r="F133" s="90"/>
      <c r="G133" s="90"/>
      <c r="H133" s="90"/>
      <c r="I133" s="90"/>
      <c r="J133" s="90"/>
      <c r="K133" s="90"/>
      <c r="L133" s="90"/>
      <c r="M133" s="90"/>
      <c r="N133" s="90"/>
      <c r="O133" s="90"/>
      <c r="P133" s="90"/>
      <c r="Q133" s="90"/>
      <c r="R133" s="90"/>
      <c r="S133" s="90"/>
    </row>
    <row r="134" spans="1:26" ht="12.75" customHeight="1" x14ac:dyDescent="0.25">
      <c r="A134" s="89"/>
      <c r="C134" s="89"/>
      <c r="D134" s="89"/>
      <c r="F134" s="90"/>
      <c r="G134" s="90"/>
      <c r="H134" s="90"/>
      <c r="I134" s="90"/>
      <c r="J134" s="90"/>
      <c r="K134" s="90"/>
      <c r="L134" s="90"/>
      <c r="M134" s="90"/>
      <c r="N134" s="90"/>
      <c r="O134" s="90"/>
      <c r="P134" s="90"/>
      <c r="Q134" s="90"/>
      <c r="R134" s="90"/>
      <c r="S134" s="90"/>
    </row>
    <row r="135" spans="1:26" ht="12.75" hidden="1" customHeight="1" x14ac:dyDescent="0.25">
      <c r="A135" s="89"/>
      <c r="E135" s="89"/>
      <c r="F135" s="90"/>
      <c r="G135" s="90"/>
      <c r="H135" s="90"/>
      <c r="I135" s="90"/>
      <c r="J135" s="90"/>
      <c r="K135" s="90"/>
      <c r="L135" s="90"/>
      <c r="M135" s="90"/>
      <c r="N135" s="90"/>
      <c r="O135" s="90"/>
      <c r="P135" s="90"/>
      <c r="Q135" s="90"/>
      <c r="R135" s="90"/>
      <c r="S135" s="90"/>
    </row>
    <row r="136" spans="1:26" ht="12.75" hidden="1" customHeight="1" x14ac:dyDescent="0.25">
      <c r="A136" s="89"/>
      <c r="D136" s="89"/>
      <c r="E136" s="89"/>
      <c r="F136" s="90"/>
      <c r="G136" s="90"/>
      <c r="H136" s="90"/>
      <c r="I136" s="90"/>
      <c r="J136" s="90"/>
      <c r="K136" s="90"/>
      <c r="L136" s="90"/>
      <c r="M136" s="90"/>
      <c r="N136" s="90"/>
      <c r="O136" s="90"/>
      <c r="P136" s="90"/>
      <c r="Q136" s="90"/>
      <c r="R136" s="90"/>
      <c r="S136" s="90"/>
    </row>
    <row r="137" spans="1:26" ht="12.75" hidden="1" customHeight="1" x14ac:dyDescent="0.25">
      <c r="A137" s="89"/>
      <c r="E137" s="89"/>
      <c r="F137" s="90"/>
      <c r="G137" s="90"/>
      <c r="H137" s="90"/>
      <c r="I137" s="90"/>
      <c r="J137" s="90"/>
      <c r="K137" s="90"/>
      <c r="L137" s="90"/>
      <c r="M137" s="90"/>
      <c r="N137" s="90"/>
      <c r="O137" s="90"/>
      <c r="P137" s="90"/>
      <c r="Q137" s="90"/>
      <c r="R137" s="90"/>
      <c r="S137" s="90"/>
    </row>
    <row r="138" spans="1:26" ht="12.75" hidden="1" customHeight="1" x14ac:dyDescent="0.25">
      <c r="A138" s="89"/>
      <c r="D138" s="89"/>
      <c r="E138" s="89"/>
      <c r="F138" s="90"/>
      <c r="G138" s="90"/>
      <c r="H138" s="90"/>
      <c r="I138" s="90"/>
      <c r="J138" s="90"/>
      <c r="K138" s="90"/>
      <c r="L138" s="90"/>
      <c r="M138" s="90"/>
      <c r="N138" s="90"/>
      <c r="O138" s="90"/>
      <c r="P138" s="90"/>
      <c r="Q138" s="90"/>
      <c r="R138" s="90"/>
      <c r="S138" s="90"/>
    </row>
    <row r="139" spans="1:26" ht="12.75" hidden="1" customHeight="1" x14ac:dyDescent="0.25">
      <c r="A139" s="89"/>
      <c r="E139" s="89"/>
      <c r="F139" s="90"/>
      <c r="G139" s="90"/>
      <c r="H139" s="90"/>
      <c r="I139" s="90"/>
      <c r="J139" s="90"/>
      <c r="K139" s="90"/>
      <c r="L139" s="90"/>
      <c r="M139" s="90"/>
      <c r="N139" s="90"/>
      <c r="O139" s="90"/>
      <c r="P139" s="90"/>
      <c r="Q139" s="90"/>
      <c r="R139" s="90"/>
      <c r="S139" s="90"/>
    </row>
    <row r="140" spans="1:26" ht="12.75" hidden="1" customHeight="1" x14ac:dyDescent="0.25">
      <c r="A140" s="89"/>
      <c r="D140" s="89"/>
      <c r="E140" s="89"/>
      <c r="F140" s="90"/>
      <c r="G140" s="90"/>
      <c r="H140" s="90"/>
      <c r="I140" s="90"/>
      <c r="J140" s="90"/>
      <c r="K140" s="90"/>
      <c r="L140" s="90"/>
      <c r="M140" s="90"/>
      <c r="N140" s="90"/>
      <c r="O140" s="90"/>
      <c r="P140" s="90"/>
      <c r="Q140" s="90"/>
      <c r="R140" s="90"/>
      <c r="S140" s="90"/>
    </row>
    <row r="141" spans="1:26" ht="12.75" hidden="1" customHeight="1" x14ac:dyDescent="0.25">
      <c r="A141" s="89"/>
      <c r="C141" s="89"/>
      <c r="D141" s="89"/>
      <c r="F141" s="90"/>
      <c r="G141" s="90"/>
      <c r="H141" s="90"/>
      <c r="I141" s="90"/>
      <c r="J141" s="90"/>
      <c r="K141" s="90"/>
      <c r="L141" s="90"/>
      <c r="M141" s="90"/>
      <c r="N141" s="90"/>
      <c r="O141" s="90"/>
      <c r="P141" s="90"/>
      <c r="Q141" s="90"/>
      <c r="R141" s="90"/>
      <c r="S141" s="90"/>
    </row>
    <row r="142" spans="1:26" ht="12.75" hidden="1" customHeight="1" x14ac:dyDescent="0.25">
      <c r="A142" s="89"/>
      <c r="B142" s="89"/>
      <c r="C142" s="89"/>
      <c r="F142" s="90"/>
      <c r="G142" s="90"/>
      <c r="H142" s="90"/>
      <c r="I142" s="90"/>
      <c r="J142" s="90"/>
      <c r="K142" s="90"/>
      <c r="L142" s="90"/>
      <c r="M142" s="90"/>
      <c r="N142" s="90"/>
      <c r="O142" s="90"/>
      <c r="P142" s="90"/>
      <c r="Q142" s="90"/>
      <c r="R142" s="90"/>
      <c r="S142" s="90"/>
    </row>
    <row r="143" spans="1:26" ht="12.75" hidden="1" customHeight="1" x14ac:dyDescent="0.25">
      <c r="A143" s="89"/>
      <c r="B143" s="89"/>
      <c r="F143" s="90"/>
      <c r="G143" s="90"/>
      <c r="H143" s="90"/>
      <c r="I143" s="90"/>
      <c r="J143" s="90"/>
      <c r="K143" s="90"/>
      <c r="L143" s="90"/>
      <c r="M143" s="90"/>
      <c r="N143" s="90"/>
      <c r="O143" s="90"/>
      <c r="P143" s="90"/>
      <c r="Q143" s="90"/>
      <c r="R143" s="90"/>
      <c r="S143" s="90"/>
    </row>
    <row r="144" spans="1:26" ht="12.75" hidden="1" customHeight="1" x14ac:dyDescent="0.25">
      <c r="A144" s="89"/>
      <c r="F144" s="90"/>
      <c r="G144" s="90"/>
      <c r="H144" s="90"/>
      <c r="I144" s="90"/>
      <c r="J144" s="90"/>
      <c r="K144" s="90"/>
      <c r="L144" s="90"/>
      <c r="M144" s="90"/>
      <c r="N144" s="90"/>
      <c r="O144" s="90"/>
      <c r="P144" s="90"/>
      <c r="Q144" s="90"/>
      <c r="R144" s="90"/>
      <c r="S144" s="90"/>
    </row>
    <row r="145" spans="1:19" ht="12.75" hidden="1" customHeight="1" x14ac:dyDescent="0.25">
      <c r="A145" s="89"/>
      <c r="B145" s="89"/>
      <c r="F145" s="90"/>
      <c r="G145" s="90"/>
      <c r="H145" s="90"/>
      <c r="I145" s="90"/>
      <c r="J145" s="90"/>
      <c r="K145" s="90"/>
      <c r="L145" s="90"/>
      <c r="M145" s="90"/>
      <c r="N145" s="90"/>
      <c r="O145" s="90"/>
      <c r="P145" s="90"/>
      <c r="Q145" s="90"/>
      <c r="R145" s="90"/>
      <c r="S145" s="90"/>
    </row>
    <row r="146" spans="1:19" ht="12.75" hidden="1" customHeight="1" x14ac:dyDescent="0.25">
      <c r="A146" s="89"/>
      <c r="F146" s="90"/>
      <c r="G146" s="90"/>
      <c r="H146" s="90"/>
      <c r="I146" s="90"/>
      <c r="J146" s="90"/>
      <c r="K146" s="90"/>
      <c r="L146" s="90"/>
      <c r="M146" s="90"/>
      <c r="N146" s="90"/>
      <c r="O146" s="90"/>
      <c r="P146" s="90"/>
      <c r="Q146" s="90"/>
      <c r="R146" s="90"/>
      <c r="S146" s="90"/>
    </row>
    <row r="147" spans="1:19" ht="12.75" hidden="1" customHeight="1" x14ac:dyDescent="0.25">
      <c r="A147" s="89"/>
      <c r="F147" s="90"/>
      <c r="G147" s="90"/>
      <c r="H147" s="90"/>
      <c r="I147" s="90"/>
      <c r="J147" s="90"/>
      <c r="K147" s="90"/>
      <c r="L147" s="90"/>
      <c r="M147" s="90"/>
      <c r="N147" s="90"/>
      <c r="O147" s="90"/>
      <c r="P147" s="90"/>
      <c r="Q147" s="90"/>
      <c r="R147" s="90"/>
      <c r="S147" s="90"/>
    </row>
    <row r="148" spans="1:19" ht="12.75" hidden="1" customHeight="1" x14ac:dyDescent="0.25">
      <c r="A148" s="89"/>
      <c r="F148" s="90"/>
      <c r="G148" s="90"/>
      <c r="H148" s="90"/>
      <c r="I148" s="90"/>
      <c r="J148" s="90"/>
      <c r="K148" s="90"/>
      <c r="L148" s="90"/>
      <c r="M148" s="90"/>
      <c r="N148" s="90"/>
      <c r="O148" s="90"/>
      <c r="P148" s="90"/>
      <c r="Q148" s="90"/>
      <c r="R148" s="90"/>
      <c r="S148" s="90"/>
    </row>
    <row r="149" spans="1:19" ht="12.75" hidden="1" customHeight="1" x14ac:dyDescent="0.25">
      <c r="A149" s="89"/>
      <c r="F149" s="90"/>
      <c r="G149" s="90"/>
      <c r="H149" s="90"/>
      <c r="I149" s="90"/>
      <c r="J149" s="90"/>
      <c r="K149" s="90"/>
      <c r="L149" s="90"/>
      <c r="M149" s="90"/>
      <c r="N149" s="90"/>
      <c r="O149" s="90"/>
      <c r="P149" s="90"/>
      <c r="Q149" s="90"/>
      <c r="R149" s="90"/>
      <c r="S149" s="90"/>
    </row>
    <row r="150" spans="1:19" ht="12.75" hidden="1" customHeight="1" x14ac:dyDescent="0.25">
      <c r="A150" s="89"/>
      <c r="F150" s="90"/>
      <c r="G150" s="90"/>
      <c r="H150" s="90"/>
      <c r="I150" s="90"/>
      <c r="J150" s="90"/>
      <c r="K150" s="90"/>
      <c r="L150" s="90"/>
      <c r="M150" s="90"/>
      <c r="N150" s="90"/>
      <c r="O150" s="90"/>
      <c r="P150" s="90"/>
      <c r="Q150" s="90"/>
      <c r="R150" s="90"/>
      <c r="S150" s="90"/>
    </row>
    <row r="151" spans="1:19" ht="12.75" hidden="1" customHeight="1" x14ac:dyDescent="0.25">
      <c r="A151" s="89"/>
      <c r="F151" s="90"/>
      <c r="G151" s="90"/>
      <c r="H151" s="90"/>
      <c r="I151" s="90"/>
      <c r="J151" s="90"/>
      <c r="K151" s="90"/>
      <c r="L151" s="90"/>
      <c r="M151" s="90"/>
      <c r="N151" s="90"/>
      <c r="O151" s="90"/>
      <c r="P151" s="90"/>
      <c r="Q151" s="90"/>
      <c r="R151" s="90"/>
      <c r="S151" s="90"/>
    </row>
    <row r="152" spans="1:19" ht="12.75" hidden="1" customHeight="1" x14ac:dyDescent="0.25">
      <c r="A152" s="89"/>
      <c r="F152" s="90"/>
      <c r="G152" s="90"/>
      <c r="H152" s="90"/>
      <c r="I152" s="90"/>
      <c r="J152" s="90"/>
      <c r="K152" s="90"/>
      <c r="L152" s="90"/>
      <c r="M152" s="90"/>
      <c r="N152" s="90"/>
      <c r="O152" s="90"/>
      <c r="P152" s="90"/>
      <c r="Q152" s="90"/>
      <c r="R152" s="90"/>
      <c r="S152" s="90"/>
    </row>
    <row r="153" spans="1:19" ht="12.75" hidden="1" customHeight="1" x14ac:dyDescent="0.25">
      <c r="A153" s="89"/>
      <c r="F153" s="90"/>
      <c r="G153" s="90"/>
      <c r="H153" s="90"/>
      <c r="I153" s="90"/>
      <c r="J153" s="90"/>
      <c r="K153" s="90"/>
      <c r="L153" s="90"/>
      <c r="M153" s="90"/>
      <c r="N153" s="90"/>
      <c r="O153" s="90"/>
      <c r="P153" s="90"/>
      <c r="Q153" s="90"/>
      <c r="R153" s="90"/>
      <c r="S153" s="90"/>
    </row>
    <row r="154" spans="1:19" ht="12.75" hidden="1" customHeight="1" x14ac:dyDescent="0.25">
      <c r="A154" s="89"/>
      <c r="F154" s="90"/>
      <c r="G154" s="90"/>
      <c r="H154" s="90"/>
      <c r="I154" s="90"/>
      <c r="J154" s="90"/>
      <c r="K154" s="90"/>
      <c r="L154" s="90"/>
      <c r="M154" s="90"/>
      <c r="N154" s="90"/>
      <c r="O154" s="90"/>
      <c r="P154" s="90"/>
      <c r="Q154" s="90"/>
      <c r="R154" s="90"/>
      <c r="S154" s="90"/>
    </row>
    <row r="155" spans="1:19" ht="12.75" hidden="1" customHeight="1" x14ac:dyDescent="0.25">
      <c r="A155" s="89"/>
      <c r="F155" s="90"/>
      <c r="G155" s="90"/>
      <c r="H155" s="90"/>
      <c r="I155" s="90"/>
      <c r="J155" s="90"/>
      <c r="K155" s="90"/>
      <c r="L155" s="90"/>
      <c r="M155" s="90"/>
      <c r="N155" s="90"/>
      <c r="O155" s="90"/>
      <c r="P155" s="90"/>
      <c r="Q155" s="90"/>
      <c r="R155" s="90"/>
      <c r="S155" s="90"/>
    </row>
    <row r="156" spans="1:19" ht="12.75" hidden="1" customHeight="1" x14ac:dyDescent="0.25">
      <c r="A156" s="89"/>
      <c r="F156" s="90"/>
      <c r="G156" s="90"/>
      <c r="H156" s="90"/>
      <c r="I156" s="90"/>
      <c r="J156" s="90"/>
      <c r="K156" s="90"/>
      <c r="L156" s="90"/>
      <c r="M156" s="90"/>
      <c r="N156" s="90"/>
      <c r="O156" s="90"/>
      <c r="P156" s="90"/>
      <c r="Q156" s="90"/>
      <c r="R156" s="90"/>
      <c r="S156" s="90"/>
    </row>
    <row r="157" spans="1:19" ht="12.75" hidden="1" customHeight="1" x14ac:dyDescent="0.25">
      <c r="A157" s="89"/>
      <c r="F157" s="90"/>
      <c r="G157" s="90"/>
      <c r="H157" s="90"/>
      <c r="I157" s="90"/>
      <c r="J157" s="90"/>
      <c r="K157" s="90"/>
      <c r="L157" s="90"/>
      <c r="M157" s="90"/>
      <c r="N157" s="90"/>
      <c r="O157" s="90"/>
      <c r="P157" s="90"/>
      <c r="Q157" s="90"/>
      <c r="R157" s="90"/>
      <c r="S157" s="90"/>
    </row>
    <row r="158" spans="1:19" ht="12.75" hidden="1" customHeight="1" x14ac:dyDescent="0.25">
      <c r="A158" s="89"/>
      <c r="F158" s="90"/>
      <c r="G158" s="90"/>
      <c r="H158" s="90"/>
      <c r="I158" s="90"/>
      <c r="J158" s="90"/>
      <c r="K158" s="90"/>
      <c r="L158" s="90"/>
      <c r="M158" s="90"/>
      <c r="N158" s="90"/>
      <c r="O158" s="90"/>
      <c r="P158" s="90"/>
      <c r="Q158" s="90"/>
      <c r="R158" s="90"/>
      <c r="S158" s="90"/>
    </row>
    <row r="159" spans="1:19" ht="12.75" hidden="1" customHeight="1" x14ac:dyDescent="0.25">
      <c r="A159" s="89"/>
      <c r="F159" s="90"/>
      <c r="G159" s="90"/>
      <c r="H159" s="90"/>
      <c r="I159" s="90"/>
      <c r="J159" s="90"/>
      <c r="K159" s="90"/>
      <c r="L159" s="90"/>
      <c r="M159" s="90"/>
      <c r="N159" s="90"/>
      <c r="O159" s="90"/>
      <c r="P159" s="90"/>
      <c r="Q159" s="90"/>
      <c r="R159" s="90"/>
      <c r="S159" s="90"/>
    </row>
    <row r="160" spans="1:19" ht="12.75" hidden="1" customHeight="1" x14ac:dyDescent="0.25">
      <c r="A160" s="89"/>
      <c r="F160" s="90"/>
      <c r="G160" s="90"/>
      <c r="H160" s="90"/>
      <c r="I160" s="90"/>
      <c r="J160" s="90"/>
      <c r="K160" s="90"/>
      <c r="L160" s="90"/>
      <c r="M160" s="90"/>
      <c r="N160" s="90"/>
      <c r="O160" s="90"/>
      <c r="P160" s="90"/>
      <c r="Q160" s="90"/>
      <c r="R160" s="90"/>
      <c r="S160" s="90"/>
    </row>
    <row r="161" spans="1:42" ht="12.75" hidden="1" customHeight="1" x14ac:dyDescent="0.25">
      <c r="A161" s="89"/>
      <c r="F161" s="90"/>
      <c r="G161" s="90"/>
      <c r="H161" s="90"/>
      <c r="I161" s="90"/>
      <c r="J161" s="90"/>
      <c r="K161" s="90"/>
      <c r="L161" s="90"/>
      <c r="M161" s="90"/>
      <c r="N161" s="90"/>
      <c r="O161" s="90"/>
      <c r="P161" s="90"/>
      <c r="Q161" s="90"/>
      <c r="R161" s="90"/>
      <c r="S161" s="90"/>
    </row>
    <row r="162" spans="1:42" ht="12.75" hidden="1" customHeight="1" x14ac:dyDescent="0.25">
      <c r="A162" s="89"/>
      <c r="F162" s="90"/>
      <c r="G162" s="90"/>
      <c r="H162" s="90"/>
      <c r="I162" s="90"/>
      <c r="J162" s="90"/>
      <c r="K162" s="90"/>
      <c r="L162" s="90"/>
      <c r="M162" s="90"/>
      <c r="N162" s="90"/>
      <c r="O162" s="90"/>
      <c r="P162" s="90"/>
      <c r="Q162" s="90"/>
      <c r="R162" s="90"/>
      <c r="S162" s="90"/>
    </row>
    <row r="163" spans="1:42" ht="12.75" hidden="1" customHeight="1" x14ac:dyDescent="0.25">
      <c r="A163" s="89"/>
      <c r="F163" s="90"/>
      <c r="G163" s="90"/>
      <c r="H163" s="90"/>
      <c r="I163" s="90"/>
      <c r="J163" s="90"/>
      <c r="K163" s="90"/>
      <c r="L163" s="90"/>
      <c r="M163" s="90"/>
      <c r="N163" s="90"/>
      <c r="O163" s="90"/>
      <c r="P163" s="90"/>
      <c r="Q163" s="90"/>
      <c r="R163" s="90"/>
      <c r="S163" s="90"/>
    </row>
    <row r="164" spans="1:42" ht="12.75" hidden="1" customHeight="1" x14ac:dyDescent="0.25">
      <c r="A164" s="89"/>
      <c r="F164" s="90"/>
      <c r="G164" s="90"/>
      <c r="H164" s="90"/>
      <c r="I164" s="90"/>
      <c r="J164" s="90"/>
      <c r="K164" s="90"/>
      <c r="L164" s="90"/>
      <c r="M164" s="90"/>
      <c r="N164" s="90"/>
      <c r="O164" s="90"/>
      <c r="P164" s="90"/>
      <c r="Q164" s="90"/>
      <c r="R164" s="90"/>
      <c r="S164" s="90"/>
    </row>
    <row r="165" spans="1:42" ht="12.75" hidden="1" customHeight="1" x14ac:dyDescent="0.25">
      <c r="A165" s="89"/>
      <c r="F165" s="90"/>
      <c r="G165" s="90"/>
      <c r="H165" s="90"/>
      <c r="I165" s="90"/>
      <c r="J165" s="90"/>
      <c r="K165" s="90"/>
      <c r="L165" s="90"/>
      <c r="M165" s="90"/>
      <c r="N165" s="90"/>
      <c r="O165" s="90"/>
      <c r="P165" s="90"/>
      <c r="Q165" s="90"/>
      <c r="R165" s="90"/>
      <c r="S165" s="90"/>
    </row>
    <row r="166" spans="1:42" ht="12.75" hidden="1" customHeight="1" x14ac:dyDescent="0.25">
      <c r="A166" s="89"/>
      <c r="F166" s="90"/>
      <c r="G166" s="90"/>
      <c r="H166" s="90"/>
      <c r="I166" s="90"/>
      <c r="J166" s="90"/>
      <c r="K166" s="90"/>
      <c r="L166" s="90"/>
      <c r="M166" s="90"/>
      <c r="N166" s="90"/>
      <c r="O166" s="90"/>
      <c r="P166" s="90"/>
      <c r="Q166" s="90"/>
      <c r="R166" s="90"/>
      <c r="S166" s="90"/>
    </row>
    <row r="167" spans="1:42" ht="12.75" hidden="1" customHeight="1" x14ac:dyDescent="0.25">
      <c r="A167" s="89"/>
      <c r="F167" s="90"/>
      <c r="G167" s="90"/>
      <c r="H167" s="90"/>
      <c r="I167" s="90"/>
      <c r="J167" s="90"/>
      <c r="K167" s="90"/>
      <c r="L167" s="90"/>
      <c r="M167" s="90"/>
      <c r="N167" s="90"/>
      <c r="O167" s="90"/>
      <c r="P167" s="90"/>
      <c r="Q167" s="90"/>
      <c r="R167" s="90"/>
      <c r="S167" s="90"/>
    </row>
    <row r="168" spans="1:42" ht="12.75" hidden="1" customHeight="1" x14ac:dyDescent="0.25">
      <c r="A168" s="89"/>
      <c r="F168" s="90"/>
      <c r="G168" s="90"/>
      <c r="H168" s="90"/>
      <c r="I168" s="90"/>
      <c r="J168" s="90"/>
      <c r="K168" s="90"/>
      <c r="L168" s="90"/>
      <c r="M168" s="90"/>
      <c r="N168" s="90"/>
      <c r="O168" s="90"/>
      <c r="P168" s="90"/>
      <c r="Q168" s="90"/>
      <c r="R168" s="90"/>
      <c r="S168" s="90"/>
    </row>
    <row r="169" spans="1:42" ht="12.75" hidden="1" customHeight="1" x14ac:dyDescent="0.25">
      <c r="A169" s="89"/>
      <c r="F169" s="90"/>
      <c r="G169" s="90"/>
      <c r="H169" s="90"/>
      <c r="I169" s="90"/>
      <c r="J169" s="90"/>
      <c r="K169" s="90"/>
      <c r="L169" s="90"/>
      <c r="M169" s="90"/>
      <c r="N169" s="90"/>
      <c r="O169" s="90"/>
      <c r="P169" s="90"/>
      <c r="Q169" s="90"/>
      <c r="R169" s="90"/>
      <c r="S169" s="90"/>
    </row>
    <row r="170" spans="1:42" ht="12.75" hidden="1" customHeight="1" x14ac:dyDescent="0.25">
      <c r="A170" s="89"/>
      <c r="F170" s="90"/>
      <c r="G170" s="90"/>
      <c r="H170" s="90"/>
      <c r="I170" s="90"/>
      <c r="J170" s="90"/>
      <c r="K170" s="90"/>
      <c r="L170" s="90"/>
      <c r="M170" s="90"/>
      <c r="N170" s="90"/>
      <c r="O170" s="90"/>
      <c r="P170" s="90"/>
      <c r="Q170" s="90"/>
      <c r="R170" s="90"/>
      <c r="S170" s="90"/>
    </row>
    <row r="171" spans="1:42" ht="12.75" hidden="1" customHeight="1" x14ac:dyDescent="0.25">
      <c r="A171" s="89"/>
      <c r="F171" s="90"/>
      <c r="G171" s="90"/>
      <c r="H171" s="90"/>
      <c r="I171" s="90"/>
      <c r="J171" s="90"/>
      <c r="K171" s="90"/>
      <c r="L171" s="90"/>
      <c r="M171" s="90"/>
      <c r="N171" s="90"/>
      <c r="O171" s="90"/>
      <c r="P171" s="90"/>
      <c r="Q171" s="90"/>
      <c r="R171" s="90"/>
      <c r="S171" s="90"/>
    </row>
    <row r="172" spans="1:42" ht="12.75" hidden="1" customHeight="1" x14ac:dyDescent="0.25">
      <c r="A172" s="89"/>
      <c r="F172" s="90"/>
      <c r="G172" s="90"/>
      <c r="H172" s="90"/>
      <c r="I172" s="90"/>
      <c r="J172" s="90"/>
      <c r="K172" s="90"/>
      <c r="L172" s="90"/>
      <c r="M172" s="90"/>
      <c r="N172" s="90"/>
      <c r="O172" s="90"/>
      <c r="P172" s="90"/>
      <c r="Q172" s="90"/>
      <c r="R172" s="90"/>
      <c r="S172" s="90"/>
    </row>
    <row r="173" spans="1:42" ht="12.75" hidden="1" customHeight="1" x14ac:dyDescent="0.25">
      <c r="A173" s="89"/>
      <c r="F173" s="90"/>
      <c r="G173" s="90"/>
      <c r="H173" s="90"/>
      <c r="I173" s="90"/>
      <c r="J173" s="90"/>
      <c r="K173" s="90"/>
      <c r="L173" s="90"/>
      <c r="M173" s="90"/>
      <c r="N173" s="90"/>
      <c r="O173" s="90"/>
      <c r="P173" s="90"/>
      <c r="Q173" s="90"/>
      <c r="R173" s="90"/>
      <c r="S173" s="90"/>
    </row>
    <row r="174" spans="1:42" ht="12.75" customHeight="1" x14ac:dyDescent="0.25">
      <c r="A174" s="89"/>
      <c r="F174" s="90"/>
      <c r="G174" s="90"/>
      <c r="H174" s="90"/>
      <c r="I174" s="90"/>
      <c r="J174" s="90"/>
      <c r="K174" s="90"/>
      <c r="L174" s="90"/>
      <c r="M174" s="90"/>
      <c r="N174" s="90"/>
      <c r="O174" s="90"/>
      <c r="P174" s="90"/>
      <c r="Q174" s="90"/>
      <c r="R174" s="90"/>
      <c r="S174" s="90"/>
    </row>
    <row r="175" spans="1:42" ht="12.75" customHeight="1" x14ac:dyDescent="0.25">
      <c r="A175" s="89"/>
      <c r="F175" s="90"/>
      <c r="G175" s="90"/>
      <c r="H175" s="90"/>
      <c r="I175" s="90"/>
      <c r="J175" s="90"/>
      <c r="K175" s="90"/>
      <c r="L175" s="90"/>
      <c r="M175" s="90"/>
      <c r="N175" s="90"/>
      <c r="O175" s="90"/>
      <c r="P175" s="90"/>
      <c r="Q175" s="90"/>
      <c r="R175" s="90"/>
      <c r="S175" s="90"/>
    </row>
    <row r="176" spans="1:42" ht="12.75" customHeight="1" x14ac:dyDescent="0.25">
      <c r="C176" s="766" t="s">
        <v>2</v>
      </c>
      <c r="D176" s="764" t="s">
        <v>132</v>
      </c>
      <c r="E176" s="98" t="s">
        <v>70</v>
      </c>
      <c r="F176" s="100">
        <f>F113+F130-L113+F90-L90</f>
        <v>12157780441.190001</v>
      </c>
      <c r="G176" s="100">
        <f t="shared" ref="G176:AP176" si="5">G113+G90</f>
        <v>1015770233.8699999</v>
      </c>
      <c r="H176" s="100">
        <f t="shared" si="5"/>
        <v>562769605.98000002</v>
      </c>
      <c r="I176" s="100">
        <f t="shared" si="5"/>
        <v>292850581.68000001</v>
      </c>
      <c r="J176" s="100">
        <f t="shared" si="5"/>
        <v>3895596894.7599998</v>
      </c>
      <c r="K176" s="100">
        <f t="shared" si="5"/>
        <v>147913633.99000001</v>
      </c>
      <c r="L176" s="100">
        <f t="shared" si="5"/>
        <v>31737181.809999999</v>
      </c>
      <c r="M176" s="100">
        <f t="shared" si="5"/>
        <v>1300275924.1499999</v>
      </c>
      <c r="N176" s="100">
        <f t="shared" si="5"/>
        <v>1304144780.3399999</v>
      </c>
      <c r="O176" s="100">
        <f t="shared" si="5"/>
        <v>6075326989.9300003</v>
      </c>
      <c r="P176" s="100">
        <f t="shared" si="5"/>
        <v>1983515059.6800001</v>
      </c>
      <c r="Q176" s="100">
        <f t="shared" si="5"/>
        <v>242015622.47999999</v>
      </c>
      <c r="R176" s="100">
        <f t="shared" si="5"/>
        <v>-15889.24</v>
      </c>
      <c r="S176" s="100">
        <f t="shared" si="5"/>
        <v>9.2200000000000006</v>
      </c>
      <c r="T176" s="100">
        <f t="shared" si="5"/>
        <v>1.41</v>
      </c>
      <c r="U176" s="100">
        <f t="shared" si="5"/>
        <v>0</v>
      </c>
      <c r="V176" s="100">
        <f t="shared" si="5"/>
        <v>0</v>
      </c>
      <c r="W176" s="100">
        <f t="shared" si="5"/>
        <v>0</v>
      </c>
      <c r="X176" s="100">
        <f t="shared" si="5"/>
        <v>0</v>
      </c>
      <c r="Y176" s="100">
        <f t="shared" si="5"/>
        <v>0</v>
      </c>
      <c r="Z176" s="100">
        <f t="shared" si="5"/>
        <v>-119.47</v>
      </c>
      <c r="AA176" s="100">
        <f t="shared" si="5"/>
        <v>0</v>
      </c>
      <c r="AB176" s="100">
        <f t="shared" si="5"/>
        <v>0</v>
      </c>
      <c r="AC176" s="100">
        <f t="shared" si="5"/>
        <v>0</v>
      </c>
      <c r="AD176" s="100">
        <f t="shared" si="5"/>
        <v>0</v>
      </c>
      <c r="AE176" s="100">
        <f t="shared" si="5"/>
        <v>0</v>
      </c>
      <c r="AF176" s="100">
        <f t="shared" si="5"/>
        <v>0</v>
      </c>
      <c r="AG176" s="100">
        <f t="shared" si="5"/>
        <v>0</v>
      </c>
      <c r="AH176" s="100">
        <f t="shared" si="5"/>
        <v>0</v>
      </c>
      <c r="AI176" s="100">
        <f t="shared" si="5"/>
        <v>0</v>
      </c>
      <c r="AJ176" s="100">
        <f t="shared" si="5"/>
        <v>0</v>
      </c>
      <c r="AK176" s="100">
        <f t="shared" si="5"/>
        <v>0</v>
      </c>
      <c r="AL176" s="100">
        <f t="shared" si="5"/>
        <v>0</v>
      </c>
      <c r="AM176" s="100">
        <f t="shared" si="5"/>
        <v>0</v>
      </c>
      <c r="AN176" s="100">
        <f t="shared" si="5"/>
        <v>0</v>
      </c>
      <c r="AO176" s="100">
        <f t="shared" si="5"/>
        <v>0</v>
      </c>
      <c r="AP176" s="100">
        <f t="shared" si="5"/>
        <v>0</v>
      </c>
    </row>
    <row r="177" spans="1:42" ht="12.75" customHeight="1" x14ac:dyDescent="0.25">
      <c r="C177" s="766"/>
      <c r="D177" s="764"/>
      <c r="E177" s="98" t="s">
        <v>73</v>
      </c>
      <c r="F177" s="100">
        <f>F130</f>
        <v>-4662382887.5900002</v>
      </c>
      <c r="G177" s="90"/>
      <c r="H177" s="90"/>
      <c r="I177" s="90"/>
      <c r="J177" s="90"/>
      <c r="K177" s="90"/>
      <c r="L177" s="90"/>
      <c r="M177" s="90"/>
      <c r="N177" s="90"/>
      <c r="O177" s="90"/>
      <c r="P177" s="90"/>
      <c r="Q177" s="90"/>
      <c r="R177" s="90"/>
      <c r="S177" s="90"/>
    </row>
    <row r="178" spans="1:42" ht="12.75" customHeight="1" x14ac:dyDescent="0.25">
      <c r="C178" s="766"/>
      <c r="D178" s="764" t="s">
        <v>133</v>
      </c>
      <c r="E178" s="233" t="s">
        <v>70</v>
      </c>
      <c r="F178" s="234">
        <v>0</v>
      </c>
      <c r="G178" s="234">
        <v>0</v>
      </c>
      <c r="H178" s="234">
        <v>0</v>
      </c>
      <c r="I178" s="234">
        <v>0</v>
      </c>
      <c r="J178" s="234">
        <v>0</v>
      </c>
      <c r="K178" s="234">
        <v>0</v>
      </c>
      <c r="L178" s="234">
        <v>0</v>
      </c>
      <c r="M178" s="234">
        <v>0</v>
      </c>
      <c r="N178" s="234">
        <v>0</v>
      </c>
      <c r="O178" s="234">
        <v>0</v>
      </c>
      <c r="P178" s="234">
        <v>0</v>
      </c>
      <c r="Q178" s="234">
        <v>0</v>
      </c>
      <c r="R178" s="234">
        <v>0</v>
      </c>
      <c r="S178" s="234">
        <v>0</v>
      </c>
      <c r="T178" s="234">
        <v>0</v>
      </c>
      <c r="U178" s="234">
        <v>0</v>
      </c>
      <c r="V178" s="234">
        <v>0</v>
      </c>
      <c r="W178" s="234">
        <v>0</v>
      </c>
      <c r="X178" s="234">
        <v>0</v>
      </c>
      <c r="Y178" s="234">
        <v>0</v>
      </c>
      <c r="Z178" s="234">
        <v>0</v>
      </c>
      <c r="AA178" s="234">
        <v>0</v>
      </c>
      <c r="AB178" s="234">
        <v>0</v>
      </c>
      <c r="AC178" s="234">
        <v>0</v>
      </c>
      <c r="AD178" s="234">
        <v>0</v>
      </c>
      <c r="AE178" s="234">
        <v>0</v>
      </c>
      <c r="AF178" s="234">
        <v>0</v>
      </c>
      <c r="AG178" s="234">
        <v>0</v>
      </c>
      <c r="AH178" s="234">
        <v>0</v>
      </c>
      <c r="AI178" s="234">
        <v>0</v>
      </c>
      <c r="AJ178" s="234">
        <v>0</v>
      </c>
      <c r="AK178" s="234">
        <v>0</v>
      </c>
      <c r="AL178" s="234">
        <v>0</v>
      </c>
      <c r="AM178" s="234">
        <v>0</v>
      </c>
      <c r="AN178" s="234">
        <v>0</v>
      </c>
      <c r="AO178" s="234">
        <v>0</v>
      </c>
      <c r="AP178" s="234">
        <v>0</v>
      </c>
    </row>
    <row r="179" spans="1:42" ht="12.75" customHeight="1" x14ac:dyDescent="0.25">
      <c r="C179" s="766"/>
      <c r="D179" s="764"/>
      <c r="E179" s="233" t="s">
        <v>73</v>
      </c>
      <c r="F179" s="234">
        <v>0</v>
      </c>
      <c r="G179" s="90"/>
      <c r="H179" s="90"/>
      <c r="I179" s="90"/>
      <c r="J179" s="90"/>
      <c r="K179" s="90"/>
      <c r="L179" s="90"/>
      <c r="M179" s="90"/>
      <c r="N179" s="90"/>
      <c r="O179" s="90"/>
      <c r="P179" s="90"/>
      <c r="Q179" s="90"/>
      <c r="R179" s="90"/>
    </row>
    <row r="180" spans="1:42" ht="12.75" customHeight="1" x14ac:dyDescent="0.3">
      <c r="A180" s="89"/>
      <c r="C180" s="97"/>
      <c r="F180" s="90"/>
      <c r="G180" s="90"/>
      <c r="H180" s="90"/>
      <c r="I180" s="90"/>
      <c r="J180" s="90"/>
      <c r="K180" s="90"/>
      <c r="L180" s="90"/>
      <c r="M180" s="90"/>
      <c r="N180" s="90"/>
      <c r="O180" s="90"/>
      <c r="P180" s="90"/>
      <c r="Q180" s="90"/>
      <c r="R180" s="90"/>
      <c r="S180" s="90"/>
    </row>
    <row r="181" spans="1:42" ht="12.75" customHeight="1" x14ac:dyDescent="0.25">
      <c r="C181" s="766" t="s">
        <v>160</v>
      </c>
      <c r="D181" s="764" t="s">
        <v>132</v>
      </c>
      <c r="E181" s="223" t="s">
        <v>70</v>
      </c>
      <c r="F181" s="225">
        <f>F102+F122+F86-L86-L102</f>
        <v>13570060</v>
      </c>
      <c r="G181" s="225">
        <f>G102+G86</f>
        <v>1145544.99</v>
      </c>
      <c r="H181" s="225">
        <f t="shared" ref="H181:AP181" si="6">H102+H86</f>
        <v>592527.72000000009</v>
      </c>
      <c r="I181" s="225">
        <f t="shared" si="6"/>
        <v>304565.26</v>
      </c>
      <c r="J181" s="225">
        <f t="shared" si="6"/>
        <v>4546050.9499999993</v>
      </c>
      <c r="K181" s="225">
        <f t="shared" si="6"/>
        <v>154986.16</v>
      </c>
      <c r="L181" s="225">
        <f t="shared" si="6"/>
        <v>0</v>
      </c>
      <c r="M181" s="225">
        <f t="shared" si="6"/>
        <v>1360418.25</v>
      </c>
      <c r="N181" s="225">
        <f t="shared" si="6"/>
        <v>1506645.9400000002</v>
      </c>
      <c r="O181" s="225">
        <f t="shared" si="6"/>
        <v>6800723.5800000001</v>
      </c>
      <c r="P181" s="225">
        <f t="shared" si="6"/>
        <v>2222376.09</v>
      </c>
      <c r="Q181" s="225">
        <f t="shared" si="6"/>
        <v>252978.03</v>
      </c>
      <c r="R181" s="225">
        <f t="shared" si="6"/>
        <v>-54.21</v>
      </c>
      <c r="S181" s="225">
        <f t="shared" si="6"/>
        <v>0</v>
      </c>
      <c r="T181" s="225">
        <f t="shared" si="6"/>
        <v>0</v>
      </c>
      <c r="U181" s="225">
        <f t="shared" si="6"/>
        <v>0</v>
      </c>
      <c r="V181" s="225">
        <f t="shared" si="6"/>
        <v>0</v>
      </c>
      <c r="W181" s="225">
        <f t="shared" si="6"/>
        <v>0</v>
      </c>
      <c r="X181" s="225">
        <f t="shared" si="6"/>
        <v>0</v>
      </c>
      <c r="Y181" s="225">
        <f t="shared" si="6"/>
        <v>0</v>
      </c>
      <c r="Z181" s="225">
        <f t="shared" si="6"/>
        <v>0</v>
      </c>
      <c r="AA181" s="225">
        <f t="shared" si="6"/>
        <v>0</v>
      </c>
      <c r="AB181" s="225">
        <f t="shared" si="6"/>
        <v>0</v>
      </c>
      <c r="AC181" s="225">
        <f t="shared" si="6"/>
        <v>0</v>
      </c>
      <c r="AD181" s="225">
        <f t="shared" si="6"/>
        <v>0</v>
      </c>
      <c r="AE181" s="225">
        <f t="shared" si="6"/>
        <v>0</v>
      </c>
      <c r="AF181" s="225">
        <f t="shared" si="6"/>
        <v>0</v>
      </c>
      <c r="AG181" s="225">
        <f t="shared" si="6"/>
        <v>0</v>
      </c>
      <c r="AH181" s="225">
        <f t="shared" si="6"/>
        <v>0</v>
      </c>
      <c r="AI181" s="225">
        <f t="shared" si="6"/>
        <v>0</v>
      </c>
      <c r="AJ181" s="225">
        <f t="shared" si="6"/>
        <v>0</v>
      </c>
      <c r="AK181" s="225">
        <f t="shared" si="6"/>
        <v>0</v>
      </c>
      <c r="AL181" s="225">
        <f t="shared" si="6"/>
        <v>0</v>
      </c>
      <c r="AM181" s="225">
        <f t="shared" si="6"/>
        <v>0</v>
      </c>
      <c r="AN181" s="225">
        <f t="shared" si="6"/>
        <v>0</v>
      </c>
      <c r="AO181" s="225">
        <f t="shared" si="6"/>
        <v>0</v>
      </c>
      <c r="AP181" s="225">
        <f t="shared" si="6"/>
        <v>0</v>
      </c>
    </row>
    <row r="182" spans="1:42" ht="12.75" customHeight="1" x14ac:dyDescent="0.25">
      <c r="C182" s="766"/>
      <c r="D182" s="764"/>
      <c r="E182" s="223" t="s">
        <v>73</v>
      </c>
      <c r="F182" s="225">
        <f>F122</f>
        <v>-5316702.76</v>
      </c>
      <c r="G182" s="90"/>
      <c r="H182" s="90"/>
      <c r="I182" s="90"/>
      <c r="J182" s="90"/>
      <c r="K182" s="90"/>
      <c r="L182" s="90"/>
      <c r="M182" s="90"/>
      <c r="N182" s="90"/>
      <c r="O182" s="90"/>
      <c r="P182" s="90"/>
      <c r="Q182" s="90"/>
      <c r="R182" s="90"/>
      <c r="S182" s="90"/>
    </row>
    <row r="183" spans="1:42" ht="12.75" customHeight="1" x14ac:dyDescent="0.25">
      <c r="C183" s="766"/>
      <c r="D183" s="764" t="s">
        <v>133</v>
      </c>
      <c r="E183" s="227" t="s">
        <v>70</v>
      </c>
      <c r="F183" s="228">
        <v>0</v>
      </c>
      <c r="G183" s="228">
        <v>0</v>
      </c>
      <c r="H183" s="228">
        <v>0</v>
      </c>
      <c r="I183" s="228">
        <v>0</v>
      </c>
      <c r="J183" s="228">
        <v>0</v>
      </c>
      <c r="K183" s="228">
        <v>0</v>
      </c>
      <c r="L183" s="228">
        <v>0</v>
      </c>
      <c r="M183" s="228">
        <v>0</v>
      </c>
      <c r="N183" s="228">
        <v>0</v>
      </c>
      <c r="O183" s="228">
        <v>0</v>
      </c>
      <c r="P183" s="228">
        <v>0</v>
      </c>
      <c r="Q183" s="228">
        <v>0</v>
      </c>
      <c r="R183" s="228">
        <v>0</v>
      </c>
      <c r="S183" s="228">
        <v>0</v>
      </c>
      <c r="T183" s="228">
        <v>0</v>
      </c>
      <c r="U183" s="228">
        <v>0</v>
      </c>
      <c r="V183" s="228">
        <v>0</v>
      </c>
      <c r="W183" s="228">
        <v>0</v>
      </c>
      <c r="X183" s="228">
        <v>0</v>
      </c>
      <c r="Y183" s="228">
        <v>0</v>
      </c>
      <c r="Z183" s="228">
        <v>0</v>
      </c>
      <c r="AA183" s="228">
        <v>0</v>
      </c>
      <c r="AB183" s="228">
        <v>0</v>
      </c>
      <c r="AC183" s="228">
        <v>0</v>
      </c>
      <c r="AD183" s="228">
        <v>0</v>
      </c>
      <c r="AE183" s="228">
        <v>0</v>
      </c>
      <c r="AF183" s="228">
        <v>0</v>
      </c>
      <c r="AG183" s="228">
        <v>0</v>
      </c>
      <c r="AH183" s="228">
        <v>0</v>
      </c>
      <c r="AI183" s="228">
        <v>0</v>
      </c>
      <c r="AJ183" s="228">
        <v>0</v>
      </c>
      <c r="AK183" s="228">
        <v>0</v>
      </c>
      <c r="AL183" s="228">
        <v>0</v>
      </c>
      <c r="AM183" s="228">
        <v>0</v>
      </c>
      <c r="AN183" s="228">
        <v>0</v>
      </c>
      <c r="AO183" s="228">
        <v>0</v>
      </c>
      <c r="AP183" s="228">
        <v>0</v>
      </c>
    </row>
    <row r="184" spans="1:42" ht="12.75" customHeight="1" x14ac:dyDescent="0.25">
      <c r="C184" s="766"/>
      <c r="D184" s="764"/>
      <c r="E184" s="227" t="s">
        <v>73</v>
      </c>
      <c r="F184" s="228">
        <v>0</v>
      </c>
      <c r="G184" s="90"/>
      <c r="H184" s="90"/>
      <c r="I184" s="90"/>
      <c r="J184" s="90"/>
      <c r="K184" s="90"/>
      <c r="L184" s="90"/>
      <c r="M184" s="90"/>
      <c r="N184" s="90"/>
      <c r="O184" s="90"/>
      <c r="P184" s="90"/>
      <c r="Q184" s="90"/>
      <c r="R184" s="90"/>
    </row>
    <row r="185" spans="1:42" ht="12.75" customHeight="1" x14ac:dyDescent="0.3">
      <c r="A185" s="89"/>
      <c r="C185" s="97"/>
      <c r="F185" s="90"/>
      <c r="G185" s="90"/>
      <c r="H185" s="90"/>
      <c r="I185" s="90"/>
      <c r="J185" s="90"/>
      <c r="K185" s="90"/>
      <c r="L185" s="90"/>
      <c r="M185" s="90"/>
      <c r="N185" s="90"/>
      <c r="O185" s="90"/>
      <c r="P185" s="90"/>
      <c r="Q185" s="90"/>
      <c r="R185" s="90"/>
      <c r="S185" s="90"/>
    </row>
    <row r="186" spans="1:42" ht="12.75" customHeight="1" x14ac:dyDescent="0.25">
      <c r="C186" s="766" t="s">
        <v>155</v>
      </c>
      <c r="D186" s="764" t="s">
        <v>132</v>
      </c>
      <c r="E186" s="221" t="s">
        <v>70</v>
      </c>
      <c r="F186" s="222">
        <f>F117+F95+F83-L83-L95</f>
        <v>11762458070.289999</v>
      </c>
      <c r="G186" s="222">
        <f>G95+G83</f>
        <v>964370454.65999997</v>
      </c>
      <c r="H186" s="222">
        <f t="shared" ref="H186:AA186" si="7">H95+H83</f>
        <v>534398956.72000003</v>
      </c>
      <c r="I186" s="222">
        <f t="shared" si="7"/>
        <v>278036749.99000001</v>
      </c>
      <c r="J186" s="222">
        <f t="shared" si="7"/>
        <v>3824032655.46</v>
      </c>
      <c r="K186" s="222">
        <f t="shared" si="7"/>
        <v>145826089.80000001</v>
      </c>
      <c r="L186" s="222">
        <f t="shared" si="7"/>
        <v>23317118.710000001</v>
      </c>
      <c r="M186" s="222">
        <f t="shared" si="7"/>
        <v>1281846099.53</v>
      </c>
      <c r="N186" s="222">
        <f t="shared" si="7"/>
        <v>1280506187.8</v>
      </c>
      <c r="O186" s="222">
        <f t="shared" si="7"/>
        <v>5969521696.5500002</v>
      </c>
      <c r="P186" s="222">
        <f t="shared" si="7"/>
        <v>1881604373.4200001</v>
      </c>
      <c r="Q186" s="222">
        <f t="shared" si="7"/>
        <v>238587300.53</v>
      </c>
      <c r="R186" s="222">
        <f t="shared" si="7"/>
        <v>-14792.68</v>
      </c>
      <c r="S186" s="222">
        <f t="shared" si="7"/>
        <v>-3.99</v>
      </c>
      <c r="T186" s="222">
        <f t="shared" si="7"/>
        <v>1.23</v>
      </c>
      <c r="U186" s="222">
        <f t="shared" si="7"/>
        <v>0</v>
      </c>
      <c r="V186" s="222">
        <f t="shared" si="7"/>
        <v>0</v>
      </c>
      <c r="W186" s="222">
        <f t="shared" si="7"/>
        <v>0</v>
      </c>
      <c r="X186" s="222">
        <f t="shared" si="7"/>
        <v>0</v>
      </c>
      <c r="Y186" s="222">
        <f t="shared" si="7"/>
        <v>0</v>
      </c>
      <c r="Z186" s="222">
        <f t="shared" si="7"/>
        <v>-118.36</v>
      </c>
      <c r="AA186" s="222">
        <f t="shared" si="7"/>
        <v>0</v>
      </c>
    </row>
    <row r="187" spans="1:42" ht="12.75" customHeight="1" x14ac:dyDescent="0.25">
      <c r="C187" s="766"/>
      <c r="D187" s="764"/>
      <c r="E187" s="221" t="s">
        <v>73</v>
      </c>
      <c r="F187" s="222">
        <f>F117</f>
        <v>-4636257580.3699999</v>
      </c>
      <c r="G187" s="90"/>
      <c r="H187" s="90"/>
      <c r="I187" s="90"/>
      <c r="J187" s="90"/>
      <c r="K187" s="90"/>
      <c r="L187" s="90"/>
      <c r="M187" s="90"/>
      <c r="N187" s="90"/>
      <c r="O187" s="90"/>
      <c r="P187" s="90"/>
      <c r="Q187" s="90"/>
      <c r="R187" s="90"/>
      <c r="S187" s="90"/>
    </row>
    <row r="188" spans="1:42" ht="12.75" customHeight="1" x14ac:dyDescent="0.25">
      <c r="C188" s="766"/>
      <c r="D188" s="764" t="s">
        <v>133</v>
      </c>
      <c r="E188" s="229" t="s">
        <v>70</v>
      </c>
      <c r="F188" s="230">
        <v>0</v>
      </c>
      <c r="G188" s="230">
        <v>0</v>
      </c>
      <c r="H188" s="230">
        <v>0</v>
      </c>
      <c r="I188" s="230">
        <v>0</v>
      </c>
      <c r="J188" s="230">
        <v>0</v>
      </c>
      <c r="K188" s="230">
        <v>0</v>
      </c>
      <c r="L188" s="230">
        <v>0</v>
      </c>
      <c r="M188" s="230">
        <v>0</v>
      </c>
      <c r="N188" s="230">
        <v>0</v>
      </c>
      <c r="O188" s="230">
        <v>0</v>
      </c>
      <c r="P188" s="230">
        <v>0</v>
      </c>
      <c r="Q188" s="230">
        <v>0</v>
      </c>
      <c r="R188" s="230">
        <v>0</v>
      </c>
      <c r="S188" s="230">
        <v>0</v>
      </c>
      <c r="T188" s="230">
        <v>0</v>
      </c>
      <c r="U188" s="230">
        <v>0</v>
      </c>
      <c r="V188" s="230">
        <v>0</v>
      </c>
      <c r="W188" s="230">
        <v>0</v>
      </c>
      <c r="X188" s="230">
        <v>0</v>
      </c>
      <c r="Y188" s="230">
        <v>0</v>
      </c>
      <c r="Z188" s="230">
        <v>0</v>
      </c>
      <c r="AA188" s="230">
        <v>0</v>
      </c>
    </row>
    <row r="189" spans="1:42" ht="12.75" customHeight="1" x14ac:dyDescent="0.25">
      <c r="C189" s="766"/>
      <c r="D189" s="764"/>
      <c r="E189" s="229" t="s">
        <v>73</v>
      </c>
      <c r="F189" s="230">
        <v>0</v>
      </c>
      <c r="G189" s="90"/>
      <c r="H189" s="90"/>
      <c r="I189" s="90"/>
      <c r="J189" s="90"/>
      <c r="K189" s="90"/>
      <c r="L189" s="90"/>
      <c r="M189" s="90"/>
      <c r="N189" s="90"/>
      <c r="O189" s="90"/>
      <c r="P189" s="90"/>
      <c r="Q189" s="90"/>
      <c r="R189" s="90"/>
    </row>
    <row r="190" spans="1:42" ht="12.75" customHeight="1" x14ac:dyDescent="0.3">
      <c r="A190" s="89"/>
      <c r="C190" s="97"/>
      <c r="F190" s="90"/>
      <c r="G190" s="90"/>
      <c r="H190" s="90"/>
      <c r="I190" s="90"/>
      <c r="J190" s="90"/>
      <c r="K190" s="90"/>
      <c r="L190" s="90"/>
      <c r="M190" s="90"/>
      <c r="N190" s="90"/>
      <c r="O190" s="90"/>
      <c r="P190" s="90"/>
      <c r="Q190" s="90"/>
      <c r="R190" s="90"/>
      <c r="S190" s="90"/>
    </row>
    <row r="191" spans="1:42" ht="12.75" customHeight="1" x14ac:dyDescent="0.25">
      <c r="C191" s="767" t="s">
        <v>326</v>
      </c>
      <c r="D191" s="764" t="s">
        <v>132</v>
      </c>
      <c r="E191" s="376" t="s">
        <v>70</v>
      </c>
      <c r="F191" s="377">
        <v>0</v>
      </c>
      <c r="G191" s="377">
        <v>0</v>
      </c>
      <c r="H191" s="377">
        <v>0</v>
      </c>
      <c r="I191" s="377">
        <v>0</v>
      </c>
      <c r="J191" s="377">
        <v>0</v>
      </c>
      <c r="K191" s="377">
        <v>0</v>
      </c>
      <c r="L191" s="377">
        <v>0</v>
      </c>
      <c r="M191" s="377">
        <v>0</v>
      </c>
      <c r="N191" s="377">
        <v>0</v>
      </c>
      <c r="O191" s="377">
        <v>0</v>
      </c>
      <c r="P191" s="377">
        <v>0</v>
      </c>
      <c r="Q191" s="377">
        <v>0</v>
      </c>
      <c r="R191" s="377">
        <v>0</v>
      </c>
      <c r="S191" s="377">
        <v>0</v>
      </c>
      <c r="T191" s="377">
        <v>0</v>
      </c>
      <c r="U191" s="377">
        <v>0</v>
      </c>
      <c r="V191" s="377">
        <v>0</v>
      </c>
      <c r="W191" s="377">
        <v>0</v>
      </c>
      <c r="X191" s="377">
        <v>0</v>
      </c>
      <c r="Y191" s="377">
        <v>0</v>
      </c>
      <c r="Z191" s="377">
        <v>0</v>
      </c>
      <c r="AA191" s="377">
        <v>0</v>
      </c>
      <c r="AB191" s="377">
        <v>0</v>
      </c>
      <c r="AC191" s="377">
        <v>0</v>
      </c>
      <c r="AD191" s="377">
        <v>0</v>
      </c>
      <c r="AE191" s="377">
        <v>0</v>
      </c>
      <c r="AF191" s="377">
        <v>0</v>
      </c>
      <c r="AG191" s="377">
        <v>0</v>
      </c>
      <c r="AH191" s="377">
        <v>0</v>
      </c>
      <c r="AI191" s="377">
        <v>0</v>
      </c>
      <c r="AJ191" s="377">
        <v>0</v>
      </c>
      <c r="AK191" s="377">
        <v>0</v>
      </c>
      <c r="AL191" s="377">
        <v>0</v>
      </c>
      <c r="AM191" s="377">
        <v>0</v>
      </c>
      <c r="AN191" s="377">
        <v>0</v>
      </c>
      <c r="AO191" s="377">
        <v>0</v>
      </c>
    </row>
    <row r="192" spans="1:42" ht="12.75" customHeight="1" x14ac:dyDescent="0.25">
      <c r="C192" s="767"/>
      <c r="D192" s="764"/>
      <c r="E192" s="376" t="s">
        <v>73</v>
      </c>
      <c r="F192" s="377">
        <v>0</v>
      </c>
      <c r="G192" s="90"/>
      <c r="H192" s="90"/>
      <c r="I192" s="90"/>
      <c r="J192" s="90"/>
      <c r="K192" s="90"/>
      <c r="L192" s="90"/>
      <c r="M192" s="90"/>
      <c r="N192" s="90"/>
      <c r="O192" s="90"/>
      <c r="P192" s="90"/>
      <c r="Q192" s="90"/>
      <c r="R192" s="90"/>
      <c r="S192" s="90"/>
    </row>
    <row r="193" spans="1:42" ht="12.75" customHeight="1" x14ac:dyDescent="0.25">
      <c r="C193" s="767"/>
      <c r="D193" s="764" t="s">
        <v>133</v>
      </c>
      <c r="E193" s="242" t="s">
        <v>70</v>
      </c>
      <c r="F193" s="243">
        <v>0</v>
      </c>
      <c r="G193" s="243">
        <v>0</v>
      </c>
      <c r="H193" s="243">
        <v>0</v>
      </c>
      <c r="I193" s="243">
        <v>0</v>
      </c>
      <c r="J193" s="243">
        <v>0</v>
      </c>
      <c r="K193" s="243">
        <v>0</v>
      </c>
      <c r="L193" s="243">
        <v>0</v>
      </c>
      <c r="M193" s="243">
        <v>0</v>
      </c>
      <c r="N193" s="243">
        <v>0</v>
      </c>
      <c r="O193" s="243">
        <v>0</v>
      </c>
      <c r="P193" s="243">
        <v>0</v>
      </c>
      <c r="Q193" s="243">
        <v>0</v>
      </c>
      <c r="R193" s="243">
        <v>0</v>
      </c>
      <c r="S193" s="243">
        <v>0</v>
      </c>
      <c r="T193" s="243">
        <v>0</v>
      </c>
      <c r="U193" s="243">
        <v>0</v>
      </c>
      <c r="V193" s="243">
        <v>0</v>
      </c>
      <c r="W193" s="243">
        <v>0</v>
      </c>
      <c r="X193" s="243">
        <v>0</v>
      </c>
      <c r="Y193" s="243">
        <v>0</v>
      </c>
      <c r="Z193" s="243">
        <v>0</v>
      </c>
      <c r="AA193" s="243">
        <v>0</v>
      </c>
      <c r="AB193" s="243">
        <v>0</v>
      </c>
      <c r="AC193" s="243">
        <v>0</v>
      </c>
      <c r="AD193" s="243">
        <v>0</v>
      </c>
      <c r="AE193" s="243">
        <v>0</v>
      </c>
      <c r="AF193" s="243">
        <v>0</v>
      </c>
      <c r="AG193" s="243">
        <v>0</v>
      </c>
      <c r="AH193" s="243">
        <v>0</v>
      </c>
      <c r="AI193" s="243">
        <v>0</v>
      </c>
      <c r="AJ193" s="243">
        <v>0</v>
      </c>
      <c r="AK193" s="243">
        <v>0</v>
      </c>
      <c r="AL193" s="243">
        <v>0</v>
      </c>
      <c r="AM193" s="243">
        <v>0</v>
      </c>
      <c r="AN193" s="243">
        <v>0</v>
      </c>
      <c r="AO193" s="243">
        <v>0</v>
      </c>
    </row>
    <row r="194" spans="1:42" ht="12.75" customHeight="1" x14ac:dyDescent="0.25">
      <c r="C194" s="767"/>
      <c r="D194" s="764"/>
      <c r="E194" s="242" t="s">
        <v>73</v>
      </c>
      <c r="F194" s="243">
        <v>0</v>
      </c>
      <c r="G194" s="90"/>
      <c r="H194" s="90"/>
      <c r="I194" s="90"/>
      <c r="J194" s="90"/>
      <c r="K194" s="90"/>
      <c r="L194" s="90"/>
      <c r="M194" s="90"/>
      <c r="N194" s="90"/>
      <c r="O194" s="90"/>
      <c r="P194" s="90"/>
      <c r="Q194" s="90"/>
      <c r="R194" s="90"/>
    </row>
    <row r="195" spans="1:42" ht="12.75" customHeight="1" x14ac:dyDescent="0.3">
      <c r="A195" s="89"/>
      <c r="C195" s="97"/>
      <c r="F195" s="90"/>
      <c r="G195" s="90"/>
      <c r="H195" s="90"/>
      <c r="I195" s="90"/>
      <c r="J195" s="90"/>
      <c r="K195" s="90"/>
      <c r="L195" s="90"/>
      <c r="M195" s="90"/>
      <c r="N195" s="90"/>
      <c r="O195" s="90"/>
      <c r="P195" s="90"/>
      <c r="Q195" s="90"/>
      <c r="R195" s="90"/>
      <c r="S195" s="90"/>
    </row>
    <row r="196" spans="1:42" ht="12.75" customHeight="1" x14ac:dyDescent="0.25">
      <c r="C196" s="766" t="s">
        <v>119</v>
      </c>
      <c r="D196" s="764" t="s">
        <v>132</v>
      </c>
      <c r="E196" s="101" t="s">
        <v>70</v>
      </c>
      <c r="F196" s="93">
        <f>F129+F112+F89-L89-L112</f>
        <v>381752310.90000004</v>
      </c>
      <c r="G196" s="93">
        <f t="shared" ref="G196:AP196" si="8">G112+G89</f>
        <v>50254234.219999999</v>
      </c>
      <c r="H196" s="93">
        <f t="shared" si="8"/>
        <v>27778121.539999999</v>
      </c>
      <c r="I196" s="93">
        <f t="shared" si="8"/>
        <v>14509266.430000002</v>
      </c>
      <c r="J196" s="93">
        <f t="shared" si="8"/>
        <v>67018188.349999994</v>
      </c>
      <c r="K196" s="93">
        <f t="shared" si="8"/>
        <v>1932558.03</v>
      </c>
      <c r="L196" s="93">
        <f t="shared" si="8"/>
        <v>8420063.0999999996</v>
      </c>
      <c r="M196" s="93">
        <f t="shared" si="8"/>
        <v>17069406.370000001</v>
      </c>
      <c r="N196" s="93">
        <f t="shared" si="8"/>
        <v>22131946.599999998</v>
      </c>
      <c r="O196" s="93">
        <f t="shared" si="8"/>
        <v>99004569.799999997</v>
      </c>
      <c r="P196" s="93">
        <f t="shared" si="8"/>
        <v>99688310.170000002</v>
      </c>
      <c r="Q196" s="93">
        <f t="shared" si="8"/>
        <v>3175343.9200000004</v>
      </c>
      <c r="R196" s="93">
        <f t="shared" si="8"/>
        <v>-1042.3499999999999</v>
      </c>
      <c r="S196" s="93">
        <f t="shared" si="8"/>
        <v>13.21</v>
      </c>
      <c r="T196" s="93">
        <f t="shared" si="8"/>
        <v>0.18</v>
      </c>
      <c r="U196" s="93">
        <f t="shared" si="8"/>
        <v>0</v>
      </c>
      <c r="V196" s="93">
        <f t="shared" si="8"/>
        <v>0</v>
      </c>
      <c r="W196" s="93">
        <f t="shared" si="8"/>
        <v>0</v>
      </c>
      <c r="X196" s="93">
        <f t="shared" si="8"/>
        <v>0</v>
      </c>
      <c r="Y196" s="93">
        <f t="shared" si="8"/>
        <v>0</v>
      </c>
      <c r="Z196" s="93">
        <f t="shared" si="8"/>
        <v>-1.1100000000000001</v>
      </c>
      <c r="AA196" s="93">
        <f t="shared" si="8"/>
        <v>0</v>
      </c>
      <c r="AB196" s="93">
        <f t="shared" si="8"/>
        <v>0</v>
      </c>
      <c r="AC196" s="93">
        <f t="shared" si="8"/>
        <v>0</v>
      </c>
      <c r="AD196" s="93">
        <f t="shared" si="8"/>
        <v>0</v>
      </c>
      <c r="AE196" s="93">
        <f t="shared" si="8"/>
        <v>0</v>
      </c>
      <c r="AF196" s="93">
        <f t="shared" si="8"/>
        <v>0</v>
      </c>
      <c r="AG196" s="93">
        <f t="shared" si="8"/>
        <v>0</v>
      </c>
      <c r="AH196" s="93">
        <f t="shared" si="8"/>
        <v>0</v>
      </c>
      <c r="AI196" s="93">
        <f t="shared" si="8"/>
        <v>0</v>
      </c>
      <c r="AJ196" s="93">
        <f t="shared" si="8"/>
        <v>0</v>
      </c>
      <c r="AK196" s="93">
        <f t="shared" si="8"/>
        <v>0</v>
      </c>
      <c r="AL196" s="93">
        <f t="shared" si="8"/>
        <v>0</v>
      </c>
      <c r="AM196" s="93">
        <f t="shared" si="8"/>
        <v>0</v>
      </c>
      <c r="AN196" s="93">
        <f t="shared" si="8"/>
        <v>0</v>
      </c>
      <c r="AO196" s="93">
        <f t="shared" si="8"/>
        <v>0</v>
      </c>
      <c r="AP196" s="93">
        <f t="shared" si="8"/>
        <v>0</v>
      </c>
    </row>
    <row r="197" spans="1:42" ht="12.75" customHeight="1" x14ac:dyDescent="0.25">
      <c r="C197" s="766"/>
      <c r="D197" s="764"/>
      <c r="E197" s="101" t="s">
        <v>73</v>
      </c>
      <c r="F197" s="93">
        <f>F129</f>
        <v>-20808604.460000001</v>
      </c>
      <c r="G197" s="90"/>
      <c r="H197" s="90"/>
      <c r="I197" s="90"/>
      <c r="J197" s="90"/>
      <c r="K197" s="90"/>
      <c r="L197" s="90"/>
      <c r="M197" s="90"/>
      <c r="N197" s="90"/>
      <c r="O197" s="90"/>
      <c r="P197" s="90"/>
      <c r="Q197" s="90"/>
      <c r="R197" s="90"/>
      <c r="S197" s="90"/>
    </row>
    <row r="198" spans="1:42" ht="12.75" customHeight="1" x14ac:dyDescent="0.25">
      <c r="C198" s="766"/>
      <c r="D198" s="764" t="s">
        <v>133</v>
      </c>
      <c r="E198" s="235" t="s">
        <v>70</v>
      </c>
      <c r="F198" s="236">
        <v>0</v>
      </c>
      <c r="G198" s="236">
        <v>0</v>
      </c>
      <c r="H198" s="236">
        <v>0</v>
      </c>
      <c r="I198" s="236">
        <v>0</v>
      </c>
      <c r="J198" s="236">
        <v>0</v>
      </c>
      <c r="K198" s="236">
        <v>0</v>
      </c>
      <c r="L198" s="236">
        <v>0</v>
      </c>
      <c r="M198" s="236">
        <v>0</v>
      </c>
      <c r="N198" s="236">
        <v>0</v>
      </c>
      <c r="O198" s="236">
        <v>0</v>
      </c>
      <c r="P198" s="236">
        <v>0</v>
      </c>
      <c r="Q198" s="236">
        <v>0</v>
      </c>
      <c r="R198" s="236">
        <v>0</v>
      </c>
      <c r="S198" s="236">
        <v>0</v>
      </c>
      <c r="T198" s="236">
        <v>0</v>
      </c>
      <c r="U198" s="236">
        <v>0</v>
      </c>
      <c r="V198" s="236">
        <v>0</v>
      </c>
      <c r="W198" s="236">
        <v>0</v>
      </c>
      <c r="X198" s="236">
        <v>0</v>
      </c>
      <c r="Y198" s="236">
        <v>0</v>
      </c>
      <c r="Z198" s="236">
        <v>0</v>
      </c>
      <c r="AA198" s="236">
        <v>0</v>
      </c>
      <c r="AB198" s="236">
        <v>0</v>
      </c>
      <c r="AC198" s="236">
        <v>0</v>
      </c>
      <c r="AD198" s="236">
        <v>0</v>
      </c>
      <c r="AE198" s="236">
        <v>0</v>
      </c>
      <c r="AF198" s="236">
        <v>0</v>
      </c>
      <c r="AG198" s="236">
        <v>0</v>
      </c>
      <c r="AH198" s="236">
        <v>0</v>
      </c>
      <c r="AI198" s="236">
        <v>0</v>
      </c>
      <c r="AJ198" s="236">
        <v>0</v>
      </c>
      <c r="AK198" s="236">
        <v>0</v>
      </c>
      <c r="AL198" s="236">
        <v>0</v>
      </c>
      <c r="AM198" s="236">
        <v>0</v>
      </c>
      <c r="AN198" s="236">
        <v>0</v>
      </c>
      <c r="AO198" s="236">
        <v>0</v>
      </c>
      <c r="AP198" s="236">
        <v>0</v>
      </c>
    </row>
    <row r="199" spans="1:42" ht="12.75" customHeight="1" x14ac:dyDescent="0.25">
      <c r="C199" s="766"/>
      <c r="D199" s="764"/>
      <c r="E199" s="235" t="s">
        <v>73</v>
      </c>
      <c r="F199" s="236">
        <v>0</v>
      </c>
      <c r="G199" s="90"/>
      <c r="H199" s="90"/>
      <c r="I199" s="90"/>
      <c r="J199" s="90"/>
      <c r="K199" s="90"/>
      <c r="L199" s="90"/>
      <c r="M199" s="90"/>
      <c r="N199" s="90"/>
      <c r="O199" s="90"/>
      <c r="P199" s="90"/>
      <c r="Q199" s="90"/>
      <c r="R199" s="90"/>
    </row>
    <row r="200" spans="1:42" ht="12.75" customHeight="1" x14ac:dyDescent="0.3">
      <c r="A200" s="89"/>
      <c r="C200" s="97"/>
      <c r="F200" s="90"/>
      <c r="G200" s="90"/>
      <c r="H200" s="90"/>
      <c r="I200" s="90"/>
      <c r="J200" s="90"/>
      <c r="K200" s="90"/>
      <c r="L200" s="90"/>
      <c r="M200" s="90"/>
      <c r="N200" s="90"/>
      <c r="O200" s="90"/>
      <c r="P200" s="90"/>
      <c r="Q200" s="90"/>
      <c r="R200" s="90"/>
      <c r="S200" s="90"/>
    </row>
    <row r="201" spans="1:42" ht="12.75" customHeight="1" x14ac:dyDescent="0.25">
      <c r="C201" s="765" t="s">
        <v>161</v>
      </c>
      <c r="D201" s="764" t="s">
        <v>132</v>
      </c>
      <c r="E201" s="231" t="s">
        <v>70</v>
      </c>
      <c r="F201" s="232">
        <v>0</v>
      </c>
      <c r="G201" s="232">
        <v>0</v>
      </c>
      <c r="H201" s="232">
        <v>0</v>
      </c>
      <c r="I201" s="232">
        <v>0</v>
      </c>
      <c r="J201" s="232">
        <v>0</v>
      </c>
      <c r="K201" s="232">
        <v>0</v>
      </c>
      <c r="L201" s="232">
        <v>0</v>
      </c>
      <c r="M201" s="232">
        <v>0</v>
      </c>
      <c r="N201" s="232">
        <v>0</v>
      </c>
      <c r="O201" s="232">
        <v>0</v>
      </c>
      <c r="P201" s="232">
        <v>0</v>
      </c>
      <c r="Q201" s="232">
        <v>0</v>
      </c>
      <c r="R201" s="232">
        <v>0</v>
      </c>
      <c r="S201" s="232">
        <v>0</v>
      </c>
      <c r="T201" s="232">
        <v>0</v>
      </c>
      <c r="U201" s="232">
        <v>0</v>
      </c>
      <c r="V201" s="232">
        <v>0</v>
      </c>
      <c r="W201" s="232">
        <v>0</v>
      </c>
      <c r="X201" s="232">
        <v>0</v>
      </c>
      <c r="Y201" s="232"/>
      <c r="Z201" s="232">
        <v>0</v>
      </c>
      <c r="AA201" s="232">
        <v>0</v>
      </c>
      <c r="AB201" s="232">
        <v>0</v>
      </c>
      <c r="AC201" s="232">
        <v>0</v>
      </c>
      <c r="AD201" s="232">
        <v>0</v>
      </c>
      <c r="AE201" s="232">
        <v>0</v>
      </c>
      <c r="AF201" s="232">
        <v>0</v>
      </c>
      <c r="AG201" s="232">
        <v>0</v>
      </c>
      <c r="AH201" s="232">
        <v>0</v>
      </c>
      <c r="AI201" s="232">
        <v>0</v>
      </c>
      <c r="AJ201" s="232">
        <v>0</v>
      </c>
      <c r="AK201" s="232">
        <v>0</v>
      </c>
      <c r="AL201" s="232">
        <v>0</v>
      </c>
      <c r="AM201" s="232">
        <v>0</v>
      </c>
      <c r="AN201" s="232">
        <v>0</v>
      </c>
      <c r="AO201" s="232">
        <v>0</v>
      </c>
      <c r="AP201" s="232">
        <v>0</v>
      </c>
    </row>
    <row r="202" spans="1:42" ht="12.75" customHeight="1" x14ac:dyDescent="0.25">
      <c r="C202" s="765"/>
      <c r="D202" s="764"/>
      <c r="E202" s="231" t="s">
        <v>73</v>
      </c>
      <c r="F202" s="232">
        <v>0</v>
      </c>
      <c r="G202" s="90"/>
      <c r="H202" s="90"/>
      <c r="I202" s="90"/>
      <c r="J202" s="90"/>
      <c r="K202" s="90"/>
      <c r="L202" s="90"/>
      <c r="M202" s="90"/>
      <c r="N202" s="90"/>
      <c r="O202" s="90"/>
      <c r="P202" s="90"/>
      <c r="Q202" s="90"/>
      <c r="R202" s="90"/>
      <c r="S202" s="90"/>
    </row>
    <row r="203" spans="1:42" ht="12.75" customHeight="1" x14ac:dyDescent="0.25">
      <c r="C203" s="765"/>
      <c r="E203" s="148" t="s">
        <v>70</v>
      </c>
      <c r="F203" s="149">
        <v>0</v>
      </c>
      <c r="G203" s="149">
        <v>0</v>
      </c>
      <c r="H203" s="149">
        <v>0</v>
      </c>
      <c r="I203" s="149">
        <v>0</v>
      </c>
      <c r="J203" s="149">
        <v>0</v>
      </c>
      <c r="K203" s="149">
        <v>0</v>
      </c>
      <c r="L203" s="149">
        <v>0</v>
      </c>
      <c r="M203" s="149">
        <v>0</v>
      </c>
      <c r="N203" s="149">
        <v>0</v>
      </c>
      <c r="O203" s="149">
        <v>0</v>
      </c>
      <c r="P203" s="149">
        <v>0</v>
      </c>
      <c r="Q203" s="149">
        <v>0</v>
      </c>
      <c r="R203" s="149">
        <v>0</v>
      </c>
      <c r="S203" s="149">
        <v>0</v>
      </c>
      <c r="T203" s="149">
        <v>0</v>
      </c>
      <c r="U203" s="149">
        <v>0</v>
      </c>
      <c r="V203" s="149">
        <v>0</v>
      </c>
      <c r="W203" s="149">
        <v>0</v>
      </c>
      <c r="X203" s="149">
        <v>0</v>
      </c>
      <c r="Y203" s="149">
        <v>0</v>
      </c>
      <c r="Z203" s="149">
        <v>0</v>
      </c>
      <c r="AA203" s="149">
        <v>0</v>
      </c>
    </row>
    <row r="204" spans="1:42" ht="12.75" customHeight="1" x14ac:dyDescent="0.25">
      <c r="C204" s="765"/>
      <c r="D204" s="220" t="s">
        <v>132</v>
      </c>
      <c r="E204" s="148" t="s">
        <v>73</v>
      </c>
      <c r="F204" s="149">
        <v>0</v>
      </c>
      <c r="G204" s="90"/>
      <c r="H204" s="90"/>
      <c r="I204" s="90"/>
      <c r="J204" s="90"/>
      <c r="K204" s="90"/>
      <c r="L204" s="90"/>
      <c r="M204" s="90"/>
      <c r="N204" s="90"/>
      <c r="O204" s="90"/>
      <c r="P204" s="90"/>
      <c r="Q204" s="90"/>
      <c r="R204" s="90"/>
    </row>
    <row r="205" spans="1:42" ht="12.75" customHeight="1" x14ac:dyDescent="0.25">
      <c r="C205" s="391"/>
      <c r="D205" s="220"/>
      <c r="E205" s="89"/>
      <c r="F205" s="90"/>
      <c r="G205" s="90"/>
      <c r="H205" s="90"/>
      <c r="I205" s="90"/>
      <c r="J205" s="90"/>
      <c r="K205" s="90"/>
      <c r="L205" s="90"/>
      <c r="M205" s="90"/>
      <c r="N205" s="90"/>
      <c r="O205" s="90"/>
      <c r="P205" s="90"/>
      <c r="Q205" s="90"/>
      <c r="R205" s="90"/>
    </row>
    <row r="206" spans="1:42" ht="12.75" customHeight="1" x14ac:dyDescent="0.25">
      <c r="D206" s="461" t="s">
        <v>185</v>
      </c>
      <c r="E206" s="462" t="s">
        <v>70</v>
      </c>
      <c r="F206" s="463">
        <f t="shared" ref="F206:AA206" si="9">F91</f>
        <v>-1119721.3799999999</v>
      </c>
      <c r="G206" s="463">
        <f t="shared" si="9"/>
        <v>-97699.19</v>
      </c>
      <c r="H206" s="463">
        <f t="shared" si="9"/>
        <v>-41504.31</v>
      </c>
      <c r="I206" s="463">
        <f t="shared" si="9"/>
        <v>-18125.84</v>
      </c>
      <c r="J206" s="463">
        <f t="shared" si="9"/>
        <v>-225990.73</v>
      </c>
      <c r="K206" s="463">
        <f t="shared" si="9"/>
        <v>-9352.17</v>
      </c>
      <c r="L206" s="463">
        <f t="shared" si="9"/>
        <v>0</v>
      </c>
      <c r="M206" s="463">
        <f t="shared" si="9"/>
        <v>-82929.960000000006</v>
      </c>
      <c r="N206" s="463">
        <f t="shared" si="9"/>
        <v>-102820.4</v>
      </c>
      <c r="O206" s="463">
        <f t="shared" si="9"/>
        <v>-345367.61</v>
      </c>
      <c r="P206" s="463">
        <f t="shared" si="9"/>
        <v>-180675.12</v>
      </c>
      <c r="Q206" s="463">
        <f t="shared" si="9"/>
        <v>-15256.05</v>
      </c>
      <c r="R206" s="463">
        <f t="shared" si="9"/>
        <v>0</v>
      </c>
      <c r="S206" s="463">
        <f t="shared" si="9"/>
        <v>0</v>
      </c>
      <c r="T206" s="463">
        <f t="shared" si="9"/>
        <v>0</v>
      </c>
      <c r="U206" s="463">
        <f t="shared" si="9"/>
        <v>0</v>
      </c>
      <c r="V206" s="463">
        <f t="shared" si="9"/>
        <v>0</v>
      </c>
      <c r="W206" s="463">
        <f t="shared" si="9"/>
        <v>0</v>
      </c>
      <c r="X206" s="463">
        <f t="shared" si="9"/>
        <v>0</v>
      </c>
      <c r="Y206" s="463">
        <f t="shared" si="9"/>
        <v>0</v>
      </c>
      <c r="Z206" s="463">
        <f t="shared" si="9"/>
        <v>0</v>
      </c>
      <c r="AA206" s="463">
        <f t="shared" si="9"/>
        <v>0</v>
      </c>
    </row>
    <row r="207" spans="1:42" ht="12.75" customHeight="1" x14ac:dyDescent="0.25">
      <c r="C207" s="391"/>
      <c r="D207" s="220"/>
      <c r="E207" s="89"/>
      <c r="F207" s="90"/>
      <c r="G207" s="90"/>
      <c r="H207" s="90"/>
      <c r="I207" s="90"/>
      <c r="J207" s="90"/>
      <c r="K207" s="90"/>
      <c r="L207" s="90"/>
      <c r="M207" s="90"/>
      <c r="N207" s="90"/>
      <c r="O207" s="90"/>
      <c r="P207" s="90"/>
      <c r="Q207" s="90"/>
      <c r="R207" s="90"/>
    </row>
    <row r="208" spans="1:42" s="238" customFormat="1" ht="12.75" customHeight="1" x14ac:dyDescent="0.25">
      <c r="D208" s="239"/>
      <c r="E208" s="240"/>
      <c r="F208" s="240"/>
      <c r="G208" s="240"/>
      <c r="H208" s="240"/>
      <c r="I208" s="240"/>
      <c r="J208" s="240"/>
      <c r="K208" s="240"/>
      <c r="L208" s="240"/>
      <c r="M208" s="240"/>
      <c r="N208" s="240"/>
      <c r="O208" s="240"/>
      <c r="P208" s="240"/>
      <c r="Q208" s="240"/>
    </row>
    <row r="209" spans="1:26" ht="12.75" customHeight="1" x14ac:dyDescent="0.3">
      <c r="A209" s="89"/>
      <c r="B209" s="97" t="s">
        <v>76</v>
      </c>
      <c r="E209" s="90"/>
      <c r="F209" s="90"/>
      <c r="G209" s="90"/>
      <c r="H209" s="90"/>
      <c r="I209" s="90"/>
      <c r="J209" s="90"/>
      <c r="K209" s="90"/>
      <c r="L209" s="90"/>
      <c r="M209" s="90"/>
      <c r="N209" s="90"/>
      <c r="O209" s="90"/>
      <c r="P209" s="90"/>
      <c r="Q209" s="90"/>
    </row>
    <row r="210" spans="1:26" ht="12.75" customHeight="1" x14ac:dyDescent="0.25">
      <c r="F210" s="89" t="s">
        <v>70</v>
      </c>
      <c r="G210" s="89" t="s">
        <v>64</v>
      </c>
      <c r="H210" s="89" t="s">
        <v>65</v>
      </c>
      <c r="I210" s="218" t="s">
        <v>164</v>
      </c>
      <c r="J210" s="89" t="s">
        <v>69</v>
      </c>
      <c r="K210" s="89" t="s">
        <v>68</v>
      </c>
      <c r="L210" s="89" t="s">
        <v>71</v>
      </c>
      <c r="M210" s="89" t="s">
        <v>66</v>
      </c>
      <c r="N210" s="89" t="s">
        <v>63</v>
      </c>
      <c r="O210" s="89" t="s">
        <v>61</v>
      </c>
      <c r="P210" s="89" t="s">
        <v>62</v>
      </c>
      <c r="Q210" s="89" t="s">
        <v>67</v>
      </c>
      <c r="R210" s="89" t="s">
        <v>77</v>
      </c>
      <c r="S210" s="89" t="s">
        <v>80</v>
      </c>
      <c r="T210" s="89" t="s">
        <v>135</v>
      </c>
      <c r="U210" s="89" t="s">
        <v>172</v>
      </c>
      <c r="V210" s="89" t="s">
        <v>223</v>
      </c>
      <c r="W210" s="89" t="s">
        <v>172</v>
      </c>
      <c r="X210" t="s">
        <v>172</v>
      </c>
      <c r="Y210" s="89" t="s">
        <v>135</v>
      </c>
      <c r="Z210" t="s">
        <v>166</v>
      </c>
    </row>
    <row r="211" spans="1:26" ht="12.75" customHeight="1" x14ac:dyDescent="0.25">
      <c r="E211" s="89" t="s">
        <v>72</v>
      </c>
      <c r="F211" s="374">
        <v>-11299.64</v>
      </c>
      <c r="G211" s="90">
        <v>-1002.6</v>
      </c>
      <c r="H211" s="90">
        <v>-425.94</v>
      </c>
      <c r="I211" s="90">
        <v>-186</v>
      </c>
      <c r="J211" s="90">
        <v>-2180.54</v>
      </c>
      <c r="K211" s="90">
        <v>-89.83</v>
      </c>
      <c r="L211" s="90">
        <v>0</v>
      </c>
      <c r="M211" s="90">
        <v>-788.01</v>
      </c>
      <c r="N211" s="90">
        <v>-987.73</v>
      </c>
      <c r="O211" s="90">
        <v>-3317.74</v>
      </c>
      <c r="P211" s="90">
        <v>-2174.67</v>
      </c>
      <c r="Q211" s="90">
        <v>-146.58000000000001</v>
      </c>
      <c r="R211" s="90">
        <v>0</v>
      </c>
      <c r="S211" s="90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 ht="12.75" customHeight="1" x14ac:dyDescent="0.25">
      <c r="D212" t="s">
        <v>156</v>
      </c>
      <c r="E212" s="89" t="s">
        <v>70</v>
      </c>
      <c r="F212" s="374">
        <v>-11299.64</v>
      </c>
      <c r="G212" s="90">
        <v>-1002.6</v>
      </c>
      <c r="H212" s="90">
        <v>-425.94</v>
      </c>
      <c r="I212" s="90">
        <v>-186</v>
      </c>
      <c r="J212" s="90">
        <v>-2180.54</v>
      </c>
      <c r="K212" s="90">
        <v>-89.83</v>
      </c>
      <c r="L212" s="90">
        <v>0</v>
      </c>
      <c r="M212" s="90">
        <v>-788.01</v>
      </c>
      <c r="N212" s="90">
        <v>-987.73</v>
      </c>
      <c r="O212" s="90">
        <v>-3317.74</v>
      </c>
      <c r="P212" s="90">
        <v>-2174.67</v>
      </c>
      <c r="Q212" s="90">
        <v>-146.58000000000001</v>
      </c>
      <c r="R212" s="90">
        <v>0</v>
      </c>
      <c r="S212" s="90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 s="289" customFormat="1" ht="12.75" customHeight="1" x14ac:dyDescent="0.25">
      <c r="C213" s="289" t="s">
        <v>155</v>
      </c>
      <c r="D213" s="289" t="s">
        <v>70</v>
      </c>
      <c r="E213" s="229"/>
      <c r="F213" s="229">
        <v>-11299.64</v>
      </c>
      <c r="G213" s="230">
        <v>-1002.6</v>
      </c>
      <c r="H213" s="230">
        <v>-425.94</v>
      </c>
      <c r="I213" s="230">
        <v>-186</v>
      </c>
      <c r="J213" s="230">
        <v>-2180.54</v>
      </c>
      <c r="K213" s="230">
        <v>-89.83</v>
      </c>
      <c r="L213" s="230">
        <v>0</v>
      </c>
      <c r="M213" s="230">
        <v>-788.01</v>
      </c>
      <c r="N213" s="230">
        <v>-987.73</v>
      </c>
      <c r="O213" s="230">
        <v>-3317.74</v>
      </c>
      <c r="P213" s="230">
        <v>-2174.67</v>
      </c>
      <c r="Q213" s="230">
        <v>-146.58000000000001</v>
      </c>
      <c r="R213" s="230">
        <v>0</v>
      </c>
      <c r="S213" s="230">
        <v>0</v>
      </c>
      <c r="T213" s="230">
        <v>0</v>
      </c>
      <c r="U213" s="230">
        <v>0</v>
      </c>
      <c r="V213" s="230">
        <v>0</v>
      </c>
      <c r="W213" s="230">
        <v>0</v>
      </c>
      <c r="X213" s="230">
        <v>0</v>
      </c>
      <c r="Y213" s="230">
        <v>0</v>
      </c>
      <c r="Z213" s="230">
        <v>0</v>
      </c>
    </row>
    <row r="214" spans="1:26" ht="12.75" customHeight="1" x14ac:dyDescent="0.25">
      <c r="E214" s="89" t="s">
        <v>72</v>
      </c>
      <c r="F214" s="374">
        <v>-9583.17</v>
      </c>
      <c r="G214" s="90">
        <v>-840.66</v>
      </c>
      <c r="H214" s="90">
        <v>-357.15</v>
      </c>
      <c r="I214" s="90">
        <v>-155.97</v>
      </c>
      <c r="J214" s="90">
        <v>-1859.88</v>
      </c>
      <c r="K214" s="90">
        <v>-76.62</v>
      </c>
      <c r="L214" s="90">
        <v>0</v>
      </c>
      <c r="M214" s="90">
        <v>-672.15</v>
      </c>
      <c r="N214" s="90">
        <v>-842.47</v>
      </c>
      <c r="O214" s="90">
        <v>-2829.83</v>
      </c>
      <c r="P214" s="90">
        <v>-1823.43</v>
      </c>
      <c r="Q214" s="90">
        <v>-125.01</v>
      </c>
      <c r="R214" s="90">
        <v>0</v>
      </c>
      <c r="S214" s="90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 ht="12.75" customHeight="1" x14ac:dyDescent="0.25">
      <c r="D215" t="s">
        <v>86</v>
      </c>
      <c r="E215" s="89" t="s">
        <v>70</v>
      </c>
      <c r="F215" s="374">
        <v>-9583.17</v>
      </c>
      <c r="G215" s="90">
        <v>-840.66</v>
      </c>
      <c r="H215" s="90">
        <v>-357.15</v>
      </c>
      <c r="I215" s="90">
        <v>-155.97</v>
      </c>
      <c r="J215" s="90">
        <v>-1859.88</v>
      </c>
      <c r="K215" s="90">
        <v>-76.62</v>
      </c>
      <c r="L215" s="90">
        <v>0</v>
      </c>
      <c r="M215" s="90">
        <v>-672.15</v>
      </c>
      <c r="N215" s="90">
        <v>-842.47</v>
      </c>
      <c r="O215" s="90">
        <v>-2829.83</v>
      </c>
      <c r="P215" s="90">
        <v>-1823.43</v>
      </c>
      <c r="Q215" s="90">
        <v>-125.01</v>
      </c>
      <c r="R215" s="90">
        <v>0</v>
      </c>
      <c r="S215" s="90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 s="94" customFormat="1" ht="12.75" customHeight="1" x14ac:dyDescent="0.25">
      <c r="C216" s="101" t="s">
        <v>119</v>
      </c>
      <c r="D216" s="101" t="s">
        <v>70</v>
      </c>
      <c r="F216" s="93">
        <v>-9583.17</v>
      </c>
      <c r="G216" s="93">
        <v>-840.66</v>
      </c>
      <c r="H216" s="93">
        <v>-357.15</v>
      </c>
      <c r="I216" s="93">
        <v>-155.97</v>
      </c>
      <c r="J216" s="93">
        <v>-1859.88</v>
      </c>
      <c r="K216" s="93">
        <v>-76.62</v>
      </c>
      <c r="L216" s="93">
        <v>0</v>
      </c>
      <c r="M216" s="93">
        <v>-672.15</v>
      </c>
      <c r="N216" s="93">
        <v>-842.47</v>
      </c>
      <c r="O216" s="93">
        <v>-2829.83</v>
      </c>
      <c r="P216" s="93">
        <v>-1823.43</v>
      </c>
      <c r="Q216" s="93">
        <v>-125.01</v>
      </c>
      <c r="R216" s="93">
        <v>0</v>
      </c>
      <c r="S216" s="93">
        <v>0</v>
      </c>
      <c r="T216" s="94">
        <v>0</v>
      </c>
      <c r="U216" s="94">
        <v>0</v>
      </c>
      <c r="V216" s="94">
        <v>0</v>
      </c>
      <c r="W216" s="94">
        <v>0</v>
      </c>
      <c r="X216" s="94">
        <v>0</v>
      </c>
      <c r="Y216" s="94">
        <v>0</v>
      </c>
      <c r="Z216" s="94">
        <v>0</v>
      </c>
    </row>
    <row r="217" spans="1:26" ht="12.75" customHeight="1" x14ac:dyDescent="0.25">
      <c r="B217" t="s">
        <v>112</v>
      </c>
      <c r="C217" t="s">
        <v>70</v>
      </c>
      <c r="E217" s="89"/>
      <c r="F217" s="374">
        <v>-20882.810000000001</v>
      </c>
      <c r="G217" s="90">
        <v>-1843.26</v>
      </c>
      <c r="H217" s="90">
        <v>-783.09</v>
      </c>
      <c r="I217" s="90">
        <v>-341.97</v>
      </c>
      <c r="J217" s="90">
        <v>-4040.42</v>
      </c>
      <c r="K217" s="90">
        <v>-166.45</v>
      </c>
      <c r="L217" s="90">
        <v>0</v>
      </c>
      <c r="M217" s="90">
        <v>-1460.16</v>
      </c>
      <c r="N217" s="90">
        <v>-1830.2</v>
      </c>
      <c r="O217" s="90">
        <v>-6147.57</v>
      </c>
      <c r="P217" s="90">
        <v>-3998.1</v>
      </c>
      <c r="Q217" s="90">
        <v>-271.58999999999997</v>
      </c>
      <c r="R217" s="90">
        <v>0</v>
      </c>
      <c r="S217" s="90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 s="461" customFormat="1" ht="12.75" customHeight="1" x14ac:dyDescent="0.25">
      <c r="A218" s="461" t="s">
        <v>185</v>
      </c>
      <c r="B218" s="461" t="s">
        <v>70</v>
      </c>
      <c r="F218" s="461">
        <v>-20882.810000000001</v>
      </c>
      <c r="G218" s="461">
        <v>-1843.26</v>
      </c>
      <c r="H218" s="461">
        <v>-783.09</v>
      </c>
      <c r="I218" s="461">
        <v>-341.97</v>
      </c>
      <c r="J218" s="461">
        <v>-4040.42</v>
      </c>
      <c r="K218" s="461">
        <v>-166.45</v>
      </c>
      <c r="L218" s="461">
        <v>0</v>
      </c>
      <c r="M218" s="461">
        <v>-1460.16</v>
      </c>
      <c r="N218" s="461">
        <v>-1830.2</v>
      </c>
      <c r="O218" s="461">
        <v>-6147.57</v>
      </c>
      <c r="P218" s="461">
        <v>-3998.1</v>
      </c>
      <c r="Q218" s="461">
        <v>-271.58999999999997</v>
      </c>
      <c r="R218" s="461">
        <v>0</v>
      </c>
      <c r="S218" s="461">
        <v>0</v>
      </c>
      <c r="T218" s="461">
        <v>0</v>
      </c>
      <c r="U218" s="461">
        <v>0</v>
      </c>
      <c r="V218" s="461">
        <v>0</v>
      </c>
      <c r="W218" s="461">
        <v>0</v>
      </c>
      <c r="X218" s="461">
        <v>0</v>
      </c>
      <c r="Y218" s="461">
        <v>0</v>
      </c>
      <c r="Z218" s="461">
        <v>0</v>
      </c>
    </row>
    <row r="219" spans="1:26" ht="12.75" customHeight="1" x14ac:dyDescent="0.25">
      <c r="E219" s="89" t="s">
        <v>72</v>
      </c>
      <c r="F219" s="374">
        <v>5488560.3099999996</v>
      </c>
      <c r="G219" s="90">
        <v>1192372.44</v>
      </c>
      <c r="H219" s="90">
        <v>673202.48</v>
      </c>
      <c r="I219" s="90">
        <v>354188.76</v>
      </c>
      <c r="J219" s="90">
        <v>146402.13</v>
      </c>
      <c r="K219" s="90">
        <v>4071.4</v>
      </c>
      <c r="L219" s="90">
        <v>0</v>
      </c>
      <c r="M219" s="90">
        <v>35714.28</v>
      </c>
      <c r="N219" s="90">
        <v>52336.78</v>
      </c>
      <c r="O219" s="90">
        <v>246587.38</v>
      </c>
      <c r="P219" s="90">
        <v>2777052.32</v>
      </c>
      <c r="Q219" s="90">
        <v>6642.91</v>
      </c>
      <c r="R219" s="90">
        <v>-10.57</v>
      </c>
      <c r="S219" s="90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 ht="12.75" customHeight="1" x14ac:dyDescent="0.25">
      <c r="E220" s="89" t="s">
        <v>81</v>
      </c>
      <c r="F220" s="374">
        <v>210264.54</v>
      </c>
      <c r="G220" s="90">
        <v>48144.03</v>
      </c>
      <c r="H220" s="90">
        <v>27190.87</v>
      </c>
      <c r="I220" s="90">
        <v>14305.98</v>
      </c>
      <c r="J220" s="90">
        <v>2694.5</v>
      </c>
      <c r="K220" s="90">
        <v>68.61</v>
      </c>
      <c r="L220" s="90">
        <v>0</v>
      </c>
      <c r="M220" s="90">
        <v>601.84</v>
      </c>
      <c r="N220" s="90">
        <v>880.77</v>
      </c>
      <c r="O220" s="90">
        <v>4098.26</v>
      </c>
      <c r="P220" s="90">
        <v>112167.64</v>
      </c>
      <c r="Q220" s="90">
        <v>111.9</v>
      </c>
      <c r="R220" s="90">
        <v>0.14000000000000001</v>
      </c>
      <c r="S220" s="9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 ht="12.75" customHeight="1" x14ac:dyDescent="0.25">
      <c r="D221" t="s">
        <v>87</v>
      </c>
      <c r="E221" s="89" t="s">
        <v>70</v>
      </c>
      <c r="F221" s="374">
        <v>5698824.8499999996</v>
      </c>
      <c r="G221" s="90">
        <v>1240516.47</v>
      </c>
      <c r="H221" s="90">
        <v>700393.35</v>
      </c>
      <c r="I221" s="90">
        <v>368494.74</v>
      </c>
      <c r="J221" s="90">
        <v>149096.63</v>
      </c>
      <c r="K221" s="90">
        <v>4140.01</v>
      </c>
      <c r="L221" s="90">
        <v>0</v>
      </c>
      <c r="M221" s="90">
        <v>36316.120000000003</v>
      </c>
      <c r="N221" s="90">
        <v>53217.55</v>
      </c>
      <c r="O221" s="90">
        <v>250685.64</v>
      </c>
      <c r="P221" s="90">
        <v>2889219.96</v>
      </c>
      <c r="Q221" s="90">
        <v>6754.81</v>
      </c>
      <c r="R221" s="90">
        <v>-10.43</v>
      </c>
      <c r="S221" s="90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 s="94" customFormat="1" ht="12.75" customHeight="1" x14ac:dyDescent="0.25">
      <c r="C222" s="101" t="s">
        <v>119</v>
      </c>
      <c r="D222" s="101" t="s">
        <v>70</v>
      </c>
      <c r="F222" s="93">
        <v>5698824.8499999996</v>
      </c>
      <c r="G222" s="93">
        <v>1240516.47</v>
      </c>
      <c r="H222" s="93">
        <v>700393.35</v>
      </c>
      <c r="I222" s="93">
        <v>368494.74</v>
      </c>
      <c r="J222" s="93">
        <v>149096.63</v>
      </c>
      <c r="K222" s="93">
        <v>4140.01</v>
      </c>
      <c r="L222" s="93">
        <v>0</v>
      </c>
      <c r="M222" s="93">
        <v>36316.120000000003</v>
      </c>
      <c r="N222" s="93">
        <v>53217.55</v>
      </c>
      <c r="O222" s="93">
        <v>250685.64</v>
      </c>
      <c r="P222" s="93">
        <v>2889219.96</v>
      </c>
      <c r="Q222" s="93">
        <v>6754.81</v>
      </c>
      <c r="R222" s="93">
        <v>-10.43</v>
      </c>
      <c r="S222" s="93">
        <v>0</v>
      </c>
      <c r="T222" s="94">
        <v>0</v>
      </c>
      <c r="U222" s="94">
        <v>0</v>
      </c>
      <c r="V222" s="94">
        <v>0</v>
      </c>
      <c r="W222" s="94">
        <v>0</v>
      </c>
      <c r="X222" s="94">
        <v>0</v>
      </c>
      <c r="Y222" s="94">
        <v>0</v>
      </c>
      <c r="Z222" s="94">
        <v>0</v>
      </c>
    </row>
    <row r="223" spans="1:26" s="381" customFormat="1" ht="12.75" customHeight="1" x14ac:dyDescent="0.25">
      <c r="B223" s="381" t="s">
        <v>122</v>
      </c>
      <c r="C223" s="381" t="s">
        <v>70</v>
      </c>
      <c r="E223" s="379"/>
      <c r="F223" s="707">
        <v>5698824.8499999996</v>
      </c>
      <c r="G223" s="380">
        <v>1240516.47</v>
      </c>
      <c r="H223" s="380">
        <v>700393.35</v>
      </c>
      <c r="I223" s="380">
        <v>368494.74</v>
      </c>
      <c r="J223" s="380">
        <v>149096.63</v>
      </c>
      <c r="K223" s="380">
        <v>4140.01</v>
      </c>
      <c r="L223" s="380">
        <v>0</v>
      </c>
      <c r="M223" s="380">
        <v>36316.120000000003</v>
      </c>
      <c r="N223" s="380">
        <v>53217.55</v>
      </c>
      <c r="O223" s="380">
        <v>250685.64</v>
      </c>
      <c r="P223" s="380">
        <v>2889219.96</v>
      </c>
      <c r="Q223" s="380">
        <v>6754.81</v>
      </c>
      <c r="R223" s="380">
        <v>-10.43</v>
      </c>
      <c r="S223" s="380">
        <v>0</v>
      </c>
      <c r="T223" s="381">
        <v>0</v>
      </c>
      <c r="U223" s="381">
        <v>0</v>
      </c>
      <c r="V223" s="381">
        <v>0</v>
      </c>
      <c r="W223" s="381">
        <v>0</v>
      </c>
      <c r="X223" s="381">
        <v>0</v>
      </c>
      <c r="Y223" s="381">
        <v>0</v>
      </c>
      <c r="Z223" s="381">
        <v>0</v>
      </c>
    </row>
    <row r="224" spans="1:26" ht="12.75" customHeight="1" x14ac:dyDescent="0.25">
      <c r="E224" s="89" t="s">
        <v>72</v>
      </c>
      <c r="F224" s="374">
        <v>11219270971.16</v>
      </c>
      <c r="G224" s="90">
        <v>623996742.57000005</v>
      </c>
      <c r="H224" s="90">
        <v>351974276.49000001</v>
      </c>
      <c r="I224" s="90">
        <v>184938298.75999999</v>
      </c>
      <c r="J224" s="90">
        <v>2625349515.5799999</v>
      </c>
      <c r="K224" s="90">
        <v>98282694.159999996</v>
      </c>
      <c r="L224" s="90">
        <v>15459325.41</v>
      </c>
      <c r="M224" s="90">
        <v>862900321.14999998</v>
      </c>
      <c r="N224" s="90">
        <v>845852329.95000005</v>
      </c>
      <c r="O224" s="90">
        <v>4001112095.5</v>
      </c>
      <c r="P224" s="90">
        <v>1448814186.4000001</v>
      </c>
      <c r="Q224" s="90">
        <v>160509908.75999999</v>
      </c>
      <c r="R224" s="90">
        <v>81276.429999999993</v>
      </c>
      <c r="S224" s="90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 ht="12.75" customHeight="1" x14ac:dyDescent="0.25">
      <c r="E225" s="89" t="s">
        <v>81</v>
      </c>
      <c r="F225" s="374">
        <v>9726149.8300000001</v>
      </c>
      <c r="G225" s="90">
        <v>938023.23</v>
      </c>
      <c r="H225" s="90">
        <v>467449.7</v>
      </c>
      <c r="I225" s="90">
        <v>226117.32</v>
      </c>
      <c r="J225" s="90">
        <v>1797524.48</v>
      </c>
      <c r="K225" s="90">
        <v>76739.320000000007</v>
      </c>
      <c r="L225" s="90">
        <v>6831.91</v>
      </c>
      <c r="M225" s="90">
        <v>672416.67</v>
      </c>
      <c r="N225" s="90">
        <v>631393.24</v>
      </c>
      <c r="O225" s="90">
        <v>2605163.1</v>
      </c>
      <c r="P225" s="90">
        <v>2179137.7799999998</v>
      </c>
      <c r="Q225" s="90">
        <v>125342.47</v>
      </c>
      <c r="R225" s="90">
        <v>8.91</v>
      </c>
      <c r="S225" s="90">
        <v>1.43</v>
      </c>
      <c r="T225">
        <v>0.27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 ht="12.75" customHeight="1" x14ac:dyDescent="0.25">
      <c r="D226" t="s">
        <v>156</v>
      </c>
      <c r="E226" s="89" t="s">
        <v>70</v>
      </c>
      <c r="F226" s="90">
        <v>11228997120.99</v>
      </c>
      <c r="G226" s="90">
        <v>624934765.79999995</v>
      </c>
      <c r="H226" s="90">
        <v>352441726.19</v>
      </c>
      <c r="I226" s="90">
        <v>185164416.08000001</v>
      </c>
      <c r="J226" s="90">
        <v>2627147040.0599999</v>
      </c>
      <c r="K226" s="90">
        <v>98359433.480000004</v>
      </c>
      <c r="L226" s="90">
        <v>15466157.32</v>
      </c>
      <c r="M226" s="90">
        <v>863572737.82000005</v>
      </c>
      <c r="N226" s="90">
        <v>846483723.19000006</v>
      </c>
      <c r="O226" s="90">
        <v>4003717258.5999999</v>
      </c>
      <c r="P226" s="90">
        <v>1450993324.1800001</v>
      </c>
      <c r="Q226" s="90">
        <v>160635251.22999999</v>
      </c>
      <c r="R226" s="90">
        <v>81285.34</v>
      </c>
      <c r="S226" s="90">
        <v>1.43</v>
      </c>
      <c r="T226">
        <v>0.27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 s="289" customFormat="1" ht="12.75" customHeight="1" x14ac:dyDescent="0.25">
      <c r="C227" s="289" t="s">
        <v>155</v>
      </c>
      <c r="D227" s="289" t="s">
        <v>70</v>
      </c>
      <c r="E227" s="229"/>
      <c r="F227" s="229">
        <v>11228997120.99</v>
      </c>
      <c r="G227" s="230">
        <v>624934765.79999995</v>
      </c>
      <c r="H227" s="230">
        <v>352441726.19</v>
      </c>
      <c r="I227" s="230">
        <v>185164416.08000001</v>
      </c>
      <c r="J227" s="230">
        <v>2627147040.0599999</v>
      </c>
      <c r="K227" s="230">
        <v>98359433.480000004</v>
      </c>
      <c r="L227" s="230">
        <v>15466157.32</v>
      </c>
      <c r="M227" s="230">
        <v>863572737.82000005</v>
      </c>
      <c r="N227" s="230">
        <v>846483723.19000006</v>
      </c>
      <c r="O227" s="230">
        <v>4003717258.5999999</v>
      </c>
      <c r="P227" s="230">
        <v>1450993324.1800001</v>
      </c>
      <c r="Q227" s="230">
        <v>160635251.22999999</v>
      </c>
      <c r="R227" s="230">
        <v>81285.34</v>
      </c>
      <c r="S227" s="230">
        <v>1.43</v>
      </c>
      <c r="T227" s="230">
        <v>0.27</v>
      </c>
      <c r="U227" s="230">
        <v>0</v>
      </c>
      <c r="V227" s="230">
        <v>0</v>
      </c>
      <c r="W227" s="230">
        <v>0</v>
      </c>
      <c r="X227" s="230">
        <v>0</v>
      </c>
      <c r="Y227" s="230">
        <v>0</v>
      </c>
      <c r="Z227" s="230">
        <v>0</v>
      </c>
    </row>
    <row r="228" spans="1:26" ht="12.75" customHeight="1" x14ac:dyDescent="0.25">
      <c r="E228" s="89" t="s">
        <v>72</v>
      </c>
      <c r="F228" s="90">
        <v>22148960.899999999</v>
      </c>
      <c r="G228" s="90">
        <v>2579522.9700000002</v>
      </c>
      <c r="H228" s="90">
        <v>1453206.94</v>
      </c>
      <c r="I228" s="90">
        <v>764236.13</v>
      </c>
      <c r="J228" s="90">
        <v>3203349.61</v>
      </c>
      <c r="K228" s="90">
        <v>99797.33</v>
      </c>
      <c r="L228" s="90">
        <v>0</v>
      </c>
      <c r="M228" s="90">
        <v>873293.61</v>
      </c>
      <c r="N228" s="90">
        <v>1222596.1000000001</v>
      </c>
      <c r="O228" s="90">
        <v>5808726.54</v>
      </c>
      <c r="P228" s="90">
        <v>5980908.0599999996</v>
      </c>
      <c r="Q228" s="90">
        <v>163445.12</v>
      </c>
      <c r="R228" s="90">
        <v>-121.51</v>
      </c>
      <c r="S228" s="90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 ht="12.75" customHeight="1" x14ac:dyDescent="0.25">
      <c r="E229" s="89" t="s">
        <v>81</v>
      </c>
      <c r="F229" s="90">
        <v>79592.67</v>
      </c>
      <c r="G229" s="90">
        <v>7629.18</v>
      </c>
      <c r="H229" s="90">
        <v>4222.34</v>
      </c>
      <c r="I229" s="90">
        <v>2242.67</v>
      </c>
      <c r="J229" s="90">
        <v>14318.74</v>
      </c>
      <c r="K229" s="90">
        <v>470.11</v>
      </c>
      <c r="L229" s="90">
        <v>0</v>
      </c>
      <c r="M229" s="90">
        <v>4078.27</v>
      </c>
      <c r="N229" s="90">
        <v>4947.22</v>
      </c>
      <c r="O229" s="90">
        <v>23345.8</v>
      </c>
      <c r="P229" s="90">
        <v>17571.62</v>
      </c>
      <c r="Q229" s="90">
        <v>766.38</v>
      </c>
      <c r="R229" s="90">
        <v>0.34</v>
      </c>
      <c r="S229" s="90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 ht="12.75" customHeight="1" x14ac:dyDescent="0.25">
      <c r="D230" s="89" t="s">
        <v>82</v>
      </c>
      <c r="E230" s="89" t="s">
        <v>70</v>
      </c>
      <c r="F230" s="90">
        <v>22228553.57</v>
      </c>
      <c r="G230" s="90">
        <v>2587152.15</v>
      </c>
      <c r="H230" s="90">
        <v>1457429.28</v>
      </c>
      <c r="I230" s="90">
        <v>766478.8</v>
      </c>
      <c r="J230" s="90">
        <v>3217668.35</v>
      </c>
      <c r="K230" s="90">
        <v>100267.44</v>
      </c>
      <c r="L230" s="90">
        <v>0</v>
      </c>
      <c r="M230" s="90">
        <v>877371.88</v>
      </c>
      <c r="N230" s="90">
        <v>1227543.32</v>
      </c>
      <c r="O230" s="90">
        <v>5832072.3399999999</v>
      </c>
      <c r="P230" s="90">
        <v>5998479.6799999997</v>
      </c>
      <c r="Q230" s="90">
        <v>164211.5</v>
      </c>
      <c r="R230" s="90">
        <v>-121.17</v>
      </c>
      <c r="S230" s="9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 ht="12.75" customHeight="1" x14ac:dyDescent="0.25">
      <c r="D231" s="89"/>
      <c r="E231" s="89" t="s">
        <v>72</v>
      </c>
      <c r="F231" s="90">
        <v>31847162.57</v>
      </c>
      <c r="G231" s="90">
        <v>2853179.59</v>
      </c>
      <c r="H231" s="90">
        <v>1539379.18</v>
      </c>
      <c r="I231" s="90">
        <v>789425.43</v>
      </c>
      <c r="J231" s="90">
        <v>3771929.06</v>
      </c>
      <c r="K231" s="90">
        <v>191733.85</v>
      </c>
      <c r="L231" s="90">
        <v>5516672.5499999998</v>
      </c>
      <c r="M231" s="90">
        <v>1676106.06</v>
      </c>
      <c r="N231" s="90">
        <v>1624466.74</v>
      </c>
      <c r="O231" s="90">
        <v>7004153.2800000003</v>
      </c>
      <c r="P231" s="90">
        <v>6565904.4500000002</v>
      </c>
      <c r="Q231" s="90">
        <v>314623.21999999997</v>
      </c>
      <c r="R231" s="90">
        <v>-410.84</v>
      </c>
      <c r="S231" s="90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 ht="12.75" customHeight="1" x14ac:dyDescent="0.25">
      <c r="E232" s="89" t="s">
        <v>81</v>
      </c>
      <c r="F232" s="90">
        <v>1661990.85</v>
      </c>
      <c r="G232" s="90">
        <v>230157.12</v>
      </c>
      <c r="H232" s="90">
        <v>114660.87</v>
      </c>
      <c r="I232" s="90">
        <v>50633.78</v>
      </c>
      <c r="J232" s="90">
        <v>233439.89</v>
      </c>
      <c r="K232" s="90">
        <v>11329.54</v>
      </c>
      <c r="L232" s="90">
        <v>0</v>
      </c>
      <c r="M232" s="90">
        <v>99384.95</v>
      </c>
      <c r="N232" s="90">
        <v>87901.95</v>
      </c>
      <c r="O232" s="90">
        <v>301873.34999999998</v>
      </c>
      <c r="P232" s="90">
        <v>514036.82</v>
      </c>
      <c r="Q232" s="90">
        <v>18567.23</v>
      </c>
      <c r="R232" s="90">
        <v>5.35</v>
      </c>
      <c r="S232" s="90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 ht="12.75" customHeight="1" x14ac:dyDescent="0.25">
      <c r="D233" s="89" t="s">
        <v>86</v>
      </c>
      <c r="E233" s="89" t="s">
        <v>70</v>
      </c>
      <c r="F233" s="90">
        <v>33509153.420000002</v>
      </c>
      <c r="G233" s="90">
        <v>3083336.71</v>
      </c>
      <c r="H233" s="90">
        <v>1654040.05</v>
      </c>
      <c r="I233" s="90">
        <v>840059.21</v>
      </c>
      <c r="J233" s="90">
        <v>4005368.95</v>
      </c>
      <c r="K233" s="90">
        <v>203063.39</v>
      </c>
      <c r="L233" s="90">
        <v>5516672.5499999998</v>
      </c>
      <c r="M233" s="90">
        <v>1775491.01</v>
      </c>
      <c r="N233" s="90">
        <v>1712368.69</v>
      </c>
      <c r="O233" s="90">
        <v>7306026.6299999999</v>
      </c>
      <c r="P233" s="90">
        <v>7079941.2699999996</v>
      </c>
      <c r="Q233" s="90">
        <v>333190.45</v>
      </c>
      <c r="R233" s="90">
        <v>-405.49</v>
      </c>
      <c r="S233" s="90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 ht="12.75" customHeight="1" x14ac:dyDescent="0.25">
      <c r="E234" s="89" t="s">
        <v>72</v>
      </c>
      <c r="F234" s="90">
        <v>251739346.56</v>
      </c>
      <c r="G234" s="90">
        <v>49903081.920000002</v>
      </c>
      <c r="H234" s="90">
        <v>28101184.149999999</v>
      </c>
      <c r="I234" s="90">
        <v>14800459.970000001</v>
      </c>
      <c r="J234" s="90">
        <v>9275440.6400000006</v>
      </c>
      <c r="K234" s="90">
        <v>272948.34999999998</v>
      </c>
      <c r="L234" s="90">
        <v>11319187.67</v>
      </c>
      <c r="M234" s="90">
        <v>2387571.2799999998</v>
      </c>
      <c r="N234" s="90">
        <v>3358318.82</v>
      </c>
      <c r="O234" s="90">
        <v>15919729.98</v>
      </c>
      <c r="P234" s="90">
        <v>115956078.88</v>
      </c>
      <c r="Q234" s="90">
        <v>445753.68</v>
      </c>
      <c r="R234" s="90">
        <v>-408.78</v>
      </c>
      <c r="S234" s="90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 ht="12.75" customHeight="1" x14ac:dyDescent="0.25">
      <c r="E235" s="89" t="s">
        <v>81</v>
      </c>
      <c r="F235" s="90">
        <v>5444226.1600000001</v>
      </c>
      <c r="G235" s="90">
        <v>1199648.01</v>
      </c>
      <c r="H235" s="90">
        <v>664754.78</v>
      </c>
      <c r="I235" s="90">
        <v>355145.43</v>
      </c>
      <c r="J235" s="90">
        <v>130468.2</v>
      </c>
      <c r="K235" s="90">
        <v>3464.09</v>
      </c>
      <c r="L235" s="90">
        <v>18212.64</v>
      </c>
      <c r="M235" s="90">
        <v>30334.42</v>
      </c>
      <c r="N235" s="90">
        <v>39995.879999999997</v>
      </c>
      <c r="O235" s="90">
        <v>184570.1</v>
      </c>
      <c r="P235" s="90">
        <v>2811987</v>
      </c>
      <c r="Q235" s="90">
        <v>5648.46</v>
      </c>
      <c r="R235" s="90">
        <v>-3.82</v>
      </c>
      <c r="S235" s="90">
        <v>0.97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 ht="12.75" customHeight="1" x14ac:dyDescent="0.25">
      <c r="D236" s="89" t="s">
        <v>87</v>
      </c>
      <c r="E236" s="89" t="s">
        <v>70</v>
      </c>
      <c r="F236" s="90">
        <v>257183572.72</v>
      </c>
      <c r="G236" s="90">
        <v>51102729.93</v>
      </c>
      <c r="H236" s="90">
        <v>28765938.93</v>
      </c>
      <c r="I236" s="90">
        <v>15155605.4</v>
      </c>
      <c r="J236" s="90">
        <v>9405908.8399999999</v>
      </c>
      <c r="K236" s="90">
        <v>276412.44</v>
      </c>
      <c r="L236" s="90">
        <v>11337400.310000001</v>
      </c>
      <c r="M236" s="90">
        <v>2417905.7000000002</v>
      </c>
      <c r="N236" s="90">
        <v>3398314.7</v>
      </c>
      <c r="O236" s="90">
        <v>16104300.08</v>
      </c>
      <c r="P236" s="90">
        <v>118768065.88</v>
      </c>
      <c r="Q236" s="90">
        <v>451402.14</v>
      </c>
      <c r="R236" s="90">
        <v>-412.6</v>
      </c>
      <c r="S236" s="90">
        <v>0.97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 s="94" customFormat="1" ht="12.75" customHeight="1" x14ac:dyDescent="0.25">
      <c r="C237" s="101" t="s">
        <v>119</v>
      </c>
      <c r="D237" s="101" t="s">
        <v>70</v>
      </c>
      <c r="F237" s="93">
        <v>312921279.70999998</v>
      </c>
      <c r="G237" s="93">
        <v>56773218.789999999</v>
      </c>
      <c r="H237" s="93">
        <v>31877408.260000002</v>
      </c>
      <c r="I237" s="93">
        <v>16762143.41</v>
      </c>
      <c r="J237" s="93">
        <v>16628946.140000001</v>
      </c>
      <c r="K237" s="93">
        <v>579743.27</v>
      </c>
      <c r="L237" s="93">
        <v>16854072.859999999</v>
      </c>
      <c r="M237" s="93">
        <v>5070768.59</v>
      </c>
      <c r="N237" s="93">
        <v>6338226.71</v>
      </c>
      <c r="O237" s="93">
        <v>29242399.050000001</v>
      </c>
      <c r="P237" s="93">
        <v>131846486.83</v>
      </c>
      <c r="Q237" s="93">
        <v>948804.09</v>
      </c>
      <c r="R237" s="93">
        <v>-939.26</v>
      </c>
      <c r="S237" s="93">
        <v>0.97</v>
      </c>
      <c r="T237" s="94">
        <v>0</v>
      </c>
      <c r="U237" s="94">
        <v>0</v>
      </c>
      <c r="V237" s="94">
        <v>0</v>
      </c>
      <c r="W237" s="94">
        <v>0</v>
      </c>
      <c r="X237" s="94">
        <v>0</v>
      </c>
      <c r="Y237" s="94">
        <v>0</v>
      </c>
      <c r="Z237" s="94">
        <v>0</v>
      </c>
    </row>
    <row r="238" spans="1:26" s="226" customFormat="1" ht="12.75" customHeight="1" x14ac:dyDescent="0.25">
      <c r="B238" s="98" t="s">
        <v>112</v>
      </c>
      <c r="C238" s="98" t="s">
        <v>70</v>
      </c>
      <c r="F238" s="100">
        <v>11541918400.700001</v>
      </c>
      <c r="G238" s="100">
        <v>681707984.59000003</v>
      </c>
      <c r="H238" s="100">
        <v>384319134.44999999</v>
      </c>
      <c r="I238" s="100">
        <v>201926559.49000001</v>
      </c>
      <c r="J238" s="100">
        <v>2643775986.1999998</v>
      </c>
      <c r="K238" s="100">
        <v>98939176.75</v>
      </c>
      <c r="L238" s="100">
        <v>32320230.18</v>
      </c>
      <c r="M238" s="100">
        <v>868643506.40999997</v>
      </c>
      <c r="N238" s="100">
        <v>852821949.89999998</v>
      </c>
      <c r="O238" s="100">
        <v>4032959657.6500001</v>
      </c>
      <c r="P238" s="100">
        <v>1582839811.01</v>
      </c>
      <c r="Q238" s="100">
        <v>161584055.31999999</v>
      </c>
      <c r="R238" s="100">
        <v>80346.080000000002</v>
      </c>
      <c r="S238" s="100">
        <v>2.4</v>
      </c>
      <c r="T238" s="226">
        <v>0.27</v>
      </c>
      <c r="U238" s="226">
        <v>0</v>
      </c>
      <c r="V238" s="226">
        <v>0</v>
      </c>
      <c r="W238" s="226">
        <v>0</v>
      </c>
      <c r="X238" s="226">
        <v>0</v>
      </c>
      <c r="Y238" s="226">
        <v>0</v>
      </c>
      <c r="Z238" s="226">
        <v>0</v>
      </c>
    </row>
    <row r="239" spans="1:26" ht="12.75" customHeight="1" x14ac:dyDescent="0.25">
      <c r="A239" s="89" t="s">
        <v>78</v>
      </c>
      <c r="B239" s="89" t="s">
        <v>70</v>
      </c>
      <c r="F239" s="90">
        <v>11547617225.549999</v>
      </c>
      <c r="G239" s="90">
        <v>682948501.05999994</v>
      </c>
      <c r="H239" s="90">
        <v>385019527.80000001</v>
      </c>
      <c r="I239" s="90">
        <v>202295054.22999999</v>
      </c>
      <c r="J239" s="90">
        <v>2643925082.8299999</v>
      </c>
      <c r="K239" s="90">
        <v>98943316.760000005</v>
      </c>
      <c r="L239" s="90">
        <v>32320230.18</v>
      </c>
      <c r="M239" s="90">
        <v>868679822.52999997</v>
      </c>
      <c r="N239" s="90">
        <v>852875167.45000005</v>
      </c>
      <c r="O239" s="90">
        <v>4033210343.29</v>
      </c>
      <c r="P239" s="90">
        <v>1585729030.97</v>
      </c>
      <c r="Q239" s="90">
        <v>161590810.13</v>
      </c>
      <c r="R239" s="90">
        <v>80335.649999999994</v>
      </c>
      <c r="S239" s="90">
        <v>2.4</v>
      </c>
      <c r="T239">
        <v>0.27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 ht="12.75" customHeight="1" x14ac:dyDescent="0.25">
      <c r="A240" s="89"/>
      <c r="B240" s="89"/>
      <c r="E240" t="s">
        <v>73</v>
      </c>
      <c r="F240" s="374">
        <v>4499898.22</v>
      </c>
      <c r="G240" s="90">
        <v>1033341.06</v>
      </c>
      <c r="H240" s="90">
        <v>583621.04</v>
      </c>
      <c r="I240" s="90">
        <v>307097.2</v>
      </c>
      <c r="J240" s="90">
        <v>54134.87</v>
      </c>
      <c r="K240" s="90">
        <v>1358.03</v>
      </c>
      <c r="L240" s="90">
        <v>0</v>
      </c>
      <c r="M240" s="90">
        <v>11912.68</v>
      </c>
      <c r="N240" s="90">
        <v>17441.45</v>
      </c>
      <c r="O240" s="90">
        <v>80949.83</v>
      </c>
      <c r="P240" s="90">
        <v>2407826.25</v>
      </c>
      <c r="Q240" s="90">
        <v>2215.81</v>
      </c>
      <c r="R240" s="90">
        <v>0</v>
      </c>
      <c r="S240" s="9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 ht="12.75" customHeight="1" x14ac:dyDescent="0.25">
      <c r="A241" s="89"/>
      <c r="B241" s="89"/>
      <c r="D241" t="s">
        <v>87</v>
      </c>
      <c r="E241" t="s">
        <v>70</v>
      </c>
      <c r="F241" s="374">
        <v>4499898.22</v>
      </c>
      <c r="G241" s="90">
        <v>1033341.06</v>
      </c>
      <c r="H241" s="90">
        <v>583621.04</v>
      </c>
      <c r="I241" s="90">
        <v>307097.2</v>
      </c>
      <c r="J241" s="90">
        <v>54134.87</v>
      </c>
      <c r="K241" s="90">
        <v>1358.03</v>
      </c>
      <c r="L241" s="90">
        <v>0</v>
      </c>
      <c r="M241" s="90">
        <v>11912.68</v>
      </c>
      <c r="N241" s="90">
        <v>17441.45</v>
      </c>
      <c r="O241" s="90">
        <v>80949.83</v>
      </c>
      <c r="P241" s="90">
        <v>2407826.25</v>
      </c>
      <c r="Q241" s="90">
        <v>2215.81</v>
      </c>
      <c r="R241" s="90">
        <v>0</v>
      </c>
      <c r="S241" s="90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  <row r="242" spans="1:26" s="94" customFormat="1" ht="12.75" customHeight="1" x14ac:dyDescent="0.25">
      <c r="C242" s="101" t="s">
        <v>119</v>
      </c>
      <c r="D242" s="101" t="s">
        <v>70</v>
      </c>
      <c r="F242" s="93">
        <v>4499898.22</v>
      </c>
      <c r="G242" s="93">
        <v>1033341.06</v>
      </c>
      <c r="H242" s="93">
        <v>583621.04</v>
      </c>
      <c r="I242" s="93">
        <v>307097.2</v>
      </c>
      <c r="J242" s="93">
        <v>54134.87</v>
      </c>
      <c r="K242" s="93">
        <v>1358.03</v>
      </c>
      <c r="L242" s="93">
        <v>0</v>
      </c>
      <c r="M242" s="93">
        <v>11912.68</v>
      </c>
      <c r="N242" s="93">
        <v>17441.45</v>
      </c>
      <c r="O242" s="93">
        <v>80949.83</v>
      </c>
      <c r="P242" s="93">
        <v>2407826.25</v>
      </c>
      <c r="Q242" s="93">
        <v>2215.81</v>
      </c>
      <c r="R242" s="93">
        <v>0</v>
      </c>
      <c r="S242" s="93">
        <v>0</v>
      </c>
      <c r="T242" s="94">
        <v>0</v>
      </c>
      <c r="U242" s="94">
        <v>0</v>
      </c>
      <c r="V242" s="94">
        <v>0</v>
      </c>
      <c r="W242" s="94">
        <v>0</v>
      </c>
      <c r="X242" s="94">
        <v>0</v>
      </c>
      <c r="Y242" s="94">
        <v>0</v>
      </c>
      <c r="Z242" s="94">
        <v>0</v>
      </c>
    </row>
    <row r="243" spans="1:26" s="381" customFormat="1" ht="12.75" customHeight="1" x14ac:dyDescent="0.25">
      <c r="A243" s="379"/>
      <c r="B243" s="379" t="s">
        <v>122</v>
      </c>
      <c r="C243" s="381" t="s">
        <v>70</v>
      </c>
      <c r="F243" s="707">
        <v>4499898.22</v>
      </c>
      <c r="G243" s="380">
        <v>1033341.06</v>
      </c>
      <c r="H243" s="380">
        <v>583621.04</v>
      </c>
      <c r="I243" s="380">
        <v>307097.2</v>
      </c>
      <c r="J243" s="380">
        <v>54134.87</v>
      </c>
      <c r="K243" s="380">
        <v>1358.03</v>
      </c>
      <c r="L243" s="380">
        <v>0</v>
      </c>
      <c r="M243" s="380">
        <v>11912.68</v>
      </c>
      <c r="N243" s="380">
        <v>17441.45</v>
      </c>
      <c r="O243" s="380">
        <v>80949.83</v>
      </c>
      <c r="P243" s="380">
        <v>2407826.25</v>
      </c>
      <c r="Q243" s="380">
        <v>2215.81</v>
      </c>
      <c r="R243" s="380">
        <v>0</v>
      </c>
      <c r="S243" s="380">
        <v>0</v>
      </c>
      <c r="T243" s="381">
        <v>0</v>
      </c>
      <c r="U243" s="381">
        <v>0</v>
      </c>
      <c r="V243" s="381">
        <v>0</v>
      </c>
      <c r="W243" s="381">
        <v>0</v>
      </c>
      <c r="X243" s="381">
        <v>0</v>
      </c>
      <c r="Y243" s="381">
        <v>0</v>
      </c>
      <c r="Z243" s="381">
        <v>0</v>
      </c>
    </row>
    <row r="244" spans="1:26" ht="12.75" customHeight="1" x14ac:dyDescent="0.25">
      <c r="E244" s="89" t="s">
        <v>73</v>
      </c>
      <c r="F244" s="374">
        <v>-1564808872.3499999</v>
      </c>
      <c r="G244" s="90">
        <v>-10385157.52</v>
      </c>
      <c r="H244" s="90">
        <v>-5885325.4400000004</v>
      </c>
      <c r="I244" s="90">
        <v>-3069764.36</v>
      </c>
      <c r="J244" s="90">
        <v>-468278665.16000003</v>
      </c>
      <c r="K244" s="90">
        <v>-17357619.23</v>
      </c>
      <c r="L244" s="90">
        <v>0</v>
      </c>
      <c r="M244" s="90">
        <v>-152286459.75999999</v>
      </c>
      <c r="N244" s="90">
        <v>-149194728.97999999</v>
      </c>
      <c r="O244" s="90">
        <v>-705835372.34000003</v>
      </c>
      <c r="P244" s="90">
        <v>-24193330.719999999</v>
      </c>
      <c r="Q244" s="90">
        <v>-28322448.84</v>
      </c>
      <c r="R244" s="90">
        <v>0</v>
      </c>
      <c r="S244" s="90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</row>
    <row r="245" spans="1:26" ht="12.75" customHeight="1" x14ac:dyDescent="0.25">
      <c r="D245" t="s">
        <v>156</v>
      </c>
      <c r="E245" s="89" t="s">
        <v>70</v>
      </c>
      <c r="F245" s="374">
        <v>-1564808872.3499999</v>
      </c>
      <c r="G245" s="90">
        <v>-10385157.52</v>
      </c>
      <c r="H245" s="90">
        <v>-5885325.4400000004</v>
      </c>
      <c r="I245" s="90">
        <v>-3069764.36</v>
      </c>
      <c r="J245" s="90">
        <v>-468278665.16000003</v>
      </c>
      <c r="K245" s="90">
        <v>-17357619.23</v>
      </c>
      <c r="L245" s="90">
        <v>0</v>
      </c>
      <c r="M245" s="90">
        <v>-152286459.75999999</v>
      </c>
      <c r="N245" s="90">
        <v>-149194728.97999999</v>
      </c>
      <c r="O245" s="90">
        <v>-705835372.34000003</v>
      </c>
      <c r="P245" s="90">
        <v>-24193330.719999999</v>
      </c>
      <c r="Q245" s="90">
        <v>-28322448.84</v>
      </c>
      <c r="R245" s="90">
        <v>0</v>
      </c>
      <c r="S245" s="90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</row>
    <row r="246" spans="1:26" s="289" customFormat="1" ht="12.75" customHeight="1" x14ac:dyDescent="0.25">
      <c r="C246" s="289" t="s">
        <v>155</v>
      </c>
      <c r="D246" s="289" t="s">
        <v>70</v>
      </c>
      <c r="E246" s="229"/>
      <c r="F246" s="229">
        <v>-1564808872.3499999</v>
      </c>
      <c r="G246" s="230">
        <v>-10385157.52</v>
      </c>
      <c r="H246" s="230">
        <v>-5885325.4400000004</v>
      </c>
      <c r="I246" s="230">
        <v>-3069764.36</v>
      </c>
      <c r="J246" s="230">
        <v>-468278665.16000003</v>
      </c>
      <c r="K246" s="230">
        <v>-17357619.23</v>
      </c>
      <c r="L246" s="230">
        <v>0</v>
      </c>
      <c r="M246" s="230">
        <v>-152286459.75999999</v>
      </c>
      <c r="N246" s="230">
        <v>-149194728.97999999</v>
      </c>
      <c r="O246" s="230">
        <v>-705835372.34000003</v>
      </c>
      <c r="P246" s="230">
        <v>-24193330.719999999</v>
      </c>
      <c r="Q246" s="230">
        <v>-28322448.84</v>
      </c>
      <c r="R246" s="230">
        <v>0</v>
      </c>
      <c r="S246" s="230">
        <v>0</v>
      </c>
      <c r="T246" s="230">
        <v>0</v>
      </c>
      <c r="U246" s="230">
        <v>0</v>
      </c>
      <c r="V246" s="230">
        <v>0</v>
      </c>
      <c r="W246" s="230">
        <v>0</v>
      </c>
      <c r="X246" s="230">
        <v>0</v>
      </c>
      <c r="Y246" s="230">
        <v>0</v>
      </c>
      <c r="Z246" s="230">
        <v>0</v>
      </c>
    </row>
    <row r="247" spans="1:26" ht="12.75" customHeight="1" x14ac:dyDescent="0.25">
      <c r="D247" s="89"/>
      <c r="E247" s="89" t="s">
        <v>73</v>
      </c>
      <c r="F247" s="90">
        <v>7519846.4299999997</v>
      </c>
      <c r="G247" s="90">
        <v>1598167.29</v>
      </c>
      <c r="H247" s="90">
        <v>902456.83</v>
      </c>
      <c r="I247" s="90">
        <v>483596.09</v>
      </c>
      <c r="J247" s="90">
        <v>262073.62</v>
      </c>
      <c r="K247" s="90">
        <v>6512.69</v>
      </c>
      <c r="L247" s="90">
        <v>0</v>
      </c>
      <c r="M247" s="90">
        <v>57128.63</v>
      </c>
      <c r="N247" s="90">
        <v>84813.84</v>
      </c>
      <c r="O247" s="90">
        <v>402148.72</v>
      </c>
      <c r="P247" s="90">
        <v>3712322.43</v>
      </c>
      <c r="Q247" s="90">
        <v>10626.29</v>
      </c>
      <c r="R247" s="90">
        <v>0</v>
      </c>
      <c r="S247" s="90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</row>
    <row r="248" spans="1:26" ht="12.75" customHeight="1" x14ac:dyDescent="0.25">
      <c r="D248" t="s">
        <v>82</v>
      </c>
      <c r="E248" s="89" t="s">
        <v>70</v>
      </c>
      <c r="F248" s="90">
        <v>7519846.4299999997</v>
      </c>
      <c r="G248" s="90">
        <v>1598167.29</v>
      </c>
      <c r="H248" s="90">
        <v>902456.83</v>
      </c>
      <c r="I248" s="90">
        <v>483596.09</v>
      </c>
      <c r="J248" s="90">
        <v>262073.62</v>
      </c>
      <c r="K248" s="90">
        <v>6512.69</v>
      </c>
      <c r="L248" s="90">
        <v>0</v>
      </c>
      <c r="M248" s="90">
        <v>57128.63</v>
      </c>
      <c r="N248" s="90">
        <v>84813.84</v>
      </c>
      <c r="O248" s="90">
        <v>402148.72</v>
      </c>
      <c r="P248" s="90">
        <v>3712322.43</v>
      </c>
      <c r="Q248" s="90">
        <v>10626.29</v>
      </c>
      <c r="R248" s="90">
        <v>0</v>
      </c>
      <c r="S248" s="90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</row>
    <row r="249" spans="1:26" ht="12.75" customHeight="1" x14ac:dyDescent="0.25">
      <c r="D249" s="89"/>
      <c r="E249" s="89" t="s">
        <v>73</v>
      </c>
      <c r="F249" s="90">
        <v>2565552.75</v>
      </c>
      <c r="G249" s="90">
        <v>1105691.08</v>
      </c>
      <c r="H249" s="90">
        <v>631398.69999999995</v>
      </c>
      <c r="I249" s="90">
        <v>328343.36</v>
      </c>
      <c r="J249" s="90">
        <v>-803163.54</v>
      </c>
      <c r="K249" s="90">
        <v>-28715.23</v>
      </c>
      <c r="L249" s="90">
        <v>0</v>
      </c>
      <c r="M249" s="90">
        <v>-252084.82</v>
      </c>
      <c r="N249" s="90">
        <v>-185274.31</v>
      </c>
      <c r="O249" s="90">
        <v>-751643.33</v>
      </c>
      <c r="P249" s="90">
        <v>2567851.5099999998</v>
      </c>
      <c r="Q249" s="90">
        <v>-46850.67</v>
      </c>
      <c r="R249" s="90">
        <v>0</v>
      </c>
      <c r="S249" s="90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</row>
    <row r="250" spans="1:26" ht="12.75" customHeight="1" x14ac:dyDescent="0.25">
      <c r="D250" t="s">
        <v>86</v>
      </c>
      <c r="E250" s="89" t="s">
        <v>70</v>
      </c>
      <c r="F250" s="90">
        <v>2565552.75</v>
      </c>
      <c r="G250" s="90">
        <v>1105691.08</v>
      </c>
      <c r="H250" s="90">
        <v>631398.69999999995</v>
      </c>
      <c r="I250" s="90">
        <v>328343.36</v>
      </c>
      <c r="J250" s="90">
        <v>-803163.54</v>
      </c>
      <c r="K250" s="90">
        <v>-28715.23</v>
      </c>
      <c r="L250" s="90">
        <v>0</v>
      </c>
      <c r="M250" s="90">
        <v>-252084.82</v>
      </c>
      <c r="N250" s="90">
        <v>-185274.31</v>
      </c>
      <c r="O250" s="90">
        <v>-751643.33</v>
      </c>
      <c r="P250" s="90">
        <v>2567851.5099999998</v>
      </c>
      <c r="Q250" s="90">
        <v>-46850.67</v>
      </c>
      <c r="R250" s="90">
        <v>0</v>
      </c>
      <c r="S250" s="9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</row>
    <row r="251" spans="1:26" ht="12.75" customHeight="1" x14ac:dyDescent="0.25">
      <c r="D251" s="89"/>
      <c r="E251" s="89" t="s">
        <v>73</v>
      </c>
      <c r="F251" s="90">
        <v>147134700.28</v>
      </c>
      <c r="G251" s="90">
        <v>33857703.049999997</v>
      </c>
      <c r="H251" s="90">
        <v>19067221.390000001</v>
      </c>
      <c r="I251" s="90">
        <v>10070998.52</v>
      </c>
      <c r="J251" s="90">
        <v>1784869.39</v>
      </c>
      <c r="K251" s="90">
        <v>42976.21</v>
      </c>
      <c r="L251" s="90">
        <v>0</v>
      </c>
      <c r="M251" s="90">
        <v>372276.93</v>
      </c>
      <c r="N251" s="90">
        <v>540177.57999999996</v>
      </c>
      <c r="O251" s="90">
        <v>2531352.81</v>
      </c>
      <c r="P251" s="90">
        <v>78797003.590000004</v>
      </c>
      <c r="Q251" s="90">
        <v>70120.81</v>
      </c>
      <c r="R251" s="90">
        <v>0</v>
      </c>
      <c r="S251" s="90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</row>
    <row r="252" spans="1:26" ht="12.75" customHeight="1" x14ac:dyDescent="0.25">
      <c r="C252" s="89"/>
      <c r="D252" s="89" t="s">
        <v>87</v>
      </c>
      <c r="E252" t="s">
        <v>70</v>
      </c>
      <c r="F252" s="90">
        <v>147134700.28</v>
      </c>
      <c r="G252" s="90">
        <v>33857703.049999997</v>
      </c>
      <c r="H252" s="90">
        <v>19067221.390000001</v>
      </c>
      <c r="I252" s="90">
        <v>10070998.52</v>
      </c>
      <c r="J252" s="90">
        <v>1784869.39</v>
      </c>
      <c r="K252" s="90">
        <v>42976.21</v>
      </c>
      <c r="L252" s="90">
        <v>0</v>
      </c>
      <c r="M252" s="90">
        <v>372276.93</v>
      </c>
      <c r="N252" s="90">
        <v>540177.57999999996</v>
      </c>
      <c r="O252" s="90">
        <v>2531352.81</v>
      </c>
      <c r="P252" s="90">
        <v>78797003.590000004</v>
      </c>
      <c r="Q252" s="90">
        <v>70120.81</v>
      </c>
      <c r="R252" s="90">
        <v>0</v>
      </c>
      <c r="S252" s="90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</row>
    <row r="253" spans="1:26" s="94" customFormat="1" ht="12.75" customHeight="1" x14ac:dyDescent="0.25">
      <c r="C253" s="101" t="s">
        <v>119</v>
      </c>
      <c r="D253" s="101" t="s">
        <v>70</v>
      </c>
      <c r="F253" s="93">
        <v>157220099.46000001</v>
      </c>
      <c r="G253" s="93">
        <v>36561561.420000002</v>
      </c>
      <c r="H253" s="93">
        <v>20601076.920000002</v>
      </c>
      <c r="I253" s="93">
        <v>10882937.970000001</v>
      </c>
      <c r="J253" s="93">
        <v>1243779.47</v>
      </c>
      <c r="K253" s="93">
        <v>20773.669999999998</v>
      </c>
      <c r="L253" s="93">
        <v>0</v>
      </c>
      <c r="M253" s="93">
        <v>177320.74</v>
      </c>
      <c r="N253" s="93">
        <v>439717.11</v>
      </c>
      <c r="O253" s="93">
        <v>2181858.2000000002</v>
      </c>
      <c r="P253" s="93">
        <v>85077177.530000001</v>
      </c>
      <c r="Q253" s="93">
        <v>33896.43</v>
      </c>
      <c r="R253" s="93">
        <v>0</v>
      </c>
      <c r="S253" s="93">
        <v>0</v>
      </c>
      <c r="T253" s="94">
        <v>0</v>
      </c>
      <c r="U253" s="94">
        <v>0</v>
      </c>
      <c r="V253" s="94">
        <v>0</v>
      </c>
      <c r="W253" s="94">
        <v>0</v>
      </c>
      <c r="X253" s="94">
        <v>0</v>
      </c>
      <c r="Y253" s="94">
        <v>0</v>
      </c>
      <c r="Z253" s="94">
        <v>0</v>
      </c>
    </row>
    <row r="254" spans="1:26" s="226" customFormat="1" ht="12.75" customHeight="1" x14ac:dyDescent="0.25">
      <c r="A254" s="98"/>
      <c r="B254" s="98" t="s">
        <v>112</v>
      </c>
      <c r="C254" s="226" t="s">
        <v>70</v>
      </c>
      <c r="F254" s="100">
        <v>-1407588772.8900001</v>
      </c>
      <c r="G254" s="100">
        <v>26176403.899999999</v>
      </c>
      <c r="H254" s="100">
        <v>14715751.48</v>
      </c>
      <c r="I254" s="100">
        <v>7813173.6100000003</v>
      </c>
      <c r="J254" s="100">
        <v>-467034885.69</v>
      </c>
      <c r="K254" s="100">
        <v>-17336845.559999999</v>
      </c>
      <c r="L254" s="100">
        <v>0</v>
      </c>
      <c r="M254" s="100">
        <v>-152109139.02000001</v>
      </c>
      <c r="N254" s="100">
        <v>-148755011.87</v>
      </c>
      <c r="O254" s="100">
        <v>-703653514.13999999</v>
      </c>
      <c r="P254" s="100">
        <v>60883846.810000002</v>
      </c>
      <c r="Q254" s="100">
        <v>-28288552.41</v>
      </c>
      <c r="R254" s="100">
        <v>0</v>
      </c>
      <c r="S254" s="100">
        <v>0</v>
      </c>
      <c r="T254" s="226">
        <v>0</v>
      </c>
      <c r="U254" s="226">
        <v>0</v>
      </c>
      <c r="V254" s="226">
        <v>0</v>
      </c>
      <c r="W254" s="226">
        <v>0</v>
      </c>
      <c r="X254" s="226">
        <v>0</v>
      </c>
      <c r="Y254" s="226">
        <v>0</v>
      </c>
      <c r="Z254" s="226">
        <v>0</v>
      </c>
    </row>
    <row r="255" spans="1:26" ht="12.75" customHeight="1" x14ac:dyDescent="0.25">
      <c r="A255" s="89" t="s">
        <v>79</v>
      </c>
      <c r="B255" t="s">
        <v>70</v>
      </c>
      <c r="F255" s="90">
        <v>-1403088874.6700001</v>
      </c>
      <c r="G255" s="90">
        <v>27209744.960000001</v>
      </c>
      <c r="H255" s="90">
        <v>15299372.52</v>
      </c>
      <c r="I255" s="90">
        <v>8120270.8099999996</v>
      </c>
      <c r="J255" s="90">
        <v>-466980750.81999999</v>
      </c>
      <c r="K255" s="90">
        <v>-17335487.530000001</v>
      </c>
      <c r="L255" s="90">
        <v>0</v>
      </c>
      <c r="M255" s="90">
        <v>-152097226.34</v>
      </c>
      <c r="N255" s="90">
        <v>-148737570.41999999</v>
      </c>
      <c r="O255" s="90">
        <v>-703572564.30999994</v>
      </c>
      <c r="P255" s="90">
        <v>63291673.060000002</v>
      </c>
      <c r="Q255" s="90">
        <v>-28286336.600000001</v>
      </c>
      <c r="R255" s="90">
        <v>0</v>
      </c>
      <c r="S255" s="90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</row>
    <row r="256" spans="1:26" ht="12.75" customHeight="1" x14ac:dyDescent="0.25">
      <c r="A256" t="s">
        <v>70</v>
      </c>
      <c r="E256" s="89"/>
      <c r="F256" s="90">
        <v>10144507468.07</v>
      </c>
      <c r="G256" s="90">
        <v>710156402.75999999</v>
      </c>
      <c r="H256" s="90">
        <v>400318117.23000002</v>
      </c>
      <c r="I256" s="90">
        <v>210414983.06999999</v>
      </c>
      <c r="J256" s="90">
        <v>2176940291.5900002</v>
      </c>
      <c r="K256" s="90">
        <v>81607662.780000001</v>
      </c>
      <c r="L256" s="90">
        <v>32320230.18</v>
      </c>
      <c r="M256" s="90">
        <v>716581136.02999997</v>
      </c>
      <c r="N256" s="90">
        <v>704135766.83000004</v>
      </c>
      <c r="O256" s="90">
        <v>3329631631.4099998</v>
      </c>
      <c r="P256" s="90">
        <v>1649016705.9300001</v>
      </c>
      <c r="Q256" s="90">
        <v>133304201.94</v>
      </c>
      <c r="R256" s="90">
        <v>80335.649999999994</v>
      </c>
      <c r="S256" s="90">
        <v>2.4</v>
      </c>
      <c r="T256" s="150">
        <v>0.27</v>
      </c>
      <c r="U256" s="150">
        <v>0</v>
      </c>
      <c r="V256" s="150">
        <v>0</v>
      </c>
      <c r="W256" s="150">
        <v>0</v>
      </c>
      <c r="X256">
        <v>0</v>
      </c>
      <c r="Y256">
        <v>0</v>
      </c>
      <c r="Z256">
        <v>0</v>
      </c>
    </row>
    <row r="257" spans="1:19" ht="12.75" hidden="1" customHeight="1" x14ac:dyDescent="0.25">
      <c r="A257" s="89"/>
      <c r="B257" s="89"/>
      <c r="F257" s="90"/>
      <c r="G257" s="90"/>
      <c r="H257" s="90"/>
      <c r="I257" s="90"/>
      <c r="J257" s="90"/>
      <c r="K257" s="90"/>
      <c r="L257" s="90"/>
      <c r="M257" s="90"/>
      <c r="N257" s="90"/>
      <c r="O257" s="90"/>
      <c r="P257" s="90"/>
      <c r="Q257" s="90"/>
      <c r="R257" s="90"/>
      <c r="S257" s="90"/>
    </row>
    <row r="258" spans="1:19" ht="12.75" hidden="1" customHeight="1" x14ac:dyDescent="0.25">
      <c r="E258" s="89"/>
      <c r="F258" s="90"/>
      <c r="G258" s="90"/>
      <c r="H258" s="90"/>
      <c r="I258" s="90"/>
      <c r="J258" s="90"/>
      <c r="K258" s="90"/>
      <c r="L258" s="90"/>
      <c r="M258" s="90"/>
      <c r="N258" s="90"/>
      <c r="O258" s="90"/>
      <c r="P258" s="90"/>
      <c r="Q258" s="90"/>
      <c r="R258" s="90"/>
      <c r="S258" s="90"/>
    </row>
    <row r="259" spans="1:19" ht="12.75" hidden="1" customHeight="1" x14ac:dyDescent="0.25">
      <c r="D259" s="89"/>
      <c r="E259" s="89"/>
      <c r="F259" s="90"/>
      <c r="G259" s="90"/>
      <c r="H259" s="90"/>
      <c r="I259" s="90"/>
      <c r="J259" s="90"/>
      <c r="K259" s="90"/>
      <c r="L259" s="90"/>
      <c r="M259" s="90"/>
      <c r="N259" s="90"/>
      <c r="O259" s="90"/>
      <c r="P259" s="90"/>
      <c r="Q259" s="90"/>
      <c r="R259" s="90"/>
      <c r="S259" s="90"/>
    </row>
    <row r="260" spans="1:19" ht="12.75" hidden="1" customHeight="1" x14ac:dyDescent="0.25">
      <c r="D260" s="89"/>
      <c r="E260" s="89"/>
      <c r="F260" s="90"/>
      <c r="G260" s="90"/>
      <c r="H260" s="90"/>
      <c r="I260" s="90"/>
      <c r="J260" s="90"/>
      <c r="K260" s="90"/>
      <c r="L260" s="90"/>
      <c r="M260" s="90"/>
      <c r="N260" s="90"/>
      <c r="O260" s="90"/>
      <c r="P260" s="90"/>
      <c r="Q260" s="90"/>
      <c r="R260" s="90"/>
      <c r="S260" s="90"/>
    </row>
    <row r="261" spans="1:19" ht="12.75" hidden="1" customHeight="1" x14ac:dyDescent="0.25">
      <c r="E261" s="89"/>
      <c r="F261" s="90"/>
      <c r="G261" s="90"/>
      <c r="H261" s="90"/>
      <c r="I261" s="90"/>
      <c r="J261" s="90"/>
      <c r="K261" s="90"/>
      <c r="L261" s="90"/>
      <c r="M261" s="90"/>
      <c r="N261" s="90"/>
      <c r="O261" s="90"/>
      <c r="P261" s="90"/>
      <c r="Q261" s="90"/>
      <c r="R261" s="90"/>
      <c r="S261" s="90"/>
    </row>
    <row r="262" spans="1:19" ht="12.75" hidden="1" customHeight="1" x14ac:dyDescent="0.25">
      <c r="D262" s="89"/>
      <c r="E262" s="89"/>
      <c r="F262" s="90"/>
      <c r="G262" s="90"/>
      <c r="H262" s="90"/>
      <c r="I262" s="90"/>
      <c r="J262" s="90"/>
      <c r="K262" s="90"/>
      <c r="L262" s="90"/>
      <c r="M262" s="90"/>
      <c r="N262" s="90"/>
      <c r="O262" s="90"/>
      <c r="P262" s="90"/>
      <c r="Q262" s="90"/>
      <c r="R262" s="90"/>
      <c r="S262" s="90"/>
    </row>
    <row r="263" spans="1:19" ht="12.75" hidden="1" customHeight="1" x14ac:dyDescent="0.25">
      <c r="E263" s="89"/>
      <c r="F263" s="90"/>
      <c r="G263" s="90"/>
      <c r="H263" s="90"/>
      <c r="I263" s="90"/>
      <c r="J263" s="90"/>
      <c r="K263" s="90"/>
      <c r="L263" s="90"/>
      <c r="M263" s="90"/>
      <c r="N263" s="90"/>
      <c r="O263" s="90"/>
      <c r="P263" s="90"/>
      <c r="Q263" s="90"/>
      <c r="R263" s="90"/>
      <c r="S263" s="90"/>
    </row>
    <row r="264" spans="1:19" ht="12.75" hidden="1" customHeight="1" x14ac:dyDescent="0.25">
      <c r="D264" s="89"/>
      <c r="E264" s="89"/>
      <c r="F264" s="90"/>
      <c r="G264" s="90"/>
      <c r="H264" s="90"/>
      <c r="I264" s="90"/>
      <c r="J264" s="90"/>
      <c r="K264" s="90"/>
      <c r="L264" s="90"/>
      <c r="M264" s="90"/>
      <c r="N264" s="90"/>
      <c r="O264" s="90"/>
      <c r="P264" s="90"/>
      <c r="Q264" s="90"/>
      <c r="R264" s="90"/>
      <c r="S264" s="90"/>
    </row>
    <row r="265" spans="1:19" ht="12.75" hidden="1" customHeight="1" x14ac:dyDescent="0.25">
      <c r="E265" s="89"/>
      <c r="F265" s="90"/>
      <c r="G265" s="90"/>
      <c r="H265" s="90"/>
      <c r="I265" s="90"/>
      <c r="J265" s="90"/>
      <c r="K265" s="90"/>
      <c r="L265" s="90"/>
      <c r="M265" s="90"/>
      <c r="N265" s="90"/>
      <c r="O265" s="90"/>
      <c r="P265" s="90"/>
      <c r="Q265" s="90"/>
      <c r="R265" s="90"/>
      <c r="S265" s="90"/>
    </row>
    <row r="266" spans="1:19" ht="12.75" hidden="1" customHeight="1" x14ac:dyDescent="0.25">
      <c r="D266" s="89"/>
      <c r="E266" s="89"/>
      <c r="F266" s="90"/>
      <c r="G266" s="90"/>
      <c r="H266" s="90"/>
      <c r="I266" s="90"/>
      <c r="J266" s="90"/>
      <c r="K266" s="90"/>
      <c r="L266" s="90"/>
      <c r="M266" s="90"/>
      <c r="N266" s="90"/>
      <c r="O266" s="90"/>
      <c r="P266" s="90"/>
      <c r="Q266" s="90"/>
      <c r="R266" s="90"/>
      <c r="S266" s="90"/>
    </row>
    <row r="267" spans="1:19" ht="12.75" hidden="1" customHeight="1" x14ac:dyDescent="0.25">
      <c r="C267" s="89"/>
      <c r="D267" s="89"/>
      <c r="F267" s="90"/>
      <c r="G267" s="90"/>
      <c r="H267" s="90"/>
      <c r="I267" s="90"/>
      <c r="J267" s="90"/>
      <c r="K267" s="90"/>
      <c r="L267" s="90"/>
      <c r="M267" s="90"/>
      <c r="N267" s="90"/>
      <c r="O267" s="90"/>
      <c r="P267" s="90"/>
      <c r="Q267" s="90"/>
      <c r="R267" s="90"/>
      <c r="S267" s="90"/>
    </row>
    <row r="268" spans="1:19" ht="12.75" hidden="1" customHeight="1" x14ac:dyDescent="0.25">
      <c r="E268" s="89"/>
      <c r="F268" s="90"/>
      <c r="G268" s="90"/>
      <c r="H268" s="90"/>
      <c r="I268" s="90"/>
      <c r="J268" s="90"/>
      <c r="K268" s="90"/>
      <c r="L268" s="90"/>
      <c r="M268" s="90"/>
      <c r="N268" s="90"/>
      <c r="O268" s="90"/>
      <c r="P268" s="90"/>
      <c r="Q268" s="90"/>
      <c r="R268" s="90"/>
      <c r="S268" s="90"/>
    </row>
    <row r="269" spans="1:19" ht="12.75" hidden="1" customHeight="1" x14ac:dyDescent="0.25">
      <c r="D269" s="89"/>
      <c r="E269" s="89"/>
      <c r="F269" s="90"/>
      <c r="G269" s="90"/>
      <c r="H269" s="90"/>
      <c r="I269" s="90"/>
      <c r="J269" s="90"/>
      <c r="K269" s="90"/>
      <c r="L269" s="90"/>
      <c r="M269" s="90"/>
      <c r="N269" s="90"/>
      <c r="O269" s="90"/>
      <c r="P269" s="90"/>
      <c r="Q269" s="90"/>
      <c r="R269" s="90"/>
      <c r="S269" s="90"/>
    </row>
    <row r="270" spans="1:19" ht="12.75" hidden="1" customHeight="1" x14ac:dyDescent="0.25">
      <c r="E270" s="89"/>
      <c r="F270" s="90"/>
      <c r="G270" s="90"/>
      <c r="H270" s="90"/>
      <c r="I270" s="90"/>
      <c r="J270" s="90"/>
      <c r="K270" s="90"/>
      <c r="L270" s="90"/>
      <c r="M270" s="90"/>
      <c r="N270" s="90"/>
      <c r="O270" s="90"/>
      <c r="P270" s="90"/>
      <c r="Q270" s="90"/>
      <c r="R270" s="90"/>
      <c r="S270" s="90"/>
    </row>
    <row r="271" spans="1:19" ht="12.75" hidden="1" customHeight="1" x14ac:dyDescent="0.25">
      <c r="D271" s="89"/>
      <c r="E271" s="89"/>
      <c r="F271" s="90"/>
      <c r="G271" s="90"/>
      <c r="H271" s="90"/>
      <c r="I271" s="90"/>
      <c r="J271" s="90"/>
      <c r="K271" s="90"/>
      <c r="L271" s="90"/>
      <c r="M271" s="90"/>
      <c r="N271" s="90"/>
      <c r="O271" s="90"/>
      <c r="P271" s="90"/>
      <c r="Q271" s="90"/>
      <c r="R271" s="90"/>
      <c r="S271" s="90"/>
    </row>
    <row r="272" spans="1:19" ht="12.75" hidden="1" customHeight="1" x14ac:dyDescent="0.25">
      <c r="C272" s="89"/>
      <c r="D272" s="89"/>
      <c r="F272" s="90"/>
      <c r="G272" s="90"/>
      <c r="H272" s="90"/>
      <c r="I272" s="90"/>
      <c r="J272" s="90"/>
      <c r="K272" s="90"/>
      <c r="L272" s="90"/>
      <c r="M272" s="90"/>
      <c r="N272" s="90"/>
      <c r="O272" s="90"/>
      <c r="P272" s="90"/>
      <c r="Q272" s="90"/>
      <c r="R272" s="90"/>
      <c r="S272" s="90"/>
    </row>
    <row r="273" spans="1:23" ht="12.75" hidden="1" customHeight="1" x14ac:dyDescent="0.25">
      <c r="B273" s="89"/>
      <c r="C273" s="89"/>
      <c r="F273" s="90"/>
      <c r="G273" s="90"/>
      <c r="H273" s="90"/>
      <c r="I273" s="90"/>
      <c r="J273" s="90"/>
      <c r="K273" s="90"/>
      <c r="L273" s="90"/>
      <c r="M273" s="90"/>
      <c r="N273" s="90"/>
      <c r="O273" s="90"/>
      <c r="P273" s="90"/>
      <c r="Q273" s="90"/>
      <c r="R273" s="90"/>
      <c r="S273" s="90"/>
    </row>
    <row r="274" spans="1:23" ht="12.75" hidden="1" customHeight="1" x14ac:dyDescent="0.25">
      <c r="A274" s="89"/>
      <c r="B274" s="89"/>
      <c r="F274" s="90"/>
      <c r="G274" s="90"/>
      <c r="H274" s="90"/>
      <c r="I274" s="90"/>
      <c r="J274" s="90"/>
      <c r="K274" s="90"/>
      <c r="L274" s="90"/>
      <c r="M274" s="90"/>
      <c r="N274" s="90"/>
      <c r="O274" s="90"/>
      <c r="P274" s="90"/>
      <c r="Q274" s="90"/>
      <c r="R274" s="90"/>
      <c r="S274" s="90"/>
    </row>
    <row r="275" spans="1:23" ht="12.75" hidden="1" customHeight="1" x14ac:dyDescent="0.25">
      <c r="A275" s="89"/>
      <c r="F275" s="90"/>
      <c r="G275" s="90"/>
      <c r="H275" s="90"/>
      <c r="I275" s="90"/>
      <c r="J275" s="90"/>
      <c r="K275" s="90"/>
      <c r="L275" s="90"/>
      <c r="M275" s="90"/>
      <c r="N275" s="90"/>
      <c r="O275" s="90"/>
      <c r="P275" s="90"/>
      <c r="Q275" s="90"/>
      <c r="R275" s="90"/>
      <c r="S275" s="90"/>
    </row>
    <row r="276" spans="1:23" ht="12.75" hidden="1" customHeight="1" x14ac:dyDescent="0.25">
      <c r="A276" s="89"/>
      <c r="F276" s="90"/>
      <c r="G276" s="90"/>
      <c r="H276" s="90"/>
      <c r="I276" s="90"/>
      <c r="J276" s="90"/>
      <c r="K276" s="90"/>
      <c r="L276" s="90"/>
      <c r="M276" s="90"/>
      <c r="N276" s="90"/>
      <c r="O276" s="90"/>
      <c r="P276" s="90"/>
      <c r="Q276" s="90"/>
      <c r="R276" s="90"/>
      <c r="S276" s="90"/>
    </row>
    <row r="277" spans="1:23" ht="12.75" hidden="1" customHeight="1" x14ac:dyDescent="0.25">
      <c r="A277" s="89"/>
      <c r="F277" s="90"/>
      <c r="G277" s="90"/>
      <c r="H277" s="90"/>
      <c r="I277" s="90"/>
      <c r="J277" s="90"/>
      <c r="K277" s="90"/>
      <c r="L277" s="90"/>
      <c r="M277" s="90"/>
      <c r="N277" s="90"/>
      <c r="O277" s="90"/>
      <c r="P277" s="90"/>
      <c r="Q277" s="90"/>
      <c r="R277" s="90"/>
      <c r="S277" s="90"/>
    </row>
    <row r="278" spans="1:23" ht="12.75" hidden="1" customHeight="1" x14ac:dyDescent="0.25">
      <c r="A278" s="89"/>
      <c r="F278" s="90"/>
      <c r="G278" s="90"/>
      <c r="H278" s="90"/>
      <c r="I278" s="90"/>
      <c r="J278" s="90"/>
      <c r="K278" s="90"/>
      <c r="L278" s="90"/>
      <c r="M278" s="90"/>
      <c r="N278" s="90"/>
      <c r="O278" s="90"/>
      <c r="P278" s="90"/>
      <c r="Q278" s="90"/>
      <c r="R278" s="90"/>
      <c r="S278" s="90"/>
    </row>
    <row r="279" spans="1:23" ht="12.75" hidden="1" customHeight="1" x14ac:dyDescent="0.25">
      <c r="A279" s="89"/>
      <c r="F279" s="90"/>
      <c r="G279" s="90"/>
      <c r="H279" s="90"/>
      <c r="I279" s="90"/>
      <c r="J279" s="90"/>
      <c r="K279" s="90"/>
      <c r="L279" s="90"/>
      <c r="M279" s="90"/>
      <c r="N279" s="90"/>
      <c r="O279" s="90"/>
      <c r="P279" s="90"/>
      <c r="Q279" s="90"/>
      <c r="R279" s="90"/>
      <c r="S279" s="90"/>
    </row>
    <row r="280" spans="1:23" ht="12.75" hidden="1" customHeight="1" x14ac:dyDescent="0.25">
      <c r="A280" s="89"/>
      <c r="F280" s="90"/>
      <c r="G280" s="90"/>
      <c r="H280" s="90"/>
      <c r="I280" s="90"/>
      <c r="J280" s="90"/>
      <c r="K280" s="90"/>
      <c r="L280" s="90"/>
      <c r="M280" s="90"/>
      <c r="N280" s="90"/>
      <c r="O280" s="90"/>
      <c r="P280" s="90"/>
      <c r="Q280" s="90"/>
      <c r="R280" s="90"/>
      <c r="S280" s="90"/>
      <c r="T280" s="150"/>
      <c r="U280" s="150"/>
      <c r="V280" s="150"/>
      <c r="W280" s="150"/>
    </row>
    <row r="281" spans="1:23" ht="12.75" hidden="1" customHeight="1" x14ac:dyDescent="0.25">
      <c r="A281" s="89"/>
      <c r="F281" s="90"/>
      <c r="G281" s="90"/>
      <c r="H281" s="90"/>
      <c r="I281" s="90"/>
      <c r="J281" s="90"/>
      <c r="K281" s="90"/>
      <c r="L281" s="90"/>
      <c r="M281" s="90"/>
      <c r="N281" s="90"/>
      <c r="O281" s="90"/>
      <c r="P281" s="90"/>
      <c r="Q281" s="90"/>
      <c r="R281" s="90"/>
      <c r="S281" s="90"/>
      <c r="T281" s="150"/>
      <c r="U281" s="150"/>
      <c r="V281" s="150"/>
      <c r="W281" s="150"/>
    </row>
    <row r="282" spans="1:23" ht="12.75" hidden="1" customHeight="1" x14ac:dyDescent="0.25">
      <c r="A282" s="89"/>
      <c r="F282" s="90"/>
      <c r="G282" s="90"/>
      <c r="H282" s="90"/>
      <c r="I282" s="90"/>
      <c r="J282" s="90"/>
      <c r="K282" s="90"/>
      <c r="L282" s="90"/>
      <c r="M282" s="90"/>
      <c r="N282" s="90"/>
      <c r="O282" s="90"/>
      <c r="P282" s="90"/>
      <c r="Q282" s="90"/>
      <c r="R282" s="90"/>
      <c r="S282" s="90"/>
      <c r="T282" s="150"/>
      <c r="U282" s="150"/>
      <c r="V282" s="150"/>
      <c r="W282" s="150"/>
    </row>
    <row r="283" spans="1:23" ht="12.75" hidden="1" customHeight="1" x14ac:dyDescent="0.25">
      <c r="A283" s="89"/>
      <c r="F283" s="90"/>
      <c r="G283" s="90"/>
      <c r="H283" s="90"/>
      <c r="I283" s="90"/>
      <c r="J283" s="90"/>
      <c r="K283" s="90"/>
      <c r="L283" s="90"/>
      <c r="M283" s="90"/>
      <c r="N283" s="90"/>
      <c r="O283" s="90"/>
      <c r="P283" s="90"/>
      <c r="Q283" s="90"/>
      <c r="R283" s="90"/>
      <c r="S283" s="90"/>
      <c r="T283" s="150"/>
      <c r="U283" s="150"/>
      <c r="V283" s="150"/>
      <c r="W283" s="150"/>
    </row>
    <row r="284" spans="1:23" ht="12.75" hidden="1" customHeight="1" x14ac:dyDescent="0.25">
      <c r="A284" s="89"/>
      <c r="F284" s="90"/>
      <c r="G284" s="90"/>
      <c r="H284" s="90"/>
      <c r="I284" s="90"/>
      <c r="J284" s="90"/>
      <c r="K284" s="90"/>
      <c r="L284" s="90"/>
      <c r="M284" s="90"/>
      <c r="N284" s="90"/>
      <c r="O284" s="90"/>
      <c r="P284" s="90"/>
      <c r="Q284" s="90"/>
      <c r="R284" s="90"/>
      <c r="S284" s="90"/>
      <c r="T284" s="150"/>
      <c r="U284" s="150"/>
      <c r="V284" s="150"/>
      <c r="W284" s="150"/>
    </row>
    <row r="285" spans="1:23" ht="12.75" hidden="1" customHeight="1" x14ac:dyDescent="0.25">
      <c r="A285" s="89"/>
      <c r="F285" s="90"/>
      <c r="G285" s="90"/>
      <c r="H285" s="90"/>
      <c r="I285" s="90"/>
      <c r="J285" s="90"/>
      <c r="K285" s="90"/>
      <c r="L285" s="90"/>
      <c r="M285" s="90"/>
      <c r="N285" s="90"/>
      <c r="O285" s="90"/>
      <c r="P285" s="90"/>
      <c r="Q285" s="90"/>
      <c r="R285" s="90"/>
      <c r="S285" s="90"/>
      <c r="T285" s="150"/>
      <c r="U285" s="150"/>
      <c r="V285" s="150"/>
      <c r="W285" s="150"/>
    </row>
    <row r="286" spans="1:23" ht="12.75" hidden="1" customHeight="1" x14ac:dyDescent="0.25">
      <c r="A286" s="89"/>
      <c r="F286" s="90"/>
      <c r="G286" s="90"/>
      <c r="H286" s="90"/>
      <c r="I286" s="90"/>
      <c r="J286" s="90"/>
      <c r="K286" s="90"/>
      <c r="L286" s="90"/>
      <c r="M286" s="90"/>
      <c r="N286" s="90"/>
      <c r="O286" s="90"/>
      <c r="P286" s="90"/>
      <c r="Q286" s="90"/>
      <c r="R286" s="90"/>
      <c r="S286" s="90"/>
      <c r="T286" s="150"/>
      <c r="U286" s="150"/>
      <c r="V286" s="150"/>
      <c r="W286" s="150"/>
    </row>
    <row r="287" spans="1:23" ht="12.75" hidden="1" customHeight="1" x14ac:dyDescent="0.25">
      <c r="A287" s="89"/>
      <c r="F287" s="90"/>
      <c r="G287" s="90"/>
      <c r="H287" s="90"/>
      <c r="I287" s="90"/>
      <c r="J287" s="90"/>
      <c r="K287" s="90"/>
      <c r="L287" s="90"/>
      <c r="M287" s="90"/>
      <c r="N287" s="90"/>
      <c r="O287" s="90"/>
      <c r="P287" s="90"/>
      <c r="Q287" s="90"/>
      <c r="R287" s="90"/>
      <c r="S287" s="90"/>
      <c r="T287" s="150"/>
      <c r="U287" s="150"/>
      <c r="V287" s="150"/>
      <c r="W287" s="150"/>
    </row>
    <row r="288" spans="1:23" ht="12.75" hidden="1" customHeight="1" x14ac:dyDescent="0.25">
      <c r="A288" s="89"/>
      <c r="F288" s="90"/>
      <c r="G288" s="90"/>
      <c r="H288" s="90"/>
      <c r="I288" s="90"/>
      <c r="J288" s="90"/>
      <c r="K288" s="90"/>
      <c r="L288" s="90"/>
      <c r="M288" s="90"/>
      <c r="N288" s="90"/>
      <c r="O288" s="90"/>
      <c r="P288" s="90"/>
      <c r="Q288" s="90"/>
      <c r="R288" s="90"/>
      <c r="S288" s="90"/>
      <c r="T288" s="150"/>
      <c r="U288" s="150"/>
      <c r="V288" s="150"/>
      <c r="W288" s="150"/>
    </row>
    <row r="289" spans="1:23" ht="12.75" hidden="1" customHeight="1" x14ac:dyDescent="0.25">
      <c r="A289" s="89"/>
      <c r="F289" s="90"/>
      <c r="G289" s="90"/>
      <c r="H289" s="90"/>
      <c r="I289" s="90"/>
      <c r="J289" s="90"/>
      <c r="K289" s="90"/>
      <c r="L289" s="90"/>
      <c r="M289" s="90"/>
      <c r="N289" s="90"/>
      <c r="O289" s="90"/>
      <c r="P289" s="90"/>
      <c r="Q289" s="90"/>
      <c r="R289" s="90"/>
      <c r="S289" s="90"/>
      <c r="T289" s="150"/>
      <c r="U289" s="150"/>
      <c r="V289" s="150"/>
      <c r="W289" s="150"/>
    </row>
    <row r="290" spans="1:23" ht="12.75" hidden="1" customHeight="1" x14ac:dyDescent="0.25">
      <c r="A290" s="89"/>
      <c r="F290" s="90"/>
      <c r="G290" s="90"/>
      <c r="H290" s="90"/>
      <c r="I290" s="90"/>
      <c r="J290" s="90"/>
      <c r="K290" s="90"/>
      <c r="L290" s="90"/>
      <c r="M290" s="90"/>
      <c r="N290" s="90"/>
      <c r="O290" s="90"/>
      <c r="P290" s="90"/>
      <c r="Q290" s="90"/>
      <c r="R290" s="90"/>
      <c r="S290" s="90"/>
      <c r="T290" s="150"/>
      <c r="U290" s="150"/>
      <c r="V290" s="150"/>
      <c r="W290" s="150"/>
    </row>
    <row r="291" spans="1:23" ht="12.75" hidden="1" customHeight="1" x14ac:dyDescent="0.25">
      <c r="A291" s="89"/>
      <c r="F291" s="90"/>
      <c r="G291" s="90"/>
      <c r="H291" s="90"/>
      <c r="I291" s="90"/>
      <c r="J291" s="90"/>
      <c r="K291" s="90"/>
      <c r="L291" s="90"/>
      <c r="M291" s="90"/>
      <c r="N291" s="90"/>
      <c r="O291" s="90"/>
      <c r="P291" s="90"/>
      <c r="Q291" s="90"/>
      <c r="R291" s="90"/>
      <c r="S291" s="90"/>
      <c r="T291" s="150"/>
      <c r="U291" s="150"/>
      <c r="V291" s="150"/>
      <c r="W291" s="150"/>
    </row>
    <row r="292" spans="1:23" ht="12.75" hidden="1" customHeight="1" x14ac:dyDescent="0.25">
      <c r="A292" s="89"/>
      <c r="F292" s="90"/>
      <c r="G292" s="90"/>
      <c r="H292" s="90"/>
      <c r="I292" s="90"/>
      <c r="J292" s="90"/>
      <c r="K292" s="90"/>
      <c r="L292" s="90"/>
      <c r="M292" s="90"/>
      <c r="N292" s="90"/>
      <c r="O292" s="90"/>
      <c r="P292" s="90"/>
      <c r="Q292" s="90"/>
      <c r="R292" s="90"/>
      <c r="S292" s="90"/>
      <c r="T292" s="150"/>
      <c r="U292" s="150"/>
      <c r="V292" s="150"/>
      <c r="W292" s="150"/>
    </row>
    <row r="293" spans="1:23" ht="12.75" hidden="1" customHeight="1" x14ac:dyDescent="0.25">
      <c r="A293" s="89"/>
      <c r="F293" s="90"/>
      <c r="G293" s="90"/>
      <c r="H293" s="90"/>
      <c r="I293" s="90"/>
      <c r="J293" s="90"/>
      <c r="K293" s="90"/>
      <c r="L293" s="90"/>
      <c r="M293" s="90"/>
      <c r="N293" s="90"/>
      <c r="O293" s="90"/>
      <c r="P293" s="90"/>
      <c r="Q293" s="90"/>
      <c r="R293" s="90"/>
      <c r="S293" s="90"/>
      <c r="T293" s="150"/>
      <c r="U293" s="150"/>
      <c r="V293" s="150"/>
      <c r="W293" s="150"/>
    </row>
    <row r="294" spans="1:23" ht="12.75" hidden="1" customHeight="1" x14ac:dyDescent="0.25">
      <c r="A294" s="89"/>
      <c r="F294" s="90"/>
      <c r="G294" s="90"/>
      <c r="H294" s="90"/>
      <c r="I294" s="90"/>
      <c r="J294" s="90"/>
      <c r="K294" s="90"/>
      <c r="L294" s="90"/>
      <c r="M294" s="90"/>
      <c r="N294" s="90"/>
      <c r="O294" s="90"/>
      <c r="P294" s="90"/>
      <c r="Q294" s="90"/>
      <c r="R294" s="90"/>
      <c r="S294" s="90"/>
      <c r="T294" s="150"/>
      <c r="U294" s="150"/>
      <c r="V294" s="150"/>
      <c r="W294" s="150"/>
    </row>
    <row r="295" spans="1:23" ht="12.75" hidden="1" customHeight="1" x14ac:dyDescent="0.25">
      <c r="A295" s="89"/>
      <c r="F295" s="90"/>
      <c r="G295" s="90"/>
      <c r="H295" s="90"/>
      <c r="I295" s="90"/>
      <c r="J295" s="90"/>
      <c r="K295" s="90"/>
      <c r="L295" s="90"/>
      <c r="M295" s="90"/>
      <c r="N295" s="90"/>
      <c r="O295" s="90"/>
      <c r="P295" s="90"/>
      <c r="Q295" s="90"/>
      <c r="R295" s="90"/>
      <c r="S295" s="90"/>
      <c r="T295" s="150"/>
      <c r="U295" s="150"/>
      <c r="V295" s="150"/>
      <c r="W295" s="150"/>
    </row>
    <row r="296" spans="1:23" ht="12.75" hidden="1" customHeight="1" x14ac:dyDescent="0.25">
      <c r="A296" s="89"/>
      <c r="F296" s="90"/>
      <c r="G296" s="90"/>
      <c r="H296" s="90"/>
      <c r="I296" s="90"/>
      <c r="J296" s="90"/>
      <c r="K296" s="90"/>
      <c r="L296" s="90"/>
      <c r="M296" s="90"/>
      <c r="N296" s="90"/>
      <c r="O296" s="90"/>
      <c r="P296" s="90"/>
      <c r="Q296" s="90"/>
      <c r="R296" s="90"/>
      <c r="S296" s="90"/>
      <c r="T296" s="150"/>
      <c r="U296" s="150"/>
      <c r="V296" s="150"/>
      <c r="W296" s="150"/>
    </row>
    <row r="297" spans="1:23" ht="12.75" hidden="1" customHeight="1" x14ac:dyDescent="0.25">
      <c r="A297" s="89"/>
      <c r="F297" s="90"/>
      <c r="G297" s="90"/>
      <c r="H297" s="90"/>
      <c r="I297" s="90"/>
      <c r="J297" s="90"/>
      <c r="K297" s="90"/>
      <c r="L297" s="90"/>
      <c r="M297" s="90"/>
      <c r="N297" s="90"/>
      <c r="O297" s="90"/>
      <c r="P297" s="90"/>
      <c r="Q297" s="90"/>
      <c r="R297" s="90"/>
      <c r="S297" s="90"/>
      <c r="T297" s="150"/>
      <c r="U297" s="150"/>
      <c r="V297" s="150"/>
      <c r="W297" s="150"/>
    </row>
    <row r="298" spans="1:23" ht="12.75" hidden="1" customHeight="1" x14ac:dyDescent="0.25">
      <c r="A298" s="89"/>
      <c r="F298" s="90"/>
      <c r="G298" s="90"/>
      <c r="H298" s="90"/>
      <c r="I298" s="90"/>
      <c r="J298" s="90"/>
      <c r="K298" s="90"/>
      <c r="L298" s="90"/>
      <c r="M298" s="90"/>
      <c r="N298" s="90"/>
      <c r="O298" s="90"/>
      <c r="P298" s="90"/>
      <c r="Q298" s="90"/>
      <c r="R298" s="90"/>
      <c r="S298" s="90"/>
      <c r="T298" s="150"/>
      <c r="U298" s="150"/>
      <c r="V298" s="150"/>
      <c r="W298" s="150"/>
    </row>
    <row r="299" spans="1:23" ht="12.75" hidden="1" customHeight="1" x14ac:dyDescent="0.25">
      <c r="A299" s="89"/>
      <c r="F299" s="90"/>
      <c r="G299" s="90"/>
      <c r="H299" s="90"/>
      <c r="I299" s="90"/>
      <c r="J299" s="90"/>
      <c r="K299" s="90"/>
      <c r="L299" s="90"/>
      <c r="M299" s="90"/>
      <c r="N299" s="90"/>
      <c r="O299" s="90"/>
      <c r="P299" s="90"/>
      <c r="Q299" s="90"/>
      <c r="R299" s="90"/>
      <c r="S299" s="90"/>
      <c r="T299" s="150"/>
      <c r="U299" s="150"/>
      <c r="V299" s="150"/>
      <c r="W299" s="150"/>
    </row>
    <row r="300" spans="1:23" ht="12.75" hidden="1" customHeight="1" x14ac:dyDescent="0.25">
      <c r="A300" s="89"/>
      <c r="F300" s="90"/>
      <c r="G300" s="90"/>
      <c r="H300" s="90"/>
      <c r="I300" s="90"/>
      <c r="J300" s="90"/>
      <c r="K300" s="90"/>
      <c r="L300" s="90"/>
      <c r="M300" s="90"/>
      <c r="N300" s="90"/>
      <c r="O300" s="90"/>
      <c r="P300" s="90"/>
      <c r="Q300" s="90"/>
      <c r="R300" s="90"/>
      <c r="S300" s="90"/>
      <c r="T300" s="150"/>
      <c r="U300" s="150"/>
      <c r="V300" s="150"/>
      <c r="W300" s="150"/>
    </row>
    <row r="301" spans="1:23" ht="12.75" hidden="1" customHeight="1" x14ac:dyDescent="0.25">
      <c r="A301" s="89"/>
      <c r="F301" s="90"/>
      <c r="G301" s="90"/>
      <c r="H301" s="90"/>
      <c r="I301" s="90"/>
      <c r="J301" s="90"/>
      <c r="K301" s="90"/>
      <c r="L301" s="90"/>
      <c r="M301" s="90"/>
      <c r="N301" s="90"/>
      <c r="O301" s="90"/>
      <c r="P301" s="90"/>
      <c r="Q301" s="90"/>
      <c r="R301" s="90"/>
      <c r="S301" s="90"/>
      <c r="T301" s="150"/>
      <c r="U301" s="150"/>
      <c r="V301" s="150"/>
      <c r="W301" s="150"/>
    </row>
    <row r="302" spans="1:23" ht="12.75" hidden="1" customHeight="1" x14ac:dyDescent="0.25">
      <c r="A302" s="89"/>
      <c r="F302" s="90"/>
      <c r="G302" s="90"/>
      <c r="H302" s="90"/>
      <c r="I302" s="90"/>
      <c r="J302" s="90"/>
      <c r="K302" s="90"/>
      <c r="L302" s="90"/>
      <c r="M302" s="90"/>
      <c r="N302" s="90"/>
      <c r="O302" s="90"/>
      <c r="P302" s="90"/>
      <c r="Q302" s="90"/>
      <c r="R302" s="90"/>
      <c r="S302" s="90"/>
      <c r="T302" s="150"/>
      <c r="U302" s="150"/>
      <c r="V302" s="150"/>
      <c r="W302" s="150"/>
    </row>
    <row r="303" spans="1:23" ht="12.75" hidden="1" customHeight="1" x14ac:dyDescent="0.25">
      <c r="A303" s="89"/>
      <c r="F303" s="90"/>
      <c r="G303" s="90"/>
      <c r="H303" s="90"/>
      <c r="I303" s="90"/>
      <c r="J303" s="90"/>
      <c r="K303" s="90"/>
      <c r="L303" s="90"/>
      <c r="M303" s="90"/>
      <c r="N303" s="90"/>
      <c r="O303" s="90"/>
      <c r="P303" s="90"/>
      <c r="Q303" s="90"/>
      <c r="R303" s="90"/>
      <c r="S303" s="90"/>
      <c r="T303" s="150"/>
      <c r="U303" s="150"/>
      <c r="V303" s="150"/>
      <c r="W303" s="150"/>
    </row>
    <row r="304" spans="1:23" ht="12.75" hidden="1" customHeight="1" x14ac:dyDescent="0.25">
      <c r="A304" s="89"/>
      <c r="F304" s="90"/>
      <c r="G304" s="90"/>
      <c r="H304" s="90"/>
      <c r="I304" s="90"/>
      <c r="J304" s="90"/>
      <c r="K304" s="90"/>
      <c r="L304" s="90"/>
      <c r="M304" s="90"/>
      <c r="N304" s="90"/>
      <c r="O304" s="90"/>
      <c r="P304" s="90"/>
      <c r="Q304" s="90"/>
      <c r="R304" s="90"/>
      <c r="S304" s="90"/>
      <c r="T304" s="150"/>
      <c r="U304" s="150"/>
      <c r="V304" s="150"/>
      <c r="W304" s="150"/>
    </row>
    <row r="305" spans="1:41" ht="12.75" hidden="1" customHeight="1" x14ac:dyDescent="0.25">
      <c r="A305" s="89"/>
      <c r="F305" s="90"/>
      <c r="G305" s="90"/>
      <c r="H305" s="90"/>
      <c r="I305" s="90"/>
      <c r="J305" s="90"/>
      <c r="K305" s="90"/>
      <c r="L305" s="90"/>
      <c r="M305" s="90"/>
      <c r="N305" s="90"/>
      <c r="O305" s="90"/>
      <c r="P305" s="90"/>
      <c r="Q305" s="90"/>
      <c r="R305" s="90"/>
      <c r="S305" s="90"/>
      <c r="T305" s="150"/>
      <c r="U305" s="150"/>
      <c r="V305" s="150"/>
      <c r="W305" s="150"/>
    </row>
    <row r="306" spans="1:41" ht="12.75" hidden="1" customHeight="1" x14ac:dyDescent="0.25">
      <c r="A306" s="89"/>
      <c r="F306" s="90"/>
      <c r="G306" s="90"/>
      <c r="H306" s="90"/>
      <c r="I306" s="90"/>
      <c r="J306" s="90"/>
      <c r="K306" s="90"/>
      <c r="L306" s="90"/>
      <c r="M306" s="90"/>
      <c r="N306" s="90"/>
      <c r="O306" s="90"/>
      <c r="P306" s="90"/>
      <c r="Q306" s="90"/>
      <c r="R306" s="90"/>
      <c r="S306" s="90"/>
      <c r="T306" s="150"/>
      <c r="U306" s="150"/>
      <c r="V306" s="150"/>
      <c r="W306" s="150"/>
    </row>
    <row r="307" spans="1:41" ht="12.75" hidden="1" customHeight="1" x14ac:dyDescent="0.25">
      <c r="A307" s="89"/>
      <c r="F307" s="90"/>
      <c r="G307" s="90"/>
      <c r="H307" s="90"/>
      <c r="I307" s="90"/>
      <c r="J307" s="90"/>
      <c r="K307" s="90"/>
      <c r="L307" s="90"/>
      <c r="M307" s="90"/>
      <c r="N307" s="90"/>
      <c r="O307" s="90"/>
      <c r="P307" s="90"/>
      <c r="Q307" s="90"/>
      <c r="R307" s="90"/>
      <c r="S307" s="90"/>
      <c r="T307" s="150"/>
      <c r="U307" s="150"/>
      <c r="V307" s="150"/>
      <c r="W307" s="150"/>
    </row>
    <row r="308" spans="1:41" ht="12.75" hidden="1" customHeight="1" x14ac:dyDescent="0.25">
      <c r="A308" s="89"/>
      <c r="F308" s="90"/>
      <c r="G308" s="90"/>
      <c r="H308" s="90"/>
      <c r="I308" s="90"/>
      <c r="J308" s="90"/>
      <c r="K308" s="90"/>
      <c r="L308" s="90"/>
      <c r="M308" s="90"/>
      <c r="N308" s="90"/>
      <c r="O308" s="90"/>
      <c r="P308" s="90"/>
      <c r="Q308" s="90"/>
      <c r="R308" s="90"/>
      <c r="S308" s="90"/>
      <c r="T308" s="150"/>
      <c r="U308" s="150"/>
      <c r="V308" s="150"/>
      <c r="W308" s="150"/>
    </row>
    <row r="309" spans="1:41" ht="12.75" hidden="1" customHeight="1" x14ac:dyDescent="0.25">
      <c r="A309" s="89"/>
      <c r="F309" s="90"/>
      <c r="G309" s="90"/>
      <c r="H309" s="90"/>
      <c r="I309" s="90"/>
      <c r="J309" s="90"/>
      <c r="K309" s="90"/>
      <c r="L309" s="90"/>
      <c r="M309" s="90"/>
      <c r="N309" s="90"/>
      <c r="O309" s="90"/>
      <c r="P309" s="90"/>
      <c r="Q309" s="90"/>
      <c r="R309" s="90"/>
      <c r="S309" s="90"/>
      <c r="T309" s="150"/>
      <c r="U309" s="150"/>
      <c r="V309" s="150"/>
      <c r="W309" s="150"/>
    </row>
    <row r="310" spans="1:41" ht="12.75" hidden="1" customHeight="1" x14ac:dyDescent="0.25">
      <c r="A310" s="89"/>
      <c r="F310" s="90"/>
      <c r="G310" s="90"/>
      <c r="H310" s="90"/>
      <c r="I310" s="90"/>
      <c r="J310" s="90"/>
      <c r="K310" s="90"/>
      <c r="L310" s="90"/>
      <c r="M310" s="90"/>
      <c r="N310" s="90"/>
      <c r="O310" s="90"/>
      <c r="P310" s="90"/>
      <c r="Q310" s="90"/>
      <c r="R310" s="90"/>
      <c r="S310" s="90"/>
      <c r="T310" s="150"/>
      <c r="U310" s="150"/>
      <c r="V310" s="150"/>
      <c r="W310" s="150"/>
    </row>
    <row r="311" spans="1:41" ht="12.75" hidden="1" customHeight="1" x14ac:dyDescent="0.25">
      <c r="A311" s="89"/>
      <c r="F311" s="90"/>
      <c r="G311" s="90"/>
      <c r="H311" s="90"/>
      <c r="I311" s="90"/>
      <c r="J311" s="90"/>
      <c r="K311" s="90"/>
      <c r="L311" s="90"/>
      <c r="M311" s="90"/>
      <c r="N311" s="90"/>
      <c r="O311" s="90"/>
      <c r="P311" s="90"/>
      <c r="Q311" s="90"/>
      <c r="R311" s="90"/>
      <c r="S311" s="90"/>
      <c r="T311" s="150"/>
      <c r="U311" s="150"/>
      <c r="V311" s="150"/>
      <c r="W311" s="150"/>
    </row>
    <row r="312" spans="1:41" ht="12.75" hidden="1" customHeight="1" x14ac:dyDescent="0.25">
      <c r="A312" s="89"/>
      <c r="F312" s="90"/>
      <c r="G312" s="90"/>
      <c r="H312" s="90"/>
      <c r="I312" s="90"/>
      <c r="J312" s="90"/>
      <c r="K312" s="90"/>
      <c r="L312" s="90"/>
      <c r="M312" s="90"/>
      <c r="N312" s="90"/>
      <c r="O312" s="90"/>
      <c r="P312" s="90"/>
      <c r="Q312" s="90"/>
      <c r="R312" s="90"/>
      <c r="S312" s="90"/>
      <c r="T312" s="150"/>
      <c r="U312" s="150"/>
      <c r="V312" s="150"/>
      <c r="W312" s="150"/>
    </row>
    <row r="313" spans="1:41" ht="12.75" hidden="1" customHeight="1" x14ac:dyDescent="0.25">
      <c r="A313" s="89"/>
      <c r="F313" s="90"/>
      <c r="G313" s="90"/>
      <c r="H313" s="90"/>
      <c r="I313" s="90"/>
      <c r="J313" s="90"/>
      <c r="K313" s="90"/>
      <c r="L313" s="90"/>
      <c r="M313" s="90"/>
      <c r="N313" s="90"/>
      <c r="O313" s="90"/>
      <c r="P313" s="90"/>
      <c r="Q313" s="90"/>
      <c r="R313" s="90"/>
      <c r="S313" s="90"/>
      <c r="T313" s="150"/>
      <c r="U313" s="150"/>
      <c r="V313" s="150"/>
      <c r="W313" s="150"/>
    </row>
    <row r="314" spans="1:41" ht="12.75" customHeight="1" x14ac:dyDescent="0.25">
      <c r="A314" s="89"/>
      <c r="F314" s="90"/>
      <c r="G314" s="90"/>
      <c r="H314" s="90"/>
      <c r="I314" s="90"/>
      <c r="J314" s="90"/>
      <c r="K314" s="90"/>
      <c r="L314" s="90"/>
      <c r="M314" s="90"/>
      <c r="N314" s="90"/>
      <c r="O314" s="90"/>
      <c r="P314" s="90"/>
      <c r="Q314" s="90"/>
      <c r="R314" s="90"/>
      <c r="S314" s="90"/>
      <c r="T314" s="150"/>
      <c r="U314" s="150"/>
      <c r="V314" s="150"/>
      <c r="W314" s="150"/>
    </row>
    <row r="315" spans="1:41" ht="12.75" customHeight="1" x14ac:dyDescent="0.25">
      <c r="A315" s="89"/>
      <c r="F315" s="90"/>
      <c r="G315" s="90"/>
      <c r="H315" s="90"/>
      <c r="I315" s="90"/>
      <c r="J315" s="90"/>
      <c r="K315" s="90"/>
      <c r="L315" s="90"/>
      <c r="M315" s="90"/>
      <c r="N315" s="90"/>
      <c r="O315" s="90"/>
      <c r="P315" s="90"/>
      <c r="Q315" s="90"/>
      <c r="R315" s="90"/>
      <c r="S315" s="90"/>
      <c r="T315" s="150"/>
      <c r="U315" s="150"/>
      <c r="V315" s="150"/>
      <c r="W315" s="150"/>
    </row>
    <row r="316" spans="1:41" ht="12.75" customHeight="1" x14ac:dyDescent="0.25">
      <c r="C316" s="766" t="s">
        <v>2</v>
      </c>
      <c r="D316" s="764" t="s">
        <v>132</v>
      </c>
      <c r="E316" s="98" t="s">
        <v>70</v>
      </c>
      <c r="F316" s="100">
        <f>F238+F254+F217-L217-L238</f>
        <v>10101988514.820002</v>
      </c>
      <c r="G316" s="100">
        <f>G238+G217</f>
        <v>681706141.33000004</v>
      </c>
      <c r="H316" s="100">
        <f t="shared" ref="H316:AO316" si="10">H238+H217</f>
        <v>384318351.36000001</v>
      </c>
      <c r="I316" s="100">
        <f t="shared" si="10"/>
        <v>201926217.52000001</v>
      </c>
      <c r="J316" s="100">
        <f t="shared" si="10"/>
        <v>2643771945.7799997</v>
      </c>
      <c r="K316" s="100">
        <f t="shared" si="10"/>
        <v>98939010.299999997</v>
      </c>
      <c r="L316" s="100">
        <f t="shared" si="10"/>
        <v>32320230.18</v>
      </c>
      <c r="M316" s="100">
        <f t="shared" si="10"/>
        <v>868642046.25</v>
      </c>
      <c r="N316" s="100">
        <f t="shared" si="10"/>
        <v>852820119.69999993</v>
      </c>
      <c r="O316" s="100">
        <f t="shared" si="10"/>
        <v>4032953510.0799999</v>
      </c>
      <c r="P316" s="100">
        <f t="shared" si="10"/>
        <v>1582835812.9100001</v>
      </c>
      <c r="Q316" s="100">
        <f t="shared" si="10"/>
        <v>161583783.72999999</v>
      </c>
      <c r="R316" s="100">
        <f t="shared" si="10"/>
        <v>80346.080000000002</v>
      </c>
      <c r="S316" s="100">
        <f t="shared" si="10"/>
        <v>2.4</v>
      </c>
      <c r="T316" s="100">
        <f t="shared" si="10"/>
        <v>0.27</v>
      </c>
      <c r="U316" s="100">
        <f t="shared" si="10"/>
        <v>0</v>
      </c>
      <c r="V316" s="100">
        <f t="shared" si="10"/>
        <v>0</v>
      </c>
      <c r="W316" s="100">
        <f t="shared" si="10"/>
        <v>0</v>
      </c>
      <c r="X316" s="100">
        <f t="shared" si="10"/>
        <v>0</v>
      </c>
      <c r="Y316" s="100">
        <f t="shared" si="10"/>
        <v>0</v>
      </c>
      <c r="Z316" s="100">
        <f t="shared" si="10"/>
        <v>0</v>
      </c>
      <c r="AA316" s="100">
        <f t="shared" si="10"/>
        <v>0</v>
      </c>
      <c r="AB316" s="100">
        <f t="shared" si="10"/>
        <v>0</v>
      </c>
      <c r="AC316" s="100">
        <f t="shared" si="10"/>
        <v>0</v>
      </c>
      <c r="AD316" s="100">
        <f t="shared" si="10"/>
        <v>0</v>
      </c>
      <c r="AE316" s="100">
        <f t="shared" si="10"/>
        <v>0</v>
      </c>
      <c r="AF316" s="100">
        <f t="shared" si="10"/>
        <v>0</v>
      </c>
      <c r="AG316" s="100">
        <f t="shared" si="10"/>
        <v>0</v>
      </c>
      <c r="AH316" s="100">
        <f t="shared" si="10"/>
        <v>0</v>
      </c>
      <c r="AI316" s="100">
        <f t="shared" si="10"/>
        <v>0</v>
      </c>
      <c r="AJ316" s="100">
        <f t="shared" si="10"/>
        <v>0</v>
      </c>
      <c r="AK316" s="100">
        <f t="shared" si="10"/>
        <v>0</v>
      </c>
      <c r="AL316" s="100">
        <f t="shared" si="10"/>
        <v>0</v>
      </c>
      <c r="AM316" s="100">
        <f t="shared" si="10"/>
        <v>0</v>
      </c>
      <c r="AN316" s="100">
        <f t="shared" si="10"/>
        <v>0</v>
      </c>
      <c r="AO316" s="100">
        <f t="shared" si="10"/>
        <v>0</v>
      </c>
    </row>
    <row r="317" spans="1:41" ht="12.75" customHeight="1" x14ac:dyDescent="0.25">
      <c r="C317" s="766"/>
      <c r="D317" s="764"/>
      <c r="E317" s="98" t="s">
        <v>73</v>
      </c>
      <c r="F317" s="100">
        <f>F254</f>
        <v>-1407588772.8900001</v>
      </c>
      <c r="G317" s="90"/>
      <c r="H317" s="90"/>
      <c r="I317" s="90"/>
      <c r="J317" s="90"/>
      <c r="K317" s="90"/>
      <c r="L317" s="90"/>
      <c r="M317" s="90"/>
      <c r="N317" s="90"/>
      <c r="O317" s="90"/>
      <c r="P317" s="90"/>
      <c r="Q317" s="90"/>
      <c r="R317" s="90"/>
      <c r="S317" s="90"/>
    </row>
    <row r="318" spans="1:41" ht="12.75" customHeight="1" x14ac:dyDescent="0.25">
      <c r="A318" s="90"/>
      <c r="C318" s="766"/>
      <c r="D318" s="764" t="s">
        <v>133</v>
      </c>
      <c r="E318" s="233" t="s">
        <v>70</v>
      </c>
      <c r="F318" s="234">
        <f>F243+F223-L223</f>
        <v>10198723.07</v>
      </c>
      <c r="G318" s="234">
        <f>G223</f>
        <v>1240516.47</v>
      </c>
      <c r="H318" s="234">
        <f t="shared" ref="H318:AO318" si="11">H223</f>
        <v>700393.35</v>
      </c>
      <c r="I318" s="234">
        <f t="shared" si="11"/>
        <v>368494.74</v>
      </c>
      <c r="J318" s="234">
        <f t="shared" si="11"/>
        <v>149096.63</v>
      </c>
      <c r="K318" s="234">
        <f t="shared" si="11"/>
        <v>4140.01</v>
      </c>
      <c r="L318" s="234">
        <f t="shared" si="11"/>
        <v>0</v>
      </c>
      <c r="M318" s="234">
        <f t="shared" si="11"/>
        <v>36316.120000000003</v>
      </c>
      <c r="N318" s="234">
        <f t="shared" si="11"/>
        <v>53217.55</v>
      </c>
      <c r="O318" s="234">
        <f t="shared" si="11"/>
        <v>250685.64</v>
      </c>
      <c r="P318" s="234">
        <f t="shared" si="11"/>
        <v>2889219.96</v>
      </c>
      <c r="Q318" s="234">
        <f t="shared" si="11"/>
        <v>6754.81</v>
      </c>
      <c r="R318" s="234">
        <f t="shared" si="11"/>
        <v>-10.43</v>
      </c>
      <c r="S318" s="234">
        <f t="shared" si="11"/>
        <v>0</v>
      </c>
      <c r="T318" s="234">
        <f t="shared" si="11"/>
        <v>0</v>
      </c>
      <c r="U318" s="234">
        <f t="shared" si="11"/>
        <v>0</v>
      </c>
      <c r="V318" s="234">
        <f t="shared" si="11"/>
        <v>0</v>
      </c>
      <c r="W318" s="234">
        <f t="shared" si="11"/>
        <v>0</v>
      </c>
      <c r="X318" s="234">
        <f t="shared" si="11"/>
        <v>0</v>
      </c>
      <c r="Y318" s="234">
        <f t="shared" si="11"/>
        <v>0</v>
      </c>
      <c r="Z318" s="234">
        <f t="shared" si="11"/>
        <v>0</v>
      </c>
      <c r="AA318" s="234">
        <f t="shared" si="11"/>
        <v>0</v>
      </c>
      <c r="AB318" s="234">
        <f t="shared" si="11"/>
        <v>0</v>
      </c>
      <c r="AC318" s="234">
        <f t="shared" si="11"/>
        <v>0</v>
      </c>
      <c r="AD318" s="234">
        <f t="shared" si="11"/>
        <v>0</v>
      </c>
      <c r="AE318" s="234">
        <f t="shared" si="11"/>
        <v>0</v>
      </c>
      <c r="AF318" s="234">
        <f t="shared" si="11"/>
        <v>0</v>
      </c>
      <c r="AG318" s="234">
        <f t="shared" si="11"/>
        <v>0</v>
      </c>
      <c r="AH318" s="234">
        <f t="shared" si="11"/>
        <v>0</v>
      </c>
      <c r="AI318" s="234">
        <f t="shared" si="11"/>
        <v>0</v>
      </c>
      <c r="AJ318" s="234">
        <f t="shared" si="11"/>
        <v>0</v>
      </c>
      <c r="AK318" s="234">
        <f t="shared" si="11"/>
        <v>0</v>
      </c>
      <c r="AL318" s="234">
        <f t="shared" si="11"/>
        <v>0</v>
      </c>
      <c r="AM318" s="234">
        <f t="shared" si="11"/>
        <v>0</v>
      </c>
      <c r="AN318" s="234">
        <f t="shared" si="11"/>
        <v>0</v>
      </c>
      <c r="AO318" s="234">
        <f t="shared" si="11"/>
        <v>0</v>
      </c>
    </row>
    <row r="319" spans="1:41" ht="12.75" customHeight="1" x14ac:dyDescent="0.25">
      <c r="C319" s="766"/>
      <c r="D319" s="764"/>
      <c r="E319" s="233" t="s">
        <v>73</v>
      </c>
      <c r="F319" s="234">
        <f>F243</f>
        <v>4499898.22</v>
      </c>
      <c r="G319" s="374"/>
      <c r="H319" s="90"/>
      <c r="I319" s="90"/>
      <c r="J319" s="90"/>
      <c r="K319" s="90"/>
      <c r="L319" s="90"/>
      <c r="M319" s="90"/>
      <c r="N319" s="90"/>
      <c r="O319" s="90"/>
      <c r="P319" s="90"/>
      <c r="Q319" s="90"/>
      <c r="R319" s="90"/>
    </row>
    <row r="320" spans="1:41" ht="12.75" customHeight="1" x14ac:dyDescent="0.3">
      <c r="A320" s="89"/>
      <c r="C320" s="97"/>
      <c r="F320" s="90"/>
      <c r="G320" s="90"/>
      <c r="H320" s="90"/>
      <c r="I320" s="90"/>
      <c r="J320" s="90"/>
      <c r="K320" s="90"/>
      <c r="L320" s="90"/>
      <c r="M320" s="90"/>
      <c r="N320" s="90"/>
      <c r="O320" s="90"/>
      <c r="P320" s="90"/>
      <c r="Q320" s="90"/>
      <c r="R320" s="90"/>
      <c r="S320" s="90"/>
    </row>
    <row r="321" spans="1:41" ht="12.75" customHeight="1" x14ac:dyDescent="0.25">
      <c r="C321" s="766" t="s">
        <v>160</v>
      </c>
      <c r="D321" s="764" t="s">
        <v>132</v>
      </c>
      <c r="E321" s="223" t="s">
        <v>70</v>
      </c>
      <c r="F321" s="225">
        <v>0</v>
      </c>
      <c r="G321" s="225">
        <v>0</v>
      </c>
      <c r="H321" s="225">
        <v>0</v>
      </c>
      <c r="I321" s="225">
        <v>0</v>
      </c>
      <c r="J321" s="225">
        <v>0</v>
      </c>
      <c r="K321" s="225">
        <v>0</v>
      </c>
      <c r="L321" s="225">
        <v>0</v>
      </c>
      <c r="M321" s="225">
        <v>0</v>
      </c>
      <c r="N321" s="225">
        <v>0</v>
      </c>
      <c r="O321" s="225">
        <v>0</v>
      </c>
      <c r="P321" s="225">
        <v>0</v>
      </c>
      <c r="Q321" s="225">
        <v>0</v>
      </c>
      <c r="R321" s="225">
        <v>0</v>
      </c>
      <c r="S321" s="225">
        <v>0</v>
      </c>
      <c r="T321" s="225">
        <v>0</v>
      </c>
      <c r="U321" s="225"/>
      <c r="V321" s="225"/>
      <c r="W321" s="225"/>
      <c r="X321" s="225">
        <v>0</v>
      </c>
      <c r="Y321" s="225">
        <v>0</v>
      </c>
      <c r="Z321" s="225">
        <v>0</v>
      </c>
      <c r="AA321" s="225">
        <v>0</v>
      </c>
      <c r="AB321" s="225">
        <v>0</v>
      </c>
      <c r="AC321" s="225">
        <v>0</v>
      </c>
      <c r="AD321" s="225">
        <v>0</v>
      </c>
      <c r="AE321" s="225">
        <v>0</v>
      </c>
      <c r="AF321" s="225">
        <v>0</v>
      </c>
      <c r="AG321" s="225">
        <v>0</v>
      </c>
      <c r="AH321" s="225">
        <v>0</v>
      </c>
      <c r="AI321" s="225">
        <v>0</v>
      </c>
      <c r="AJ321" s="225">
        <v>0</v>
      </c>
      <c r="AK321" s="225">
        <v>0</v>
      </c>
      <c r="AL321" s="225">
        <v>0</v>
      </c>
      <c r="AM321" s="225">
        <v>0</v>
      </c>
      <c r="AN321" s="225">
        <v>0</v>
      </c>
      <c r="AO321" s="225">
        <v>0</v>
      </c>
    </row>
    <row r="322" spans="1:41" ht="12.75" customHeight="1" x14ac:dyDescent="0.25">
      <c r="C322" s="766"/>
      <c r="D322" s="764"/>
      <c r="E322" s="223" t="s">
        <v>73</v>
      </c>
      <c r="F322" s="225">
        <v>0</v>
      </c>
      <c r="G322" s="90"/>
      <c r="H322" s="90"/>
      <c r="I322" s="90"/>
      <c r="J322" s="90"/>
      <c r="K322" s="90"/>
      <c r="L322" s="90"/>
      <c r="M322" s="90"/>
      <c r="N322" s="90"/>
      <c r="O322" s="90"/>
      <c r="P322" s="90"/>
      <c r="Q322" s="90"/>
      <c r="R322" s="90"/>
      <c r="S322" s="90"/>
    </row>
    <row r="323" spans="1:41" ht="12.75" customHeight="1" x14ac:dyDescent="0.25">
      <c r="C323" s="766"/>
      <c r="D323" s="764" t="s">
        <v>133</v>
      </c>
      <c r="E323" s="227" t="s">
        <v>70</v>
      </c>
      <c r="F323" s="228">
        <v>0</v>
      </c>
      <c r="G323" s="228">
        <v>0</v>
      </c>
      <c r="H323" s="228">
        <v>0</v>
      </c>
      <c r="I323" s="228">
        <v>0</v>
      </c>
      <c r="J323" s="228">
        <v>0</v>
      </c>
      <c r="K323" s="228">
        <v>0</v>
      </c>
      <c r="L323" s="228">
        <v>0</v>
      </c>
      <c r="M323" s="228">
        <v>0</v>
      </c>
      <c r="N323" s="228">
        <v>0</v>
      </c>
      <c r="O323" s="228">
        <v>0</v>
      </c>
      <c r="P323" s="228">
        <v>0</v>
      </c>
      <c r="Q323" s="228">
        <v>0</v>
      </c>
      <c r="R323" s="228">
        <v>0</v>
      </c>
      <c r="S323" s="228">
        <v>0</v>
      </c>
      <c r="T323" s="228">
        <v>0</v>
      </c>
      <c r="U323" s="228"/>
      <c r="V323" s="228"/>
      <c r="W323" s="228"/>
      <c r="X323" s="228">
        <v>0</v>
      </c>
      <c r="Y323" s="228">
        <v>0</v>
      </c>
      <c r="Z323" s="228">
        <v>0</v>
      </c>
      <c r="AA323" s="228">
        <v>0</v>
      </c>
      <c r="AB323" s="228">
        <v>0</v>
      </c>
      <c r="AC323" s="228">
        <v>0</v>
      </c>
      <c r="AD323" s="228">
        <v>0</v>
      </c>
      <c r="AE323" s="228">
        <v>0</v>
      </c>
      <c r="AF323" s="228">
        <v>0</v>
      </c>
      <c r="AG323" s="228">
        <v>0</v>
      </c>
      <c r="AH323" s="228">
        <v>0</v>
      </c>
      <c r="AI323" s="228">
        <v>0</v>
      </c>
      <c r="AJ323" s="228">
        <v>0</v>
      </c>
      <c r="AK323" s="228">
        <v>0</v>
      </c>
      <c r="AL323" s="228">
        <v>0</v>
      </c>
      <c r="AM323" s="228">
        <v>0</v>
      </c>
      <c r="AN323" s="228">
        <v>0</v>
      </c>
      <c r="AO323" s="228">
        <v>0</v>
      </c>
    </row>
    <row r="324" spans="1:41" ht="12.75" customHeight="1" x14ac:dyDescent="0.25">
      <c r="C324" s="766"/>
      <c r="D324" s="764"/>
      <c r="E324" s="227" t="s">
        <v>73</v>
      </c>
      <c r="F324" s="228">
        <v>0</v>
      </c>
      <c r="G324" s="90"/>
      <c r="H324" s="90"/>
      <c r="I324" s="90"/>
      <c r="J324" s="90"/>
      <c r="K324" s="90"/>
      <c r="L324" s="90"/>
      <c r="M324" s="90"/>
      <c r="N324" s="90"/>
      <c r="O324" s="90"/>
      <c r="P324" s="90"/>
      <c r="Q324" s="90"/>
      <c r="R324" s="90"/>
    </row>
    <row r="325" spans="1:41" ht="12.75" customHeight="1" x14ac:dyDescent="0.3">
      <c r="A325" s="89"/>
      <c r="C325" s="97"/>
      <c r="F325" s="90"/>
      <c r="G325" s="90"/>
      <c r="H325" s="90"/>
      <c r="I325" s="90"/>
      <c r="J325" s="90"/>
      <c r="K325" s="90"/>
      <c r="L325" s="90"/>
      <c r="M325" s="90"/>
      <c r="N325" s="90"/>
      <c r="O325" s="90"/>
      <c r="P325" s="90"/>
      <c r="Q325" s="90"/>
      <c r="R325" s="90"/>
      <c r="S325" s="90"/>
    </row>
    <row r="326" spans="1:41" ht="12.75" customHeight="1" x14ac:dyDescent="0.25">
      <c r="C326" s="766" t="s">
        <v>155</v>
      </c>
      <c r="D326" s="764" t="s">
        <v>132</v>
      </c>
      <c r="E326" s="221" t="s">
        <v>70</v>
      </c>
      <c r="F326" s="222">
        <f>F246+F227+F213-L213-L227</f>
        <v>9648710791.6800003</v>
      </c>
      <c r="G326" s="222">
        <f>G227+G213</f>
        <v>624933763.19999993</v>
      </c>
      <c r="H326" s="222">
        <f t="shared" ref="H326:AO326" si="12">H227+H213</f>
        <v>352441300.25</v>
      </c>
      <c r="I326" s="222">
        <f t="shared" si="12"/>
        <v>185164230.08000001</v>
      </c>
      <c r="J326" s="222">
        <f t="shared" si="12"/>
        <v>2627144859.52</v>
      </c>
      <c r="K326" s="222">
        <f t="shared" si="12"/>
        <v>98359343.650000006</v>
      </c>
      <c r="L326" s="222">
        <f t="shared" si="12"/>
        <v>15466157.32</v>
      </c>
      <c r="M326" s="222">
        <f t="shared" si="12"/>
        <v>863571949.81000006</v>
      </c>
      <c r="N326" s="222">
        <f t="shared" si="12"/>
        <v>846482735.46000004</v>
      </c>
      <c r="O326" s="222">
        <f t="shared" si="12"/>
        <v>4003713940.8600001</v>
      </c>
      <c r="P326" s="222">
        <f t="shared" si="12"/>
        <v>1450991149.51</v>
      </c>
      <c r="Q326" s="222">
        <f t="shared" si="12"/>
        <v>160635104.64999998</v>
      </c>
      <c r="R326" s="222">
        <f t="shared" si="12"/>
        <v>81285.34</v>
      </c>
      <c r="S326" s="222">
        <f t="shared" si="12"/>
        <v>1.43</v>
      </c>
      <c r="T326" s="222">
        <f t="shared" si="12"/>
        <v>0.27</v>
      </c>
      <c r="U326" s="222">
        <f t="shared" si="12"/>
        <v>0</v>
      </c>
      <c r="V326" s="222">
        <f t="shared" si="12"/>
        <v>0</v>
      </c>
      <c r="W326" s="222">
        <f t="shared" si="12"/>
        <v>0</v>
      </c>
      <c r="X326" s="222">
        <f t="shared" si="12"/>
        <v>0</v>
      </c>
      <c r="Y326" s="222">
        <f t="shared" si="12"/>
        <v>0</v>
      </c>
      <c r="Z326" s="222">
        <f t="shared" si="12"/>
        <v>0</v>
      </c>
      <c r="AA326" s="222">
        <f t="shared" si="12"/>
        <v>0</v>
      </c>
      <c r="AB326" s="222">
        <f t="shared" si="12"/>
        <v>0</v>
      </c>
      <c r="AC326" s="222">
        <f t="shared" si="12"/>
        <v>0</v>
      </c>
      <c r="AD326" s="222">
        <f t="shared" si="12"/>
        <v>0</v>
      </c>
      <c r="AE326" s="222">
        <f t="shared" si="12"/>
        <v>0</v>
      </c>
      <c r="AF326" s="222">
        <f t="shared" si="12"/>
        <v>0</v>
      </c>
      <c r="AG326" s="222">
        <f t="shared" si="12"/>
        <v>0</v>
      </c>
      <c r="AH326" s="222">
        <f t="shared" si="12"/>
        <v>0</v>
      </c>
      <c r="AI326" s="222">
        <f t="shared" si="12"/>
        <v>0</v>
      </c>
      <c r="AJ326" s="222">
        <f t="shared" si="12"/>
        <v>0</v>
      </c>
      <c r="AK326" s="222">
        <f t="shared" si="12"/>
        <v>0</v>
      </c>
      <c r="AL326" s="222">
        <f t="shared" si="12"/>
        <v>0</v>
      </c>
      <c r="AM326" s="222">
        <f t="shared" si="12"/>
        <v>0</v>
      </c>
      <c r="AN326" s="222">
        <f t="shared" si="12"/>
        <v>0</v>
      </c>
      <c r="AO326" s="222">
        <f t="shared" si="12"/>
        <v>0</v>
      </c>
    </row>
    <row r="327" spans="1:41" ht="12.75" customHeight="1" x14ac:dyDescent="0.25">
      <c r="C327" s="766"/>
      <c r="D327" s="764"/>
      <c r="E327" s="221" t="s">
        <v>73</v>
      </c>
      <c r="F327" s="222">
        <f>F246</f>
        <v>-1564808872.3499999</v>
      </c>
      <c r="G327" s="90"/>
      <c r="H327" s="90"/>
      <c r="I327" s="90"/>
      <c r="J327" s="90"/>
      <c r="K327" s="90"/>
      <c r="L327" s="90"/>
      <c r="M327" s="90"/>
      <c r="N327" s="90"/>
      <c r="O327" s="90"/>
      <c r="P327" s="90"/>
      <c r="Q327" s="90"/>
      <c r="R327" s="90"/>
      <c r="S327" s="90"/>
    </row>
    <row r="328" spans="1:41" ht="12.75" customHeight="1" x14ac:dyDescent="0.25">
      <c r="C328" s="766"/>
      <c r="D328" s="764" t="s">
        <v>133</v>
      </c>
      <c r="E328" s="229" t="s">
        <v>70</v>
      </c>
      <c r="F328" s="230">
        <v>0</v>
      </c>
      <c r="G328" s="230">
        <v>0</v>
      </c>
      <c r="H328" s="230">
        <v>0</v>
      </c>
      <c r="I328" s="230">
        <v>0</v>
      </c>
      <c r="J328" s="230">
        <v>0</v>
      </c>
      <c r="K328" s="230">
        <v>0</v>
      </c>
      <c r="L328" s="230">
        <v>0</v>
      </c>
      <c r="M328" s="230">
        <v>0</v>
      </c>
      <c r="N328" s="230">
        <v>0</v>
      </c>
      <c r="O328" s="230">
        <v>0</v>
      </c>
      <c r="P328" s="230">
        <v>0</v>
      </c>
      <c r="Q328" s="230">
        <v>0</v>
      </c>
      <c r="R328" s="230">
        <v>0</v>
      </c>
      <c r="S328" s="230">
        <v>0</v>
      </c>
      <c r="T328" s="230">
        <v>0</v>
      </c>
      <c r="U328" s="230">
        <v>0</v>
      </c>
      <c r="V328" s="230">
        <v>0</v>
      </c>
      <c r="W328" s="230">
        <v>0</v>
      </c>
      <c r="X328" s="230">
        <v>0</v>
      </c>
      <c r="Y328" s="230">
        <v>0</v>
      </c>
      <c r="Z328" s="230">
        <v>0</v>
      </c>
      <c r="AA328" s="230">
        <v>0</v>
      </c>
      <c r="AB328" s="230">
        <v>0</v>
      </c>
      <c r="AC328" s="230">
        <v>0</v>
      </c>
      <c r="AD328" s="230">
        <v>0</v>
      </c>
      <c r="AE328" s="230">
        <v>0</v>
      </c>
      <c r="AF328" s="230">
        <v>0</v>
      </c>
      <c r="AG328" s="230">
        <v>0</v>
      </c>
      <c r="AH328" s="230">
        <v>0</v>
      </c>
      <c r="AI328" s="230">
        <v>0</v>
      </c>
      <c r="AJ328" s="230">
        <v>0</v>
      </c>
      <c r="AK328" s="230">
        <v>0</v>
      </c>
      <c r="AL328" s="230">
        <v>0</v>
      </c>
      <c r="AM328" s="230">
        <v>0</v>
      </c>
      <c r="AN328" s="230">
        <v>0</v>
      </c>
      <c r="AO328" s="230">
        <v>0</v>
      </c>
    </row>
    <row r="329" spans="1:41" ht="12.75" customHeight="1" x14ac:dyDescent="0.25">
      <c r="C329" s="766"/>
      <c r="D329" s="764"/>
      <c r="E329" s="229" t="s">
        <v>73</v>
      </c>
      <c r="F329" s="230">
        <v>0</v>
      </c>
      <c r="G329" s="90"/>
      <c r="H329" s="90"/>
      <c r="I329" s="90"/>
      <c r="J329" s="90"/>
      <c r="K329" s="90"/>
      <c r="L329" s="90"/>
      <c r="M329" s="90"/>
      <c r="N329" s="90"/>
      <c r="O329" s="90"/>
      <c r="P329" s="90"/>
      <c r="Q329" s="90"/>
      <c r="R329" s="90"/>
    </row>
    <row r="330" spans="1:41" ht="12.75" customHeight="1" x14ac:dyDescent="0.3">
      <c r="A330" s="89"/>
      <c r="C330" s="97"/>
      <c r="F330" s="90"/>
      <c r="G330" s="90"/>
      <c r="H330" s="90"/>
      <c r="I330" s="90"/>
      <c r="J330" s="90"/>
      <c r="K330" s="90"/>
      <c r="L330" s="90"/>
      <c r="M330" s="90"/>
      <c r="N330" s="90"/>
      <c r="O330" s="90"/>
      <c r="P330" s="90"/>
      <c r="Q330" s="90"/>
      <c r="R330" s="90"/>
      <c r="S330" s="90"/>
    </row>
    <row r="331" spans="1:41" ht="12.75" customHeight="1" x14ac:dyDescent="0.25">
      <c r="C331" s="767" t="s">
        <v>326</v>
      </c>
      <c r="D331" s="764" t="s">
        <v>132</v>
      </c>
      <c r="E331" s="376" t="s">
        <v>70</v>
      </c>
      <c r="F331" s="377">
        <v>0</v>
      </c>
      <c r="G331" s="377">
        <v>0</v>
      </c>
      <c r="H331" s="377">
        <v>0</v>
      </c>
      <c r="I331" s="377">
        <v>0</v>
      </c>
      <c r="J331" s="377">
        <v>0</v>
      </c>
      <c r="K331" s="377">
        <v>0</v>
      </c>
      <c r="L331" s="377">
        <v>0</v>
      </c>
      <c r="M331" s="377">
        <v>0</v>
      </c>
      <c r="N331" s="377">
        <v>0</v>
      </c>
      <c r="O331" s="377">
        <v>0</v>
      </c>
      <c r="P331" s="377">
        <v>0</v>
      </c>
      <c r="Q331" s="377">
        <v>0</v>
      </c>
      <c r="R331" s="377">
        <v>0</v>
      </c>
      <c r="S331" s="377">
        <v>0</v>
      </c>
      <c r="T331" s="377">
        <v>0</v>
      </c>
      <c r="U331" s="377">
        <v>0</v>
      </c>
      <c r="V331" s="377">
        <v>0</v>
      </c>
      <c r="W331" s="377">
        <v>0</v>
      </c>
      <c r="X331" s="377">
        <v>0</v>
      </c>
      <c r="Y331" s="377">
        <v>0</v>
      </c>
      <c r="Z331" s="377">
        <v>0</v>
      </c>
      <c r="AA331" s="377">
        <v>0</v>
      </c>
      <c r="AB331" s="377">
        <v>0</v>
      </c>
      <c r="AC331" s="377">
        <v>0</v>
      </c>
      <c r="AD331" s="377">
        <v>0</v>
      </c>
      <c r="AE331" s="377">
        <v>0</v>
      </c>
      <c r="AF331" s="377">
        <v>0</v>
      </c>
      <c r="AG331" s="377">
        <v>0</v>
      </c>
      <c r="AH331" s="377">
        <v>0</v>
      </c>
      <c r="AI331" s="377">
        <v>0</v>
      </c>
      <c r="AJ331" s="377">
        <v>0</v>
      </c>
      <c r="AK331" s="377">
        <v>0</v>
      </c>
      <c r="AL331" s="377">
        <v>0</v>
      </c>
      <c r="AM331" s="377">
        <v>0</v>
      </c>
      <c r="AN331" s="377">
        <v>0</v>
      </c>
      <c r="AO331" s="377">
        <v>0</v>
      </c>
    </row>
    <row r="332" spans="1:41" ht="12.75" customHeight="1" x14ac:dyDescent="0.25">
      <c r="C332" s="767"/>
      <c r="D332" s="764"/>
      <c r="E332" s="376" t="s">
        <v>73</v>
      </c>
      <c r="F332" s="377">
        <v>0</v>
      </c>
      <c r="G332" s="90"/>
      <c r="H332" s="90"/>
      <c r="I332" s="90"/>
      <c r="J332" s="90"/>
      <c r="K332" s="90"/>
      <c r="L332" s="90"/>
      <c r="M332" s="90"/>
      <c r="N332" s="90"/>
      <c r="O332" s="90"/>
      <c r="P332" s="90"/>
      <c r="Q332" s="90"/>
      <c r="R332" s="90"/>
      <c r="S332" s="90"/>
    </row>
    <row r="333" spans="1:41" ht="12.75" customHeight="1" x14ac:dyDescent="0.25">
      <c r="C333" s="767"/>
      <c r="D333" s="764" t="s">
        <v>133</v>
      </c>
      <c r="E333" s="242" t="s">
        <v>70</v>
      </c>
      <c r="F333" s="243">
        <v>0</v>
      </c>
      <c r="G333" s="243">
        <v>0</v>
      </c>
      <c r="H333" s="243">
        <v>0</v>
      </c>
      <c r="I333" s="243">
        <v>0</v>
      </c>
      <c r="J333" s="243">
        <v>0</v>
      </c>
      <c r="K333" s="243">
        <v>0</v>
      </c>
      <c r="L333" s="243">
        <v>0</v>
      </c>
      <c r="M333" s="243">
        <v>0</v>
      </c>
      <c r="N333" s="243">
        <v>0</v>
      </c>
      <c r="O333" s="243">
        <v>0</v>
      </c>
      <c r="P333" s="243">
        <v>0</v>
      </c>
      <c r="Q333" s="243">
        <v>0</v>
      </c>
      <c r="R333" s="243">
        <v>0</v>
      </c>
      <c r="S333" s="243">
        <v>0</v>
      </c>
      <c r="T333" s="243">
        <v>0</v>
      </c>
      <c r="U333" s="243">
        <v>0</v>
      </c>
      <c r="V333" s="243">
        <v>0</v>
      </c>
      <c r="W333" s="243">
        <v>0</v>
      </c>
      <c r="X333" s="243">
        <v>0</v>
      </c>
      <c r="Y333" s="243">
        <v>0</v>
      </c>
      <c r="Z333" s="243">
        <v>0</v>
      </c>
      <c r="AA333" s="243">
        <v>0</v>
      </c>
      <c r="AB333" s="243">
        <v>0</v>
      </c>
      <c r="AC333" s="243">
        <v>0</v>
      </c>
      <c r="AD333" s="243">
        <v>0</v>
      </c>
      <c r="AE333" s="243">
        <v>0</v>
      </c>
      <c r="AF333" s="243">
        <v>0</v>
      </c>
      <c r="AG333" s="243">
        <v>0</v>
      </c>
      <c r="AH333" s="243">
        <v>0</v>
      </c>
      <c r="AI333" s="243">
        <v>0</v>
      </c>
      <c r="AJ333" s="243">
        <v>0</v>
      </c>
      <c r="AK333" s="243">
        <v>0</v>
      </c>
      <c r="AL333" s="243">
        <v>0</v>
      </c>
      <c r="AM333" s="243">
        <v>0</v>
      </c>
      <c r="AN333" s="243">
        <v>0</v>
      </c>
      <c r="AO333" s="243">
        <v>0</v>
      </c>
    </row>
    <row r="334" spans="1:41" ht="12.75" customHeight="1" x14ac:dyDescent="0.25">
      <c r="C334" s="767"/>
      <c r="D334" s="764"/>
      <c r="E334" s="242" t="s">
        <v>73</v>
      </c>
      <c r="F334" s="243">
        <v>0</v>
      </c>
      <c r="G334" s="90"/>
      <c r="H334" s="90"/>
      <c r="I334" s="90"/>
      <c r="J334" s="90"/>
      <c r="K334" s="90"/>
      <c r="L334" s="90"/>
      <c r="M334" s="90"/>
      <c r="N334" s="90"/>
      <c r="O334" s="90"/>
      <c r="P334" s="90"/>
      <c r="Q334" s="90"/>
      <c r="R334" s="90"/>
    </row>
    <row r="335" spans="1:41" ht="12.75" customHeight="1" x14ac:dyDescent="0.3">
      <c r="A335" s="89"/>
      <c r="C335" s="97"/>
      <c r="F335" s="90"/>
      <c r="G335" s="90"/>
      <c r="H335" s="90"/>
      <c r="I335" s="90"/>
      <c r="J335" s="90"/>
      <c r="K335" s="90"/>
      <c r="L335" s="90"/>
      <c r="M335" s="90"/>
      <c r="N335" s="90"/>
      <c r="O335" s="90"/>
      <c r="P335" s="90"/>
      <c r="Q335" s="90"/>
      <c r="R335" s="90"/>
      <c r="S335" s="90"/>
    </row>
    <row r="336" spans="1:41" ht="12.75" customHeight="1" x14ac:dyDescent="0.25">
      <c r="C336" s="766" t="s">
        <v>119</v>
      </c>
      <c r="D336" s="764" t="s">
        <v>132</v>
      </c>
      <c r="E336" s="101" t="s">
        <v>70</v>
      </c>
      <c r="F336" s="93">
        <f>F253+F237+F216-L216-L237</f>
        <v>453277723.13999993</v>
      </c>
      <c r="G336" s="93">
        <f>G237+G216</f>
        <v>56772378.130000003</v>
      </c>
      <c r="H336" s="93">
        <f t="shared" ref="H336:AO336" si="13">H237+H216</f>
        <v>31877051.110000003</v>
      </c>
      <c r="I336" s="93">
        <f t="shared" si="13"/>
        <v>16761987.439999999</v>
      </c>
      <c r="J336" s="93">
        <f t="shared" si="13"/>
        <v>16627086.26</v>
      </c>
      <c r="K336" s="93">
        <f t="shared" si="13"/>
        <v>579666.65</v>
      </c>
      <c r="L336" s="93">
        <f t="shared" si="13"/>
        <v>16854072.859999999</v>
      </c>
      <c r="M336" s="93">
        <f t="shared" si="13"/>
        <v>5070096.4399999995</v>
      </c>
      <c r="N336" s="93">
        <f t="shared" si="13"/>
        <v>6337384.2400000002</v>
      </c>
      <c r="O336" s="93">
        <f t="shared" si="13"/>
        <v>29239569.220000003</v>
      </c>
      <c r="P336" s="93">
        <f t="shared" si="13"/>
        <v>131844663.39999999</v>
      </c>
      <c r="Q336" s="93">
        <f t="shared" si="13"/>
        <v>948679.08</v>
      </c>
      <c r="R336" s="93">
        <f t="shared" si="13"/>
        <v>-939.26</v>
      </c>
      <c r="S336" s="93">
        <f t="shared" si="13"/>
        <v>0.97</v>
      </c>
      <c r="T336" s="93">
        <f t="shared" si="13"/>
        <v>0</v>
      </c>
      <c r="U336" s="93">
        <f t="shared" si="13"/>
        <v>0</v>
      </c>
      <c r="V336" s="93">
        <f t="shared" si="13"/>
        <v>0</v>
      </c>
      <c r="W336" s="93">
        <f t="shared" si="13"/>
        <v>0</v>
      </c>
      <c r="X336" s="93">
        <f t="shared" si="13"/>
        <v>0</v>
      </c>
      <c r="Y336" s="93">
        <f t="shared" si="13"/>
        <v>0</v>
      </c>
      <c r="Z336" s="93">
        <f t="shared" si="13"/>
        <v>0</v>
      </c>
      <c r="AA336" s="93">
        <f t="shared" si="13"/>
        <v>0</v>
      </c>
      <c r="AB336" s="93">
        <f t="shared" si="13"/>
        <v>0</v>
      </c>
      <c r="AC336" s="93">
        <f t="shared" si="13"/>
        <v>0</v>
      </c>
      <c r="AD336" s="93">
        <f t="shared" si="13"/>
        <v>0</v>
      </c>
      <c r="AE336" s="93">
        <f t="shared" si="13"/>
        <v>0</v>
      </c>
      <c r="AF336" s="93">
        <f t="shared" si="13"/>
        <v>0</v>
      </c>
      <c r="AG336" s="93">
        <f t="shared" si="13"/>
        <v>0</v>
      </c>
      <c r="AH336" s="93">
        <f t="shared" si="13"/>
        <v>0</v>
      </c>
      <c r="AI336" s="93">
        <f t="shared" si="13"/>
        <v>0</v>
      </c>
      <c r="AJ336" s="93">
        <f t="shared" si="13"/>
        <v>0</v>
      </c>
      <c r="AK336" s="93">
        <f t="shared" si="13"/>
        <v>0</v>
      </c>
      <c r="AL336" s="93">
        <f t="shared" si="13"/>
        <v>0</v>
      </c>
      <c r="AM336" s="93">
        <f t="shared" si="13"/>
        <v>0</v>
      </c>
      <c r="AN336" s="93">
        <f t="shared" si="13"/>
        <v>0</v>
      </c>
      <c r="AO336" s="93">
        <f t="shared" si="13"/>
        <v>0</v>
      </c>
    </row>
    <row r="337" spans="1:41" ht="12.75" customHeight="1" x14ac:dyDescent="0.25">
      <c r="C337" s="766"/>
      <c r="D337" s="764"/>
      <c r="E337" s="101" t="s">
        <v>73</v>
      </c>
      <c r="F337" s="93">
        <f>F253</f>
        <v>157220099.46000001</v>
      </c>
      <c r="G337" s="90"/>
      <c r="H337" s="90"/>
      <c r="I337" s="90"/>
      <c r="J337" s="90"/>
      <c r="K337" s="90"/>
      <c r="L337" s="90"/>
      <c r="M337" s="90"/>
      <c r="N337" s="90"/>
      <c r="O337" s="90"/>
      <c r="P337" s="90"/>
      <c r="Q337" s="90"/>
      <c r="R337" s="90"/>
      <c r="S337" s="90"/>
    </row>
    <row r="338" spans="1:41" ht="12.75" customHeight="1" x14ac:dyDescent="0.25">
      <c r="C338" s="766"/>
      <c r="D338" s="764" t="s">
        <v>133</v>
      </c>
      <c r="E338" s="235" t="s">
        <v>70</v>
      </c>
      <c r="F338" s="236">
        <f>F242+F222-L222</f>
        <v>10198723.07</v>
      </c>
      <c r="G338" s="236">
        <f>G222</f>
        <v>1240516.47</v>
      </c>
      <c r="H338" s="236">
        <f t="shared" ref="H338:AO338" si="14">H222</f>
        <v>700393.35</v>
      </c>
      <c r="I338" s="236">
        <f t="shared" si="14"/>
        <v>368494.74</v>
      </c>
      <c r="J338" s="236">
        <f t="shared" si="14"/>
        <v>149096.63</v>
      </c>
      <c r="K338" s="236">
        <f t="shared" si="14"/>
        <v>4140.01</v>
      </c>
      <c r="L338" s="236">
        <f t="shared" si="14"/>
        <v>0</v>
      </c>
      <c r="M338" s="236">
        <f t="shared" si="14"/>
        <v>36316.120000000003</v>
      </c>
      <c r="N338" s="236">
        <f t="shared" si="14"/>
        <v>53217.55</v>
      </c>
      <c r="O338" s="236">
        <f t="shared" si="14"/>
        <v>250685.64</v>
      </c>
      <c r="P338" s="236">
        <f t="shared" si="14"/>
        <v>2889219.96</v>
      </c>
      <c r="Q338" s="236">
        <f t="shared" si="14"/>
        <v>6754.81</v>
      </c>
      <c r="R338" s="236">
        <f t="shared" si="14"/>
        <v>-10.43</v>
      </c>
      <c r="S338" s="236">
        <f t="shared" si="14"/>
        <v>0</v>
      </c>
      <c r="T338" s="236">
        <f t="shared" si="14"/>
        <v>0</v>
      </c>
      <c r="U338" s="236">
        <f t="shared" si="14"/>
        <v>0</v>
      </c>
      <c r="V338" s="236">
        <f t="shared" si="14"/>
        <v>0</v>
      </c>
      <c r="W338" s="236">
        <f t="shared" si="14"/>
        <v>0</v>
      </c>
      <c r="X338" s="236">
        <f t="shared" si="14"/>
        <v>0</v>
      </c>
      <c r="Y338" s="236">
        <f t="shared" si="14"/>
        <v>0</v>
      </c>
      <c r="Z338" s="236">
        <f t="shared" si="14"/>
        <v>0</v>
      </c>
      <c r="AA338" s="236">
        <f t="shared" si="14"/>
        <v>0</v>
      </c>
      <c r="AB338" s="236">
        <f t="shared" si="14"/>
        <v>0</v>
      </c>
      <c r="AC338" s="236">
        <f t="shared" si="14"/>
        <v>0</v>
      </c>
      <c r="AD338" s="236">
        <f t="shared" si="14"/>
        <v>0</v>
      </c>
      <c r="AE338" s="236">
        <f t="shared" si="14"/>
        <v>0</v>
      </c>
      <c r="AF338" s="236">
        <f t="shared" si="14"/>
        <v>0</v>
      </c>
      <c r="AG338" s="236">
        <f t="shared" si="14"/>
        <v>0</v>
      </c>
      <c r="AH338" s="236">
        <f t="shared" si="14"/>
        <v>0</v>
      </c>
      <c r="AI338" s="236">
        <f t="shared" si="14"/>
        <v>0</v>
      </c>
      <c r="AJ338" s="236">
        <f t="shared" si="14"/>
        <v>0</v>
      </c>
      <c r="AK338" s="236">
        <f t="shared" si="14"/>
        <v>0</v>
      </c>
      <c r="AL338" s="236">
        <f t="shared" si="14"/>
        <v>0</v>
      </c>
      <c r="AM338" s="236">
        <f t="shared" si="14"/>
        <v>0</v>
      </c>
      <c r="AN338" s="236">
        <f t="shared" si="14"/>
        <v>0</v>
      </c>
      <c r="AO338" s="236">
        <f t="shared" si="14"/>
        <v>0</v>
      </c>
    </row>
    <row r="339" spans="1:41" ht="12.75" customHeight="1" x14ac:dyDescent="0.25">
      <c r="C339" s="766"/>
      <c r="D339" s="764"/>
      <c r="E339" s="235" t="s">
        <v>73</v>
      </c>
      <c r="F339" s="236">
        <f>F242</f>
        <v>4499898.22</v>
      </c>
      <c r="G339" s="90"/>
      <c r="H339" s="90"/>
      <c r="I339" s="90"/>
      <c r="J339" s="90"/>
      <c r="K339" s="90"/>
      <c r="L339" s="90"/>
      <c r="M339" s="90"/>
      <c r="N339" s="90"/>
      <c r="O339" s="90"/>
      <c r="P339" s="90"/>
      <c r="Q339" s="90"/>
      <c r="R339" s="90"/>
    </row>
    <row r="340" spans="1:41" ht="12.75" customHeight="1" x14ac:dyDescent="0.3">
      <c r="A340" s="89"/>
      <c r="C340" s="97"/>
      <c r="F340" s="90"/>
      <c r="G340" s="90"/>
      <c r="H340" s="90"/>
      <c r="I340" s="90"/>
      <c r="J340" s="90"/>
      <c r="K340" s="90"/>
      <c r="L340" s="90"/>
      <c r="M340" s="90"/>
      <c r="N340" s="90"/>
      <c r="O340" s="90"/>
      <c r="P340" s="90"/>
      <c r="Q340" s="90"/>
      <c r="R340" s="90"/>
      <c r="S340" s="90"/>
    </row>
    <row r="341" spans="1:41" ht="12.75" customHeight="1" x14ac:dyDescent="0.25">
      <c r="C341" s="765" t="s">
        <v>161</v>
      </c>
      <c r="D341" s="764" t="s">
        <v>132</v>
      </c>
      <c r="E341" s="231" t="s">
        <v>70</v>
      </c>
      <c r="F341" s="232">
        <v>0</v>
      </c>
      <c r="G341" s="232">
        <v>0</v>
      </c>
      <c r="H341" s="232">
        <v>0</v>
      </c>
      <c r="I341" s="232">
        <v>0</v>
      </c>
      <c r="J341" s="232">
        <v>0</v>
      </c>
      <c r="K341" s="232">
        <v>0</v>
      </c>
      <c r="L341" s="232">
        <v>0</v>
      </c>
      <c r="M341" s="232">
        <v>0</v>
      </c>
      <c r="N341" s="232">
        <v>0</v>
      </c>
      <c r="O341" s="232">
        <v>0</v>
      </c>
      <c r="P341" s="232">
        <v>0</v>
      </c>
      <c r="Q341" s="232">
        <v>0</v>
      </c>
      <c r="R341" s="232">
        <v>0</v>
      </c>
      <c r="S341" s="232">
        <v>0</v>
      </c>
      <c r="T341" s="232">
        <v>0</v>
      </c>
      <c r="U341" s="232"/>
      <c r="V341" s="232"/>
      <c r="W341" s="232"/>
      <c r="X341" s="232">
        <v>0</v>
      </c>
      <c r="Y341" s="232">
        <v>0</v>
      </c>
      <c r="Z341" s="232">
        <v>0</v>
      </c>
      <c r="AA341" s="232">
        <v>0</v>
      </c>
      <c r="AB341" s="232">
        <v>0</v>
      </c>
      <c r="AC341" s="232">
        <v>0</v>
      </c>
      <c r="AD341" s="232">
        <v>0</v>
      </c>
      <c r="AE341" s="232">
        <v>0</v>
      </c>
      <c r="AF341" s="232">
        <v>0</v>
      </c>
      <c r="AG341" s="232">
        <v>0</v>
      </c>
      <c r="AH341" s="232">
        <v>0</v>
      </c>
      <c r="AI341" s="232">
        <v>0</v>
      </c>
      <c r="AJ341" s="232">
        <v>0</v>
      </c>
      <c r="AK341" s="232">
        <v>0</v>
      </c>
      <c r="AL341" s="232">
        <v>0</v>
      </c>
      <c r="AM341" s="232">
        <v>0</v>
      </c>
      <c r="AN341" s="232">
        <v>0</v>
      </c>
      <c r="AO341" s="232">
        <v>0</v>
      </c>
    </row>
    <row r="342" spans="1:41" ht="12.75" customHeight="1" x14ac:dyDescent="0.25">
      <c r="C342" s="765"/>
      <c r="D342" s="764"/>
      <c r="E342" s="231" t="s">
        <v>73</v>
      </c>
      <c r="F342" s="232">
        <v>0</v>
      </c>
      <c r="G342" s="90"/>
      <c r="H342" s="90"/>
      <c r="I342" s="90"/>
      <c r="J342" s="90"/>
      <c r="K342" s="90"/>
      <c r="L342" s="90"/>
      <c r="M342" s="90"/>
      <c r="N342" s="90"/>
      <c r="O342" s="90"/>
      <c r="P342" s="90"/>
      <c r="Q342" s="90"/>
      <c r="R342" s="90"/>
      <c r="S342" s="90"/>
    </row>
    <row r="343" spans="1:41" ht="12.75" customHeight="1" x14ac:dyDescent="0.25">
      <c r="C343" s="765"/>
      <c r="D343" s="764" t="s">
        <v>133</v>
      </c>
      <c r="E343" s="148" t="s">
        <v>70</v>
      </c>
      <c r="F343" s="149">
        <v>0</v>
      </c>
      <c r="G343" s="149">
        <v>0</v>
      </c>
      <c r="H343" s="149">
        <v>0</v>
      </c>
      <c r="I343" s="149">
        <v>0</v>
      </c>
      <c r="J343" s="149">
        <v>0</v>
      </c>
      <c r="K343" s="149">
        <v>0</v>
      </c>
      <c r="L343" s="149">
        <v>0</v>
      </c>
      <c r="M343" s="149">
        <v>0</v>
      </c>
      <c r="N343" s="149">
        <v>0</v>
      </c>
      <c r="O343" s="149">
        <v>0</v>
      </c>
      <c r="P343" s="149">
        <v>0</v>
      </c>
      <c r="Q343" s="149">
        <v>0</v>
      </c>
      <c r="R343" s="149">
        <v>0</v>
      </c>
      <c r="S343" s="149">
        <v>0</v>
      </c>
      <c r="T343" s="149">
        <v>0</v>
      </c>
      <c r="U343" s="149"/>
      <c r="V343" s="149"/>
      <c r="W343" s="149"/>
      <c r="X343" s="149">
        <v>0</v>
      </c>
      <c r="Y343" s="149">
        <v>0</v>
      </c>
      <c r="Z343" s="149">
        <v>0</v>
      </c>
      <c r="AA343" s="149">
        <v>0</v>
      </c>
      <c r="AB343" s="149">
        <v>0</v>
      </c>
      <c r="AC343" s="149">
        <v>0</v>
      </c>
      <c r="AD343" s="149">
        <v>0</v>
      </c>
      <c r="AE343" s="149">
        <v>0</v>
      </c>
      <c r="AF343" s="149">
        <v>0</v>
      </c>
      <c r="AG343" s="149">
        <v>0</v>
      </c>
      <c r="AH343" s="149">
        <v>0</v>
      </c>
      <c r="AI343" s="149">
        <v>0</v>
      </c>
      <c r="AJ343" s="149">
        <v>0</v>
      </c>
      <c r="AK343" s="149">
        <v>0</v>
      </c>
      <c r="AL343" s="149">
        <v>0</v>
      </c>
      <c r="AM343" s="149">
        <v>0</v>
      </c>
      <c r="AN343" s="149">
        <v>0</v>
      </c>
      <c r="AO343" s="149">
        <v>0</v>
      </c>
    </row>
    <row r="344" spans="1:41" ht="12.75" customHeight="1" x14ac:dyDescent="0.25">
      <c r="C344" s="765"/>
      <c r="D344" s="764"/>
      <c r="E344" s="148" t="s">
        <v>73</v>
      </c>
      <c r="F344" s="149">
        <v>0</v>
      </c>
      <c r="G344" s="90"/>
      <c r="H344" s="90"/>
      <c r="I344" s="90"/>
      <c r="J344" s="90"/>
      <c r="K344" s="90"/>
      <c r="L344" s="90"/>
      <c r="M344" s="90"/>
      <c r="N344" s="90"/>
      <c r="O344" s="90"/>
      <c r="P344" s="90"/>
      <c r="Q344" s="90"/>
      <c r="R344" s="90"/>
    </row>
    <row r="345" spans="1:41" ht="12.75" customHeight="1" x14ac:dyDescent="0.25">
      <c r="C345" s="391"/>
      <c r="D345" s="220"/>
      <c r="E345" s="89"/>
      <c r="F345" s="90"/>
      <c r="G345" s="90"/>
      <c r="H345" s="90"/>
      <c r="I345" s="90"/>
      <c r="J345" s="90"/>
      <c r="K345" s="90"/>
      <c r="L345" s="90"/>
      <c r="M345" s="90"/>
      <c r="N345" s="90"/>
      <c r="O345" s="90"/>
      <c r="P345" s="90"/>
      <c r="Q345" s="90"/>
      <c r="R345" s="90"/>
    </row>
    <row r="346" spans="1:41" ht="12.75" customHeight="1" x14ac:dyDescent="0.25">
      <c r="D346" s="461" t="s">
        <v>185</v>
      </c>
      <c r="E346" s="462" t="s">
        <v>70</v>
      </c>
      <c r="F346" s="463">
        <f>F217</f>
        <v>-20882.810000000001</v>
      </c>
      <c r="G346" s="463">
        <f t="shared" ref="G346:T346" si="15">G217</f>
        <v>-1843.26</v>
      </c>
      <c r="H346" s="463">
        <f t="shared" si="15"/>
        <v>-783.09</v>
      </c>
      <c r="I346" s="463">
        <f t="shared" si="15"/>
        <v>-341.97</v>
      </c>
      <c r="J346" s="463">
        <f t="shared" si="15"/>
        <v>-4040.42</v>
      </c>
      <c r="K346" s="463">
        <f t="shared" si="15"/>
        <v>-166.45</v>
      </c>
      <c r="L346" s="463">
        <f t="shared" si="15"/>
        <v>0</v>
      </c>
      <c r="M346" s="463">
        <f t="shared" si="15"/>
        <v>-1460.16</v>
      </c>
      <c r="N346" s="463">
        <f t="shared" si="15"/>
        <v>-1830.2</v>
      </c>
      <c r="O346" s="463">
        <f t="shared" si="15"/>
        <v>-6147.57</v>
      </c>
      <c r="P346" s="463">
        <f t="shared" si="15"/>
        <v>-3998.1</v>
      </c>
      <c r="Q346" s="463">
        <f t="shared" si="15"/>
        <v>-271.58999999999997</v>
      </c>
      <c r="R346" s="463">
        <f t="shared" si="15"/>
        <v>0</v>
      </c>
      <c r="S346" s="463">
        <f t="shared" si="15"/>
        <v>0</v>
      </c>
      <c r="T346" s="463">
        <f t="shared" si="15"/>
        <v>0</v>
      </c>
      <c r="U346" s="463"/>
      <c r="V346" s="463"/>
      <c r="W346" s="463"/>
      <c r="X346" s="463" t="e">
        <f>#REF!</f>
        <v>#REF!</v>
      </c>
      <c r="Y346" s="463" t="e">
        <f>#REF!</f>
        <v>#REF!</v>
      </c>
      <c r="Z346" s="463" t="e">
        <f>#REF!</f>
        <v>#REF!</v>
      </c>
    </row>
    <row r="347" spans="1:41" ht="12.75" customHeight="1" x14ac:dyDescent="0.25">
      <c r="C347" s="391"/>
      <c r="D347" s="220"/>
      <c r="E347" s="89"/>
      <c r="F347" s="90"/>
      <c r="G347" s="90"/>
      <c r="H347" s="90"/>
      <c r="I347" s="90"/>
      <c r="J347" s="90"/>
      <c r="K347" s="90"/>
      <c r="L347" s="90"/>
      <c r="M347" s="90"/>
      <c r="N347" s="90"/>
      <c r="O347" s="90"/>
      <c r="P347" s="90"/>
      <c r="Q347" s="90"/>
      <c r="R347" s="90"/>
    </row>
    <row r="348" spans="1:41" s="238" customFormat="1" ht="12.75" customHeight="1" x14ac:dyDescent="0.25">
      <c r="D348" s="239"/>
      <c r="E348" s="240"/>
      <c r="F348" s="240"/>
      <c r="G348" s="240"/>
      <c r="H348" s="240"/>
      <c r="I348" s="240"/>
      <c r="J348" s="240"/>
      <c r="K348" s="240"/>
      <c r="L348" s="240"/>
      <c r="M348" s="240"/>
      <c r="N348" s="240"/>
      <c r="O348" s="240"/>
      <c r="P348" s="240"/>
      <c r="Q348" s="240"/>
    </row>
    <row r="349" spans="1:41" ht="12.75" customHeight="1" x14ac:dyDescent="0.3">
      <c r="A349" s="89"/>
      <c r="B349" s="97" t="s">
        <v>88</v>
      </c>
      <c r="E349" s="90"/>
      <c r="F349" s="90"/>
      <c r="G349" s="90"/>
      <c r="H349" s="90"/>
      <c r="I349" s="90"/>
      <c r="J349" s="90"/>
      <c r="K349" s="90"/>
      <c r="L349" s="90"/>
      <c r="M349" s="90"/>
      <c r="N349" s="90"/>
      <c r="O349" s="90"/>
      <c r="P349" s="90"/>
      <c r="Q349" s="90"/>
    </row>
    <row r="350" spans="1:41" ht="12.75" customHeight="1" x14ac:dyDescent="0.25">
      <c r="A350" s="142"/>
      <c r="F350" s="89" t="s">
        <v>70</v>
      </c>
      <c r="G350" s="89" t="s">
        <v>64</v>
      </c>
      <c r="H350" s="89" t="s">
        <v>65</v>
      </c>
      <c r="I350" s="218" t="s">
        <v>164</v>
      </c>
      <c r="J350" s="89" t="s">
        <v>69</v>
      </c>
      <c r="K350" s="89" t="s">
        <v>68</v>
      </c>
      <c r="L350" s="89" t="s">
        <v>71</v>
      </c>
      <c r="M350" s="89" t="s">
        <v>66</v>
      </c>
      <c r="N350" s="89" t="s">
        <v>63</v>
      </c>
      <c r="O350" s="89" t="s">
        <v>61</v>
      </c>
      <c r="P350" s="89" t="s">
        <v>62</v>
      </c>
      <c r="Q350" s="89" t="s">
        <v>67</v>
      </c>
      <c r="R350" s="89" t="s">
        <v>77</v>
      </c>
      <c r="S350" s="89" t="s">
        <v>80</v>
      </c>
      <c r="T350" t="s">
        <v>135</v>
      </c>
      <c r="U350" t="s">
        <v>222</v>
      </c>
      <c r="V350" t="s">
        <v>223</v>
      </c>
      <c r="W350" t="s">
        <v>172</v>
      </c>
      <c r="X350" t="s">
        <v>166</v>
      </c>
      <c r="Y350" s="89" t="s">
        <v>135</v>
      </c>
      <c r="Z350" t="s">
        <v>166</v>
      </c>
    </row>
    <row r="351" spans="1:41" ht="12.75" customHeight="1" x14ac:dyDescent="0.25">
      <c r="E351" s="89" t="s">
        <v>72</v>
      </c>
      <c r="F351" s="374">
        <v>-68295.75</v>
      </c>
      <c r="G351" s="90">
        <v>-5526.6</v>
      </c>
      <c r="H351" s="90">
        <v>-2347.86</v>
      </c>
      <c r="I351" s="90">
        <v>-1025.32</v>
      </c>
      <c r="J351" s="90">
        <v>-12634.35</v>
      </c>
      <c r="K351" s="90">
        <v>-514.5</v>
      </c>
      <c r="L351" s="90">
        <v>0</v>
      </c>
      <c r="M351" s="90">
        <v>-4513.2299999999996</v>
      </c>
      <c r="N351" s="90">
        <v>-5739.05</v>
      </c>
      <c r="O351" s="90">
        <v>-21072.9</v>
      </c>
      <c r="P351" s="90">
        <v>-14082.45</v>
      </c>
      <c r="Q351" s="90">
        <v>-839.49</v>
      </c>
      <c r="R351" s="90">
        <v>0</v>
      </c>
      <c r="S351" s="90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 s="90">
        <v>0</v>
      </c>
      <c r="Z351">
        <v>0</v>
      </c>
    </row>
    <row r="352" spans="1:41" ht="12.75" customHeight="1" x14ac:dyDescent="0.25">
      <c r="D352" t="s">
        <v>156</v>
      </c>
      <c r="E352" s="89" t="s">
        <v>70</v>
      </c>
      <c r="F352" s="716">
        <v>-68295.75</v>
      </c>
      <c r="G352" s="90">
        <v>-5526.6</v>
      </c>
      <c r="H352" s="90">
        <v>-2347.86</v>
      </c>
      <c r="I352" s="90">
        <v>-1025.32</v>
      </c>
      <c r="J352" s="90">
        <v>-12634.35</v>
      </c>
      <c r="K352" s="90">
        <v>-514.5</v>
      </c>
      <c r="L352" s="90">
        <v>0</v>
      </c>
      <c r="M352" s="90">
        <v>-4513.2299999999996</v>
      </c>
      <c r="N352" s="90">
        <v>-5739.05</v>
      </c>
      <c r="O352" s="90">
        <v>-21072.9</v>
      </c>
      <c r="P352" s="90">
        <v>-14082.45</v>
      </c>
      <c r="Q352" s="90">
        <v>-839.49</v>
      </c>
      <c r="R352" s="90">
        <v>0</v>
      </c>
      <c r="S352" s="90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 s="90">
        <v>0</v>
      </c>
      <c r="Z352">
        <v>0</v>
      </c>
    </row>
    <row r="353" spans="1:26" s="649" customFormat="1" ht="12.75" customHeight="1" x14ac:dyDescent="0.25">
      <c r="C353" s="649" t="s">
        <v>155</v>
      </c>
      <c r="D353" s="649" t="s">
        <v>70</v>
      </c>
      <c r="E353" s="650"/>
      <c r="F353" s="741">
        <v>-68295.75</v>
      </c>
      <c r="G353" s="651">
        <v>-5526.6</v>
      </c>
      <c r="H353" s="651">
        <v>-2347.86</v>
      </c>
      <c r="I353" s="651">
        <v>-1025.32</v>
      </c>
      <c r="J353" s="651">
        <v>-12634.35</v>
      </c>
      <c r="K353" s="651">
        <v>-514.5</v>
      </c>
      <c r="L353" s="651">
        <v>0</v>
      </c>
      <c r="M353" s="651">
        <v>-4513.2299999999996</v>
      </c>
      <c r="N353" s="651">
        <v>-5739.05</v>
      </c>
      <c r="O353" s="651">
        <v>-21072.9</v>
      </c>
      <c r="P353" s="651">
        <v>-14082.45</v>
      </c>
      <c r="Q353" s="651">
        <v>-839.49</v>
      </c>
      <c r="R353" s="651">
        <v>0</v>
      </c>
      <c r="S353" s="651">
        <v>0</v>
      </c>
      <c r="T353" s="649">
        <v>0</v>
      </c>
      <c r="U353" s="649">
        <v>0</v>
      </c>
      <c r="V353" s="649">
        <v>0</v>
      </c>
      <c r="W353" s="649">
        <v>0</v>
      </c>
      <c r="X353" s="649">
        <v>0</v>
      </c>
      <c r="Y353" s="651">
        <v>0</v>
      </c>
      <c r="Z353" s="649">
        <v>0</v>
      </c>
    </row>
    <row r="354" spans="1:26" ht="12.75" customHeight="1" x14ac:dyDescent="0.25">
      <c r="E354" s="89" t="s">
        <v>72</v>
      </c>
      <c r="F354" s="374">
        <v>-126294.09</v>
      </c>
      <c r="G354" s="90">
        <v>-10236.33</v>
      </c>
      <c r="H354" s="90">
        <v>-4348.74</v>
      </c>
      <c r="I354" s="90">
        <v>-1899.07</v>
      </c>
      <c r="J354" s="90">
        <v>-23344.69</v>
      </c>
      <c r="K354" s="90">
        <v>-950.67</v>
      </c>
      <c r="L354" s="90">
        <v>0</v>
      </c>
      <c r="M354" s="90">
        <v>-8339.2099999999991</v>
      </c>
      <c r="N354" s="90">
        <v>-10604.15</v>
      </c>
      <c r="O354" s="90">
        <v>-38936.699999999997</v>
      </c>
      <c r="P354" s="90">
        <v>-26083.38</v>
      </c>
      <c r="Q354" s="90">
        <v>-1551.15</v>
      </c>
      <c r="R354" s="90">
        <v>0</v>
      </c>
      <c r="S354" s="90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 s="90">
        <v>0</v>
      </c>
      <c r="Z354">
        <v>0</v>
      </c>
    </row>
    <row r="355" spans="1:26" ht="12.75" customHeight="1" x14ac:dyDescent="0.25">
      <c r="D355" t="s">
        <v>86</v>
      </c>
      <c r="E355" s="89" t="s">
        <v>70</v>
      </c>
      <c r="F355" s="374">
        <v>-126294.09</v>
      </c>
      <c r="G355" s="90">
        <v>-10236.33</v>
      </c>
      <c r="H355" s="90">
        <v>-4348.74</v>
      </c>
      <c r="I355" s="90">
        <v>-1899.07</v>
      </c>
      <c r="J355" s="90">
        <v>-23344.69</v>
      </c>
      <c r="K355" s="90">
        <v>-950.67</v>
      </c>
      <c r="L355" s="90">
        <v>0</v>
      </c>
      <c r="M355" s="90">
        <v>-8339.2099999999991</v>
      </c>
      <c r="N355" s="90">
        <v>-10604.15</v>
      </c>
      <c r="O355" s="90">
        <v>-38936.699999999997</v>
      </c>
      <c r="P355" s="90">
        <v>-26083.38</v>
      </c>
      <c r="Q355" s="90">
        <v>-1551.15</v>
      </c>
      <c r="R355" s="90">
        <v>0</v>
      </c>
      <c r="S355" s="90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 s="90">
        <v>0</v>
      </c>
      <c r="Z355">
        <v>0</v>
      </c>
    </row>
    <row r="356" spans="1:26" s="94" customFormat="1" ht="12.75" customHeight="1" x14ac:dyDescent="0.25">
      <c r="C356" s="94" t="s">
        <v>119</v>
      </c>
      <c r="D356" s="94" t="s">
        <v>70</v>
      </c>
      <c r="E356" s="101"/>
      <c r="F356" s="717">
        <v>-126294.09</v>
      </c>
      <c r="G356" s="93">
        <v>-10236.33</v>
      </c>
      <c r="H356" s="93">
        <v>-4348.74</v>
      </c>
      <c r="I356" s="93">
        <v>-1899.07</v>
      </c>
      <c r="J356" s="93">
        <v>-23344.69</v>
      </c>
      <c r="K356" s="93">
        <v>-950.67</v>
      </c>
      <c r="L356" s="93">
        <v>0</v>
      </c>
      <c r="M356" s="93">
        <v>-8339.2099999999991</v>
      </c>
      <c r="N356" s="93">
        <v>-10604.15</v>
      </c>
      <c r="O356" s="93">
        <v>-38936.699999999997</v>
      </c>
      <c r="P356" s="93">
        <v>-26083.38</v>
      </c>
      <c r="Q356" s="93">
        <v>-1551.15</v>
      </c>
      <c r="R356" s="93">
        <v>0</v>
      </c>
      <c r="S356" s="93">
        <v>0</v>
      </c>
      <c r="T356" s="94">
        <v>0</v>
      </c>
      <c r="U356" s="94">
        <v>0</v>
      </c>
      <c r="V356" s="94">
        <v>0</v>
      </c>
      <c r="W356" s="94">
        <v>0</v>
      </c>
      <c r="X356" s="94">
        <v>0</v>
      </c>
      <c r="Y356" s="93">
        <v>0</v>
      </c>
      <c r="Z356" s="94">
        <v>0</v>
      </c>
    </row>
    <row r="357" spans="1:26" ht="12.75" customHeight="1" x14ac:dyDescent="0.25">
      <c r="B357" t="s">
        <v>112</v>
      </c>
      <c r="C357" t="s">
        <v>70</v>
      </c>
      <c r="E357" s="89"/>
      <c r="F357" s="374">
        <v>-194589.84</v>
      </c>
      <c r="G357" s="90">
        <v>-15762.93</v>
      </c>
      <c r="H357" s="90">
        <v>-6696.6</v>
      </c>
      <c r="I357" s="90">
        <v>-2924.39</v>
      </c>
      <c r="J357" s="90">
        <v>-35979.040000000001</v>
      </c>
      <c r="K357" s="90">
        <v>-1465.17</v>
      </c>
      <c r="L357" s="90">
        <v>0</v>
      </c>
      <c r="M357" s="90">
        <v>-12852.44</v>
      </c>
      <c r="N357" s="90">
        <v>-16343.2</v>
      </c>
      <c r="O357" s="90">
        <v>-60009.599999999999</v>
      </c>
      <c r="P357" s="90">
        <v>-40165.83</v>
      </c>
      <c r="Q357" s="90">
        <v>-2390.64</v>
      </c>
      <c r="R357" s="90">
        <v>0</v>
      </c>
      <c r="S357" s="90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 s="90">
        <v>0</v>
      </c>
      <c r="Z357">
        <v>0</v>
      </c>
    </row>
    <row r="358" spans="1:26" s="461" customFormat="1" x14ac:dyDescent="0.25">
      <c r="A358" s="461" t="s">
        <v>185</v>
      </c>
      <c r="B358" s="462" t="s">
        <v>70</v>
      </c>
      <c r="C358" s="462"/>
      <c r="F358" s="463">
        <v>-194589.84</v>
      </c>
      <c r="G358" s="463">
        <v>-15762.93</v>
      </c>
      <c r="H358" s="463">
        <v>-6696.6</v>
      </c>
      <c r="I358" s="463">
        <v>-2924.39</v>
      </c>
      <c r="J358" s="463">
        <v>-35979.040000000001</v>
      </c>
      <c r="K358" s="463">
        <v>-1465.17</v>
      </c>
      <c r="L358" s="463">
        <v>0</v>
      </c>
      <c r="M358" s="463">
        <v>-12852.44</v>
      </c>
      <c r="N358" s="463">
        <v>-16343.2</v>
      </c>
      <c r="O358" s="463">
        <v>-60009.599999999999</v>
      </c>
      <c r="P358" s="463">
        <v>-40165.83</v>
      </c>
      <c r="Q358" s="463">
        <v>-2390.64</v>
      </c>
      <c r="R358" s="463">
        <v>0</v>
      </c>
      <c r="S358" s="463">
        <v>0</v>
      </c>
      <c r="T358" s="463">
        <v>0</v>
      </c>
      <c r="U358" s="463">
        <v>0</v>
      </c>
      <c r="V358" s="463">
        <v>0</v>
      </c>
      <c r="W358" s="463">
        <v>0</v>
      </c>
      <c r="X358" s="463">
        <v>0</v>
      </c>
      <c r="Y358" s="463">
        <v>0</v>
      </c>
      <c r="Z358" s="463">
        <v>0</v>
      </c>
    </row>
    <row r="359" spans="1:26" ht="12.75" customHeight="1" x14ac:dyDescent="0.25">
      <c r="E359" s="89" t="s">
        <v>72</v>
      </c>
      <c r="F359" s="90">
        <v>3474318.94</v>
      </c>
      <c r="G359" s="90">
        <v>179517.17</v>
      </c>
      <c r="H359" s="90">
        <v>100565</v>
      </c>
      <c r="I359" s="90">
        <v>54370.42</v>
      </c>
      <c r="J359" s="90">
        <v>704737.06</v>
      </c>
      <c r="K359" s="90">
        <v>25270.93</v>
      </c>
      <c r="L359" s="90">
        <v>0</v>
      </c>
      <c r="M359" s="90">
        <v>221675.22</v>
      </c>
      <c r="N359" s="90">
        <v>228682.7</v>
      </c>
      <c r="O359" s="90">
        <v>1439394.46</v>
      </c>
      <c r="P359" s="90">
        <v>477974.43</v>
      </c>
      <c r="Q359" s="90">
        <v>42120.73</v>
      </c>
      <c r="R359" s="90">
        <v>10.82</v>
      </c>
      <c r="S359" s="90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 s="90">
        <v>0</v>
      </c>
      <c r="Z359">
        <v>0</v>
      </c>
    </row>
    <row r="360" spans="1:26" ht="12.75" customHeight="1" x14ac:dyDescent="0.25">
      <c r="E360" s="89" t="s">
        <v>81</v>
      </c>
      <c r="F360" s="90">
        <v>102080</v>
      </c>
      <c r="G360" s="90">
        <v>9443.6200000000008</v>
      </c>
      <c r="H360" s="90">
        <v>1966.53</v>
      </c>
      <c r="I360" s="90">
        <v>104.85</v>
      </c>
      <c r="J360" s="90">
        <v>14336.51</v>
      </c>
      <c r="K360" s="90">
        <v>1241.6099999999999</v>
      </c>
      <c r="L360" s="90">
        <v>0</v>
      </c>
      <c r="M360" s="90">
        <v>10892.44</v>
      </c>
      <c r="N360" s="90">
        <v>7250.83</v>
      </c>
      <c r="O360" s="90">
        <v>22273.45</v>
      </c>
      <c r="P360" s="90">
        <v>32552.68</v>
      </c>
      <c r="Q360" s="90">
        <v>2025.84</v>
      </c>
      <c r="R360" s="90">
        <v>-8.36</v>
      </c>
      <c r="S360" s="9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 s="90">
        <v>0</v>
      </c>
      <c r="Z360">
        <v>0</v>
      </c>
    </row>
    <row r="361" spans="1:26" ht="12.75" customHeight="1" x14ac:dyDescent="0.25">
      <c r="D361" t="s">
        <v>156</v>
      </c>
      <c r="E361" s="89" t="s">
        <v>70</v>
      </c>
      <c r="F361" s="716">
        <v>3576398.94</v>
      </c>
      <c r="G361" s="90">
        <v>188960.79</v>
      </c>
      <c r="H361" s="90">
        <v>102531.53</v>
      </c>
      <c r="I361" s="90">
        <v>54475.27</v>
      </c>
      <c r="J361" s="90">
        <v>719073.57</v>
      </c>
      <c r="K361" s="90">
        <v>26512.54</v>
      </c>
      <c r="L361" s="90">
        <v>0</v>
      </c>
      <c r="M361" s="90">
        <v>232567.66</v>
      </c>
      <c r="N361" s="90">
        <v>235933.53</v>
      </c>
      <c r="O361" s="90">
        <v>1461667.91</v>
      </c>
      <c r="P361" s="90">
        <v>510527.11</v>
      </c>
      <c r="Q361" s="90">
        <v>44146.57</v>
      </c>
      <c r="R361" s="90">
        <v>2.46</v>
      </c>
      <c r="S361" s="90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 s="90">
        <v>0</v>
      </c>
      <c r="Z361">
        <v>0</v>
      </c>
    </row>
    <row r="362" spans="1:26" s="649" customFormat="1" ht="12.75" customHeight="1" x14ac:dyDescent="0.25">
      <c r="C362" s="649" t="s">
        <v>155</v>
      </c>
      <c r="D362" s="649" t="s">
        <v>70</v>
      </c>
      <c r="E362" s="650"/>
      <c r="F362" s="741">
        <v>3576398.94</v>
      </c>
      <c r="G362" s="651">
        <v>188960.79</v>
      </c>
      <c r="H362" s="651">
        <v>102531.53</v>
      </c>
      <c r="I362" s="651">
        <v>54475.27</v>
      </c>
      <c r="J362" s="651">
        <v>719073.57</v>
      </c>
      <c r="K362" s="651">
        <v>26512.54</v>
      </c>
      <c r="L362" s="651">
        <v>0</v>
      </c>
      <c r="M362" s="651">
        <v>232567.66</v>
      </c>
      <c r="N362" s="651">
        <v>235933.53</v>
      </c>
      <c r="O362" s="651">
        <v>1461667.91</v>
      </c>
      <c r="P362" s="651">
        <v>510527.11</v>
      </c>
      <c r="Q362" s="651">
        <v>44146.57</v>
      </c>
      <c r="R362" s="651">
        <v>2.46</v>
      </c>
      <c r="S362" s="651">
        <v>0</v>
      </c>
      <c r="T362" s="649">
        <v>0</v>
      </c>
      <c r="U362" s="649">
        <v>0</v>
      </c>
      <c r="V362" s="649">
        <v>0</v>
      </c>
      <c r="W362" s="649">
        <v>0</v>
      </c>
      <c r="X362" s="649">
        <v>0</v>
      </c>
      <c r="Y362" s="651">
        <v>0</v>
      </c>
      <c r="Z362" s="649">
        <v>0</v>
      </c>
    </row>
    <row r="363" spans="1:26" ht="12.75" customHeight="1" x14ac:dyDescent="0.25">
      <c r="E363" s="89" t="s">
        <v>72</v>
      </c>
      <c r="F363" s="374">
        <v>1485208.31</v>
      </c>
      <c r="G363" s="90">
        <v>55007.46</v>
      </c>
      <c r="H363" s="90">
        <v>31471.040000000001</v>
      </c>
      <c r="I363" s="90">
        <v>17189.75</v>
      </c>
      <c r="J363" s="90">
        <v>237868.49</v>
      </c>
      <c r="K363" s="90">
        <v>8447.82</v>
      </c>
      <c r="L363" s="90">
        <v>0</v>
      </c>
      <c r="M363" s="90">
        <v>57477</v>
      </c>
      <c r="N363" s="90">
        <v>58985.32</v>
      </c>
      <c r="O363" s="90">
        <v>860183.87</v>
      </c>
      <c r="P363" s="90">
        <v>144788.82999999999</v>
      </c>
      <c r="Q363" s="90">
        <v>13783.27</v>
      </c>
      <c r="R363" s="90">
        <v>5.46</v>
      </c>
      <c r="S363" s="90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 s="90">
        <v>0</v>
      </c>
      <c r="Z363">
        <v>0</v>
      </c>
    </row>
    <row r="364" spans="1:26" ht="12.75" customHeight="1" x14ac:dyDescent="0.25">
      <c r="E364" s="89" t="s">
        <v>81</v>
      </c>
      <c r="F364" s="374">
        <v>11.34</v>
      </c>
      <c r="G364" s="90">
        <v>0.36</v>
      </c>
      <c r="H364" s="90">
        <v>0.16</v>
      </c>
      <c r="I364" s="90">
        <v>0.1</v>
      </c>
      <c r="J364" s="90">
        <v>3.16</v>
      </c>
      <c r="K364" s="90">
        <v>0.08</v>
      </c>
      <c r="L364" s="90">
        <v>0</v>
      </c>
      <c r="M364" s="90">
        <v>0.7</v>
      </c>
      <c r="N364" s="90">
        <v>0.94</v>
      </c>
      <c r="O364" s="90">
        <v>4.75</v>
      </c>
      <c r="P364" s="90">
        <v>0.96</v>
      </c>
      <c r="Q364" s="90">
        <v>0.13</v>
      </c>
      <c r="R364" s="90">
        <v>0</v>
      </c>
      <c r="S364" s="90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 s="90">
        <v>0</v>
      </c>
      <c r="Z364">
        <v>0</v>
      </c>
    </row>
    <row r="365" spans="1:26" ht="12.75" customHeight="1" x14ac:dyDescent="0.25">
      <c r="D365" t="s">
        <v>86</v>
      </c>
      <c r="E365" s="89" t="s">
        <v>70</v>
      </c>
      <c r="F365" s="374">
        <v>1485219.65</v>
      </c>
      <c r="G365" s="90">
        <v>55007.82</v>
      </c>
      <c r="H365" s="90">
        <v>31471.200000000001</v>
      </c>
      <c r="I365" s="90">
        <v>17189.849999999999</v>
      </c>
      <c r="J365" s="90">
        <v>237871.65</v>
      </c>
      <c r="K365" s="90">
        <v>8447.9</v>
      </c>
      <c r="L365" s="90">
        <v>0</v>
      </c>
      <c r="M365" s="90">
        <v>57477.7</v>
      </c>
      <c r="N365" s="90">
        <v>58986.26</v>
      </c>
      <c r="O365" s="90">
        <v>860188.62</v>
      </c>
      <c r="P365" s="90">
        <v>144789.79</v>
      </c>
      <c r="Q365" s="90">
        <v>13783.4</v>
      </c>
      <c r="R365" s="90">
        <v>5.46</v>
      </c>
      <c r="S365" s="90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 s="90">
        <v>0</v>
      </c>
      <c r="Z365">
        <v>0</v>
      </c>
    </row>
    <row r="366" spans="1:26" ht="12.75" customHeight="1" x14ac:dyDescent="0.25">
      <c r="E366" s="89" t="s">
        <v>72</v>
      </c>
      <c r="F366" s="374">
        <v>228079.28</v>
      </c>
      <c r="G366" s="90">
        <v>21729.599999999999</v>
      </c>
      <c r="H366" s="90">
        <v>12271.11</v>
      </c>
      <c r="I366" s="90">
        <v>6450.82</v>
      </c>
      <c r="J366" s="90">
        <v>41654.199999999997</v>
      </c>
      <c r="K366" s="90">
        <v>992.62</v>
      </c>
      <c r="L366" s="90">
        <v>0</v>
      </c>
      <c r="M366" s="90">
        <v>8707.2099999999991</v>
      </c>
      <c r="N366" s="90">
        <v>12742.17</v>
      </c>
      <c r="O366" s="90">
        <v>64291.65</v>
      </c>
      <c r="P366" s="90">
        <v>57619.46</v>
      </c>
      <c r="Q366" s="90">
        <v>1619.55</v>
      </c>
      <c r="R366" s="90">
        <v>0.89</v>
      </c>
      <c r="S366" s="90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 s="90">
        <v>0</v>
      </c>
      <c r="Z366">
        <v>0</v>
      </c>
    </row>
    <row r="367" spans="1:26" ht="12.75" customHeight="1" x14ac:dyDescent="0.25">
      <c r="D367" t="s">
        <v>87</v>
      </c>
      <c r="E367" s="89" t="s">
        <v>70</v>
      </c>
      <c r="F367" s="374">
        <v>228079.28</v>
      </c>
      <c r="G367" s="90">
        <v>21729.599999999999</v>
      </c>
      <c r="H367" s="90">
        <v>12271.11</v>
      </c>
      <c r="I367" s="90">
        <v>6450.82</v>
      </c>
      <c r="J367" s="90">
        <v>41654.199999999997</v>
      </c>
      <c r="K367" s="90">
        <v>992.62</v>
      </c>
      <c r="L367" s="90">
        <v>0</v>
      </c>
      <c r="M367" s="90">
        <v>8707.2099999999991</v>
      </c>
      <c r="N367" s="90">
        <v>12742.17</v>
      </c>
      <c r="O367" s="90">
        <v>64291.65</v>
      </c>
      <c r="P367" s="90">
        <v>57619.46</v>
      </c>
      <c r="Q367" s="90">
        <v>1619.55</v>
      </c>
      <c r="R367" s="90">
        <v>0.89</v>
      </c>
      <c r="S367" s="90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 s="90">
        <v>0</v>
      </c>
      <c r="Z367">
        <v>0</v>
      </c>
    </row>
    <row r="368" spans="1:26" s="94" customFormat="1" ht="12.75" customHeight="1" x14ac:dyDescent="0.25">
      <c r="C368" s="94" t="s">
        <v>119</v>
      </c>
      <c r="D368" s="94" t="s">
        <v>70</v>
      </c>
      <c r="E368" s="101"/>
      <c r="F368" s="717">
        <v>1713298.93</v>
      </c>
      <c r="G368" s="93">
        <v>76737.42</v>
      </c>
      <c r="H368" s="93">
        <v>43742.31</v>
      </c>
      <c r="I368" s="93">
        <v>23640.67</v>
      </c>
      <c r="J368" s="93">
        <v>279525.84999999998</v>
      </c>
      <c r="K368" s="93">
        <v>9440.52</v>
      </c>
      <c r="L368" s="93">
        <v>0</v>
      </c>
      <c r="M368" s="93">
        <v>66184.91</v>
      </c>
      <c r="N368" s="93">
        <v>71728.429999999993</v>
      </c>
      <c r="O368" s="93">
        <v>924480.27</v>
      </c>
      <c r="P368" s="93">
        <v>202409.25</v>
      </c>
      <c r="Q368" s="93">
        <v>15402.95</v>
      </c>
      <c r="R368" s="93">
        <v>6.35</v>
      </c>
      <c r="S368" s="93">
        <v>0</v>
      </c>
      <c r="T368" s="94">
        <v>0</v>
      </c>
      <c r="U368" s="94">
        <v>0</v>
      </c>
      <c r="V368" s="94">
        <v>0</v>
      </c>
      <c r="W368" s="94">
        <v>0</v>
      </c>
      <c r="X368" s="94">
        <v>0</v>
      </c>
      <c r="Y368" s="93">
        <v>0</v>
      </c>
      <c r="Z368" s="94">
        <v>0</v>
      </c>
    </row>
    <row r="369" spans="2:26" s="381" customFormat="1" ht="12.75" customHeight="1" x14ac:dyDescent="0.25">
      <c r="B369" s="381" t="s">
        <v>122</v>
      </c>
      <c r="C369" s="381" t="s">
        <v>70</v>
      </c>
      <c r="E369" s="379"/>
      <c r="F369" s="707">
        <v>5289697.87</v>
      </c>
      <c r="G369" s="380">
        <v>265698.21000000002</v>
      </c>
      <c r="H369" s="380">
        <v>146273.84</v>
      </c>
      <c r="I369" s="380">
        <v>78115.94</v>
      </c>
      <c r="J369" s="380">
        <v>998599.42</v>
      </c>
      <c r="K369" s="380">
        <v>35953.06</v>
      </c>
      <c r="L369" s="380">
        <v>0</v>
      </c>
      <c r="M369" s="380">
        <v>298752.57</v>
      </c>
      <c r="N369" s="380">
        <v>307661.96000000002</v>
      </c>
      <c r="O369" s="380">
        <v>2386148.1800000002</v>
      </c>
      <c r="P369" s="380">
        <v>712936.36</v>
      </c>
      <c r="Q369" s="380">
        <v>59549.52</v>
      </c>
      <c r="R369" s="380">
        <v>8.81</v>
      </c>
      <c r="S369" s="380">
        <v>0</v>
      </c>
      <c r="T369" s="381">
        <v>0</v>
      </c>
      <c r="U369" s="381">
        <v>0</v>
      </c>
      <c r="V369" s="381">
        <v>0</v>
      </c>
      <c r="W369" s="381">
        <v>0</v>
      </c>
      <c r="X369" s="381">
        <v>0</v>
      </c>
      <c r="Y369" s="380">
        <v>0</v>
      </c>
      <c r="Z369" s="381">
        <v>0</v>
      </c>
    </row>
    <row r="370" spans="2:26" ht="12.75" customHeight="1" x14ac:dyDescent="0.25">
      <c r="E370" s="89" t="s">
        <v>72</v>
      </c>
      <c r="F370" s="374">
        <v>10888756399.1</v>
      </c>
      <c r="G370" s="90">
        <v>617579068.38999999</v>
      </c>
      <c r="H370" s="90">
        <v>347051325.95999998</v>
      </c>
      <c r="I370" s="90">
        <v>182711801.63999999</v>
      </c>
      <c r="J370" s="90">
        <v>2314992542.9200001</v>
      </c>
      <c r="K370" s="90">
        <v>89446295.480000004</v>
      </c>
      <c r="L370" s="90">
        <v>21937488.75</v>
      </c>
      <c r="M370" s="90">
        <v>783908137.02999997</v>
      </c>
      <c r="N370" s="90">
        <v>772609342.19000006</v>
      </c>
      <c r="O370" s="90">
        <v>3977972725.2199998</v>
      </c>
      <c r="P370" s="90">
        <v>1634273422.7</v>
      </c>
      <c r="Q370" s="90">
        <v>146439143.72999999</v>
      </c>
      <c r="R370" s="90">
        <v>-164894.91</v>
      </c>
      <c r="S370" s="9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 s="90">
        <v>0</v>
      </c>
      <c r="Z370">
        <v>0</v>
      </c>
    </row>
    <row r="371" spans="2:26" ht="12.75" customHeight="1" x14ac:dyDescent="0.25">
      <c r="E371" s="89" t="s">
        <v>81</v>
      </c>
      <c r="F371" s="374">
        <v>40892315.740000002</v>
      </c>
      <c r="G371" s="90">
        <v>4929958.76</v>
      </c>
      <c r="H371" s="90">
        <v>2249012.37</v>
      </c>
      <c r="I371" s="90">
        <v>899216.11</v>
      </c>
      <c r="J371" s="90">
        <v>6219405.0999999996</v>
      </c>
      <c r="K371" s="90">
        <v>236699.91</v>
      </c>
      <c r="L371" s="90">
        <v>4857.93</v>
      </c>
      <c r="M371" s="90">
        <v>2075278.81</v>
      </c>
      <c r="N371" s="90">
        <v>2533839.69</v>
      </c>
      <c r="O371" s="90">
        <v>8563005.75</v>
      </c>
      <c r="P371" s="90">
        <v>12797481.699999999</v>
      </c>
      <c r="Q371" s="90">
        <v>379454.24</v>
      </c>
      <c r="R371" s="90">
        <v>4155.8599999999997</v>
      </c>
      <c r="S371" s="90">
        <v>0</v>
      </c>
      <c r="T371">
        <v>35.659999999999997</v>
      </c>
      <c r="U371">
        <v>0</v>
      </c>
      <c r="V371">
        <v>0</v>
      </c>
      <c r="W371">
        <v>0</v>
      </c>
      <c r="X371">
        <v>0</v>
      </c>
      <c r="Y371" s="90">
        <v>0</v>
      </c>
      <c r="Z371">
        <v>-86.15</v>
      </c>
    </row>
    <row r="372" spans="2:26" ht="12.75" customHeight="1" x14ac:dyDescent="0.25">
      <c r="D372" t="s">
        <v>156</v>
      </c>
      <c r="E372" s="89" t="s">
        <v>70</v>
      </c>
      <c r="F372" s="374">
        <v>10929648714.84</v>
      </c>
      <c r="G372" s="90">
        <v>622509027.14999998</v>
      </c>
      <c r="H372" s="90">
        <v>349300338.32999998</v>
      </c>
      <c r="I372" s="90">
        <v>183611017.75</v>
      </c>
      <c r="J372" s="90">
        <v>2321211948.02</v>
      </c>
      <c r="K372" s="90">
        <v>89682995.390000001</v>
      </c>
      <c r="L372" s="90">
        <v>21942346.68</v>
      </c>
      <c r="M372" s="90">
        <v>785983415.84000003</v>
      </c>
      <c r="N372" s="90">
        <v>775143181.88</v>
      </c>
      <c r="O372" s="90">
        <v>3986535730.9699998</v>
      </c>
      <c r="P372" s="90">
        <v>1647070904.4000001</v>
      </c>
      <c r="Q372" s="90">
        <v>146818597.97</v>
      </c>
      <c r="R372" s="90">
        <v>-160739.04999999999</v>
      </c>
      <c r="S372" s="90">
        <v>0</v>
      </c>
      <c r="T372">
        <v>35.659999999999997</v>
      </c>
      <c r="U372">
        <v>0</v>
      </c>
      <c r="V372">
        <v>0</v>
      </c>
      <c r="W372">
        <v>0</v>
      </c>
      <c r="X372">
        <v>0</v>
      </c>
      <c r="Y372" s="90">
        <v>0</v>
      </c>
      <c r="Z372">
        <v>-86.15</v>
      </c>
    </row>
    <row r="373" spans="2:26" s="649" customFormat="1" ht="12.75" customHeight="1" x14ac:dyDescent="0.25">
      <c r="C373" s="649" t="s">
        <v>155</v>
      </c>
      <c r="D373" s="649" t="s">
        <v>70</v>
      </c>
      <c r="E373" s="650"/>
      <c r="F373" s="738">
        <v>10929648714.84</v>
      </c>
      <c r="G373" s="651">
        <v>622509027.14999998</v>
      </c>
      <c r="H373" s="651">
        <v>349300338.32999998</v>
      </c>
      <c r="I373" s="651">
        <v>183611017.75</v>
      </c>
      <c r="J373" s="651">
        <v>2321211948.02</v>
      </c>
      <c r="K373" s="651">
        <v>89682995.390000001</v>
      </c>
      <c r="L373" s="651">
        <v>21942346.68</v>
      </c>
      <c r="M373" s="651">
        <v>785983415.84000003</v>
      </c>
      <c r="N373" s="651">
        <v>775143181.88</v>
      </c>
      <c r="O373" s="651">
        <v>3986535730.9699998</v>
      </c>
      <c r="P373" s="651">
        <v>1647070904.4000001</v>
      </c>
      <c r="Q373" s="651">
        <v>146818597.97</v>
      </c>
      <c r="R373" s="651">
        <v>-160739.04999999999</v>
      </c>
      <c r="S373" s="651">
        <v>0</v>
      </c>
      <c r="T373" s="649">
        <v>35.659999999999997</v>
      </c>
      <c r="U373" s="649">
        <v>0</v>
      </c>
      <c r="V373" s="649">
        <v>0</v>
      </c>
      <c r="W373" s="649">
        <v>0</v>
      </c>
      <c r="X373" s="649">
        <v>0</v>
      </c>
      <c r="Y373" s="651">
        <v>0</v>
      </c>
      <c r="Z373" s="649">
        <v>-86.15</v>
      </c>
    </row>
    <row r="374" spans="2:26" ht="12.75" customHeight="1" x14ac:dyDescent="0.25">
      <c r="E374" s="89" t="s">
        <v>72</v>
      </c>
      <c r="F374" s="374">
        <v>2584328.36</v>
      </c>
      <c r="G374" s="90">
        <v>268545.82</v>
      </c>
      <c r="H374" s="90">
        <v>126216.96000000001</v>
      </c>
      <c r="I374" s="90">
        <v>63117.66</v>
      </c>
      <c r="J374" s="90">
        <v>437837.92</v>
      </c>
      <c r="K374" s="90">
        <v>14493.13</v>
      </c>
      <c r="L374" s="90">
        <v>0</v>
      </c>
      <c r="M374" s="90">
        <v>127234.24000000001</v>
      </c>
      <c r="N374" s="90">
        <v>153679.13</v>
      </c>
      <c r="O374" s="90">
        <v>657620.76</v>
      </c>
      <c r="P374" s="90">
        <v>711922.73</v>
      </c>
      <c r="Q374" s="90">
        <v>23677.22</v>
      </c>
      <c r="R374" s="90">
        <v>-17.21</v>
      </c>
      <c r="S374" s="90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 s="90">
        <v>0</v>
      </c>
      <c r="Z374">
        <v>0</v>
      </c>
    </row>
    <row r="375" spans="2:26" ht="12.75" customHeight="1" x14ac:dyDescent="0.25">
      <c r="E375" s="89" t="s">
        <v>81</v>
      </c>
      <c r="F375" s="374">
        <v>542626.53</v>
      </c>
      <c r="G375" s="90">
        <v>69285.919999999998</v>
      </c>
      <c r="H375" s="90">
        <v>33940.9</v>
      </c>
      <c r="I375" s="90">
        <v>15028.62</v>
      </c>
      <c r="J375" s="90">
        <v>75266.42</v>
      </c>
      <c r="K375" s="90">
        <v>2691.75</v>
      </c>
      <c r="L375" s="90">
        <v>0</v>
      </c>
      <c r="M375" s="90">
        <v>23614.63</v>
      </c>
      <c r="N375" s="90">
        <v>30658.34</v>
      </c>
      <c r="O375" s="90">
        <v>104423.01</v>
      </c>
      <c r="P375" s="90">
        <v>183324.12</v>
      </c>
      <c r="Q375" s="90">
        <v>4392.7700000000004</v>
      </c>
      <c r="R375" s="90">
        <v>0.05</v>
      </c>
      <c r="S375" s="90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 s="90">
        <v>0</v>
      </c>
      <c r="Z375">
        <v>0</v>
      </c>
    </row>
    <row r="376" spans="2:26" ht="12.75" customHeight="1" x14ac:dyDescent="0.25">
      <c r="D376" t="s">
        <v>115</v>
      </c>
      <c r="E376" s="89" t="s">
        <v>70</v>
      </c>
      <c r="F376" s="374">
        <v>3126954.89</v>
      </c>
      <c r="G376" s="90">
        <v>337831.74</v>
      </c>
      <c r="H376" s="90">
        <v>160157.85999999999</v>
      </c>
      <c r="I376" s="90">
        <v>78146.28</v>
      </c>
      <c r="J376" s="90">
        <v>513104.34</v>
      </c>
      <c r="K376" s="90">
        <v>17184.88</v>
      </c>
      <c r="L376" s="90">
        <v>0</v>
      </c>
      <c r="M376" s="90">
        <v>150848.87</v>
      </c>
      <c r="N376" s="90">
        <v>184337.47</v>
      </c>
      <c r="O376" s="90">
        <v>762043.77</v>
      </c>
      <c r="P376" s="90">
        <v>895246.85</v>
      </c>
      <c r="Q376" s="90">
        <v>28069.99</v>
      </c>
      <c r="R376" s="90">
        <v>-17.16</v>
      </c>
      <c r="S376" s="90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 s="90">
        <v>0</v>
      </c>
      <c r="Z376">
        <v>0</v>
      </c>
    </row>
    <row r="377" spans="2:26" ht="12.75" customHeight="1" x14ac:dyDescent="0.25">
      <c r="D377" s="89"/>
      <c r="E377" s="89" t="s">
        <v>72</v>
      </c>
      <c r="F377" s="90">
        <v>3365746.04</v>
      </c>
      <c r="G377" s="90">
        <v>218946.04</v>
      </c>
      <c r="H377" s="90">
        <v>119556.1</v>
      </c>
      <c r="I377" s="90">
        <v>61285.4</v>
      </c>
      <c r="J377" s="90">
        <v>727971.61</v>
      </c>
      <c r="K377" s="90">
        <v>26153.88</v>
      </c>
      <c r="L377" s="90">
        <v>0</v>
      </c>
      <c r="M377" s="90">
        <v>228331.78</v>
      </c>
      <c r="N377" s="90">
        <v>237916.39</v>
      </c>
      <c r="O377" s="90">
        <v>1131435.3500000001</v>
      </c>
      <c r="P377" s="90">
        <v>571529.99</v>
      </c>
      <c r="Q377" s="90">
        <v>42687.07</v>
      </c>
      <c r="R377" s="90">
        <v>-67.569999999999993</v>
      </c>
      <c r="S377" s="90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 s="90">
        <v>0</v>
      </c>
      <c r="Z377">
        <v>0</v>
      </c>
    </row>
    <row r="378" spans="2:26" ht="12.75" customHeight="1" x14ac:dyDescent="0.25">
      <c r="D378" s="89"/>
      <c r="E378" s="89" t="s">
        <v>81</v>
      </c>
      <c r="F378" s="374">
        <v>106211.98</v>
      </c>
      <c r="G378" s="90">
        <v>7654.59</v>
      </c>
      <c r="H378" s="90">
        <v>3786.15</v>
      </c>
      <c r="I378" s="90">
        <v>1649.9</v>
      </c>
      <c r="J378" s="90">
        <v>24114.48</v>
      </c>
      <c r="K378" s="90">
        <v>824.75</v>
      </c>
      <c r="L378" s="90">
        <v>0</v>
      </c>
      <c r="M378" s="90">
        <v>7238.4</v>
      </c>
      <c r="N378" s="90">
        <v>9200.16</v>
      </c>
      <c r="O378" s="90">
        <v>30923.31</v>
      </c>
      <c r="P378" s="90">
        <v>19473.669999999998</v>
      </c>
      <c r="Q378" s="90">
        <v>1346.25</v>
      </c>
      <c r="R378" s="90">
        <v>0.32</v>
      </c>
      <c r="S378" s="90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 s="90">
        <v>0</v>
      </c>
      <c r="Z378">
        <v>0</v>
      </c>
    </row>
    <row r="379" spans="2:26" ht="12.75" customHeight="1" x14ac:dyDescent="0.25">
      <c r="D379" s="89" t="s">
        <v>118</v>
      </c>
      <c r="E379" s="89" t="s">
        <v>70</v>
      </c>
      <c r="F379" s="374">
        <v>3471958.02</v>
      </c>
      <c r="G379" s="90">
        <v>226600.63</v>
      </c>
      <c r="H379" s="90">
        <v>123342.25</v>
      </c>
      <c r="I379" s="90">
        <v>62935.3</v>
      </c>
      <c r="J379" s="90">
        <v>752086.09</v>
      </c>
      <c r="K379" s="90">
        <v>26978.63</v>
      </c>
      <c r="L379" s="90">
        <v>0</v>
      </c>
      <c r="M379" s="90">
        <v>235570.18</v>
      </c>
      <c r="N379" s="90">
        <v>247116.55</v>
      </c>
      <c r="O379" s="90">
        <v>1162358.6599999999</v>
      </c>
      <c r="P379" s="90">
        <v>591003.66</v>
      </c>
      <c r="Q379" s="90">
        <v>44033.32</v>
      </c>
      <c r="R379" s="90">
        <v>-67.25</v>
      </c>
      <c r="S379" s="90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 s="90">
        <v>0</v>
      </c>
      <c r="Z379">
        <v>0</v>
      </c>
    </row>
    <row r="380" spans="2:26" s="224" customFormat="1" ht="12.75" customHeight="1" x14ac:dyDescent="0.25">
      <c r="C380" s="223" t="s">
        <v>120</v>
      </c>
      <c r="D380" s="223" t="s">
        <v>70</v>
      </c>
      <c r="F380" s="225">
        <v>6598912.9100000001</v>
      </c>
      <c r="G380" s="225">
        <v>564432.37</v>
      </c>
      <c r="H380" s="225">
        <v>283500.11</v>
      </c>
      <c r="I380" s="225">
        <v>141081.57999999999</v>
      </c>
      <c r="J380" s="225">
        <v>1265190.43</v>
      </c>
      <c r="K380" s="225">
        <v>44163.51</v>
      </c>
      <c r="L380" s="225">
        <v>0</v>
      </c>
      <c r="M380" s="225">
        <v>386419.05</v>
      </c>
      <c r="N380" s="225">
        <v>431454.02</v>
      </c>
      <c r="O380" s="225">
        <v>1924402.43</v>
      </c>
      <c r="P380" s="225">
        <v>1486250.51</v>
      </c>
      <c r="Q380" s="225">
        <v>72103.31</v>
      </c>
      <c r="R380" s="225">
        <v>-84.41</v>
      </c>
      <c r="S380" s="225">
        <v>0</v>
      </c>
      <c r="T380" s="224">
        <v>0</v>
      </c>
      <c r="U380" s="224">
        <v>0</v>
      </c>
      <c r="V380" s="224">
        <v>0</v>
      </c>
      <c r="W380" s="224">
        <v>0</v>
      </c>
      <c r="X380" s="224">
        <v>0</v>
      </c>
      <c r="Y380" s="225">
        <v>0</v>
      </c>
      <c r="Z380" s="224">
        <v>0</v>
      </c>
    </row>
    <row r="381" spans="2:26" ht="12.75" customHeight="1" x14ac:dyDescent="0.25">
      <c r="E381" s="89" t="s">
        <v>72</v>
      </c>
      <c r="F381" s="90">
        <v>25932169.899999999</v>
      </c>
      <c r="G381" s="90">
        <v>2104123.62</v>
      </c>
      <c r="H381" s="90">
        <v>1176844.01</v>
      </c>
      <c r="I381" s="90">
        <v>619878.31000000006</v>
      </c>
      <c r="J381" s="90">
        <v>4738322.6900000004</v>
      </c>
      <c r="K381" s="90">
        <v>147258.25</v>
      </c>
      <c r="L381" s="90">
        <v>0</v>
      </c>
      <c r="M381" s="90">
        <v>1285372.94</v>
      </c>
      <c r="N381" s="90">
        <v>1642141.64</v>
      </c>
      <c r="O381" s="90">
        <v>8381057.6600000001</v>
      </c>
      <c r="P381" s="90">
        <v>5596736.79</v>
      </c>
      <c r="Q381" s="90">
        <v>240294.35</v>
      </c>
      <c r="R381" s="90">
        <v>139.63999999999999</v>
      </c>
      <c r="S381" s="90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 s="90">
        <v>0</v>
      </c>
      <c r="Z381">
        <v>0</v>
      </c>
    </row>
    <row r="382" spans="2:26" ht="12.75" customHeight="1" x14ac:dyDescent="0.25">
      <c r="D382" s="89"/>
      <c r="E382" s="89" t="s">
        <v>81</v>
      </c>
      <c r="F382" s="90">
        <v>13679.8</v>
      </c>
      <c r="G382" s="90">
        <v>802.29</v>
      </c>
      <c r="H382" s="90">
        <v>357.6</v>
      </c>
      <c r="I382" s="90">
        <v>194.46</v>
      </c>
      <c r="J382" s="90">
        <v>3372.97</v>
      </c>
      <c r="K382" s="90">
        <v>88.42</v>
      </c>
      <c r="L382" s="90">
        <v>0</v>
      </c>
      <c r="M382" s="90">
        <v>777.52</v>
      </c>
      <c r="N382" s="90">
        <v>968.7</v>
      </c>
      <c r="O382" s="90">
        <v>4825.8500000000004</v>
      </c>
      <c r="P382" s="90">
        <v>2147.65</v>
      </c>
      <c r="Q382" s="90">
        <v>144.80000000000001</v>
      </c>
      <c r="R382" s="90">
        <v>-0.46</v>
      </c>
      <c r="S382" s="90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 s="90">
        <v>0</v>
      </c>
      <c r="Z382">
        <v>0</v>
      </c>
    </row>
    <row r="383" spans="2:26" ht="12.75" customHeight="1" x14ac:dyDescent="0.25">
      <c r="D383" t="s">
        <v>82</v>
      </c>
      <c r="E383" s="89" t="s">
        <v>70</v>
      </c>
      <c r="F383" s="90">
        <v>25945849.699999999</v>
      </c>
      <c r="G383" s="90">
        <v>2104925.91</v>
      </c>
      <c r="H383" s="90">
        <v>1177201.6100000001</v>
      </c>
      <c r="I383" s="90">
        <v>620072.77</v>
      </c>
      <c r="J383" s="90">
        <v>4741695.66</v>
      </c>
      <c r="K383" s="90">
        <v>147346.67000000001</v>
      </c>
      <c r="L383" s="90">
        <v>0</v>
      </c>
      <c r="M383" s="90">
        <v>1286150.46</v>
      </c>
      <c r="N383" s="90">
        <v>1643110.34</v>
      </c>
      <c r="O383" s="90">
        <v>8385883.5099999998</v>
      </c>
      <c r="P383" s="90">
        <v>5598884.4400000004</v>
      </c>
      <c r="Q383" s="90">
        <v>240439.15</v>
      </c>
      <c r="R383" s="90">
        <v>139.18</v>
      </c>
      <c r="S383" s="90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 s="90">
        <v>0</v>
      </c>
      <c r="Z383">
        <v>0</v>
      </c>
    </row>
    <row r="384" spans="2:26" ht="12.75" customHeight="1" x14ac:dyDescent="0.25">
      <c r="E384" s="89" t="s">
        <v>72</v>
      </c>
      <c r="F384" s="90">
        <v>109194542.64</v>
      </c>
      <c r="G384" s="90">
        <v>8705384.5600000005</v>
      </c>
      <c r="H384" s="90">
        <v>4752929.5599999996</v>
      </c>
      <c r="I384" s="90">
        <v>2431911.7999999998</v>
      </c>
      <c r="J384" s="90">
        <v>16462887.300000001</v>
      </c>
      <c r="K384" s="90">
        <v>676435.79</v>
      </c>
      <c r="L384" s="90">
        <v>87811.82</v>
      </c>
      <c r="M384" s="90">
        <v>6019564.3700000001</v>
      </c>
      <c r="N384" s="90">
        <v>6446301.7199999997</v>
      </c>
      <c r="O384" s="90">
        <v>39598538.850000001</v>
      </c>
      <c r="P384" s="90">
        <v>22900403.149999999</v>
      </c>
      <c r="Q384" s="90">
        <v>1112914.6299999999</v>
      </c>
      <c r="R384" s="90">
        <v>-540.91</v>
      </c>
      <c r="S384" s="90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 s="90">
        <v>0</v>
      </c>
      <c r="Z384">
        <v>0</v>
      </c>
    </row>
    <row r="385" spans="1:26" ht="12.75" customHeight="1" x14ac:dyDescent="0.25">
      <c r="D385" s="89"/>
      <c r="E385" s="89" t="s">
        <v>81</v>
      </c>
      <c r="F385" s="90">
        <v>36479631.689999998</v>
      </c>
      <c r="G385" s="90">
        <v>4006092.93</v>
      </c>
      <c r="H385" s="90">
        <v>1699523.19</v>
      </c>
      <c r="I385" s="90">
        <v>624846.76</v>
      </c>
      <c r="J385" s="90">
        <v>5995879.7800000003</v>
      </c>
      <c r="K385" s="90">
        <v>242499.8</v>
      </c>
      <c r="L385" s="90">
        <v>8855.07</v>
      </c>
      <c r="M385" s="90">
        <v>2120367.9700000002</v>
      </c>
      <c r="N385" s="90">
        <v>2453075.33</v>
      </c>
      <c r="O385" s="90">
        <v>8249131.9900000002</v>
      </c>
      <c r="P385" s="90">
        <v>10683629.140000001</v>
      </c>
      <c r="Q385" s="90">
        <v>395673.64</v>
      </c>
      <c r="R385" s="90">
        <v>55.7</v>
      </c>
      <c r="S385" s="90">
        <v>0</v>
      </c>
      <c r="T385">
        <v>0.39</v>
      </c>
      <c r="U385">
        <v>0</v>
      </c>
      <c r="V385">
        <v>0</v>
      </c>
      <c r="W385">
        <v>0</v>
      </c>
      <c r="X385">
        <v>0</v>
      </c>
      <c r="Y385" s="90">
        <v>0</v>
      </c>
      <c r="Z385">
        <v>0</v>
      </c>
    </row>
    <row r="386" spans="1:26" ht="12.75" customHeight="1" x14ac:dyDescent="0.25">
      <c r="C386" s="89"/>
      <c r="D386" s="89" t="s">
        <v>86</v>
      </c>
      <c r="E386" t="s">
        <v>70</v>
      </c>
      <c r="F386" s="90">
        <v>145674174.33000001</v>
      </c>
      <c r="G386" s="90">
        <v>12711477.49</v>
      </c>
      <c r="H386" s="90">
        <v>6452452.75</v>
      </c>
      <c r="I386" s="90">
        <v>3056758.56</v>
      </c>
      <c r="J386" s="90">
        <v>22458767.079999998</v>
      </c>
      <c r="K386" s="90">
        <v>918935.59</v>
      </c>
      <c r="L386" s="90">
        <v>96666.89</v>
      </c>
      <c r="M386" s="90">
        <v>8139932.3399999999</v>
      </c>
      <c r="N386" s="90">
        <v>8899377.0500000007</v>
      </c>
      <c r="O386" s="90">
        <v>47847670.840000004</v>
      </c>
      <c r="P386" s="90">
        <v>33584032.289999999</v>
      </c>
      <c r="Q386" s="90">
        <v>1508588.27</v>
      </c>
      <c r="R386" s="90">
        <v>-485.21</v>
      </c>
      <c r="S386" s="90">
        <v>0</v>
      </c>
      <c r="T386">
        <v>0.39</v>
      </c>
      <c r="U386">
        <v>0</v>
      </c>
      <c r="V386">
        <v>0</v>
      </c>
      <c r="W386">
        <v>0</v>
      </c>
      <c r="X386">
        <v>0</v>
      </c>
      <c r="Y386" s="90">
        <v>0</v>
      </c>
      <c r="Z386">
        <v>0</v>
      </c>
    </row>
    <row r="387" spans="1:26" ht="12.75" customHeight="1" x14ac:dyDescent="0.25">
      <c r="B387" s="89"/>
      <c r="C387" s="89"/>
      <c r="E387" t="s">
        <v>72</v>
      </c>
      <c r="F387" s="90">
        <v>41321679.020000003</v>
      </c>
      <c r="G387" s="90">
        <v>3721648.87</v>
      </c>
      <c r="H387" s="90">
        <v>1946637.79</v>
      </c>
      <c r="I387" s="90">
        <v>1026569.67</v>
      </c>
      <c r="J387" s="90">
        <v>7497395.0800000001</v>
      </c>
      <c r="K387" s="90">
        <v>197789.05</v>
      </c>
      <c r="L387" s="90">
        <v>929500</v>
      </c>
      <c r="M387" s="90">
        <v>1727377.05</v>
      </c>
      <c r="N387" s="90">
        <v>2422902.44</v>
      </c>
      <c r="O387" s="90">
        <v>12269077.92</v>
      </c>
      <c r="P387" s="90">
        <v>9258690.9900000002</v>
      </c>
      <c r="Q387" s="90">
        <v>323610.08</v>
      </c>
      <c r="R387" s="90">
        <v>480.08</v>
      </c>
      <c r="S387" s="90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 s="90">
        <v>0</v>
      </c>
      <c r="Z387">
        <v>0</v>
      </c>
    </row>
    <row r="388" spans="1:26" ht="12.75" customHeight="1" x14ac:dyDescent="0.25">
      <c r="A388" s="89"/>
      <c r="B388" s="89"/>
      <c r="E388" t="s">
        <v>81</v>
      </c>
      <c r="F388" s="90">
        <v>680049.48</v>
      </c>
      <c r="G388" s="90">
        <v>60364.66</v>
      </c>
      <c r="H388" s="90">
        <v>30464.51</v>
      </c>
      <c r="I388" s="90">
        <v>12534.58</v>
      </c>
      <c r="J388" s="90">
        <v>137328.21</v>
      </c>
      <c r="K388" s="90">
        <v>4843.5200000000004</v>
      </c>
      <c r="L388" s="90">
        <v>0</v>
      </c>
      <c r="M388" s="90">
        <v>42487.09</v>
      </c>
      <c r="N388" s="90">
        <v>54062.23</v>
      </c>
      <c r="O388" s="90">
        <v>173620.87</v>
      </c>
      <c r="P388" s="90">
        <v>156430.14000000001</v>
      </c>
      <c r="Q388" s="90">
        <v>7902.93</v>
      </c>
      <c r="R388" s="90">
        <v>10.74</v>
      </c>
      <c r="S388" s="90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 s="90">
        <v>0</v>
      </c>
      <c r="Z388">
        <v>0</v>
      </c>
    </row>
    <row r="389" spans="1:26" ht="12.75" customHeight="1" x14ac:dyDescent="0.25">
      <c r="A389" s="89"/>
      <c r="B389" s="89"/>
      <c r="D389" t="s">
        <v>87</v>
      </c>
      <c r="E389" t="s">
        <v>70</v>
      </c>
      <c r="F389" s="374">
        <v>42001728.5</v>
      </c>
      <c r="G389" s="90">
        <v>3782013.53</v>
      </c>
      <c r="H389" s="90">
        <v>1977102.3</v>
      </c>
      <c r="I389" s="90">
        <v>1039104.25</v>
      </c>
      <c r="J389" s="90">
        <v>7634723.29</v>
      </c>
      <c r="K389" s="90">
        <v>202632.57</v>
      </c>
      <c r="L389" s="90">
        <v>929500</v>
      </c>
      <c r="M389" s="90">
        <v>1769864.14</v>
      </c>
      <c r="N389" s="90">
        <v>2476964.67</v>
      </c>
      <c r="O389" s="90">
        <v>12442698.789999999</v>
      </c>
      <c r="P389" s="90">
        <v>9415121.1300000008</v>
      </c>
      <c r="Q389" s="90">
        <v>331513.01</v>
      </c>
      <c r="R389" s="90">
        <v>490.82</v>
      </c>
      <c r="S389" s="90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 s="90">
        <v>0</v>
      </c>
      <c r="Z389">
        <v>0</v>
      </c>
    </row>
    <row r="390" spans="1:26" s="94" customFormat="1" ht="12.75" customHeight="1" x14ac:dyDescent="0.25">
      <c r="C390" s="101" t="s">
        <v>119</v>
      </c>
      <c r="D390" s="101" t="s">
        <v>70</v>
      </c>
      <c r="F390" s="93">
        <v>213621752.53</v>
      </c>
      <c r="G390" s="93">
        <v>18598416.93</v>
      </c>
      <c r="H390" s="93">
        <v>9606756.6600000001</v>
      </c>
      <c r="I390" s="93">
        <v>4715935.58</v>
      </c>
      <c r="J390" s="93">
        <v>34835186.030000001</v>
      </c>
      <c r="K390" s="93">
        <v>1268914.83</v>
      </c>
      <c r="L390" s="93">
        <v>1026166.89</v>
      </c>
      <c r="M390" s="93">
        <v>11195946.939999999</v>
      </c>
      <c r="N390" s="93">
        <v>13019452.060000001</v>
      </c>
      <c r="O390" s="93">
        <v>68676253.140000001</v>
      </c>
      <c r="P390" s="93">
        <v>48598037.859999999</v>
      </c>
      <c r="Q390" s="93">
        <v>2080540.43</v>
      </c>
      <c r="R390" s="93">
        <v>144.79</v>
      </c>
      <c r="S390" s="93">
        <v>0</v>
      </c>
      <c r="T390" s="94">
        <v>0.39</v>
      </c>
      <c r="U390" s="94">
        <v>0</v>
      </c>
      <c r="V390" s="94">
        <v>0</v>
      </c>
      <c r="W390" s="94">
        <v>0</v>
      </c>
      <c r="X390" s="94">
        <v>0</v>
      </c>
      <c r="Y390" s="93">
        <v>0</v>
      </c>
      <c r="Z390" s="94">
        <v>0</v>
      </c>
    </row>
    <row r="391" spans="1:26" s="226" customFormat="1" ht="12.75" customHeight="1" x14ac:dyDescent="0.25">
      <c r="B391" s="98" t="s">
        <v>112</v>
      </c>
      <c r="C391" s="98" t="s">
        <v>70</v>
      </c>
      <c r="F391" s="100">
        <v>11149869380.280001</v>
      </c>
      <c r="G391" s="100">
        <v>641671876.45000005</v>
      </c>
      <c r="H391" s="100">
        <v>359190595.10000002</v>
      </c>
      <c r="I391" s="100">
        <v>188468034.91</v>
      </c>
      <c r="J391" s="100">
        <v>2357312324.48</v>
      </c>
      <c r="K391" s="100">
        <v>90996073.730000004</v>
      </c>
      <c r="L391" s="100">
        <v>22968513.57</v>
      </c>
      <c r="M391" s="100">
        <v>797565781.83000004</v>
      </c>
      <c r="N391" s="100">
        <v>788594087.96000004</v>
      </c>
      <c r="O391" s="100">
        <v>4057136386.54</v>
      </c>
      <c r="P391" s="100">
        <v>1697155192.77</v>
      </c>
      <c r="Q391" s="100">
        <v>148971241.71000001</v>
      </c>
      <c r="R391" s="100">
        <v>-160678.67000000001</v>
      </c>
      <c r="S391" s="100">
        <v>0</v>
      </c>
      <c r="T391" s="226">
        <v>36.049999999999997</v>
      </c>
      <c r="U391" s="226">
        <v>0</v>
      </c>
      <c r="V391" s="226">
        <v>0</v>
      </c>
      <c r="W391" s="226">
        <v>0</v>
      </c>
      <c r="X391" s="226">
        <v>0</v>
      </c>
      <c r="Y391" s="100">
        <v>0</v>
      </c>
      <c r="Z391" s="226">
        <v>-86.15</v>
      </c>
    </row>
    <row r="392" spans="1:26" ht="12" customHeight="1" x14ac:dyDescent="0.25">
      <c r="A392" s="89" t="s">
        <v>78</v>
      </c>
      <c r="B392" s="89" t="s">
        <v>70</v>
      </c>
      <c r="F392" s="374">
        <v>11155159078.15</v>
      </c>
      <c r="G392" s="90">
        <v>641937574.65999997</v>
      </c>
      <c r="H392" s="90">
        <v>359336868.94</v>
      </c>
      <c r="I392" s="90">
        <v>188546150.84999999</v>
      </c>
      <c r="J392" s="90">
        <v>2358310923.9000001</v>
      </c>
      <c r="K392" s="90">
        <v>91032026.790000007</v>
      </c>
      <c r="L392" s="90">
        <v>22968513.57</v>
      </c>
      <c r="M392" s="90">
        <v>797864534.39999998</v>
      </c>
      <c r="N392" s="90">
        <v>788901749.91999996</v>
      </c>
      <c r="O392" s="90">
        <v>4059522534.7199998</v>
      </c>
      <c r="P392" s="90">
        <v>1697868129.1300001</v>
      </c>
      <c r="Q392" s="90">
        <v>149030791.22999999</v>
      </c>
      <c r="R392" s="90">
        <v>-160669.85999999999</v>
      </c>
      <c r="S392" s="90">
        <v>0</v>
      </c>
      <c r="T392">
        <v>36.049999999999997</v>
      </c>
      <c r="U392">
        <v>0</v>
      </c>
      <c r="V392">
        <v>0</v>
      </c>
      <c r="W392">
        <v>0</v>
      </c>
      <c r="X392">
        <v>0</v>
      </c>
      <c r="Y392" s="90">
        <v>0</v>
      </c>
      <c r="Z392">
        <v>-86.15</v>
      </c>
    </row>
    <row r="393" spans="1:26" ht="12.75" customHeight="1" x14ac:dyDescent="0.25">
      <c r="E393" s="89" t="s">
        <v>73</v>
      </c>
      <c r="F393" s="90">
        <v>-12248.94</v>
      </c>
      <c r="G393" s="90">
        <v>27842.47</v>
      </c>
      <c r="H393" s="90">
        <v>15793.78</v>
      </c>
      <c r="I393" s="90">
        <v>8290.02</v>
      </c>
      <c r="J393" s="90">
        <v>-39389.730000000003</v>
      </c>
      <c r="K393" s="90">
        <v>-1629.8</v>
      </c>
      <c r="L393" s="90">
        <v>0</v>
      </c>
      <c r="M393" s="90">
        <v>-14296.29</v>
      </c>
      <c r="N393" s="90">
        <v>-13251.55</v>
      </c>
      <c r="O393" s="90">
        <v>-67094.05</v>
      </c>
      <c r="P393" s="90">
        <v>74145.33</v>
      </c>
      <c r="Q393" s="90">
        <v>-2659.12</v>
      </c>
      <c r="R393" s="90">
        <v>0</v>
      </c>
      <c r="S393" s="90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 s="90">
        <v>0</v>
      </c>
      <c r="Z393">
        <v>0</v>
      </c>
    </row>
    <row r="394" spans="1:26" ht="12.75" customHeight="1" x14ac:dyDescent="0.25">
      <c r="D394" t="s">
        <v>156</v>
      </c>
      <c r="E394" s="89" t="s">
        <v>70</v>
      </c>
      <c r="F394" s="90">
        <v>-12248.94</v>
      </c>
      <c r="G394" s="90">
        <v>27842.47</v>
      </c>
      <c r="H394" s="90">
        <v>15793.78</v>
      </c>
      <c r="I394" s="90">
        <v>8290.02</v>
      </c>
      <c r="J394" s="90">
        <v>-39389.730000000003</v>
      </c>
      <c r="K394" s="90">
        <v>-1629.8</v>
      </c>
      <c r="L394" s="90">
        <v>0</v>
      </c>
      <c r="M394" s="90">
        <v>-14296.29</v>
      </c>
      <c r="N394" s="90">
        <v>-13251.55</v>
      </c>
      <c r="O394" s="90">
        <v>-67094.05</v>
      </c>
      <c r="P394" s="90">
        <v>74145.33</v>
      </c>
      <c r="Q394" s="90">
        <v>-2659.12</v>
      </c>
      <c r="R394" s="90">
        <v>0</v>
      </c>
      <c r="S394" s="90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 s="90">
        <v>0</v>
      </c>
      <c r="Z394">
        <v>0</v>
      </c>
    </row>
    <row r="395" spans="1:26" s="649" customFormat="1" ht="12.75" customHeight="1" x14ac:dyDescent="0.25">
      <c r="C395" s="649" t="s">
        <v>155</v>
      </c>
      <c r="D395" s="649" t="s">
        <v>70</v>
      </c>
      <c r="E395" s="650"/>
      <c r="F395" s="738">
        <v>-12248.94</v>
      </c>
      <c r="G395" s="651">
        <v>27842.47</v>
      </c>
      <c r="H395" s="651">
        <v>15793.78</v>
      </c>
      <c r="I395" s="651">
        <v>8290.02</v>
      </c>
      <c r="J395" s="651">
        <v>-39389.730000000003</v>
      </c>
      <c r="K395" s="651">
        <v>-1629.8</v>
      </c>
      <c r="L395" s="651">
        <v>0</v>
      </c>
      <c r="M395" s="651">
        <v>-14296.29</v>
      </c>
      <c r="N395" s="651">
        <v>-13251.55</v>
      </c>
      <c r="O395" s="651">
        <v>-67094.05</v>
      </c>
      <c r="P395" s="651">
        <v>74145.33</v>
      </c>
      <c r="Q395" s="651">
        <v>-2659.12</v>
      </c>
      <c r="R395" s="651">
        <v>0</v>
      </c>
      <c r="S395" s="651">
        <v>0</v>
      </c>
      <c r="T395" s="649">
        <v>0</v>
      </c>
      <c r="U395" s="649">
        <v>0</v>
      </c>
      <c r="V395" s="649">
        <v>0</v>
      </c>
      <c r="W395" s="649">
        <v>0</v>
      </c>
      <c r="X395" s="649">
        <v>0</v>
      </c>
      <c r="Y395" s="651">
        <v>0</v>
      </c>
      <c r="Z395" s="649">
        <v>0</v>
      </c>
    </row>
    <row r="396" spans="1:26" ht="12.75" customHeight="1" x14ac:dyDescent="0.25">
      <c r="E396" s="89" t="s">
        <v>73</v>
      </c>
      <c r="F396" s="90">
        <v>28290.35</v>
      </c>
      <c r="G396" s="90">
        <v>5543.39</v>
      </c>
      <c r="H396" s="90">
        <v>3136.31</v>
      </c>
      <c r="I396" s="90">
        <v>1671.99</v>
      </c>
      <c r="J396" s="90">
        <v>909.12</v>
      </c>
      <c r="K396" s="90">
        <v>27.58</v>
      </c>
      <c r="L396" s="90">
        <v>0</v>
      </c>
      <c r="M396" s="90">
        <v>242.09</v>
      </c>
      <c r="N396" s="90">
        <v>247.16</v>
      </c>
      <c r="O396" s="90">
        <v>1770.36</v>
      </c>
      <c r="P396" s="90">
        <v>14697.32</v>
      </c>
      <c r="Q396" s="90">
        <v>45.03</v>
      </c>
      <c r="R396" s="90">
        <v>0</v>
      </c>
      <c r="S396" s="90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 s="90">
        <v>0</v>
      </c>
      <c r="Z396">
        <v>0</v>
      </c>
    </row>
    <row r="397" spans="1:26" ht="12.75" customHeight="1" x14ac:dyDescent="0.25">
      <c r="D397" t="s">
        <v>86</v>
      </c>
      <c r="E397" s="89" t="s">
        <v>70</v>
      </c>
      <c r="F397" s="374">
        <v>28290.35</v>
      </c>
      <c r="G397" s="90">
        <v>5543.39</v>
      </c>
      <c r="H397" s="90">
        <v>3136.31</v>
      </c>
      <c r="I397" s="90">
        <v>1671.99</v>
      </c>
      <c r="J397" s="90">
        <v>909.12</v>
      </c>
      <c r="K397" s="90">
        <v>27.58</v>
      </c>
      <c r="L397" s="90">
        <v>0</v>
      </c>
      <c r="M397" s="90">
        <v>242.09</v>
      </c>
      <c r="N397" s="90">
        <v>247.16</v>
      </c>
      <c r="O397" s="90">
        <v>1770.36</v>
      </c>
      <c r="P397" s="90">
        <v>14697.32</v>
      </c>
      <c r="Q397" s="90">
        <v>45.03</v>
      </c>
      <c r="R397" s="90">
        <v>0</v>
      </c>
      <c r="S397" s="90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 s="90">
        <v>0</v>
      </c>
      <c r="Z397">
        <v>0</v>
      </c>
    </row>
    <row r="398" spans="1:26" ht="12.75" customHeight="1" x14ac:dyDescent="0.25">
      <c r="E398" s="89" t="s">
        <v>73</v>
      </c>
      <c r="F398" s="374">
        <v>114040.72</v>
      </c>
      <c r="G398" s="90">
        <v>10859.84</v>
      </c>
      <c r="H398" s="90">
        <v>6134.06</v>
      </c>
      <c r="I398" s="90">
        <v>3229.64</v>
      </c>
      <c r="J398" s="90">
        <v>20785.52</v>
      </c>
      <c r="K398" s="90">
        <v>496.96</v>
      </c>
      <c r="L398" s="90">
        <v>0</v>
      </c>
      <c r="M398" s="90">
        <v>4359.32</v>
      </c>
      <c r="N398" s="90">
        <v>6380.48</v>
      </c>
      <c r="O398" s="90">
        <v>32136.48</v>
      </c>
      <c r="P398" s="90">
        <v>28847.56</v>
      </c>
      <c r="Q398" s="90">
        <v>810.86</v>
      </c>
      <c r="R398" s="90">
        <v>0</v>
      </c>
      <c r="S398" s="90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 s="90">
        <v>0</v>
      </c>
      <c r="Z398">
        <v>0</v>
      </c>
    </row>
    <row r="399" spans="1:26" ht="12.75" customHeight="1" x14ac:dyDescent="0.25">
      <c r="D399" s="89" t="s">
        <v>87</v>
      </c>
      <c r="E399" s="89" t="s">
        <v>70</v>
      </c>
      <c r="F399" s="90">
        <v>114040.72</v>
      </c>
      <c r="G399" s="90">
        <v>10859.84</v>
      </c>
      <c r="H399" s="90">
        <v>6134.06</v>
      </c>
      <c r="I399" s="90">
        <v>3229.64</v>
      </c>
      <c r="J399" s="90">
        <v>20785.52</v>
      </c>
      <c r="K399" s="90">
        <v>496.96</v>
      </c>
      <c r="L399" s="90">
        <v>0</v>
      </c>
      <c r="M399" s="90">
        <v>4359.32</v>
      </c>
      <c r="N399" s="90">
        <v>6380.48</v>
      </c>
      <c r="O399" s="90">
        <v>32136.48</v>
      </c>
      <c r="P399" s="90">
        <v>28847.56</v>
      </c>
      <c r="Q399" s="90">
        <v>810.86</v>
      </c>
      <c r="R399" s="90">
        <v>0</v>
      </c>
      <c r="S399" s="90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 s="90">
        <v>0</v>
      </c>
      <c r="Z399">
        <v>0</v>
      </c>
    </row>
    <row r="400" spans="1:26" s="94" customFormat="1" ht="12.75" customHeight="1" x14ac:dyDescent="0.25">
      <c r="C400" s="94" t="s">
        <v>119</v>
      </c>
      <c r="D400" s="94" t="s">
        <v>70</v>
      </c>
      <c r="E400" s="101"/>
      <c r="F400" s="717">
        <v>142331.07</v>
      </c>
      <c r="G400" s="93">
        <v>16403.23</v>
      </c>
      <c r="H400" s="93">
        <v>9270.3700000000008</v>
      </c>
      <c r="I400" s="93">
        <v>4901.63</v>
      </c>
      <c r="J400" s="93">
        <v>21694.639999999999</v>
      </c>
      <c r="K400" s="93">
        <v>524.54</v>
      </c>
      <c r="L400" s="93">
        <v>0</v>
      </c>
      <c r="M400" s="93">
        <v>4601.41</v>
      </c>
      <c r="N400" s="93">
        <v>6627.64</v>
      </c>
      <c r="O400" s="93">
        <v>33906.839999999997</v>
      </c>
      <c r="P400" s="93">
        <v>43544.88</v>
      </c>
      <c r="Q400" s="93">
        <v>855.89</v>
      </c>
      <c r="R400" s="93">
        <v>0</v>
      </c>
      <c r="S400" s="93">
        <v>0</v>
      </c>
      <c r="T400" s="94">
        <v>0</v>
      </c>
      <c r="U400" s="94">
        <v>0</v>
      </c>
      <c r="V400" s="94">
        <v>0</v>
      </c>
      <c r="W400" s="94">
        <v>0</v>
      </c>
      <c r="X400" s="94">
        <v>0</v>
      </c>
      <c r="Y400" s="93">
        <v>0</v>
      </c>
      <c r="Z400" s="94">
        <v>0</v>
      </c>
    </row>
    <row r="401" spans="2:26" s="381" customFormat="1" ht="12.65" customHeight="1" x14ac:dyDescent="0.25">
      <c r="B401" s="381" t="s">
        <v>122</v>
      </c>
      <c r="C401" s="381" t="s">
        <v>70</v>
      </c>
      <c r="D401" s="379"/>
      <c r="E401" s="379"/>
      <c r="F401" s="707">
        <v>130082.13</v>
      </c>
      <c r="G401" s="380">
        <v>44245.7</v>
      </c>
      <c r="H401" s="380">
        <v>25064.15</v>
      </c>
      <c r="I401" s="380">
        <v>13191.65</v>
      </c>
      <c r="J401" s="380">
        <v>-17695.09</v>
      </c>
      <c r="K401" s="380">
        <v>-1105.26</v>
      </c>
      <c r="L401" s="380">
        <v>0</v>
      </c>
      <c r="M401" s="380">
        <v>-9694.8799999999992</v>
      </c>
      <c r="N401" s="380">
        <v>-6623.91</v>
      </c>
      <c r="O401" s="380">
        <v>-33187.21</v>
      </c>
      <c r="P401" s="380">
        <v>117690.21</v>
      </c>
      <c r="Q401" s="380">
        <v>-1803.23</v>
      </c>
      <c r="R401" s="380">
        <v>0</v>
      </c>
      <c r="S401" s="380">
        <v>0</v>
      </c>
      <c r="T401" s="381">
        <v>0</v>
      </c>
      <c r="U401" s="381">
        <v>0</v>
      </c>
      <c r="V401" s="381">
        <v>0</v>
      </c>
      <c r="W401" s="381">
        <v>0</v>
      </c>
      <c r="X401" s="381">
        <v>0</v>
      </c>
      <c r="Y401" s="380">
        <v>0</v>
      </c>
      <c r="Z401" s="381">
        <v>0</v>
      </c>
    </row>
    <row r="402" spans="2:26" ht="12.75" customHeight="1" x14ac:dyDescent="0.25">
      <c r="D402" s="89"/>
      <c r="E402" s="89" t="s">
        <v>73</v>
      </c>
      <c r="F402" s="374">
        <v>-588681732.09000003</v>
      </c>
      <c r="G402" s="90">
        <v>38852194.149999999</v>
      </c>
      <c r="H402" s="90">
        <v>21559872.870000001</v>
      </c>
      <c r="I402" s="90">
        <v>11294945.32</v>
      </c>
      <c r="J402" s="90">
        <v>-214645574.84999999</v>
      </c>
      <c r="K402" s="90">
        <v>-8503643.0199999996</v>
      </c>
      <c r="L402" s="90">
        <v>0</v>
      </c>
      <c r="M402" s="90">
        <v>-74680218.030000001</v>
      </c>
      <c r="N402" s="90">
        <v>-73122983.150000006</v>
      </c>
      <c r="O402" s="90">
        <v>-378007081.61000001</v>
      </c>
      <c r="P402" s="90">
        <v>102445142.43000001</v>
      </c>
      <c r="Q402" s="90">
        <v>-13874386.199999999</v>
      </c>
      <c r="R402" s="90">
        <v>0</v>
      </c>
      <c r="S402" s="90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 s="90">
        <v>0</v>
      </c>
      <c r="Z402">
        <v>0</v>
      </c>
    </row>
    <row r="403" spans="2:26" ht="12.75" customHeight="1" x14ac:dyDescent="0.25">
      <c r="D403" s="89" t="s">
        <v>156</v>
      </c>
      <c r="E403" s="89" t="s">
        <v>70</v>
      </c>
      <c r="F403" s="374">
        <v>-588681732.09000003</v>
      </c>
      <c r="G403" s="90">
        <v>38852194.149999999</v>
      </c>
      <c r="H403" s="90">
        <v>21559872.870000001</v>
      </c>
      <c r="I403" s="90">
        <v>11294945.32</v>
      </c>
      <c r="J403" s="90">
        <v>-214645574.84999999</v>
      </c>
      <c r="K403" s="90">
        <v>-8503643.0199999996</v>
      </c>
      <c r="L403" s="90">
        <v>0</v>
      </c>
      <c r="M403" s="90">
        <v>-74680218.030000001</v>
      </c>
      <c r="N403" s="90">
        <v>-73122983.150000006</v>
      </c>
      <c r="O403" s="90">
        <v>-378007081.61000001</v>
      </c>
      <c r="P403" s="90">
        <v>102445142.43000001</v>
      </c>
      <c r="Q403" s="90">
        <v>-13874386.199999999</v>
      </c>
      <c r="R403" s="90">
        <v>0</v>
      </c>
      <c r="S403" s="90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 s="90">
        <v>0</v>
      </c>
      <c r="Z403">
        <v>0</v>
      </c>
    </row>
    <row r="404" spans="2:26" s="649" customFormat="1" ht="12.75" customHeight="1" x14ac:dyDescent="0.25">
      <c r="C404" s="649" t="s">
        <v>155</v>
      </c>
      <c r="D404" s="650" t="s">
        <v>70</v>
      </c>
      <c r="E404" s="650"/>
      <c r="F404" s="738">
        <v>-588681732.09000003</v>
      </c>
      <c r="G404" s="651">
        <v>38852194.149999999</v>
      </c>
      <c r="H404" s="651">
        <v>21559872.870000001</v>
      </c>
      <c r="I404" s="651">
        <v>11294945.32</v>
      </c>
      <c r="J404" s="651">
        <v>-214645574.84999999</v>
      </c>
      <c r="K404" s="651">
        <v>-8503643.0199999996</v>
      </c>
      <c r="L404" s="651">
        <v>0</v>
      </c>
      <c r="M404" s="651">
        <v>-74680218.030000001</v>
      </c>
      <c r="N404" s="651">
        <v>-73122983.150000006</v>
      </c>
      <c r="O404" s="651">
        <v>-378007081.61000001</v>
      </c>
      <c r="P404" s="651">
        <v>102445142.43000001</v>
      </c>
      <c r="Q404" s="651">
        <v>-13874386.199999999</v>
      </c>
      <c r="R404" s="651">
        <v>0</v>
      </c>
      <c r="S404" s="651">
        <v>0</v>
      </c>
      <c r="T404" s="649">
        <v>0</v>
      </c>
      <c r="U404" s="649">
        <v>0</v>
      </c>
      <c r="V404" s="649">
        <v>0</v>
      </c>
      <c r="W404" s="649">
        <v>0</v>
      </c>
      <c r="X404" s="649">
        <v>0</v>
      </c>
      <c r="Y404" s="651">
        <v>0</v>
      </c>
      <c r="Z404" s="649">
        <v>0</v>
      </c>
    </row>
    <row r="405" spans="2:26" ht="12.75" customHeight="1" x14ac:dyDescent="0.25">
      <c r="D405" s="89"/>
      <c r="E405" s="89" t="s">
        <v>73</v>
      </c>
      <c r="F405" s="374">
        <v>1075825.1100000001</v>
      </c>
      <c r="G405" s="90">
        <v>118187.49</v>
      </c>
      <c r="H405" s="90">
        <v>54496.88</v>
      </c>
      <c r="I405" s="90">
        <v>27754.01</v>
      </c>
      <c r="J405" s="90">
        <v>181556.38</v>
      </c>
      <c r="K405" s="90">
        <v>5317.95</v>
      </c>
      <c r="L405" s="90">
        <v>0</v>
      </c>
      <c r="M405" s="90">
        <v>46672.9</v>
      </c>
      <c r="N405" s="90">
        <v>58457.99</v>
      </c>
      <c r="O405" s="90">
        <v>260211.69</v>
      </c>
      <c r="P405" s="90">
        <v>314485.53999999998</v>
      </c>
      <c r="Q405" s="90">
        <v>8684.2800000000007</v>
      </c>
      <c r="R405" s="90">
        <v>0</v>
      </c>
      <c r="S405" s="90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 s="90">
        <v>0</v>
      </c>
      <c r="Z405">
        <v>0</v>
      </c>
    </row>
    <row r="406" spans="2:26" ht="12.75" customHeight="1" x14ac:dyDescent="0.25">
      <c r="D406" s="89" t="s">
        <v>115</v>
      </c>
      <c r="E406" s="89" t="s">
        <v>70</v>
      </c>
      <c r="F406" s="374">
        <v>1075825.1100000001</v>
      </c>
      <c r="G406" s="90">
        <v>118187.49</v>
      </c>
      <c r="H406" s="90">
        <v>54496.88</v>
      </c>
      <c r="I406" s="90">
        <v>27754.01</v>
      </c>
      <c r="J406" s="90">
        <v>181556.38</v>
      </c>
      <c r="K406" s="90">
        <v>5317.95</v>
      </c>
      <c r="L406" s="90">
        <v>0</v>
      </c>
      <c r="M406" s="90">
        <v>46672.9</v>
      </c>
      <c r="N406" s="90">
        <v>58457.99</v>
      </c>
      <c r="O406" s="90">
        <v>260211.69</v>
      </c>
      <c r="P406" s="90">
        <v>314485.53999999998</v>
      </c>
      <c r="Q406" s="90">
        <v>8684.2800000000007</v>
      </c>
      <c r="R406" s="90">
        <v>0</v>
      </c>
      <c r="S406" s="90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 s="90">
        <v>0</v>
      </c>
      <c r="Z406">
        <v>0</v>
      </c>
    </row>
    <row r="407" spans="2:26" ht="12.75" customHeight="1" x14ac:dyDescent="0.25">
      <c r="D407" s="89"/>
      <c r="E407" s="89" t="s">
        <v>73</v>
      </c>
      <c r="F407" s="374">
        <v>-409758.02</v>
      </c>
      <c r="G407" s="90">
        <v>-5426.25</v>
      </c>
      <c r="H407" s="90">
        <v>-2184.66</v>
      </c>
      <c r="I407" s="90">
        <v>-551.63</v>
      </c>
      <c r="J407" s="90">
        <v>-117669.83</v>
      </c>
      <c r="K407" s="90">
        <v>-4125.62</v>
      </c>
      <c r="L407" s="90">
        <v>0</v>
      </c>
      <c r="M407" s="90">
        <v>-36190.06</v>
      </c>
      <c r="N407" s="90">
        <v>-40286.11</v>
      </c>
      <c r="O407" s="90">
        <v>-183159.86</v>
      </c>
      <c r="P407" s="90">
        <v>-13432.66</v>
      </c>
      <c r="Q407" s="90">
        <v>-6731.34</v>
      </c>
      <c r="R407" s="90">
        <v>0</v>
      </c>
      <c r="S407" s="90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 s="90">
        <v>0</v>
      </c>
      <c r="Z407">
        <v>0</v>
      </c>
    </row>
    <row r="408" spans="2:26" ht="12.75" customHeight="1" x14ac:dyDescent="0.25">
      <c r="D408" s="89" t="s">
        <v>118</v>
      </c>
      <c r="E408" s="89" t="s">
        <v>70</v>
      </c>
      <c r="F408" s="90">
        <v>-409758.02</v>
      </c>
      <c r="G408" s="90">
        <v>-5426.25</v>
      </c>
      <c r="H408" s="90">
        <v>-2184.66</v>
      </c>
      <c r="I408" s="90">
        <v>-551.63</v>
      </c>
      <c r="J408" s="90">
        <v>-117669.83</v>
      </c>
      <c r="K408" s="90">
        <v>-4125.62</v>
      </c>
      <c r="L408" s="90">
        <v>0</v>
      </c>
      <c r="M408" s="90">
        <v>-36190.06</v>
      </c>
      <c r="N408" s="90">
        <v>-40286.11</v>
      </c>
      <c r="O408" s="90">
        <v>-183159.86</v>
      </c>
      <c r="P408" s="90">
        <v>-13432.66</v>
      </c>
      <c r="Q408" s="90">
        <v>-6731.34</v>
      </c>
      <c r="R408" s="90">
        <v>0</v>
      </c>
      <c r="S408" s="90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 s="90">
        <v>0</v>
      </c>
      <c r="Z408">
        <v>0</v>
      </c>
    </row>
    <row r="409" spans="2:26" s="224" customFormat="1" ht="12.75" customHeight="1" x14ac:dyDescent="0.25">
      <c r="C409" s="223" t="s">
        <v>120</v>
      </c>
      <c r="D409" s="223" t="s">
        <v>70</v>
      </c>
      <c r="F409" s="225">
        <v>666067.09</v>
      </c>
      <c r="G409" s="225">
        <v>112761.24</v>
      </c>
      <c r="H409" s="225">
        <v>52312.22</v>
      </c>
      <c r="I409" s="225">
        <v>27202.38</v>
      </c>
      <c r="J409" s="225">
        <v>63886.55</v>
      </c>
      <c r="K409" s="225">
        <v>1192.33</v>
      </c>
      <c r="L409" s="225">
        <v>0</v>
      </c>
      <c r="M409" s="225">
        <v>10482.84</v>
      </c>
      <c r="N409" s="225">
        <v>18171.88</v>
      </c>
      <c r="O409" s="225">
        <v>77051.83</v>
      </c>
      <c r="P409" s="225">
        <v>301052.88</v>
      </c>
      <c r="Q409" s="225">
        <v>1952.94</v>
      </c>
      <c r="R409" s="225">
        <v>0</v>
      </c>
      <c r="S409" s="225">
        <v>0</v>
      </c>
      <c r="T409" s="224">
        <v>0</v>
      </c>
      <c r="U409" s="224">
        <v>0</v>
      </c>
      <c r="V409" s="224">
        <v>0</v>
      </c>
      <c r="W409" s="224">
        <v>0</v>
      </c>
      <c r="X409" s="224">
        <v>0</v>
      </c>
      <c r="Y409" s="225">
        <v>0</v>
      </c>
      <c r="Z409" s="224">
        <v>0</v>
      </c>
    </row>
    <row r="410" spans="2:26" ht="12.75" customHeight="1" x14ac:dyDescent="0.25">
      <c r="E410" s="89" t="s">
        <v>73</v>
      </c>
      <c r="F410" s="90">
        <v>3622990.3</v>
      </c>
      <c r="G410" s="90">
        <v>590222.14</v>
      </c>
      <c r="H410" s="90">
        <v>336206.92</v>
      </c>
      <c r="I410" s="90">
        <v>174817.86</v>
      </c>
      <c r="J410" s="90">
        <v>324755.09999999998</v>
      </c>
      <c r="K410" s="90">
        <v>8191.39</v>
      </c>
      <c r="L410" s="90">
        <v>0</v>
      </c>
      <c r="M410" s="90">
        <v>70922.240000000005</v>
      </c>
      <c r="N410" s="90">
        <v>89381.22</v>
      </c>
      <c r="O410" s="90">
        <v>445745.85</v>
      </c>
      <c r="P410" s="90">
        <v>1569553.68</v>
      </c>
      <c r="Q410" s="90">
        <v>13193.9</v>
      </c>
      <c r="R410" s="90">
        <v>0</v>
      </c>
      <c r="S410" s="9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 s="90">
        <v>0</v>
      </c>
      <c r="Z410">
        <v>0</v>
      </c>
    </row>
    <row r="411" spans="2:26" ht="12.75" customHeight="1" x14ac:dyDescent="0.25">
      <c r="D411" s="89" t="s">
        <v>82</v>
      </c>
      <c r="E411" s="89" t="s">
        <v>70</v>
      </c>
      <c r="F411" s="90">
        <v>3622990.3</v>
      </c>
      <c r="G411" s="90">
        <v>590222.14</v>
      </c>
      <c r="H411" s="90">
        <v>336206.92</v>
      </c>
      <c r="I411" s="90">
        <v>174817.86</v>
      </c>
      <c r="J411" s="90">
        <v>324755.09999999998</v>
      </c>
      <c r="K411" s="90">
        <v>8191.39</v>
      </c>
      <c r="L411" s="90">
        <v>0</v>
      </c>
      <c r="M411" s="90">
        <v>70922.240000000005</v>
      </c>
      <c r="N411" s="90">
        <v>89381.22</v>
      </c>
      <c r="O411" s="90">
        <v>445745.85</v>
      </c>
      <c r="P411" s="90">
        <v>1569553.68</v>
      </c>
      <c r="Q411" s="90">
        <v>13193.9</v>
      </c>
      <c r="R411" s="90">
        <v>0</v>
      </c>
      <c r="S411" s="90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 s="90">
        <v>0</v>
      </c>
      <c r="Z411">
        <v>0</v>
      </c>
    </row>
    <row r="412" spans="2:26" ht="12.75" customHeight="1" x14ac:dyDescent="0.25">
      <c r="E412" s="89" t="s">
        <v>73</v>
      </c>
      <c r="F412" s="90">
        <v>5662210.1600000001</v>
      </c>
      <c r="G412" s="90">
        <v>3127334.66</v>
      </c>
      <c r="H412" s="90">
        <v>1832930.21</v>
      </c>
      <c r="I412" s="90">
        <v>982982.55</v>
      </c>
      <c r="J412" s="90">
        <v>-2926361.39</v>
      </c>
      <c r="K412" s="90">
        <v>-82726.429999999993</v>
      </c>
      <c r="L412" s="90">
        <v>0</v>
      </c>
      <c r="M412" s="90">
        <v>-726530.48</v>
      </c>
      <c r="N412" s="90">
        <v>-893736.62</v>
      </c>
      <c r="O412" s="90">
        <v>-3791233.16</v>
      </c>
      <c r="P412" s="90">
        <v>8274314.9800000004</v>
      </c>
      <c r="Q412" s="90">
        <v>-134764.16</v>
      </c>
      <c r="R412" s="90">
        <v>0</v>
      </c>
      <c r="S412" s="90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 s="90">
        <v>0</v>
      </c>
      <c r="Z412">
        <v>0</v>
      </c>
    </row>
    <row r="413" spans="2:26" ht="12.75" customHeight="1" x14ac:dyDescent="0.25">
      <c r="D413" s="89" t="s">
        <v>86</v>
      </c>
      <c r="E413" s="89" t="s">
        <v>70</v>
      </c>
      <c r="F413" s="90">
        <v>5662210.1600000001</v>
      </c>
      <c r="G413" s="90">
        <v>3127334.66</v>
      </c>
      <c r="H413" s="90">
        <v>1832930.21</v>
      </c>
      <c r="I413" s="90">
        <v>982982.55</v>
      </c>
      <c r="J413" s="90">
        <v>-2926361.39</v>
      </c>
      <c r="K413" s="90">
        <v>-82726.429999999993</v>
      </c>
      <c r="L413" s="90">
        <v>0</v>
      </c>
      <c r="M413" s="90">
        <v>-726530.48</v>
      </c>
      <c r="N413" s="90">
        <v>-893736.62</v>
      </c>
      <c r="O413" s="90">
        <v>-3791233.16</v>
      </c>
      <c r="P413" s="90">
        <v>8274314.9800000004</v>
      </c>
      <c r="Q413" s="90">
        <v>-134764.16</v>
      </c>
      <c r="R413" s="90">
        <v>0</v>
      </c>
      <c r="S413" s="90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 s="90">
        <v>0</v>
      </c>
      <c r="Z413">
        <v>0</v>
      </c>
    </row>
    <row r="414" spans="2:26" ht="12.75" customHeight="1" x14ac:dyDescent="0.25">
      <c r="E414" s="89" t="s">
        <v>73</v>
      </c>
      <c r="F414" s="90">
        <v>4433691.5</v>
      </c>
      <c r="G414" s="90">
        <v>559733.61</v>
      </c>
      <c r="H414" s="90">
        <v>309610.7</v>
      </c>
      <c r="I414" s="90">
        <v>162521.60000000001</v>
      </c>
      <c r="J414" s="90">
        <v>580911.03</v>
      </c>
      <c r="K414" s="90">
        <v>17897.18</v>
      </c>
      <c r="L414" s="90">
        <v>0</v>
      </c>
      <c r="M414" s="90">
        <v>157015.51</v>
      </c>
      <c r="N414" s="90">
        <v>195990.45</v>
      </c>
      <c r="O414" s="90">
        <v>927536.58</v>
      </c>
      <c r="P414" s="90">
        <v>1493266.41</v>
      </c>
      <c r="Q414" s="90">
        <v>29208.43</v>
      </c>
      <c r="R414" s="90">
        <v>0</v>
      </c>
      <c r="S414" s="90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 s="90">
        <v>0</v>
      </c>
      <c r="Z414">
        <v>0</v>
      </c>
    </row>
    <row r="415" spans="2:26" ht="12.75" customHeight="1" x14ac:dyDescent="0.25">
      <c r="D415" s="89" t="s">
        <v>87</v>
      </c>
      <c r="E415" s="89" t="s">
        <v>70</v>
      </c>
      <c r="F415" s="90">
        <v>4433691.5</v>
      </c>
      <c r="G415" s="90">
        <v>559733.61</v>
      </c>
      <c r="H415" s="90">
        <v>309610.7</v>
      </c>
      <c r="I415" s="90">
        <v>162521.60000000001</v>
      </c>
      <c r="J415" s="90">
        <v>580911.03</v>
      </c>
      <c r="K415" s="90">
        <v>17897.18</v>
      </c>
      <c r="L415" s="90">
        <v>0</v>
      </c>
      <c r="M415" s="90">
        <v>157015.51</v>
      </c>
      <c r="N415" s="90">
        <v>195990.45</v>
      </c>
      <c r="O415" s="90">
        <v>927536.58</v>
      </c>
      <c r="P415" s="90">
        <v>1493266.41</v>
      </c>
      <c r="Q415" s="90">
        <v>29208.43</v>
      </c>
      <c r="R415" s="90">
        <v>0</v>
      </c>
      <c r="S415" s="90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 s="90">
        <v>0</v>
      </c>
      <c r="Z415">
        <v>0</v>
      </c>
    </row>
    <row r="416" spans="2:26" s="94" customFormat="1" ht="12.75" customHeight="1" x14ac:dyDescent="0.25">
      <c r="C416" s="101" t="s">
        <v>119</v>
      </c>
      <c r="D416" s="101" t="s">
        <v>70</v>
      </c>
      <c r="F416" s="93">
        <v>13718891.960000001</v>
      </c>
      <c r="G416" s="93">
        <v>4277290.41</v>
      </c>
      <c r="H416" s="93">
        <v>2478747.83</v>
      </c>
      <c r="I416" s="93">
        <v>1320322.01</v>
      </c>
      <c r="J416" s="93">
        <v>-2020695.26</v>
      </c>
      <c r="K416" s="93">
        <v>-56637.86</v>
      </c>
      <c r="L416" s="93">
        <v>0</v>
      </c>
      <c r="M416" s="93">
        <v>-498592.73</v>
      </c>
      <c r="N416" s="93">
        <v>-608364.94999999995</v>
      </c>
      <c r="O416" s="93">
        <v>-2417950.73</v>
      </c>
      <c r="P416" s="93">
        <v>11337135.07</v>
      </c>
      <c r="Q416" s="93">
        <v>-92361.83</v>
      </c>
      <c r="R416" s="93">
        <v>0</v>
      </c>
      <c r="S416" s="93">
        <v>0</v>
      </c>
      <c r="T416" s="94">
        <v>0</v>
      </c>
      <c r="U416" s="94">
        <v>0</v>
      </c>
      <c r="V416" s="94">
        <v>0</v>
      </c>
      <c r="W416" s="94">
        <v>0</v>
      </c>
      <c r="X416" s="94">
        <v>0</v>
      </c>
      <c r="Y416" s="93">
        <v>0</v>
      </c>
      <c r="Z416" s="94">
        <v>0</v>
      </c>
    </row>
    <row r="417" spans="1:26" s="226" customFormat="1" ht="12.75" customHeight="1" x14ac:dyDescent="0.25">
      <c r="B417" s="98" t="s">
        <v>112</v>
      </c>
      <c r="C417" s="98" t="s">
        <v>70</v>
      </c>
      <c r="F417" s="100">
        <v>-574296773.03999996</v>
      </c>
      <c r="G417" s="100">
        <v>43242245.799999997</v>
      </c>
      <c r="H417" s="100">
        <v>24090932.920000002</v>
      </c>
      <c r="I417" s="100">
        <v>12642469.710000001</v>
      </c>
      <c r="J417" s="100">
        <v>-216602383.56</v>
      </c>
      <c r="K417" s="100">
        <v>-8559088.5500000007</v>
      </c>
      <c r="L417" s="100">
        <v>0</v>
      </c>
      <c r="M417" s="100">
        <v>-75168327.920000002</v>
      </c>
      <c r="N417" s="100">
        <v>-73713176.219999999</v>
      </c>
      <c r="O417" s="100">
        <v>-380347980.50999999</v>
      </c>
      <c r="P417" s="100">
        <v>114083330.38</v>
      </c>
      <c r="Q417" s="100">
        <v>-13964795.09</v>
      </c>
      <c r="R417" s="100">
        <v>0</v>
      </c>
      <c r="S417" s="100">
        <v>0</v>
      </c>
      <c r="T417" s="226">
        <v>0</v>
      </c>
      <c r="U417" s="226">
        <v>0</v>
      </c>
      <c r="V417" s="226">
        <v>0</v>
      </c>
      <c r="W417" s="226">
        <v>0</v>
      </c>
      <c r="X417" s="226">
        <v>0</v>
      </c>
      <c r="Y417" s="100">
        <v>0</v>
      </c>
      <c r="Z417" s="226">
        <v>0</v>
      </c>
    </row>
    <row r="418" spans="1:26" ht="12.75" customHeight="1" x14ac:dyDescent="0.25">
      <c r="A418" s="89" t="s">
        <v>79</v>
      </c>
      <c r="B418" s="89" t="s">
        <v>70</v>
      </c>
      <c r="F418" s="90">
        <v>-574166690.90999997</v>
      </c>
      <c r="G418" s="90">
        <v>43286491.5</v>
      </c>
      <c r="H418" s="90">
        <v>24115997.07</v>
      </c>
      <c r="I418" s="90">
        <v>12655661.359999999</v>
      </c>
      <c r="J418" s="90">
        <v>-216620078.65000001</v>
      </c>
      <c r="K418" s="90">
        <v>-8560193.8100000005</v>
      </c>
      <c r="L418" s="90">
        <v>0</v>
      </c>
      <c r="M418" s="90">
        <v>-75178022.799999997</v>
      </c>
      <c r="N418" s="90">
        <v>-73719800.129999995</v>
      </c>
      <c r="O418" s="90">
        <v>-380381167.72000003</v>
      </c>
      <c r="P418" s="90">
        <v>114201020.59</v>
      </c>
      <c r="Q418" s="90">
        <v>-13966598.32</v>
      </c>
      <c r="R418" s="90">
        <v>0</v>
      </c>
      <c r="S418" s="90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 s="90">
        <v>0</v>
      </c>
      <c r="Z418">
        <v>0</v>
      </c>
    </row>
    <row r="419" spans="1:26" ht="12.75" customHeight="1" x14ac:dyDescent="0.25">
      <c r="A419" s="89" t="s">
        <v>70</v>
      </c>
      <c r="F419" s="90">
        <v>10580797797.4</v>
      </c>
      <c r="G419" s="90">
        <v>685208303.23000002</v>
      </c>
      <c r="H419" s="90">
        <v>383446169.41000003</v>
      </c>
      <c r="I419" s="90">
        <v>201198887.81999999</v>
      </c>
      <c r="J419" s="90">
        <v>2141654866.21</v>
      </c>
      <c r="K419" s="90">
        <v>82470367.810000002</v>
      </c>
      <c r="L419" s="90">
        <v>22968513.57</v>
      </c>
      <c r="M419" s="90">
        <v>722673659.15999997</v>
      </c>
      <c r="N419" s="90">
        <v>715165606.59000003</v>
      </c>
      <c r="O419" s="90">
        <v>3679081357.4000001</v>
      </c>
      <c r="P419" s="90">
        <v>1812028983.8900001</v>
      </c>
      <c r="Q419" s="90">
        <v>135061802.27000001</v>
      </c>
      <c r="R419" s="90">
        <v>-160669.85999999999</v>
      </c>
      <c r="S419" s="90">
        <v>0</v>
      </c>
      <c r="T419">
        <v>36.049999999999997</v>
      </c>
      <c r="U419">
        <v>0</v>
      </c>
      <c r="V419">
        <v>0</v>
      </c>
      <c r="W419">
        <v>0</v>
      </c>
      <c r="X419">
        <v>0</v>
      </c>
      <c r="Y419" s="90">
        <v>0</v>
      </c>
      <c r="Z419">
        <v>-86.15</v>
      </c>
    </row>
    <row r="420" spans="1:26" ht="12.75" customHeight="1" x14ac:dyDescent="0.25">
      <c r="A420" s="89"/>
      <c r="F420" s="90"/>
      <c r="G420" s="90"/>
      <c r="H420" s="90"/>
      <c r="I420" s="90"/>
      <c r="J420" s="90"/>
      <c r="K420" s="90"/>
      <c r="L420" s="90"/>
      <c r="M420" s="90"/>
      <c r="N420" s="90"/>
      <c r="O420" s="90"/>
      <c r="P420" s="90"/>
      <c r="Q420" s="90"/>
      <c r="R420" s="90"/>
      <c r="S420" s="90"/>
      <c r="T420" s="90"/>
      <c r="U420" s="90"/>
      <c r="V420" s="90"/>
      <c r="W420" s="90"/>
    </row>
    <row r="421" spans="1:26" ht="12.75" hidden="1" customHeight="1" x14ac:dyDescent="0.25">
      <c r="A421" s="89"/>
      <c r="F421" s="90"/>
      <c r="G421" s="90"/>
      <c r="H421" s="90"/>
      <c r="I421" s="90"/>
      <c r="J421" s="90"/>
      <c r="K421" s="90"/>
      <c r="L421" s="90"/>
      <c r="M421" s="90"/>
      <c r="N421" s="90"/>
      <c r="O421" s="90"/>
      <c r="P421" s="90"/>
      <c r="Q421" s="90"/>
      <c r="R421" s="90"/>
      <c r="S421" s="90"/>
    </row>
    <row r="422" spans="1:26" ht="12.75" hidden="1" customHeight="1" x14ac:dyDescent="0.25">
      <c r="A422" s="89"/>
      <c r="F422" s="90"/>
      <c r="G422" s="90"/>
      <c r="H422" s="90"/>
      <c r="I422" s="90"/>
      <c r="J422" s="90"/>
      <c r="K422" s="90"/>
      <c r="L422" s="90"/>
      <c r="M422" s="90"/>
      <c r="N422" s="90"/>
      <c r="O422" s="90"/>
      <c r="P422" s="90"/>
      <c r="Q422" s="90"/>
      <c r="R422" s="90"/>
      <c r="S422" s="90"/>
    </row>
    <row r="423" spans="1:26" ht="12.75" hidden="1" customHeight="1" x14ac:dyDescent="0.25">
      <c r="A423" s="89"/>
      <c r="F423" s="90"/>
      <c r="G423" s="90"/>
      <c r="H423" s="90"/>
      <c r="I423" s="90"/>
      <c r="J423" s="90"/>
      <c r="K423" s="90"/>
      <c r="L423" s="90"/>
      <c r="M423" s="90"/>
      <c r="N423" s="90"/>
      <c r="O423" s="90"/>
      <c r="P423" s="90"/>
      <c r="Q423" s="90"/>
      <c r="R423" s="90"/>
      <c r="S423" s="90"/>
    </row>
    <row r="424" spans="1:26" ht="12.75" hidden="1" customHeight="1" x14ac:dyDescent="0.25">
      <c r="A424" s="89"/>
      <c r="F424" s="90"/>
      <c r="G424" s="90"/>
      <c r="H424" s="90"/>
      <c r="I424" s="90"/>
      <c r="J424" s="90"/>
      <c r="K424" s="90"/>
      <c r="L424" s="90"/>
      <c r="M424" s="90"/>
      <c r="N424" s="90"/>
      <c r="O424" s="90"/>
      <c r="P424" s="90"/>
      <c r="Q424" s="90"/>
      <c r="R424" s="90"/>
      <c r="S424" s="90"/>
    </row>
    <row r="425" spans="1:26" ht="12.75" hidden="1" customHeight="1" x14ac:dyDescent="0.25">
      <c r="A425" s="89"/>
      <c r="F425" s="90"/>
      <c r="G425" s="90"/>
      <c r="H425" s="90"/>
      <c r="I425" s="90"/>
      <c r="J425" s="90"/>
      <c r="K425" s="90"/>
      <c r="L425" s="90"/>
      <c r="M425" s="90"/>
      <c r="N425" s="90"/>
      <c r="O425" s="90"/>
      <c r="P425" s="90"/>
      <c r="Q425" s="90"/>
      <c r="R425" s="90"/>
      <c r="S425" s="90"/>
    </row>
    <row r="426" spans="1:26" ht="12.75" hidden="1" customHeight="1" x14ac:dyDescent="0.25">
      <c r="A426" s="89"/>
      <c r="F426" s="90"/>
      <c r="G426" s="90"/>
      <c r="H426" s="90"/>
      <c r="I426" s="90"/>
      <c r="J426" s="90"/>
      <c r="K426" s="90"/>
      <c r="L426" s="90"/>
      <c r="M426" s="90"/>
      <c r="N426" s="90"/>
      <c r="O426" s="90"/>
      <c r="P426" s="90"/>
      <c r="Q426" s="90"/>
      <c r="R426" s="90"/>
      <c r="S426" s="90"/>
    </row>
    <row r="427" spans="1:26" ht="12.75" hidden="1" customHeight="1" x14ac:dyDescent="0.25">
      <c r="A427" s="89"/>
      <c r="F427" s="90"/>
      <c r="G427" s="90"/>
      <c r="H427" s="90"/>
      <c r="I427" s="90"/>
      <c r="J427" s="90"/>
      <c r="K427" s="90"/>
      <c r="L427" s="90"/>
      <c r="M427" s="90"/>
      <c r="N427" s="90"/>
      <c r="O427" s="90"/>
      <c r="P427" s="90"/>
      <c r="Q427" s="90"/>
      <c r="R427" s="90"/>
      <c r="S427" s="90"/>
    </row>
    <row r="428" spans="1:26" ht="12.75" hidden="1" customHeight="1" x14ac:dyDescent="0.25">
      <c r="A428" s="89"/>
      <c r="F428" s="90"/>
      <c r="G428" s="90"/>
      <c r="H428" s="90"/>
      <c r="I428" s="90"/>
      <c r="J428" s="90"/>
      <c r="K428" s="90"/>
      <c r="L428" s="90"/>
      <c r="M428" s="90"/>
      <c r="N428" s="90"/>
      <c r="O428" s="90"/>
      <c r="P428" s="90"/>
      <c r="Q428" s="90"/>
      <c r="R428" s="90"/>
      <c r="S428" s="90"/>
    </row>
    <row r="429" spans="1:26" ht="12.75" hidden="1" customHeight="1" x14ac:dyDescent="0.25">
      <c r="A429" s="89"/>
      <c r="F429" s="90"/>
      <c r="G429" s="90"/>
      <c r="H429" s="90"/>
      <c r="I429" s="90"/>
      <c r="J429" s="90"/>
      <c r="K429" s="90"/>
      <c r="L429" s="90"/>
      <c r="M429" s="90"/>
      <c r="N429" s="90"/>
      <c r="O429" s="90"/>
      <c r="P429" s="90"/>
      <c r="Q429" s="90"/>
      <c r="R429" s="90"/>
      <c r="S429" s="90"/>
    </row>
    <row r="430" spans="1:26" ht="12.75" hidden="1" customHeight="1" x14ac:dyDescent="0.25">
      <c r="A430" s="89"/>
      <c r="F430" s="90"/>
      <c r="G430" s="90"/>
      <c r="H430" s="90"/>
      <c r="I430" s="90"/>
      <c r="J430" s="90"/>
      <c r="K430" s="90"/>
      <c r="L430" s="90"/>
      <c r="M430" s="90"/>
      <c r="N430" s="90"/>
      <c r="O430" s="90"/>
      <c r="P430" s="90"/>
      <c r="Q430" s="90"/>
      <c r="R430" s="90"/>
      <c r="S430" s="90"/>
    </row>
    <row r="431" spans="1:26" ht="12.75" hidden="1" customHeight="1" x14ac:dyDescent="0.25">
      <c r="A431" s="89"/>
      <c r="F431" s="90"/>
      <c r="G431" s="90"/>
      <c r="H431" s="90"/>
      <c r="I431" s="90"/>
      <c r="J431" s="90"/>
      <c r="K431" s="90"/>
      <c r="L431" s="90"/>
      <c r="M431" s="90"/>
      <c r="N431" s="90"/>
      <c r="O431" s="90"/>
      <c r="P431" s="90"/>
      <c r="Q431" s="90"/>
      <c r="R431" s="90"/>
      <c r="S431" s="90"/>
    </row>
    <row r="432" spans="1:26" ht="12.75" hidden="1" customHeight="1" x14ac:dyDescent="0.25">
      <c r="A432" s="89"/>
      <c r="F432" s="90"/>
      <c r="G432" s="90"/>
      <c r="H432" s="90"/>
      <c r="I432" s="90"/>
      <c r="J432" s="90"/>
      <c r="K432" s="90"/>
      <c r="L432" s="90"/>
      <c r="M432" s="90"/>
      <c r="N432" s="90"/>
      <c r="O432" s="90"/>
      <c r="P432" s="90"/>
      <c r="Q432" s="90"/>
      <c r="R432" s="90"/>
      <c r="S432" s="90"/>
    </row>
    <row r="433" spans="1:41" ht="12.75" hidden="1" customHeight="1" x14ac:dyDescent="0.25">
      <c r="A433" s="89"/>
      <c r="F433" s="90"/>
      <c r="G433" s="90"/>
      <c r="H433" s="90"/>
      <c r="I433" s="90"/>
      <c r="J433" s="90"/>
      <c r="K433" s="90"/>
      <c r="L433" s="90"/>
      <c r="M433" s="90"/>
      <c r="N433" s="90"/>
      <c r="O433" s="90"/>
      <c r="P433" s="90"/>
      <c r="Q433" s="90"/>
      <c r="R433" s="90"/>
      <c r="S433" s="90"/>
    </row>
    <row r="434" spans="1:41" ht="12.75" hidden="1" customHeight="1" x14ac:dyDescent="0.25">
      <c r="A434" s="89"/>
      <c r="F434" s="90"/>
      <c r="G434" s="90"/>
      <c r="H434" s="90"/>
      <c r="I434" s="90"/>
      <c r="J434" s="90"/>
      <c r="K434" s="90"/>
      <c r="L434" s="90"/>
      <c r="M434" s="90"/>
      <c r="N434" s="90"/>
      <c r="O434" s="90"/>
      <c r="P434" s="90"/>
      <c r="Q434" s="90"/>
      <c r="R434" s="90"/>
      <c r="S434" s="90"/>
    </row>
    <row r="435" spans="1:41" ht="12.75" hidden="1" customHeight="1" x14ac:dyDescent="0.25">
      <c r="A435" s="89"/>
      <c r="F435" s="90"/>
      <c r="G435" s="90"/>
      <c r="H435" s="90"/>
      <c r="I435" s="90"/>
      <c r="J435" s="90"/>
      <c r="K435" s="90"/>
      <c r="L435" s="90"/>
      <c r="M435" s="90"/>
      <c r="N435" s="90"/>
      <c r="O435" s="90"/>
      <c r="P435" s="90"/>
      <c r="Q435" s="90"/>
      <c r="R435" s="90"/>
      <c r="S435" s="90"/>
    </row>
    <row r="436" spans="1:41" ht="12.75" customHeight="1" x14ac:dyDescent="0.25">
      <c r="A436" s="89"/>
      <c r="F436" s="90"/>
      <c r="G436" s="90"/>
      <c r="H436" s="90"/>
      <c r="I436" s="90"/>
      <c r="J436" s="90"/>
      <c r="K436" s="90"/>
      <c r="L436" s="90"/>
      <c r="M436" s="90"/>
      <c r="N436" s="90"/>
      <c r="O436" s="90"/>
      <c r="P436" s="90"/>
      <c r="Q436" s="90"/>
      <c r="R436" s="90"/>
      <c r="S436" s="90"/>
    </row>
    <row r="437" spans="1:41" ht="12.75" customHeight="1" x14ac:dyDescent="0.25">
      <c r="C437" s="766" t="s">
        <v>2</v>
      </c>
      <c r="D437" s="764" t="s">
        <v>132</v>
      </c>
      <c r="E437" s="98" t="s">
        <v>70</v>
      </c>
      <c r="F437" s="100">
        <f>F391+F417+F357-L357-L391</f>
        <v>10552409503.830002</v>
      </c>
      <c r="G437" s="100">
        <f t="shared" ref="G437:AO437" si="16">G391+G357</f>
        <v>641656113.5200001</v>
      </c>
      <c r="H437" s="100">
        <f t="shared" si="16"/>
        <v>359183898.5</v>
      </c>
      <c r="I437" s="100">
        <f t="shared" si="16"/>
        <v>188465110.52000001</v>
      </c>
      <c r="J437" s="100">
        <f t="shared" si="16"/>
        <v>2357276345.4400001</v>
      </c>
      <c r="K437" s="100">
        <f t="shared" si="16"/>
        <v>90994608.560000002</v>
      </c>
      <c r="L437" s="100">
        <f t="shared" si="16"/>
        <v>22968513.57</v>
      </c>
      <c r="M437" s="100">
        <f t="shared" si="16"/>
        <v>797552929.38999999</v>
      </c>
      <c r="N437" s="100">
        <f t="shared" si="16"/>
        <v>788577744.75999999</v>
      </c>
      <c r="O437" s="100">
        <f t="shared" si="16"/>
        <v>4057076376.9400001</v>
      </c>
      <c r="P437" s="100">
        <f t="shared" si="16"/>
        <v>1697115026.9400001</v>
      </c>
      <c r="Q437" s="100">
        <f t="shared" si="16"/>
        <v>148968851.07000002</v>
      </c>
      <c r="R437" s="100">
        <f t="shared" si="16"/>
        <v>-160678.67000000001</v>
      </c>
      <c r="S437" s="100">
        <f t="shared" si="16"/>
        <v>0</v>
      </c>
      <c r="T437" s="100">
        <f t="shared" si="16"/>
        <v>36.049999999999997</v>
      </c>
      <c r="U437" s="100">
        <f t="shared" si="16"/>
        <v>0</v>
      </c>
      <c r="V437" s="100">
        <f t="shared" si="16"/>
        <v>0</v>
      </c>
      <c r="W437" s="100">
        <f t="shared" si="16"/>
        <v>0</v>
      </c>
      <c r="X437" s="100">
        <f t="shared" si="16"/>
        <v>0</v>
      </c>
      <c r="Y437" s="100">
        <f t="shared" si="16"/>
        <v>0</v>
      </c>
      <c r="Z437" s="100">
        <f t="shared" si="16"/>
        <v>-86.15</v>
      </c>
      <c r="AA437" s="100">
        <f t="shared" si="16"/>
        <v>0</v>
      </c>
      <c r="AB437" s="100">
        <f t="shared" si="16"/>
        <v>0</v>
      </c>
      <c r="AC437" s="100">
        <f t="shared" si="16"/>
        <v>0</v>
      </c>
      <c r="AD437" s="100">
        <f t="shared" si="16"/>
        <v>0</v>
      </c>
      <c r="AE437" s="100">
        <f t="shared" si="16"/>
        <v>0</v>
      </c>
      <c r="AF437" s="100">
        <f t="shared" si="16"/>
        <v>0</v>
      </c>
      <c r="AG437" s="100">
        <f t="shared" si="16"/>
        <v>0</v>
      </c>
      <c r="AH437" s="100">
        <f t="shared" si="16"/>
        <v>0</v>
      </c>
      <c r="AI437" s="100">
        <f t="shared" si="16"/>
        <v>0</v>
      </c>
      <c r="AJ437" s="100">
        <f t="shared" si="16"/>
        <v>0</v>
      </c>
      <c r="AK437" s="100">
        <f t="shared" si="16"/>
        <v>0</v>
      </c>
      <c r="AL437" s="100">
        <f t="shared" si="16"/>
        <v>0</v>
      </c>
      <c r="AM437" s="100">
        <f t="shared" si="16"/>
        <v>0</v>
      </c>
      <c r="AN437" s="100">
        <f t="shared" si="16"/>
        <v>0</v>
      </c>
      <c r="AO437" s="100">
        <f t="shared" si="16"/>
        <v>0</v>
      </c>
    </row>
    <row r="438" spans="1:41" ht="12.75" customHeight="1" x14ac:dyDescent="0.25">
      <c r="C438" s="766"/>
      <c r="D438" s="764"/>
      <c r="E438" s="98" t="s">
        <v>73</v>
      </c>
      <c r="F438" s="100">
        <f>F417</f>
        <v>-574296773.03999996</v>
      </c>
      <c r="G438" s="90"/>
      <c r="H438" s="90"/>
      <c r="I438" s="90"/>
      <c r="J438" s="90"/>
      <c r="K438" s="90"/>
      <c r="L438" s="90"/>
      <c r="M438" s="90"/>
      <c r="N438" s="90"/>
      <c r="O438" s="90"/>
      <c r="P438" s="90"/>
      <c r="Q438" s="90"/>
      <c r="R438" s="90"/>
      <c r="S438" s="90"/>
    </row>
    <row r="439" spans="1:41" ht="12.75" customHeight="1" x14ac:dyDescent="0.25">
      <c r="C439" s="766"/>
      <c r="D439" s="764" t="s">
        <v>133</v>
      </c>
      <c r="E439" s="233" t="s">
        <v>70</v>
      </c>
      <c r="F439" s="234">
        <f>F401+F369-L369</f>
        <v>5419780</v>
      </c>
      <c r="G439" s="234">
        <f t="shared" ref="G439:AA439" si="17">G369</f>
        <v>265698.21000000002</v>
      </c>
      <c r="H439" s="234">
        <f t="shared" si="17"/>
        <v>146273.84</v>
      </c>
      <c r="I439" s="234">
        <f t="shared" si="17"/>
        <v>78115.94</v>
      </c>
      <c r="J439" s="234">
        <f t="shared" si="17"/>
        <v>998599.42</v>
      </c>
      <c r="K439" s="234">
        <f t="shared" si="17"/>
        <v>35953.06</v>
      </c>
      <c r="L439" s="234">
        <f t="shared" si="17"/>
        <v>0</v>
      </c>
      <c r="M439" s="234">
        <f t="shared" si="17"/>
        <v>298752.57</v>
      </c>
      <c r="N439" s="234">
        <f t="shared" si="17"/>
        <v>307661.96000000002</v>
      </c>
      <c r="O439" s="234">
        <f t="shared" si="17"/>
        <v>2386148.1800000002</v>
      </c>
      <c r="P439" s="234">
        <f t="shared" si="17"/>
        <v>712936.36</v>
      </c>
      <c r="Q439" s="234">
        <f t="shared" si="17"/>
        <v>59549.52</v>
      </c>
      <c r="R439" s="234">
        <f t="shared" si="17"/>
        <v>8.81</v>
      </c>
      <c r="S439" s="234">
        <f t="shared" si="17"/>
        <v>0</v>
      </c>
      <c r="T439" s="234">
        <f t="shared" si="17"/>
        <v>0</v>
      </c>
      <c r="U439" s="234">
        <f t="shared" si="17"/>
        <v>0</v>
      </c>
      <c r="V439" s="234">
        <f t="shared" si="17"/>
        <v>0</v>
      </c>
      <c r="W439" s="234">
        <f t="shared" si="17"/>
        <v>0</v>
      </c>
      <c r="X439" s="234">
        <f t="shared" si="17"/>
        <v>0</v>
      </c>
      <c r="Y439" s="234">
        <f t="shared" si="17"/>
        <v>0</v>
      </c>
      <c r="Z439" s="234">
        <f t="shared" si="17"/>
        <v>0</v>
      </c>
      <c r="AA439" s="234">
        <f t="shared" si="17"/>
        <v>0</v>
      </c>
    </row>
    <row r="440" spans="1:41" ht="12.75" customHeight="1" x14ac:dyDescent="0.25">
      <c r="C440" s="766"/>
      <c r="D440" s="764"/>
      <c r="E440" s="233" t="s">
        <v>73</v>
      </c>
      <c r="F440" s="234">
        <f>F401</f>
        <v>130082.13</v>
      </c>
      <c r="G440" s="90"/>
      <c r="H440" s="90"/>
      <c r="I440" s="90"/>
      <c r="J440" s="90"/>
      <c r="K440" s="90"/>
      <c r="L440" s="90"/>
      <c r="M440" s="90"/>
      <c r="N440" s="90"/>
      <c r="O440" s="90"/>
      <c r="P440" s="90"/>
      <c r="Q440" s="90"/>
      <c r="R440" s="90"/>
    </row>
    <row r="441" spans="1:41" ht="12.75" customHeight="1" x14ac:dyDescent="0.3">
      <c r="A441" s="89"/>
      <c r="C441" s="97"/>
      <c r="F441" s="90"/>
      <c r="G441" s="90"/>
      <c r="H441" s="90"/>
      <c r="I441" s="90"/>
      <c r="J441" s="90"/>
      <c r="K441" s="90"/>
      <c r="L441" s="90"/>
      <c r="M441" s="90"/>
      <c r="N441" s="90"/>
      <c r="O441" s="90"/>
      <c r="P441" s="90"/>
      <c r="Q441" s="90"/>
      <c r="R441" s="90"/>
      <c r="S441" s="90"/>
    </row>
    <row r="442" spans="1:41" ht="12.75" customHeight="1" x14ac:dyDescent="0.25">
      <c r="C442" s="766" t="s">
        <v>160</v>
      </c>
      <c r="D442" s="764" t="s">
        <v>132</v>
      </c>
      <c r="E442" s="223" t="s">
        <v>70</v>
      </c>
      <c r="F442" s="225">
        <f>F409+F380-L380</f>
        <v>7264980</v>
      </c>
      <c r="G442" s="225">
        <f t="shared" ref="G442:AO442" si="18">G380</f>
        <v>564432.37</v>
      </c>
      <c r="H442" s="225">
        <f t="shared" si="18"/>
        <v>283500.11</v>
      </c>
      <c r="I442" s="225">
        <f t="shared" si="18"/>
        <v>141081.57999999999</v>
      </c>
      <c r="J442" s="225">
        <f t="shared" si="18"/>
        <v>1265190.43</v>
      </c>
      <c r="K442" s="225">
        <f t="shared" si="18"/>
        <v>44163.51</v>
      </c>
      <c r="L442" s="225">
        <f t="shared" si="18"/>
        <v>0</v>
      </c>
      <c r="M442" s="225">
        <f t="shared" si="18"/>
        <v>386419.05</v>
      </c>
      <c r="N442" s="225">
        <f t="shared" si="18"/>
        <v>431454.02</v>
      </c>
      <c r="O442" s="225">
        <f t="shared" si="18"/>
        <v>1924402.43</v>
      </c>
      <c r="P442" s="225">
        <f t="shared" si="18"/>
        <v>1486250.51</v>
      </c>
      <c r="Q442" s="225">
        <f t="shared" si="18"/>
        <v>72103.31</v>
      </c>
      <c r="R442" s="225">
        <f t="shared" si="18"/>
        <v>-84.41</v>
      </c>
      <c r="S442" s="225">
        <f t="shared" si="18"/>
        <v>0</v>
      </c>
      <c r="T442" s="225">
        <f t="shared" si="18"/>
        <v>0</v>
      </c>
      <c r="U442" s="225">
        <f t="shared" si="18"/>
        <v>0</v>
      </c>
      <c r="V442" s="225">
        <f t="shared" si="18"/>
        <v>0</v>
      </c>
      <c r="W442" s="225">
        <f t="shared" si="18"/>
        <v>0</v>
      </c>
      <c r="X442" s="225">
        <f t="shared" si="18"/>
        <v>0</v>
      </c>
      <c r="Y442" s="225">
        <f t="shared" si="18"/>
        <v>0</v>
      </c>
      <c r="Z442" s="225">
        <f t="shared" si="18"/>
        <v>0</v>
      </c>
      <c r="AA442" s="225">
        <f t="shared" si="18"/>
        <v>0</v>
      </c>
      <c r="AB442" s="225">
        <f t="shared" si="18"/>
        <v>0</v>
      </c>
      <c r="AC442" s="225">
        <f t="shared" si="18"/>
        <v>0</v>
      </c>
      <c r="AD442" s="225">
        <f t="shared" si="18"/>
        <v>0</v>
      </c>
      <c r="AE442" s="225">
        <f t="shared" si="18"/>
        <v>0</v>
      </c>
      <c r="AF442" s="225">
        <f t="shared" si="18"/>
        <v>0</v>
      </c>
      <c r="AG442" s="225">
        <f t="shared" si="18"/>
        <v>0</v>
      </c>
      <c r="AH442" s="225">
        <f t="shared" si="18"/>
        <v>0</v>
      </c>
      <c r="AI442" s="225">
        <f t="shared" si="18"/>
        <v>0</v>
      </c>
      <c r="AJ442" s="225">
        <f t="shared" si="18"/>
        <v>0</v>
      </c>
      <c r="AK442" s="225">
        <f t="shared" si="18"/>
        <v>0</v>
      </c>
      <c r="AL442" s="225">
        <f t="shared" si="18"/>
        <v>0</v>
      </c>
      <c r="AM442" s="225">
        <f t="shared" si="18"/>
        <v>0</v>
      </c>
      <c r="AN442" s="225">
        <f t="shared" si="18"/>
        <v>0</v>
      </c>
      <c r="AO442" s="225">
        <f t="shared" si="18"/>
        <v>0</v>
      </c>
    </row>
    <row r="443" spans="1:41" ht="12.75" customHeight="1" x14ac:dyDescent="0.25">
      <c r="C443" s="766"/>
      <c r="D443" s="764"/>
      <c r="E443" s="223" t="s">
        <v>73</v>
      </c>
      <c r="F443" s="225">
        <f>F409</f>
        <v>666067.09</v>
      </c>
      <c r="G443" s="90"/>
      <c r="H443" s="90"/>
      <c r="I443" s="90"/>
      <c r="J443" s="90"/>
      <c r="K443" s="90"/>
      <c r="L443" s="90"/>
      <c r="M443" s="90"/>
      <c r="N443" s="90"/>
      <c r="O443" s="90"/>
      <c r="P443" s="90"/>
      <c r="Q443" s="90"/>
      <c r="R443" s="90"/>
      <c r="S443" s="90"/>
    </row>
    <row r="444" spans="1:41" ht="12.75" customHeight="1" x14ac:dyDescent="0.25">
      <c r="C444" s="766"/>
      <c r="D444" s="764" t="s">
        <v>133</v>
      </c>
      <c r="E444" s="227" t="s">
        <v>70</v>
      </c>
      <c r="F444" s="228">
        <v>0</v>
      </c>
      <c r="G444" s="228">
        <v>0</v>
      </c>
      <c r="H444" s="228">
        <v>0</v>
      </c>
      <c r="I444" s="228">
        <v>0</v>
      </c>
      <c r="J444" s="228">
        <v>0</v>
      </c>
      <c r="K444" s="228">
        <v>0</v>
      </c>
      <c r="L444" s="228">
        <v>0</v>
      </c>
      <c r="M444" s="228">
        <v>0</v>
      </c>
      <c r="N444" s="228">
        <v>0</v>
      </c>
      <c r="O444" s="228">
        <v>0</v>
      </c>
      <c r="P444" s="228">
        <v>0</v>
      </c>
      <c r="Q444" s="228">
        <v>0</v>
      </c>
      <c r="R444" s="228">
        <v>0</v>
      </c>
      <c r="S444" s="228">
        <v>0</v>
      </c>
      <c r="T444" s="228">
        <v>0</v>
      </c>
      <c r="U444" s="228">
        <v>0</v>
      </c>
      <c r="V444" s="228">
        <v>0</v>
      </c>
      <c r="W444" s="228">
        <v>0</v>
      </c>
      <c r="X444" s="228">
        <v>0</v>
      </c>
      <c r="Y444" s="228">
        <v>0</v>
      </c>
      <c r="Z444" s="228">
        <v>0</v>
      </c>
    </row>
    <row r="445" spans="1:41" ht="12.75" customHeight="1" x14ac:dyDescent="0.25">
      <c r="C445" s="766"/>
      <c r="D445" s="764"/>
      <c r="E445" s="227" t="s">
        <v>73</v>
      </c>
      <c r="F445" s="228">
        <v>0</v>
      </c>
      <c r="G445" s="90"/>
      <c r="H445" s="90"/>
      <c r="I445" s="90"/>
      <c r="J445" s="90"/>
      <c r="K445" s="90"/>
      <c r="L445" s="90"/>
      <c r="M445" s="90"/>
      <c r="N445" s="90"/>
      <c r="O445" s="90"/>
      <c r="P445" s="90"/>
      <c r="Q445" s="90"/>
      <c r="R445" s="90"/>
    </row>
    <row r="446" spans="1:41" ht="12.75" customHeight="1" x14ac:dyDescent="0.3">
      <c r="A446" s="89"/>
      <c r="C446" s="97"/>
      <c r="F446" s="90"/>
      <c r="G446" s="90"/>
      <c r="H446" s="90"/>
      <c r="I446" s="90"/>
      <c r="J446" s="90"/>
      <c r="K446" s="90"/>
      <c r="L446" s="90"/>
      <c r="M446" s="90"/>
      <c r="N446" s="90"/>
      <c r="O446" s="90"/>
      <c r="P446" s="90"/>
      <c r="Q446" s="90"/>
      <c r="R446" s="90"/>
      <c r="S446" s="90"/>
    </row>
    <row r="447" spans="1:41" ht="12.75" customHeight="1" x14ac:dyDescent="0.25">
      <c r="C447" s="766" t="s">
        <v>155</v>
      </c>
      <c r="D447" s="764" t="s">
        <v>132</v>
      </c>
      <c r="E447" s="221" t="s">
        <v>70</v>
      </c>
      <c r="F447" s="222">
        <f>F404+F373+F353-L353-L373</f>
        <v>10318956340.32</v>
      </c>
      <c r="G447" s="222">
        <f t="shared" ref="G447:Z447" si="19">G373+G353</f>
        <v>622503500.54999995</v>
      </c>
      <c r="H447" s="222">
        <f t="shared" si="19"/>
        <v>349297990.46999997</v>
      </c>
      <c r="I447" s="222">
        <f t="shared" si="19"/>
        <v>183609992.43000001</v>
      </c>
      <c r="J447" s="222">
        <f t="shared" si="19"/>
        <v>2321199313.6700001</v>
      </c>
      <c r="K447" s="222">
        <f t="shared" si="19"/>
        <v>89682480.890000001</v>
      </c>
      <c r="L447" s="222">
        <f t="shared" si="19"/>
        <v>21942346.68</v>
      </c>
      <c r="M447" s="222">
        <f t="shared" si="19"/>
        <v>785978902.61000001</v>
      </c>
      <c r="N447" s="222">
        <f t="shared" si="19"/>
        <v>775137442.83000004</v>
      </c>
      <c r="O447" s="222">
        <f t="shared" si="19"/>
        <v>3986514658.0699997</v>
      </c>
      <c r="P447" s="222">
        <f t="shared" si="19"/>
        <v>1647056821.95</v>
      </c>
      <c r="Q447" s="222">
        <f t="shared" si="19"/>
        <v>146817758.47999999</v>
      </c>
      <c r="R447" s="222">
        <f t="shared" si="19"/>
        <v>-160739.04999999999</v>
      </c>
      <c r="S447" s="222">
        <f t="shared" si="19"/>
        <v>0</v>
      </c>
      <c r="T447" s="222">
        <f t="shared" si="19"/>
        <v>35.659999999999997</v>
      </c>
      <c r="U447" s="222">
        <f t="shared" si="19"/>
        <v>0</v>
      </c>
      <c r="V447" s="222">
        <f t="shared" si="19"/>
        <v>0</v>
      </c>
      <c r="W447" s="222">
        <f t="shared" si="19"/>
        <v>0</v>
      </c>
      <c r="X447" s="222">
        <f t="shared" si="19"/>
        <v>0</v>
      </c>
      <c r="Y447" s="222">
        <f t="shared" si="19"/>
        <v>0</v>
      </c>
      <c r="Z447" s="222">
        <f t="shared" si="19"/>
        <v>-86.15</v>
      </c>
    </row>
    <row r="448" spans="1:41" ht="12.75" customHeight="1" x14ac:dyDescent="0.25">
      <c r="C448" s="766"/>
      <c r="D448" s="764"/>
      <c r="E448" s="221" t="s">
        <v>73</v>
      </c>
      <c r="F448" s="222">
        <f>F404</f>
        <v>-588681732.09000003</v>
      </c>
      <c r="G448" s="90"/>
      <c r="H448" s="90"/>
      <c r="I448" s="90"/>
      <c r="J448" s="90"/>
      <c r="K448" s="90"/>
      <c r="L448" s="90"/>
      <c r="M448" s="90"/>
      <c r="N448" s="90"/>
      <c r="O448" s="90"/>
      <c r="P448" s="90"/>
      <c r="Q448" s="90"/>
      <c r="R448" s="90"/>
      <c r="S448" s="90"/>
    </row>
    <row r="449" spans="1:41" ht="12.75" customHeight="1" x14ac:dyDescent="0.25">
      <c r="C449" s="766"/>
      <c r="D449" s="764" t="s">
        <v>133</v>
      </c>
      <c r="E449" s="229" t="s">
        <v>70</v>
      </c>
      <c r="F449" s="230">
        <f>F395+F362-L362</f>
        <v>3564150</v>
      </c>
      <c r="G449" s="230">
        <f>G362</f>
        <v>188960.79</v>
      </c>
      <c r="H449" s="230">
        <f t="shared" ref="H449:T449" si="20">H362</f>
        <v>102531.53</v>
      </c>
      <c r="I449" s="230">
        <f t="shared" si="20"/>
        <v>54475.27</v>
      </c>
      <c r="J449" s="230">
        <f t="shared" si="20"/>
        <v>719073.57</v>
      </c>
      <c r="K449" s="230">
        <f t="shared" si="20"/>
        <v>26512.54</v>
      </c>
      <c r="L449" s="230">
        <f t="shared" si="20"/>
        <v>0</v>
      </c>
      <c r="M449" s="230">
        <f t="shared" si="20"/>
        <v>232567.66</v>
      </c>
      <c r="N449" s="230">
        <f t="shared" si="20"/>
        <v>235933.53</v>
      </c>
      <c r="O449" s="230">
        <f t="shared" si="20"/>
        <v>1461667.91</v>
      </c>
      <c r="P449" s="230">
        <f t="shared" si="20"/>
        <v>510527.11</v>
      </c>
      <c r="Q449" s="230">
        <f t="shared" si="20"/>
        <v>44146.57</v>
      </c>
      <c r="R449" s="230">
        <f t="shared" si="20"/>
        <v>2.46</v>
      </c>
      <c r="S449" s="230">
        <f t="shared" si="20"/>
        <v>0</v>
      </c>
      <c r="T449" s="230">
        <f t="shared" si="20"/>
        <v>0</v>
      </c>
      <c r="U449" s="230"/>
      <c r="V449" s="230"/>
      <c r="W449" s="230"/>
      <c r="X449" s="230">
        <v>0</v>
      </c>
      <c r="Y449" s="230">
        <v>0</v>
      </c>
      <c r="Z449" s="230">
        <v>0</v>
      </c>
    </row>
    <row r="450" spans="1:41" ht="12.75" customHeight="1" x14ac:dyDescent="0.25">
      <c r="C450" s="766"/>
      <c r="D450" s="764"/>
      <c r="E450" s="229" t="s">
        <v>73</v>
      </c>
      <c r="F450" s="230">
        <f>F395</f>
        <v>-12248.94</v>
      </c>
      <c r="G450" s="90"/>
      <c r="H450" s="90"/>
      <c r="I450" s="90"/>
      <c r="J450" s="90"/>
      <c r="K450" s="90"/>
      <c r="L450" s="90"/>
      <c r="M450" s="90"/>
      <c r="N450" s="90"/>
      <c r="O450" s="90"/>
      <c r="P450" s="90"/>
      <c r="Q450" s="90"/>
      <c r="R450" s="90"/>
    </row>
    <row r="451" spans="1:41" ht="12.75" customHeight="1" x14ac:dyDescent="0.3">
      <c r="A451" s="89"/>
      <c r="C451" s="97"/>
      <c r="F451" s="90"/>
      <c r="G451" s="90"/>
      <c r="H451" s="90"/>
      <c r="I451" s="90"/>
      <c r="J451" s="90"/>
      <c r="K451" s="90"/>
      <c r="L451" s="90"/>
      <c r="M451" s="90"/>
      <c r="N451" s="90"/>
      <c r="O451" s="90"/>
      <c r="P451" s="90"/>
      <c r="Q451" s="90"/>
      <c r="R451" s="90"/>
      <c r="S451" s="90"/>
    </row>
    <row r="452" spans="1:41" ht="12.75" customHeight="1" x14ac:dyDescent="0.25">
      <c r="C452" s="767" t="s">
        <v>326</v>
      </c>
      <c r="D452" s="764" t="s">
        <v>132</v>
      </c>
      <c r="E452" s="376" t="s">
        <v>70</v>
      </c>
      <c r="F452" s="377">
        <v>0</v>
      </c>
      <c r="G452" s="377">
        <v>0</v>
      </c>
      <c r="H452" s="377">
        <v>0</v>
      </c>
      <c r="I452" s="377">
        <v>0</v>
      </c>
      <c r="J452" s="377">
        <v>0</v>
      </c>
      <c r="K452" s="377">
        <v>0</v>
      </c>
      <c r="L452" s="377">
        <v>0</v>
      </c>
      <c r="M452" s="377">
        <v>0</v>
      </c>
      <c r="N452" s="377">
        <v>0</v>
      </c>
      <c r="O452" s="377">
        <v>0</v>
      </c>
      <c r="P452" s="377">
        <v>0</v>
      </c>
      <c r="Q452" s="377">
        <v>0</v>
      </c>
      <c r="R452" s="377">
        <v>0</v>
      </c>
      <c r="S452" s="377">
        <v>0</v>
      </c>
      <c r="T452" s="377">
        <v>0</v>
      </c>
      <c r="U452" s="377">
        <v>0</v>
      </c>
      <c r="V452" s="377">
        <v>0</v>
      </c>
      <c r="W452" s="377">
        <v>0</v>
      </c>
      <c r="X452" s="377">
        <v>0</v>
      </c>
      <c r="Y452" s="377">
        <v>0</v>
      </c>
      <c r="Z452" s="377">
        <v>0</v>
      </c>
      <c r="AA452" s="377">
        <v>0</v>
      </c>
      <c r="AB452" s="377">
        <v>0</v>
      </c>
      <c r="AC452" s="377">
        <v>0</v>
      </c>
      <c r="AD452" s="377">
        <v>0</v>
      </c>
      <c r="AE452" s="377">
        <v>0</v>
      </c>
      <c r="AF452" s="377">
        <v>0</v>
      </c>
      <c r="AG452" s="377">
        <v>0</v>
      </c>
      <c r="AH452" s="377">
        <v>0</v>
      </c>
      <c r="AI452" s="377">
        <v>0</v>
      </c>
      <c r="AJ452" s="377">
        <v>0</v>
      </c>
      <c r="AK452" s="377">
        <v>0</v>
      </c>
      <c r="AL452" s="377">
        <v>0</v>
      </c>
      <c r="AM452" s="377">
        <v>0</v>
      </c>
      <c r="AN452" s="377">
        <v>0</v>
      </c>
      <c r="AO452" s="377">
        <v>0</v>
      </c>
    </row>
    <row r="453" spans="1:41" ht="12.75" customHeight="1" x14ac:dyDescent="0.25">
      <c r="C453" s="767"/>
      <c r="D453" s="764"/>
      <c r="E453" s="376" t="s">
        <v>73</v>
      </c>
      <c r="F453" s="377">
        <v>0</v>
      </c>
      <c r="G453" s="90"/>
      <c r="H453" s="90"/>
      <c r="I453" s="90"/>
      <c r="J453" s="90"/>
      <c r="K453" s="90"/>
      <c r="L453" s="90"/>
      <c r="M453" s="90"/>
      <c r="N453" s="90"/>
      <c r="O453" s="90"/>
      <c r="P453" s="90"/>
      <c r="Q453" s="90"/>
      <c r="R453" s="90"/>
      <c r="S453" s="90"/>
    </row>
    <row r="454" spans="1:41" ht="12.75" customHeight="1" x14ac:dyDescent="0.25">
      <c r="C454" s="767"/>
      <c r="D454" s="764" t="s">
        <v>133</v>
      </c>
      <c r="E454" s="242" t="s">
        <v>70</v>
      </c>
      <c r="F454" s="243">
        <v>0</v>
      </c>
      <c r="G454" s="243">
        <v>0</v>
      </c>
      <c r="H454" s="243">
        <v>0</v>
      </c>
      <c r="I454" s="243">
        <v>0</v>
      </c>
      <c r="J454" s="243">
        <v>0</v>
      </c>
      <c r="K454" s="243">
        <v>0</v>
      </c>
      <c r="L454" s="243">
        <v>0</v>
      </c>
      <c r="M454" s="243">
        <v>0</v>
      </c>
      <c r="N454" s="243">
        <v>0</v>
      </c>
      <c r="O454" s="243">
        <v>0</v>
      </c>
      <c r="P454" s="243">
        <v>0</v>
      </c>
      <c r="Q454" s="243">
        <v>0</v>
      </c>
      <c r="R454" s="243">
        <v>0</v>
      </c>
      <c r="S454" s="243">
        <v>0</v>
      </c>
      <c r="T454" s="243">
        <v>0</v>
      </c>
      <c r="U454" s="243">
        <v>0</v>
      </c>
      <c r="V454" s="243">
        <v>0</v>
      </c>
      <c r="W454" s="243">
        <v>0</v>
      </c>
      <c r="X454" s="243">
        <v>0</v>
      </c>
      <c r="Y454" s="243">
        <v>0</v>
      </c>
      <c r="Z454" s="243">
        <v>0</v>
      </c>
      <c r="AA454" s="243">
        <v>0</v>
      </c>
      <c r="AB454" s="243">
        <v>0</v>
      </c>
      <c r="AC454" s="243">
        <v>0</v>
      </c>
      <c r="AD454" s="243">
        <v>0</v>
      </c>
      <c r="AE454" s="243">
        <v>0</v>
      </c>
      <c r="AF454" s="243">
        <v>0</v>
      </c>
      <c r="AG454" s="243">
        <v>0</v>
      </c>
      <c r="AH454" s="243">
        <v>0</v>
      </c>
      <c r="AI454" s="243">
        <v>0</v>
      </c>
      <c r="AJ454" s="243">
        <v>0</v>
      </c>
      <c r="AK454" s="243">
        <v>0</v>
      </c>
      <c r="AL454" s="243">
        <v>0</v>
      </c>
      <c r="AM454" s="243">
        <v>0</v>
      </c>
      <c r="AN454" s="243">
        <v>0</v>
      </c>
      <c r="AO454" s="243">
        <v>0</v>
      </c>
    </row>
    <row r="455" spans="1:41" ht="12.75" customHeight="1" x14ac:dyDescent="0.25">
      <c r="C455" s="767"/>
      <c r="D455" s="764"/>
      <c r="E455" s="242" t="s">
        <v>73</v>
      </c>
      <c r="F455" s="243">
        <v>0</v>
      </c>
      <c r="G455" s="90"/>
      <c r="H455" s="90"/>
      <c r="I455" s="90"/>
      <c r="J455" s="90"/>
      <c r="K455" s="90"/>
      <c r="L455" s="90"/>
      <c r="M455" s="90"/>
      <c r="N455" s="90"/>
      <c r="O455" s="90"/>
      <c r="P455" s="90"/>
      <c r="Q455" s="90"/>
      <c r="R455" s="90"/>
    </row>
    <row r="456" spans="1:41" ht="12.75" customHeight="1" x14ac:dyDescent="0.3">
      <c r="A456" s="89"/>
      <c r="C456" s="97"/>
      <c r="F456" s="90"/>
      <c r="G456" s="90"/>
      <c r="H456" s="90"/>
      <c r="I456" s="90"/>
      <c r="J456" s="90"/>
      <c r="K456" s="90"/>
      <c r="L456" s="90"/>
      <c r="M456" s="90"/>
      <c r="N456" s="90"/>
      <c r="O456" s="90"/>
      <c r="P456" s="90"/>
      <c r="Q456" s="90"/>
      <c r="R456" s="90"/>
      <c r="S456" s="90"/>
    </row>
    <row r="457" spans="1:41" ht="12.75" customHeight="1" x14ac:dyDescent="0.25">
      <c r="C457" s="766" t="s">
        <v>119</v>
      </c>
      <c r="D457" s="764" t="s">
        <v>132</v>
      </c>
      <c r="E457" s="101" t="s">
        <v>70</v>
      </c>
      <c r="F457" s="93">
        <f>F416+F390+F356-L356-L390</f>
        <v>226188183.51000002</v>
      </c>
      <c r="G457" s="93">
        <f t="shared" ref="G457:AO457" si="21">G390+G356</f>
        <v>18588180.600000001</v>
      </c>
      <c r="H457" s="93">
        <f t="shared" si="21"/>
        <v>9602407.9199999999</v>
      </c>
      <c r="I457" s="93">
        <f t="shared" si="21"/>
        <v>4714036.51</v>
      </c>
      <c r="J457" s="93">
        <f t="shared" si="21"/>
        <v>34811841.340000004</v>
      </c>
      <c r="K457" s="93">
        <f t="shared" si="21"/>
        <v>1267964.1600000001</v>
      </c>
      <c r="L457" s="93">
        <f t="shared" si="21"/>
        <v>1026166.89</v>
      </c>
      <c r="M457" s="93">
        <f t="shared" si="21"/>
        <v>11187607.729999999</v>
      </c>
      <c r="N457" s="93">
        <f t="shared" si="21"/>
        <v>13008847.91</v>
      </c>
      <c r="O457" s="93">
        <f t="shared" si="21"/>
        <v>68637316.439999998</v>
      </c>
      <c r="P457" s="93">
        <f t="shared" si="21"/>
        <v>48571954.479999997</v>
      </c>
      <c r="Q457" s="93">
        <f t="shared" si="21"/>
        <v>2078989.28</v>
      </c>
      <c r="R457" s="93">
        <f t="shared" si="21"/>
        <v>144.79</v>
      </c>
      <c r="S457" s="93">
        <f t="shared" si="21"/>
        <v>0</v>
      </c>
      <c r="T457" s="93">
        <f t="shared" si="21"/>
        <v>0.39</v>
      </c>
      <c r="U457" s="93">
        <f t="shared" si="21"/>
        <v>0</v>
      </c>
      <c r="V457" s="93">
        <f t="shared" si="21"/>
        <v>0</v>
      </c>
      <c r="W457" s="93">
        <f t="shared" si="21"/>
        <v>0</v>
      </c>
      <c r="X457" s="93">
        <f t="shared" si="21"/>
        <v>0</v>
      </c>
      <c r="Y457" s="93">
        <f t="shared" si="21"/>
        <v>0</v>
      </c>
      <c r="Z457" s="93">
        <f t="shared" si="21"/>
        <v>0</v>
      </c>
      <c r="AA457" s="93">
        <f t="shared" si="21"/>
        <v>0</v>
      </c>
      <c r="AB457" s="93">
        <f t="shared" si="21"/>
        <v>0</v>
      </c>
      <c r="AC457" s="93">
        <f t="shared" si="21"/>
        <v>0</v>
      </c>
      <c r="AD457" s="93">
        <f t="shared" si="21"/>
        <v>0</v>
      </c>
      <c r="AE457" s="93">
        <f t="shared" si="21"/>
        <v>0</v>
      </c>
      <c r="AF457" s="93">
        <f t="shared" si="21"/>
        <v>0</v>
      </c>
      <c r="AG457" s="93">
        <f t="shared" si="21"/>
        <v>0</v>
      </c>
      <c r="AH457" s="93">
        <f t="shared" si="21"/>
        <v>0</v>
      </c>
      <c r="AI457" s="93">
        <f t="shared" si="21"/>
        <v>0</v>
      </c>
      <c r="AJ457" s="93">
        <f t="shared" si="21"/>
        <v>0</v>
      </c>
      <c r="AK457" s="93">
        <f t="shared" si="21"/>
        <v>0</v>
      </c>
      <c r="AL457" s="93">
        <f t="shared" si="21"/>
        <v>0</v>
      </c>
      <c r="AM457" s="93">
        <f t="shared" si="21"/>
        <v>0</v>
      </c>
      <c r="AN457" s="93">
        <f t="shared" si="21"/>
        <v>0</v>
      </c>
      <c r="AO457" s="93">
        <f t="shared" si="21"/>
        <v>0</v>
      </c>
    </row>
    <row r="458" spans="1:41" ht="12.75" customHeight="1" x14ac:dyDescent="0.25">
      <c r="C458" s="766"/>
      <c r="D458" s="764"/>
      <c r="E458" s="101" t="s">
        <v>73</v>
      </c>
      <c r="F458" s="93">
        <f>F416</f>
        <v>13718891.960000001</v>
      </c>
      <c r="G458" s="90"/>
      <c r="H458" s="90"/>
      <c r="I458" s="90"/>
      <c r="J458" s="90"/>
      <c r="K458" s="90"/>
      <c r="L458" s="90"/>
      <c r="M458" s="90"/>
      <c r="N458" s="90"/>
      <c r="O458" s="90"/>
      <c r="P458" s="90"/>
      <c r="Q458" s="90"/>
      <c r="R458" s="90"/>
      <c r="S458" s="90"/>
    </row>
    <row r="459" spans="1:41" ht="12.75" customHeight="1" x14ac:dyDescent="0.25">
      <c r="C459" s="766"/>
      <c r="D459" s="764" t="s">
        <v>133</v>
      </c>
      <c r="E459" s="235" t="s">
        <v>70</v>
      </c>
      <c r="F459" s="236">
        <f>F400+F368-L368</f>
        <v>1855630</v>
      </c>
      <c r="G459" s="236">
        <f t="shared" ref="G459:Z459" si="22">G368</f>
        <v>76737.42</v>
      </c>
      <c r="H459" s="236">
        <f t="shared" si="22"/>
        <v>43742.31</v>
      </c>
      <c r="I459" s="236">
        <f t="shared" si="22"/>
        <v>23640.67</v>
      </c>
      <c r="J459" s="236">
        <f t="shared" si="22"/>
        <v>279525.84999999998</v>
      </c>
      <c r="K459" s="236">
        <f t="shared" si="22"/>
        <v>9440.52</v>
      </c>
      <c r="L459" s="236">
        <f t="shared" si="22"/>
        <v>0</v>
      </c>
      <c r="M459" s="236">
        <f t="shared" si="22"/>
        <v>66184.91</v>
      </c>
      <c r="N459" s="236">
        <f t="shared" si="22"/>
        <v>71728.429999999993</v>
      </c>
      <c r="O459" s="236">
        <f t="shared" si="22"/>
        <v>924480.27</v>
      </c>
      <c r="P459" s="236">
        <f t="shared" si="22"/>
        <v>202409.25</v>
      </c>
      <c r="Q459" s="236">
        <f t="shared" si="22"/>
        <v>15402.95</v>
      </c>
      <c r="R459" s="236">
        <f t="shared" si="22"/>
        <v>6.35</v>
      </c>
      <c r="S459" s="236">
        <f t="shared" si="22"/>
        <v>0</v>
      </c>
      <c r="T459" s="236">
        <f t="shared" si="22"/>
        <v>0</v>
      </c>
      <c r="U459" s="236">
        <f t="shared" si="22"/>
        <v>0</v>
      </c>
      <c r="V459" s="236">
        <f t="shared" si="22"/>
        <v>0</v>
      </c>
      <c r="W459" s="236">
        <f t="shared" si="22"/>
        <v>0</v>
      </c>
      <c r="X459" s="236">
        <f t="shared" si="22"/>
        <v>0</v>
      </c>
      <c r="Y459" s="236">
        <f t="shared" si="22"/>
        <v>0</v>
      </c>
      <c r="Z459" s="236">
        <f t="shared" si="22"/>
        <v>0</v>
      </c>
    </row>
    <row r="460" spans="1:41" ht="12.75" customHeight="1" x14ac:dyDescent="0.25">
      <c r="C460" s="766"/>
      <c r="D460" s="764"/>
      <c r="E460" s="235" t="s">
        <v>73</v>
      </c>
      <c r="F460" s="236">
        <f>F400</f>
        <v>142331.07</v>
      </c>
      <c r="G460" s="90"/>
      <c r="H460" s="90"/>
      <c r="I460" s="90"/>
      <c r="J460" s="90"/>
      <c r="K460" s="90"/>
      <c r="L460" s="90"/>
      <c r="M460" s="90"/>
      <c r="N460" s="90"/>
      <c r="O460" s="90"/>
      <c r="P460" s="90"/>
      <c r="Q460" s="90"/>
      <c r="R460" s="90"/>
    </row>
    <row r="461" spans="1:41" ht="12.75" customHeight="1" x14ac:dyDescent="0.3">
      <c r="A461" s="89"/>
      <c r="C461" s="97"/>
      <c r="F461" s="90"/>
      <c r="G461" s="90"/>
      <c r="H461" s="90"/>
      <c r="I461" s="90"/>
      <c r="J461" s="90"/>
      <c r="K461" s="90"/>
      <c r="L461" s="90"/>
      <c r="M461" s="90"/>
      <c r="N461" s="90"/>
      <c r="O461" s="90"/>
      <c r="P461" s="90"/>
      <c r="Q461" s="90"/>
      <c r="R461" s="90"/>
      <c r="S461" s="90"/>
    </row>
    <row r="462" spans="1:41" ht="12.75" customHeight="1" x14ac:dyDescent="0.25">
      <c r="C462" s="765" t="s">
        <v>161</v>
      </c>
      <c r="D462" s="764" t="s">
        <v>132</v>
      </c>
      <c r="E462" s="231" t="s">
        <v>70</v>
      </c>
      <c r="F462" s="232">
        <v>0</v>
      </c>
      <c r="G462" s="232">
        <v>0</v>
      </c>
      <c r="H462" s="232">
        <v>0</v>
      </c>
      <c r="I462" s="232">
        <v>0</v>
      </c>
      <c r="J462" s="232">
        <v>0</v>
      </c>
      <c r="K462" s="232">
        <v>0</v>
      </c>
      <c r="L462" s="232">
        <v>0</v>
      </c>
      <c r="M462" s="232">
        <v>0</v>
      </c>
      <c r="N462" s="232">
        <v>0</v>
      </c>
      <c r="O462" s="232">
        <v>0</v>
      </c>
      <c r="P462" s="232">
        <v>0</v>
      </c>
      <c r="Q462" s="232">
        <v>0</v>
      </c>
      <c r="R462" s="232">
        <v>0</v>
      </c>
      <c r="S462" s="232">
        <v>0</v>
      </c>
      <c r="T462" s="232">
        <v>0</v>
      </c>
      <c r="U462" s="232">
        <v>0</v>
      </c>
      <c r="V462" s="232">
        <v>0</v>
      </c>
      <c r="W462" s="232">
        <v>0</v>
      </c>
      <c r="X462" s="232">
        <v>0</v>
      </c>
      <c r="Y462" s="232">
        <v>0</v>
      </c>
      <c r="Z462" s="232">
        <v>0</v>
      </c>
      <c r="AA462" s="232">
        <v>0</v>
      </c>
      <c r="AB462" s="232">
        <v>0</v>
      </c>
      <c r="AC462" s="232">
        <v>0</v>
      </c>
      <c r="AD462" s="232">
        <v>0</v>
      </c>
      <c r="AE462" s="232">
        <v>0</v>
      </c>
      <c r="AF462" s="232">
        <v>0</v>
      </c>
      <c r="AG462" s="232">
        <v>0</v>
      </c>
      <c r="AH462" s="232">
        <v>0</v>
      </c>
      <c r="AI462" s="232">
        <v>0</v>
      </c>
      <c r="AJ462" s="232">
        <v>0</v>
      </c>
      <c r="AK462" s="232">
        <v>0</v>
      </c>
      <c r="AL462" s="232">
        <v>0</v>
      </c>
      <c r="AM462" s="232">
        <v>0</v>
      </c>
      <c r="AN462" s="232">
        <v>0</v>
      </c>
      <c r="AO462" s="232">
        <v>0</v>
      </c>
    </row>
    <row r="463" spans="1:41" ht="12.75" customHeight="1" x14ac:dyDescent="0.25">
      <c r="C463" s="765"/>
      <c r="D463" s="764"/>
      <c r="E463" s="231" t="s">
        <v>73</v>
      </c>
      <c r="F463" s="232">
        <v>0</v>
      </c>
      <c r="G463" s="90"/>
      <c r="H463" s="90"/>
      <c r="I463" s="90"/>
      <c r="J463" s="90"/>
      <c r="K463" s="90"/>
      <c r="L463" s="90"/>
      <c r="M463" s="90"/>
      <c r="N463" s="90"/>
      <c r="O463" s="90"/>
      <c r="P463" s="90"/>
      <c r="Q463" s="90"/>
      <c r="R463" s="90"/>
      <c r="S463" s="90"/>
    </row>
    <row r="464" spans="1:41" ht="12.75" customHeight="1" x14ac:dyDescent="0.25">
      <c r="C464" s="765"/>
      <c r="E464" s="148" t="s">
        <v>70</v>
      </c>
      <c r="F464" s="149">
        <v>0</v>
      </c>
      <c r="G464" s="149">
        <v>0</v>
      </c>
      <c r="H464" s="149">
        <v>0</v>
      </c>
      <c r="I464" s="149">
        <v>0</v>
      </c>
      <c r="J464" s="149">
        <v>0</v>
      </c>
      <c r="K464" s="149">
        <v>0</v>
      </c>
      <c r="L464" s="149">
        <v>0</v>
      </c>
      <c r="M464" s="149">
        <v>0</v>
      </c>
      <c r="N464" s="149">
        <v>0</v>
      </c>
      <c r="O464" s="149">
        <v>0</v>
      </c>
      <c r="P464" s="149">
        <v>0</v>
      </c>
      <c r="Q464" s="149">
        <v>0</v>
      </c>
      <c r="R464" s="149">
        <v>0</v>
      </c>
      <c r="S464" s="149">
        <v>0</v>
      </c>
      <c r="T464" s="149">
        <v>0</v>
      </c>
      <c r="U464" s="149">
        <v>0</v>
      </c>
      <c r="V464" s="149">
        <v>0</v>
      </c>
      <c r="W464" s="149">
        <v>0</v>
      </c>
      <c r="X464" s="149">
        <v>0</v>
      </c>
      <c r="Y464" s="149">
        <v>0</v>
      </c>
      <c r="Z464" s="149">
        <v>0</v>
      </c>
    </row>
    <row r="465" spans="1:26" ht="12.75" customHeight="1" x14ac:dyDescent="0.25">
      <c r="C465" s="765"/>
      <c r="D465" s="220" t="s">
        <v>132</v>
      </c>
      <c r="E465" s="148" t="s">
        <v>73</v>
      </c>
      <c r="F465" s="149">
        <v>0</v>
      </c>
      <c r="G465" s="90"/>
      <c r="H465" s="90"/>
      <c r="I465" s="90"/>
      <c r="J465" s="90"/>
      <c r="K465" s="90"/>
      <c r="L465" s="90"/>
      <c r="M465" s="90"/>
      <c r="N465" s="90"/>
      <c r="O465" s="90"/>
      <c r="P465" s="90"/>
      <c r="Q465" s="90"/>
      <c r="R465" s="90"/>
    </row>
    <row r="466" spans="1:26" ht="12.75" customHeight="1" x14ac:dyDescent="0.25">
      <c r="C466" s="391"/>
      <c r="D466" s="220"/>
      <c r="E466" s="89"/>
      <c r="F466" s="90"/>
      <c r="G466" s="90"/>
      <c r="H466" s="90"/>
      <c r="I466" s="90"/>
      <c r="J466" s="90"/>
      <c r="K466" s="90"/>
      <c r="L466" s="90"/>
      <c r="M466" s="90"/>
      <c r="N466" s="90"/>
      <c r="O466" s="90"/>
      <c r="P466" s="90"/>
      <c r="Q466" s="90"/>
      <c r="R466" s="90"/>
    </row>
    <row r="467" spans="1:26" ht="12.75" customHeight="1" x14ac:dyDescent="0.25">
      <c r="D467" s="461" t="s">
        <v>185</v>
      </c>
      <c r="E467" s="462" t="s">
        <v>70</v>
      </c>
      <c r="F467" s="463">
        <f t="shared" ref="F467:Z467" si="23">F357</f>
        <v>-194589.84</v>
      </c>
      <c r="G467" s="463">
        <f t="shared" si="23"/>
        <v>-15762.93</v>
      </c>
      <c r="H467" s="463">
        <f t="shared" si="23"/>
        <v>-6696.6</v>
      </c>
      <c r="I467" s="463">
        <f t="shared" si="23"/>
        <v>-2924.39</v>
      </c>
      <c r="J467" s="463">
        <f t="shared" si="23"/>
        <v>-35979.040000000001</v>
      </c>
      <c r="K467" s="463">
        <f t="shared" si="23"/>
        <v>-1465.17</v>
      </c>
      <c r="L467" s="463">
        <f t="shared" si="23"/>
        <v>0</v>
      </c>
      <c r="M467" s="463">
        <f t="shared" si="23"/>
        <v>-12852.44</v>
      </c>
      <c r="N467" s="463">
        <f t="shared" si="23"/>
        <v>-16343.2</v>
      </c>
      <c r="O467" s="463">
        <f t="shared" si="23"/>
        <v>-60009.599999999999</v>
      </c>
      <c r="P467" s="463">
        <f t="shared" si="23"/>
        <v>-40165.83</v>
      </c>
      <c r="Q467" s="463">
        <f t="shared" si="23"/>
        <v>-2390.64</v>
      </c>
      <c r="R467" s="463">
        <f t="shared" si="23"/>
        <v>0</v>
      </c>
      <c r="S467" s="463">
        <f t="shared" si="23"/>
        <v>0</v>
      </c>
      <c r="T467" s="463">
        <f t="shared" si="23"/>
        <v>0</v>
      </c>
      <c r="U467" s="463">
        <f t="shared" si="23"/>
        <v>0</v>
      </c>
      <c r="V467" s="463">
        <f t="shared" si="23"/>
        <v>0</v>
      </c>
      <c r="W467" s="463">
        <f t="shared" si="23"/>
        <v>0</v>
      </c>
      <c r="X467" s="463">
        <f t="shared" si="23"/>
        <v>0</v>
      </c>
      <c r="Y467" s="463">
        <f t="shared" si="23"/>
        <v>0</v>
      </c>
      <c r="Z467" s="463">
        <f t="shared" si="23"/>
        <v>0</v>
      </c>
    </row>
    <row r="468" spans="1:26" ht="12.75" customHeight="1" x14ac:dyDescent="0.25">
      <c r="C468" s="391"/>
      <c r="D468" s="220"/>
      <c r="E468" s="89"/>
      <c r="F468" s="90"/>
      <c r="G468" s="90"/>
      <c r="H468" s="90"/>
      <c r="I468" s="90"/>
      <c r="J468" s="90"/>
      <c r="K468" s="90"/>
      <c r="L468" s="90"/>
      <c r="M468" s="90"/>
      <c r="N468" s="90"/>
      <c r="O468" s="90"/>
      <c r="P468" s="90"/>
      <c r="Q468" s="90"/>
      <c r="R468" s="90"/>
    </row>
    <row r="469" spans="1:26" s="238" customFormat="1" ht="12.75" customHeight="1" x14ac:dyDescent="0.25">
      <c r="D469" s="239"/>
      <c r="E469" s="240"/>
      <c r="F469" s="240"/>
      <c r="G469" s="240"/>
      <c r="H469" s="240"/>
      <c r="I469" s="240"/>
      <c r="J469" s="240"/>
      <c r="K469" s="240"/>
      <c r="L469" s="240"/>
      <c r="M469" s="240"/>
      <c r="N469" s="240"/>
      <c r="O469" s="240"/>
      <c r="P469" s="240"/>
      <c r="Q469" s="240"/>
    </row>
    <row r="470" spans="1:26" ht="12.65" customHeight="1" x14ac:dyDescent="0.3">
      <c r="A470" s="89"/>
      <c r="B470" s="97" t="s">
        <v>93</v>
      </c>
      <c r="E470" s="90"/>
      <c r="F470" s="90"/>
      <c r="G470" s="90"/>
      <c r="H470" s="90"/>
      <c r="I470" s="90"/>
      <c r="J470" s="90"/>
      <c r="K470" s="90"/>
      <c r="L470" s="90"/>
      <c r="M470" s="90"/>
      <c r="N470" s="90"/>
      <c r="O470" s="90"/>
      <c r="P470" s="90"/>
      <c r="Q470" s="90"/>
    </row>
    <row r="471" spans="1:26" ht="12.75" customHeight="1" x14ac:dyDescent="0.25">
      <c r="F471" s="89" t="s">
        <v>70</v>
      </c>
      <c r="G471" s="89" t="s">
        <v>64</v>
      </c>
      <c r="H471" s="89" t="s">
        <v>65</v>
      </c>
      <c r="I471" s="218" t="s">
        <v>164</v>
      </c>
      <c r="J471" s="89" t="s">
        <v>69</v>
      </c>
      <c r="K471" s="89" t="s">
        <v>68</v>
      </c>
      <c r="L471" s="89" t="s">
        <v>71</v>
      </c>
      <c r="M471" s="89" t="s">
        <v>66</v>
      </c>
      <c r="N471" s="89" t="s">
        <v>63</v>
      </c>
      <c r="O471" s="89" t="s">
        <v>61</v>
      </c>
      <c r="P471" s="89" t="s">
        <v>62</v>
      </c>
      <c r="Q471" s="89" t="s">
        <v>67</v>
      </c>
      <c r="R471" s="89" t="s">
        <v>77</v>
      </c>
      <c r="S471" s="89" t="s">
        <v>80</v>
      </c>
      <c r="T471" s="89" t="s">
        <v>135</v>
      </c>
      <c r="U471" s="89" t="s">
        <v>223</v>
      </c>
      <c r="V471" s="89" t="s">
        <v>223</v>
      </c>
      <c r="W471" s="89" t="s">
        <v>172</v>
      </c>
      <c r="X471" t="s">
        <v>222</v>
      </c>
      <c r="Y471" s="89" t="s">
        <v>135</v>
      </c>
      <c r="Z471" t="s">
        <v>166</v>
      </c>
    </row>
    <row r="472" spans="1:26" ht="12.75" customHeight="1" x14ac:dyDescent="0.25">
      <c r="C472" s="89"/>
      <c r="D472" s="89"/>
      <c r="E472" t="s">
        <v>72</v>
      </c>
      <c r="F472" s="374">
        <v>-6448.05</v>
      </c>
      <c r="G472" s="90">
        <v>-525.33000000000004</v>
      </c>
      <c r="H472" s="90">
        <v>-223.17</v>
      </c>
      <c r="I472" s="90">
        <v>-97.44</v>
      </c>
      <c r="J472" s="90">
        <v>-1090.28</v>
      </c>
      <c r="K472" s="90">
        <v>-67.180000000000007</v>
      </c>
      <c r="L472" s="90">
        <v>0</v>
      </c>
      <c r="M472" s="90">
        <v>-589.29</v>
      </c>
      <c r="N472" s="90">
        <v>-493.88</v>
      </c>
      <c r="O472" s="90">
        <v>-1805.24</v>
      </c>
      <c r="P472" s="90">
        <v>-1446.62</v>
      </c>
      <c r="Q472" s="90">
        <v>-109.62</v>
      </c>
      <c r="R472" s="90">
        <v>0</v>
      </c>
      <c r="S472" s="90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</row>
    <row r="473" spans="1:26" ht="12.75" customHeight="1" x14ac:dyDescent="0.25">
      <c r="C473" s="89"/>
      <c r="D473" s="89" t="s">
        <v>156</v>
      </c>
      <c r="E473" t="s">
        <v>70</v>
      </c>
      <c r="F473" s="374">
        <v>-6448.05</v>
      </c>
      <c r="G473" s="90">
        <v>-525.33000000000004</v>
      </c>
      <c r="H473" s="90">
        <v>-223.17</v>
      </c>
      <c r="I473" s="90">
        <v>-97.44</v>
      </c>
      <c r="J473" s="90">
        <v>-1090.28</v>
      </c>
      <c r="K473" s="90">
        <v>-67.180000000000007</v>
      </c>
      <c r="L473" s="90">
        <v>0</v>
      </c>
      <c r="M473" s="90">
        <v>-589.29</v>
      </c>
      <c r="N473" s="90">
        <v>-493.88</v>
      </c>
      <c r="O473" s="90">
        <v>-1805.24</v>
      </c>
      <c r="P473" s="90">
        <v>-1446.62</v>
      </c>
      <c r="Q473" s="90">
        <v>-109.62</v>
      </c>
      <c r="R473" s="90">
        <v>0</v>
      </c>
      <c r="S473" s="90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</row>
    <row r="474" spans="1:26" s="649" customFormat="1" ht="12.75" customHeight="1" x14ac:dyDescent="0.25">
      <c r="A474" s="650"/>
      <c r="B474" s="650"/>
      <c r="C474" s="649" t="s">
        <v>155</v>
      </c>
      <c r="D474" s="649" t="s">
        <v>70</v>
      </c>
      <c r="F474" s="651">
        <v>-6448.05</v>
      </c>
      <c r="G474" s="651">
        <v>-525.33000000000004</v>
      </c>
      <c r="H474" s="651">
        <v>-223.17</v>
      </c>
      <c r="I474" s="651">
        <v>-97.44</v>
      </c>
      <c r="J474" s="651">
        <v>-1090.28</v>
      </c>
      <c r="K474" s="651">
        <v>-67.180000000000007</v>
      </c>
      <c r="L474" s="651">
        <v>0</v>
      </c>
      <c r="M474" s="651">
        <v>-589.29</v>
      </c>
      <c r="N474" s="651">
        <v>-493.88</v>
      </c>
      <c r="O474" s="651">
        <v>-1805.24</v>
      </c>
      <c r="P474" s="651">
        <v>-1446.62</v>
      </c>
      <c r="Q474" s="651">
        <v>-109.62</v>
      </c>
      <c r="R474" s="651">
        <v>0</v>
      </c>
      <c r="S474" s="651">
        <v>0</v>
      </c>
      <c r="T474" s="649">
        <v>0</v>
      </c>
      <c r="U474" s="649">
        <v>0</v>
      </c>
      <c r="V474" s="649">
        <v>0</v>
      </c>
      <c r="W474" s="649">
        <v>0</v>
      </c>
      <c r="X474" s="649">
        <v>0</v>
      </c>
      <c r="Y474" s="649">
        <v>0</v>
      </c>
      <c r="Z474" s="649">
        <v>0</v>
      </c>
    </row>
    <row r="475" spans="1:26" ht="12.75" customHeight="1" x14ac:dyDescent="0.25">
      <c r="C475" s="89"/>
      <c r="D475" s="89"/>
      <c r="E475" t="s">
        <v>72</v>
      </c>
      <c r="F475" s="374">
        <v>-6194.17</v>
      </c>
      <c r="G475" s="90">
        <v>-525.33000000000004</v>
      </c>
      <c r="H475" s="90">
        <v>-223.17</v>
      </c>
      <c r="I475" s="90">
        <v>-97.44</v>
      </c>
      <c r="J475" s="90">
        <v>-1090.28</v>
      </c>
      <c r="K475" s="90">
        <v>-44.91</v>
      </c>
      <c r="L475" s="90">
        <v>0</v>
      </c>
      <c r="M475" s="90">
        <v>-393.99</v>
      </c>
      <c r="N475" s="90">
        <v>-493.88</v>
      </c>
      <c r="O475" s="90">
        <v>-1805.25</v>
      </c>
      <c r="P475" s="90">
        <v>-1446.63</v>
      </c>
      <c r="Q475" s="90">
        <v>-73.290000000000006</v>
      </c>
      <c r="R475" s="90">
        <v>0</v>
      </c>
      <c r="S475" s="90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</row>
    <row r="476" spans="1:26" ht="12.75" customHeight="1" x14ac:dyDescent="0.25">
      <c r="C476" s="89"/>
      <c r="D476" s="89" t="s">
        <v>86</v>
      </c>
      <c r="E476" t="s">
        <v>70</v>
      </c>
      <c r="F476" s="374">
        <v>-6194.17</v>
      </c>
      <c r="G476" s="90">
        <v>-525.33000000000004</v>
      </c>
      <c r="H476" s="90">
        <v>-223.17</v>
      </c>
      <c r="I476" s="90">
        <v>-97.44</v>
      </c>
      <c r="J476" s="90">
        <v>-1090.28</v>
      </c>
      <c r="K476" s="90">
        <v>-44.91</v>
      </c>
      <c r="L476" s="90">
        <v>0</v>
      </c>
      <c r="M476" s="90">
        <v>-393.99</v>
      </c>
      <c r="N476" s="90">
        <v>-493.88</v>
      </c>
      <c r="O476" s="90">
        <v>-1805.25</v>
      </c>
      <c r="P476" s="90">
        <v>-1446.63</v>
      </c>
      <c r="Q476" s="90">
        <v>-73.290000000000006</v>
      </c>
      <c r="R476" s="90">
        <v>0</v>
      </c>
      <c r="S476" s="90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</row>
    <row r="477" spans="1:26" s="94" customFormat="1" ht="12.75" customHeight="1" x14ac:dyDescent="0.25">
      <c r="A477" s="101"/>
      <c r="B477" s="101"/>
      <c r="C477" s="94" t="s">
        <v>119</v>
      </c>
      <c r="D477" s="94" t="s">
        <v>70</v>
      </c>
      <c r="F477" s="93">
        <v>-6194.17</v>
      </c>
      <c r="G477" s="93">
        <v>-525.33000000000004</v>
      </c>
      <c r="H477" s="93">
        <v>-223.17</v>
      </c>
      <c r="I477" s="93">
        <v>-97.44</v>
      </c>
      <c r="J477" s="93">
        <v>-1090.28</v>
      </c>
      <c r="K477" s="93">
        <v>-44.91</v>
      </c>
      <c r="L477" s="93">
        <v>0</v>
      </c>
      <c r="M477" s="93">
        <v>-393.99</v>
      </c>
      <c r="N477" s="93">
        <v>-493.88</v>
      </c>
      <c r="O477" s="93">
        <v>-1805.25</v>
      </c>
      <c r="P477" s="93">
        <v>-1446.63</v>
      </c>
      <c r="Q477" s="93">
        <v>-73.290000000000006</v>
      </c>
      <c r="R477" s="93">
        <v>0</v>
      </c>
      <c r="S477" s="93">
        <v>0</v>
      </c>
      <c r="T477" s="94">
        <v>0</v>
      </c>
      <c r="U477" s="94">
        <v>0</v>
      </c>
      <c r="V477" s="94">
        <v>0</v>
      </c>
      <c r="W477" s="94">
        <v>0</v>
      </c>
      <c r="X477" s="94">
        <v>0</v>
      </c>
      <c r="Y477" s="94">
        <v>0</v>
      </c>
      <c r="Z477" s="94">
        <v>0</v>
      </c>
    </row>
    <row r="478" spans="1:26" ht="12.75" customHeight="1" x14ac:dyDescent="0.25">
      <c r="B478" t="s">
        <v>112</v>
      </c>
      <c r="C478" s="89" t="s">
        <v>70</v>
      </c>
      <c r="D478" s="89"/>
      <c r="F478" s="374">
        <v>-12642.22</v>
      </c>
      <c r="G478" s="90">
        <v>-1050.6600000000001</v>
      </c>
      <c r="H478" s="90">
        <v>-446.34</v>
      </c>
      <c r="I478" s="90">
        <v>-194.88</v>
      </c>
      <c r="J478" s="90">
        <v>-2180.56</v>
      </c>
      <c r="K478" s="90">
        <v>-112.09</v>
      </c>
      <c r="L478" s="90">
        <v>0</v>
      </c>
      <c r="M478" s="90">
        <v>-983.28</v>
      </c>
      <c r="N478" s="90">
        <v>-987.76</v>
      </c>
      <c r="O478" s="90">
        <v>-3610.49</v>
      </c>
      <c r="P478" s="90">
        <v>-2893.25</v>
      </c>
      <c r="Q478" s="90">
        <v>-182.91</v>
      </c>
      <c r="R478" s="90">
        <v>0</v>
      </c>
      <c r="S478" s="90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</row>
    <row r="479" spans="1:26" s="461" customFormat="1" ht="12.75" customHeight="1" x14ac:dyDescent="0.25">
      <c r="A479" s="461" t="s">
        <v>185</v>
      </c>
      <c r="B479" s="461" t="s">
        <v>70</v>
      </c>
      <c r="C479" s="462"/>
      <c r="D479" s="462"/>
      <c r="F479" s="748">
        <v>-12642.22</v>
      </c>
      <c r="G479" s="463">
        <v>-1050.6600000000001</v>
      </c>
      <c r="H479" s="463">
        <v>-446.34</v>
      </c>
      <c r="I479" s="463">
        <v>-194.88</v>
      </c>
      <c r="J479" s="463">
        <v>-2180.56</v>
      </c>
      <c r="K479" s="463">
        <v>-112.09</v>
      </c>
      <c r="L479" s="463">
        <v>0</v>
      </c>
      <c r="M479" s="463">
        <v>-983.28</v>
      </c>
      <c r="N479" s="463">
        <v>-987.76</v>
      </c>
      <c r="O479" s="463">
        <v>-3610.49</v>
      </c>
      <c r="P479" s="463">
        <v>-2893.25</v>
      </c>
      <c r="Q479" s="463">
        <v>-182.91</v>
      </c>
      <c r="R479" s="463">
        <v>0</v>
      </c>
      <c r="S479" s="463">
        <v>0</v>
      </c>
      <c r="T479" s="461">
        <v>0</v>
      </c>
      <c r="U479" s="461">
        <v>0</v>
      </c>
      <c r="V479" s="461">
        <v>0</v>
      </c>
      <c r="W479" s="461">
        <v>0</v>
      </c>
      <c r="X479" s="461">
        <v>0</v>
      </c>
      <c r="Y479" s="461">
        <v>0</v>
      </c>
      <c r="Z479" s="461">
        <v>0</v>
      </c>
    </row>
    <row r="480" spans="1:26" ht="12.75" customHeight="1" x14ac:dyDescent="0.25">
      <c r="C480" s="89"/>
      <c r="D480" s="89"/>
      <c r="E480" t="s">
        <v>72</v>
      </c>
      <c r="F480" s="374">
        <v>8441578652.9099998</v>
      </c>
      <c r="G480" s="90">
        <v>473070284.37</v>
      </c>
      <c r="H480" s="90">
        <v>266158826.21000001</v>
      </c>
      <c r="I480" s="90">
        <v>137071439.80000001</v>
      </c>
      <c r="J480" s="90">
        <v>1776930458.3199999</v>
      </c>
      <c r="K480" s="90">
        <v>68733001.079999998</v>
      </c>
      <c r="L480" s="90">
        <v>10829501</v>
      </c>
      <c r="M480" s="90">
        <v>603416256.07000005</v>
      </c>
      <c r="N480" s="90">
        <v>588612811.94000006</v>
      </c>
      <c r="O480" s="90">
        <v>3028329065.4099998</v>
      </c>
      <c r="P480" s="90">
        <v>1376349046.1800001</v>
      </c>
      <c r="Q480" s="90">
        <v>112158349.83</v>
      </c>
      <c r="R480" s="90">
        <v>-80387.3</v>
      </c>
      <c r="S480" s="9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</row>
    <row r="481" spans="1:26" ht="12.75" customHeight="1" x14ac:dyDescent="0.25">
      <c r="C481" s="89"/>
      <c r="D481" s="89"/>
      <c r="E481" t="s">
        <v>81</v>
      </c>
      <c r="F481" s="90">
        <v>8264968.2300000004</v>
      </c>
      <c r="G481" s="90">
        <v>774367.51</v>
      </c>
      <c r="H481" s="90">
        <v>385722.34</v>
      </c>
      <c r="I481" s="90">
        <v>183942.42</v>
      </c>
      <c r="J481" s="90">
        <v>1391904.03</v>
      </c>
      <c r="K481" s="90">
        <v>60843.26</v>
      </c>
      <c r="L481" s="90">
        <v>2308.91</v>
      </c>
      <c r="M481" s="90">
        <v>532642.09</v>
      </c>
      <c r="N481" s="90">
        <v>474724.6</v>
      </c>
      <c r="O481" s="90">
        <v>2122915.91</v>
      </c>
      <c r="P481" s="90">
        <v>2236307.7599999998</v>
      </c>
      <c r="Q481" s="90">
        <v>99310.75</v>
      </c>
      <c r="R481" s="90">
        <v>15.89</v>
      </c>
      <c r="S481" s="90">
        <v>0</v>
      </c>
      <c r="T481">
        <v>3.92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-41.16</v>
      </c>
    </row>
    <row r="482" spans="1:26" ht="12.75" customHeight="1" x14ac:dyDescent="0.25">
      <c r="D482" t="s">
        <v>156</v>
      </c>
      <c r="E482" s="89" t="s">
        <v>70</v>
      </c>
      <c r="F482" s="90">
        <v>8449843621.1400003</v>
      </c>
      <c r="G482" s="90">
        <v>473844651.88</v>
      </c>
      <c r="H482" s="90">
        <v>266544548.55000001</v>
      </c>
      <c r="I482" s="90">
        <v>137255382.22</v>
      </c>
      <c r="J482" s="90">
        <v>1778322362.3499999</v>
      </c>
      <c r="K482" s="90">
        <v>68793844.340000004</v>
      </c>
      <c r="L482" s="90">
        <v>10831809.91</v>
      </c>
      <c r="M482" s="90">
        <v>603948898.15999997</v>
      </c>
      <c r="N482" s="90">
        <v>589087536.53999996</v>
      </c>
      <c r="O482" s="90">
        <v>3030451981.3200002</v>
      </c>
      <c r="P482" s="90">
        <v>1378585353.9400001</v>
      </c>
      <c r="Q482" s="90">
        <v>112257660.58</v>
      </c>
      <c r="R482" s="90">
        <v>-80371.41</v>
      </c>
      <c r="S482" s="90">
        <v>0</v>
      </c>
      <c r="T482">
        <v>3.92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-41.16</v>
      </c>
    </row>
    <row r="483" spans="1:26" s="649" customFormat="1" ht="12.75" customHeight="1" x14ac:dyDescent="0.25">
      <c r="A483" s="650"/>
      <c r="B483" s="650"/>
      <c r="C483" s="649" t="s">
        <v>155</v>
      </c>
      <c r="D483" s="649" t="s">
        <v>70</v>
      </c>
      <c r="F483" s="651">
        <v>8449843621.1400003</v>
      </c>
      <c r="G483" s="651">
        <v>473844651.88</v>
      </c>
      <c r="H483" s="651">
        <v>266544548.55000001</v>
      </c>
      <c r="I483" s="651">
        <v>137255382.22</v>
      </c>
      <c r="J483" s="651">
        <v>1778322362.3499999</v>
      </c>
      <c r="K483" s="651">
        <v>68793844.340000004</v>
      </c>
      <c r="L483" s="651">
        <v>10831809.91</v>
      </c>
      <c r="M483" s="651">
        <v>603948898.15999997</v>
      </c>
      <c r="N483" s="651">
        <v>589087536.53999996</v>
      </c>
      <c r="O483" s="651">
        <v>3030451981.3200002</v>
      </c>
      <c r="P483" s="651">
        <v>1378585353.9400001</v>
      </c>
      <c r="Q483" s="651">
        <v>112257660.58</v>
      </c>
      <c r="R483" s="651">
        <v>-80371.41</v>
      </c>
      <c r="S483" s="651">
        <v>0</v>
      </c>
      <c r="T483" s="649">
        <v>3.92</v>
      </c>
      <c r="U483" s="649">
        <v>0</v>
      </c>
      <c r="V483" s="649">
        <v>0</v>
      </c>
      <c r="W483" s="649">
        <v>0</v>
      </c>
      <c r="X483" s="649">
        <v>0</v>
      </c>
      <c r="Y483" s="649">
        <v>0</v>
      </c>
      <c r="Z483" s="649">
        <v>-41.16</v>
      </c>
    </row>
    <row r="484" spans="1:26" ht="12.75" customHeight="1" x14ac:dyDescent="0.25">
      <c r="E484" s="89" t="s">
        <v>72</v>
      </c>
      <c r="F484" s="90">
        <v>147144339.71000001</v>
      </c>
      <c r="G484" s="90">
        <v>8715906.9900000002</v>
      </c>
      <c r="H484" s="90">
        <v>4854878.16</v>
      </c>
      <c r="I484" s="90">
        <v>2597086</v>
      </c>
      <c r="J484" s="90">
        <v>30665942.239999998</v>
      </c>
      <c r="K484" s="90">
        <v>1155486.3899999999</v>
      </c>
      <c r="L484" s="90">
        <v>0</v>
      </c>
      <c r="M484" s="90">
        <v>10072244.24</v>
      </c>
      <c r="N484" s="90">
        <v>9893010.4900000002</v>
      </c>
      <c r="O484" s="90">
        <v>52263426.57</v>
      </c>
      <c r="P484" s="90">
        <v>25034032.859999999</v>
      </c>
      <c r="Q484" s="90">
        <v>1890226.15</v>
      </c>
      <c r="R484" s="90">
        <v>2099.62</v>
      </c>
      <c r="S484" s="90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</row>
    <row r="485" spans="1:26" ht="12.75" customHeight="1" x14ac:dyDescent="0.25">
      <c r="E485" s="89" t="s">
        <v>81</v>
      </c>
      <c r="F485" s="374">
        <v>79781.66</v>
      </c>
      <c r="G485" s="90">
        <v>4644.6400000000003</v>
      </c>
      <c r="H485" s="90">
        <v>2385.5500000000002</v>
      </c>
      <c r="I485" s="90">
        <v>1331</v>
      </c>
      <c r="J485" s="90">
        <v>16772.2</v>
      </c>
      <c r="K485" s="90">
        <v>531.04999999999995</v>
      </c>
      <c r="L485" s="90">
        <v>139.96</v>
      </c>
      <c r="M485" s="90">
        <v>4776.24</v>
      </c>
      <c r="N485" s="90">
        <v>5555.68</v>
      </c>
      <c r="O485" s="90">
        <v>28525.24</v>
      </c>
      <c r="P485" s="90">
        <v>14258.78</v>
      </c>
      <c r="Q485" s="90">
        <v>863</v>
      </c>
      <c r="R485" s="90">
        <v>-1.66</v>
      </c>
      <c r="S485" s="90">
        <v>-0.02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</row>
    <row r="486" spans="1:26" ht="12.75" customHeight="1" x14ac:dyDescent="0.25">
      <c r="D486" t="s">
        <v>156</v>
      </c>
      <c r="E486" s="89" t="s">
        <v>70</v>
      </c>
      <c r="F486" s="374">
        <v>147224121.37</v>
      </c>
      <c r="G486" s="90">
        <v>8720551.6300000008</v>
      </c>
      <c r="H486" s="90">
        <v>4857263.71</v>
      </c>
      <c r="I486" s="90">
        <v>2598417</v>
      </c>
      <c r="J486" s="90">
        <v>30682714.440000001</v>
      </c>
      <c r="K486" s="90">
        <v>1156017.44</v>
      </c>
      <c r="L486" s="90">
        <v>139.96</v>
      </c>
      <c r="M486" s="90">
        <v>10077020.48</v>
      </c>
      <c r="N486" s="90">
        <v>9898566.1699999999</v>
      </c>
      <c r="O486" s="90">
        <v>52291951.810000002</v>
      </c>
      <c r="P486" s="90">
        <v>25048291.640000001</v>
      </c>
      <c r="Q486" s="90">
        <v>1891089.15</v>
      </c>
      <c r="R486" s="90">
        <v>2097.96</v>
      </c>
      <c r="S486" s="90">
        <v>-0.02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</row>
    <row r="487" spans="1:26" s="742" customFormat="1" ht="12.65" customHeight="1" x14ac:dyDescent="0.25">
      <c r="C487" s="742" t="s">
        <v>326</v>
      </c>
      <c r="D487" s="742" t="s">
        <v>70</v>
      </c>
      <c r="E487" s="743"/>
      <c r="F487" s="744">
        <v>147224121.37</v>
      </c>
      <c r="G487" s="745">
        <v>8720551.6300000008</v>
      </c>
      <c r="H487" s="745">
        <v>4857263.71</v>
      </c>
      <c r="I487" s="745">
        <v>2598417</v>
      </c>
      <c r="J487" s="745">
        <v>30682714.440000001</v>
      </c>
      <c r="K487" s="745">
        <v>1156017.44</v>
      </c>
      <c r="L487" s="745">
        <v>139.96</v>
      </c>
      <c r="M487" s="745">
        <v>10077020.48</v>
      </c>
      <c r="N487" s="745">
        <v>9898566.1699999999</v>
      </c>
      <c r="O487" s="745">
        <v>52291951.810000002</v>
      </c>
      <c r="P487" s="745">
        <v>25048291.640000001</v>
      </c>
      <c r="Q487" s="745">
        <v>1891089.15</v>
      </c>
      <c r="R487" s="745">
        <v>2097.96</v>
      </c>
      <c r="S487" s="745">
        <v>-0.02</v>
      </c>
      <c r="T487" s="742">
        <v>0</v>
      </c>
      <c r="U487" s="742">
        <v>0</v>
      </c>
      <c r="V487" s="742">
        <v>0</v>
      </c>
      <c r="W487" s="742">
        <v>0</v>
      </c>
      <c r="X487" s="742">
        <v>0</v>
      </c>
      <c r="Y487" s="742">
        <v>0</v>
      </c>
      <c r="Z487" s="742">
        <v>0</v>
      </c>
    </row>
    <row r="488" spans="1:26" ht="12.75" customHeight="1" x14ac:dyDescent="0.25">
      <c r="E488" s="89" t="s">
        <v>72</v>
      </c>
      <c r="F488" s="374">
        <v>11206358.210000001</v>
      </c>
      <c r="G488" s="90">
        <v>537089.56000000006</v>
      </c>
      <c r="H488" s="90">
        <v>298718.48</v>
      </c>
      <c r="I488" s="90">
        <v>156686.97</v>
      </c>
      <c r="J488" s="90">
        <v>1639171.31</v>
      </c>
      <c r="K488" s="90">
        <v>85752.67</v>
      </c>
      <c r="L488" s="90">
        <v>0</v>
      </c>
      <c r="M488" s="90">
        <v>744451.06</v>
      </c>
      <c r="N488" s="90">
        <v>974111.63</v>
      </c>
      <c r="O488" s="90">
        <v>5094151.04</v>
      </c>
      <c r="P488" s="90">
        <v>1531836.33</v>
      </c>
      <c r="Q488" s="90">
        <v>144419.92000000001</v>
      </c>
      <c r="R488" s="90">
        <v>-30.76</v>
      </c>
      <c r="S488" s="90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</row>
    <row r="489" spans="1:26" ht="12.75" customHeight="1" x14ac:dyDescent="0.25">
      <c r="E489" s="89" t="s">
        <v>81</v>
      </c>
      <c r="F489" s="90">
        <v>-228746.31</v>
      </c>
      <c r="G489" s="90">
        <v>-12956.85</v>
      </c>
      <c r="H489" s="90">
        <v>-5750.39</v>
      </c>
      <c r="I489" s="90">
        <v>-1883.47</v>
      </c>
      <c r="J489" s="90">
        <v>-51760.800000000003</v>
      </c>
      <c r="K489" s="90">
        <v>-2936.57</v>
      </c>
      <c r="L489" s="90">
        <v>0</v>
      </c>
      <c r="M489" s="90">
        <v>-25854.69</v>
      </c>
      <c r="N489" s="90">
        <v>-19751.63</v>
      </c>
      <c r="O489" s="90">
        <v>-67633.89</v>
      </c>
      <c r="P489" s="90">
        <v>-35447.949999999997</v>
      </c>
      <c r="Q489" s="90">
        <v>-4772.7299999999996</v>
      </c>
      <c r="R489" s="90">
        <v>0.14000000000000001</v>
      </c>
      <c r="S489" s="90">
        <v>2.52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</row>
    <row r="490" spans="1:26" ht="12.75" customHeight="1" x14ac:dyDescent="0.25">
      <c r="D490" s="89" t="s">
        <v>82</v>
      </c>
      <c r="E490" s="89" t="s">
        <v>70</v>
      </c>
      <c r="F490" s="90">
        <v>10977611.9</v>
      </c>
      <c r="G490" s="90">
        <v>524132.71</v>
      </c>
      <c r="H490" s="90">
        <v>292968.09000000003</v>
      </c>
      <c r="I490" s="90">
        <v>154803.5</v>
      </c>
      <c r="J490" s="90">
        <v>1587410.51</v>
      </c>
      <c r="K490" s="90">
        <v>82816.100000000006</v>
      </c>
      <c r="L490" s="90">
        <v>0</v>
      </c>
      <c r="M490" s="90">
        <v>718596.37</v>
      </c>
      <c r="N490" s="90">
        <v>954360</v>
      </c>
      <c r="O490" s="90">
        <v>5026517.1500000004</v>
      </c>
      <c r="P490" s="90">
        <v>1496388.38</v>
      </c>
      <c r="Q490" s="90">
        <v>139647.19</v>
      </c>
      <c r="R490" s="90">
        <v>-30.62</v>
      </c>
      <c r="S490" s="90">
        <v>2.52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</row>
    <row r="491" spans="1:26" ht="12.75" customHeight="1" x14ac:dyDescent="0.25">
      <c r="C491" s="89"/>
      <c r="D491" s="89"/>
      <c r="E491" t="s">
        <v>72</v>
      </c>
      <c r="F491" s="90">
        <v>31508933.920000002</v>
      </c>
      <c r="G491" s="90">
        <v>1951328.21</v>
      </c>
      <c r="H491" s="90">
        <v>984604.51</v>
      </c>
      <c r="I491" s="90">
        <v>499663.61</v>
      </c>
      <c r="J491" s="90">
        <v>4236848.46</v>
      </c>
      <c r="K491" s="90">
        <v>289347.98</v>
      </c>
      <c r="L491" s="90">
        <v>0</v>
      </c>
      <c r="M491" s="90">
        <v>2554329.39</v>
      </c>
      <c r="N491" s="90">
        <v>2495169.66</v>
      </c>
      <c r="O491" s="90">
        <v>12345844.560000001</v>
      </c>
      <c r="P491" s="90">
        <v>5678472.1699999999</v>
      </c>
      <c r="Q491" s="90">
        <v>473491.84</v>
      </c>
      <c r="R491" s="90">
        <v>-166.47</v>
      </c>
      <c r="S491" s="90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</row>
    <row r="492" spans="1:26" ht="12.75" customHeight="1" x14ac:dyDescent="0.25">
      <c r="B492" s="89"/>
      <c r="C492" s="89"/>
      <c r="E492" t="s">
        <v>81</v>
      </c>
      <c r="F492" s="90">
        <v>3109372.79</v>
      </c>
      <c r="G492" s="90">
        <v>262462.86</v>
      </c>
      <c r="H492" s="90">
        <v>117478.85</v>
      </c>
      <c r="I492" s="90">
        <v>55857.53</v>
      </c>
      <c r="J492" s="90">
        <v>536595.78</v>
      </c>
      <c r="K492" s="90">
        <v>25487.88</v>
      </c>
      <c r="L492" s="90">
        <v>0</v>
      </c>
      <c r="M492" s="90">
        <v>222242.83</v>
      </c>
      <c r="N492" s="90">
        <v>199689.13</v>
      </c>
      <c r="O492" s="90">
        <v>874286.64</v>
      </c>
      <c r="P492" s="90">
        <v>773721.59999999998</v>
      </c>
      <c r="Q492" s="90">
        <v>41588.25</v>
      </c>
      <c r="R492" s="90">
        <v>30.33</v>
      </c>
      <c r="S492" s="90">
        <v>-0.19</v>
      </c>
      <c r="T492">
        <v>0.72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-69.42</v>
      </c>
    </row>
    <row r="493" spans="1:26" ht="12.75" customHeight="1" x14ac:dyDescent="0.25">
      <c r="A493" s="89"/>
      <c r="B493" s="89"/>
      <c r="D493" t="s">
        <v>86</v>
      </c>
      <c r="E493" t="s">
        <v>70</v>
      </c>
      <c r="F493" s="90">
        <v>34618306.710000001</v>
      </c>
      <c r="G493" s="90">
        <v>2213791.0699999998</v>
      </c>
      <c r="H493" s="90">
        <v>1102083.3600000001</v>
      </c>
      <c r="I493" s="90">
        <v>555521.14</v>
      </c>
      <c r="J493" s="90">
        <v>4773444.24</v>
      </c>
      <c r="K493" s="90">
        <v>314835.86</v>
      </c>
      <c r="L493" s="90">
        <v>0</v>
      </c>
      <c r="M493" s="90">
        <v>2776572.22</v>
      </c>
      <c r="N493" s="90">
        <v>2694858.79</v>
      </c>
      <c r="O493" s="90">
        <v>13220131.199999999</v>
      </c>
      <c r="P493" s="90">
        <v>6452193.7699999996</v>
      </c>
      <c r="Q493" s="90">
        <v>515080.09</v>
      </c>
      <c r="R493" s="90">
        <v>-136.13999999999999</v>
      </c>
      <c r="S493" s="90">
        <v>-0.19</v>
      </c>
      <c r="T493">
        <v>0.72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-69.42</v>
      </c>
    </row>
    <row r="494" spans="1:26" ht="12.75" customHeight="1" x14ac:dyDescent="0.25">
      <c r="E494" s="89" t="s">
        <v>72</v>
      </c>
      <c r="F494" s="90">
        <v>85806812.590000004</v>
      </c>
      <c r="G494" s="90">
        <v>11057910.52</v>
      </c>
      <c r="H494" s="90">
        <v>6113395.8200000003</v>
      </c>
      <c r="I494" s="90">
        <v>3267971</v>
      </c>
      <c r="J494" s="90">
        <v>4055211.19</v>
      </c>
      <c r="K494" s="90">
        <v>138590.88</v>
      </c>
      <c r="L494" s="90">
        <v>16100000</v>
      </c>
      <c r="M494" s="90">
        <v>1207844.81</v>
      </c>
      <c r="N494" s="90">
        <v>1695196.96</v>
      </c>
      <c r="O494" s="90">
        <v>8855603.5099999998</v>
      </c>
      <c r="P494" s="90">
        <v>33081467.370000001</v>
      </c>
      <c r="Q494" s="90">
        <v>233591.14</v>
      </c>
      <c r="R494" s="90">
        <v>29.39</v>
      </c>
      <c r="S494" s="90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</row>
    <row r="495" spans="1:26" ht="12.75" customHeight="1" x14ac:dyDescent="0.25">
      <c r="A495" s="89"/>
      <c r="B495" s="89"/>
      <c r="E495" t="s">
        <v>81</v>
      </c>
      <c r="F495" s="90">
        <v>2682705.7400000002</v>
      </c>
      <c r="G495" s="90">
        <v>505122.23</v>
      </c>
      <c r="H495" s="90">
        <v>249031.03</v>
      </c>
      <c r="I495" s="90">
        <v>138286.57</v>
      </c>
      <c r="J495" s="90">
        <v>86067.77</v>
      </c>
      <c r="K495" s="90">
        <v>2348.09</v>
      </c>
      <c r="L495" s="90">
        <v>1746.85</v>
      </c>
      <c r="M495" s="90">
        <v>20525.509999999998</v>
      </c>
      <c r="N495" s="90">
        <v>27030.93</v>
      </c>
      <c r="O495" s="90">
        <v>136815.44</v>
      </c>
      <c r="P495" s="90">
        <v>1511857.06</v>
      </c>
      <c r="Q495" s="90">
        <v>3874.3</v>
      </c>
      <c r="R495" s="90">
        <v>0.04</v>
      </c>
      <c r="S495" s="90">
        <v>-0.08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</row>
    <row r="496" spans="1:26" ht="12.5" customHeight="1" x14ac:dyDescent="0.25">
      <c r="D496" t="s">
        <v>87</v>
      </c>
      <c r="E496" s="89" t="s">
        <v>70</v>
      </c>
      <c r="F496" s="90">
        <v>88489518.329999998</v>
      </c>
      <c r="G496" s="90">
        <v>11563032.75</v>
      </c>
      <c r="H496" s="90">
        <v>6362426.8499999996</v>
      </c>
      <c r="I496" s="90">
        <v>3406257.57</v>
      </c>
      <c r="J496" s="90">
        <v>4141278.96</v>
      </c>
      <c r="K496" s="90">
        <v>140938.97</v>
      </c>
      <c r="L496" s="90">
        <v>16101746.85</v>
      </c>
      <c r="M496" s="90">
        <v>1228370.32</v>
      </c>
      <c r="N496" s="90">
        <v>1722227.89</v>
      </c>
      <c r="O496" s="90">
        <v>8992418.9499999993</v>
      </c>
      <c r="P496" s="90">
        <v>34593324.43</v>
      </c>
      <c r="Q496" s="90">
        <v>237465.44</v>
      </c>
      <c r="R496" s="90">
        <v>29.43</v>
      </c>
      <c r="S496" s="90">
        <v>-0.08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</row>
    <row r="497" spans="1:26" s="94" customFormat="1" ht="12.75" customHeight="1" x14ac:dyDescent="0.25">
      <c r="A497" s="101"/>
      <c r="B497" s="101"/>
      <c r="C497" s="94" t="s">
        <v>119</v>
      </c>
      <c r="D497" s="94" t="s">
        <v>70</v>
      </c>
      <c r="F497" s="93">
        <v>134085436.94</v>
      </c>
      <c r="G497" s="93">
        <v>14300956.529999999</v>
      </c>
      <c r="H497" s="93">
        <v>7757478.2999999998</v>
      </c>
      <c r="I497" s="93">
        <v>4116582.21</v>
      </c>
      <c r="J497" s="93">
        <v>10502133.710000001</v>
      </c>
      <c r="K497" s="93">
        <v>538590.93000000005</v>
      </c>
      <c r="L497" s="93">
        <v>16101746.85</v>
      </c>
      <c r="M497" s="93">
        <v>4723538.91</v>
      </c>
      <c r="N497" s="93">
        <v>5371446.6799999997</v>
      </c>
      <c r="O497" s="93">
        <v>27239067.300000001</v>
      </c>
      <c r="P497" s="93">
        <v>42541906.579999998</v>
      </c>
      <c r="Q497" s="93">
        <v>892192.72</v>
      </c>
      <c r="R497" s="93">
        <v>-137.33000000000001</v>
      </c>
      <c r="S497" s="93">
        <v>2.25</v>
      </c>
      <c r="T497" s="94">
        <v>0.72</v>
      </c>
      <c r="U497" s="94">
        <v>0</v>
      </c>
      <c r="V497" s="94">
        <v>0</v>
      </c>
      <c r="W497" s="94">
        <v>0</v>
      </c>
      <c r="X497" s="94">
        <v>0</v>
      </c>
      <c r="Y497" s="94">
        <v>0</v>
      </c>
      <c r="Z497" s="94">
        <v>-69.42</v>
      </c>
    </row>
    <row r="498" spans="1:26" s="226" customFormat="1" ht="12.75" customHeight="1" x14ac:dyDescent="0.25">
      <c r="B498" s="226" t="s">
        <v>112</v>
      </c>
      <c r="C498" s="226" t="s">
        <v>70</v>
      </c>
      <c r="E498" s="98"/>
      <c r="F498" s="100">
        <v>8731153179.4500008</v>
      </c>
      <c r="G498" s="100">
        <v>496866160.04000002</v>
      </c>
      <c r="H498" s="100">
        <v>279159290.56</v>
      </c>
      <c r="I498" s="100">
        <v>143970381.43000001</v>
      </c>
      <c r="J498" s="100">
        <v>1819507210.5</v>
      </c>
      <c r="K498" s="100">
        <v>70488452.709999993</v>
      </c>
      <c r="L498" s="100">
        <v>26933696.719999999</v>
      </c>
      <c r="M498" s="100">
        <v>618749457.54999995</v>
      </c>
      <c r="N498" s="100">
        <v>604357549.38999999</v>
      </c>
      <c r="O498" s="100">
        <v>3109983000.4299998</v>
      </c>
      <c r="P498" s="100">
        <v>1446175552.1600001</v>
      </c>
      <c r="Q498" s="100">
        <v>115040942.45</v>
      </c>
      <c r="R498" s="100">
        <v>-78410.78</v>
      </c>
      <c r="S498" s="100">
        <v>2.23</v>
      </c>
      <c r="T498" s="226">
        <v>4.6399999999999997</v>
      </c>
      <c r="U498" s="226">
        <v>0</v>
      </c>
      <c r="V498" s="226">
        <v>0</v>
      </c>
      <c r="W498" s="226">
        <v>0</v>
      </c>
      <c r="X498" s="226">
        <v>0</v>
      </c>
      <c r="Y498" s="226">
        <v>0</v>
      </c>
      <c r="Z498" s="226">
        <v>-110.58</v>
      </c>
    </row>
    <row r="499" spans="1:26" ht="13.5" customHeight="1" x14ac:dyDescent="0.25">
      <c r="A499" t="s">
        <v>78</v>
      </c>
      <c r="B499" t="s">
        <v>70</v>
      </c>
      <c r="E499" s="89"/>
      <c r="F499" s="90">
        <v>8731153179.4500008</v>
      </c>
      <c r="G499" s="90">
        <v>496866160.04000002</v>
      </c>
      <c r="H499" s="90">
        <v>279159290.56</v>
      </c>
      <c r="I499" s="90">
        <v>143970381.43000001</v>
      </c>
      <c r="J499" s="90">
        <v>1819507210.5</v>
      </c>
      <c r="K499" s="90">
        <v>70488452.709999993</v>
      </c>
      <c r="L499" s="90">
        <v>26933696.719999999</v>
      </c>
      <c r="M499" s="90">
        <v>618749457.54999995</v>
      </c>
      <c r="N499" s="90">
        <v>604357549.38999999</v>
      </c>
      <c r="O499" s="90">
        <v>3109983000.4299998</v>
      </c>
      <c r="P499" s="90">
        <v>1446175552.1600001</v>
      </c>
      <c r="Q499" s="90">
        <v>115040942.45</v>
      </c>
      <c r="R499" s="90">
        <v>-78410.78</v>
      </c>
      <c r="S499" s="90">
        <v>2.23</v>
      </c>
      <c r="T499">
        <v>4.6399999999999997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-110.58</v>
      </c>
    </row>
    <row r="500" spans="1:26" ht="12.75" customHeight="1" x14ac:dyDescent="0.25">
      <c r="E500" s="89" t="s">
        <v>73</v>
      </c>
      <c r="F500" s="374">
        <v>-209268624.09</v>
      </c>
      <c r="G500" s="90">
        <v>11464231.779999999</v>
      </c>
      <c r="H500" s="90">
        <v>6446123.5199999996</v>
      </c>
      <c r="I500" s="90">
        <v>3344340.57</v>
      </c>
      <c r="J500" s="90">
        <v>-77325974.069999993</v>
      </c>
      <c r="K500" s="90">
        <v>-2895505.48</v>
      </c>
      <c r="L500" s="90">
        <v>0</v>
      </c>
      <c r="M500" s="90">
        <v>-25415784.879999999</v>
      </c>
      <c r="N500" s="90">
        <v>-26050856</v>
      </c>
      <c r="O500" s="90">
        <v>-128357522.86</v>
      </c>
      <c r="P500" s="90">
        <v>34246810.170000002</v>
      </c>
      <c r="Q500" s="90">
        <v>-4724486.84</v>
      </c>
      <c r="R500" s="90">
        <v>0</v>
      </c>
      <c r="S500" s="9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</row>
    <row r="501" spans="1:26" ht="12.75" customHeight="1" x14ac:dyDescent="0.25">
      <c r="D501" t="s">
        <v>156</v>
      </c>
      <c r="E501" s="89" t="s">
        <v>70</v>
      </c>
      <c r="F501" s="374">
        <v>-209268624.09</v>
      </c>
      <c r="G501" s="90">
        <v>11464231.779999999</v>
      </c>
      <c r="H501" s="90">
        <v>6446123.5199999996</v>
      </c>
      <c r="I501" s="90">
        <v>3344340.57</v>
      </c>
      <c r="J501" s="90">
        <v>-77325974.069999993</v>
      </c>
      <c r="K501" s="90">
        <v>-2895505.48</v>
      </c>
      <c r="L501" s="90">
        <v>0</v>
      </c>
      <c r="M501" s="90">
        <v>-25415784.879999999</v>
      </c>
      <c r="N501" s="90">
        <v>-26050856</v>
      </c>
      <c r="O501" s="90">
        <v>-128357522.86</v>
      </c>
      <c r="P501" s="90">
        <v>34246810.170000002</v>
      </c>
      <c r="Q501" s="90">
        <v>-4724486.84</v>
      </c>
      <c r="R501" s="90">
        <v>0</v>
      </c>
      <c r="S501" s="90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</row>
    <row r="502" spans="1:26" s="649" customFormat="1" ht="12.75" customHeight="1" x14ac:dyDescent="0.25">
      <c r="A502" s="650"/>
      <c r="B502" s="650"/>
      <c r="C502" s="649" t="s">
        <v>155</v>
      </c>
      <c r="D502" s="649" t="s">
        <v>70</v>
      </c>
      <c r="F502" s="651">
        <v>-209268624.09</v>
      </c>
      <c r="G502" s="651">
        <v>11464231.779999999</v>
      </c>
      <c r="H502" s="651">
        <v>6446123.5199999996</v>
      </c>
      <c r="I502" s="651">
        <v>3344340.57</v>
      </c>
      <c r="J502" s="651">
        <v>-77325974.069999993</v>
      </c>
      <c r="K502" s="651">
        <v>-2895505.48</v>
      </c>
      <c r="L502" s="651">
        <v>0</v>
      </c>
      <c r="M502" s="651">
        <v>-25415784.879999999</v>
      </c>
      <c r="N502" s="651">
        <v>-26050856</v>
      </c>
      <c r="O502" s="651">
        <v>-128357522.86</v>
      </c>
      <c r="P502" s="651">
        <v>34246810.170000002</v>
      </c>
      <c r="Q502" s="651">
        <v>-4724486.84</v>
      </c>
      <c r="R502" s="651">
        <v>0</v>
      </c>
      <c r="S502" s="651">
        <v>0</v>
      </c>
      <c r="T502" s="649">
        <v>0</v>
      </c>
      <c r="U502" s="649">
        <v>0</v>
      </c>
      <c r="V502" s="649">
        <v>0</v>
      </c>
      <c r="W502" s="649">
        <v>0</v>
      </c>
      <c r="X502" s="649">
        <v>0</v>
      </c>
      <c r="Y502" s="649">
        <v>0</v>
      </c>
      <c r="Z502" s="649">
        <v>0</v>
      </c>
    </row>
    <row r="503" spans="1:26" ht="12.75" customHeight="1" x14ac:dyDescent="0.25">
      <c r="E503" s="89" t="s">
        <v>73</v>
      </c>
      <c r="F503" s="374">
        <v>-20851206.370000001</v>
      </c>
      <c r="G503" s="90">
        <v>-1129768.81</v>
      </c>
      <c r="H503" s="90">
        <v>-632555.39</v>
      </c>
      <c r="I503" s="90">
        <v>-328155.02</v>
      </c>
      <c r="J503" s="90">
        <v>-4502648.38</v>
      </c>
      <c r="K503" s="90">
        <v>-168539.09</v>
      </c>
      <c r="L503" s="90">
        <v>0</v>
      </c>
      <c r="M503" s="90">
        <v>-1480038.3</v>
      </c>
      <c r="N503" s="90">
        <v>-1479454.83</v>
      </c>
      <c r="O503" s="90">
        <v>-7548380.5300000003</v>
      </c>
      <c r="P503" s="90">
        <v>-3306687.48</v>
      </c>
      <c r="Q503" s="90">
        <v>-274978.53999999998</v>
      </c>
      <c r="R503" s="90">
        <v>0</v>
      </c>
      <c r="S503" s="90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</row>
    <row r="504" spans="1:26" ht="12.75" customHeight="1" x14ac:dyDescent="0.25">
      <c r="D504" t="s">
        <v>156</v>
      </c>
      <c r="E504" s="89" t="s">
        <v>70</v>
      </c>
      <c r="F504" s="374">
        <v>-20851206.370000001</v>
      </c>
      <c r="G504" s="90">
        <v>-1129768.81</v>
      </c>
      <c r="H504" s="90">
        <v>-632555.39</v>
      </c>
      <c r="I504" s="90">
        <v>-328155.02</v>
      </c>
      <c r="J504" s="90">
        <v>-4502648.38</v>
      </c>
      <c r="K504" s="90">
        <v>-168539.09</v>
      </c>
      <c r="L504" s="90">
        <v>0</v>
      </c>
      <c r="M504" s="90">
        <v>-1480038.3</v>
      </c>
      <c r="N504" s="90">
        <v>-1479454.83</v>
      </c>
      <c r="O504" s="90">
        <v>-7548380.5300000003</v>
      </c>
      <c r="P504" s="90">
        <v>-3306687.48</v>
      </c>
      <c r="Q504" s="90">
        <v>-274978.53999999998</v>
      </c>
      <c r="R504" s="90">
        <v>0</v>
      </c>
      <c r="S504" s="90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</row>
    <row r="505" spans="1:26" s="742" customFormat="1" ht="12.75" customHeight="1" x14ac:dyDescent="0.25">
      <c r="C505" s="742" t="s">
        <v>326</v>
      </c>
      <c r="D505" s="742" t="s">
        <v>70</v>
      </c>
      <c r="E505" s="743"/>
      <c r="F505" s="744">
        <v>-20851206.370000001</v>
      </c>
      <c r="G505" s="745">
        <v>-1129768.81</v>
      </c>
      <c r="H505" s="745">
        <v>-632555.39</v>
      </c>
      <c r="I505" s="745">
        <v>-328155.02</v>
      </c>
      <c r="J505" s="745">
        <v>-4502648.38</v>
      </c>
      <c r="K505" s="745">
        <v>-168539.09</v>
      </c>
      <c r="L505" s="745">
        <v>0</v>
      </c>
      <c r="M505" s="745">
        <v>-1480038.3</v>
      </c>
      <c r="N505" s="745">
        <v>-1479454.83</v>
      </c>
      <c r="O505" s="745">
        <v>-7548380.5300000003</v>
      </c>
      <c r="P505" s="745">
        <v>-3306687.48</v>
      </c>
      <c r="Q505" s="745">
        <v>-274978.53999999998</v>
      </c>
      <c r="R505" s="745">
        <v>0</v>
      </c>
      <c r="S505" s="745">
        <v>0</v>
      </c>
      <c r="T505" s="742">
        <v>0</v>
      </c>
      <c r="U505" s="742">
        <v>0</v>
      </c>
      <c r="V505" s="742">
        <v>0</v>
      </c>
      <c r="W505" s="742">
        <v>0</v>
      </c>
      <c r="X505" s="742">
        <v>0</v>
      </c>
      <c r="Y505" s="742">
        <v>0</v>
      </c>
      <c r="Z505" s="742">
        <v>0</v>
      </c>
    </row>
    <row r="506" spans="1:26" ht="12.75" customHeight="1" x14ac:dyDescent="0.25">
      <c r="E506" s="89" t="s">
        <v>73</v>
      </c>
      <c r="F506" s="374">
        <v>7068.1000000000204</v>
      </c>
      <c r="G506" s="90">
        <v>59485.78</v>
      </c>
      <c r="H506" s="90">
        <v>32534.01</v>
      </c>
      <c r="I506" s="90">
        <v>16618.12</v>
      </c>
      <c r="J506" s="90">
        <v>-51557.07</v>
      </c>
      <c r="K506" s="90">
        <v>-2314.0500000000002</v>
      </c>
      <c r="L506" s="90">
        <v>0</v>
      </c>
      <c r="M506" s="90">
        <v>-20297.259999999998</v>
      </c>
      <c r="N506" s="90">
        <v>-30060.560000000001</v>
      </c>
      <c r="O506" s="90">
        <v>-164347.29999999999</v>
      </c>
      <c r="P506" s="90">
        <v>170782.32</v>
      </c>
      <c r="Q506" s="90">
        <v>-3775.89</v>
      </c>
      <c r="R506" s="90">
        <v>0</v>
      </c>
      <c r="S506" s="90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</row>
    <row r="507" spans="1:26" ht="12.75" customHeight="1" x14ac:dyDescent="0.25">
      <c r="D507" s="89" t="s">
        <v>82</v>
      </c>
      <c r="E507" s="89" t="s">
        <v>70</v>
      </c>
      <c r="F507" s="90">
        <v>7068.1000000000204</v>
      </c>
      <c r="G507" s="90">
        <v>59485.78</v>
      </c>
      <c r="H507" s="90">
        <v>32534.01</v>
      </c>
      <c r="I507" s="90">
        <v>16618.12</v>
      </c>
      <c r="J507" s="90">
        <v>-51557.07</v>
      </c>
      <c r="K507" s="90">
        <v>-2314.0500000000002</v>
      </c>
      <c r="L507" s="90">
        <v>0</v>
      </c>
      <c r="M507" s="90">
        <v>-20297.259999999998</v>
      </c>
      <c r="N507" s="90">
        <v>-30060.560000000001</v>
      </c>
      <c r="O507" s="90">
        <v>-164347.29999999999</v>
      </c>
      <c r="P507" s="90">
        <v>170782.32</v>
      </c>
      <c r="Q507" s="90">
        <v>-3775.89</v>
      </c>
      <c r="R507" s="90">
        <v>0</v>
      </c>
      <c r="S507" s="90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</row>
    <row r="508" spans="1:26" ht="12.75" customHeight="1" x14ac:dyDescent="0.25">
      <c r="E508" s="89" t="s">
        <v>73</v>
      </c>
      <c r="F508" s="90">
        <v>2582596.46</v>
      </c>
      <c r="G508" s="90">
        <v>404902.18</v>
      </c>
      <c r="H508" s="90">
        <v>214668.96</v>
      </c>
      <c r="I508" s="90">
        <v>109973.38</v>
      </c>
      <c r="J508" s="90">
        <v>195699.09</v>
      </c>
      <c r="K508" s="90">
        <v>4828.17</v>
      </c>
      <c r="L508" s="90">
        <v>0</v>
      </c>
      <c r="M508" s="90">
        <v>41596.120000000003</v>
      </c>
      <c r="N508" s="90">
        <v>72096.490000000005</v>
      </c>
      <c r="O508" s="90">
        <v>348145.67</v>
      </c>
      <c r="P508" s="90">
        <v>1182802.77</v>
      </c>
      <c r="Q508" s="90">
        <v>7883.63</v>
      </c>
      <c r="R508" s="90">
        <v>0</v>
      </c>
      <c r="S508" s="90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</row>
    <row r="509" spans="1:26" ht="12.75" customHeight="1" x14ac:dyDescent="0.25">
      <c r="D509" s="89" t="s">
        <v>86</v>
      </c>
      <c r="E509" s="89" t="s">
        <v>70</v>
      </c>
      <c r="F509" s="90">
        <v>2582596.46</v>
      </c>
      <c r="G509" s="90">
        <v>404902.18</v>
      </c>
      <c r="H509" s="90">
        <v>214668.96</v>
      </c>
      <c r="I509" s="90">
        <v>109973.38</v>
      </c>
      <c r="J509" s="90">
        <v>195699.09</v>
      </c>
      <c r="K509" s="90">
        <v>4828.17</v>
      </c>
      <c r="L509" s="90">
        <v>0</v>
      </c>
      <c r="M509" s="90">
        <v>41596.120000000003</v>
      </c>
      <c r="N509" s="90">
        <v>72096.490000000005</v>
      </c>
      <c r="O509" s="90">
        <v>348145.67</v>
      </c>
      <c r="P509" s="90">
        <v>1182802.77</v>
      </c>
      <c r="Q509" s="90">
        <v>7883.63</v>
      </c>
      <c r="R509" s="90">
        <v>0</v>
      </c>
      <c r="S509" s="90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</row>
    <row r="510" spans="1:26" ht="12.75" customHeight="1" x14ac:dyDescent="0.25">
      <c r="E510" s="89" t="s">
        <v>73</v>
      </c>
      <c r="F510" s="90">
        <v>42633654.670000002</v>
      </c>
      <c r="G510" s="90">
        <v>8363880.8700000001</v>
      </c>
      <c r="H510" s="90">
        <v>4613707.4800000004</v>
      </c>
      <c r="I510" s="90">
        <v>2470128.86</v>
      </c>
      <c r="J510" s="90">
        <v>800537.93</v>
      </c>
      <c r="K510" s="90">
        <v>15916.65</v>
      </c>
      <c r="L510" s="90">
        <v>0</v>
      </c>
      <c r="M510" s="90">
        <v>137975.82999999999</v>
      </c>
      <c r="N510" s="90">
        <v>191674.12</v>
      </c>
      <c r="O510" s="90">
        <v>995247.23</v>
      </c>
      <c r="P510" s="90">
        <v>25018617</v>
      </c>
      <c r="Q510" s="90">
        <v>25968.7</v>
      </c>
      <c r="R510" s="90">
        <v>0</v>
      </c>
      <c r="S510" s="9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</row>
    <row r="511" spans="1:26" ht="12.75" customHeight="1" x14ac:dyDescent="0.25">
      <c r="D511" s="89" t="s">
        <v>87</v>
      </c>
      <c r="E511" s="89" t="s">
        <v>70</v>
      </c>
      <c r="F511" s="90">
        <v>42633654.670000002</v>
      </c>
      <c r="G511" s="90">
        <v>8363880.8700000001</v>
      </c>
      <c r="H511" s="90">
        <v>4613707.4800000004</v>
      </c>
      <c r="I511" s="90">
        <v>2470128.86</v>
      </c>
      <c r="J511" s="90">
        <v>800537.93</v>
      </c>
      <c r="K511" s="90">
        <v>15916.65</v>
      </c>
      <c r="L511" s="90">
        <v>0</v>
      </c>
      <c r="M511" s="90">
        <v>137975.82999999999</v>
      </c>
      <c r="N511" s="90">
        <v>191674.12</v>
      </c>
      <c r="O511" s="90">
        <v>995247.23</v>
      </c>
      <c r="P511" s="90">
        <v>25018617</v>
      </c>
      <c r="Q511" s="90">
        <v>25968.7</v>
      </c>
      <c r="R511" s="90">
        <v>0</v>
      </c>
      <c r="S511" s="90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</row>
    <row r="512" spans="1:26" s="94" customFormat="1" ht="12.75" customHeight="1" x14ac:dyDescent="0.25">
      <c r="C512" s="94" t="s">
        <v>119</v>
      </c>
      <c r="D512" s="94" t="s">
        <v>70</v>
      </c>
      <c r="E512" s="101"/>
      <c r="F512" s="93">
        <v>45223319.229999997</v>
      </c>
      <c r="G512" s="93">
        <v>8828268.8300000001</v>
      </c>
      <c r="H512" s="93">
        <v>4860910.45</v>
      </c>
      <c r="I512" s="93">
        <v>2596720.36</v>
      </c>
      <c r="J512" s="93">
        <v>944679.95</v>
      </c>
      <c r="K512" s="93">
        <v>18430.77</v>
      </c>
      <c r="L512" s="93">
        <v>0</v>
      </c>
      <c r="M512" s="93">
        <v>159274.69</v>
      </c>
      <c r="N512" s="93">
        <v>233710.05</v>
      </c>
      <c r="O512" s="93">
        <v>1179045.6000000001</v>
      </c>
      <c r="P512" s="93">
        <v>26372202.09</v>
      </c>
      <c r="Q512" s="93">
        <v>30076.44</v>
      </c>
      <c r="R512" s="93">
        <v>0</v>
      </c>
      <c r="S512" s="93">
        <v>0</v>
      </c>
      <c r="T512" s="94">
        <v>0</v>
      </c>
      <c r="U512" s="94">
        <v>0</v>
      </c>
      <c r="V512" s="94">
        <v>0</v>
      </c>
      <c r="W512" s="94">
        <v>0</v>
      </c>
      <c r="X512" s="94">
        <v>0</v>
      </c>
      <c r="Y512" s="94">
        <v>0</v>
      </c>
      <c r="Z512" s="94">
        <v>0</v>
      </c>
    </row>
    <row r="513" spans="1:41" s="226" customFormat="1" ht="12.75" customHeight="1" x14ac:dyDescent="0.25">
      <c r="B513" s="98" t="s">
        <v>112</v>
      </c>
      <c r="C513" s="98" t="s">
        <v>70</v>
      </c>
      <c r="F513" s="100">
        <v>-184896511.22999999</v>
      </c>
      <c r="G513" s="100">
        <v>19162731.800000001</v>
      </c>
      <c r="H513" s="100">
        <v>10674478.58</v>
      </c>
      <c r="I513" s="100">
        <v>5612905.9100000001</v>
      </c>
      <c r="J513" s="100">
        <v>-80883942.5</v>
      </c>
      <c r="K513" s="100">
        <v>-3045613.8</v>
      </c>
      <c r="L513" s="100">
        <v>0</v>
      </c>
      <c r="M513" s="100">
        <v>-26736548.489999998</v>
      </c>
      <c r="N513" s="100">
        <v>-27296600.780000001</v>
      </c>
      <c r="O513" s="100">
        <v>-134726857.78999999</v>
      </c>
      <c r="P513" s="100">
        <v>57312324.780000001</v>
      </c>
      <c r="Q513" s="100">
        <v>-4969388.9400000004</v>
      </c>
      <c r="R513" s="100">
        <v>0</v>
      </c>
      <c r="S513" s="100">
        <v>0</v>
      </c>
      <c r="T513" s="226">
        <v>0</v>
      </c>
      <c r="U513" s="226">
        <v>0</v>
      </c>
      <c r="V513" s="226">
        <v>0</v>
      </c>
      <c r="W513" s="226">
        <v>0</v>
      </c>
      <c r="X513" s="226">
        <v>0</v>
      </c>
      <c r="Y513" s="226">
        <v>0</v>
      </c>
      <c r="Z513" s="226">
        <v>0</v>
      </c>
    </row>
    <row r="514" spans="1:41" ht="12.75" customHeight="1" x14ac:dyDescent="0.25">
      <c r="A514" s="89" t="s">
        <v>79</v>
      </c>
      <c r="B514" s="89" t="s">
        <v>70</v>
      </c>
      <c r="F514" s="90">
        <v>-184896511.22999999</v>
      </c>
      <c r="G514" s="90">
        <v>19162731.800000001</v>
      </c>
      <c r="H514" s="90">
        <v>10674478.58</v>
      </c>
      <c r="I514" s="90">
        <v>5612905.9100000001</v>
      </c>
      <c r="J514" s="90">
        <v>-80883942.5</v>
      </c>
      <c r="K514" s="90">
        <v>-3045613.8</v>
      </c>
      <c r="L514" s="90">
        <v>0</v>
      </c>
      <c r="M514" s="90">
        <v>-26736548.489999998</v>
      </c>
      <c r="N514" s="90">
        <v>-27296600.780000001</v>
      </c>
      <c r="O514" s="90">
        <v>-134726857.78999999</v>
      </c>
      <c r="P514" s="90">
        <v>57312324.780000001</v>
      </c>
      <c r="Q514" s="90">
        <v>-4969388.9400000004</v>
      </c>
      <c r="R514" s="90">
        <v>0</v>
      </c>
      <c r="S514" s="90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</row>
    <row r="515" spans="1:41" ht="12.75" customHeight="1" x14ac:dyDescent="0.25">
      <c r="A515" s="89" t="s">
        <v>70</v>
      </c>
      <c r="F515" s="90">
        <v>8546244026</v>
      </c>
      <c r="G515" s="90">
        <v>516027841.18000001</v>
      </c>
      <c r="H515" s="90">
        <v>289833322.80000001</v>
      </c>
      <c r="I515" s="90">
        <v>149583092.46000001</v>
      </c>
      <c r="J515" s="90">
        <v>1738621087.4400001</v>
      </c>
      <c r="K515" s="90">
        <v>67442726.819999993</v>
      </c>
      <c r="L515" s="90">
        <v>26933696.719999999</v>
      </c>
      <c r="M515" s="90">
        <v>592011925.77999997</v>
      </c>
      <c r="N515" s="90">
        <v>577059960.85000002</v>
      </c>
      <c r="O515" s="90">
        <v>2975252532.1500001</v>
      </c>
      <c r="P515" s="90">
        <v>1503484983.6900001</v>
      </c>
      <c r="Q515" s="90">
        <v>110071370.59999999</v>
      </c>
      <c r="R515" s="90">
        <v>-78410.78</v>
      </c>
      <c r="S515" s="90">
        <v>2.23</v>
      </c>
      <c r="T515">
        <v>4.6399999999999997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-110.58</v>
      </c>
    </row>
    <row r="516" spans="1:41" ht="12.75" customHeight="1" x14ac:dyDescent="0.25">
      <c r="A516" s="89"/>
      <c r="F516" s="90"/>
      <c r="G516" s="90"/>
      <c r="H516" s="90"/>
      <c r="I516" s="90"/>
      <c r="J516" s="90"/>
      <c r="K516" s="90"/>
      <c r="L516" s="90"/>
      <c r="M516" s="90"/>
      <c r="N516" s="90"/>
      <c r="O516" s="90"/>
      <c r="P516" s="90"/>
      <c r="Q516" s="90"/>
      <c r="R516" s="90"/>
      <c r="S516" s="90"/>
      <c r="T516" s="90"/>
      <c r="U516" s="90"/>
      <c r="V516" s="90"/>
      <c r="W516" s="90"/>
      <c r="X516" s="150"/>
    </row>
    <row r="517" spans="1:41" ht="12.75" customHeight="1" x14ac:dyDescent="0.25">
      <c r="A517" s="89"/>
      <c r="F517" s="90"/>
      <c r="G517" s="90"/>
      <c r="H517" s="90"/>
      <c r="I517" s="90"/>
      <c r="J517" s="90"/>
      <c r="K517" s="90"/>
      <c r="L517" s="90"/>
      <c r="M517" s="90"/>
      <c r="N517" s="90"/>
      <c r="O517" s="90"/>
      <c r="P517" s="90"/>
      <c r="Q517" s="90"/>
      <c r="R517" s="90"/>
      <c r="S517" s="90"/>
    </row>
    <row r="518" spans="1:41" ht="12.75" customHeight="1" x14ac:dyDescent="0.25">
      <c r="A518" s="89"/>
      <c r="F518" s="90"/>
      <c r="G518" s="90"/>
      <c r="H518" s="90"/>
      <c r="I518" s="90"/>
      <c r="J518" s="90"/>
      <c r="K518" s="90"/>
      <c r="L518" s="90"/>
      <c r="M518" s="90"/>
      <c r="N518" s="90"/>
      <c r="O518" s="90"/>
      <c r="P518" s="90"/>
      <c r="Q518" s="90"/>
      <c r="R518" s="90"/>
      <c r="S518" s="90"/>
    </row>
    <row r="519" spans="1:41" ht="12.75" customHeight="1" x14ac:dyDescent="0.25">
      <c r="C519" s="766" t="s">
        <v>2</v>
      </c>
      <c r="D519" s="764" t="s">
        <v>132</v>
      </c>
      <c r="E519" s="98" t="s">
        <v>70</v>
      </c>
      <c r="F519" s="100">
        <f>F513+F498+F478-L478-L498</f>
        <v>8519310329.2800007</v>
      </c>
      <c r="G519" s="100">
        <f>G498+G478</f>
        <v>496865109.38</v>
      </c>
      <c r="H519" s="100">
        <f t="shared" ref="H519:AO519" si="24">H498+H478</f>
        <v>279158844.22000003</v>
      </c>
      <c r="I519" s="100">
        <f t="shared" si="24"/>
        <v>143970186.55000001</v>
      </c>
      <c r="J519" s="100">
        <f t="shared" si="24"/>
        <v>1819505029.9400001</v>
      </c>
      <c r="K519" s="100">
        <f t="shared" si="24"/>
        <v>70488340.61999999</v>
      </c>
      <c r="L519" s="100">
        <f t="shared" si="24"/>
        <v>26933696.719999999</v>
      </c>
      <c r="M519" s="100">
        <f t="shared" si="24"/>
        <v>618748474.26999998</v>
      </c>
      <c r="N519" s="100">
        <f t="shared" si="24"/>
        <v>604356561.63</v>
      </c>
      <c r="O519" s="100">
        <f t="shared" si="24"/>
        <v>3109979389.9400001</v>
      </c>
      <c r="P519" s="100">
        <f t="shared" si="24"/>
        <v>1446172658.9100001</v>
      </c>
      <c r="Q519" s="100">
        <f t="shared" si="24"/>
        <v>115040759.54000001</v>
      </c>
      <c r="R519" s="100">
        <f t="shared" si="24"/>
        <v>-78410.78</v>
      </c>
      <c r="S519" s="100">
        <f t="shared" si="24"/>
        <v>2.23</v>
      </c>
      <c r="T519" s="100">
        <f t="shared" si="24"/>
        <v>4.6399999999999997</v>
      </c>
      <c r="U519" s="100">
        <f t="shared" si="24"/>
        <v>0</v>
      </c>
      <c r="V519" s="100">
        <f t="shared" si="24"/>
        <v>0</v>
      </c>
      <c r="W519" s="100">
        <f t="shared" si="24"/>
        <v>0</v>
      </c>
      <c r="X519" s="100">
        <f t="shared" si="24"/>
        <v>0</v>
      </c>
      <c r="Y519" s="100">
        <f t="shared" si="24"/>
        <v>0</v>
      </c>
      <c r="Z519" s="100">
        <f t="shared" si="24"/>
        <v>-110.58</v>
      </c>
      <c r="AA519" s="100">
        <f t="shared" si="24"/>
        <v>0</v>
      </c>
      <c r="AB519" s="100">
        <f t="shared" si="24"/>
        <v>0</v>
      </c>
      <c r="AC519" s="100">
        <f t="shared" si="24"/>
        <v>0</v>
      </c>
      <c r="AD519" s="100">
        <f t="shared" si="24"/>
        <v>0</v>
      </c>
      <c r="AE519" s="100">
        <f t="shared" si="24"/>
        <v>0</v>
      </c>
      <c r="AF519" s="100">
        <f t="shared" si="24"/>
        <v>0</v>
      </c>
      <c r="AG519" s="100">
        <f t="shared" si="24"/>
        <v>0</v>
      </c>
      <c r="AH519" s="100">
        <f t="shared" si="24"/>
        <v>0</v>
      </c>
      <c r="AI519" s="100">
        <f t="shared" si="24"/>
        <v>0</v>
      </c>
      <c r="AJ519" s="100">
        <f t="shared" si="24"/>
        <v>0</v>
      </c>
      <c r="AK519" s="100">
        <f t="shared" si="24"/>
        <v>0</v>
      </c>
      <c r="AL519" s="100">
        <f t="shared" si="24"/>
        <v>0</v>
      </c>
      <c r="AM519" s="100">
        <f t="shared" si="24"/>
        <v>0</v>
      </c>
      <c r="AN519" s="100">
        <f t="shared" si="24"/>
        <v>0</v>
      </c>
      <c r="AO519" s="100">
        <f t="shared" si="24"/>
        <v>0</v>
      </c>
    </row>
    <row r="520" spans="1:41" ht="12.75" customHeight="1" x14ac:dyDescent="0.25">
      <c r="C520" s="766"/>
      <c r="D520" s="764"/>
      <c r="E520" s="98" t="s">
        <v>73</v>
      </c>
      <c r="F520" s="100">
        <f>F513</f>
        <v>-184896511.22999999</v>
      </c>
      <c r="G520" s="90"/>
      <c r="H520" s="90"/>
      <c r="I520" s="90"/>
      <c r="J520" s="90"/>
      <c r="K520" s="90"/>
      <c r="L520" s="90"/>
      <c r="M520" s="90"/>
      <c r="N520" s="90"/>
      <c r="O520" s="90"/>
      <c r="P520" s="90"/>
      <c r="Q520" s="90"/>
      <c r="R520" s="90"/>
      <c r="S520" s="90"/>
    </row>
    <row r="521" spans="1:41" ht="12.75" customHeight="1" x14ac:dyDescent="0.25">
      <c r="C521" s="766"/>
      <c r="D521" s="764" t="s">
        <v>133</v>
      </c>
      <c r="E521" s="233" t="s">
        <v>70</v>
      </c>
      <c r="F521" s="234">
        <v>0</v>
      </c>
      <c r="G521" s="234">
        <v>0</v>
      </c>
      <c r="H521" s="234">
        <v>0</v>
      </c>
      <c r="I521" s="234">
        <v>0</v>
      </c>
      <c r="J521" s="234">
        <v>0</v>
      </c>
      <c r="K521" s="234">
        <v>0</v>
      </c>
      <c r="L521" s="234">
        <v>0</v>
      </c>
      <c r="M521" s="234">
        <v>0</v>
      </c>
      <c r="N521" s="234">
        <v>0</v>
      </c>
      <c r="O521" s="234">
        <v>0</v>
      </c>
      <c r="P521" s="234">
        <v>0</v>
      </c>
      <c r="Q521" s="234">
        <v>0</v>
      </c>
      <c r="R521" s="234">
        <v>0</v>
      </c>
      <c r="S521" s="234">
        <v>0</v>
      </c>
      <c r="T521" s="234">
        <v>0</v>
      </c>
      <c r="U521" s="234">
        <v>0</v>
      </c>
      <c r="V521" s="234">
        <v>0</v>
      </c>
      <c r="W521" s="234">
        <v>0</v>
      </c>
      <c r="X521" s="234">
        <v>0</v>
      </c>
      <c r="Y521" s="234">
        <v>0</v>
      </c>
      <c r="Z521" s="234">
        <v>0</v>
      </c>
      <c r="AA521" s="234">
        <v>0</v>
      </c>
      <c r="AB521" s="234">
        <v>0</v>
      </c>
      <c r="AC521" s="234">
        <v>0</v>
      </c>
      <c r="AD521" s="234">
        <v>0</v>
      </c>
      <c r="AE521" s="234">
        <v>0</v>
      </c>
      <c r="AF521" s="234">
        <v>0</v>
      </c>
      <c r="AG521" s="234">
        <v>0</v>
      </c>
      <c r="AH521" s="234">
        <v>0</v>
      </c>
      <c r="AI521" s="234">
        <v>0</v>
      </c>
      <c r="AJ521" s="234">
        <v>0</v>
      </c>
      <c r="AK521" s="234">
        <v>0</v>
      </c>
      <c r="AL521" s="234">
        <v>0</v>
      </c>
      <c r="AM521" s="234">
        <v>0</v>
      </c>
      <c r="AN521" s="234">
        <v>0</v>
      </c>
      <c r="AO521" s="234">
        <v>0</v>
      </c>
    </row>
    <row r="522" spans="1:41" ht="12.75" customHeight="1" x14ac:dyDescent="0.25">
      <c r="C522" s="766"/>
      <c r="D522" s="764"/>
      <c r="E522" s="233" t="s">
        <v>73</v>
      </c>
      <c r="F522" s="234">
        <v>0</v>
      </c>
      <c r="G522" s="90"/>
      <c r="H522" s="90"/>
      <c r="I522" s="90"/>
      <c r="J522" s="90"/>
      <c r="K522" s="90"/>
      <c r="L522" s="90"/>
      <c r="M522" s="90"/>
      <c r="N522" s="90"/>
      <c r="O522" s="90"/>
      <c r="P522" s="90"/>
      <c r="Q522" s="90"/>
      <c r="R522" s="90"/>
    </row>
    <row r="523" spans="1:41" ht="12.75" customHeight="1" x14ac:dyDescent="0.3">
      <c r="A523" s="89"/>
      <c r="C523" s="97"/>
      <c r="F523" s="90"/>
      <c r="G523" s="90"/>
      <c r="H523" s="90"/>
      <c r="I523" s="90"/>
      <c r="J523" s="90"/>
      <c r="K523" s="90"/>
      <c r="L523" s="90"/>
      <c r="M523" s="90"/>
      <c r="N523" s="90"/>
      <c r="O523" s="90"/>
      <c r="P523" s="90"/>
      <c r="Q523" s="90"/>
      <c r="R523" s="90"/>
      <c r="S523" s="90"/>
    </row>
    <row r="524" spans="1:41" ht="12.75" customHeight="1" x14ac:dyDescent="0.25">
      <c r="C524" s="766" t="s">
        <v>160</v>
      </c>
      <c r="D524" s="764" t="s">
        <v>132</v>
      </c>
      <c r="E524" s="223" t="s">
        <v>70</v>
      </c>
      <c r="F524" s="225">
        <v>0</v>
      </c>
      <c r="G524" s="225">
        <v>0</v>
      </c>
      <c r="H524" s="225">
        <v>0</v>
      </c>
      <c r="I524" s="225">
        <v>0</v>
      </c>
      <c r="J524" s="225">
        <v>0</v>
      </c>
      <c r="K524" s="225">
        <v>0</v>
      </c>
      <c r="L524" s="225">
        <v>0</v>
      </c>
      <c r="M524" s="225">
        <v>0</v>
      </c>
      <c r="N524" s="225">
        <v>0</v>
      </c>
      <c r="O524" s="225">
        <v>0</v>
      </c>
      <c r="P524" s="225">
        <v>0</v>
      </c>
      <c r="Q524" s="225">
        <v>0</v>
      </c>
      <c r="R524" s="225">
        <v>0</v>
      </c>
      <c r="S524" s="225">
        <v>0</v>
      </c>
      <c r="T524" s="225">
        <v>0</v>
      </c>
      <c r="U524" s="225"/>
      <c r="V524" s="225"/>
      <c r="W524" s="225"/>
      <c r="X524" s="225">
        <v>0</v>
      </c>
      <c r="Y524" s="225">
        <v>0</v>
      </c>
      <c r="Z524" s="225">
        <v>0</v>
      </c>
      <c r="AA524" s="225">
        <v>0</v>
      </c>
      <c r="AB524" s="225">
        <v>0</v>
      </c>
      <c r="AC524" s="225">
        <v>0</v>
      </c>
      <c r="AD524" s="225">
        <v>0</v>
      </c>
      <c r="AE524" s="225">
        <v>0</v>
      </c>
      <c r="AF524" s="225">
        <v>0</v>
      </c>
      <c r="AG524" s="225">
        <v>0</v>
      </c>
      <c r="AH524" s="225">
        <v>0</v>
      </c>
      <c r="AI524" s="225">
        <v>0</v>
      </c>
      <c r="AJ524" s="225">
        <v>0</v>
      </c>
      <c r="AK524" s="225">
        <v>0</v>
      </c>
      <c r="AL524" s="225">
        <v>0</v>
      </c>
      <c r="AM524" s="225">
        <v>0</v>
      </c>
      <c r="AN524" s="225">
        <v>0</v>
      </c>
      <c r="AO524" s="225">
        <v>0</v>
      </c>
    </row>
    <row r="525" spans="1:41" ht="12.75" customHeight="1" x14ac:dyDescent="0.25">
      <c r="C525" s="766"/>
      <c r="D525" s="764"/>
      <c r="E525" s="223" t="s">
        <v>73</v>
      </c>
      <c r="F525" s="225">
        <v>0</v>
      </c>
      <c r="G525" s="90"/>
      <c r="H525" s="90"/>
      <c r="I525" s="90"/>
      <c r="J525" s="90"/>
      <c r="K525" s="90"/>
      <c r="L525" s="90"/>
      <c r="M525" s="90"/>
      <c r="N525" s="90"/>
      <c r="O525" s="90"/>
      <c r="P525" s="90"/>
      <c r="Q525" s="90"/>
      <c r="R525" s="90"/>
      <c r="S525" s="90"/>
    </row>
    <row r="526" spans="1:41" ht="12.75" customHeight="1" x14ac:dyDescent="0.25">
      <c r="C526" s="766"/>
      <c r="D526" s="764" t="s">
        <v>133</v>
      </c>
      <c r="E526" s="227" t="s">
        <v>70</v>
      </c>
      <c r="F526" s="228">
        <v>0</v>
      </c>
      <c r="G526" s="228">
        <v>0</v>
      </c>
      <c r="H526" s="228">
        <v>0</v>
      </c>
      <c r="I526" s="228">
        <v>0</v>
      </c>
      <c r="J526" s="228">
        <v>0</v>
      </c>
      <c r="K526" s="228">
        <v>0</v>
      </c>
      <c r="L526" s="228">
        <v>0</v>
      </c>
      <c r="M526" s="228">
        <v>0</v>
      </c>
      <c r="N526" s="228">
        <v>0</v>
      </c>
      <c r="O526" s="228">
        <v>0</v>
      </c>
      <c r="P526" s="228">
        <v>0</v>
      </c>
      <c r="Q526" s="228">
        <v>0</v>
      </c>
      <c r="R526" s="228">
        <v>0</v>
      </c>
      <c r="S526" s="228">
        <v>0</v>
      </c>
      <c r="T526" s="228">
        <v>0</v>
      </c>
      <c r="U526" s="228"/>
      <c r="V526" s="228"/>
      <c r="W526" s="228"/>
      <c r="X526" s="228">
        <v>0</v>
      </c>
      <c r="Y526" s="228">
        <v>0</v>
      </c>
      <c r="Z526" s="228">
        <v>0</v>
      </c>
      <c r="AA526" s="228">
        <v>0</v>
      </c>
      <c r="AB526" s="228">
        <v>0</v>
      </c>
      <c r="AC526" s="228">
        <v>0</v>
      </c>
      <c r="AD526" s="228">
        <v>0</v>
      </c>
      <c r="AE526" s="228">
        <v>0</v>
      </c>
      <c r="AF526" s="228">
        <v>0</v>
      </c>
      <c r="AG526" s="228">
        <v>0</v>
      </c>
      <c r="AH526" s="228">
        <v>0</v>
      </c>
      <c r="AI526" s="228">
        <v>0</v>
      </c>
      <c r="AJ526" s="228">
        <v>0</v>
      </c>
      <c r="AK526" s="228">
        <v>0</v>
      </c>
      <c r="AL526" s="228">
        <v>0</v>
      </c>
      <c r="AM526" s="228">
        <v>0</v>
      </c>
      <c r="AN526" s="228">
        <v>0</v>
      </c>
      <c r="AO526" s="228">
        <v>0</v>
      </c>
    </row>
    <row r="527" spans="1:41" ht="12.75" customHeight="1" x14ac:dyDescent="0.25">
      <c r="C527" s="766"/>
      <c r="D527" s="764"/>
      <c r="E527" s="227" t="s">
        <v>73</v>
      </c>
      <c r="F527" s="228">
        <v>0</v>
      </c>
      <c r="G527" s="90"/>
      <c r="H527" s="90"/>
      <c r="I527" s="90"/>
      <c r="J527" s="90"/>
      <c r="K527" s="90"/>
      <c r="L527" s="90"/>
      <c r="M527" s="90"/>
      <c r="N527" s="90"/>
      <c r="O527" s="90"/>
      <c r="P527" s="90"/>
      <c r="Q527" s="90"/>
      <c r="R527" s="90"/>
    </row>
    <row r="528" spans="1:41" ht="12.75" customHeight="1" x14ac:dyDescent="0.3">
      <c r="A528" s="89"/>
      <c r="C528" s="97"/>
      <c r="F528" s="90"/>
      <c r="G528" s="90"/>
      <c r="H528" s="90"/>
      <c r="I528" s="90"/>
      <c r="J528" s="90"/>
      <c r="K528" s="90"/>
      <c r="L528" s="90"/>
      <c r="M528" s="90"/>
      <c r="N528" s="90"/>
      <c r="O528" s="90"/>
      <c r="P528" s="90"/>
      <c r="Q528" s="90"/>
      <c r="R528" s="90"/>
      <c r="S528" s="90"/>
    </row>
    <row r="529" spans="1:41" ht="12.75" customHeight="1" x14ac:dyDescent="0.25">
      <c r="C529" s="766" t="s">
        <v>155</v>
      </c>
      <c r="D529" s="764" t="s">
        <v>132</v>
      </c>
      <c r="E529" s="221" t="s">
        <v>70</v>
      </c>
      <c r="F529" s="222">
        <f>F502+F483+F474-L474-L483</f>
        <v>8229736739.0900002</v>
      </c>
      <c r="G529" s="222">
        <f>G483+G474</f>
        <v>473844126.55000001</v>
      </c>
      <c r="H529" s="222">
        <f t="shared" ref="H529:AO529" si="25">H483+H474</f>
        <v>266544325.38000003</v>
      </c>
      <c r="I529" s="222">
        <f t="shared" si="25"/>
        <v>137255284.78</v>
      </c>
      <c r="J529" s="222">
        <f t="shared" si="25"/>
        <v>1778321272.0699999</v>
      </c>
      <c r="K529" s="222">
        <f t="shared" si="25"/>
        <v>68793777.159999996</v>
      </c>
      <c r="L529" s="222">
        <f t="shared" si="25"/>
        <v>10831809.91</v>
      </c>
      <c r="M529" s="222">
        <f t="shared" si="25"/>
        <v>603948308.87</v>
      </c>
      <c r="N529" s="222">
        <f t="shared" si="25"/>
        <v>589087042.65999997</v>
      </c>
      <c r="O529" s="222">
        <f t="shared" si="25"/>
        <v>3030450176.0800004</v>
      </c>
      <c r="P529" s="222">
        <f t="shared" si="25"/>
        <v>1378583907.3200002</v>
      </c>
      <c r="Q529" s="222">
        <f t="shared" si="25"/>
        <v>112257550.95999999</v>
      </c>
      <c r="R529" s="222">
        <f t="shared" si="25"/>
        <v>-80371.41</v>
      </c>
      <c r="S529" s="222">
        <f t="shared" si="25"/>
        <v>0</v>
      </c>
      <c r="T529" s="222">
        <f t="shared" si="25"/>
        <v>3.92</v>
      </c>
      <c r="U529" s="222">
        <f t="shared" si="25"/>
        <v>0</v>
      </c>
      <c r="V529" s="222">
        <f t="shared" si="25"/>
        <v>0</v>
      </c>
      <c r="W529" s="222">
        <f t="shared" si="25"/>
        <v>0</v>
      </c>
      <c r="X529" s="222">
        <f t="shared" si="25"/>
        <v>0</v>
      </c>
      <c r="Y529" s="222">
        <f t="shared" si="25"/>
        <v>0</v>
      </c>
      <c r="Z529" s="222">
        <f t="shared" si="25"/>
        <v>-41.16</v>
      </c>
      <c r="AA529" s="222">
        <f t="shared" si="25"/>
        <v>0</v>
      </c>
      <c r="AB529" s="222">
        <f t="shared" si="25"/>
        <v>0</v>
      </c>
      <c r="AC529" s="222">
        <f t="shared" si="25"/>
        <v>0</v>
      </c>
      <c r="AD529" s="222">
        <f t="shared" si="25"/>
        <v>0</v>
      </c>
      <c r="AE529" s="222">
        <f t="shared" si="25"/>
        <v>0</v>
      </c>
      <c r="AF529" s="222">
        <f t="shared" si="25"/>
        <v>0</v>
      </c>
      <c r="AG529" s="222">
        <f t="shared" si="25"/>
        <v>0</v>
      </c>
      <c r="AH529" s="222">
        <f t="shared" si="25"/>
        <v>0</v>
      </c>
      <c r="AI529" s="222">
        <f t="shared" si="25"/>
        <v>0</v>
      </c>
      <c r="AJ529" s="222">
        <f t="shared" si="25"/>
        <v>0</v>
      </c>
      <c r="AK529" s="222">
        <f t="shared" si="25"/>
        <v>0</v>
      </c>
      <c r="AL529" s="222">
        <f t="shared" si="25"/>
        <v>0</v>
      </c>
      <c r="AM529" s="222">
        <f t="shared" si="25"/>
        <v>0</v>
      </c>
      <c r="AN529" s="222">
        <f t="shared" si="25"/>
        <v>0</v>
      </c>
      <c r="AO529" s="222">
        <f t="shared" si="25"/>
        <v>0</v>
      </c>
    </row>
    <row r="530" spans="1:41" ht="12.75" customHeight="1" x14ac:dyDescent="0.25">
      <c r="C530" s="766"/>
      <c r="D530" s="764"/>
      <c r="E530" s="221" t="s">
        <v>73</v>
      </c>
      <c r="F530" s="222">
        <f>F502</f>
        <v>-209268624.09</v>
      </c>
      <c r="G530" s="90"/>
      <c r="H530" s="90"/>
      <c r="I530" s="90"/>
      <c r="J530" s="90"/>
      <c r="K530" s="90"/>
      <c r="L530" s="90"/>
      <c r="M530" s="90"/>
      <c r="N530" s="90"/>
      <c r="O530" s="90"/>
      <c r="P530" s="90"/>
      <c r="Q530" s="90"/>
      <c r="R530" s="90"/>
      <c r="S530" s="90"/>
    </row>
    <row r="531" spans="1:41" ht="12.75" customHeight="1" x14ac:dyDescent="0.25">
      <c r="C531" s="766"/>
      <c r="D531" s="764" t="s">
        <v>133</v>
      </c>
      <c r="E531" s="242" t="s">
        <v>70</v>
      </c>
      <c r="F531" s="243">
        <v>0</v>
      </c>
      <c r="G531" s="243">
        <v>0</v>
      </c>
      <c r="H531" s="243">
        <v>0</v>
      </c>
      <c r="I531" s="243">
        <v>0</v>
      </c>
      <c r="J531" s="243">
        <v>0</v>
      </c>
      <c r="K531" s="243">
        <v>0</v>
      </c>
      <c r="L531" s="243">
        <v>0</v>
      </c>
      <c r="M531" s="243">
        <v>0</v>
      </c>
      <c r="N531" s="243">
        <v>0</v>
      </c>
      <c r="O531" s="243">
        <v>0</v>
      </c>
      <c r="P531" s="243">
        <v>0</v>
      </c>
      <c r="Q531" s="243">
        <v>0</v>
      </c>
      <c r="R531" s="243">
        <v>0</v>
      </c>
      <c r="S531" s="243">
        <v>0</v>
      </c>
      <c r="T531" s="243">
        <v>0</v>
      </c>
      <c r="U531" s="243">
        <v>0</v>
      </c>
      <c r="V531" s="243">
        <v>0</v>
      </c>
      <c r="W531" s="243">
        <v>0</v>
      </c>
      <c r="X531" s="243">
        <v>0</v>
      </c>
      <c r="Y531" s="243">
        <v>0</v>
      </c>
      <c r="Z531" s="243">
        <v>0</v>
      </c>
      <c r="AA531" s="243">
        <v>0</v>
      </c>
      <c r="AB531" s="243">
        <v>0</v>
      </c>
      <c r="AC531" s="243">
        <v>0</v>
      </c>
      <c r="AD531" s="243">
        <v>0</v>
      </c>
      <c r="AE531" s="243">
        <v>0</v>
      </c>
      <c r="AF531" s="243">
        <v>0</v>
      </c>
      <c r="AG531" s="243">
        <v>0</v>
      </c>
      <c r="AH531" s="243">
        <v>0</v>
      </c>
      <c r="AI531" s="243">
        <v>0</v>
      </c>
      <c r="AJ531" s="243">
        <v>0</v>
      </c>
      <c r="AK531" s="243">
        <v>0</v>
      </c>
      <c r="AL531" s="243">
        <v>0</v>
      </c>
      <c r="AM531" s="243">
        <v>0</v>
      </c>
      <c r="AN531" s="243">
        <v>0</v>
      </c>
      <c r="AO531" s="243">
        <v>0</v>
      </c>
    </row>
    <row r="532" spans="1:41" ht="12.75" customHeight="1" x14ac:dyDescent="0.25">
      <c r="C532" s="766"/>
      <c r="D532" s="764"/>
      <c r="E532" s="242" t="s">
        <v>73</v>
      </c>
      <c r="F532" s="243">
        <v>0</v>
      </c>
      <c r="G532" s="90"/>
      <c r="H532" s="90"/>
      <c r="I532" s="90"/>
      <c r="J532" s="90"/>
      <c r="K532" s="90"/>
      <c r="L532" s="90"/>
      <c r="M532" s="90"/>
      <c r="N532" s="90"/>
      <c r="O532" s="90"/>
      <c r="P532" s="90"/>
      <c r="Q532" s="90"/>
      <c r="R532" s="90"/>
    </row>
    <row r="533" spans="1:41" ht="12.75" customHeight="1" x14ac:dyDescent="0.3">
      <c r="A533" s="89"/>
      <c r="C533" s="97"/>
      <c r="F533" s="90"/>
      <c r="G533" s="90"/>
      <c r="H533" s="90"/>
      <c r="I533" s="90"/>
      <c r="J533" s="90"/>
      <c r="K533" s="90"/>
      <c r="L533" s="90"/>
      <c r="M533" s="90"/>
      <c r="N533" s="90"/>
      <c r="O533" s="90"/>
      <c r="P533" s="90"/>
      <c r="Q533" s="90"/>
      <c r="R533" s="90"/>
      <c r="S533" s="90"/>
    </row>
    <row r="534" spans="1:41" ht="12.75" customHeight="1" x14ac:dyDescent="0.25">
      <c r="C534" s="767" t="s">
        <v>326</v>
      </c>
      <c r="D534" s="764" t="s">
        <v>132</v>
      </c>
      <c r="E534" s="376" t="s">
        <v>70</v>
      </c>
      <c r="F534" s="377">
        <f>F505+F487-L487</f>
        <v>126372775.04000001</v>
      </c>
      <c r="G534" s="377">
        <f>G487</f>
        <v>8720551.6300000008</v>
      </c>
      <c r="H534" s="377">
        <f t="shared" ref="H534:AO534" si="26">H487</f>
        <v>4857263.71</v>
      </c>
      <c r="I534" s="377">
        <f t="shared" si="26"/>
        <v>2598417</v>
      </c>
      <c r="J534" s="377">
        <f t="shared" si="26"/>
        <v>30682714.440000001</v>
      </c>
      <c r="K534" s="377">
        <f t="shared" si="26"/>
        <v>1156017.44</v>
      </c>
      <c r="L534" s="377">
        <f t="shared" si="26"/>
        <v>139.96</v>
      </c>
      <c r="M534" s="377">
        <f t="shared" si="26"/>
        <v>10077020.48</v>
      </c>
      <c r="N534" s="377">
        <f t="shared" si="26"/>
        <v>9898566.1699999999</v>
      </c>
      <c r="O534" s="377">
        <f t="shared" si="26"/>
        <v>52291951.810000002</v>
      </c>
      <c r="P534" s="377">
        <f t="shared" si="26"/>
        <v>25048291.640000001</v>
      </c>
      <c r="Q534" s="377">
        <f t="shared" si="26"/>
        <v>1891089.15</v>
      </c>
      <c r="R534" s="377">
        <f t="shared" si="26"/>
        <v>2097.96</v>
      </c>
      <c r="S534" s="377">
        <f t="shared" si="26"/>
        <v>-0.02</v>
      </c>
      <c r="T534" s="377">
        <f t="shared" si="26"/>
        <v>0</v>
      </c>
      <c r="U534" s="377">
        <f t="shared" si="26"/>
        <v>0</v>
      </c>
      <c r="V534" s="377">
        <f t="shared" si="26"/>
        <v>0</v>
      </c>
      <c r="W534" s="377">
        <f t="shared" si="26"/>
        <v>0</v>
      </c>
      <c r="X534" s="377">
        <f t="shared" si="26"/>
        <v>0</v>
      </c>
      <c r="Y534" s="377">
        <f t="shared" si="26"/>
        <v>0</v>
      </c>
      <c r="Z534" s="377">
        <f t="shared" si="26"/>
        <v>0</v>
      </c>
      <c r="AA534" s="377">
        <f t="shared" si="26"/>
        <v>0</v>
      </c>
      <c r="AB534" s="377">
        <f t="shared" si="26"/>
        <v>0</v>
      </c>
      <c r="AC534" s="377">
        <f t="shared" si="26"/>
        <v>0</v>
      </c>
      <c r="AD534" s="377">
        <f t="shared" si="26"/>
        <v>0</v>
      </c>
      <c r="AE534" s="377">
        <f t="shared" si="26"/>
        <v>0</v>
      </c>
      <c r="AF534" s="377">
        <f t="shared" si="26"/>
        <v>0</v>
      </c>
      <c r="AG534" s="377">
        <f t="shared" si="26"/>
        <v>0</v>
      </c>
      <c r="AH534" s="377">
        <f t="shared" si="26"/>
        <v>0</v>
      </c>
      <c r="AI534" s="377">
        <f t="shared" si="26"/>
        <v>0</v>
      </c>
      <c r="AJ534" s="377">
        <f t="shared" si="26"/>
        <v>0</v>
      </c>
      <c r="AK534" s="377">
        <f t="shared" si="26"/>
        <v>0</v>
      </c>
      <c r="AL534" s="377">
        <f t="shared" si="26"/>
        <v>0</v>
      </c>
      <c r="AM534" s="377">
        <f t="shared" si="26"/>
        <v>0</v>
      </c>
      <c r="AN534" s="377">
        <f t="shared" si="26"/>
        <v>0</v>
      </c>
      <c r="AO534" s="377">
        <f t="shared" si="26"/>
        <v>0</v>
      </c>
    </row>
    <row r="535" spans="1:41" ht="12.75" customHeight="1" x14ac:dyDescent="0.25">
      <c r="C535" s="767"/>
      <c r="D535" s="764"/>
      <c r="E535" s="376" t="s">
        <v>73</v>
      </c>
      <c r="F535" s="377">
        <f>F505</f>
        <v>-20851206.370000001</v>
      </c>
      <c r="G535" s="90"/>
      <c r="H535" s="90"/>
      <c r="I535" s="90"/>
      <c r="J535" s="90"/>
      <c r="K535" s="90"/>
      <c r="L535" s="90"/>
      <c r="M535" s="90"/>
      <c r="N535" s="90"/>
      <c r="O535" s="90"/>
      <c r="P535" s="90"/>
      <c r="Q535" s="90"/>
      <c r="R535" s="90"/>
      <c r="S535" s="90"/>
    </row>
    <row r="536" spans="1:41" ht="12.75" customHeight="1" x14ac:dyDescent="0.25">
      <c r="C536" s="767"/>
      <c r="D536" s="764" t="s">
        <v>133</v>
      </c>
      <c r="E536" s="242" t="s">
        <v>70</v>
      </c>
      <c r="F536" s="243">
        <v>0</v>
      </c>
      <c r="G536" s="243">
        <v>0</v>
      </c>
      <c r="H536" s="243">
        <v>0</v>
      </c>
      <c r="I536" s="243">
        <v>0</v>
      </c>
      <c r="J536" s="243">
        <v>0</v>
      </c>
      <c r="K536" s="243">
        <v>0</v>
      </c>
      <c r="L536" s="243">
        <v>0</v>
      </c>
      <c r="M536" s="243">
        <v>0</v>
      </c>
      <c r="N536" s="243">
        <v>0</v>
      </c>
      <c r="O536" s="243">
        <v>0</v>
      </c>
      <c r="P536" s="243">
        <v>0</v>
      </c>
      <c r="Q536" s="243">
        <v>0</v>
      </c>
      <c r="R536" s="243">
        <v>0</v>
      </c>
      <c r="S536" s="243">
        <v>0</v>
      </c>
      <c r="T536" s="243">
        <v>0</v>
      </c>
      <c r="U536" s="243">
        <v>0</v>
      </c>
      <c r="V536" s="243">
        <v>0</v>
      </c>
      <c r="W536" s="243">
        <v>0</v>
      </c>
      <c r="X536" s="243">
        <v>0</v>
      </c>
      <c r="Y536" s="243">
        <v>0</v>
      </c>
      <c r="Z536" s="243">
        <v>0</v>
      </c>
      <c r="AA536" s="243">
        <v>0</v>
      </c>
      <c r="AB536" s="243">
        <v>0</v>
      </c>
      <c r="AC536" s="243">
        <v>0</v>
      </c>
      <c r="AD536" s="243">
        <v>0</v>
      </c>
      <c r="AE536" s="243">
        <v>0</v>
      </c>
      <c r="AF536" s="243">
        <v>0</v>
      </c>
      <c r="AG536" s="243">
        <v>0</v>
      </c>
      <c r="AH536" s="243">
        <v>0</v>
      </c>
      <c r="AI536" s="243">
        <v>0</v>
      </c>
      <c r="AJ536" s="243">
        <v>0</v>
      </c>
      <c r="AK536" s="243">
        <v>0</v>
      </c>
      <c r="AL536" s="243">
        <v>0</v>
      </c>
      <c r="AM536" s="243">
        <v>0</v>
      </c>
      <c r="AN536" s="243">
        <v>0</v>
      </c>
      <c r="AO536" s="243">
        <v>0</v>
      </c>
    </row>
    <row r="537" spans="1:41" ht="12.75" customHeight="1" x14ac:dyDescent="0.25">
      <c r="C537" s="767"/>
      <c r="D537" s="764"/>
      <c r="E537" s="242" t="s">
        <v>73</v>
      </c>
      <c r="F537" s="243">
        <v>0</v>
      </c>
      <c r="G537" s="90"/>
      <c r="H537" s="90"/>
      <c r="I537" s="90"/>
      <c r="J537" s="90"/>
      <c r="K537" s="90"/>
      <c r="L537" s="90"/>
      <c r="M537" s="90"/>
      <c r="N537" s="90"/>
      <c r="O537" s="90"/>
      <c r="P537" s="90"/>
      <c r="Q537" s="90"/>
      <c r="R537" s="90"/>
    </row>
    <row r="538" spans="1:41" ht="12.75" customHeight="1" x14ac:dyDescent="0.25">
      <c r="C538" s="718"/>
      <c r="D538" s="220"/>
      <c r="E538" s="89"/>
      <c r="F538" s="90"/>
      <c r="G538" s="90"/>
      <c r="H538" s="90"/>
      <c r="I538" s="90"/>
      <c r="J538" s="90"/>
      <c r="K538" s="90"/>
      <c r="L538" s="90"/>
      <c r="M538" s="90"/>
      <c r="N538" s="90"/>
      <c r="O538" s="90"/>
      <c r="P538" s="90"/>
      <c r="Q538" s="90"/>
      <c r="R538" s="90"/>
    </row>
    <row r="539" spans="1:41" ht="12.75" customHeight="1" x14ac:dyDescent="0.25">
      <c r="C539" s="766" t="s">
        <v>119</v>
      </c>
      <c r="D539" s="764" t="s">
        <v>132</v>
      </c>
      <c r="E539" s="101" t="s">
        <v>70</v>
      </c>
      <c r="F539" s="93">
        <f>F512+F497+F477-L477-L497</f>
        <v>163200815.15000001</v>
      </c>
      <c r="G539" s="93">
        <f>G497+G477</f>
        <v>14300431.199999999</v>
      </c>
      <c r="H539" s="93">
        <f t="shared" ref="H539:AO539" si="27">H497+H477</f>
        <v>7757255.1299999999</v>
      </c>
      <c r="I539" s="93">
        <f t="shared" si="27"/>
        <v>4116484.77</v>
      </c>
      <c r="J539" s="93">
        <f t="shared" si="27"/>
        <v>10501043.430000002</v>
      </c>
      <c r="K539" s="93">
        <f t="shared" si="27"/>
        <v>538546.02</v>
      </c>
      <c r="L539" s="93">
        <f t="shared" si="27"/>
        <v>16101746.85</v>
      </c>
      <c r="M539" s="93">
        <f t="shared" si="27"/>
        <v>4723144.92</v>
      </c>
      <c r="N539" s="93">
        <f t="shared" si="27"/>
        <v>5370952.7999999998</v>
      </c>
      <c r="O539" s="93">
        <f t="shared" si="27"/>
        <v>27237262.050000001</v>
      </c>
      <c r="P539" s="93">
        <f t="shared" si="27"/>
        <v>42540459.949999996</v>
      </c>
      <c r="Q539" s="93">
        <f t="shared" si="27"/>
        <v>892119.42999999993</v>
      </c>
      <c r="R539" s="93">
        <f t="shared" si="27"/>
        <v>-137.33000000000001</v>
      </c>
      <c r="S539" s="93">
        <f t="shared" si="27"/>
        <v>2.25</v>
      </c>
      <c r="T539" s="93">
        <f t="shared" si="27"/>
        <v>0.72</v>
      </c>
      <c r="U539" s="93">
        <f t="shared" si="27"/>
        <v>0</v>
      </c>
      <c r="V539" s="93">
        <f t="shared" si="27"/>
        <v>0</v>
      </c>
      <c r="W539" s="93">
        <f t="shared" si="27"/>
        <v>0</v>
      </c>
      <c r="X539" s="93">
        <f t="shared" si="27"/>
        <v>0</v>
      </c>
      <c r="Y539" s="93">
        <f t="shared" si="27"/>
        <v>0</v>
      </c>
      <c r="Z539" s="93">
        <f t="shared" si="27"/>
        <v>-69.42</v>
      </c>
      <c r="AA539" s="93">
        <f t="shared" si="27"/>
        <v>0</v>
      </c>
      <c r="AB539" s="93">
        <f t="shared" si="27"/>
        <v>0</v>
      </c>
      <c r="AC539" s="93">
        <f t="shared" si="27"/>
        <v>0</v>
      </c>
      <c r="AD539" s="93">
        <f t="shared" si="27"/>
        <v>0</v>
      </c>
      <c r="AE539" s="93">
        <f t="shared" si="27"/>
        <v>0</v>
      </c>
      <c r="AF539" s="93">
        <f t="shared" si="27"/>
        <v>0</v>
      </c>
      <c r="AG539" s="93">
        <f t="shared" si="27"/>
        <v>0</v>
      </c>
      <c r="AH539" s="93">
        <f t="shared" si="27"/>
        <v>0</v>
      </c>
      <c r="AI539" s="93">
        <f t="shared" si="27"/>
        <v>0</v>
      </c>
      <c r="AJ539" s="93">
        <f t="shared" si="27"/>
        <v>0</v>
      </c>
      <c r="AK539" s="93">
        <f t="shared" si="27"/>
        <v>0</v>
      </c>
      <c r="AL539" s="93">
        <f t="shared" si="27"/>
        <v>0</v>
      </c>
      <c r="AM539" s="93">
        <f t="shared" si="27"/>
        <v>0</v>
      </c>
      <c r="AN539" s="93">
        <f t="shared" si="27"/>
        <v>0</v>
      </c>
      <c r="AO539" s="93">
        <f t="shared" si="27"/>
        <v>0</v>
      </c>
    </row>
    <row r="540" spans="1:41" ht="12.75" customHeight="1" x14ac:dyDescent="0.25">
      <c r="C540" s="766"/>
      <c r="D540" s="764"/>
      <c r="E540" s="101" t="s">
        <v>73</v>
      </c>
      <c r="F540" s="93">
        <f>F512</f>
        <v>45223319.229999997</v>
      </c>
      <c r="G540" s="90"/>
      <c r="H540" s="90"/>
      <c r="I540" s="90"/>
      <c r="J540" s="90"/>
      <c r="K540" s="90"/>
      <c r="L540" s="90"/>
      <c r="M540" s="90"/>
      <c r="N540" s="90"/>
      <c r="O540" s="90"/>
      <c r="P540" s="90"/>
      <c r="Q540" s="90"/>
      <c r="R540" s="90"/>
      <c r="S540" s="90"/>
    </row>
    <row r="541" spans="1:41" ht="12.75" customHeight="1" x14ac:dyDescent="0.25">
      <c r="C541" s="766"/>
      <c r="D541" s="764" t="s">
        <v>133</v>
      </c>
      <c r="E541" s="235" t="s">
        <v>70</v>
      </c>
      <c r="F541" s="236">
        <v>0</v>
      </c>
      <c r="G541" s="236">
        <v>0</v>
      </c>
      <c r="H541" s="236">
        <v>0</v>
      </c>
      <c r="I541" s="236">
        <v>0</v>
      </c>
      <c r="J541" s="236">
        <v>0</v>
      </c>
      <c r="K541" s="236">
        <v>0</v>
      </c>
      <c r="L541" s="236">
        <v>0</v>
      </c>
      <c r="M541" s="236">
        <v>0</v>
      </c>
      <c r="N541" s="236">
        <v>0</v>
      </c>
      <c r="O541" s="236">
        <v>0</v>
      </c>
      <c r="P541" s="236">
        <v>0</v>
      </c>
      <c r="Q541" s="236">
        <v>0</v>
      </c>
      <c r="R541" s="236">
        <v>0</v>
      </c>
      <c r="S541" s="236">
        <v>0</v>
      </c>
      <c r="T541" s="236">
        <v>0</v>
      </c>
      <c r="U541" s="236">
        <v>0</v>
      </c>
      <c r="V541" s="236">
        <v>0</v>
      </c>
      <c r="W541" s="236">
        <v>0</v>
      </c>
      <c r="X541" s="236">
        <v>0</v>
      </c>
      <c r="Y541" s="236">
        <v>0</v>
      </c>
      <c r="Z541" s="236">
        <v>0</v>
      </c>
      <c r="AA541" s="236">
        <v>0</v>
      </c>
      <c r="AB541" s="236">
        <v>0</v>
      </c>
      <c r="AC541" s="236">
        <v>0</v>
      </c>
      <c r="AD541" s="236">
        <v>0</v>
      </c>
      <c r="AE541" s="236">
        <v>0</v>
      </c>
      <c r="AF541" s="236">
        <v>0</v>
      </c>
      <c r="AG541" s="236">
        <v>0</v>
      </c>
      <c r="AH541" s="236">
        <v>0</v>
      </c>
      <c r="AI541" s="236">
        <v>0</v>
      </c>
      <c r="AJ541" s="236">
        <v>0</v>
      </c>
      <c r="AK541" s="236">
        <v>0</v>
      </c>
      <c r="AL541" s="236">
        <v>0</v>
      </c>
      <c r="AM541" s="236">
        <v>0</v>
      </c>
      <c r="AN541" s="236">
        <v>0</v>
      </c>
      <c r="AO541" s="236">
        <v>0</v>
      </c>
    </row>
    <row r="542" spans="1:41" ht="12.75" customHeight="1" x14ac:dyDescent="0.25">
      <c r="C542" s="766"/>
      <c r="D542" s="764"/>
      <c r="E542" s="235" t="s">
        <v>73</v>
      </c>
      <c r="F542" s="236">
        <v>0</v>
      </c>
      <c r="G542" s="90"/>
      <c r="H542" s="90"/>
      <c r="I542" s="90"/>
      <c r="J542" s="90"/>
      <c r="K542" s="90"/>
      <c r="L542" s="90"/>
      <c r="M542" s="90"/>
      <c r="N542" s="90"/>
      <c r="O542" s="90"/>
      <c r="P542" s="90"/>
      <c r="Q542" s="90"/>
      <c r="R542" s="90"/>
    </row>
    <row r="543" spans="1:41" ht="12.75" customHeight="1" x14ac:dyDescent="0.3">
      <c r="A543" s="89"/>
      <c r="C543" s="97"/>
      <c r="F543" s="90"/>
      <c r="G543" s="90"/>
      <c r="H543" s="90"/>
      <c r="I543" s="90"/>
      <c r="J543" s="90"/>
      <c r="K543" s="90"/>
      <c r="L543" s="90"/>
      <c r="M543" s="90"/>
      <c r="N543" s="90"/>
      <c r="O543" s="90"/>
      <c r="P543" s="90"/>
      <c r="Q543" s="90"/>
      <c r="R543" s="90"/>
      <c r="S543" s="90"/>
    </row>
    <row r="544" spans="1:41" ht="12.75" customHeight="1" x14ac:dyDescent="0.25">
      <c r="C544" s="765" t="s">
        <v>161</v>
      </c>
      <c r="D544" s="764" t="s">
        <v>132</v>
      </c>
      <c r="E544" s="231" t="s">
        <v>70</v>
      </c>
      <c r="F544" s="232">
        <v>0</v>
      </c>
      <c r="G544" s="232">
        <v>0</v>
      </c>
      <c r="H544" s="232">
        <v>0</v>
      </c>
      <c r="I544" s="232">
        <v>0</v>
      </c>
      <c r="J544" s="232">
        <v>0</v>
      </c>
      <c r="K544" s="232">
        <v>0</v>
      </c>
      <c r="L544" s="232">
        <v>0</v>
      </c>
      <c r="M544" s="232">
        <v>0</v>
      </c>
      <c r="N544" s="232">
        <v>0</v>
      </c>
      <c r="O544" s="232">
        <v>0</v>
      </c>
      <c r="P544" s="232">
        <v>0</v>
      </c>
      <c r="Q544" s="232">
        <v>0</v>
      </c>
      <c r="R544" s="232">
        <v>0</v>
      </c>
      <c r="S544" s="232">
        <v>0</v>
      </c>
      <c r="T544" s="232">
        <v>0</v>
      </c>
      <c r="U544" s="232"/>
      <c r="V544" s="232"/>
      <c r="W544" s="232"/>
      <c r="X544" s="232">
        <v>0</v>
      </c>
      <c r="Y544" s="232">
        <v>0</v>
      </c>
      <c r="Z544" s="232">
        <v>0</v>
      </c>
      <c r="AA544" s="232">
        <v>0</v>
      </c>
      <c r="AB544" s="232">
        <v>0</v>
      </c>
      <c r="AC544" s="232">
        <v>0</v>
      </c>
      <c r="AD544" s="232">
        <v>0</v>
      </c>
      <c r="AE544" s="232">
        <v>0</v>
      </c>
      <c r="AF544" s="232">
        <v>0</v>
      </c>
      <c r="AG544" s="232">
        <v>0</v>
      </c>
      <c r="AH544" s="232">
        <v>0</v>
      </c>
      <c r="AI544" s="232">
        <v>0</v>
      </c>
      <c r="AJ544" s="232">
        <v>0</v>
      </c>
      <c r="AK544" s="232">
        <v>0</v>
      </c>
      <c r="AL544" s="232">
        <v>0</v>
      </c>
      <c r="AM544" s="232">
        <v>0</v>
      </c>
      <c r="AN544" s="232">
        <v>0</v>
      </c>
      <c r="AO544" s="232">
        <v>0</v>
      </c>
    </row>
    <row r="545" spans="3:27" ht="12.75" customHeight="1" x14ac:dyDescent="0.25">
      <c r="C545" s="765"/>
      <c r="D545" s="764"/>
      <c r="E545" s="231" t="s">
        <v>73</v>
      </c>
      <c r="F545" s="232">
        <v>0</v>
      </c>
      <c r="G545" s="90"/>
      <c r="H545" s="90"/>
      <c r="I545" s="90"/>
      <c r="J545" s="90"/>
      <c r="K545" s="90"/>
      <c r="L545" s="90"/>
      <c r="M545" s="90"/>
      <c r="N545" s="90"/>
      <c r="O545" s="90"/>
      <c r="P545" s="90"/>
      <c r="Q545" s="90"/>
      <c r="R545" s="90"/>
      <c r="S545" s="90"/>
    </row>
    <row r="546" spans="3:27" ht="12.75" customHeight="1" x14ac:dyDescent="0.25">
      <c r="C546" s="765"/>
      <c r="E546" s="148" t="s">
        <v>70</v>
      </c>
      <c r="F546" s="149">
        <v>0</v>
      </c>
      <c r="G546" s="149">
        <v>0</v>
      </c>
      <c r="H546" s="149">
        <v>0</v>
      </c>
      <c r="I546" s="149">
        <v>0</v>
      </c>
      <c r="J546" s="149">
        <v>0</v>
      </c>
      <c r="K546" s="149">
        <v>0</v>
      </c>
      <c r="L546" s="149">
        <v>0</v>
      </c>
      <c r="M546" s="149">
        <v>0</v>
      </c>
      <c r="N546" s="149">
        <v>0</v>
      </c>
      <c r="O546" s="149">
        <v>0</v>
      </c>
      <c r="P546" s="149">
        <v>0</v>
      </c>
      <c r="Q546" s="149">
        <v>0</v>
      </c>
      <c r="R546" s="149">
        <v>0</v>
      </c>
      <c r="S546" s="149">
        <v>0</v>
      </c>
      <c r="T546" s="149">
        <v>0</v>
      </c>
      <c r="U546" s="149"/>
      <c r="V546" s="149"/>
      <c r="W546" s="149"/>
      <c r="X546" s="149">
        <v>0</v>
      </c>
      <c r="Y546" s="149">
        <v>0</v>
      </c>
      <c r="Z546" s="149">
        <v>0</v>
      </c>
      <c r="AA546" s="149">
        <v>0</v>
      </c>
    </row>
    <row r="547" spans="3:27" ht="12.75" customHeight="1" x14ac:dyDescent="0.25">
      <c r="C547" s="765"/>
      <c r="D547" s="220" t="s">
        <v>132</v>
      </c>
      <c r="E547" s="148" t="s">
        <v>73</v>
      </c>
      <c r="F547" s="149">
        <v>0</v>
      </c>
      <c r="G547" s="90"/>
      <c r="H547" s="90"/>
      <c r="I547" s="90"/>
      <c r="J547" s="90"/>
      <c r="K547" s="90"/>
      <c r="L547" s="90"/>
      <c r="M547" s="90"/>
      <c r="N547" s="90"/>
      <c r="O547" s="90"/>
      <c r="P547" s="90"/>
      <c r="Q547" s="90"/>
      <c r="R547" s="90"/>
    </row>
    <row r="548" spans="3:27" ht="12.75" customHeight="1" x14ac:dyDescent="0.25">
      <c r="C548" s="391"/>
      <c r="D548" s="220"/>
      <c r="E548" s="89"/>
      <c r="F548" s="90"/>
      <c r="G548" s="90"/>
      <c r="H548" s="90"/>
      <c r="I548" s="90"/>
      <c r="J548" s="90"/>
      <c r="K548" s="90"/>
      <c r="L548" s="90"/>
      <c r="M548" s="90"/>
      <c r="N548" s="90"/>
      <c r="O548" s="90"/>
      <c r="P548" s="90"/>
      <c r="Q548" s="90"/>
      <c r="R548" s="90"/>
    </row>
    <row r="549" spans="3:27" ht="12.75" customHeight="1" x14ac:dyDescent="0.25">
      <c r="D549" s="461" t="s">
        <v>185</v>
      </c>
      <c r="E549" s="462" t="s">
        <v>70</v>
      </c>
      <c r="F549" s="463">
        <v>0</v>
      </c>
      <c r="G549" s="463">
        <v>0</v>
      </c>
      <c r="H549" s="463">
        <v>0</v>
      </c>
      <c r="I549" s="463">
        <v>0</v>
      </c>
      <c r="J549" s="463">
        <v>0</v>
      </c>
      <c r="K549" s="463">
        <v>0</v>
      </c>
      <c r="L549" s="463">
        <v>0</v>
      </c>
      <c r="M549" s="463">
        <v>0</v>
      </c>
      <c r="N549" s="463">
        <v>0</v>
      </c>
      <c r="O549" s="463">
        <v>0</v>
      </c>
      <c r="P549" s="463">
        <v>0</v>
      </c>
      <c r="Q549" s="463">
        <v>0</v>
      </c>
      <c r="R549" s="463">
        <v>0</v>
      </c>
      <c r="S549" s="463">
        <v>0</v>
      </c>
      <c r="T549" s="463">
        <v>0</v>
      </c>
      <c r="U549" s="463">
        <v>0</v>
      </c>
      <c r="V549" s="463">
        <v>0</v>
      </c>
      <c r="W549" s="463">
        <v>0</v>
      </c>
      <c r="X549" s="463">
        <v>0</v>
      </c>
      <c r="Y549" s="463">
        <v>0</v>
      </c>
      <c r="Z549" s="463">
        <v>0</v>
      </c>
      <c r="AA549" s="463">
        <v>0</v>
      </c>
    </row>
    <row r="550" spans="3:27" ht="12.75" customHeight="1" x14ac:dyDescent="0.25">
      <c r="C550" s="391"/>
      <c r="D550" s="220"/>
      <c r="E550" s="89"/>
      <c r="F550" s="90"/>
      <c r="G550" s="90"/>
      <c r="H550" s="90"/>
      <c r="I550" s="90"/>
      <c r="J550" s="90"/>
      <c r="K550" s="90"/>
      <c r="L550" s="90"/>
      <c r="M550" s="90"/>
      <c r="N550" s="90"/>
      <c r="O550" s="90"/>
      <c r="P550" s="90"/>
      <c r="Q550" s="90"/>
      <c r="R550" s="90"/>
    </row>
    <row r="551" spans="3:27" s="238" customFormat="1" ht="12.75" customHeight="1" x14ac:dyDescent="0.25">
      <c r="D551" s="239"/>
      <c r="E551" s="240"/>
      <c r="F551" s="240"/>
      <c r="G551" s="240"/>
      <c r="H551" s="240"/>
      <c r="I551" s="240"/>
      <c r="J551" s="240"/>
      <c r="K551" s="240"/>
      <c r="L551" s="240"/>
      <c r="M551" s="240"/>
      <c r="N551" s="240"/>
      <c r="O551" s="240"/>
      <c r="P551" s="240"/>
      <c r="Q551" s="240"/>
    </row>
  </sheetData>
  <mergeCells count="87">
    <mergeCell ref="D331:D332"/>
    <mergeCell ref="D333:D334"/>
    <mergeCell ref="C191:C194"/>
    <mergeCell ref="D191:D192"/>
    <mergeCell ref="D193:D194"/>
    <mergeCell ref="C201:C204"/>
    <mergeCell ref="D201:D202"/>
    <mergeCell ref="C316:C319"/>
    <mergeCell ref="D316:D317"/>
    <mergeCell ref="D318:D319"/>
    <mergeCell ref="C544:C547"/>
    <mergeCell ref="C519:C522"/>
    <mergeCell ref="D519:D520"/>
    <mergeCell ref="D521:D522"/>
    <mergeCell ref="C524:C527"/>
    <mergeCell ref="D524:D525"/>
    <mergeCell ref="D526:D527"/>
    <mergeCell ref="C529:C532"/>
    <mergeCell ref="D529:D530"/>
    <mergeCell ref="D531:D532"/>
    <mergeCell ref="C539:C542"/>
    <mergeCell ref="D539:D540"/>
    <mergeCell ref="D541:D542"/>
    <mergeCell ref="D544:D545"/>
    <mergeCell ref="C534:C537"/>
    <mergeCell ref="D534:D535"/>
    <mergeCell ref="D188:D189"/>
    <mergeCell ref="D198:D199"/>
    <mergeCell ref="C71:C74"/>
    <mergeCell ref="D71:D72"/>
    <mergeCell ref="D73:D74"/>
    <mergeCell ref="C176:C179"/>
    <mergeCell ref="D176:D177"/>
    <mergeCell ref="D178:D179"/>
    <mergeCell ref="C181:C184"/>
    <mergeCell ref="D181:D182"/>
    <mergeCell ref="D186:D187"/>
    <mergeCell ref="C186:C189"/>
    <mergeCell ref="C196:C199"/>
    <mergeCell ref="D196:D197"/>
    <mergeCell ref="D68:D69"/>
    <mergeCell ref="C51:C54"/>
    <mergeCell ref="C56:C59"/>
    <mergeCell ref="D183:D184"/>
    <mergeCell ref="C46:C49"/>
    <mergeCell ref="D46:D47"/>
    <mergeCell ref="D48:D49"/>
    <mergeCell ref="C66:C69"/>
    <mergeCell ref="D51:D52"/>
    <mergeCell ref="D53:D54"/>
    <mergeCell ref="D56:D57"/>
    <mergeCell ref="D58:D59"/>
    <mergeCell ref="D66:D67"/>
    <mergeCell ref="C61:C64"/>
    <mergeCell ref="D61:D62"/>
    <mergeCell ref="D63:D64"/>
    <mergeCell ref="C437:C440"/>
    <mergeCell ref="D437:D438"/>
    <mergeCell ref="D439:D440"/>
    <mergeCell ref="C321:C324"/>
    <mergeCell ref="D321:D322"/>
    <mergeCell ref="D323:D324"/>
    <mergeCell ref="C326:C329"/>
    <mergeCell ref="D326:D327"/>
    <mergeCell ref="D328:D329"/>
    <mergeCell ref="C336:C339"/>
    <mergeCell ref="D336:D337"/>
    <mergeCell ref="D338:D339"/>
    <mergeCell ref="C341:C344"/>
    <mergeCell ref="D341:D342"/>
    <mergeCell ref="D343:D344"/>
    <mergeCell ref="C331:C334"/>
    <mergeCell ref="D536:D537"/>
    <mergeCell ref="C462:C465"/>
    <mergeCell ref="C442:C445"/>
    <mergeCell ref="D442:D443"/>
    <mergeCell ref="D444:D445"/>
    <mergeCell ref="C447:C450"/>
    <mergeCell ref="D447:D448"/>
    <mergeCell ref="D449:D450"/>
    <mergeCell ref="C457:C460"/>
    <mergeCell ref="D457:D458"/>
    <mergeCell ref="D459:D460"/>
    <mergeCell ref="D462:D463"/>
    <mergeCell ref="C452:C455"/>
    <mergeCell ref="D452:D453"/>
    <mergeCell ref="D454:D455"/>
  </mergeCells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S430"/>
  <sheetViews>
    <sheetView zoomScaleNormal="100" workbookViewId="0">
      <pane ySplit="2" topLeftCell="A3" activePane="bottomLeft" state="frozen"/>
      <selection activeCell="F540" activeCellId="2" sqref="F530 F535 F540"/>
      <selection pane="bottomLeft" activeCell="F540" activeCellId="2" sqref="F530 F535 F540"/>
    </sheetView>
  </sheetViews>
  <sheetFormatPr baseColWidth="10" defaultRowHeight="12.5" x14ac:dyDescent="0.25"/>
  <cols>
    <col min="2" max="2" width="22.453125" bestFit="1" customWidth="1"/>
    <col min="3" max="3" width="18.7265625" customWidth="1"/>
    <col min="4" max="4" width="23.26953125" bestFit="1" customWidth="1"/>
    <col min="5" max="5" width="15.26953125" bestFit="1" customWidth="1"/>
    <col min="6" max="6" width="15.453125" bestFit="1" customWidth="1"/>
    <col min="7" max="8" width="16.26953125" bestFit="1" customWidth="1"/>
    <col min="9" max="9" width="15.26953125" bestFit="1" customWidth="1"/>
    <col min="10" max="10" width="17" bestFit="1" customWidth="1"/>
    <col min="11" max="11" width="13.54296875" bestFit="1" customWidth="1"/>
    <col min="12" max="12" width="15.54296875" bestFit="1" customWidth="1"/>
    <col min="13" max="15" width="15.26953125" bestFit="1" customWidth="1"/>
    <col min="16" max="16" width="20.453125" bestFit="1" customWidth="1"/>
    <col min="17" max="17" width="11.54296875" customWidth="1"/>
    <col min="18" max="18" width="13.54296875" bestFit="1" customWidth="1"/>
  </cols>
  <sheetData>
    <row r="1" spans="1:18" ht="13" x14ac:dyDescent="0.3">
      <c r="B1" s="97" t="s">
        <v>74</v>
      </c>
    </row>
    <row r="2" spans="1:18" ht="12.75" customHeight="1" x14ac:dyDescent="0.25">
      <c r="E2" s="89" t="s">
        <v>70</v>
      </c>
      <c r="F2" s="89" t="s">
        <v>64</v>
      </c>
      <c r="G2" s="89" t="s">
        <v>65</v>
      </c>
      <c r="H2" s="219" t="s">
        <v>164</v>
      </c>
      <c r="I2" s="89" t="s">
        <v>69</v>
      </c>
      <c r="J2" s="89" t="s">
        <v>68</v>
      </c>
      <c r="K2" s="89" t="s">
        <v>83</v>
      </c>
      <c r="L2" s="89" t="s">
        <v>66</v>
      </c>
      <c r="M2" s="89" t="s">
        <v>63</v>
      </c>
      <c r="N2" s="89" t="s">
        <v>61</v>
      </c>
      <c r="O2" s="89" t="s">
        <v>62</v>
      </c>
      <c r="P2" s="89" t="s">
        <v>67</v>
      </c>
      <c r="Q2" s="89" t="s">
        <v>84</v>
      </c>
      <c r="R2" s="387" t="s">
        <v>226</v>
      </c>
    </row>
    <row r="3" spans="1:18" ht="12.75" customHeight="1" x14ac:dyDescent="0.25">
      <c r="D3" t="s">
        <v>72</v>
      </c>
      <c r="E3" s="387">
        <v>52775107.869999997</v>
      </c>
      <c r="F3" s="89">
        <v>3005934.68</v>
      </c>
      <c r="G3" s="89">
        <v>1639699.62</v>
      </c>
      <c r="H3" s="387">
        <v>850296.11</v>
      </c>
      <c r="I3" s="89">
        <v>9434909.5600000005</v>
      </c>
      <c r="J3" s="89">
        <v>259660.97</v>
      </c>
      <c r="K3" s="89">
        <v>57261.7</v>
      </c>
      <c r="L3" s="89">
        <v>4787838.16</v>
      </c>
      <c r="M3" s="89">
        <v>4258606.9400000004</v>
      </c>
      <c r="N3" s="89">
        <v>19821214.07</v>
      </c>
      <c r="O3" s="89">
        <v>8235997.7699999996</v>
      </c>
      <c r="P3" s="89">
        <v>424283.05</v>
      </c>
      <c r="Q3" s="89">
        <v>-594.76</v>
      </c>
      <c r="R3">
        <v>0</v>
      </c>
    </row>
    <row r="4" spans="1:18" ht="12.75" customHeight="1" x14ac:dyDescent="0.25">
      <c r="D4" t="s">
        <v>81</v>
      </c>
      <c r="E4">
        <v>78527.399999999994</v>
      </c>
      <c r="F4">
        <v>286.62</v>
      </c>
      <c r="G4">
        <v>160.63</v>
      </c>
      <c r="H4">
        <v>84.75</v>
      </c>
      <c r="I4">
        <v>591.75</v>
      </c>
      <c r="J4">
        <v>22.99</v>
      </c>
      <c r="K4">
        <v>0</v>
      </c>
      <c r="L4">
        <v>196.2</v>
      </c>
      <c r="M4">
        <v>185.94</v>
      </c>
      <c r="N4">
        <v>856.99</v>
      </c>
      <c r="O4">
        <v>783.97</v>
      </c>
      <c r="P4">
        <v>37.53</v>
      </c>
      <c r="Q4">
        <v>75320.03</v>
      </c>
      <c r="R4">
        <v>0</v>
      </c>
    </row>
    <row r="5" spans="1:18" ht="12.75" customHeight="1" x14ac:dyDescent="0.25">
      <c r="C5" t="s">
        <v>156</v>
      </c>
      <c r="D5" t="s">
        <v>70</v>
      </c>
      <c r="E5">
        <v>52853635.270000003</v>
      </c>
      <c r="F5">
        <v>3006221.3</v>
      </c>
      <c r="G5">
        <v>1639860.25</v>
      </c>
      <c r="H5">
        <v>850380.86</v>
      </c>
      <c r="I5">
        <v>9435501.3100000005</v>
      </c>
      <c r="J5">
        <v>259683.96</v>
      </c>
      <c r="K5">
        <v>57261.7</v>
      </c>
      <c r="L5">
        <v>4788034.3600000003</v>
      </c>
      <c r="M5">
        <v>4258792.88</v>
      </c>
      <c r="N5">
        <v>19822071.059999999</v>
      </c>
      <c r="O5">
        <v>8236781.7400000002</v>
      </c>
      <c r="P5">
        <v>424320.58</v>
      </c>
      <c r="Q5">
        <v>74725.27</v>
      </c>
      <c r="R5">
        <v>0</v>
      </c>
    </row>
    <row r="6" spans="1:18" s="289" customFormat="1" ht="12.75" customHeight="1" x14ac:dyDescent="0.25">
      <c r="B6" s="289" t="s">
        <v>155</v>
      </c>
      <c r="C6" s="289" t="s">
        <v>70</v>
      </c>
      <c r="E6" s="289">
        <v>52853635.270000003</v>
      </c>
      <c r="F6" s="289">
        <v>3006221.3</v>
      </c>
      <c r="G6" s="289">
        <v>1639860.25</v>
      </c>
      <c r="H6" s="289">
        <v>850380.86</v>
      </c>
      <c r="I6" s="289">
        <v>9435501.3100000005</v>
      </c>
      <c r="J6" s="289">
        <v>259683.96</v>
      </c>
      <c r="K6" s="289">
        <v>57261.7</v>
      </c>
      <c r="L6" s="289">
        <v>4788034.3600000003</v>
      </c>
      <c r="M6" s="289">
        <v>4258792.88</v>
      </c>
      <c r="N6" s="289">
        <v>19822071.059999999</v>
      </c>
      <c r="O6" s="289">
        <v>8236781.7400000002</v>
      </c>
      <c r="P6" s="289">
        <v>424320.58</v>
      </c>
      <c r="Q6" s="289">
        <v>74725.27</v>
      </c>
      <c r="R6" s="289">
        <v>0</v>
      </c>
    </row>
    <row r="7" spans="1:18" ht="12.75" customHeight="1" x14ac:dyDescent="0.25">
      <c r="B7" s="142"/>
      <c r="D7" t="s">
        <v>72</v>
      </c>
      <c r="E7" s="142">
        <v>217567.77</v>
      </c>
      <c r="F7">
        <v>8801.93</v>
      </c>
      <c r="G7">
        <v>4969.5600000000004</v>
      </c>
      <c r="H7">
        <v>1578.39</v>
      </c>
      <c r="I7">
        <v>55004.69</v>
      </c>
      <c r="J7">
        <v>1915.1</v>
      </c>
      <c r="K7">
        <v>0</v>
      </c>
      <c r="L7">
        <v>16799.05</v>
      </c>
      <c r="M7">
        <v>16182.6</v>
      </c>
      <c r="N7">
        <v>85190.74</v>
      </c>
      <c r="O7">
        <v>23998.79</v>
      </c>
      <c r="P7">
        <v>3124.6</v>
      </c>
      <c r="Q7">
        <v>2.3199999999999998</v>
      </c>
      <c r="R7">
        <v>0</v>
      </c>
    </row>
    <row r="8" spans="1:18" ht="12.75" customHeight="1" x14ac:dyDescent="0.25">
      <c r="B8" s="142"/>
      <c r="C8" t="s">
        <v>82</v>
      </c>
      <c r="D8" t="s">
        <v>70</v>
      </c>
      <c r="E8" s="142">
        <v>217567.77</v>
      </c>
      <c r="F8">
        <v>8801.93</v>
      </c>
      <c r="G8">
        <v>4969.5600000000004</v>
      </c>
      <c r="H8">
        <v>1578.39</v>
      </c>
      <c r="I8">
        <v>55004.69</v>
      </c>
      <c r="J8">
        <v>1915.1</v>
      </c>
      <c r="K8">
        <v>0</v>
      </c>
      <c r="L8">
        <v>16799.05</v>
      </c>
      <c r="M8">
        <v>16182.6</v>
      </c>
      <c r="N8">
        <v>85190.74</v>
      </c>
      <c r="O8">
        <v>23998.79</v>
      </c>
      <c r="P8">
        <v>3124.6</v>
      </c>
      <c r="Q8">
        <v>2.3199999999999998</v>
      </c>
      <c r="R8">
        <v>0</v>
      </c>
    </row>
    <row r="9" spans="1:18" ht="12.75" customHeight="1" x14ac:dyDescent="0.25">
      <c r="B9" s="142"/>
      <c r="D9" t="s">
        <v>72</v>
      </c>
      <c r="E9" s="142">
        <v>2348432.2200000002</v>
      </c>
      <c r="F9">
        <v>133715.17000000001</v>
      </c>
      <c r="G9">
        <v>76606.429999999993</v>
      </c>
      <c r="H9">
        <v>18339.36</v>
      </c>
      <c r="I9">
        <v>656909.12</v>
      </c>
      <c r="J9">
        <v>22734.38</v>
      </c>
      <c r="K9">
        <v>0</v>
      </c>
      <c r="L9">
        <v>268184.65000000002</v>
      </c>
      <c r="M9">
        <v>134174.67000000001</v>
      </c>
      <c r="N9">
        <v>638198.91</v>
      </c>
      <c r="O9">
        <v>360128.88</v>
      </c>
      <c r="P9">
        <v>39397.089999999997</v>
      </c>
      <c r="Q9">
        <v>43.56</v>
      </c>
      <c r="R9">
        <v>0</v>
      </c>
    </row>
    <row r="10" spans="1:18" ht="12.75" customHeight="1" x14ac:dyDescent="0.25">
      <c r="B10" s="142"/>
      <c r="D10" t="s">
        <v>81</v>
      </c>
      <c r="E10">
        <v>1273.5999999999999</v>
      </c>
      <c r="F10">
        <v>35.71</v>
      </c>
      <c r="G10">
        <v>17.46</v>
      </c>
      <c r="H10">
        <v>9.61</v>
      </c>
      <c r="I10">
        <v>202.72</v>
      </c>
      <c r="J10">
        <v>16.329999999999998</v>
      </c>
      <c r="K10">
        <v>0</v>
      </c>
      <c r="L10">
        <v>143.16999999999999</v>
      </c>
      <c r="M10">
        <v>133.71</v>
      </c>
      <c r="N10">
        <v>591.26</v>
      </c>
      <c r="O10">
        <v>96.97</v>
      </c>
      <c r="P10">
        <v>26.63</v>
      </c>
      <c r="Q10">
        <v>0.03</v>
      </c>
      <c r="R10">
        <v>0</v>
      </c>
    </row>
    <row r="11" spans="1:18" ht="12.75" customHeight="1" x14ac:dyDescent="0.25">
      <c r="B11" s="142"/>
      <c r="C11" t="s">
        <v>86</v>
      </c>
      <c r="D11" t="s">
        <v>70</v>
      </c>
      <c r="E11" s="142">
        <v>2349705.8199999998</v>
      </c>
      <c r="F11">
        <v>133750.88</v>
      </c>
      <c r="G11">
        <v>76623.89</v>
      </c>
      <c r="H11">
        <v>18348.97</v>
      </c>
      <c r="I11">
        <v>657111.84</v>
      </c>
      <c r="J11">
        <v>22750.71</v>
      </c>
      <c r="K11">
        <v>0</v>
      </c>
      <c r="L11">
        <v>268327.82</v>
      </c>
      <c r="M11">
        <v>134308.38</v>
      </c>
      <c r="N11">
        <v>638790.17000000004</v>
      </c>
      <c r="O11">
        <v>360225.85</v>
      </c>
      <c r="P11">
        <v>39423.72</v>
      </c>
      <c r="Q11">
        <v>43.59</v>
      </c>
      <c r="R11">
        <v>0</v>
      </c>
    </row>
    <row r="12" spans="1:18" ht="12.75" customHeight="1" x14ac:dyDescent="0.25">
      <c r="B12" s="142"/>
      <c r="D12" t="s">
        <v>72</v>
      </c>
      <c r="E12" s="142">
        <v>932978.37</v>
      </c>
      <c r="F12">
        <v>50950.7</v>
      </c>
      <c r="G12">
        <v>28766.79</v>
      </c>
      <c r="H12">
        <v>13978.58</v>
      </c>
      <c r="I12">
        <v>228040.09</v>
      </c>
      <c r="J12">
        <v>7660.4</v>
      </c>
      <c r="K12">
        <v>0</v>
      </c>
      <c r="L12">
        <v>70556.009999999995</v>
      </c>
      <c r="M12">
        <v>64730.400000000001</v>
      </c>
      <c r="N12">
        <v>319858.46000000002</v>
      </c>
      <c r="O12">
        <v>138447.13</v>
      </c>
      <c r="P12">
        <v>9998.7199999999993</v>
      </c>
      <c r="Q12">
        <v>-8.91</v>
      </c>
      <c r="R12">
        <v>0</v>
      </c>
    </row>
    <row r="13" spans="1:18" ht="12.75" customHeight="1" x14ac:dyDescent="0.25">
      <c r="B13" s="142"/>
      <c r="C13" s="89" t="s">
        <v>87</v>
      </c>
      <c r="D13" s="89" t="s">
        <v>70</v>
      </c>
      <c r="E13" s="90">
        <v>932978.37</v>
      </c>
      <c r="F13" s="90">
        <v>50950.7</v>
      </c>
      <c r="G13" s="90">
        <v>28766.79</v>
      </c>
      <c r="H13" s="90">
        <v>13978.58</v>
      </c>
      <c r="I13" s="90">
        <v>228040.09</v>
      </c>
      <c r="J13" s="90">
        <v>7660.4</v>
      </c>
      <c r="K13" s="90">
        <v>0</v>
      </c>
      <c r="L13" s="90">
        <v>70556.009999999995</v>
      </c>
      <c r="M13" s="90">
        <v>64730.400000000001</v>
      </c>
      <c r="N13" s="90">
        <v>319858.46000000002</v>
      </c>
      <c r="O13" s="90">
        <v>138447.13</v>
      </c>
      <c r="P13" s="90">
        <v>9998.7199999999993</v>
      </c>
      <c r="Q13" s="90">
        <v>-8.91</v>
      </c>
      <c r="R13">
        <v>0</v>
      </c>
    </row>
    <row r="14" spans="1:18" s="94" customFormat="1" ht="12.75" customHeight="1" x14ac:dyDescent="0.25">
      <c r="B14" s="101" t="s">
        <v>119</v>
      </c>
      <c r="C14" s="101" t="s">
        <v>70</v>
      </c>
      <c r="E14" s="93">
        <v>3500251.96</v>
      </c>
      <c r="F14" s="93">
        <v>193503.51</v>
      </c>
      <c r="G14" s="93">
        <v>110360.24</v>
      </c>
      <c r="H14" s="93">
        <v>33905.94</v>
      </c>
      <c r="I14" s="93">
        <v>940156.62</v>
      </c>
      <c r="J14" s="93">
        <v>32326.21</v>
      </c>
      <c r="K14" s="93">
        <v>0</v>
      </c>
      <c r="L14" s="93">
        <v>355682.88</v>
      </c>
      <c r="M14" s="93">
        <v>215221.38</v>
      </c>
      <c r="N14" s="93">
        <v>1043839.37</v>
      </c>
      <c r="O14" s="93">
        <v>522671.77</v>
      </c>
      <c r="P14" s="93">
        <v>52547.040000000001</v>
      </c>
      <c r="Q14" s="93">
        <v>37</v>
      </c>
      <c r="R14" s="94">
        <v>0</v>
      </c>
    </row>
    <row r="15" spans="1:18" s="226" customFormat="1" ht="12.75" customHeight="1" x14ac:dyDescent="0.25">
      <c r="A15" s="98" t="s">
        <v>78</v>
      </c>
      <c r="B15" s="98" t="s">
        <v>70</v>
      </c>
      <c r="E15" s="100">
        <v>56353887.229999997</v>
      </c>
      <c r="F15" s="100">
        <v>3199724.81</v>
      </c>
      <c r="G15" s="100">
        <v>1750220.49</v>
      </c>
      <c r="H15" s="100">
        <v>884286.8</v>
      </c>
      <c r="I15" s="100">
        <v>10375657.93</v>
      </c>
      <c r="J15" s="100">
        <v>292010.17</v>
      </c>
      <c r="K15" s="100">
        <v>57261.7</v>
      </c>
      <c r="L15" s="100">
        <v>5143717.24</v>
      </c>
      <c r="M15" s="100">
        <v>4474014.26</v>
      </c>
      <c r="N15" s="100">
        <v>20865910.43</v>
      </c>
      <c r="O15" s="100">
        <v>8759453.5099999998</v>
      </c>
      <c r="P15" s="100">
        <v>476867.62</v>
      </c>
      <c r="Q15" s="100">
        <v>74762.27</v>
      </c>
      <c r="R15" s="226">
        <v>0</v>
      </c>
    </row>
    <row r="16" spans="1:18" ht="12.75" customHeight="1" x14ac:dyDescent="0.25">
      <c r="D16" s="89" t="s">
        <v>73</v>
      </c>
      <c r="E16" s="374">
        <v>-891046.91</v>
      </c>
      <c r="F16" s="90">
        <v>346354.38</v>
      </c>
      <c r="G16" s="90">
        <v>188770.63</v>
      </c>
      <c r="H16" s="90">
        <v>112441.44</v>
      </c>
      <c r="I16" s="90">
        <v>-875398.47</v>
      </c>
      <c r="J16" s="90">
        <v>-36178.21</v>
      </c>
      <c r="K16" s="90">
        <v>0</v>
      </c>
      <c r="L16" s="90">
        <v>-243429.06</v>
      </c>
      <c r="M16" s="90">
        <v>-212863.85</v>
      </c>
      <c r="N16" s="90">
        <v>-1106133.6200000001</v>
      </c>
      <c r="O16" s="90">
        <v>994081.82</v>
      </c>
      <c r="P16" s="90">
        <v>-58691.97</v>
      </c>
      <c r="Q16" s="90">
        <v>0</v>
      </c>
      <c r="R16">
        <v>0</v>
      </c>
    </row>
    <row r="17" spans="1:18" ht="12.75" customHeight="1" x14ac:dyDescent="0.25">
      <c r="C17" s="89" t="s">
        <v>156</v>
      </c>
      <c r="D17" s="89" t="s">
        <v>70</v>
      </c>
      <c r="E17" s="90">
        <v>-891046.91</v>
      </c>
      <c r="F17" s="90">
        <v>346354.38</v>
      </c>
      <c r="G17" s="90">
        <v>188770.63</v>
      </c>
      <c r="H17" s="90">
        <v>112441.44</v>
      </c>
      <c r="I17" s="90">
        <v>-875398.47</v>
      </c>
      <c r="J17" s="90">
        <v>-36178.21</v>
      </c>
      <c r="K17" s="90">
        <v>0</v>
      </c>
      <c r="L17" s="90">
        <v>-243429.06</v>
      </c>
      <c r="M17" s="90">
        <v>-212863.85</v>
      </c>
      <c r="N17" s="90">
        <v>-1106133.6200000001</v>
      </c>
      <c r="O17" s="90">
        <v>994081.82</v>
      </c>
      <c r="P17" s="90">
        <v>-58691.97</v>
      </c>
      <c r="Q17" s="90">
        <v>0</v>
      </c>
      <c r="R17">
        <v>0</v>
      </c>
    </row>
    <row r="18" spans="1:18" s="289" customFormat="1" ht="12.75" customHeight="1" x14ac:dyDescent="0.25">
      <c r="B18" s="289" t="s">
        <v>155</v>
      </c>
      <c r="C18" s="289" t="s">
        <v>70</v>
      </c>
      <c r="E18" s="289">
        <v>-891046.91</v>
      </c>
      <c r="F18" s="289">
        <v>346354.38</v>
      </c>
      <c r="G18" s="289">
        <v>188770.63</v>
      </c>
      <c r="H18" s="289">
        <v>112441.44</v>
      </c>
      <c r="I18" s="289">
        <v>-875398.47</v>
      </c>
      <c r="J18" s="289">
        <v>-36178.21</v>
      </c>
      <c r="K18" s="289">
        <v>0</v>
      </c>
      <c r="L18" s="289">
        <v>-243429.06</v>
      </c>
      <c r="M18" s="289">
        <v>-212863.85</v>
      </c>
      <c r="N18" s="289">
        <v>-1106133.6200000001</v>
      </c>
      <c r="O18" s="289">
        <v>994081.82</v>
      </c>
      <c r="P18" s="289">
        <v>-58691.97</v>
      </c>
      <c r="Q18" s="289">
        <v>0</v>
      </c>
      <c r="R18" s="289">
        <v>0</v>
      </c>
    </row>
    <row r="19" spans="1:18" ht="12.75" customHeight="1" x14ac:dyDescent="0.25">
      <c r="D19" s="89" t="s">
        <v>73</v>
      </c>
      <c r="E19" s="374">
        <v>13129.64</v>
      </c>
      <c r="F19" s="90">
        <v>251.85</v>
      </c>
      <c r="G19" s="90">
        <v>142.19</v>
      </c>
      <c r="H19" s="90">
        <v>124.92</v>
      </c>
      <c r="I19" s="90">
        <v>5077.05</v>
      </c>
      <c r="J19" s="90">
        <v>191.51</v>
      </c>
      <c r="K19" s="90">
        <v>0</v>
      </c>
      <c r="L19" s="90">
        <v>646.85</v>
      </c>
      <c r="M19" s="90">
        <v>0</v>
      </c>
      <c r="N19" s="90">
        <v>5694.98</v>
      </c>
      <c r="O19" s="90">
        <v>687.83</v>
      </c>
      <c r="P19" s="90">
        <v>312.45999999999998</v>
      </c>
      <c r="Q19" s="90">
        <v>0</v>
      </c>
      <c r="R19">
        <v>0</v>
      </c>
    </row>
    <row r="20" spans="1:18" ht="12.75" customHeight="1" x14ac:dyDescent="0.25">
      <c r="C20" s="89" t="s">
        <v>82</v>
      </c>
      <c r="D20" s="89" t="s">
        <v>70</v>
      </c>
      <c r="E20" s="90">
        <v>13129.64</v>
      </c>
      <c r="F20" s="90">
        <v>251.85</v>
      </c>
      <c r="G20" s="90">
        <v>142.19</v>
      </c>
      <c r="H20" s="90">
        <v>124.92</v>
      </c>
      <c r="I20" s="90">
        <v>5077.05</v>
      </c>
      <c r="J20" s="90">
        <v>191.51</v>
      </c>
      <c r="K20" s="90">
        <v>0</v>
      </c>
      <c r="L20" s="90">
        <v>646.85</v>
      </c>
      <c r="M20" s="90">
        <v>0</v>
      </c>
      <c r="N20" s="90">
        <v>5694.98</v>
      </c>
      <c r="O20" s="90">
        <v>687.83</v>
      </c>
      <c r="P20" s="90">
        <v>312.45999999999998</v>
      </c>
      <c r="Q20" s="90">
        <v>0</v>
      </c>
      <c r="R20">
        <v>0</v>
      </c>
    </row>
    <row r="21" spans="1:18" ht="12.75" customHeight="1" x14ac:dyDescent="0.25">
      <c r="D21" s="89" t="s">
        <v>73</v>
      </c>
      <c r="E21" s="90">
        <v>-1366753.87</v>
      </c>
      <c r="F21" s="90">
        <v>-48164.56</v>
      </c>
      <c r="G21" s="90">
        <v>-27193.52</v>
      </c>
      <c r="H21" s="90">
        <v>-14273.06</v>
      </c>
      <c r="I21" s="90">
        <v>-298390.71999999997</v>
      </c>
      <c r="J21" s="90">
        <v>-14114.49</v>
      </c>
      <c r="K21" s="90">
        <v>0</v>
      </c>
      <c r="L21" s="90">
        <v>-123808.53</v>
      </c>
      <c r="M21" s="90">
        <v>-119265.98</v>
      </c>
      <c r="N21" s="90">
        <v>-566524.06000000006</v>
      </c>
      <c r="O21" s="90">
        <v>-131990.43</v>
      </c>
      <c r="P21" s="90">
        <v>-23028.52</v>
      </c>
      <c r="Q21" s="90">
        <v>0</v>
      </c>
      <c r="R21">
        <v>0</v>
      </c>
    </row>
    <row r="22" spans="1:18" ht="12.75" customHeight="1" x14ac:dyDescent="0.25">
      <c r="C22" s="89" t="s">
        <v>86</v>
      </c>
      <c r="D22" s="89" t="s">
        <v>70</v>
      </c>
      <c r="E22" s="90">
        <v>-1366753.87</v>
      </c>
      <c r="F22" s="90">
        <v>-48164.56</v>
      </c>
      <c r="G22" s="90">
        <v>-27193.52</v>
      </c>
      <c r="H22" s="90">
        <v>-14273.06</v>
      </c>
      <c r="I22" s="90">
        <v>-298390.71999999997</v>
      </c>
      <c r="J22" s="90">
        <v>-14114.49</v>
      </c>
      <c r="K22" s="90">
        <v>0</v>
      </c>
      <c r="L22" s="90">
        <v>-123808.53</v>
      </c>
      <c r="M22" s="90">
        <v>-119265.98</v>
      </c>
      <c r="N22" s="90">
        <v>-566524.06000000006</v>
      </c>
      <c r="O22" s="90">
        <v>-131990.43</v>
      </c>
      <c r="P22" s="90">
        <v>-23028.52</v>
      </c>
      <c r="Q22" s="90">
        <v>0</v>
      </c>
      <c r="R22">
        <v>0</v>
      </c>
    </row>
    <row r="23" spans="1:18" ht="12.75" customHeight="1" x14ac:dyDescent="0.25">
      <c r="D23" s="89" t="s">
        <v>73</v>
      </c>
      <c r="E23" s="90">
        <v>164431.29</v>
      </c>
      <c r="F23" s="90">
        <v>9572.57</v>
      </c>
      <c r="G23" s="90">
        <v>5404.71</v>
      </c>
      <c r="H23" s="90">
        <v>3830.1</v>
      </c>
      <c r="I23" s="90">
        <v>25069.49</v>
      </c>
      <c r="J23" s="90">
        <v>1091.5999999999999</v>
      </c>
      <c r="K23" s="90">
        <v>0</v>
      </c>
      <c r="L23" s="90">
        <v>13271.32</v>
      </c>
      <c r="M23" s="90">
        <v>12784.24</v>
      </c>
      <c r="N23" s="90">
        <v>62966.18</v>
      </c>
      <c r="O23" s="90">
        <v>28660.07</v>
      </c>
      <c r="P23" s="90">
        <v>1781.01</v>
      </c>
      <c r="Q23" s="90">
        <v>0</v>
      </c>
      <c r="R23">
        <v>0</v>
      </c>
    </row>
    <row r="24" spans="1:18" ht="12.75" customHeight="1" x14ac:dyDescent="0.25">
      <c r="C24" s="89" t="s">
        <v>87</v>
      </c>
      <c r="D24" s="89" t="s">
        <v>70</v>
      </c>
      <c r="E24" s="90">
        <v>164431.29</v>
      </c>
      <c r="F24" s="90">
        <v>9572.57</v>
      </c>
      <c r="G24" s="90">
        <v>5404.71</v>
      </c>
      <c r="H24" s="90">
        <v>3830.1</v>
      </c>
      <c r="I24" s="90">
        <v>25069.49</v>
      </c>
      <c r="J24" s="90">
        <v>1091.5999999999999</v>
      </c>
      <c r="K24" s="90">
        <v>0</v>
      </c>
      <c r="L24" s="90">
        <v>13271.32</v>
      </c>
      <c r="M24" s="90">
        <v>12784.24</v>
      </c>
      <c r="N24" s="90">
        <v>62966.18</v>
      </c>
      <c r="O24" s="90">
        <v>28660.07</v>
      </c>
      <c r="P24" s="90">
        <v>1781.01</v>
      </c>
      <c r="Q24" s="90">
        <v>0</v>
      </c>
      <c r="R24">
        <v>0</v>
      </c>
    </row>
    <row r="25" spans="1:18" s="94" customFormat="1" ht="12.75" customHeight="1" x14ac:dyDescent="0.25">
      <c r="B25" s="101" t="s">
        <v>119</v>
      </c>
      <c r="C25" s="101" t="s">
        <v>70</v>
      </c>
      <c r="E25" s="93">
        <v>-1189192.94</v>
      </c>
      <c r="F25" s="93">
        <v>-38340.14</v>
      </c>
      <c r="G25" s="93">
        <v>-21646.62</v>
      </c>
      <c r="H25" s="93">
        <v>-10318.040000000001</v>
      </c>
      <c r="I25" s="93">
        <v>-268244.18</v>
      </c>
      <c r="J25" s="93">
        <v>-12831.38</v>
      </c>
      <c r="K25" s="93">
        <v>0</v>
      </c>
      <c r="L25" s="93">
        <v>-109890.36</v>
      </c>
      <c r="M25" s="93">
        <v>-106481.74</v>
      </c>
      <c r="N25" s="93">
        <v>-497862.9</v>
      </c>
      <c r="O25" s="93">
        <v>-102642.53</v>
      </c>
      <c r="P25" s="93">
        <v>-20935.05</v>
      </c>
      <c r="Q25" s="93">
        <v>0</v>
      </c>
      <c r="R25" s="94">
        <v>0</v>
      </c>
    </row>
    <row r="26" spans="1:18" s="226" customFormat="1" ht="12.75" customHeight="1" x14ac:dyDescent="0.25">
      <c r="A26" s="98" t="s">
        <v>79</v>
      </c>
      <c r="B26" s="98" t="s">
        <v>70</v>
      </c>
      <c r="E26" s="100">
        <v>-2080239.85</v>
      </c>
      <c r="F26" s="100">
        <v>308014.24</v>
      </c>
      <c r="G26" s="100">
        <v>167124.01</v>
      </c>
      <c r="H26" s="100">
        <v>102123.4</v>
      </c>
      <c r="I26" s="100">
        <v>-1143642.6499999999</v>
      </c>
      <c r="J26" s="100">
        <v>-49009.59</v>
      </c>
      <c r="K26" s="100">
        <v>0</v>
      </c>
      <c r="L26" s="100">
        <v>-353319.42</v>
      </c>
      <c r="M26" s="100">
        <v>-319345.59000000003</v>
      </c>
      <c r="N26" s="100">
        <v>-1603996.52</v>
      </c>
      <c r="O26" s="100">
        <v>891439.29</v>
      </c>
      <c r="P26" s="100">
        <v>-79627.02</v>
      </c>
      <c r="Q26" s="100">
        <v>0</v>
      </c>
      <c r="R26" s="226">
        <v>0</v>
      </c>
    </row>
    <row r="27" spans="1:18" ht="12.75" customHeight="1" x14ac:dyDescent="0.25">
      <c r="A27" s="89" t="s">
        <v>70</v>
      </c>
      <c r="E27" s="90">
        <v>54273647.380000003</v>
      </c>
      <c r="F27" s="90">
        <v>3507739.05</v>
      </c>
      <c r="G27" s="90">
        <v>1917344.5</v>
      </c>
      <c r="H27" s="90">
        <v>986410.2</v>
      </c>
      <c r="I27" s="90">
        <v>9232015.2799999993</v>
      </c>
      <c r="J27" s="90">
        <v>243000.58</v>
      </c>
      <c r="K27" s="90">
        <v>57261.7</v>
      </c>
      <c r="L27" s="90">
        <v>4790397.82</v>
      </c>
      <c r="M27" s="90">
        <v>4154668.67</v>
      </c>
      <c r="N27" s="90">
        <v>19261913.91</v>
      </c>
      <c r="O27" s="90">
        <v>9650892.8000000007</v>
      </c>
      <c r="P27" s="90">
        <v>397240.6</v>
      </c>
      <c r="Q27" s="90">
        <v>74762.27</v>
      </c>
      <c r="R27" s="144">
        <v>0</v>
      </c>
    </row>
    <row r="28" spans="1:18" ht="12.75" customHeight="1" x14ac:dyDescent="0.25">
      <c r="A28" s="89"/>
      <c r="E28" s="90"/>
      <c r="F28" s="90"/>
      <c r="G28" s="90"/>
      <c r="H28" s="90"/>
      <c r="I28" s="90"/>
      <c r="J28" s="90"/>
      <c r="K28" s="90"/>
      <c r="L28" s="90"/>
      <c r="M28" s="90"/>
      <c r="N28" s="90"/>
      <c r="O28" s="90"/>
      <c r="P28" s="90"/>
      <c r="Q28" s="90"/>
    </row>
    <row r="29" spans="1:18" ht="12.75" customHeight="1" x14ac:dyDescent="0.25">
      <c r="A29" s="89"/>
      <c r="E29" s="90"/>
      <c r="F29" s="90"/>
      <c r="G29" s="90"/>
      <c r="H29" s="90"/>
      <c r="I29" s="90"/>
      <c r="J29" s="90"/>
      <c r="K29" s="90"/>
      <c r="L29" s="90"/>
      <c r="M29" s="90"/>
      <c r="N29" s="90"/>
      <c r="O29" s="90"/>
      <c r="P29" s="90"/>
      <c r="Q29" s="90"/>
    </row>
    <row r="30" spans="1:18" ht="12.75" hidden="1" customHeight="1" x14ac:dyDescent="0.25">
      <c r="A30" s="89"/>
      <c r="E30" s="90"/>
      <c r="F30" s="90"/>
      <c r="G30" s="90"/>
      <c r="H30" s="90"/>
      <c r="I30" s="90"/>
      <c r="J30" s="90"/>
      <c r="K30" s="90"/>
      <c r="L30" s="90"/>
      <c r="M30" s="90"/>
      <c r="N30" s="90"/>
      <c r="O30" s="90"/>
      <c r="P30" s="90"/>
      <c r="Q30" s="90"/>
    </row>
    <row r="31" spans="1:18" ht="12.75" hidden="1" customHeight="1" x14ac:dyDescent="0.25">
      <c r="A31" s="89"/>
      <c r="E31" s="90"/>
      <c r="F31" s="90"/>
      <c r="G31" s="90"/>
      <c r="H31" s="90"/>
      <c r="I31" s="90"/>
      <c r="J31" s="90"/>
      <c r="K31" s="90"/>
      <c r="L31" s="90"/>
      <c r="M31" s="90"/>
      <c r="N31" s="90"/>
      <c r="O31" s="90"/>
      <c r="P31" s="90"/>
      <c r="Q31" s="90"/>
    </row>
    <row r="32" spans="1:18" ht="12.75" hidden="1" customHeight="1" x14ac:dyDescent="0.25">
      <c r="A32" s="89"/>
      <c r="E32" s="90"/>
      <c r="F32" s="90"/>
      <c r="G32" s="90"/>
      <c r="H32" s="90"/>
      <c r="I32" s="90"/>
      <c r="J32" s="90"/>
      <c r="K32" s="90"/>
      <c r="L32" s="90"/>
      <c r="M32" s="90"/>
      <c r="N32" s="90"/>
      <c r="O32" s="90"/>
      <c r="P32" s="90"/>
      <c r="Q32" s="90"/>
    </row>
    <row r="33" spans="1:19" ht="12.75" hidden="1" customHeight="1" x14ac:dyDescent="0.25">
      <c r="A33" s="89"/>
      <c r="E33" s="90"/>
      <c r="F33" s="90"/>
      <c r="G33" s="90"/>
      <c r="H33" s="90"/>
      <c r="I33" s="90"/>
      <c r="J33" s="90"/>
      <c r="K33" s="90"/>
      <c r="L33" s="90"/>
      <c r="M33" s="90"/>
      <c r="N33" s="90"/>
      <c r="O33" s="90"/>
      <c r="P33" s="90"/>
      <c r="Q33" s="90"/>
    </row>
    <row r="34" spans="1:19" ht="12.75" hidden="1" customHeight="1" x14ac:dyDescent="0.25">
      <c r="A34" s="89"/>
      <c r="E34" s="90"/>
      <c r="F34" s="90"/>
      <c r="G34" s="90"/>
      <c r="H34" s="90"/>
      <c r="I34" s="90"/>
      <c r="J34" s="90"/>
      <c r="K34" s="90"/>
      <c r="L34" s="90"/>
      <c r="M34" s="90"/>
      <c r="N34" s="90"/>
      <c r="O34" s="90"/>
      <c r="P34" s="90"/>
      <c r="Q34" s="90"/>
    </row>
    <row r="35" spans="1:19" ht="12.75" hidden="1" customHeight="1" x14ac:dyDescent="0.25">
      <c r="A35" s="89"/>
      <c r="E35" s="90"/>
      <c r="F35" s="90"/>
      <c r="G35" s="90"/>
      <c r="H35" s="90"/>
      <c r="I35" s="90"/>
      <c r="J35" s="90"/>
      <c r="K35" s="90"/>
      <c r="L35" s="90"/>
      <c r="M35" s="90"/>
      <c r="N35" s="90"/>
      <c r="O35" s="90"/>
      <c r="P35" s="90"/>
      <c r="Q35" s="90"/>
    </row>
    <row r="36" spans="1:19" ht="12.75" hidden="1" customHeight="1" x14ac:dyDescent="0.25">
      <c r="A36" s="89"/>
      <c r="E36" s="90"/>
      <c r="F36" s="90"/>
      <c r="G36" s="90"/>
      <c r="H36" s="90"/>
      <c r="I36" s="90"/>
      <c r="J36" s="90"/>
      <c r="K36" s="90"/>
      <c r="L36" s="90"/>
      <c r="M36" s="90"/>
      <c r="N36" s="90"/>
      <c r="O36" s="90"/>
      <c r="P36" s="90"/>
      <c r="Q36" s="90"/>
    </row>
    <row r="37" spans="1:19" ht="12.75" hidden="1" customHeight="1" x14ac:dyDescent="0.25">
      <c r="A37" s="89"/>
      <c r="E37" s="90"/>
      <c r="F37" s="90"/>
      <c r="G37" s="90"/>
      <c r="H37" s="90"/>
      <c r="I37" s="90"/>
      <c r="J37" s="90"/>
      <c r="K37" s="90"/>
      <c r="L37" s="90"/>
      <c r="M37" s="90"/>
      <c r="N37" s="90"/>
      <c r="O37" s="90"/>
      <c r="P37" s="90"/>
      <c r="Q37" s="90"/>
    </row>
    <row r="38" spans="1:19" ht="12.75" hidden="1" customHeight="1" x14ac:dyDescent="0.25">
      <c r="A38" s="89"/>
      <c r="E38" s="90"/>
      <c r="F38" s="90"/>
      <c r="G38" s="90"/>
      <c r="H38" s="90"/>
      <c r="I38" s="90"/>
      <c r="J38" s="90"/>
      <c r="K38" s="90"/>
      <c r="L38" s="90"/>
      <c r="M38" s="90"/>
      <c r="N38" s="90"/>
      <c r="O38" s="90"/>
      <c r="P38" s="90"/>
      <c r="Q38" s="90"/>
    </row>
    <row r="39" spans="1:19" ht="12.75" customHeight="1" x14ac:dyDescent="0.25">
      <c r="A39" s="89"/>
      <c r="E39" s="90"/>
      <c r="F39" s="90"/>
      <c r="G39" s="90"/>
      <c r="H39" s="90"/>
      <c r="I39" s="90"/>
      <c r="J39" s="90"/>
      <c r="K39" s="90"/>
      <c r="L39" s="90"/>
      <c r="M39" s="90"/>
      <c r="N39" s="90"/>
      <c r="O39" s="90"/>
      <c r="P39" s="90"/>
      <c r="Q39" s="90"/>
    </row>
    <row r="40" spans="1:19" ht="12.75" customHeight="1" x14ac:dyDescent="0.25">
      <c r="A40" s="89"/>
      <c r="E40" s="90"/>
      <c r="F40" s="90"/>
      <c r="G40" s="90"/>
      <c r="H40" s="90"/>
      <c r="I40" s="90"/>
      <c r="J40" s="90"/>
      <c r="K40" s="90"/>
      <c r="L40" s="90"/>
      <c r="M40" s="90"/>
      <c r="N40" s="90"/>
      <c r="O40" s="90"/>
      <c r="P40" s="90"/>
      <c r="Q40" s="90"/>
    </row>
    <row r="41" spans="1:19" ht="12.75" customHeight="1" x14ac:dyDescent="0.25">
      <c r="B41" s="766" t="s">
        <v>2</v>
      </c>
      <c r="C41" s="764" t="s">
        <v>132</v>
      </c>
      <c r="D41" s="98" t="s">
        <v>70</v>
      </c>
      <c r="E41" s="100">
        <f>E15+E26-K15</f>
        <v>54216385.679999992</v>
      </c>
      <c r="F41" s="100">
        <f>F15</f>
        <v>3199724.81</v>
      </c>
      <c r="G41" s="100">
        <f t="shared" ref="G41:S41" si="0">G15</f>
        <v>1750220.49</v>
      </c>
      <c r="H41" s="100">
        <f t="shared" si="0"/>
        <v>884286.8</v>
      </c>
      <c r="I41" s="100">
        <f t="shared" si="0"/>
        <v>10375657.93</v>
      </c>
      <c r="J41" s="100">
        <f t="shared" si="0"/>
        <v>292010.17</v>
      </c>
      <c r="K41" s="100">
        <f t="shared" si="0"/>
        <v>57261.7</v>
      </c>
      <c r="L41" s="100">
        <f t="shared" si="0"/>
        <v>5143717.24</v>
      </c>
      <c r="M41" s="100">
        <f t="shared" si="0"/>
        <v>4474014.26</v>
      </c>
      <c r="N41" s="100">
        <f t="shared" si="0"/>
        <v>20865910.43</v>
      </c>
      <c r="O41" s="100">
        <f t="shared" si="0"/>
        <v>8759453.5099999998</v>
      </c>
      <c r="P41" s="100">
        <f t="shared" si="0"/>
        <v>476867.62</v>
      </c>
      <c r="Q41" s="100">
        <f t="shared" si="0"/>
        <v>74762.27</v>
      </c>
      <c r="R41" s="100">
        <f t="shared" si="0"/>
        <v>0</v>
      </c>
      <c r="S41" s="100">
        <f t="shared" si="0"/>
        <v>0</v>
      </c>
    </row>
    <row r="42" spans="1:19" ht="12.75" customHeight="1" x14ac:dyDescent="0.25">
      <c r="B42" s="766"/>
      <c r="C42" s="764"/>
      <c r="D42" s="98" t="s">
        <v>73</v>
      </c>
      <c r="E42" s="100">
        <f>E26</f>
        <v>-2080239.85</v>
      </c>
      <c r="F42" s="90"/>
      <c r="G42" s="90"/>
      <c r="H42" s="90"/>
      <c r="I42" s="90"/>
      <c r="J42" s="90"/>
      <c r="K42" s="90"/>
      <c r="L42" s="90"/>
      <c r="M42" s="90"/>
      <c r="N42" s="90"/>
      <c r="O42" s="90"/>
      <c r="P42" s="90"/>
      <c r="Q42" s="90"/>
      <c r="R42" s="90"/>
      <c r="S42" s="90"/>
    </row>
    <row r="43" spans="1:19" ht="12.75" customHeight="1" x14ac:dyDescent="0.3">
      <c r="A43" s="89"/>
      <c r="B43" s="97"/>
      <c r="E43" s="374"/>
      <c r="F43" s="90"/>
      <c r="G43" s="90"/>
      <c r="H43" s="90"/>
      <c r="I43" s="90"/>
      <c r="J43" s="90"/>
      <c r="K43" s="90"/>
      <c r="L43" s="90"/>
      <c r="M43" s="90"/>
      <c r="N43" s="90"/>
      <c r="O43" s="90"/>
      <c r="P43" s="90"/>
      <c r="Q43" s="90"/>
      <c r="R43" s="90"/>
      <c r="S43" s="90"/>
    </row>
    <row r="44" spans="1:19" ht="12.75" customHeight="1" x14ac:dyDescent="0.25">
      <c r="B44" s="766" t="s">
        <v>160</v>
      </c>
      <c r="C44" s="764" t="s">
        <v>132</v>
      </c>
      <c r="D44" s="223" t="s">
        <v>70</v>
      </c>
      <c r="E44" s="225">
        <v>0</v>
      </c>
      <c r="F44" s="225">
        <v>0</v>
      </c>
      <c r="G44" s="225">
        <v>0</v>
      </c>
      <c r="H44" s="225">
        <v>0</v>
      </c>
      <c r="I44" s="225">
        <v>0</v>
      </c>
      <c r="J44" s="225">
        <v>0</v>
      </c>
      <c r="K44" s="225">
        <v>0</v>
      </c>
      <c r="L44" s="225">
        <v>0</v>
      </c>
      <c r="M44" s="225">
        <v>0</v>
      </c>
      <c r="N44" s="225">
        <v>0</v>
      </c>
      <c r="O44" s="225">
        <v>0</v>
      </c>
      <c r="P44" s="225">
        <v>0</v>
      </c>
      <c r="Q44" s="225">
        <v>0</v>
      </c>
      <c r="R44" s="225">
        <v>0</v>
      </c>
      <c r="S44" s="225">
        <v>0</v>
      </c>
    </row>
    <row r="45" spans="1:19" ht="12.75" customHeight="1" x14ac:dyDescent="0.25">
      <c r="B45" s="766"/>
      <c r="C45" s="764"/>
      <c r="D45" s="223" t="s">
        <v>73</v>
      </c>
      <c r="E45" s="225">
        <v>0</v>
      </c>
      <c r="F45" s="90"/>
      <c r="G45" s="90"/>
      <c r="H45" s="90"/>
      <c r="I45" s="90"/>
      <c r="J45" s="90"/>
      <c r="K45" s="90"/>
      <c r="L45" s="90"/>
      <c r="M45" s="90"/>
      <c r="N45" s="90"/>
      <c r="O45" s="90"/>
      <c r="P45" s="90"/>
      <c r="Q45" s="90"/>
      <c r="R45" s="90"/>
      <c r="S45" s="90"/>
    </row>
    <row r="46" spans="1:19" ht="12.75" customHeight="1" x14ac:dyDescent="0.3">
      <c r="A46" s="89"/>
      <c r="B46" s="97"/>
      <c r="E46" s="90"/>
      <c r="F46" s="90"/>
      <c r="G46" s="90"/>
      <c r="H46" s="90"/>
      <c r="I46" s="90"/>
      <c r="J46" s="90"/>
      <c r="K46" s="90"/>
      <c r="L46" s="90"/>
      <c r="M46" s="90"/>
      <c r="N46" s="90"/>
      <c r="O46" s="90"/>
      <c r="P46" s="90"/>
      <c r="Q46" s="90"/>
      <c r="R46" s="90"/>
      <c r="S46" s="90"/>
    </row>
    <row r="47" spans="1:19" ht="12.75" customHeight="1" x14ac:dyDescent="0.25">
      <c r="B47" s="766" t="s">
        <v>155</v>
      </c>
      <c r="C47" s="764" t="s">
        <v>132</v>
      </c>
      <c r="D47" s="221" t="s">
        <v>70</v>
      </c>
      <c r="E47" s="222">
        <f>E18+E6-K6</f>
        <v>51905326.660000004</v>
      </c>
      <c r="F47" s="222">
        <f t="shared" ref="F47:S47" si="1">F6</f>
        <v>3006221.3</v>
      </c>
      <c r="G47" s="222">
        <f t="shared" si="1"/>
        <v>1639860.25</v>
      </c>
      <c r="H47" s="222">
        <f t="shared" si="1"/>
        <v>850380.86</v>
      </c>
      <c r="I47" s="222">
        <f t="shared" si="1"/>
        <v>9435501.3100000005</v>
      </c>
      <c r="J47" s="222">
        <f t="shared" si="1"/>
        <v>259683.96</v>
      </c>
      <c r="K47" s="222">
        <f t="shared" si="1"/>
        <v>57261.7</v>
      </c>
      <c r="L47" s="222">
        <f t="shared" si="1"/>
        <v>4788034.3600000003</v>
      </c>
      <c r="M47" s="222">
        <f t="shared" si="1"/>
        <v>4258792.88</v>
      </c>
      <c r="N47" s="222">
        <f t="shared" si="1"/>
        <v>19822071.059999999</v>
      </c>
      <c r="O47" s="222">
        <f t="shared" si="1"/>
        <v>8236781.7400000002</v>
      </c>
      <c r="P47" s="222">
        <f t="shared" si="1"/>
        <v>424320.58</v>
      </c>
      <c r="Q47" s="222">
        <f t="shared" si="1"/>
        <v>74725.27</v>
      </c>
      <c r="R47" s="222">
        <f t="shared" si="1"/>
        <v>0</v>
      </c>
      <c r="S47" s="222">
        <f t="shared" si="1"/>
        <v>0</v>
      </c>
    </row>
    <row r="48" spans="1:19" ht="12.75" customHeight="1" x14ac:dyDescent="0.25">
      <c r="B48" s="766"/>
      <c r="C48" s="764"/>
      <c r="D48" s="221" t="s">
        <v>73</v>
      </c>
      <c r="E48" s="222">
        <f>E18</f>
        <v>-891046.91</v>
      </c>
      <c r="F48" s="90"/>
      <c r="G48" s="90"/>
      <c r="H48" s="90"/>
      <c r="I48" s="90"/>
      <c r="J48" s="90"/>
      <c r="K48" s="90"/>
      <c r="L48" s="90"/>
      <c r="M48" s="90"/>
      <c r="N48" s="90"/>
      <c r="O48" s="90"/>
      <c r="P48" s="90"/>
      <c r="Q48" s="90"/>
      <c r="R48" s="90"/>
      <c r="S48" s="90"/>
    </row>
    <row r="49" spans="1:19" ht="12.75" customHeight="1" x14ac:dyDescent="0.3">
      <c r="A49" s="89"/>
      <c r="B49" s="97"/>
      <c r="E49" s="90"/>
      <c r="F49" s="90"/>
      <c r="G49" s="90"/>
      <c r="H49" s="90"/>
      <c r="I49" s="90"/>
      <c r="J49" s="90"/>
      <c r="K49" s="90"/>
      <c r="L49" s="90"/>
      <c r="M49" s="90"/>
      <c r="N49" s="90"/>
      <c r="O49" s="90"/>
      <c r="P49" s="90"/>
      <c r="Q49" s="90"/>
      <c r="R49" s="90"/>
      <c r="S49" s="90"/>
    </row>
    <row r="50" spans="1:19" ht="12.75" customHeight="1" x14ac:dyDescent="0.25">
      <c r="B50" s="767" t="s">
        <v>326</v>
      </c>
      <c r="C50" s="764" t="s">
        <v>132</v>
      </c>
      <c r="D50" s="376" t="s">
        <v>70</v>
      </c>
      <c r="E50" s="377">
        <v>0</v>
      </c>
      <c r="F50" s="377">
        <v>0</v>
      </c>
      <c r="G50" s="377">
        <v>0</v>
      </c>
      <c r="H50" s="377">
        <v>0</v>
      </c>
      <c r="I50" s="377">
        <v>0</v>
      </c>
      <c r="J50" s="377">
        <v>0</v>
      </c>
      <c r="K50" s="377">
        <v>0</v>
      </c>
      <c r="L50" s="377">
        <v>0</v>
      </c>
      <c r="M50" s="377">
        <v>0</v>
      </c>
      <c r="N50" s="377">
        <v>0</v>
      </c>
      <c r="O50" s="377">
        <v>0</v>
      </c>
      <c r="P50" s="377">
        <v>0</v>
      </c>
      <c r="Q50" s="377">
        <v>0</v>
      </c>
      <c r="R50" s="377">
        <v>0</v>
      </c>
    </row>
    <row r="51" spans="1:19" ht="12.75" customHeight="1" x14ac:dyDescent="0.25">
      <c r="B51" s="767"/>
      <c r="C51" s="764"/>
      <c r="D51" s="376" t="s">
        <v>73</v>
      </c>
      <c r="E51" s="377">
        <v>0</v>
      </c>
      <c r="F51" s="90"/>
      <c r="G51" s="90"/>
      <c r="H51" s="90"/>
      <c r="I51" s="90"/>
      <c r="J51" s="90"/>
      <c r="K51" s="90"/>
      <c r="L51" s="90"/>
      <c r="M51" s="90"/>
      <c r="N51" s="90"/>
      <c r="O51" s="90"/>
      <c r="P51" s="90"/>
      <c r="Q51" s="90"/>
      <c r="R51" s="90"/>
    </row>
    <row r="52" spans="1:19" ht="12.75" customHeight="1" x14ac:dyDescent="0.3">
      <c r="A52" s="89"/>
      <c r="B52" s="97"/>
      <c r="E52" s="90"/>
      <c r="F52" s="90"/>
      <c r="G52" s="90"/>
      <c r="H52" s="90"/>
      <c r="I52" s="90"/>
      <c r="J52" s="90"/>
      <c r="K52" s="90"/>
      <c r="L52" s="90"/>
      <c r="M52" s="90"/>
      <c r="N52" s="90"/>
      <c r="O52" s="90"/>
      <c r="P52" s="90"/>
      <c r="Q52" s="90"/>
      <c r="R52" s="90"/>
      <c r="S52" s="90"/>
    </row>
    <row r="53" spans="1:19" ht="12.75" customHeight="1" x14ac:dyDescent="0.25">
      <c r="B53" s="766" t="s">
        <v>119</v>
      </c>
      <c r="C53" s="764" t="s">
        <v>132</v>
      </c>
      <c r="D53" s="101" t="s">
        <v>70</v>
      </c>
      <c r="E53" s="93">
        <f>E14+E25-K14</f>
        <v>2311059.02</v>
      </c>
      <c r="F53" s="93">
        <f>F14</f>
        <v>193503.51</v>
      </c>
      <c r="G53" s="93">
        <f t="shared" ref="G53:S53" si="2">G14</f>
        <v>110360.24</v>
      </c>
      <c r="H53" s="93">
        <f t="shared" si="2"/>
        <v>33905.94</v>
      </c>
      <c r="I53" s="93">
        <f t="shared" si="2"/>
        <v>940156.62</v>
      </c>
      <c r="J53" s="93">
        <f t="shared" si="2"/>
        <v>32326.21</v>
      </c>
      <c r="K53" s="93">
        <f t="shared" si="2"/>
        <v>0</v>
      </c>
      <c r="L53" s="93">
        <f t="shared" si="2"/>
        <v>355682.88</v>
      </c>
      <c r="M53" s="93">
        <f t="shared" si="2"/>
        <v>215221.38</v>
      </c>
      <c r="N53" s="93">
        <f t="shared" si="2"/>
        <v>1043839.37</v>
      </c>
      <c r="O53" s="93">
        <f t="shared" si="2"/>
        <v>522671.77</v>
      </c>
      <c r="P53" s="93">
        <f t="shared" si="2"/>
        <v>52547.040000000001</v>
      </c>
      <c r="Q53" s="93">
        <f t="shared" si="2"/>
        <v>37</v>
      </c>
      <c r="R53" s="93">
        <f t="shared" si="2"/>
        <v>0</v>
      </c>
      <c r="S53" s="93">
        <f t="shared" si="2"/>
        <v>0</v>
      </c>
    </row>
    <row r="54" spans="1:19" ht="12.75" customHeight="1" x14ac:dyDescent="0.25">
      <c r="B54" s="766"/>
      <c r="C54" s="764"/>
      <c r="D54" s="101" t="s">
        <v>73</v>
      </c>
      <c r="E54" s="93">
        <f>E25</f>
        <v>-1189192.94</v>
      </c>
      <c r="F54" s="90"/>
      <c r="G54" s="90"/>
      <c r="H54" s="90"/>
      <c r="I54" s="90"/>
      <c r="J54" s="90"/>
      <c r="K54" s="90"/>
      <c r="L54" s="90"/>
      <c r="M54" s="90"/>
      <c r="N54" s="90"/>
      <c r="O54" s="90"/>
      <c r="P54" s="90"/>
      <c r="Q54" s="90"/>
      <c r="R54" s="90"/>
      <c r="S54" s="90"/>
    </row>
    <row r="55" spans="1:19" ht="12.75" customHeight="1" x14ac:dyDescent="0.3">
      <c r="A55" s="89"/>
      <c r="B55" s="97"/>
      <c r="E55" s="90"/>
      <c r="F55" s="90"/>
      <c r="G55" s="90"/>
      <c r="H55" s="90"/>
      <c r="I55" s="90"/>
      <c r="J55" s="90"/>
      <c r="K55" s="90"/>
      <c r="L55" s="90"/>
      <c r="M55" s="90"/>
      <c r="N55" s="90"/>
      <c r="O55" s="90"/>
      <c r="P55" s="90"/>
      <c r="Q55" s="90"/>
      <c r="R55" s="90"/>
      <c r="S55" s="90"/>
    </row>
    <row r="56" spans="1:19" ht="12.75" customHeight="1" x14ac:dyDescent="0.25">
      <c r="B56" s="765" t="s">
        <v>161</v>
      </c>
      <c r="C56" s="764" t="s">
        <v>132</v>
      </c>
      <c r="D56" s="231" t="s">
        <v>70</v>
      </c>
      <c r="E56" s="232">
        <v>0</v>
      </c>
      <c r="F56" s="232">
        <v>0</v>
      </c>
      <c r="G56" s="232">
        <v>0</v>
      </c>
      <c r="H56" s="232">
        <v>0</v>
      </c>
      <c r="I56" s="232">
        <v>0</v>
      </c>
      <c r="J56" s="232">
        <v>0</v>
      </c>
      <c r="K56" s="232">
        <v>0</v>
      </c>
      <c r="L56" s="232">
        <v>0</v>
      </c>
      <c r="M56" s="232">
        <v>0</v>
      </c>
      <c r="N56" s="232">
        <v>0</v>
      </c>
      <c r="O56" s="232">
        <v>0</v>
      </c>
      <c r="P56" s="232">
        <v>0</v>
      </c>
      <c r="Q56" s="232">
        <v>0</v>
      </c>
      <c r="R56" s="232">
        <v>0</v>
      </c>
      <c r="S56" s="232">
        <v>0</v>
      </c>
    </row>
    <row r="57" spans="1:19" ht="12.75" customHeight="1" x14ac:dyDescent="0.25">
      <c r="B57" s="765"/>
      <c r="C57" s="764"/>
      <c r="D57" s="231" t="s">
        <v>73</v>
      </c>
      <c r="E57" s="232">
        <v>0</v>
      </c>
      <c r="F57" s="90"/>
      <c r="G57" s="90"/>
      <c r="H57" s="90"/>
      <c r="I57" s="90"/>
      <c r="J57" s="90"/>
      <c r="K57" s="90"/>
      <c r="L57" s="90"/>
      <c r="M57" s="90"/>
      <c r="N57" s="90"/>
      <c r="O57" s="90"/>
      <c r="P57" s="90"/>
      <c r="Q57" s="90"/>
      <c r="R57" s="90"/>
    </row>
    <row r="58" spans="1:19" s="238" customFormat="1" x14ac:dyDescent="0.25"/>
    <row r="59" spans="1:19" ht="13" x14ac:dyDescent="0.3">
      <c r="B59" s="97" t="s">
        <v>75</v>
      </c>
    </row>
    <row r="60" spans="1:19" ht="12.75" customHeight="1" x14ac:dyDescent="0.25">
      <c r="E60" s="89" t="s">
        <v>70</v>
      </c>
      <c r="F60" s="89" t="s">
        <v>64</v>
      </c>
      <c r="G60" s="89" t="s">
        <v>65</v>
      </c>
      <c r="H60" s="219" t="s">
        <v>164</v>
      </c>
      <c r="I60" s="89" t="s">
        <v>69</v>
      </c>
      <c r="J60" s="89" t="s">
        <v>68</v>
      </c>
      <c r="K60" s="89" t="s">
        <v>83</v>
      </c>
      <c r="L60" s="89" t="s">
        <v>66</v>
      </c>
      <c r="M60" s="89" t="s">
        <v>63</v>
      </c>
      <c r="N60" s="89" t="s">
        <v>61</v>
      </c>
      <c r="O60" s="89" t="s">
        <v>62</v>
      </c>
      <c r="P60" s="89" t="s">
        <v>67</v>
      </c>
      <c r="Q60" s="89" t="s">
        <v>84</v>
      </c>
      <c r="R60" s="387" t="s">
        <v>226</v>
      </c>
    </row>
    <row r="61" spans="1:19" ht="12.75" customHeight="1" x14ac:dyDescent="0.25">
      <c r="B61" s="142"/>
      <c r="D61" s="89" t="s">
        <v>72</v>
      </c>
      <c r="E61" s="90">
        <v>50271235.799999997</v>
      </c>
      <c r="F61" s="90">
        <v>3276677.11</v>
      </c>
      <c r="G61" s="90">
        <v>1833935.49</v>
      </c>
      <c r="H61" s="90">
        <v>672265.76</v>
      </c>
      <c r="I61" s="90">
        <v>12214565.039999999</v>
      </c>
      <c r="J61" s="90">
        <v>442175.89</v>
      </c>
      <c r="K61" s="90">
        <v>0</v>
      </c>
      <c r="L61" s="90">
        <v>4727156.51</v>
      </c>
      <c r="M61" s="90">
        <v>3746436.11</v>
      </c>
      <c r="N61" s="90">
        <v>16069326.859999999</v>
      </c>
      <c r="O61" s="90">
        <v>6709601.1100000003</v>
      </c>
      <c r="P61" s="90">
        <v>578953.47</v>
      </c>
      <c r="Q61" s="90">
        <v>142.44999999999999</v>
      </c>
      <c r="R61">
        <v>0</v>
      </c>
    </row>
    <row r="62" spans="1:19" ht="12.75" customHeight="1" x14ac:dyDescent="0.25">
      <c r="B62" s="142"/>
      <c r="D62" s="89" t="s">
        <v>81</v>
      </c>
      <c r="E62" s="90">
        <v>46479.5</v>
      </c>
      <c r="F62" s="90">
        <v>3409.96</v>
      </c>
      <c r="G62" s="90">
        <v>1920.55</v>
      </c>
      <c r="H62" s="90">
        <v>1043.33</v>
      </c>
      <c r="I62" s="90">
        <v>10019.75</v>
      </c>
      <c r="J62" s="90">
        <v>383.79</v>
      </c>
      <c r="K62" s="90">
        <v>0</v>
      </c>
      <c r="L62" s="90">
        <v>3308.56</v>
      </c>
      <c r="M62" s="90">
        <v>3357.79</v>
      </c>
      <c r="N62" s="90">
        <v>15781.07</v>
      </c>
      <c r="O62" s="90">
        <v>6620.49</v>
      </c>
      <c r="P62" s="90">
        <v>634.21</v>
      </c>
      <c r="Q62" s="90">
        <v>0</v>
      </c>
      <c r="R62">
        <v>0</v>
      </c>
    </row>
    <row r="63" spans="1:19" ht="12.75" customHeight="1" x14ac:dyDescent="0.25">
      <c r="B63" s="142"/>
      <c r="C63" t="s">
        <v>156</v>
      </c>
      <c r="D63" s="89" t="s">
        <v>70</v>
      </c>
      <c r="E63" s="90">
        <v>50317715.299999997</v>
      </c>
      <c r="F63" s="90">
        <v>3280087.07</v>
      </c>
      <c r="G63" s="90">
        <v>1835856.04</v>
      </c>
      <c r="H63" s="90">
        <v>673309.09</v>
      </c>
      <c r="I63" s="90">
        <v>12224584.789999999</v>
      </c>
      <c r="J63" s="90">
        <v>442559.68</v>
      </c>
      <c r="K63" s="90">
        <v>0</v>
      </c>
      <c r="L63" s="90">
        <v>4730465.07</v>
      </c>
      <c r="M63" s="90">
        <v>3749793.9</v>
      </c>
      <c r="N63" s="90">
        <v>16085107.93</v>
      </c>
      <c r="O63" s="90">
        <v>6716221.5999999996</v>
      </c>
      <c r="P63" s="90">
        <v>579587.68000000005</v>
      </c>
      <c r="Q63" s="90">
        <v>142.44999999999999</v>
      </c>
      <c r="R63">
        <v>0</v>
      </c>
    </row>
    <row r="64" spans="1:19" s="289" customFormat="1" ht="12.75" customHeight="1" x14ac:dyDescent="0.25">
      <c r="B64" s="289" t="s">
        <v>155</v>
      </c>
      <c r="C64" s="289" t="s">
        <v>70</v>
      </c>
      <c r="E64" s="289">
        <v>50317715.299999997</v>
      </c>
      <c r="F64" s="289">
        <v>3280087.07</v>
      </c>
      <c r="G64" s="289">
        <v>1835856.04</v>
      </c>
      <c r="H64" s="289">
        <v>673309.09</v>
      </c>
      <c r="I64" s="289">
        <v>12224584.789999999</v>
      </c>
      <c r="J64" s="289">
        <v>442559.68</v>
      </c>
      <c r="K64" s="289">
        <v>0</v>
      </c>
      <c r="L64" s="289">
        <v>4730465.07</v>
      </c>
      <c r="M64" s="289">
        <v>3749793.9</v>
      </c>
      <c r="N64" s="289">
        <v>16085107.93</v>
      </c>
      <c r="O64" s="289">
        <v>6716221.5999999996</v>
      </c>
      <c r="P64" s="289">
        <v>579587.68000000005</v>
      </c>
      <c r="Q64" s="289">
        <v>142.44999999999999</v>
      </c>
      <c r="R64" s="289">
        <v>0</v>
      </c>
    </row>
    <row r="65" spans="2:18" ht="12.75" customHeight="1" x14ac:dyDescent="0.25">
      <c r="B65" s="142"/>
      <c r="D65" s="89" t="s">
        <v>72</v>
      </c>
      <c r="E65" s="90">
        <v>16040914.869999999</v>
      </c>
      <c r="F65" s="90">
        <v>1001818.56</v>
      </c>
      <c r="G65" s="90">
        <v>611637.46</v>
      </c>
      <c r="H65" s="90">
        <v>185472.06</v>
      </c>
      <c r="I65" s="90">
        <v>4195926.6500000004</v>
      </c>
      <c r="J65" s="90">
        <v>150329.60000000001</v>
      </c>
      <c r="K65" s="90">
        <v>0</v>
      </c>
      <c r="L65" s="90">
        <v>1384619.17</v>
      </c>
      <c r="M65" s="90">
        <v>1219913.79</v>
      </c>
      <c r="N65" s="90">
        <v>5113816.88</v>
      </c>
      <c r="O65" s="90">
        <v>2013991.92</v>
      </c>
      <c r="P65" s="90">
        <v>163358.54</v>
      </c>
      <c r="Q65" s="90">
        <v>30.24</v>
      </c>
      <c r="R65">
        <v>0</v>
      </c>
    </row>
    <row r="66" spans="2:18" ht="12.75" customHeight="1" x14ac:dyDescent="0.25">
      <c r="B66" s="142"/>
      <c r="D66" s="89" t="s">
        <v>81</v>
      </c>
      <c r="E66" s="90">
        <v>201.04</v>
      </c>
      <c r="F66" s="90">
        <v>10.1</v>
      </c>
      <c r="G66" s="90">
        <v>5.55</v>
      </c>
      <c r="H66" s="90">
        <v>3.1</v>
      </c>
      <c r="I66" s="90">
        <v>53.59</v>
      </c>
      <c r="J66" s="90">
        <v>1.33</v>
      </c>
      <c r="K66" s="90">
        <v>0</v>
      </c>
      <c r="L66" s="90">
        <v>11.64</v>
      </c>
      <c r="M66" s="90">
        <v>16.53</v>
      </c>
      <c r="N66" s="90">
        <v>77.040000000000006</v>
      </c>
      <c r="O66" s="90">
        <v>20.010000000000002</v>
      </c>
      <c r="P66" s="90">
        <v>2.17</v>
      </c>
      <c r="Q66" s="90">
        <v>-0.02</v>
      </c>
      <c r="R66">
        <v>0</v>
      </c>
    </row>
    <row r="67" spans="2:18" ht="12.75" customHeight="1" x14ac:dyDescent="0.25">
      <c r="B67" s="142"/>
      <c r="C67" t="s">
        <v>115</v>
      </c>
      <c r="D67" s="89" t="s">
        <v>70</v>
      </c>
      <c r="E67" s="90">
        <v>16041115.91</v>
      </c>
      <c r="F67" s="90">
        <v>1001828.66</v>
      </c>
      <c r="G67" s="90">
        <v>611643.01</v>
      </c>
      <c r="H67" s="90">
        <v>185475.16</v>
      </c>
      <c r="I67" s="90">
        <v>4195980.24</v>
      </c>
      <c r="J67" s="90">
        <v>150330.93</v>
      </c>
      <c r="K67" s="90">
        <v>0</v>
      </c>
      <c r="L67" s="90">
        <v>1384630.81</v>
      </c>
      <c r="M67" s="90">
        <v>1219930.32</v>
      </c>
      <c r="N67" s="90">
        <v>5113893.92</v>
      </c>
      <c r="O67" s="90">
        <v>2014011.93</v>
      </c>
      <c r="P67" s="90">
        <v>163360.71</v>
      </c>
      <c r="Q67" s="90">
        <v>30.22</v>
      </c>
      <c r="R67">
        <v>0</v>
      </c>
    </row>
    <row r="68" spans="2:18" ht="12.75" customHeight="1" x14ac:dyDescent="0.25">
      <c r="B68" s="142"/>
      <c r="D68" s="89" t="s">
        <v>72</v>
      </c>
      <c r="E68" s="90">
        <v>1818547.55</v>
      </c>
      <c r="F68" s="90">
        <v>128760.39</v>
      </c>
      <c r="G68" s="90">
        <v>71047.39</v>
      </c>
      <c r="H68" s="90">
        <v>26311.360000000001</v>
      </c>
      <c r="I68" s="90">
        <v>457821.68</v>
      </c>
      <c r="J68" s="90">
        <v>16416.52</v>
      </c>
      <c r="K68" s="90">
        <v>0</v>
      </c>
      <c r="L68" s="90">
        <v>161313.48000000001</v>
      </c>
      <c r="M68" s="90">
        <v>145157.76999999999</v>
      </c>
      <c r="N68" s="90">
        <v>531816.23</v>
      </c>
      <c r="O68" s="90">
        <v>260084.65</v>
      </c>
      <c r="P68" s="90">
        <v>19812.38</v>
      </c>
      <c r="Q68" s="90">
        <v>5.7</v>
      </c>
      <c r="R68">
        <v>0</v>
      </c>
    </row>
    <row r="69" spans="2:18" ht="12.75" customHeight="1" x14ac:dyDescent="0.25">
      <c r="B69" s="142"/>
      <c r="C69" s="89"/>
      <c r="D69" s="89" t="s">
        <v>81</v>
      </c>
      <c r="E69" s="374">
        <v>33.950000000000003</v>
      </c>
      <c r="F69" s="90">
        <v>1.8</v>
      </c>
      <c r="G69" s="90">
        <v>0.98</v>
      </c>
      <c r="H69" s="90">
        <v>0.55000000000000004</v>
      </c>
      <c r="I69" s="90">
        <v>9.01</v>
      </c>
      <c r="J69" s="90">
        <v>0.21</v>
      </c>
      <c r="K69" s="90">
        <v>0</v>
      </c>
      <c r="L69" s="90">
        <v>1.87</v>
      </c>
      <c r="M69" s="90">
        <v>2.76</v>
      </c>
      <c r="N69" s="90">
        <v>12.89</v>
      </c>
      <c r="O69" s="90">
        <v>3.54</v>
      </c>
      <c r="P69" s="90">
        <v>0.35</v>
      </c>
      <c r="Q69" s="90">
        <v>-0.01</v>
      </c>
      <c r="R69">
        <v>0</v>
      </c>
    </row>
    <row r="70" spans="2:18" ht="12.75" customHeight="1" x14ac:dyDescent="0.25">
      <c r="B70" s="142"/>
      <c r="C70" s="89" t="s">
        <v>116</v>
      </c>
      <c r="D70" s="89" t="s">
        <v>70</v>
      </c>
      <c r="E70" s="374">
        <v>1818581.5</v>
      </c>
      <c r="F70" s="90">
        <v>128762.19</v>
      </c>
      <c r="G70" s="90">
        <v>71048.37</v>
      </c>
      <c r="H70" s="90">
        <v>26311.91</v>
      </c>
      <c r="I70" s="90">
        <v>457830.69</v>
      </c>
      <c r="J70" s="90">
        <v>16416.73</v>
      </c>
      <c r="K70" s="90">
        <v>0</v>
      </c>
      <c r="L70" s="90">
        <v>161315.35</v>
      </c>
      <c r="M70" s="90">
        <v>145160.53</v>
      </c>
      <c r="N70" s="90">
        <v>531829.12</v>
      </c>
      <c r="O70" s="90">
        <v>260088.19</v>
      </c>
      <c r="P70" s="90">
        <v>19812.73</v>
      </c>
      <c r="Q70" s="90">
        <v>5.69</v>
      </c>
      <c r="R70">
        <v>0</v>
      </c>
    </row>
    <row r="71" spans="2:18" ht="12.75" customHeight="1" x14ac:dyDescent="0.25">
      <c r="B71" s="142"/>
      <c r="C71" s="89"/>
      <c r="D71" s="89" t="s">
        <v>72</v>
      </c>
      <c r="E71" s="374">
        <v>30899067.399999999</v>
      </c>
      <c r="F71" s="90">
        <v>1881991.27</v>
      </c>
      <c r="G71" s="90">
        <v>1144839.6299999999</v>
      </c>
      <c r="H71" s="90">
        <v>333958.81</v>
      </c>
      <c r="I71" s="90">
        <v>8271733.5300000003</v>
      </c>
      <c r="J71" s="90">
        <v>285997.26</v>
      </c>
      <c r="K71" s="90">
        <v>0</v>
      </c>
      <c r="L71" s="90">
        <v>2769930.39</v>
      </c>
      <c r="M71" s="90">
        <v>2359306.6800000002</v>
      </c>
      <c r="N71" s="90">
        <v>9850848.7599999998</v>
      </c>
      <c r="O71" s="90">
        <v>3701576.63</v>
      </c>
      <c r="P71" s="90">
        <v>298981.81</v>
      </c>
      <c r="Q71" s="90">
        <v>-97.37</v>
      </c>
      <c r="R71">
        <v>0</v>
      </c>
    </row>
    <row r="72" spans="2:18" ht="12.75" customHeight="1" x14ac:dyDescent="0.25">
      <c r="B72" s="142"/>
      <c r="C72" s="89"/>
      <c r="D72" s="89" t="s">
        <v>81</v>
      </c>
      <c r="E72" s="374">
        <v>2727.84</v>
      </c>
      <c r="F72" s="90">
        <v>175.12</v>
      </c>
      <c r="G72" s="90">
        <v>97.39</v>
      </c>
      <c r="H72" s="90">
        <v>52.41</v>
      </c>
      <c r="I72" s="90">
        <v>622.13</v>
      </c>
      <c r="J72" s="90">
        <v>21.51</v>
      </c>
      <c r="K72" s="90">
        <v>0</v>
      </c>
      <c r="L72" s="90">
        <v>188.54</v>
      </c>
      <c r="M72" s="90">
        <v>205.56</v>
      </c>
      <c r="N72" s="90">
        <v>981.44</v>
      </c>
      <c r="O72" s="90">
        <v>348.76</v>
      </c>
      <c r="P72" s="90">
        <v>35.08</v>
      </c>
      <c r="Q72" s="90">
        <v>-0.1</v>
      </c>
      <c r="R72">
        <v>0</v>
      </c>
    </row>
    <row r="73" spans="2:18" ht="12.75" customHeight="1" x14ac:dyDescent="0.25">
      <c r="B73" s="142"/>
      <c r="C73" s="89" t="s">
        <v>118</v>
      </c>
      <c r="D73" s="89" t="s">
        <v>70</v>
      </c>
      <c r="E73" s="374">
        <v>30901795.239999998</v>
      </c>
      <c r="F73" s="90">
        <v>1882166.39</v>
      </c>
      <c r="G73" s="90">
        <v>1144937.02</v>
      </c>
      <c r="H73" s="90">
        <v>334011.21999999997</v>
      </c>
      <c r="I73" s="90">
        <v>8272355.6600000001</v>
      </c>
      <c r="J73" s="90">
        <v>286018.77</v>
      </c>
      <c r="K73" s="90">
        <v>0</v>
      </c>
      <c r="L73" s="90">
        <v>2770118.93</v>
      </c>
      <c r="M73" s="90">
        <v>2359512.2400000002</v>
      </c>
      <c r="N73" s="90">
        <v>9851830.1999999993</v>
      </c>
      <c r="O73" s="90">
        <v>3701925.39</v>
      </c>
      <c r="P73" s="90">
        <v>299016.89</v>
      </c>
      <c r="Q73" s="90">
        <v>-97.47</v>
      </c>
      <c r="R73">
        <v>0</v>
      </c>
    </row>
    <row r="74" spans="2:18" s="224" customFormat="1" ht="12.75" customHeight="1" x14ac:dyDescent="0.25">
      <c r="B74" s="224" t="s">
        <v>120</v>
      </c>
      <c r="C74" s="224" t="s">
        <v>70</v>
      </c>
      <c r="E74" s="224">
        <v>48761492.649999999</v>
      </c>
      <c r="F74" s="224">
        <v>3012757.24</v>
      </c>
      <c r="G74" s="224">
        <v>1827628.4</v>
      </c>
      <c r="H74" s="224">
        <v>545798.29</v>
      </c>
      <c r="I74" s="224">
        <v>12926166.59</v>
      </c>
      <c r="J74" s="224">
        <v>452766.43</v>
      </c>
      <c r="K74" s="224">
        <v>0</v>
      </c>
      <c r="L74" s="224">
        <v>4316065.09</v>
      </c>
      <c r="M74" s="224">
        <v>3724603.09</v>
      </c>
      <c r="N74" s="224">
        <v>15497553.24</v>
      </c>
      <c r="O74" s="224">
        <v>5976025.5099999998</v>
      </c>
      <c r="P74" s="224">
        <v>482190.33</v>
      </c>
      <c r="Q74" s="224">
        <v>-61.56</v>
      </c>
      <c r="R74" s="224">
        <v>0</v>
      </c>
    </row>
    <row r="75" spans="2:18" ht="12.75" customHeight="1" x14ac:dyDescent="0.25">
      <c r="D75" t="s">
        <v>72</v>
      </c>
      <c r="E75" s="142">
        <v>2832969.5</v>
      </c>
      <c r="F75">
        <v>151240.95000000001</v>
      </c>
      <c r="G75">
        <v>85811.39</v>
      </c>
      <c r="H75">
        <v>53309.98</v>
      </c>
      <c r="I75">
        <v>635923.5</v>
      </c>
      <c r="J75">
        <v>26212.2</v>
      </c>
      <c r="K75">
        <v>0</v>
      </c>
      <c r="L75">
        <v>253538.15</v>
      </c>
      <c r="M75">
        <v>216274.95</v>
      </c>
      <c r="N75">
        <v>962811.09</v>
      </c>
      <c r="O75">
        <v>409511.49</v>
      </c>
      <c r="P75">
        <v>38330.22</v>
      </c>
      <c r="Q75">
        <v>5.58</v>
      </c>
      <c r="R75">
        <v>0</v>
      </c>
    </row>
    <row r="76" spans="2:18" ht="12.75" customHeight="1" x14ac:dyDescent="0.25">
      <c r="D76" t="s">
        <v>81</v>
      </c>
      <c r="E76" s="374">
        <v>8920.0300000000007</v>
      </c>
      <c r="F76">
        <v>886.52</v>
      </c>
      <c r="G76">
        <v>436</v>
      </c>
      <c r="H76">
        <v>238.26</v>
      </c>
      <c r="I76">
        <v>1935.69</v>
      </c>
      <c r="J76">
        <v>52.61</v>
      </c>
      <c r="K76">
        <v>0</v>
      </c>
      <c r="L76">
        <v>468.77</v>
      </c>
      <c r="M76">
        <v>543.69000000000005</v>
      </c>
      <c r="N76">
        <v>2482.69</v>
      </c>
      <c r="O76">
        <v>1790.06</v>
      </c>
      <c r="P76">
        <v>85.7</v>
      </c>
      <c r="Q76">
        <v>0.04</v>
      </c>
      <c r="R76">
        <v>0</v>
      </c>
    </row>
    <row r="77" spans="2:18" ht="12.75" customHeight="1" x14ac:dyDescent="0.25">
      <c r="C77" t="s">
        <v>82</v>
      </c>
      <c r="D77" t="s">
        <v>70</v>
      </c>
      <c r="E77" s="142">
        <v>2841889.53</v>
      </c>
      <c r="F77">
        <v>152127.47</v>
      </c>
      <c r="G77">
        <v>86247.39</v>
      </c>
      <c r="H77">
        <v>53548.24</v>
      </c>
      <c r="I77">
        <v>637859.18999999994</v>
      </c>
      <c r="J77">
        <v>26264.81</v>
      </c>
      <c r="K77">
        <v>0</v>
      </c>
      <c r="L77">
        <v>254006.92</v>
      </c>
      <c r="M77">
        <v>216818.64</v>
      </c>
      <c r="N77">
        <v>965293.78</v>
      </c>
      <c r="O77">
        <v>411301.55</v>
      </c>
      <c r="P77">
        <v>38415.919999999998</v>
      </c>
      <c r="Q77">
        <v>5.62</v>
      </c>
      <c r="R77">
        <v>0</v>
      </c>
    </row>
    <row r="78" spans="2:18" ht="12.75" customHeight="1" x14ac:dyDescent="0.25">
      <c r="D78" t="s">
        <v>72</v>
      </c>
      <c r="E78" s="142">
        <v>7841401.1600000001</v>
      </c>
      <c r="F78">
        <v>490784.72</v>
      </c>
      <c r="G78">
        <v>272032.52</v>
      </c>
      <c r="H78">
        <v>97603.63</v>
      </c>
      <c r="I78">
        <v>1831398.98</v>
      </c>
      <c r="J78">
        <v>63689.67</v>
      </c>
      <c r="K78">
        <v>0</v>
      </c>
      <c r="L78">
        <v>762797.92</v>
      </c>
      <c r="M78">
        <v>636964.27</v>
      </c>
      <c r="N78">
        <v>2562177.19</v>
      </c>
      <c r="O78">
        <v>1034271.25</v>
      </c>
      <c r="P78">
        <v>89661.79</v>
      </c>
      <c r="Q78">
        <v>19.22</v>
      </c>
      <c r="R78">
        <v>0</v>
      </c>
    </row>
    <row r="79" spans="2:18" ht="12.75" customHeight="1" x14ac:dyDescent="0.25">
      <c r="D79" t="s">
        <v>81</v>
      </c>
      <c r="E79" s="142">
        <v>17262.18</v>
      </c>
      <c r="F79">
        <v>1309.1099999999999</v>
      </c>
      <c r="G79">
        <v>641</v>
      </c>
      <c r="H79">
        <v>350.32</v>
      </c>
      <c r="I79">
        <v>4389.42</v>
      </c>
      <c r="J79">
        <v>115.12</v>
      </c>
      <c r="K79">
        <v>0</v>
      </c>
      <c r="L79">
        <v>1004.92</v>
      </c>
      <c r="M79">
        <v>1185.69</v>
      </c>
      <c r="N79">
        <v>5466.07</v>
      </c>
      <c r="O79">
        <v>2612.65</v>
      </c>
      <c r="P79">
        <v>187.8</v>
      </c>
      <c r="Q79">
        <v>0.08</v>
      </c>
      <c r="R79">
        <v>0</v>
      </c>
    </row>
    <row r="80" spans="2:18" ht="12.75" customHeight="1" x14ac:dyDescent="0.25">
      <c r="C80" t="s">
        <v>86</v>
      </c>
      <c r="D80" t="s">
        <v>70</v>
      </c>
      <c r="E80" s="142">
        <v>7858663.3399999999</v>
      </c>
      <c r="F80">
        <v>492093.83</v>
      </c>
      <c r="G80">
        <v>272673.52</v>
      </c>
      <c r="H80">
        <v>97953.95</v>
      </c>
      <c r="I80">
        <v>1835788.4</v>
      </c>
      <c r="J80">
        <v>63804.79</v>
      </c>
      <c r="K80">
        <v>0</v>
      </c>
      <c r="L80">
        <v>763802.84</v>
      </c>
      <c r="M80">
        <v>638149.96</v>
      </c>
      <c r="N80">
        <v>2567643.2599999998</v>
      </c>
      <c r="O80">
        <v>1036883.9</v>
      </c>
      <c r="P80">
        <v>89849.59</v>
      </c>
      <c r="Q80">
        <v>19.3</v>
      </c>
      <c r="R80">
        <v>0</v>
      </c>
    </row>
    <row r="81" spans="1:18" ht="12.75" customHeight="1" x14ac:dyDescent="0.25">
      <c r="D81" t="s">
        <v>72</v>
      </c>
      <c r="E81">
        <v>2941813.11</v>
      </c>
      <c r="F81">
        <v>487451.46</v>
      </c>
      <c r="G81">
        <v>275498.82</v>
      </c>
      <c r="H81">
        <v>318443.36</v>
      </c>
      <c r="I81">
        <v>244485.23</v>
      </c>
      <c r="J81">
        <v>8955.27</v>
      </c>
      <c r="K81">
        <v>0</v>
      </c>
      <c r="L81">
        <v>104367.36</v>
      </c>
      <c r="M81">
        <v>81249.100000000006</v>
      </c>
      <c r="N81">
        <v>382028.35</v>
      </c>
      <c r="O81">
        <v>1025612.44</v>
      </c>
      <c r="P81">
        <v>13704.15</v>
      </c>
      <c r="Q81">
        <v>17.57</v>
      </c>
      <c r="R81">
        <v>0</v>
      </c>
    </row>
    <row r="82" spans="1:18" ht="12.75" customHeight="1" x14ac:dyDescent="0.25">
      <c r="D82" t="s">
        <v>81</v>
      </c>
      <c r="E82" s="142">
        <v>11803.62</v>
      </c>
      <c r="F82">
        <v>2463.61</v>
      </c>
      <c r="G82">
        <v>1086.48</v>
      </c>
      <c r="H82">
        <v>616.15</v>
      </c>
      <c r="I82">
        <v>1006.67</v>
      </c>
      <c r="J82">
        <v>23.61</v>
      </c>
      <c r="K82">
        <v>0</v>
      </c>
      <c r="L82">
        <v>207.14</v>
      </c>
      <c r="M82">
        <v>252.86</v>
      </c>
      <c r="N82">
        <v>1159.56</v>
      </c>
      <c r="O82">
        <v>4948.9799999999996</v>
      </c>
      <c r="P82">
        <v>38.53</v>
      </c>
      <c r="Q82">
        <v>0.03</v>
      </c>
      <c r="R82">
        <v>0</v>
      </c>
    </row>
    <row r="83" spans="1:18" ht="12.75" customHeight="1" x14ac:dyDescent="0.25">
      <c r="C83" t="s">
        <v>87</v>
      </c>
      <c r="D83" t="s">
        <v>70</v>
      </c>
      <c r="E83" s="142">
        <v>2953616.73</v>
      </c>
      <c r="F83">
        <v>489915.07</v>
      </c>
      <c r="G83">
        <v>276585.3</v>
      </c>
      <c r="H83">
        <v>319059.51</v>
      </c>
      <c r="I83">
        <v>245491.9</v>
      </c>
      <c r="J83">
        <v>8978.8799999999992</v>
      </c>
      <c r="K83">
        <v>0</v>
      </c>
      <c r="L83">
        <v>104574.5</v>
      </c>
      <c r="M83">
        <v>81501.960000000006</v>
      </c>
      <c r="N83">
        <v>383187.91</v>
      </c>
      <c r="O83">
        <v>1030561.42</v>
      </c>
      <c r="P83">
        <v>13742.68</v>
      </c>
      <c r="Q83">
        <v>17.600000000000001</v>
      </c>
      <c r="R83">
        <v>0</v>
      </c>
    </row>
    <row r="84" spans="1:18" s="94" customFormat="1" ht="12.75" customHeight="1" x14ac:dyDescent="0.25">
      <c r="B84" s="94" t="s">
        <v>119</v>
      </c>
      <c r="C84" s="101" t="s">
        <v>70</v>
      </c>
      <c r="D84" s="101"/>
      <c r="E84" s="93">
        <v>13654169.6</v>
      </c>
      <c r="F84" s="93">
        <v>1134136.3700000001</v>
      </c>
      <c r="G84" s="93">
        <v>635506.21</v>
      </c>
      <c r="H84" s="93">
        <v>470561.7</v>
      </c>
      <c r="I84" s="93">
        <v>2719139.49</v>
      </c>
      <c r="J84" s="93">
        <v>99048.48</v>
      </c>
      <c r="K84" s="93">
        <v>0</v>
      </c>
      <c r="L84" s="93">
        <v>1122384.26</v>
      </c>
      <c r="M84" s="93">
        <v>936470.56</v>
      </c>
      <c r="N84" s="93">
        <v>3916124.95</v>
      </c>
      <c r="O84" s="93">
        <v>2478746.87</v>
      </c>
      <c r="P84" s="93">
        <v>142008.19</v>
      </c>
      <c r="Q84" s="93">
        <v>42.52</v>
      </c>
      <c r="R84" s="94">
        <v>0</v>
      </c>
    </row>
    <row r="85" spans="1:18" s="226" customFormat="1" ht="12.75" customHeight="1" x14ac:dyDescent="0.25">
      <c r="A85" s="226" t="s">
        <v>78</v>
      </c>
      <c r="B85" s="98" t="s">
        <v>70</v>
      </c>
      <c r="C85" s="98"/>
      <c r="E85" s="100">
        <v>112733377.55</v>
      </c>
      <c r="F85" s="100">
        <v>7426980.6799999997</v>
      </c>
      <c r="G85" s="100">
        <v>4298990.6500000004</v>
      </c>
      <c r="H85" s="100">
        <v>1689669.08</v>
      </c>
      <c r="I85" s="100">
        <v>27869890.870000001</v>
      </c>
      <c r="J85" s="100">
        <v>994374.59</v>
      </c>
      <c r="K85" s="100">
        <v>0</v>
      </c>
      <c r="L85" s="100">
        <v>10168914.42</v>
      </c>
      <c r="M85" s="100">
        <v>8410867.5500000007</v>
      </c>
      <c r="N85" s="100">
        <v>35498786.119999997</v>
      </c>
      <c r="O85" s="100">
        <v>15170993.98</v>
      </c>
      <c r="P85" s="100">
        <v>1203786.2</v>
      </c>
      <c r="Q85" s="100">
        <v>123.41</v>
      </c>
      <c r="R85" s="226">
        <v>0</v>
      </c>
    </row>
    <row r="86" spans="1:18" ht="12.75" customHeight="1" x14ac:dyDescent="0.25">
      <c r="B86" s="89"/>
      <c r="C86" s="89"/>
      <c r="D86" t="s">
        <v>73</v>
      </c>
      <c r="E86" s="90">
        <v>-16181131.140000001</v>
      </c>
      <c r="F86" s="90">
        <v>-635494.97</v>
      </c>
      <c r="G86" s="90">
        <v>-363664.93</v>
      </c>
      <c r="H86" s="90">
        <v>-193985.45</v>
      </c>
      <c r="I86" s="90">
        <v>-4026467.96</v>
      </c>
      <c r="J86" s="90">
        <v>-160751.43</v>
      </c>
      <c r="K86" s="90">
        <v>0</v>
      </c>
      <c r="L86" s="90">
        <v>-1413674.1</v>
      </c>
      <c r="M86" s="90">
        <v>-1384494.6</v>
      </c>
      <c r="N86" s="90">
        <v>-6532433.8499999996</v>
      </c>
      <c r="O86" s="90">
        <v>-1208617.02</v>
      </c>
      <c r="P86" s="90">
        <v>-261546.83</v>
      </c>
      <c r="Q86" s="90">
        <v>0</v>
      </c>
      <c r="R86">
        <v>0</v>
      </c>
    </row>
    <row r="87" spans="1:18" ht="12.75" customHeight="1" x14ac:dyDescent="0.25">
      <c r="B87" s="89"/>
      <c r="C87" s="89" t="s">
        <v>156</v>
      </c>
      <c r="D87" t="s">
        <v>70</v>
      </c>
      <c r="E87" s="90">
        <v>-16181131.140000001</v>
      </c>
      <c r="F87" s="90">
        <v>-635494.97</v>
      </c>
      <c r="G87" s="90">
        <v>-363664.93</v>
      </c>
      <c r="H87" s="90">
        <v>-193985.45</v>
      </c>
      <c r="I87" s="90">
        <v>-4026467.96</v>
      </c>
      <c r="J87" s="90">
        <v>-160751.43</v>
      </c>
      <c r="K87" s="90">
        <v>0</v>
      </c>
      <c r="L87" s="90">
        <v>-1413674.1</v>
      </c>
      <c r="M87" s="90">
        <v>-1384494.6</v>
      </c>
      <c r="N87" s="90">
        <v>-6532433.8499999996</v>
      </c>
      <c r="O87" s="90">
        <v>-1208617.02</v>
      </c>
      <c r="P87" s="90">
        <v>-261546.83</v>
      </c>
      <c r="Q87" s="90">
        <v>0</v>
      </c>
      <c r="R87">
        <v>0</v>
      </c>
    </row>
    <row r="88" spans="1:18" s="289" customFormat="1" ht="12.75" customHeight="1" x14ac:dyDescent="0.25">
      <c r="B88" s="289" t="s">
        <v>155</v>
      </c>
      <c r="C88" s="289" t="s">
        <v>70</v>
      </c>
      <c r="E88" s="289">
        <v>-16181131.140000001</v>
      </c>
      <c r="F88" s="289">
        <v>-635494.97</v>
      </c>
      <c r="G88" s="289">
        <v>-363664.93</v>
      </c>
      <c r="H88" s="289">
        <v>-193985.45</v>
      </c>
      <c r="I88" s="289">
        <v>-4026467.96</v>
      </c>
      <c r="J88" s="289">
        <v>-160751.43</v>
      </c>
      <c r="K88" s="289">
        <v>0</v>
      </c>
      <c r="L88" s="289">
        <v>-1413674.1</v>
      </c>
      <c r="M88" s="289">
        <v>-1384494.6</v>
      </c>
      <c r="N88" s="289">
        <v>-6532433.8499999996</v>
      </c>
      <c r="O88" s="289">
        <v>-1208617.02</v>
      </c>
      <c r="P88" s="289">
        <v>-261546.83</v>
      </c>
      <c r="Q88" s="289">
        <v>0</v>
      </c>
      <c r="R88" s="289">
        <v>0</v>
      </c>
    </row>
    <row r="89" spans="1:18" ht="12.75" customHeight="1" x14ac:dyDescent="0.25">
      <c r="B89" s="89"/>
      <c r="C89" s="89"/>
      <c r="D89" t="s">
        <v>73</v>
      </c>
      <c r="E89" s="90">
        <v>-5446380.4199999999</v>
      </c>
      <c r="F89" s="90">
        <v>-238020.56</v>
      </c>
      <c r="G89" s="90">
        <v>-135232.46</v>
      </c>
      <c r="H89" s="90">
        <v>-71812.460000000006</v>
      </c>
      <c r="I89" s="90">
        <v>-1290222.52</v>
      </c>
      <c r="J89" s="90">
        <v>-53723.56</v>
      </c>
      <c r="K89" s="90">
        <v>0</v>
      </c>
      <c r="L89" s="90">
        <v>-466608.74</v>
      </c>
      <c r="M89" s="90">
        <v>-457322.67</v>
      </c>
      <c r="N89" s="90">
        <v>-2169125.5</v>
      </c>
      <c r="O89" s="90">
        <v>-477467.23</v>
      </c>
      <c r="P89" s="90">
        <v>-86844.72</v>
      </c>
      <c r="Q89" s="90">
        <v>0</v>
      </c>
      <c r="R89">
        <v>0</v>
      </c>
    </row>
    <row r="90" spans="1:18" ht="12.75" customHeight="1" x14ac:dyDescent="0.25">
      <c r="C90" s="89" t="s">
        <v>115</v>
      </c>
      <c r="D90" s="89" t="s">
        <v>70</v>
      </c>
      <c r="E90" s="90">
        <v>-5446380.4199999999</v>
      </c>
      <c r="F90" s="90">
        <v>-238020.56</v>
      </c>
      <c r="G90" s="90">
        <v>-135232.46</v>
      </c>
      <c r="H90" s="90">
        <v>-71812.460000000006</v>
      </c>
      <c r="I90" s="90">
        <v>-1290222.52</v>
      </c>
      <c r="J90" s="90">
        <v>-53723.56</v>
      </c>
      <c r="K90" s="90">
        <v>0</v>
      </c>
      <c r="L90" s="90">
        <v>-466608.74</v>
      </c>
      <c r="M90" s="90">
        <v>-457322.67</v>
      </c>
      <c r="N90" s="90">
        <v>-2169125.5</v>
      </c>
      <c r="O90" s="90">
        <v>-477467.23</v>
      </c>
      <c r="P90" s="90">
        <v>-86844.72</v>
      </c>
      <c r="Q90" s="90">
        <v>0</v>
      </c>
      <c r="R90">
        <v>0</v>
      </c>
    </row>
    <row r="91" spans="1:18" ht="12.75" customHeight="1" x14ac:dyDescent="0.25">
      <c r="C91" s="89"/>
      <c r="D91" s="89" t="s">
        <v>73</v>
      </c>
      <c r="E91" s="90">
        <v>-428945.36</v>
      </c>
      <c r="F91" s="90">
        <v>-13901.43</v>
      </c>
      <c r="G91" s="90">
        <v>-7854.47</v>
      </c>
      <c r="H91" s="90">
        <v>-4144.29</v>
      </c>
      <c r="I91" s="90">
        <v>-115247.22</v>
      </c>
      <c r="J91" s="90">
        <v>-4419.95</v>
      </c>
      <c r="K91" s="90">
        <v>0</v>
      </c>
      <c r="L91" s="90">
        <v>-38771.53</v>
      </c>
      <c r="M91" s="90">
        <v>-38049.79</v>
      </c>
      <c r="N91" s="90">
        <v>-172384.25</v>
      </c>
      <c r="O91" s="90">
        <v>-27404.39</v>
      </c>
      <c r="P91" s="90">
        <v>-6768.04</v>
      </c>
      <c r="Q91" s="90">
        <v>0</v>
      </c>
      <c r="R91">
        <v>0</v>
      </c>
    </row>
    <row r="92" spans="1:18" ht="12.75" customHeight="1" x14ac:dyDescent="0.25">
      <c r="C92" s="89" t="s">
        <v>116</v>
      </c>
      <c r="D92" s="89" t="s">
        <v>70</v>
      </c>
      <c r="E92" s="90">
        <v>-428945.36</v>
      </c>
      <c r="F92" s="90">
        <v>-13901.43</v>
      </c>
      <c r="G92" s="90">
        <v>-7854.47</v>
      </c>
      <c r="H92" s="90">
        <v>-4144.29</v>
      </c>
      <c r="I92" s="90">
        <v>-115247.22</v>
      </c>
      <c r="J92" s="90">
        <v>-4419.95</v>
      </c>
      <c r="K92" s="90">
        <v>0</v>
      </c>
      <c r="L92" s="90">
        <v>-38771.53</v>
      </c>
      <c r="M92" s="90">
        <v>-38049.79</v>
      </c>
      <c r="N92" s="90">
        <v>-172384.25</v>
      </c>
      <c r="O92" s="90">
        <v>-27404.39</v>
      </c>
      <c r="P92" s="90">
        <v>-6768.04</v>
      </c>
      <c r="Q92" s="90">
        <v>0</v>
      </c>
      <c r="R92">
        <v>0</v>
      </c>
    </row>
    <row r="93" spans="1:18" ht="12.75" customHeight="1" x14ac:dyDescent="0.25">
      <c r="C93" s="89"/>
      <c r="D93" s="89" t="s">
        <v>73</v>
      </c>
      <c r="E93" s="374">
        <v>-10063321.52</v>
      </c>
      <c r="F93" s="90">
        <v>-396769.96</v>
      </c>
      <c r="G93" s="90">
        <v>-274205.71999999997</v>
      </c>
      <c r="H93" s="90">
        <v>-138254.54999999999</v>
      </c>
      <c r="I93" s="90">
        <v>-2470580.19</v>
      </c>
      <c r="J93" s="90">
        <v>-99016.97</v>
      </c>
      <c r="K93" s="90">
        <v>0</v>
      </c>
      <c r="L93" s="90">
        <v>-858324.83</v>
      </c>
      <c r="M93" s="90">
        <v>-844697.72</v>
      </c>
      <c r="N93" s="90">
        <v>-4012841.82</v>
      </c>
      <c r="O93" s="90">
        <v>-808674.97</v>
      </c>
      <c r="P93" s="90">
        <v>-159954.79</v>
      </c>
      <c r="Q93" s="90">
        <v>0</v>
      </c>
      <c r="R93">
        <v>0</v>
      </c>
    </row>
    <row r="94" spans="1:18" ht="12.75" customHeight="1" x14ac:dyDescent="0.25">
      <c r="C94" s="89" t="s">
        <v>118</v>
      </c>
      <c r="D94" s="89" t="s">
        <v>70</v>
      </c>
      <c r="E94" s="374">
        <v>-10063321.52</v>
      </c>
      <c r="F94" s="90">
        <v>-396769.96</v>
      </c>
      <c r="G94" s="90">
        <v>-274205.71999999997</v>
      </c>
      <c r="H94" s="90">
        <v>-138254.54999999999</v>
      </c>
      <c r="I94" s="90">
        <v>-2470580.19</v>
      </c>
      <c r="J94" s="90">
        <v>-99016.97</v>
      </c>
      <c r="K94" s="90">
        <v>0</v>
      </c>
      <c r="L94" s="90">
        <v>-858324.83</v>
      </c>
      <c r="M94" s="90">
        <v>-844697.72</v>
      </c>
      <c r="N94" s="90">
        <v>-4012841.82</v>
      </c>
      <c r="O94" s="90">
        <v>-808674.97</v>
      </c>
      <c r="P94" s="90">
        <v>-159954.79</v>
      </c>
      <c r="Q94" s="90">
        <v>0</v>
      </c>
      <c r="R94">
        <v>0</v>
      </c>
    </row>
    <row r="95" spans="1:18" s="224" customFormat="1" ht="12.75" customHeight="1" x14ac:dyDescent="0.25">
      <c r="B95" s="223" t="s">
        <v>120</v>
      </c>
      <c r="C95" s="223" t="s">
        <v>70</v>
      </c>
      <c r="E95" s="225">
        <v>-15938647.300000001</v>
      </c>
      <c r="F95" s="225">
        <v>-648691.94999999995</v>
      </c>
      <c r="G95" s="225">
        <v>-417292.65</v>
      </c>
      <c r="H95" s="225">
        <v>-214211.3</v>
      </c>
      <c r="I95" s="225">
        <v>-3876049.93</v>
      </c>
      <c r="J95" s="225">
        <v>-157160.48000000001</v>
      </c>
      <c r="K95" s="225">
        <v>0</v>
      </c>
      <c r="L95" s="225">
        <v>-1363705.1</v>
      </c>
      <c r="M95" s="225">
        <v>-1340070.18</v>
      </c>
      <c r="N95" s="225">
        <v>-6354351.5700000003</v>
      </c>
      <c r="O95" s="225">
        <v>-1313546.5900000001</v>
      </c>
      <c r="P95" s="225">
        <v>-253567.55</v>
      </c>
      <c r="Q95" s="225">
        <v>0</v>
      </c>
      <c r="R95" s="224">
        <v>0</v>
      </c>
    </row>
    <row r="96" spans="1:18" ht="12.75" customHeight="1" x14ac:dyDescent="0.25">
      <c r="D96" s="89" t="s">
        <v>73</v>
      </c>
      <c r="E96" s="374">
        <v>-508303.18</v>
      </c>
      <c r="F96" s="90">
        <v>-9658.23</v>
      </c>
      <c r="G96" s="90">
        <v>-5452.27</v>
      </c>
      <c r="H96" s="90">
        <v>-2856.43</v>
      </c>
      <c r="I96" s="90">
        <v>-132147.93</v>
      </c>
      <c r="J96" s="90">
        <v>-5596.95</v>
      </c>
      <c r="K96" s="90">
        <v>0</v>
      </c>
      <c r="L96" s="90">
        <v>-49095.88</v>
      </c>
      <c r="M96" s="90">
        <v>-48163.12</v>
      </c>
      <c r="N96" s="90">
        <v>-227811.56</v>
      </c>
      <c r="O96" s="90">
        <v>-18388.98</v>
      </c>
      <c r="P96" s="90">
        <v>-9131.83</v>
      </c>
      <c r="Q96" s="90">
        <v>0</v>
      </c>
      <c r="R96">
        <v>0</v>
      </c>
    </row>
    <row r="97" spans="1:19" ht="12.75" customHeight="1" x14ac:dyDescent="0.25">
      <c r="C97" t="s">
        <v>82</v>
      </c>
      <c r="D97" s="89" t="s">
        <v>70</v>
      </c>
      <c r="E97" s="374">
        <v>-508303.18</v>
      </c>
      <c r="F97" s="90">
        <v>-9658.23</v>
      </c>
      <c r="G97" s="90">
        <v>-5452.27</v>
      </c>
      <c r="H97" s="90">
        <v>-2856.43</v>
      </c>
      <c r="I97" s="90">
        <v>-132147.93</v>
      </c>
      <c r="J97" s="90">
        <v>-5596.95</v>
      </c>
      <c r="K97" s="90">
        <v>0</v>
      </c>
      <c r="L97" s="90">
        <v>-49095.88</v>
      </c>
      <c r="M97" s="90">
        <v>-48163.12</v>
      </c>
      <c r="N97" s="90">
        <v>-227811.56</v>
      </c>
      <c r="O97" s="90">
        <v>-18388.98</v>
      </c>
      <c r="P97" s="90">
        <v>-9131.83</v>
      </c>
      <c r="Q97" s="90">
        <v>0</v>
      </c>
      <c r="R97">
        <v>0</v>
      </c>
    </row>
    <row r="98" spans="1:19" ht="12.75" customHeight="1" x14ac:dyDescent="0.25">
      <c r="D98" s="89" t="s">
        <v>73</v>
      </c>
      <c r="E98" s="374">
        <v>-1818607.14</v>
      </c>
      <c r="F98" s="90">
        <v>-63308.61</v>
      </c>
      <c r="G98" s="90">
        <v>-36684.93</v>
      </c>
      <c r="H98" s="90">
        <v>-19294.22</v>
      </c>
      <c r="I98" s="90">
        <v>-441210.27</v>
      </c>
      <c r="J98" s="90">
        <v>-19148.39</v>
      </c>
      <c r="K98" s="90">
        <v>0</v>
      </c>
      <c r="L98" s="90">
        <v>-167785.83</v>
      </c>
      <c r="M98" s="90">
        <v>-162128.29</v>
      </c>
      <c r="N98" s="90">
        <v>-750855.38</v>
      </c>
      <c r="O98" s="90">
        <v>-126978.94</v>
      </c>
      <c r="P98" s="90">
        <v>-31212.28</v>
      </c>
      <c r="Q98" s="90">
        <v>0</v>
      </c>
      <c r="R98">
        <v>0</v>
      </c>
    </row>
    <row r="99" spans="1:19" ht="12.75" customHeight="1" x14ac:dyDescent="0.25">
      <c r="C99" t="s">
        <v>86</v>
      </c>
      <c r="D99" s="89" t="s">
        <v>70</v>
      </c>
      <c r="E99" s="374">
        <v>-1818607.14</v>
      </c>
      <c r="F99" s="90">
        <v>-63308.61</v>
      </c>
      <c r="G99" s="90">
        <v>-36684.93</v>
      </c>
      <c r="H99" s="90">
        <v>-19294.22</v>
      </c>
      <c r="I99" s="90">
        <v>-441210.27</v>
      </c>
      <c r="J99" s="90">
        <v>-19148.39</v>
      </c>
      <c r="K99" s="90">
        <v>0</v>
      </c>
      <c r="L99" s="90">
        <v>-167785.83</v>
      </c>
      <c r="M99" s="90">
        <v>-162128.29</v>
      </c>
      <c r="N99" s="90">
        <v>-750855.38</v>
      </c>
      <c r="O99" s="90">
        <v>-126978.94</v>
      </c>
      <c r="P99" s="90">
        <v>-31212.28</v>
      </c>
      <c r="Q99" s="90">
        <v>0</v>
      </c>
      <c r="R99">
        <v>0</v>
      </c>
    </row>
    <row r="100" spans="1:19" ht="12.75" customHeight="1" x14ac:dyDescent="0.25">
      <c r="D100" s="89" t="s">
        <v>73</v>
      </c>
      <c r="E100" s="374">
        <v>1114112.47</v>
      </c>
      <c r="F100" s="90">
        <v>317443.15000000002</v>
      </c>
      <c r="G100" s="90">
        <v>153311.5</v>
      </c>
      <c r="H100" s="90">
        <v>641.25</v>
      </c>
      <c r="I100" s="90">
        <v>-25002.52</v>
      </c>
      <c r="J100" s="90">
        <v>-1282.57</v>
      </c>
      <c r="K100" s="90">
        <v>0</v>
      </c>
      <c r="L100" s="90">
        <v>-3875.6</v>
      </c>
      <c r="M100" s="90">
        <v>-4931.1099999999997</v>
      </c>
      <c r="N100" s="90">
        <v>-44626.25</v>
      </c>
      <c r="O100" s="90">
        <v>724527.24</v>
      </c>
      <c r="P100" s="90">
        <v>-2092.62</v>
      </c>
      <c r="Q100" s="90">
        <v>0</v>
      </c>
      <c r="R100">
        <v>0</v>
      </c>
    </row>
    <row r="101" spans="1:19" ht="12.75" customHeight="1" x14ac:dyDescent="0.25">
      <c r="C101" t="s">
        <v>87</v>
      </c>
      <c r="D101" s="89" t="s">
        <v>70</v>
      </c>
      <c r="E101" s="90">
        <v>1114112.47</v>
      </c>
      <c r="F101" s="90">
        <v>317443.15000000002</v>
      </c>
      <c r="G101" s="90">
        <v>153311.5</v>
      </c>
      <c r="H101" s="90">
        <v>641.25</v>
      </c>
      <c r="I101" s="90">
        <v>-25002.52</v>
      </c>
      <c r="J101" s="90">
        <v>-1282.57</v>
      </c>
      <c r="K101" s="90">
        <v>0</v>
      </c>
      <c r="L101" s="90">
        <v>-3875.6</v>
      </c>
      <c r="M101" s="90">
        <v>-4931.1099999999997</v>
      </c>
      <c r="N101" s="90">
        <v>-44626.25</v>
      </c>
      <c r="O101" s="90">
        <v>724527.24</v>
      </c>
      <c r="P101" s="90">
        <v>-2092.62</v>
      </c>
      <c r="Q101" s="90">
        <v>0</v>
      </c>
      <c r="R101">
        <v>0</v>
      </c>
    </row>
    <row r="102" spans="1:19" s="94" customFormat="1" ht="12.75" customHeight="1" x14ac:dyDescent="0.25">
      <c r="B102" s="101" t="s">
        <v>119</v>
      </c>
      <c r="C102" s="101" t="s">
        <v>70</v>
      </c>
      <c r="E102" s="93">
        <v>-1212797.8500000001</v>
      </c>
      <c r="F102" s="93">
        <v>244476.31</v>
      </c>
      <c r="G102" s="93">
        <v>111174.3</v>
      </c>
      <c r="H102" s="93">
        <v>-21509.4</v>
      </c>
      <c r="I102" s="93">
        <v>-598360.72</v>
      </c>
      <c r="J102" s="93">
        <v>-26027.91</v>
      </c>
      <c r="K102" s="93">
        <v>0</v>
      </c>
      <c r="L102" s="93">
        <v>-220757.31</v>
      </c>
      <c r="M102" s="93">
        <v>-215222.52</v>
      </c>
      <c r="N102" s="93">
        <v>-1023293.19</v>
      </c>
      <c r="O102" s="93">
        <v>579159.31999999995</v>
      </c>
      <c r="P102" s="93">
        <v>-42436.73</v>
      </c>
      <c r="Q102" s="93">
        <v>0</v>
      </c>
      <c r="R102" s="94">
        <v>0</v>
      </c>
    </row>
    <row r="103" spans="1:19" s="226" customFormat="1" ht="12.75" customHeight="1" x14ac:dyDescent="0.25">
      <c r="A103" s="98" t="s">
        <v>79</v>
      </c>
      <c r="B103" s="98" t="s">
        <v>70</v>
      </c>
      <c r="E103" s="100">
        <v>-33332576.289999999</v>
      </c>
      <c r="F103" s="100">
        <v>-1039710.61</v>
      </c>
      <c r="G103" s="100">
        <v>-669783.28</v>
      </c>
      <c r="H103" s="100">
        <v>-429706.15</v>
      </c>
      <c r="I103" s="100">
        <v>-8500878.6099999994</v>
      </c>
      <c r="J103" s="100">
        <v>-343939.82</v>
      </c>
      <c r="K103" s="100">
        <v>0</v>
      </c>
      <c r="L103" s="100">
        <v>-2998136.51</v>
      </c>
      <c r="M103" s="100">
        <v>-2939787.3</v>
      </c>
      <c r="N103" s="100">
        <v>-13910078.609999999</v>
      </c>
      <c r="O103" s="100">
        <v>-1943004.29</v>
      </c>
      <c r="P103" s="100">
        <v>-557551.11</v>
      </c>
      <c r="Q103" s="100">
        <v>0</v>
      </c>
      <c r="R103" s="226">
        <v>0</v>
      </c>
    </row>
    <row r="104" spans="1:19" ht="12.75" customHeight="1" x14ac:dyDescent="0.25">
      <c r="A104" s="89" t="s">
        <v>70</v>
      </c>
      <c r="E104" s="90">
        <v>79400801.260000005</v>
      </c>
      <c r="F104" s="90">
        <v>6387270.0700000003</v>
      </c>
      <c r="G104" s="90">
        <v>3629207.37</v>
      </c>
      <c r="H104" s="90">
        <v>1259962.93</v>
      </c>
      <c r="I104" s="90">
        <v>19369012.260000002</v>
      </c>
      <c r="J104" s="90">
        <v>650434.77</v>
      </c>
      <c r="K104" s="90">
        <v>0</v>
      </c>
      <c r="L104" s="90">
        <v>7170777.9100000001</v>
      </c>
      <c r="M104" s="90">
        <v>5471080.25</v>
      </c>
      <c r="N104" s="90">
        <v>21588707.510000002</v>
      </c>
      <c r="O104" s="90">
        <v>13227989.689999999</v>
      </c>
      <c r="P104" s="90">
        <v>646235.09</v>
      </c>
      <c r="Q104" s="90">
        <v>123.41</v>
      </c>
      <c r="R104">
        <v>0</v>
      </c>
    </row>
    <row r="105" spans="1:19" ht="12.75" customHeight="1" x14ac:dyDescent="0.25">
      <c r="A105" s="89"/>
      <c r="E105" s="90"/>
      <c r="F105" s="90"/>
      <c r="G105" s="90"/>
      <c r="H105" s="90"/>
      <c r="I105" s="90"/>
      <c r="J105" s="90"/>
      <c r="K105" s="90"/>
      <c r="L105" s="90"/>
      <c r="M105" s="90"/>
      <c r="N105" s="90"/>
      <c r="O105" s="90"/>
      <c r="P105" s="90"/>
      <c r="Q105" s="90"/>
      <c r="R105" s="90"/>
      <c r="S105" s="90"/>
    </row>
    <row r="106" spans="1:19" ht="12.75" hidden="1" customHeight="1" x14ac:dyDescent="0.25">
      <c r="A106" s="89"/>
      <c r="E106" s="90"/>
      <c r="F106" s="90"/>
      <c r="G106" s="90"/>
      <c r="H106" s="90"/>
      <c r="I106" s="90"/>
      <c r="J106" s="90"/>
      <c r="K106" s="90"/>
      <c r="L106" s="90"/>
      <c r="M106" s="90"/>
      <c r="N106" s="90"/>
      <c r="O106" s="90"/>
      <c r="P106" s="90"/>
      <c r="Q106" s="90"/>
      <c r="R106" s="90"/>
      <c r="S106" s="90"/>
    </row>
    <row r="107" spans="1:19" ht="12.75" hidden="1" customHeight="1" x14ac:dyDescent="0.25">
      <c r="A107" s="89"/>
      <c r="E107" s="90"/>
      <c r="F107" s="90"/>
      <c r="G107" s="90"/>
      <c r="H107" s="90"/>
      <c r="I107" s="90"/>
      <c r="J107" s="90"/>
      <c r="K107" s="90"/>
      <c r="L107" s="90"/>
      <c r="M107" s="90"/>
      <c r="N107" s="90"/>
      <c r="O107" s="90"/>
      <c r="P107" s="90"/>
      <c r="Q107" s="90"/>
      <c r="R107" s="90"/>
      <c r="S107" s="90"/>
    </row>
    <row r="108" spans="1:19" ht="12.75" hidden="1" customHeight="1" x14ac:dyDescent="0.25">
      <c r="A108" s="89"/>
      <c r="E108" s="90"/>
      <c r="F108" s="90"/>
      <c r="G108" s="90"/>
      <c r="H108" s="90"/>
      <c r="I108" s="90"/>
      <c r="J108" s="90"/>
      <c r="K108" s="90"/>
      <c r="L108" s="90"/>
      <c r="M108" s="90"/>
      <c r="N108" s="90"/>
      <c r="O108" s="90"/>
      <c r="P108" s="90"/>
      <c r="Q108" s="90"/>
      <c r="R108" s="90"/>
      <c r="S108" s="90"/>
    </row>
    <row r="109" spans="1:19" ht="12.75" hidden="1" customHeight="1" x14ac:dyDescent="0.25">
      <c r="A109" s="89"/>
      <c r="E109" s="90"/>
      <c r="F109" s="90"/>
      <c r="G109" s="90"/>
      <c r="H109" s="90"/>
      <c r="I109" s="90"/>
      <c r="J109" s="90"/>
      <c r="K109" s="90"/>
      <c r="L109" s="90"/>
      <c r="M109" s="90"/>
      <c r="N109" s="90"/>
      <c r="O109" s="90"/>
      <c r="P109" s="90"/>
      <c r="Q109" s="90"/>
      <c r="R109" s="90"/>
      <c r="S109" s="90"/>
    </row>
    <row r="110" spans="1:19" ht="12.75" hidden="1" customHeight="1" x14ac:dyDescent="0.25">
      <c r="A110" s="89"/>
      <c r="E110" s="90"/>
      <c r="F110" s="90"/>
      <c r="G110" s="90"/>
      <c r="H110" s="90"/>
      <c r="I110" s="90"/>
      <c r="J110" s="90"/>
      <c r="K110" s="90"/>
      <c r="L110" s="90"/>
      <c r="M110" s="90"/>
      <c r="N110" s="90"/>
      <c r="O110" s="90"/>
      <c r="P110" s="90"/>
      <c r="Q110" s="90"/>
      <c r="R110" s="90"/>
      <c r="S110" s="90"/>
    </row>
    <row r="111" spans="1:19" ht="12.75" hidden="1" customHeight="1" x14ac:dyDescent="0.25">
      <c r="A111" s="89"/>
      <c r="E111" s="90"/>
      <c r="F111" s="90"/>
      <c r="G111" s="90"/>
      <c r="H111" s="90"/>
      <c r="I111" s="90"/>
      <c r="J111" s="90"/>
      <c r="K111" s="90"/>
      <c r="L111" s="90"/>
      <c r="M111" s="90"/>
      <c r="N111" s="90"/>
      <c r="O111" s="90"/>
      <c r="P111" s="90"/>
      <c r="Q111" s="90"/>
      <c r="R111" s="90"/>
      <c r="S111" s="90"/>
    </row>
    <row r="112" spans="1:19" ht="12.75" hidden="1" customHeight="1" x14ac:dyDescent="0.25">
      <c r="A112" s="89"/>
      <c r="E112" s="90"/>
      <c r="F112" s="90"/>
      <c r="G112" s="90"/>
      <c r="H112" s="90"/>
      <c r="I112" s="90"/>
      <c r="J112" s="90"/>
      <c r="K112" s="90"/>
      <c r="L112" s="90"/>
      <c r="M112" s="90"/>
      <c r="N112" s="90"/>
      <c r="O112" s="90"/>
      <c r="P112" s="90"/>
      <c r="Q112" s="90"/>
      <c r="R112" s="90"/>
      <c r="S112" s="90"/>
    </row>
    <row r="113" spans="1:19" ht="12.75" hidden="1" customHeight="1" x14ac:dyDescent="0.25">
      <c r="A113" s="89"/>
      <c r="E113" s="90"/>
      <c r="F113" s="90"/>
      <c r="G113" s="90"/>
      <c r="H113" s="90"/>
      <c r="I113" s="90"/>
      <c r="J113" s="90"/>
      <c r="K113" s="90"/>
      <c r="L113" s="90"/>
      <c r="M113" s="90"/>
      <c r="N113" s="90"/>
      <c r="O113" s="90"/>
      <c r="P113" s="90"/>
      <c r="Q113" s="90"/>
      <c r="R113" s="90"/>
      <c r="S113" s="90"/>
    </row>
    <row r="114" spans="1:19" ht="12.75" hidden="1" customHeight="1" x14ac:dyDescent="0.25">
      <c r="A114" s="89"/>
      <c r="E114" s="90"/>
      <c r="F114" s="90"/>
      <c r="G114" s="90"/>
      <c r="H114" s="90"/>
      <c r="I114" s="90"/>
      <c r="J114" s="90"/>
      <c r="K114" s="90"/>
      <c r="L114" s="90"/>
      <c r="M114" s="90"/>
      <c r="N114" s="90"/>
      <c r="O114" s="90"/>
      <c r="P114" s="90"/>
      <c r="Q114" s="90"/>
      <c r="R114" s="90"/>
      <c r="S114" s="90"/>
    </row>
    <row r="115" spans="1:19" ht="12.75" hidden="1" customHeight="1" x14ac:dyDescent="0.25">
      <c r="A115" s="89"/>
      <c r="E115" s="90"/>
      <c r="F115" s="90"/>
      <c r="G115" s="90"/>
      <c r="H115" s="90"/>
      <c r="I115" s="90"/>
      <c r="J115" s="90"/>
      <c r="K115" s="90"/>
      <c r="L115" s="90"/>
      <c r="M115" s="90"/>
      <c r="N115" s="90"/>
      <c r="O115" s="90"/>
      <c r="P115" s="90"/>
      <c r="Q115" s="90"/>
      <c r="R115" s="90"/>
      <c r="S115" s="90"/>
    </row>
    <row r="116" spans="1:19" ht="12.75" hidden="1" customHeight="1" x14ac:dyDescent="0.25">
      <c r="A116" s="89"/>
      <c r="E116" s="90"/>
      <c r="F116" s="90"/>
      <c r="G116" s="90"/>
      <c r="H116" s="90"/>
      <c r="I116" s="90"/>
      <c r="J116" s="90"/>
      <c r="K116" s="90"/>
      <c r="L116" s="90"/>
      <c r="M116" s="90"/>
      <c r="N116" s="90"/>
      <c r="O116" s="90"/>
      <c r="P116" s="90"/>
      <c r="Q116" s="90"/>
      <c r="R116" s="90"/>
      <c r="S116" s="90"/>
    </row>
    <row r="117" spans="1:19" ht="12.75" hidden="1" customHeight="1" x14ac:dyDescent="0.25">
      <c r="A117" s="89"/>
      <c r="E117" s="90"/>
      <c r="F117" s="90"/>
      <c r="G117" s="90"/>
      <c r="H117" s="90"/>
      <c r="I117" s="90"/>
      <c r="J117" s="90"/>
      <c r="K117" s="90"/>
      <c r="L117" s="90"/>
      <c r="M117" s="90"/>
      <c r="N117" s="90"/>
      <c r="O117" s="90"/>
      <c r="P117" s="90"/>
      <c r="Q117" s="90"/>
      <c r="R117" s="90"/>
      <c r="S117" s="90"/>
    </row>
    <row r="118" spans="1:19" ht="12.75" hidden="1" customHeight="1" x14ac:dyDescent="0.25">
      <c r="A118" s="89"/>
      <c r="E118" s="90"/>
      <c r="F118" s="90"/>
      <c r="G118" s="90"/>
      <c r="H118" s="90"/>
      <c r="I118" s="90"/>
      <c r="J118" s="90"/>
      <c r="K118" s="90"/>
      <c r="L118" s="90"/>
      <c r="M118" s="90"/>
      <c r="N118" s="90"/>
      <c r="O118" s="90"/>
      <c r="P118" s="90"/>
      <c r="Q118" s="90"/>
      <c r="R118" s="90"/>
      <c r="S118" s="90"/>
    </row>
    <row r="119" spans="1:19" ht="12.75" hidden="1" customHeight="1" x14ac:dyDescent="0.25">
      <c r="A119" s="89"/>
      <c r="E119" s="90"/>
      <c r="F119" s="90"/>
      <c r="G119" s="90"/>
      <c r="H119" s="90"/>
      <c r="I119" s="90"/>
      <c r="J119" s="90"/>
      <c r="K119" s="90"/>
      <c r="L119" s="90"/>
      <c r="M119" s="90"/>
      <c r="N119" s="90"/>
      <c r="O119" s="90"/>
      <c r="P119" s="90"/>
      <c r="Q119" s="90"/>
      <c r="R119" s="90"/>
      <c r="S119" s="90"/>
    </row>
    <row r="120" spans="1:19" ht="12.75" hidden="1" customHeight="1" x14ac:dyDescent="0.25">
      <c r="A120" s="89"/>
      <c r="E120" s="90"/>
      <c r="F120" s="90"/>
      <c r="G120" s="90"/>
      <c r="H120" s="90"/>
      <c r="I120" s="90"/>
      <c r="J120" s="90"/>
      <c r="K120" s="90"/>
      <c r="L120" s="90"/>
      <c r="M120" s="90"/>
      <c r="N120" s="90"/>
      <c r="O120" s="90"/>
      <c r="P120" s="90"/>
      <c r="Q120" s="90"/>
      <c r="R120" s="90"/>
      <c r="S120" s="90"/>
    </row>
    <row r="121" spans="1:19" ht="12.75" hidden="1" customHeight="1" x14ac:dyDescent="0.25">
      <c r="A121" s="89"/>
      <c r="E121" s="90"/>
      <c r="F121" s="90"/>
      <c r="G121" s="90"/>
      <c r="H121" s="90"/>
      <c r="I121" s="90"/>
      <c r="J121" s="90"/>
      <c r="K121" s="90"/>
      <c r="L121" s="90"/>
      <c r="M121" s="90"/>
      <c r="N121" s="90"/>
      <c r="O121" s="90"/>
      <c r="P121" s="90"/>
      <c r="Q121" s="90"/>
      <c r="R121" s="90"/>
      <c r="S121" s="90"/>
    </row>
    <row r="122" spans="1:19" ht="12.75" hidden="1" customHeight="1" x14ac:dyDescent="0.25">
      <c r="A122" s="89"/>
      <c r="E122" s="90"/>
      <c r="F122" s="90"/>
      <c r="G122" s="90"/>
      <c r="H122" s="90"/>
      <c r="I122" s="90"/>
      <c r="J122" s="90"/>
      <c r="K122" s="90"/>
      <c r="L122" s="90"/>
      <c r="M122" s="90"/>
      <c r="N122" s="90"/>
      <c r="O122" s="90"/>
      <c r="P122" s="90"/>
      <c r="Q122" s="90"/>
      <c r="R122" s="90"/>
      <c r="S122" s="90"/>
    </row>
    <row r="123" spans="1:19" ht="12.75" hidden="1" customHeight="1" x14ac:dyDescent="0.25">
      <c r="A123" s="89"/>
      <c r="E123" s="90"/>
      <c r="F123" s="90"/>
      <c r="G123" s="90"/>
      <c r="H123" s="90"/>
      <c r="I123" s="90"/>
      <c r="J123" s="90"/>
      <c r="K123" s="90"/>
      <c r="L123" s="90"/>
      <c r="M123" s="90"/>
      <c r="N123" s="90"/>
      <c r="O123" s="90"/>
      <c r="P123" s="90"/>
      <c r="Q123" s="90"/>
      <c r="R123" s="90"/>
      <c r="S123" s="90"/>
    </row>
    <row r="124" spans="1:19" ht="12.75" hidden="1" customHeight="1" x14ac:dyDescent="0.25">
      <c r="A124" s="89"/>
      <c r="E124" s="90"/>
      <c r="F124" s="90"/>
      <c r="G124" s="90"/>
      <c r="H124" s="90"/>
      <c r="I124" s="90"/>
      <c r="J124" s="90"/>
      <c r="K124" s="90"/>
      <c r="L124" s="90"/>
      <c r="M124" s="90"/>
      <c r="N124" s="90"/>
      <c r="O124" s="90"/>
      <c r="P124" s="90"/>
      <c r="Q124" s="90"/>
      <c r="R124" s="90"/>
      <c r="S124" s="90"/>
    </row>
    <row r="125" spans="1:19" ht="12.75" hidden="1" customHeight="1" x14ac:dyDescent="0.25">
      <c r="A125" s="89"/>
      <c r="E125" s="90"/>
      <c r="F125" s="90"/>
      <c r="G125" s="90"/>
      <c r="H125" s="90"/>
      <c r="I125" s="90"/>
      <c r="J125" s="90"/>
      <c r="K125" s="90"/>
      <c r="L125" s="90"/>
      <c r="M125" s="90"/>
      <c r="N125" s="90"/>
      <c r="O125" s="90"/>
      <c r="P125" s="90"/>
      <c r="Q125" s="90"/>
      <c r="R125" s="90"/>
      <c r="S125" s="90"/>
    </row>
    <row r="126" spans="1:19" ht="12.75" hidden="1" customHeight="1" x14ac:dyDescent="0.25">
      <c r="A126" s="89"/>
      <c r="E126" s="90"/>
      <c r="F126" s="90"/>
      <c r="G126" s="90"/>
      <c r="H126" s="90"/>
      <c r="I126" s="90"/>
      <c r="J126" s="90"/>
      <c r="K126" s="90"/>
      <c r="L126" s="90"/>
      <c r="M126" s="90"/>
      <c r="N126" s="90"/>
      <c r="O126" s="90"/>
      <c r="P126" s="90"/>
      <c r="Q126" s="90"/>
      <c r="R126" s="90"/>
      <c r="S126" s="90"/>
    </row>
    <row r="127" spans="1:19" ht="12.75" hidden="1" customHeight="1" x14ac:dyDescent="0.25">
      <c r="A127" s="89"/>
      <c r="E127" s="90"/>
      <c r="F127" s="90"/>
      <c r="G127" s="90"/>
      <c r="H127" s="90"/>
      <c r="I127" s="90"/>
      <c r="J127" s="90"/>
      <c r="K127" s="90"/>
      <c r="L127" s="90"/>
      <c r="M127" s="90"/>
      <c r="N127" s="90"/>
      <c r="O127" s="90"/>
      <c r="P127" s="90"/>
      <c r="Q127" s="90"/>
      <c r="R127" s="90"/>
      <c r="S127" s="90"/>
    </row>
    <row r="128" spans="1:19" ht="12.75" hidden="1" customHeight="1" x14ac:dyDescent="0.25">
      <c r="A128" s="89"/>
      <c r="E128" s="90"/>
      <c r="F128" s="90"/>
      <c r="G128" s="90"/>
      <c r="H128" s="90"/>
      <c r="I128" s="90"/>
      <c r="J128" s="90"/>
      <c r="K128" s="90"/>
      <c r="L128" s="90"/>
      <c r="M128" s="90"/>
      <c r="N128" s="90"/>
      <c r="O128" s="90"/>
      <c r="P128" s="90"/>
      <c r="Q128" s="90"/>
      <c r="R128" s="90"/>
      <c r="S128" s="90"/>
    </row>
    <row r="129" spans="1:19" ht="12.75" hidden="1" customHeight="1" x14ac:dyDescent="0.25">
      <c r="A129" s="89"/>
      <c r="E129" s="90"/>
      <c r="F129" s="90"/>
      <c r="G129" s="90"/>
      <c r="H129" s="90"/>
      <c r="I129" s="90"/>
      <c r="J129" s="90"/>
      <c r="K129" s="90"/>
      <c r="L129" s="90"/>
      <c r="M129" s="90"/>
      <c r="N129" s="90"/>
      <c r="O129" s="90"/>
      <c r="P129" s="90"/>
      <c r="Q129" s="90"/>
      <c r="R129" s="90"/>
      <c r="S129" s="90"/>
    </row>
    <row r="130" spans="1:19" ht="12.75" hidden="1" customHeight="1" x14ac:dyDescent="0.25">
      <c r="A130" s="89"/>
      <c r="E130" s="90"/>
      <c r="F130" s="90"/>
      <c r="G130" s="90"/>
      <c r="H130" s="90"/>
      <c r="I130" s="90"/>
      <c r="J130" s="90"/>
      <c r="K130" s="90"/>
      <c r="L130" s="90"/>
      <c r="M130" s="90"/>
      <c r="N130" s="90"/>
      <c r="O130" s="90"/>
      <c r="P130" s="90"/>
      <c r="Q130" s="90"/>
      <c r="R130" s="90"/>
      <c r="S130" s="90"/>
    </row>
    <row r="131" spans="1:19" ht="12.75" hidden="1" customHeight="1" x14ac:dyDescent="0.25">
      <c r="A131" s="89"/>
      <c r="E131" s="90"/>
      <c r="F131" s="90"/>
      <c r="G131" s="90"/>
      <c r="H131" s="90"/>
      <c r="I131" s="90"/>
      <c r="J131" s="90"/>
      <c r="K131" s="90"/>
      <c r="L131" s="90"/>
      <c r="M131" s="90"/>
      <c r="N131" s="90"/>
      <c r="O131" s="90"/>
      <c r="P131" s="90"/>
      <c r="Q131" s="90"/>
      <c r="R131" s="90"/>
      <c r="S131" s="90"/>
    </row>
    <row r="132" spans="1:19" ht="12.75" hidden="1" customHeight="1" x14ac:dyDescent="0.25">
      <c r="A132" s="89"/>
      <c r="E132" s="90"/>
      <c r="F132" s="90"/>
      <c r="G132" s="90"/>
      <c r="H132" s="90"/>
      <c r="I132" s="90"/>
      <c r="J132" s="90"/>
      <c r="K132" s="90"/>
      <c r="L132" s="90"/>
      <c r="M132" s="90"/>
      <c r="N132" s="90"/>
      <c r="O132" s="90"/>
      <c r="P132" s="90"/>
      <c r="Q132" s="90"/>
      <c r="R132" s="90"/>
      <c r="S132" s="90"/>
    </row>
    <row r="133" spans="1:19" ht="12.75" hidden="1" customHeight="1" x14ac:dyDescent="0.25">
      <c r="A133" s="89"/>
      <c r="E133" s="90"/>
      <c r="F133" s="90"/>
      <c r="G133" s="90"/>
      <c r="H133" s="90"/>
      <c r="I133" s="90"/>
      <c r="J133" s="90"/>
      <c r="K133" s="90"/>
      <c r="L133" s="90"/>
      <c r="M133" s="90"/>
      <c r="N133" s="90"/>
      <c r="O133" s="90"/>
      <c r="P133" s="90"/>
      <c r="Q133" s="90"/>
      <c r="R133" s="90"/>
      <c r="S133" s="90"/>
    </row>
    <row r="134" spans="1:19" ht="12.75" customHeight="1" x14ac:dyDescent="0.25">
      <c r="A134" s="89"/>
      <c r="E134" s="90"/>
      <c r="F134" s="90"/>
      <c r="G134" s="90"/>
      <c r="H134" s="90"/>
      <c r="I134" s="90"/>
      <c r="J134" s="90"/>
      <c r="K134" s="90"/>
      <c r="L134" s="90"/>
      <c r="M134" s="90"/>
      <c r="N134" s="90"/>
      <c r="O134" s="90"/>
      <c r="P134" s="90"/>
      <c r="Q134" s="90"/>
      <c r="R134" s="90"/>
      <c r="S134" s="90"/>
    </row>
    <row r="135" spans="1:19" ht="12.75" customHeight="1" x14ac:dyDescent="0.25">
      <c r="B135" s="766" t="s">
        <v>2</v>
      </c>
      <c r="C135" s="764" t="s">
        <v>132</v>
      </c>
      <c r="D135" s="98" t="s">
        <v>70</v>
      </c>
      <c r="E135" s="100">
        <f>E85+E103-K85</f>
        <v>79400801.25999999</v>
      </c>
      <c r="F135" s="100">
        <f>F85</f>
        <v>7426980.6799999997</v>
      </c>
      <c r="G135" s="100">
        <f t="shared" ref="G135:R135" si="3">G85</f>
        <v>4298990.6500000004</v>
      </c>
      <c r="H135" s="100">
        <f t="shared" si="3"/>
        <v>1689669.08</v>
      </c>
      <c r="I135" s="100">
        <f t="shared" si="3"/>
        <v>27869890.870000001</v>
      </c>
      <c r="J135" s="100">
        <f t="shared" si="3"/>
        <v>994374.59</v>
      </c>
      <c r="K135" s="100">
        <f t="shared" si="3"/>
        <v>0</v>
      </c>
      <c r="L135" s="100">
        <f t="shared" si="3"/>
        <v>10168914.42</v>
      </c>
      <c r="M135" s="100">
        <f t="shared" si="3"/>
        <v>8410867.5500000007</v>
      </c>
      <c r="N135" s="100">
        <f t="shared" si="3"/>
        <v>35498786.119999997</v>
      </c>
      <c r="O135" s="100">
        <f t="shared" si="3"/>
        <v>15170993.98</v>
      </c>
      <c r="P135" s="100">
        <f t="shared" si="3"/>
        <v>1203786.2</v>
      </c>
      <c r="Q135" s="100">
        <f t="shared" si="3"/>
        <v>123.41</v>
      </c>
      <c r="R135" s="100">
        <f t="shared" si="3"/>
        <v>0</v>
      </c>
    </row>
    <row r="136" spans="1:19" ht="12.75" customHeight="1" x14ac:dyDescent="0.25">
      <c r="B136" s="766"/>
      <c r="C136" s="764"/>
      <c r="D136" s="98" t="s">
        <v>73</v>
      </c>
      <c r="E136" s="100">
        <f>E103</f>
        <v>-33332576.289999999</v>
      </c>
      <c r="F136" s="90"/>
      <c r="G136" s="90"/>
      <c r="H136" s="90"/>
      <c r="I136" s="90"/>
      <c r="J136" s="90"/>
      <c r="K136" s="90"/>
      <c r="L136" s="90"/>
      <c r="M136" s="90"/>
      <c r="N136" s="90"/>
      <c r="O136" s="90"/>
      <c r="P136" s="90"/>
      <c r="Q136" s="90"/>
      <c r="R136" s="90"/>
    </row>
    <row r="137" spans="1:19" ht="12.75" customHeight="1" x14ac:dyDescent="0.3">
      <c r="A137" s="89"/>
      <c r="B137" s="97"/>
      <c r="E137" s="90"/>
      <c r="F137" s="90"/>
      <c r="G137" s="90"/>
      <c r="H137" s="90"/>
      <c r="I137" s="90"/>
      <c r="J137" s="90"/>
      <c r="K137" s="90"/>
      <c r="L137" s="90"/>
      <c r="M137" s="90"/>
      <c r="N137" s="90"/>
      <c r="O137" s="90"/>
      <c r="P137" s="90"/>
      <c r="Q137" s="90"/>
      <c r="R137" s="90"/>
    </row>
    <row r="138" spans="1:19" ht="12.75" customHeight="1" x14ac:dyDescent="0.25">
      <c r="B138" s="766" t="s">
        <v>160</v>
      </c>
      <c r="C138" s="764" t="s">
        <v>132</v>
      </c>
      <c r="D138" s="223" t="s">
        <v>70</v>
      </c>
      <c r="E138" s="225">
        <f>E95+E74-K74</f>
        <v>32822845.349999998</v>
      </c>
      <c r="F138" s="225">
        <f>F74</f>
        <v>3012757.24</v>
      </c>
      <c r="G138" s="225">
        <f t="shared" ref="G138:R138" si="4">G74</f>
        <v>1827628.4</v>
      </c>
      <c r="H138" s="225">
        <f t="shared" si="4"/>
        <v>545798.29</v>
      </c>
      <c r="I138" s="225">
        <f t="shared" si="4"/>
        <v>12926166.59</v>
      </c>
      <c r="J138" s="225">
        <f t="shared" si="4"/>
        <v>452766.43</v>
      </c>
      <c r="K138" s="225">
        <f t="shared" si="4"/>
        <v>0</v>
      </c>
      <c r="L138" s="225">
        <f t="shared" si="4"/>
        <v>4316065.09</v>
      </c>
      <c r="M138" s="225">
        <f t="shared" si="4"/>
        <v>3724603.09</v>
      </c>
      <c r="N138" s="225">
        <f t="shared" si="4"/>
        <v>15497553.24</v>
      </c>
      <c r="O138" s="225">
        <f t="shared" si="4"/>
        <v>5976025.5099999998</v>
      </c>
      <c r="P138" s="225">
        <f t="shared" si="4"/>
        <v>482190.33</v>
      </c>
      <c r="Q138" s="225">
        <f t="shared" si="4"/>
        <v>-61.56</v>
      </c>
      <c r="R138" s="225">
        <f t="shared" si="4"/>
        <v>0</v>
      </c>
    </row>
    <row r="139" spans="1:19" ht="12.75" customHeight="1" x14ac:dyDescent="0.25">
      <c r="B139" s="766"/>
      <c r="C139" s="764"/>
      <c r="D139" s="223" t="s">
        <v>73</v>
      </c>
      <c r="E139" s="225">
        <f>E95</f>
        <v>-15938647.300000001</v>
      </c>
      <c r="F139" s="90"/>
      <c r="G139" s="90"/>
      <c r="H139" s="90"/>
      <c r="I139" s="90"/>
      <c r="J139" s="90"/>
      <c r="K139" s="90"/>
      <c r="L139" s="90"/>
      <c r="M139" s="90"/>
      <c r="N139" s="90"/>
      <c r="O139" s="90"/>
      <c r="P139" s="90"/>
      <c r="Q139" s="90"/>
      <c r="R139" s="90"/>
    </row>
    <row r="140" spans="1:19" ht="12.75" customHeight="1" x14ac:dyDescent="0.3">
      <c r="A140" s="89"/>
      <c r="B140" s="97"/>
      <c r="E140" s="90"/>
      <c r="F140" s="90"/>
      <c r="G140" s="90"/>
      <c r="H140" s="90"/>
      <c r="I140" s="90"/>
      <c r="J140" s="90"/>
      <c r="K140" s="90"/>
      <c r="L140" s="90"/>
      <c r="M140" s="90"/>
      <c r="N140" s="90"/>
      <c r="O140" s="90"/>
      <c r="P140" s="90"/>
      <c r="Q140" s="90"/>
      <c r="R140" s="90"/>
    </row>
    <row r="141" spans="1:19" ht="12.75" customHeight="1" x14ac:dyDescent="0.25">
      <c r="B141" s="766" t="s">
        <v>155</v>
      </c>
      <c r="C141" s="764" t="s">
        <v>132</v>
      </c>
      <c r="D141" s="221" t="s">
        <v>70</v>
      </c>
      <c r="E141" s="222">
        <f>E88+E64-K64</f>
        <v>34136584.159999996</v>
      </c>
      <c r="F141" s="222">
        <f>F64</f>
        <v>3280087.07</v>
      </c>
      <c r="G141" s="222">
        <f t="shared" ref="G141:R141" si="5">G64</f>
        <v>1835856.04</v>
      </c>
      <c r="H141" s="222">
        <f t="shared" si="5"/>
        <v>673309.09</v>
      </c>
      <c r="I141" s="222">
        <f t="shared" si="5"/>
        <v>12224584.789999999</v>
      </c>
      <c r="J141" s="222">
        <f t="shared" si="5"/>
        <v>442559.68</v>
      </c>
      <c r="K141" s="222">
        <f t="shared" si="5"/>
        <v>0</v>
      </c>
      <c r="L141" s="222">
        <f t="shared" si="5"/>
        <v>4730465.07</v>
      </c>
      <c r="M141" s="222">
        <f t="shared" si="5"/>
        <v>3749793.9</v>
      </c>
      <c r="N141" s="222">
        <f t="shared" si="5"/>
        <v>16085107.93</v>
      </c>
      <c r="O141" s="222">
        <f t="shared" si="5"/>
        <v>6716221.5999999996</v>
      </c>
      <c r="P141" s="222">
        <f t="shared" si="5"/>
        <v>579587.68000000005</v>
      </c>
      <c r="Q141" s="222">
        <f t="shared" si="5"/>
        <v>142.44999999999999</v>
      </c>
      <c r="R141" s="222">
        <f t="shared" si="5"/>
        <v>0</v>
      </c>
    </row>
    <row r="142" spans="1:19" ht="12.75" customHeight="1" x14ac:dyDescent="0.25">
      <c r="B142" s="766"/>
      <c r="C142" s="764"/>
      <c r="D142" s="221" t="s">
        <v>73</v>
      </c>
      <c r="E142" s="222">
        <f>E88</f>
        <v>-16181131.140000001</v>
      </c>
      <c r="F142" s="90"/>
      <c r="G142" s="90"/>
      <c r="H142" s="90"/>
      <c r="I142" s="90"/>
      <c r="J142" s="90"/>
      <c r="K142" s="90"/>
      <c r="L142" s="90"/>
      <c r="M142" s="90"/>
      <c r="N142" s="90"/>
      <c r="O142" s="90"/>
      <c r="P142" s="90"/>
      <c r="Q142" s="90"/>
      <c r="R142" s="90"/>
    </row>
    <row r="143" spans="1:19" ht="12.75" customHeight="1" x14ac:dyDescent="0.3">
      <c r="A143" s="89"/>
      <c r="B143" s="97"/>
      <c r="E143" s="90"/>
      <c r="F143" s="90"/>
      <c r="G143" s="90"/>
      <c r="H143" s="90"/>
      <c r="I143" s="90"/>
      <c r="J143" s="90"/>
      <c r="K143" s="90"/>
      <c r="L143" s="90"/>
      <c r="M143" s="90"/>
      <c r="N143" s="90"/>
      <c r="O143" s="90"/>
      <c r="P143" s="90"/>
      <c r="Q143" s="90"/>
      <c r="R143" s="90"/>
    </row>
    <row r="144" spans="1:19" ht="12.75" customHeight="1" x14ac:dyDescent="0.25">
      <c r="B144" s="767" t="s">
        <v>326</v>
      </c>
      <c r="C144" s="764" t="s">
        <v>132</v>
      </c>
      <c r="D144" s="376" t="s">
        <v>70</v>
      </c>
      <c r="E144" s="377">
        <v>0</v>
      </c>
      <c r="F144" s="377">
        <v>0</v>
      </c>
      <c r="G144" s="377">
        <v>0</v>
      </c>
      <c r="H144" s="377">
        <v>0</v>
      </c>
      <c r="I144" s="377">
        <v>0</v>
      </c>
      <c r="J144" s="377">
        <v>0</v>
      </c>
      <c r="K144" s="377">
        <v>0</v>
      </c>
      <c r="L144" s="377">
        <v>0</v>
      </c>
      <c r="M144" s="377">
        <v>0</v>
      </c>
      <c r="N144" s="377">
        <v>0</v>
      </c>
      <c r="O144" s="377">
        <v>0</v>
      </c>
      <c r="P144" s="377">
        <v>0</v>
      </c>
      <c r="Q144" s="377">
        <v>0</v>
      </c>
      <c r="R144" s="377">
        <v>0</v>
      </c>
    </row>
    <row r="145" spans="1:18" ht="12.75" customHeight="1" x14ac:dyDescent="0.25">
      <c r="B145" s="767"/>
      <c r="C145" s="764"/>
      <c r="D145" s="376" t="s">
        <v>73</v>
      </c>
      <c r="E145" s="377">
        <v>0</v>
      </c>
      <c r="F145" s="90"/>
      <c r="G145" s="90"/>
      <c r="H145" s="90"/>
      <c r="I145" s="90"/>
      <c r="J145" s="90"/>
      <c r="K145" s="90"/>
      <c r="L145" s="90"/>
      <c r="M145" s="90"/>
      <c r="N145" s="90"/>
      <c r="O145" s="90"/>
      <c r="P145" s="90"/>
      <c r="Q145" s="90"/>
      <c r="R145" s="90"/>
    </row>
    <row r="146" spans="1:18" ht="12.75" customHeight="1" x14ac:dyDescent="0.25">
      <c r="B146" s="718"/>
      <c r="C146" s="220"/>
      <c r="D146" s="89"/>
      <c r="E146" s="90"/>
      <c r="F146" s="90"/>
      <c r="G146" s="90"/>
      <c r="H146" s="90"/>
      <c r="I146" s="90"/>
      <c r="J146" s="90"/>
      <c r="K146" s="90"/>
      <c r="L146" s="90"/>
      <c r="M146" s="90"/>
      <c r="N146" s="90"/>
      <c r="O146" s="90"/>
      <c r="P146" s="90"/>
      <c r="Q146" s="90"/>
      <c r="R146" s="90"/>
    </row>
    <row r="147" spans="1:18" ht="12.75" customHeight="1" x14ac:dyDescent="0.25">
      <c r="B147" s="766" t="s">
        <v>119</v>
      </c>
      <c r="C147" s="764" t="s">
        <v>132</v>
      </c>
      <c r="D147" s="101" t="s">
        <v>70</v>
      </c>
      <c r="E147" s="93">
        <f>E84+E102-K84</f>
        <v>12441371.75</v>
      </c>
      <c r="F147" s="93">
        <f t="shared" ref="F147:R147" si="6">F84</f>
        <v>1134136.3700000001</v>
      </c>
      <c r="G147" s="93">
        <f t="shared" si="6"/>
        <v>635506.21</v>
      </c>
      <c r="H147" s="93">
        <f t="shared" si="6"/>
        <v>470561.7</v>
      </c>
      <c r="I147" s="93">
        <f t="shared" si="6"/>
        <v>2719139.49</v>
      </c>
      <c r="J147" s="93">
        <f t="shared" si="6"/>
        <v>99048.48</v>
      </c>
      <c r="K147" s="93">
        <f t="shared" si="6"/>
        <v>0</v>
      </c>
      <c r="L147" s="93">
        <f t="shared" si="6"/>
        <v>1122384.26</v>
      </c>
      <c r="M147" s="93">
        <f t="shared" si="6"/>
        <v>936470.56</v>
      </c>
      <c r="N147" s="93">
        <f t="shared" si="6"/>
        <v>3916124.95</v>
      </c>
      <c r="O147" s="93">
        <f t="shared" si="6"/>
        <v>2478746.87</v>
      </c>
      <c r="P147" s="93">
        <f t="shared" si="6"/>
        <v>142008.19</v>
      </c>
      <c r="Q147" s="93">
        <f t="shared" si="6"/>
        <v>42.52</v>
      </c>
      <c r="R147" s="93">
        <f t="shared" si="6"/>
        <v>0</v>
      </c>
    </row>
    <row r="148" spans="1:18" ht="12.75" customHeight="1" x14ac:dyDescent="0.25">
      <c r="B148" s="766"/>
      <c r="C148" s="764"/>
      <c r="D148" s="101" t="s">
        <v>73</v>
      </c>
      <c r="E148" s="93">
        <f>E102</f>
        <v>-1212797.8500000001</v>
      </c>
      <c r="F148" s="90"/>
      <c r="G148" s="90"/>
      <c r="H148" s="90"/>
      <c r="I148" s="90"/>
      <c r="J148" s="90"/>
      <c r="K148" s="90"/>
      <c r="L148" s="90"/>
      <c r="M148" s="90"/>
      <c r="N148" s="90"/>
      <c r="O148" s="90"/>
      <c r="P148" s="90"/>
      <c r="Q148" s="90"/>
      <c r="R148" s="90"/>
    </row>
    <row r="149" spans="1:18" ht="12.75" customHeight="1" x14ac:dyDescent="0.3">
      <c r="A149" s="89"/>
      <c r="B149" s="97"/>
      <c r="E149" s="90"/>
      <c r="F149" s="90"/>
      <c r="G149" s="90"/>
      <c r="H149" s="90"/>
      <c r="I149" s="90"/>
      <c r="J149" s="90"/>
      <c r="K149" s="90"/>
      <c r="L149" s="90"/>
      <c r="M149" s="90"/>
      <c r="N149" s="90"/>
      <c r="O149" s="90"/>
      <c r="P149" s="90"/>
      <c r="Q149" s="90"/>
      <c r="R149" s="90"/>
    </row>
    <row r="150" spans="1:18" ht="12.75" customHeight="1" x14ac:dyDescent="0.25">
      <c r="B150" s="765" t="s">
        <v>161</v>
      </c>
      <c r="C150" s="764" t="s">
        <v>132</v>
      </c>
      <c r="D150" s="231" t="s">
        <v>70</v>
      </c>
      <c r="E150" s="232">
        <v>0</v>
      </c>
      <c r="F150" s="232">
        <v>0</v>
      </c>
      <c r="G150" s="232">
        <v>0</v>
      </c>
      <c r="H150" s="232">
        <v>0</v>
      </c>
      <c r="I150" s="232">
        <v>0</v>
      </c>
      <c r="J150" s="232">
        <v>0</v>
      </c>
      <c r="K150" s="232">
        <v>0</v>
      </c>
      <c r="L150" s="232">
        <v>0</v>
      </c>
      <c r="M150" s="232">
        <v>0</v>
      </c>
      <c r="N150" s="232">
        <v>0</v>
      </c>
      <c r="O150" s="232">
        <v>0</v>
      </c>
      <c r="P150" s="232">
        <v>0</v>
      </c>
      <c r="Q150" s="232">
        <v>0</v>
      </c>
      <c r="R150" s="232">
        <v>0</v>
      </c>
    </row>
    <row r="151" spans="1:18" ht="12.75" customHeight="1" x14ac:dyDescent="0.25">
      <c r="B151" s="765"/>
      <c r="C151" s="764"/>
      <c r="D151" s="231" t="s">
        <v>73</v>
      </c>
      <c r="E151" s="232">
        <v>0</v>
      </c>
      <c r="F151" s="90"/>
      <c r="G151" s="90"/>
      <c r="H151" s="90"/>
      <c r="I151" s="90"/>
      <c r="J151" s="90"/>
      <c r="K151" s="90"/>
      <c r="L151" s="90"/>
      <c r="M151" s="90"/>
      <c r="N151" s="90"/>
      <c r="O151" s="90"/>
      <c r="P151" s="90"/>
      <c r="Q151" s="90"/>
      <c r="R151" s="90"/>
    </row>
    <row r="152" spans="1:18" s="238" customFormat="1" x14ac:dyDescent="0.25"/>
    <row r="153" spans="1:18" ht="13" x14ac:dyDescent="0.3">
      <c r="B153" s="97" t="s">
        <v>76</v>
      </c>
    </row>
    <row r="154" spans="1:18" ht="12.65" customHeight="1" x14ac:dyDescent="0.25">
      <c r="E154" s="89" t="s">
        <v>70</v>
      </c>
      <c r="F154" s="89" t="s">
        <v>64</v>
      </c>
      <c r="G154" s="89" t="s">
        <v>65</v>
      </c>
      <c r="H154" s="219" t="s">
        <v>164</v>
      </c>
      <c r="I154" s="89" t="s">
        <v>69</v>
      </c>
      <c r="J154" s="89" t="s">
        <v>68</v>
      </c>
      <c r="K154" s="89" t="s">
        <v>83</v>
      </c>
      <c r="L154" s="89" t="s">
        <v>66</v>
      </c>
      <c r="M154" s="89" t="s">
        <v>63</v>
      </c>
      <c r="N154" s="89" t="s">
        <v>61</v>
      </c>
      <c r="O154" s="89" t="s">
        <v>62</v>
      </c>
      <c r="P154" s="89" t="s">
        <v>67</v>
      </c>
      <c r="Q154" s="89" t="s">
        <v>84</v>
      </c>
      <c r="R154" s="387" t="s">
        <v>226</v>
      </c>
    </row>
    <row r="155" spans="1:18" ht="12.75" customHeight="1" x14ac:dyDescent="0.25">
      <c r="D155" s="89" t="s">
        <v>72</v>
      </c>
      <c r="E155" s="374">
        <v>31046836.629999999</v>
      </c>
      <c r="F155" s="90">
        <v>2023853.44</v>
      </c>
      <c r="G155" s="90">
        <v>1165352.5900000001</v>
      </c>
      <c r="H155" s="90">
        <v>492083.55</v>
      </c>
      <c r="I155" s="90">
        <v>6720888.3700000001</v>
      </c>
      <c r="J155" s="90">
        <v>258589.27</v>
      </c>
      <c r="K155" s="90">
        <v>0</v>
      </c>
      <c r="L155" s="90">
        <v>2632179.59</v>
      </c>
      <c r="M155" s="90">
        <v>2263134.4300000002</v>
      </c>
      <c r="N155" s="90">
        <v>10289906.060000001</v>
      </c>
      <c r="O155" s="90">
        <v>4844871.1500000004</v>
      </c>
      <c r="P155" s="90">
        <v>355642.13</v>
      </c>
      <c r="Q155" s="90">
        <v>336.05</v>
      </c>
      <c r="R155">
        <v>0</v>
      </c>
    </row>
    <row r="156" spans="1:18" ht="12.75" customHeight="1" x14ac:dyDescent="0.25">
      <c r="D156" s="89" t="s">
        <v>81</v>
      </c>
      <c r="E156" s="374">
        <v>69722.64</v>
      </c>
      <c r="F156" s="90">
        <v>6429</v>
      </c>
      <c r="G156" s="90">
        <v>3576.51</v>
      </c>
      <c r="H156" s="90">
        <v>1934.11</v>
      </c>
      <c r="I156" s="90">
        <v>13311.75</v>
      </c>
      <c r="J156" s="90">
        <v>521.82000000000005</v>
      </c>
      <c r="K156" s="90">
        <v>0</v>
      </c>
      <c r="L156" s="90">
        <v>4473.54</v>
      </c>
      <c r="M156" s="90">
        <v>4161.74</v>
      </c>
      <c r="N156" s="90">
        <v>19106.419999999998</v>
      </c>
      <c r="O156" s="90">
        <v>15363.4</v>
      </c>
      <c r="P156" s="90">
        <v>843.7</v>
      </c>
      <c r="Q156" s="90">
        <v>0.65</v>
      </c>
      <c r="R156">
        <v>0</v>
      </c>
    </row>
    <row r="157" spans="1:18" ht="12.75" customHeight="1" x14ac:dyDescent="0.25">
      <c r="C157" t="s">
        <v>156</v>
      </c>
      <c r="D157" s="89" t="s">
        <v>70</v>
      </c>
      <c r="E157" s="374">
        <v>31116559.27</v>
      </c>
      <c r="F157" s="90">
        <v>2030282.44</v>
      </c>
      <c r="G157" s="90">
        <v>1168929.1000000001</v>
      </c>
      <c r="H157" s="90">
        <v>494017.66</v>
      </c>
      <c r="I157" s="90">
        <v>6734200.1200000001</v>
      </c>
      <c r="J157" s="90">
        <v>259111.09</v>
      </c>
      <c r="K157" s="90">
        <v>0</v>
      </c>
      <c r="L157" s="90">
        <v>2636653.13</v>
      </c>
      <c r="M157" s="90">
        <v>2267296.17</v>
      </c>
      <c r="N157" s="90">
        <v>10309012.48</v>
      </c>
      <c r="O157" s="90">
        <v>4860234.55</v>
      </c>
      <c r="P157" s="90">
        <v>356485.83</v>
      </c>
      <c r="Q157" s="90">
        <v>336.7</v>
      </c>
      <c r="R157">
        <v>0</v>
      </c>
    </row>
    <row r="158" spans="1:18" s="237" customFormat="1" ht="12.75" customHeight="1" x14ac:dyDescent="0.25">
      <c r="B158" s="237" t="s">
        <v>155</v>
      </c>
      <c r="C158" s="237" t="s">
        <v>70</v>
      </c>
      <c r="D158" s="221"/>
      <c r="E158" s="559">
        <v>31116559.27</v>
      </c>
      <c r="F158" s="222">
        <v>2030282.44</v>
      </c>
      <c r="G158" s="222">
        <v>1168929.1000000001</v>
      </c>
      <c r="H158" s="222">
        <v>494017.66</v>
      </c>
      <c r="I158" s="222">
        <v>6734200.1200000001</v>
      </c>
      <c r="J158" s="222">
        <v>259111.09</v>
      </c>
      <c r="K158" s="222">
        <v>0</v>
      </c>
      <c r="L158" s="222">
        <v>2636653.13</v>
      </c>
      <c r="M158" s="222">
        <v>2267296.17</v>
      </c>
      <c r="N158" s="222">
        <v>10309012.48</v>
      </c>
      <c r="O158" s="222">
        <v>4860234.55</v>
      </c>
      <c r="P158" s="222">
        <v>356485.83</v>
      </c>
      <c r="Q158" s="222">
        <v>336.7</v>
      </c>
      <c r="R158" s="237">
        <v>0</v>
      </c>
    </row>
    <row r="159" spans="1:18" ht="12.65" customHeight="1" x14ac:dyDescent="0.25">
      <c r="D159" t="s">
        <v>72</v>
      </c>
      <c r="E159">
        <v>179781.09</v>
      </c>
      <c r="F159">
        <v>13995.5</v>
      </c>
      <c r="G159">
        <v>7901.88</v>
      </c>
      <c r="H159">
        <v>4170.07</v>
      </c>
      <c r="I159">
        <v>42155.63</v>
      </c>
      <c r="J159">
        <v>1857.7</v>
      </c>
      <c r="K159">
        <v>0</v>
      </c>
      <c r="L159">
        <v>13036.56</v>
      </c>
      <c r="M159">
        <v>14202.44</v>
      </c>
      <c r="N159">
        <v>48240.71</v>
      </c>
      <c r="O159">
        <v>32518.68</v>
      </c>
      <c r="P159">
        <v>1706.87</v>
      </c>
      <c r="Q159">
        <v>-4.95</v>
      </c>
      <c r="R159">
        <v>0</v>
      </c>
    </row>
    <row r="160" spans="1:18" ht="12.75" customHeight="1" x14ac:dyDescent="0.25">
      <c r="C160" t="s">
        <v>82</v>
      </c>
      <c r="D160" t="s">
        <v>70</v>
      </c>
      <c r="E160">
        <v>179781.09</v>
      </c>
      <c r="F160">
        <v>13995.5</v>
      </c>
      <c r="G160">
        <v>7901.88</v>
      </c>
      <c r="H160">
        <v>4170.07</v>
      </c>
      <c r="I160">
        <v>42155.63</v>
      </c>
      <c r="J160">
        <v>1857.7</v>
      </c>
      <c r="K160">
        <v>0</v>
      </c>
      <c r="L160">
        <v>13036.56</v>
      </c>
      <c r="M160">
        <v>14202.44</v>
      </c>
      <c r="N160">
        <v>48240.71</v>
      </c>
      <c r="O160">
        <v>32518.68</v>
      </c>
      <c r="P160">
        <v>1706.87</v>
      </c>
      <c r="Q160">
        <v>-4.95</v>
      </c>
      <c r="R160">
        <v>0</v>
      </c>
    </row>
    <row r="161" spans="1:18" ht="12.75" customHeight="1" x14ac:dyDescent="0.25">
      <c r="D161" s="89" t="s">
        <v>72</v>
      </c>
      <c r="E161" s="374">
        <v>189141.69</v>
      </c>
      <c r="F161" s="90">
        <v>15028.11</v>
      </c>
      <c r="G161" s="90">
        <v>8484.9</v>
      </c>
      <c r="H161" s="90">
        <v>3384.41</v>
      </c>
      <c r="I161" s="90">
        <v>43046.2</v>
      </c>
      <c r="J161" s="90">
        <v>1107.43</v>
      </c>
      <c r="K161" s="90">
        <v>0</v>
      </c>
      <c r="L161" s="90">
        <v>16232.62</v>
      </c>
      <c r="M161" s="90">
        <v>7627.64</v>
      </c>
      <c r="N161" s="90">
        <v>56861.5</v>
      </c>
      <c r="O161" s="90">
        <v>34967.22</v>
      </c>
      <c r="P161" s="90">
        <v>2413.0700000000002</v>
      </c>
      <c r="Q161" s="90">
        <v>-11.41</v>
      </c>
      <c r="R161">
        <v>0</v>
      </c>
    </row>
    <row r="162" spans="1:18" ht="12.75" customHeight="1" x14ac:dyDescent="0.25">
      <c r="C162" t="s">
        <v>86</v>
      </c>
      <c r="D162" t="s">
        <v>70</v>
      </c>
      <c r="E162" s="142">
        <v>189141.69</v>
      </c>
      <c r="F162">
        <v>15028.11</v>
      </c>
      <c r="G162">
        <v>8484.9</v>
      </c>
      <c r="H162">
        <v>3384.41</v>
      </c>
      <c r="I162">
        <v>43046.2</v>
      </c>
      <c r="J162">
        <v>1107.43</v>
      </c>
      <c r="K162">
        <v>0</v>
      </c>
      <c r="L162">
        <v>16232.62</v>
      </c>
      <c r="M162">
        <v>7627.64</v>
      </c>
      <c r="N162">
        <v>56861.5</v>
      </c>
      <c r="O162">
        <v>34967.22</v>
      </c>
      <c r="P162">
        <v>2413.0700000000002</v>
      </c>
      <c r="Q162">
        <v>-11.41</v>
      </c>
      <c r="R162">
        <v>0</v>
      </c>
    </row>
    <row r="163" spans="1:18" ht="12.75" customHeight="1" x14ac:dyDescent="0.25">
      <c r="D163" t="s">
        <v>72</v>
      </c>
      <c r="E163" s="142">
        <v>342483.83</v>
      </c>
      <c r="F163">
        <v>21271.32</v>
      </c>
      <c r="G163">
        <v>11917.63</v>
      </c>
      <c r="H163">
        <v>5705.24</v>
      </c>
      <c r="I163">
        <v>73246.25</v>
      </c>
      <c r="J163">
        <v>2952.85</v>
      </c>
      <c r="K163">
        <v>0</v>
      </c>
      <c r="L163">
        <v>26073.119999999999</v>
      </c>
      <c r="M163">
        <v>25643.439999999999</v>
      </c>
      <c r="N163">
        <v>121396.4</v>
      </c>
      <c r="O163">
        <v>49424.07</v>
      </c>
      <c r="P163">
        <v>4849.6000000000004</v>
      </c>
      <c r="Q163">
        <v>3.91</v>
      </c>
      <c r="R163">
        <v>0</v>
      </c>
    </row>
    <row r="164" spans="1:18" ht="12.75" customHeight="1" x14ac:dyDescent="0.25">
      <c r="D164" t="s">
        <v>81</v>
      </c>
      <c r="E164" s="142">
        <v>117.51</v>
      </c>
      <c r="F164">
        <v>4.47</v>
      </c>
      <c r="G164">
        <v>2.4</v>
      </c>
      <c r="H164">
        <v>1.32</v>
      </c>
      <c r="I164">
        <v>22.99</v>
      </c>
      <c r="J164">
        <v>1.27</v>
      </c>
      <c r="K164">
        <v>0</v>
      </c>
      <c r="L164">
        <v>11.2</v>
      </c>
      <c r="M164">
        <v>10.82</v>
      </c>
      <c r="N164">
        <v>50.47</v>
      </c>
      <c r="O164">
        <v>10.49</v>
      </c>
      <c r="P164">
        <v>2.08</v>
      </c>
      <c r="Q164">
        <v>0</v>
      </c>
      <c r="R164">
        <v>0</v>
      </c>
    </row>
    <row r="165" spans="1:18" ht="12.75" customHeight="1" x14ac:dyDescent="0.25">
      <c r="A165" s="89"/>
      <c r="B165" s="89"/>
      <c r="C165" t="s">
        <v>87</v>
      </c>
      <c r="D165" t="s">
        <v>70</v>
      </c>
      <c r="E165" s="90">
        <v>342601.34</v>
      </c>
      <c r="F165" s="90">
        <v>21275.79</v>
      </c>
      <c r="G165" s="90">
        <v>11920.03</v>
      </c>
      <c r="H165" s="90">
        <v>5706.56</v>
      </c>
      <c r="I165" s="90">
        <v>73269.240000000005</v>
      </c>
      <c r="J165" s="90">
        <v>2954.12</v>
      </c>
      <c r="K165" s="90">
        <v>0</v>
      </c>
      <c r="L165" s="90">
        <v>26084.32</v>
      </c>
      <c r="M165" s="90">
        <v>25654.26</v>
      </c>
      <c r="N165" s="90">
        <v>121446.87</v>
      </c>
      <c r="O165" s="90">
        <v>49434.559999999998</v>
      </c>
      <c r="P165" s="90">
        <v>4851.68</v>
      </c>
      <c r="Q165" s="90">
        <v>3.91</v>
      </c>
      <c r="R165">
        <v>0</v>
      </c>
    </row>
    <row r="166" spans="1:18" s="94" customFormat="1" ht="12.75" customHeight="1" x14ac:dyDescent="0.25">
      <c r="A166" s="101"/>
      <c r="B166" s="101" t="s">
        <v>119</v>
      </c>
      <c r="C166" s="94" t="s">
        <v>70</v>
      </c>
      <c r="E166" s="93">
        <v>711524.12</v>
      </c>
      <c r="F166" s="93">
        <v>50299.4</v>
      </c>
      <c r="G166" s="93">
        <v>28306.81</v>
      </c>
      <c r="H166" s="93">
        <v>13261.04</v>
      </c>
      <c r="I166" s="93">
        <v>158471.07</v>
      </c>
      <c r="J166" s="93">
        <v>5919.25</v>
      </c>
      <c r="K166" s="93">
        <v>0</v>
      </c>
      <c r="L166" s="93">
        <v>55353.5</v>
      </c>
      <c r="M166" s="93">
        <v>47484.34</v>
      </c>
      <c r="N166" s="93">
        <v>226549.08</v>
      </c>
      <c r="O166" s="93">
        <v>116920.46</v>
      </c>
      <c r="P166" s="93">
        <v>8971.6200000000008</v>
      </c>
      <c r="Q166" s="93">
        <v>-12.45</v>
      </c>
      <c r="R166" s="94">
        <v>0</v>
      </c>
    </row>
    <row r="167" spans="1:18" s="226" customFormat="1" ht="12.75" customHeight="1" x14ac:dyDescent="0.25">
      <c r="A167" s="226" t="s">
        <v>78</v>
      </c>
      <c r="B167" s="226" t="s">
        <v>70</v>
      </c>
      <c r="D167" s="98"/>
      <c r="E167" s="100">
        <v>31828083.390000001</v>
      </c>
      <c r="F167" s="100">
        <v>2080581.84</v>
      </c>
      <c r="G167" s="100">
        <v>1197235.9099999999</v>
      </c>
      <c r="H167" s="100">
        <v>507278.7</v>
      </c>
      <c r="I167" s="100">
        <v>6892671.1900000004</v>
      </c>
      <c r="J167" s="100">
        <v>265030.34000000003</v>
      </c>
      <c r="K167" s="100">
        <v>0</v>
      </c>
      <c r="L167" s="100">
        <v>2692006.63</v>
      </c>
      <c r="M167" s="100">
        <v>2314780.5099999998</v>
      </c>
      <c r="N167" s="100">
        <v>10535561.560000001</v>
      </c>
      <c r="O167" s="100">
        <v>4977155.01</v>
      </c>
      <c r="P167" s="100">
        <v>365457.45</v>
      </c>
      <c r="Q167" s="100">
        <v>324.25</v>
      </c>
      <c r="R167" s="226">
        <v>0</v>
      </c>
    </row>
    <row r="168" spans="1:18" ht="12.75" customHeight="1" x14ac:dyDescent="0.25">
      <c r="C168" s="89"/>
      <c r="D168" s="89" t="s">
        <v>73</v>
      </c>
      <c r="E168" s="374">
        <v>-681815.97</v>
      </c>
      <c r="F168" s="90">
        <v>331037.06</v>
      </c>
      <c r="G168" s="90">
        <v>185311.16</v>
      </c>
      <c r="H168" s="90">
        <v>100609.60000000001</v>
      </c>
      <c r="I168" s="90">
        <v>-590795.22</v>
      </c>
      <c r="J168" s="90">
        <v>-25136.34</v>
      </c>
      <c r="K168" s="90">
        <v>0</v>
      </c>
      <c r="L168" s="90">
        <v>-216624.67</v>
      </c>
      <c r="M168" s="90">
        <v>-213878.96</v>
      </c>
      <c r="N168" s="90">
        <v>-1019622.66</v>
      </c>
      <c r="O168" s="90">
        <v>807873.62</v>
      </c>
      <c r="P168" s="90">
        <v>-40589.56</v>
      </c>
      <c r="Q168" s="90">
        <v>0</v>
      </c>
      <c r="R168">
        <v>0</v>
      </c>
    </row>
    <row r="169" spans="1:18" ht="12.75" customHeight="1" x14ac:dyDescent="0.25">
      <c r="C169" s="89" t="s">
        <v>156</v>
      </c>
      <c r="D169" s="89" t="s">
        <v>70</v>
      </c>
      <c r="E169" s="374">
        <v>-681815.97</v>
      </c>
      <c r="F169" s="90">
        <v>331037.06</v>
      </c>
      <c r="G169" s="90">
        <v>185311.16</v>
      </c>
      <c r="H169" s="90">
        <v>100609.60000000001</v>
      </c>
      <c r="I169" s="90">
        <v>-590795.22</v>
      </c>
      <c r="J169" s="90">
        <v>-25136.34</v>
      </c>
      <c r="K169" s="90">
        <v>0</v>
      </c>
      <c r="L169" s="90">
        <v>-216624.67</v>
      </c>
      <c r="M169" s="90">
        <v>-213878.96</v>
      </c>
      <c r="N169" s="90">
        <v>-1019622.66</v>
      </c>
      <c r="O169" s="90">
        <v>807873.62</v>
      </c>
      <c r="P169" s="90">
        <v>-40589.56</v>
      </c>
      <c r="Q169" s="90">
        <v>0</v>
      </c>
      <c r="R169">
        <v>0</v>
      </c>
    </row>
    <row r="170" spans="1:18" s="237" customFormat="1" ht="12.75" customHeight="1" x14ac:dyDescent="0.25">
      <c r="B170" s="237" t="s">
        <v>155</v>
      </c>
      <c r="C170" s="221" t="s">
        <v>70</v>
      </c>
      <c r="D170" s="221"/>
      <c r="E170" s="559">
        <v>-681815.97</v>
      </c>
      <c r="F170" s="222">
        <v>331037.06</v>
      </c>
      <c r="G170" s="222">
        <v>185311.16</v>
      </c>
      <c r="H170" s="222">
        <v>100609.60000000001</v>
      </c>
      <c r="I170" s="222">
        <v>-590795.22</v>
      </c>
      <c r="J170" s="222">
        <v>-25136.34</v>
      </c>
      <c r="K170" s="222">
        <v>0</v>
      </c>
      <c r="L170" s="222">
        <v>-216624.67</v>
      </c>
      <c r="M170" s="222">
        <v>-213878.96</v>
      </c>
      <c r="N170" s="222">
        <v>-1019622.66</v>
      </c>
      <c r="O170" s="222">
        <v>807873.62</v>
      </c>
      <c r="P170" s="222">
        <v>-40589.56</v>
      </c>
      <c r="Q170" s="222">
        <v>0</v>
      </c>
      <c r="R170" s="237">
        <v>0</v>
      </c>
    </row>
    <row r="171" spans="1:18" ht="12.75" customHeight="1" x14ac:dyDescent="0.25">
      <c r="C171" s="89"/>
      <c r="D171" s="89" t="s">
        <v>73</v>
      </c>
      <c r="E171" s="374">
        <v>-32502.78</v>
      </c>
      <c r="F171" s="90">
        <v>-1443.02</v>
      </c>
      <c r="G171" s="90">
        <v>-814.74</v>
      </c>
      <c r="H171" s="90">
        <v>-427.64</v>
      </c>
      <c r="I171" s="90">
        <v>-8371</v>
      </c>
      <c r="J171" s="90">
        <v>-297.24</v>
      </c>
      <c r="K171" s="90">
        <v>0</v>
      </c>
      <c r="L171" s="90">
        <v>-2607.3200000000002</v>
      </c>
      <c r="M171" s="90">
        <v>-2564.34</v>
      </c>
      <c r="N171" s="90">
        <v>-12139.64</v>
      </c>
      <c r="O171" s="90">
        <v>-3352.88</v>
      </c>
      <c r="P171" s="90">
        <v>-484.96</v>
      </c>
      <c r="Q171" s="90">
        <v>0</v>
      </c>
      <c r="R171">
        <v>0</v>
      </c>
    </row>
    <row r="172" spans="1:18" ht="12.75" customHeight="1" x14ac:dyDescent="0.25">
      <c r="C172" t="s">
        <v>82</v>
      </c>
      <c r="D172" t="s">
        <v>70</v>
      </c>
      <c r="E172">
        <v>-32502.78</v>
      </c>
      <c r="F172">
        <v>-1443.02</v>
      </c>
      <c r="G172">
        <v>-814.74</v>
      </c>
      <c r="H172">
        <v>-427.64</v>
      </c>
      <c r="I172">
        <v>-8371</v>
      </c>
      <c r="J172">
        <v>-297.24</v>
      </c>
      <c r="K172">
        <v>0</v>
      </c>
      <c r="L172">
        <v>-2607.3200000000002</v>
      </c>
      <c r="M172">
        <v>-2564.34</v>
      </c>
      <c r="N172">
        <v>-12139.64</v>
      </c>
      <c r="O172">
        <v>-3352.88</v>
      </c>
      <c r="P172">
        <v>-484.96</v>
      </c>
      <c r="Q172">
        <v>0</v>
      </c>
      <c r="R172">
        <v>0</v>
      </c>
    </row>
    <row r="173" spans="1:18" ht="12.75" customHeight="1" x14ac:dyDescent="0.25">
      <c r="D173" t="s">
        <v>73</v>
      </c>
      <c r="E173">
        <v>-251.92</v>
      </c>
      <c r="F173">
        <v>860.63</v>
      </c>
      <c r="G173">
        <v>317.49</v>
      </c>
      <c r="H173">
        <v>-458.69</v>
      </c>
      <c r="I173">
        <v>-9894.5</v>
      </c>
      <c r="J173">
        <v>205.42</v>
      </c>
      <c r="K173">
        <v>0</v>
      </c>
      <c r="L173">
        <v>1801.98</v>
      </c>
      <c r="M173">
        <v>1776.16</v>
      </c>
      <c r="N173">
        <v>8408.19</v>
      </c>
      <c r="O173">
        <v>-3603.77</v>
      </c>
      <c r="P173">
        <v>335.17</v>
      </c>
      <c r="Q173">
        <v>0</v>
      </c>
      <c r="R173">
        <v>0</v>
      </c>
    </row>
    <row r="174" spans="1:18" ht="12.75" customHeight="1" x14ac:dyDescent="0.25">
      <c r="C174" t="s">
        <v>86</v>
      </c>
      <c r="D174" t="s">
        <v>70</v>
      </c>
      <c r="E174">
        <v>-251.92</v>
      </c>
      <c r="F174">
        <v>860.63</v>
      </c>
      <c r="G174">
        <v>317.49</v>
      </c>
      <c r="H174">
        <v>-458.69</v>
      </c>
      <c r="I174">
        <v>-9894.5</v>
      </c>
      <c r="J174">
        <v>205.42</v>
      </c>
      <c r="K174">
        <v>0</v>
      </c>
      <c r="L174">
        <v>1801.98</v>
      </c>
      <c r="M174">
        <v>1776.16</v>
      </c>
      <c r="N174">
        <v>8408.19</v>
      </c>
      <c r="O174">
        <v>-3603.77</v>
      </c>
      <c r="P174">
        <v>335.17</v>
      </c>
      <c r="Q174">
        <v>0</v>
      </c>
      <c r="R174">
        <v>0</v>
      </c>
    </row>
    <row r="175" spans="1:18" ht="12.75" customHeight="1" x14ac:dyDescent="0.25">
      <c r="D175" s="89" t="s">
        <v>73</v>
      </c>
      <c r="E175" s="90">
        <v>-1708.97</v>
      </c>
      <c r="F175" s="90">
        <v>3169.29</v>
      </c>
      <c r="G175" s="90">
        <v>1789.39</v>
      </c>
      <c r="H175" s="90">
        <v>939.19</v>
      </c>
      <c r="I175" s="90">
        <v>-3662.3</v>
      </c>
      <c r="J175" s="90">
        <v>-185.77</v>
      </c>
      <c r="K175" s="90">
        <v>0</v>
      </c>
      <c r="L175" s="90">
        <v>-1629.57</v>
      </c>
      <c r="M175" s="90">
        <v>-1602.69</v>
      </c>
      <c r="N175" s="90">
        <v>-7587.26</v>
      </c>
      <c r="O175" s="90">
        <v>7363.85</v>
      </c>
      <c r="P175" s="90">
        <v>-303.10000000000002</v>
      </c>
      <c r="Q175" s="90">
        <v>0</v>
      </c>
      <c r="R175">
        <v>0</v>
      </c>
    </row>
    <row r="176" spans="1:18" ht="12.75" customHeight="1" x14ac:dyDescent="0.25">
      <c r="C176" t="s">
        <v>87</v>
      </c>
      <c r="D176" s="89" t="s">
        <v>70</v>
      </c>
      <c r="E176" s="90">
        <v>-1708.97</v>
      </c>
      <c r="F176" s="90">
        <v>3169.29</v>
      </c>
      <c r="G176" s="90">
        <v>1789.39</v>
      </c>
      <c r="H176" s="90">
        <v>939.19</v>
      </c>
      <c r="I176" s="90">
        <v>-3662.3</v>
      </c>
      <c r="J176" s="90">
        <v>-185.77</v>
      </c>
      <c r="K176" s="90">
        <v>0</v>
      </c>
      <c r="L176" s="90">
        <v>-1629.57</v>
      </c>
      <c r="M176" s="90">
        <v>-1602.69</v>
      </c>
      <c r="N176" s="90">
        <v>-7587.26</v>
      </c>
      <c r="O176" s="90">
        <v>7363.85</v>
      </c>
      <c r="P176" s="90">
        <v>-303.10000000000002</v>
      </c>
      <c r="Q176" s="90">
        <v>0</v>
      </c>
      <c r="R176">
        <v>0</v>
      </c>
    </row>
    <row r="177" spans="1:18" s="94" customFormat="1" ht="12.75" customHeight="1" x14ac:dyDescent="0.25">
      <c r="B177" s="101" t="s">
        <v>119</v>
      </c>
      <c r="C177" s="101" t="s">
        <v>70</v>
      </c>
      <c r="E177" s="93">
        <v>-34463.67</v>
      </c>
      <c r="F177" s="93">
        <v>2586.9</v>
      </c>
      <c r="G177" s="93">
        <v>1292.1400000000001</v>
      </c>
      <c r="H177" s="93">
        <v>52.86</v>
      </c>
      <c r="I177" s="93">
        <v>-21927.8</v>
      </c>
      <c r="J177" s="93">
        <v>-277.58999999999997</v>
      </c>
      <c r="K177" s="93">
        <v>0</v>
      </c>
      <c r="L177" s="93">
        <v>-2434.91</v>
      </c>
      <c r="M177" s="93">
        <v>-2390.87</v>
      </c>
      <c r="N177" s="93">
        <v>-11318.71</v>
      </c>
      <c r="O177" s="93">
        <v>407.2</v>
      </c>
      <c r="P177" s="93">
        <v>-452.89</v>
      </c>
      <c r="Q177" s="93">
        <v>0</v>
      </c>
      <c r="R177" s="94">
        <v>0</v>
      </c>
    </row>
    <row r="178" spans="1:18" s="226" customFormat="1" ht="12.75" customHeight="1" x14ac:dyDescent="0.25">
      <c r="A178" s="98" t="s">
        <v>79</v>
      </c>
      <c r="B178" s="98" t="s">
        <v>70</v>
      </c>
      <c r="E178" s="100">
        <v>-716279.64</v>
      </c>
      <c r="F178" s="100">
        <v>333623.96000000002</v>
      </c>
      <c r="G178" s="100">
        <v>186603.3</v>
      </c>
      <c r="H178" s="100">
        <v>100662.46</v>
      </c>
      <c r="I178" s="100">
        <v>-612723.02</v>
      </c>
      <c r="J178" s="100">
        <v>-25413.93</v>
      </c>
      <c r="K178" s="100">
        <v>0</v>
      </c>
      <c r="L178" s="100">
        <v>-219059.58</v>
      </c>
      <c r="M178" s="100">
        <v>-216269.83</v>
      </c>
      <c r="N178" s="100">
        <v>-1030941.37</v>
      </c>
      <c r="O178" s="100">
        <v>808280.82</v>
      </c>
      <c r="P178" s="100">
        <v>-41042.449999999997</v>
      </c>
      <c r="Q178" s="100">
        <v>0</v>
      </c>
      <c r="R178" s="226">
        <v>0</v>
      </c>
    </row>
    <row r="179" spans="1:18" ht="12.75" customHeight="1" x14ac:dyDescent="0.25">
      <c r="A179" s="89" t="s">
        <v>70</v>
      </c>
      <c r="E179" s="90">
        <v>31111803.75</v>
      </c>
      <c r="F179" s="90">
        <v>2414205.7999999998</v>
      </c>
      <c r="G179" s="90">
        <v>1383839.21</v>
      </c>
      <c r="H179" s="90">
        <v>607941.16</v>
      </c>
      <c r="I179" s="90">
        <v>6279948.1699999999</v>
      </c>
      <c r="J179" s="90">
        <v>239616.41</v>
      </c>
      <c r="K179" s="90">
        <v>0</v>
      </c>
      <c r="L179" s="90">
        <v>2472947.0499999998</v>
      </c>
      <c r="M179" s="90">
        <v>2098510.6800000002</v>
      </c>
      <c r="N179" s="90">
        <v>9504620.1899999995</v>
      </c>
      <c r="O179" s="90">
        <v>5785435.8300000001</v>
      </c>
      <c r="P179" s="90">
        <v>324415</v>
      </c>
      <c r="Q179" s="90">
        <v>324.25</v>
      </c>
      <c r="R179">
        <v>0</v>
      </c>
    </row>
    <row r="180" spans="1:18" ht="12.75" customHeight="1" x14ac:dyDescent="0.25">
      <c r="A180" s="89"/>
      <c r="E180" s="90"/>
      <c r="F180" s="90"/>
      <c r="G180" s="90"/>
      <c r="H180" s="90"/>
      <c r="I180" s="90"/>
      <c r="J180" s="90"/>
      <c r="K180" s="90"/>
      <c r="L180" s="90"/>
      <c r="M180" s="90"/>
      <c r="N180" s="90"/>
      <c r="O180" s="90"/>
      <c r="P180" s="90"/>
      <c r="Q180" s="90"/>
    </row>
    <row r="181" spans="1:18" ht="12.75" hidden="1" customHeight="1" x14ac:dyDescent="0.25">
      <c r="A181" s="89"/>
      <c r="E181" s="90"/>
      <c r="F181" s="90"/>
      <c r="G181" s="90"/>
      <c r="H181" s="90"/>
      <c r="I181" s="90"/>
      <c r="J181" s="90"/>
      <c r="K181" s="90"/>
      <c r="L181" s="90"/>
      <c r="M181" s="90"/>
      <c r="N181" s="90"/>
      <c r="O181" s="90"/>
      <c r="P181" s="90"/>
      <c r="Q181" s="90"/>
    </row>
    <row r="182" spans="1:18" ht="12.75" hidden="1" customHeight="1" x14ac:dyDescent="0.25">
      <c r="A182" s="89"/>
      <c r="E182" s="90"/>
      <c r="F182" s="90"/>
      <c r="G182" s="90"/>
      <c r="H182" s="90"/>
      <c r="I182" s="90"/>
      <c r="J182" s="90"/>
      <c r="K182" s="90"/>
      <c r="L182" s="90"/>
      <c r="M182" s="90"/>
      <c r="N182" s="90"/>
      <c r="O182" s="90"/>
      <c r="P182" s="90"/>
      <c r="Q182" s="90"/>
    </row>
    <row r="183" spans="1:18" ht="12.75" hidden="1" customHeight="1" x14ac:dyDescent="0.25">
      <c r="A183" s="89"/>
      <c r="E183" s="90"/>
      <c r="F183" s="90"/>
      <c r="G183" s="90"/>
      <c r="H183" s="90"/>
      <c r="I183" s="90"/>
      <c r="J183" s="90"/>
      <c r="K183" s="90"/>
      <c r="L183" s="90"/>
      <c r="M183" s="90"/>
      <c r="N183" s="90"/>
      <c r="O183" s="90"/>
      <c r="P183" s="90"/>
      <c r="Q183" s="90"/>
    </row>
    <row r="184" spans="1:18" ht="12.75" hidden="1" customHeight="1" x14ac:dyDescent="0.25">
      <c r="A184" s="89"/>
      <c r="E184" s="90"/>
      <c r="F184" s="90"/>
      <c r="G184" s="90"/>
      <c r="H184" s="90"/>
      <c r="I184" s="90"/>
      <c r="J184" s="90"/>
      <c r="K184" s="90"/>
      <c r="L184" s="90"/>
      <c r="M184" s="90"/>
      <c r="N184" s="90"/>
      <c r="O184" s="90"/>
      <c r="P184" s="90"/>
      <c r="Q184" s="90"/>
    </row>
    <row r="185" spans="1:18" ht="12.75" hidden="1" customHeight="1" x14ac:dyDescent="0.25">
      <c r="A185" s="89"/>
      <c r="E185" s="90"/>
      <c r="F185" s="90"/>
      <c r="G185" s="90"/>
      <c r="H185" s="90"/>
      <c r="I185" s="90"/>
      <c r="J185" s="90"/>
      <c r="K185" s="90"/>
      <c r="L185" s="90"/>
      <c r="M185" s="90"/>
      <c r="N185" s="90"/>
      <c r="O185" s="90"/>
      <c r="P185" s="90"/>
      <c r="Q185" s="90"/>
    </row>
    <row r="186" spans="1:18" ht="12.75" hidden="1" customHeight="1" x14ac:dyDescent="0.25">
      <c r="A186" s="89"/>
      <c r="E186" s="90"/>
      <c r="F186" s="90"/>
      <c r="G186" s="90"/>
      <c r="H186" s="90"/>
      <c r="I186" s="90"/>
      <c r="J186" s="90"/>
      <c r="K186" s="90"/>
      <c r="L186" s="90"/>
      <c r="M186" s="90"/>
      <c r="N186" s="90"/>
      <c r="O186" s="90"/>
      <c r="P186" s="90"/>
      <c r="Q186" s="90"/>
    </row>
    <row r="187" spans="1:18" ht="12.75" hidden="1" customHeight="1" x14ac:dyDescent="0.25">
      <c r="A187" s="89"/>
      <c r="E187" s="90"/>
      <c r="F187" s="90"/>
      <c r="G187" s="90"/>
      <c r="H187" s="90"/>
      <c r="I187" s="90"/>
      <c r="J187" s="90"/>
      <c r="K187" s="90"/>
      <c r="L187" s="90"/>
      <c r="M187" s="90"/>
      <c r="N187" s="90"/>
      <c r="O187" s="90"/>
      <c r="P187" s="90"/>
      <c r="Q187" s="90"/>
    </row>
    <row r="188" spans="1:18" ht="12.75" hidden="1" customHeight="1" x14ac:dyDescent="0.25">
      <c r="A188" s="89"/>
      <c r="E188" s="90"/>
      <c r="F188" s="90"/>
      <c r="G188" s="90"/>
      <c r="H188" s="90"/>
      <c r="I188" s="90"/>
      <c r="J188" s="90"/>
      <c r="K188" s="90"/>
      <c r="L188" s="90"/>
      <c r="M188" s="90"/>
      <c r="N188" s="90"/>
      <c r="O188" s="90"/>
      <c r="P188" s="90"/>
      <c r="Q188" s="90"/>
    </row>
    <row r="189" spans="1:18" ht="12.75" hidden="1" customHeight="1" x14ac:dyDescent="0.25">
      <c r="A189" s="89"/>
      <c r="E189" s="90"/>
      <c r="F189" s="90"/>
      <c r="G189" s="90"/>
      <c r="H189" s="90"/>
      <c r="I189" s="90"/>
      <c r="J189" s="90"/>
      <c r="K189" s="90"/>
      <c r="L189" s="90"/>
      <c r="M189" s="90"/>
      <c r="N189" s="90"/>
      <c r="O189" s="90"/>
      <c r="P189" s="90"/>
      <c r="Q189" s="90"/>
    </row>
    <row r="190" spans="1:18" ht="12.75" hidden="1" customHeight="1" x14ac:dyDescent="0.25">
      <c r="A190" s="89"/>
      <c r="E190" s="90"/>
      <c r="F190" s="90"/>
      <c r="G190" s="90"/>
      <c r="H190" s="90"/>
      <c r="I190" s="90"/>
      <c r="J190" s="90"/>
      <c r="K190" s="90"/>
      <c r="L190" s="90"/>
      <c r="M190" s="90"/>
      <c r="N190" s="90"/>
      <c r="O190" s="90"/>
      <c r="P190" s="90"/>
      <c r="Q190" s="90"/>
    </row>
    <row r="191" spans="1:18" ht="12.75" hidden="1" customHeight="1" x14ac:dyDescent="0.25">
      <c r="A191" s="89"/>
      <c r="E191" s="90"/>
      <c r="F191" s="90"/>
      <c r="G191" s="90"/>
      <c r="H191" s="90"/>
      <c r="I191" s="90"/>
      <c r="J191" s="90"/>
      <c r="K191" s="90"/>
      <c r="L191" s="90"/>
      <c r="M191" s="90"/>
      <c r="N191" s="90"/>
      <c r="O191" s="90"/>
      <c r="P191" s="90"/>
      <c r="Q191" s="90"/>
    </row>
    <row r="192" spans="1:18" ht="12.75" hidden="1" customHeight="1" x14ac:dyDescent="0.25">
      <c r="A192" s="89"/>
      <c r="E192" s="90"/>
      <c r="F192" s="90"/>
      <c r="G192" s="90"/>
      <c r="H192" s="90"/>
      <c r="I192" s="90"/>
      <c r="J192" s="90"/>
      <c r="K192" s="90"/>
      <c r="L192" s="90"/>
      <c r="M192" s="90"/>
      <c r="N192" s="90"/>
      <c r="O192" s="90"/>
      <c r="P192" s="90"/>
      <c r="Q192" s="90"/>
    </row>
    <row r="193" spans="1:17" ht="12.75" hidden="1" customHeight="1" x14ac:dyDescent="0.25">
      <c r="A193" s="89"/>
      <c r="E193" s="90"/>
      <c r="F193" s="90"/>
      <c r="G193" s="90"/>
      <c r="H193" s="90"/>
      <c r="I193" s="90"/>
      <c r="J193" s="90"/>
      <c r="K193" s="90"/>
      <c r="L193" s="90"/>
      <c r="M193" s="90"/>
      <c r="N193" s="90"/>
      <c r="O193" s="90"/>
      <c r="P193" s="90"/>
      <c r="Q193" s="90"/>
    </row>
    <row r="194" spans="1:17" ht="12.75" hidden="1" customHeight="1" x14ac:dyDescent="0.25">
      <c r="A194" s="89"/>
      <c r="E194" s="90"/>
      <c r="F194" s="90"/>
      <c r="G194" s="90"/>
      <c r="H194" s="90"/>
      <c r="I194" s="90"/>
      <c r="J194" s="90"/>
      <c r="K194" s="90"/>
      <c r="L194" s="90"/>
      <c r="M194" s="90"/>
      <c r="N194" s="90"/>
      <c r="O194" s="90"/>
      <c r="P194" s="90"/>
      <c r="Q194" s="90"/>
    </row>
    <row r="195" spans="1:17" ht="12.75" hidden="1" customHeight="1" x14ac:dyDescent="0.25">
      <c r="A195" s="89"/>
      <c r="E195" s="90"/>
      <c r="F195" s="90"/>
      <c r="G195" s="90"/>
      <c r="H195" s="90"/>
      <c r="I195" s="90"/>
      <c r="J195" s="90"/>
      <c r="K195" s="90"/>
      <c r="L195" s="90"/>
      <c r="M195" s="90"/>
      <c r="N195" s="90"/>
      <c r="O195" s="90"/>
      <c r="P195" s="90"/>
      <c r="Q195" s="90"/>
    </row>
    <row r="196" spans="1:17" ht="12.75" hidden="1" customHeight="1" x14ac:dyDescent="0.25">
      <c r="A196" s="89"/>
      <c r="E196" s="90"/>
      <c r="F196" s="90"/>
      <c r="G196" s="90"/>
      <c r="H196" s="90"/>
      <c r="I196" s="90"/>
      <c r="J196" s="90"/>
      <c r="K196" s="90"/>
      <c r="L196" s="90"/>
      <c r="M196" s="90"/>
      <c r="N196" s="90"/>
      <c r="O196" s="90"/>
      <c r="P196" s="90"/>
      <c r="Q196" s="90"/>
    </row>
    <row r="197" spans="1:17" ht="12.75" hidden="1" customHeight="1" x14ac:dyDescent="0.25">
      <c r="A197" s="89"/>
      <c r="E197" s="90"/>
      <c r="F197" s="90"/>
      <c r="G197" s="90"/>
      <c r="H197" s="90"/>
      <c r="I197" s="90"/>
      <c r="J197" s="90"/>
      <c r="K197" s="90"/>
      <c r="L197" s="90"/>
      <c r="M197" s="90"/>
      <c r="N197" s="90"/>
      <c r="O197" s="90"/>
      <c r="P197" s="90"/>
      <c r="Q197" s="90"/>
    </row>
    <row r="198" spans="1:17" ht="12.75" hidden="1" customHeight="1" x14ac:dyDescent="0.25">
      <c r="A198" s="89"/>
      <c r="E198" s="90"/>
      <c r="F198" s="90"/>
      <c r="G198" s="90"/>
      <c r="H198" s="90"/>
      <c r="I198" s="90"/>
      <c r="J198" s="90"/>
      <c r="K198" s="90"/>
      <c r="L198" s="90"/>
      <c r="M198" s="90"/>
      <c r="N198" s="90"/>
      <c r="O198" s="90"/>
      <c r="P198" s="90"/>
      <c r="Q198" s="90"/>
    </row>
    <row r="199" spans="1:17" ht="12.75" hidden="1" customHeight="1" x14ac:dyDescent="0.25">
      <c r="A199" s="89"/>
      <c r="E199" s="90"/>
      <c r="F199" s="90"/>
      <c r="G199" s="90"/>
      <c r="H199" s="90"/>
      <c r="I199" s="90"/>
      <c r="J199" s="90"/>
      <c r="K199" s="90"/>
      <c r="L199" s="90"/>
      <c r="M199" s="90"/>
      <c r="N199" s="90"/>
      <c r="O199" s="90"/>
      <c r="P199" s="90"/>
      <c r="Q199" s="90"/>
    </row>
    <row r="200" spans="1:17" ht="12.75" hidden="1" customHeight="1" x14ac:dyDescent="0.25">
      <c r="A200" s="89"/>
      <c r="E200" s="90"/>
      <c r="F200" s="90"/>
      <c r="G200" s="90"/>
      <c r="H200" s="90"/>
      <c r="I200" s="90"/>
      <c r="J200" s="90"/>
      <c r="K200" s="90"/>
      <c r="L200" s="90"/>
      <c r="M200" s="90"/>
      <c r="N200" s="90"/>
      <c r="O200" s="90"/>
      <c r="P200" s="90"/>
      <c r="Q200" s="90"/>
    </row>
    <row r="201" spans="1:17" ht="12.75" hidden="1" customHeight="1" x14ac:dyDescent="0.25">
      <c r="A201" s="89"/>
      <c r="E201" s="90"/>
      <c r="F201" s="90"/>
      <c r="G201" s="90"/>
      <c r="H201" s="90"/>
      <c r="I201" s="90"/>
      <c r="J201" s="90"/>
      <c r="K201" s="90"/>
      <c r="L201" s="90"/>
      <c r="M201" s="90"/>
      <c r="N201" s="90"/>
      <c r="O201" s="90"/>
      <c r="P201" s="90"/>
      <c r="Q201" s="90"/>
    </row>
    <row r="202" spans="1:17" ht="12.75" hidden="1" customHeight="1" x14ac:dyDescent="0.25">
      <c r="A202" s="89"/>
      <c r="E202" s="90"/>
      <c r="F202" s="90"/>
      <c r="G202" s="90"/>
      <c r="H202" s="90"/>
      <c r="I202" s="90"/>
      <c r="J202" s="90"/>
      <c r="K202" s="90"/>
      <c r="L202" s="90"/>
      <c r="M202" s="90"/>
      <c r="N202" s="90"/>
      <c r="O202" s="90"/>
      <c r="P202" s="90"/>
      <c r="Q202" s="90"/>
    </row>
    <row r="203" spans="1:17" ht="12.75" hidden="1" customHeight="1" x14ac:dyDescent="0.25">
      <c r="A203" s="89"/>
      <c r="E203" s="90"/>
      <c r="F203" s="90"/>
      <c r="G203" s="90"/>
      <c r="H203" s="90"/>
      <c r="I203" s="90"/>
      <c r="J203" s="90"/>
      <c r="K203" s="90"/>
      <c r="L203" s="90"/>
      <c r="M203" s="90"/>
      <c r="N203" s="90"/>
      <c r="O203" s="90"/>
      <c r="P203" s="90"/>
      <c r="Q203" s="90"/>
    </row>
    <row r="204" spans="1:17" ht="12.75" hidden="1" customHeight="1" x14ac:dyDescent="0.25">
      <c r="A204" s="89"/>
      <c r="E204" s="90"/>
      <c r="F204" s="90"/>
      <c r="G204" s="90"/>
      <c r="H204" s="90"/>
      <c r="I204" s="90"/>
      <c r="J204" s="90"/>
      <c r="K204" s="90"/>
      <c r="L204" s="90"/>
      <c r="M204" s="90"/>
      <c r="N204" s="90"/>
      <c r="O204" s="90"/>
      <c r="P204" s="90"/>
      <c r="Q204" s="90"/>
    </row>
    <row r="205" spans="1:17" ht="12.75" hidden="1" customHeight="1" x14ac:dyDescent="0.25">
      <c r="A205" s="89"/>
      <c r="E205" s="90"/>
      <c r="F205" s="90"/>
      <c r="G205" s="90"/>
      <c r="H205" s="90"/>
      <c r="I205" s="90"/>
      <c r="J205" s="90"/>
      <c r="K205" s="90"/>
      <c r="L205" s="90"/>
      <c r="M205" s="90"/>
      <c r="N205" s="90"/>
      <c r="O205" s="90"/>
      <c r="P205" s="90"/>
      <c r="Q205" s="90"/>
    </row>
    <row r="206" spans="1:17" ht="12.75" hidden="1" customHeight="1" x14ac:dyDescent="0.25">
      <c r="A206" s="89"/>
      <c r="E206" s="90"/>
      <c r="F206" s="90"/>
      <c r="G206" s="90"/>
      <c r="H206" s="90"/>
      <c r="I206" s="90"/>
      <c r="J206" s="90"/>
      <c r="K206" s="90"/>
      <c r="L206" s="90"/>
      <c r="M206" s="90"/>
      <c r="N206" s="90"/>
      <c r="O206" s="90"/>
      <c r="P206" s="90"/>
      <c r="Q206" s="90"/>
    </row>
    <row r="207" spans="1:17" ht="12.75" hidden="1" customHeight="1" x14ac:dyDescent="0.25">
      <c r="A207" s="89"/>
      <c r="E207" s="90"/>
      <c r="F207" s="90"/>
      <c r="G207" s="90"/>
      <c r="H207" s="90"/>
      <c r="I207" s="90"/>
      <c r="J207" s="90"/>
      <c r="K207" s="90"/>
      <c r="L207" s="90"/>
      <c r="M207" s="90"/>
      <c r="N207" s="90"/>
      <c r="O207" s="90"/>
      <c r="P207" s="90"/>
      <c r="Q207" s="90"/>
    </row>
    <row r="208" spans="1:17" ht="12.75" hidden="1" customHeight="1" x14ac:dyDescent="0.25">
      <c r="A208" s="89"/>
      <c r="E208" s="90"/>
      <c r="F208" s="90"/>
      <c r="G208" s="90"/>
      <c r="H208" s="90"/>
      <c r="I208" s="90"/>
      <c r="J208" s="90"/>
      <c r="K208" s="90"/>
      <c r="L208" s="90"/>
      <c r="M208" s="90"/>
      <c r="N208" s="90"/>
      <c r="O208" s="90"/>
      <c r="P208" s="90"/>
      <c r="Q208" s="90"/>
    </row>
    <row r="209" spans="1:18" ht="12.75" hidden="1" customHeight="1" x14ac:dyDescent="0.25">
      <c r="A209" s="89"/>
      <c r="E209" s="90"/>
      <c r="F209" s="90"/>
      <c r="G209" s="90"/>
      <c r="H209" s="90"/>
      <c r="I209" s="90"/>
      <c r="J209" s="90"/>
      <c r="K209" s="90"/>
      <c r="L209" s="90"/>
      <c r="M209" s="90"/>
      <c r="N209" s="90"/>
      <c r="O209" s="90"/>
      <c r="P209" s="90"/>
      <c r="Q209" s="90"/>
    </row>
    <row r="210" spans="1:18" ht="12.75" hidden="1" customHeight="1" x14ac:dyDescent="0.25">
      <c r="A210" s="89"/>
      <c r="E210" s="90"/>
      <c r="F210" s="90"/>
      <c r="G210" s="90"/>
      <c r="H210" s="90"/>
      <c r="I210" s="90"/>
      <c r="J210" s="90"/>
      <c r="K210" s="90"/>
      <c r="L210" s="90"/>
      <c r="M210" s="90"/>
      <c r="N210" s="90"/>
      <c r="O210" s="90"/>
      <c r="P210" s="90"/>
      <c r="Q210" s="90"/>
    </row>
    <row r="211" spans="1:18" ht="12.75" customHeight="1" x14ac:dyDescent="0.25">
      <c r="C211" s="89"/>
      <c r="D211" s="89"/>
      <c r="E211" s="90"/>
      <c r="F211" s="90"/>
      <c r="G211" s="90"/>
      <c r="H211" s="90"/>
      <c r="I211" s="90"/>
      <c r="J211" s="90"/>
      <c r="K211" s="90"/>
      <c r="L211" s="90"/>
      <c r="M211" s="90"/>
      <c r="N211" s="90"/>
      <c r="O211" s="90"/>
      <c r="P211" s="90"/>
      <c r="Q211" s="90"/>
      <c r="R211" s="90"/>
    </row>
    <row r="212" spans="1:18" ht="12.75" hidden="1" customHeight="1" x14ac:dyDescent="0.25">
      <c r="D212" s="89"/>
      <c r="E212" s="90"/>
      <c r="F212" s="90"/>
      <c r="G212" s="90"/>
      <c r="H212" s="90"/>
      <c r="I212" s="90"/>
      <c r="J212" s="90"/>
      <c r="K212" s="90"/>
      <c r="L212" s="90"/>
      <c r="M212" s="90"/>
      <c r="N212" s="90"/>
      <c r="O212" s="90"/>
      <c r="P212" s="90"/>
      <c r="Q212" s="90"/>
      <c r="R212" s="90"/>
    </row>
    <row r="213" spans="1:18" ht="12.75" hidden="1" customHeight="1" x14ac:dyDescent="0.25">
      <c r="C213" s="89"/>
      <c r="D213" s="89"/>
      <c r="E213" s="90"/>
      <c r="F213" s="90"/>
      <c r="G213" s="90"/>
      <c r="H213" s="90"/>
      <c r="I213" s="90"/>
      <c r="J213" s="90"/>
      <c r="K213" s="90"/>
      <c r="L213" s="90"/>
      <c r="M213" s="90"/>
      <c r="N213" s="90"/>
      <c r="O213" s="90"/>
      <c r="P213" s="90"/>
      <c r="Q213" s="90"/>
      <c r="R213" s="90"/>
    </row>
    <row r="214" spans="1:18" ht="12.75" hidden="1" customHeight="1" x14ac:dyDescent="0.25">
      <c r="D214" s="89"/>
      <c r="E214" s="90"/>
      <c r="F214" s="90"/>
      <c r="G214" s="90"/>
      <c r="H214" s="90"/>
      <c r="I214" s="90"/>
      <c r="J214" s="90"/>
      <c r="K214" s="90"/>
      <c r="L214" s="90"/>
      <c r="M214" s="90"/>
      <c r="N214" s="90"/>
      <c r="O214" s="90"/>
      <c r="P214" s="90"/>
      <c r="Q214" s="90"/>
      <c r="R214" s="90"/>
    </row>
    <row r="215" spans="1:18" ht="12.75" hidden="1" customHeight="1" x14ac:dyDescent="0.25">
      <c r="C215" s="89"/>
      <c r="D215" s="89"/>
      <c r="E215" s="90"/>
      <c r="F215" s="90"/>
      <c r="G215" s="90"/>
      <c r="H215" s="90"/>
      <c r="I215" s="90"/>
      <c r="J215" s="90"/>
      <c r="K215" s="90"/>
      <c r="L215" s="90"/>
      <c r="M215" s="90"/>
      <c r="N215" s="90"/>
      <c r="O215" s="90"/>
      <c r="P215" s="90"/>
      <c r="Q215" s="90"/>
      <c r="R215" s="90"/>
    </row>
    <row r="216" spans="1:18" ht="12.75" hidden="1" customHeight="1" x14ac:dyDescent="0.25">
      <c r="B216" s="89"/>
      <c r="C216" s="89"/>
      <c r="E216" s="90"/>
      <c r="F216" s="90"/>
      <c r="G216" s="90"/>
      <c r="H216" s="90"/>
      <c r="I216" s="90"/>
      <c r="J216" s="90"/>
      <c r="K216" s="90"/>
      <c r="L216" s="90"/>
      <c r="M216" s="90"/>
      <c r="N216" s="90"/>
      <c r="O216" s="90"/>
      <c r="P216" s="90"/>
      <c r="Q216" s="90"/>
      <c r="R216" s="90"/>
    </row>
    <row r="217" spans="1:18" ht="12.75" hidden="1" customHeight="1" x14ac:dyDescent="0.25">
      <c r="A217" s="89"/>
      <c r="B217" s="89"/>
      <c r="E217" s="90"/>
      <c r="F217" s="90"/>
      <c r="G217" s="90"/>
      <c r="H217" s="90"/>
      <c r="I217" s="90"/>
      <c r="J217" s="90"/>
      <c r="K217" s="90"/>
      <c r="L217" s="90"/>
      <c r="M217" s="90"/>
      <c r="N217" s="90"/>
      <c r="O217" s="90"/>
      <c r="P217" s="90"/>
      <c r="Q217" s="90"/>
      <c r="R217" s="90"/>
    </row>
    <row r="218" spans="1:18" ht="12.75" hidden="1" customHeight="1" x14ac:dyDescent="0.25">
      <c r="A218" s="89"/>
      <c r="E218" s="90"/>
      <c r="F218" s="90"/>
      <c r="G218" s="90"/>
      <c r="H218" s="90"/>
      <c r="I218" s="90"/>
      <c r="J218" s="90"/>
      <c r="K218" s="90"/>
      <c r="L218" s="90"/>
      <c r="M218" s="90"/>
      <c r="N218" s="90"/>
      <c r="O218" s="90"/>
      <c r="P218" s="90"/>
      <c r="Q218" s="90"/>
      <c r="R218" s="90"/>
    </row>
    <row r="219" spans="1:18" ht="12.75" hidden="1" customHeight="1" x14ac:dyDescent="0.25">
      <c r="A219" s="89"/>
      <c r="E219" s="90"/>
      <c r="F219" s="90"/>
      <c r="G219" s="90"/>
      <c r="H219" s="90"/>
      <c r="I219" s="90"/>
      <c r="J219" s="90"/>
      <c r="K219" s="90"/>
      <c r="L219" s="90"/>
      <c r="M219" s="90"/>
      <c r="N219" s="90"/>
      <c r="O219" s="90"/>
      <c r="P219" s="90"/>
      <c r="Q219" s="90"/>
    </row>
    <row r="220" spans="1:18" ht="12.75" hidden="1" customHeight="1" x14ac:dyDescent="0.25">
      <c r="A220" s="89"/>
      <c r="E220" s="90"/>
      <c r="F220" s="90"/>
      <c r="G220" s="90"/>
      <c r="H220" s="90"/>
      <c r="I220" s="90"/>
      <c r="J220" s="90"/>
      <c r="K220" s="90"/>
      <c r="L220" s="90"/>
      <c r="M220" s="90"/>
      <c r="N220" s="90"/>
      <c r="O220" s="90"/>
      <c r="P220" s="90"/>
      <c r="Q220" s="90"/>
    </row>
    <row r="221" spans="1:18" ht="12.75" hidden="1" customHeight="1" x14ac:dyDescent="0.25">
      <c r="A221" s="89"/>
      <c r="E221" s="90"/>
      <c r="F221" s="90"/>
      <c r="G221" s="90"/>
      <c r="H221" s="90"/>
      <c r="I221" s="90"/>
      <c r="J221" s="90"/>
      <c r="K221" s="90"/>
      <c r="L221" s="90"/>
      <c r="M221" s="90"/>
      <c r="N221" s="90"/>
      <c r="O221" s="90"/>
      <c r="P221" s="90"/>
      <c r="Q221" s="90"/>
    </row>
    <row r="222" spans="1:18" ht="12.75" hidden="1" customHeight="1" x14ac:dyDescent="0.25">
      <c r="A222" s="89"/>
      <c r="E222" s="90"/>
      <c r="F222" s="90"/>
      <c r="G222" s="90"/>
      <c r="H222" s="90"/>
      <c r="I222" s="90"/>
      <c r="J222" s="90"/>
      <c r="K222" s="90"/>
      <c r="L222" s="90"/>
      <c r="M222" s="90"/>
      <c r="N222" s="90"/>
      <c r="O222" s="90"/>
      <c r="P222" s="90"/>
      <c r="Q222" s="90"/>
    </row>
    <row r="223" spans="1:18" ht="12.75" hidden="1" customHeight="1" x14ac:dyDescent="0.25">
      <c r="A223" s="89"/>
      <c r="E223" s="90"/>
      <c r="F223" s="90"/>
      <c r="G223" s="90"/>
      <c r="H223" s="90"/>
      <c r="I223" s="90"/>
      <c r="J223" s="90"/>
      <c r="K223" s="90"/>
      <c r="L223" s="90"/>
      <c r="M223" s="90"/>
      <c r="N223" s="90"/>
      <c r="O223" s="90"/>
      <c r="P223" s="90"/>
      <c r="Q223" s="90"/>
    </row>
    <row r="224" spans="1:18" ht="12.75" hidden="1" customHeight="1" x14ac:dyDescent="0.25">
      <c r="A224" s="89"/>
      <c r="E224" s="90"/>
      <c r="F224" s="90"/>
      <c r="G224" s="90"/>
      <c r="H224" s="90"/>
      <c r="I224" s="90"/>
      <c r="J224" s="90"/>
      <c r="K224" s="90"/>
      <c r="L224" s="90"/>
      <c r="M224" s="90"/>
      <c r="N224" s="90"/>
      <c r="O224" s="90"/>
      <c r="P224" s="90"/>
      <c r="Q224" s="90"/>
    </row>
    <row r="225" spans="1:17" ht="12.75" hidden="1" customHeight="1" x14ac:dyDescent="0.25">
      <c r="A225" s="89"/>
      <c r="E225" s="90"/>
      <c r="F225" s="90"/>
      <c r="G225" s="90"/>
      <c r="H225" s="90"/>
      <c r="I225" s="90"/>
      <c r="J225" s="90"/>
      <c r="K225" s="90"/>
      <c r="L225" s="90"/>
      <c r="M225" s="90"/>
      <c r="N225" s="90"/>
      <c r="O225" s="90"/>
      <c r="P225" s="90"/>
      <c r="Q225" s="90"/>
    </row>
    <row r="226" spans="1:17" ht="12.75" hidden="1" customHeight="1" x14ac:dyDescent="0.25">
      <c r="A226" s="89"/>
      <c r="E226" s="90"/>
      <c r="F226" s="90"/>
      <c r="G226" s="90"/>
      <c r="H226" s="90"/>
      <c r="I226" s="90"/>
      <c r="J226" s="90"/>
      <c r="K226" s="90"/>
      <c r="L226" s="90"/>
      <c r="M226" s="90"/>
      <c r="N226" s="90"/>
      <c r="O226" s="90"/>
      <c r="P226" s="90"/>
      <c r="Q226" s="90"/>
    </row>
    <row r="227" spans="1:17" ht="12.75" hidden="1" customHeight="1" x14ac:dyDescent="0.25">
      <c r="A227" s="89"/>
      <c r="E227" s="90"/>
      <c r="F227" s="90"/>
      <c r="G227" s="90"/>
      <c r="H227" s="90"/>
      <c r="I227" s="90"/>
      <c r="J227" s="90"/>
      <c r="K227" s="90"/>
      <c r="L227" s="90"/>
      <c r="M227" s="90"/>
      <c r="N227" s="90"/>
      <c r="O227" s="90"/>
      <c r="P227" s="90"/>
      <c r="Q227" s="90"/>
    </row>
    <row r="228" spans="1:17" ht="12.75" hidden="1" customHeight="1" x14ac:dyDescent="0.25">
      <c r="A228" s="89"/>
      <c r="E228" s="90"/>
      <c r="F228" s="90"/>
      <c r="G228" s="90"/>
      <c r="H228" s="90"/>
      <c r="I228" s="90"/>
      <c r="J228" s="90"/>
      <c r="K228" s="90"/>
      <c r="L228" s="90"/>
      <c r="M228" s="90"/>
      <c r="N228" s="90"/>
      <c r="O228" s="90"/>
      <c r="P228" s="90"/>
      <c r="Q228" s="90"/>
    </row>
    <row r="229" spans="1:17" ht="12.75" hidden="1" customHeight="1" x14ac:dyDescent="0.25">
      <c r="A229" s="89"/>
      <c r="E229" s="90"/>
      <c r="F229" s="90"/>
      <c r="G229" s="90"/>
      <c r="H229" s="90"/>
      <c r="I229" s="90"/>
      <c r="J229" s="90"/>
      <c r="K229" s="90"/>
      <c r="L229" s="90"/>
      <c r="M229" s="90"/>
      <c r="N229" s="90"/>
      <c r="O229" s="90"/>
      <c r="P229" s="90"/>
      <c r="Q229" s="90"/>
    </row>
    <row r="230" spans="1:17" ht="12.75" hidden="1" customHeight="1" x14ac:dyDescent="0.25">
      <c r="A230" s="89"/>
      <c r="E230" s="90"/>
      <c r="F230" s="90"/>
      <c r="G230" s="90"/>
      <c r="H230" s="90"/>
      <c r="I230" s="90"/>
      <c r="J230" s="90"/>
      <c r="K230" s="90"/>
      <c r="L230" s="90"/>
      <c r="M230" s="90"/>
      <c r="N230" s="90"/>
      <c r="O230" s="90"/>
      <c r="P230" s="90"/>
      <c r="Q230" s="90"/>
    </row>
    <row r="231" spans="1:17" ht="12.75" hidden="1" customHeight="1" x14ac:dyDescent="0.25">
      <c r="A231" s="89"/>
      <c r="E231" s="90"/>
      <c r="F231" s="90"/>
      <c r="G231" s="90"/>
      <c r="H231" s="90"/>
      <c r="I231" s="90"/>
      <c r="J231" s="90"/>
      <c r="K231" s="90"/>
      <c r="L231" s="90"/>
      <c r="M231" s="90"/>
      <c r="N231" s="90"/>
      <c r="O231" s="90"/>
      <c r="P231" s="90"/>
      <c r="Q231" s="90"/>
    </row>
    <row r="232" spans="1:17" ht="12.75" hidden="1" customHeight="1" x14ac:dyDescent="0.25">
      <c r="A232" s="89"/>
      <c r="E232" s="90"/>
      <c r="F232" s="90"/>
      <c r="G232" s="90"/>
      <c r="H232" s="90"/>
      <c r="I232" s="90"/>
      <c r="J232" s="90"/>
      <c r="K232" s="90"/>
      <c r="L232" s="90"/>
      <c r="M232" s="90"/>
      <c r="N232" s="90"/>
      <c r="O232" s="90"/>
      <c r="P232" s="90"/>
      <c r="Q232" s="90"/>
    </row>
    <row r="233" spans="1:17" ht="12.75" hidden="1" customHeight="1" x14ac:dyDescent="0.25">
      <c r="A233" s="89"/>
      <c r="E233" s="90"/>
      <c r="F233" s="90"/>
      <c r="G233" s="90"/>
      <c r="H233" s="90"/>
      <c r="I233" s="90"/>
      <c r="J233" s="90"/>
      <c r="K233" s="90"/>
      <c r="L233" s="90"/>
      <c r="M233" s="90"/>
      <c r="N233" s="90"/>
      <c r="O233" s="90"/>
      <c r="P233" s="90"/>
      <c r="Q233" s="90"/>
    </row>
    <row r="234" spans="1:17" ht="12.75" hidden="1" customHeight="1" x14ac:dyDescent="0.25">
      <c r="A234" s="89"/>
      <c r="E234" s="90"/>
      <c r="F234" s="90"/>
      <c r="G234" s="90"/>
      <c r="H234" s="90"/>
      <c r="I234" s="90"/>
      <c r="J234" s="90"/>
      <c r="K234" s="90"/>
      <c r="L234" s="90"/>
      <c r="M234" s="90"/>
      <c r="N234" s="90"/>
      <c r="O234" s="90"/>
      <c r="P234" s="90"/>
      <c r="Q234" s="90"/>
    </row>
    <row r="235" spans="1:17" ht="12.75" hidden="1" customHeight="1" x14ac:dyDescent="0.25">
      <c r="A235" s="89"/>
      <c r="E235" s="90"/>
      <c r="F235" s="90"/>
      <c r="G235" s="90"/>
      <c r="H235" s="90"/>
      <c r="I235" s="90"/>
      <c r="J235" s="90"/>
      <c r="K235" s="90"/>
      <c r="L235" s="90"/>
      <c r="M235" s="90"/>
      <c r="N235" s="90"/>
      <c r="O235" s="90"/>
      <c r="P235" s="90"/>
      <c r="Q235" s="90"/>
    </row>
    <row r="236" spans="1:17" ht="12.75" hidden="1" customHeight="1" x14ac:dyDescent="0.25">
      <c r="A236" s="89"/>
      <c r="E236" s="90"/>
      <c r="F236" s="90"/>
      <c r="G236" s="90"/>
      <c r="H236" s="90"/>
      <c r="I236" s="90"/>
      <c r="J236" s="90"/>
      <c r="K236" s="90"/>
      <c r="L236" s="90"/>
      <c r="M236" s="90"/>
      <c r="N236" s="90"/>
      <c r="O236" s="90"/>
      <c r="P236" s="90"/>
      <c r="Q236" s="90"/>
    </row>
    <row r="237" spans="1:17" ht="12.75" hidden="1" customHeight="1" x14ac:dyDescent="0.25">
      <c r="A237" s="89"/>
      <c r="E237" s="90"/>
      <c r="F237" s="90"/>
      <c r="G237" s="90"/>
      <c r="H237" s="90"/>
      <c r="I237" s="90"/>
      <c r="J237" s="90"/>
      <c r="K237" s="90"/>
      <c r="L237" s="90"/>
      <c r="M237" s="90"/>
      <c r="N237" s="90"/>
      <c r="O237" s="90"/>
      <c r="P237" s="90"/>
      <c r="Q237" s="90"/>
    </row>
    <row r="238" spans="1:17" ht="12.75" hidden="1" customHeight="1" x14ac:dyDescent="0.25">
      <c r="A238" s="89"/>
      <c r="E238" s="90"/>
      <c r="F238" s="90"/>
      <c r="G238" s="90"/>
      <c r="H238" s="90"/>
      <c r="I238" s="90"/>
      <c r="J238" s="90"/>
      <c r="K238" s="90"/>
      <c r="L238" s="90"/>
      <c r="M238" s="90"/>
      <c r="N238" s="90"/>
      <c r="O238" s="90"/>
      <c r="P238" s="90"/>
      <c r="Q238" s="90"/>
    </row>
    <row r="239" spans="1:17" ht="12.75" hidden="1" customHeight="1" x14ac:dyDescent="0.25">
      <c r="A239" s="89"/>
      <c r="E239" s="90"/>
      <c r="F239" s="90"/>
      <c r="G239" s="90"/>
      <c r="H239" s="90"/>
      <c r="I239" s="90"/>
      <c r="J239" s="90"/>
      <c r="K239" s="90"/>
      <c r="L239" s="90"/>
      <c r="M239" s="90"/>
      <c r="N239" s="90"/>
      <c r="O239" s="90"/>
      <c r="P239" s="90"/>
      <c r="Q239" s="90"/>
    </row>
    <row r="240" spans="1:17" ht="12.75" hidden="1" customHeight="1" x14ac:dyDescent="0.25">
      <c r="A240" s="89"/>
      <c r="E240" s="90"/>
      <c r="F240" s="90"/>
      <c r="G240" s="90"/>
      <c r="H240" s="90"/>
      <c r="I240" s="90"/>
      <c r="J240" s="90"/>
      <c r="K240" s="90"/>
      <c r="L240" s="90"/>
      <c r="M240" s="90"/>
      <c r="N240" s="90"/>
      <c r="O240" s="90"/>
      <c r="P240" s="90"/>
      <c r="Q240" s="90"/>
    </row>
    <row r="241" spans="1:18" ht="12.75" hidden="1" customHeight="1" x14ac:dyDescent="0.25">
      <c r="A241" s="89"/>
      <c r="E241" s="90"/>
      <c r="F241" s="90"/>
      <c r="G241" s="90"/>
      <c r="H241" s="90"/>
      <c r="I241" s="90"/>
      <c r="J241" s="90"/>
      <c r="K241" s="90"/>
      <c r="L241" s="90"/>
      <c r="M241" s="90"/>
      <c r="N241" s="90"/>
      <c r="O241" s="90"/>
      <c r="P241" s="90"/>
      <c r="Q241" s="90"/>
    </row>
    <row r="242" spans="1:18" ht="12.75" hidden="1" customHeight="1" x14ac:dyDescent="0.25">
      <c r="A242" s="89"/>
      <c r="E242" s="90"/>
      <c r="F242" s="90"/>
      <c r="G242" s="90"/>
      <c r="H242" s="90"/>
      <c r="I242" s="90"/>
      <c r="J242" s="90"/>
      <c r="K242" s="90"/>
      <c r="L242" s="90"/>
      <c r="M242" s="90"/>
      <c r="N242" s="90"/>
      <c r="O242" s="90"/>
      <c r="P242" s="90"/>
      <c r="Q242" s="90"/>
    </row>
    <row r="243" spans="1:18" ht="12.75" hidden="1" customHeight="1" x14ac:dyDescent="0.25">
      <c r="A243" s="89"/>
      <c r="E243" s="90"/>
      <c r="F243" s="90"/>
      <c r="G243" s="90"/>
      <c r="H243" s="90"/>
      <c r="I243" s="90"/>
      <c r="J243" s="90"/>
      <c r="K243" s="90"/>
      <c r="L243" s="90"/>
      <c r="M243" s="90"/>
      <c r="N243" s="90"/>
      <c r="O243" s="90"/>
      <c r="P243" s="90"/>
      <c r="Q243" s="90"/>
    </row>
    <row r="244" spans="1:18" ht="12.75" hidden="1" customHeight="1" x14ac:dyDescent="0.25">
      <c r="A244" s="89"/>
      <c r="E244" s="90"/>
      <c r="F244" s="90"/>
      <c r="G244" s="90"/>
      <c r="H244" s="90"/>
      <c r="I244" s="90"/>
      <c r="J244" s="90"/>
      <c r="K244" s="90"/>
      <c r="L244" s="90"/>
      <c r="M244" s="90"/>
      <c r="N244" s="90"/>
      <c r="O244" s="90"/>
      <c r="P244" s="90"/>
      <c r="Q244" s="90"/>
    </row>
    <row r="245" spans="1:18" ht="12.75" hidden="1" customHeight="1" x14ac:dyDescent="0.25">
      <c r="A245" s="89"/>
      <c r="E245" s="90"/>
      <c r="F245" s="90"/>
      <c r="G245" s="90"/>
      <c r="H245" s="90"/>
      <c r="I245" s="90"/>
      <c r="J245" s="90"/>
      <c r="K245" s="90"/>
      <c r="L245" s="90"/>
      <c r="M245" s="90"/>
      <c r="N245" s="90"/>
      <c r="O245" s="90"/>
      <c r="P245" s="90"/>
      <c r="Q245" s="90"/>
    </row>
    <row r="246" spans="1:18" ht="12.75" customHeight="1" x14ac:dyDescent="0.25">
      <c r="A246" s="89"/>
      <c r="E246" s="90"/>
      <c r="F246" s="90"/>
      <c r="G246" s="90"/>
      <c r="H246" s="90"/>
      <c r="I246" s="90"/>
      <c r="J246" s="90"/>
      <c r="K246" s="90"/>
      <c r="L246" s="90"/>
      <c r="M246" s="90"/>
      <c r="N246" s="90"/>
      <c r="O246" s="90"/>
      <c r="P246" s="90"/>
      <c r="Q246" s="90"/>
    </row>
    <row r="247" spans="1:18" ht="12.75" customHeight="1" x14ac:dyDescent="0.25">
      <c r="B247" s="766" t="s">
        <v>2</v>
      </c>
      <c r="C247" s="764" t="s">
        <v>132</v>
      </c>
      <c r="D247" s="98" t="s">
        <v>70</v>
      </c>
      <c r="E247" s="100">
        <f>E167+E178-K167</f>
        <v>31111803.75</v>
      </c>
      <c r="F247" s="100">
        <f>F167</f>
        <v>2080581.84</v>
      </c>
      <c r="G247" s="100">
        <f t="shared" ref="G247:R247" si="7">G167</f>
        <v>1197235.9099999999</v>
      </c>
      <c r="H247" s="100">
        <f t="shared" si="7"/>
        <v>507278.7</v>
      </c>
      <c r="I247" s="100">
        <f t="shared" si="7"/>
        <v>6892671.1900000004</v>
      </c>
      <c r="J247" s="100">
        <f t="shared" si="7"/>
        <v>265030.34000000003</v>
      </c>
      <c r="K247" s="100">
        <f t="shared" si="7"/>
        <v>0</v>
      </c>
      <c r="L247" s="100">
        <f t="shared" si="7"/>
        <v>2692006.63</v>
      </c>
      <c r="M247" s="100">
        <f t="shared" si="7"/>
        <v>2314780.5099999998</v>
      </c>
      <c r="N247" s="100">
        <f t="shared" si="7"/>
        <v>10535561.560000001</v>
      </c>
      <c r="O247" s="100">
        <f t="shared" si="7"/>
        <v>4977155.01</v>
      </c>
      <c r="P247" s="100">
        <f t="shared" si="7"/>
        <v>365457.45</v>
      </c>
      <c r="Q247" s="100">
        <f t="shared" si="7"/>
        <v>324.25</v>
      </c>
      <c r="R247" s="100">
        <f t="shared" si="7"/>
        <v>0</v>
      </c>
    </row>
    <row r="248" spans="1:18" ht="12.75" customHeight="1" x14ac:dyDescent="0.25">
      <c r="B248" s="766"/>
      <c r="C248" s="764"/>
      <c r="D248" s="98" t="s">
        <v>73</v>
      </c>
      <c r="E248" s="100">
        <f>E178</f>
        <v>-716279.64</v>
      </c>
      <c r="F248" s="90"/>
      <c r="G248" s="90"/>
      <c r="H248" s="90"/>
      <c r="I248" s="90"/>
      <c r="J248" s="90"/>
      <c r="K248" s="90"/>
      <c r="L248" s="90"/>
      <c r="M248" s="90"/>
      <c r="N248" s="90"/>
      <c r="O248" s="90"/>
      <c r="P248" s="90"/>
      <c r="Q248" s="90"/>
      <c r="R248" s="90"/>
    </row>
    <row r="249" spans="1:18" ht="12.75" customHeight="1" x14ac:dyDescent="0.3">
      <c r="A249" s="89"/>
      <c r="B249" s="97"/>
      <c r="E249" s="90"/>
      <c r="F249" s="90"/>
      <c r="G249" s="90"/>
      <c r="H249" s="90"/>
      <c r="I249" s="90"/>
      <c r="J249" s="90"/>
      <c r="K249" s="90"/>
      <c r="L249" s="90"/>
      <c r="M249" s="90"/>
      <c r="N249" s="90"/>
      <c r="O249" s="90"/>
      <c r="P249" s="90"/>
      <c r="Q249" s="90"/>
      <c r="R249" s="90"/>
    </row>
    <row r="250" spans="1:18" ht="12.75" customHeight="1" x14ac:dyDescent="0.25">
      <c r="B250" s="766" t="s">
        <v>160</v>
      </c>
      <c r="C250" s="764" t="s">
        <v>132</v>
      </c>
      <c r="D250" s="223" t="s">
        <v>70</v>
      </c>
      <c r="E250" s="225">
        <v>0</v>
      </c>
      <c r="F250" s="225">
        <v>0</v>
      </c>
      <c r="G250" s="225">
        <v>0</v>
      </c>
      <c r="H250" s="225">
        <v>0</v>
      </c>
      <c r="I250" s="225">
        <v>0</v>
      </c>
      <c r="J250" s="225">
        <v>0</v>
      </c>
      <c r="K250" s="225">
        <v>0</v>
      </c>
      <c r="L250" s="225">
        <v>0</v>
      </c>
      <c r="M250" s="225">
        <v>0</v>
      </c>
      <c r="N250" s="225">
        <v>0</v>
      </c>
      <c r="O250" s="225">
        <v>0</v>
      </c>
      <c r="P250" s="225">
        <v>0</v>
      </c>
      <c r="Q250" s="225">
        <v>0</v>
      </c>
      <c r="R250" s="225">
        <v>0</v>
      </c>
    </row>
    <row r="251" spans="1:18" ht="12.75" customHeight="1" x14ac:dyDescent="0.25">
      <c r="B251" s="766"/>
      <c r="C251" s="764"/>
      <c r="D251" s="223" t="s">
        <v>73</v>
      </c>
      <c r="E251" s="225">
        <v>0</v>
      </c>
      <c r="F251" s="90"/>
      <c r="G251" s="90"/>
      <c r="H251" s="90"/>
      <c r="I251" s="90"/>
      <c r="J251" s="90"/>
      <c r="K251" s="90"/>
      <c r="L251" s="90"/>
      <c r="M251" s="90"/>
      <c r="N251" s="90"/>
      <c r="O251" s="90"/>
      <c r="P251" s="90"/>
      <c r="Q251" s="90"/>
      <c r="R251" s="90"/>
    </row>
    <row r="252" spans="1:18" ht="12.75" customHeight="1" x14ac:dyDescent="0.3">
      <c r="A252" s="89"/>
      <c r="B252" s="97"/>
      <c r="E252" s="90"/>
      <c r="F252" s="90"/>
      <c r="G252" s="90"/>
      <c r="H252" s="90"/>
      <c r="I252" s="90"/>
      <c r="J252" s="90"/>
      <c r="K252" s="90"/>
      <c r="L252" s="90"/>
      <c r="M252" s="90"/>
      <c r="N252" s="90"/>
      <c r="O252" s="90"/>
      <c r="P252" s="90"/>
      <c r="Q252" s="90"/>
      <c r="R252" s="90"/>
    </row>
    <row r="253" spans="1:18" ht="12.75" customHeight="1" x14ac:dyDescent="0.25">
      <c r="B253" s="766" t="s">
        <v>155</v>
      </c>
      <c r="C253" s="764" t="s">
        <v>132</v>
      </c>
      <c r="D253" s="221" t="s">
        <v>70</v>
      </c>
      <c r="E253" s="222">
        <f>E170+E158-K158</f>
        <v>30434743.300000001</v>
      </c>
      <c r="F253" s="222">
        <f t="shared" ref="F253:R253" si="8">F158</f>
        <v>2030282.44</v>
      </c>
      <c r="G253" s="222">
        <f t="shared" si="8"/>
        <v>1168929.1000000001</v>
      </c>
      <c r="H253" s="222">
        <f t="shared" si="8"/>
        <v>494017.66</v>
      </c>
      <c r="I253" s="222">
        <f t="shared" si="8"/>
        <v>6734200.1200000001</v>
      </c>
      <c r="J253" s="222">
        <f t="shared" si="8"/>
        <v>259111.09</v>
      </c>
      <c r="K253" s="222">
        <f t="shared" si="8"/>
        <v>0</v>
      </c>
      <c r="L253" s="222">
        <f t="shared" si="8"/>
        <v>2636653.13</v>
      </c>
      <c r="M253" s="222">
        <f t="shared" si="8"/>
        <v>2267296.17</v>
      </c>
      <c r="N253" s="222">
        <f t="shared" si="8"/>
        <v>10309012.48</v>
      </c>
      <c r="O253" s="222">
        <f t="shared" si="8"/>
        <v>4860234.55</v>
      </c>
      <c r="P253" s="222">
        <f t="shared" si="8"/>
        <v>356485.83</v>
      </c>
      <c r="Q253" s="222">
        <f t="shared" si="8"/>
        <v>336.7</v>
      </c>
      <c r="R253" s="222">
        <f t="shared" si="8"/>
        <v>0</v>
      </c>
    </row>
    <row r="254" spans="1:18" ht="12.75" customHeight="1" x14ac:dyDescent="0.25">
      <c r="B254" s="766"/>
      <c r="C254" s="764"/>
      <c r="D254" s="221" t="s">
        <v>73</v>
      </c>
      <c r="E254" s="222">
        <f>E170</f>
        <v>-681815.97</v>
      </c>
      <c r="F254" s="90"/>
      <c r="G254" s="90"/>
      <c r="H254" s="90"/>
      <c r="I254" s="90"/>
      <c r="J254" s="90"/>
      <c r="K254" s="90"/>
      <c r="L254" s="90"/>
      <c r="M254" s="90"/>
      <c r="N254" s="90"/>
      <c r="O254" s="90"/>
      <c r="P254" s="90"/>
      <c r="Q254" s="90"/>
      <c r="R254" s="90"/>
    </row>
    <row r="255" spans="1:18" ht="12.75" customHeight="1" x14ac:dyDescent="0.25">
      <c r="B255" s="718"/>
      <c r="C255" s="220"/>
      <c r="D255" s="89"/>
      <c r="E255" s="90"/>
      <c r="F255" s="90"/>
      <c r="G255" s="90"/>
      <c r="H255" s="90"/>
      <c r="I255" s="90"/>
      <c r="J255" s="90"/>
      <c r="K255" s="90"/>
      <c r="L255" s="90"/>
      <c r="M255" s="90"/>
      <c r="N255" s="90"/>
      <c r="O255" s="90"/>
      <c r="P255" s="90"/>
      <c r="Q255" s="90"/>
      <c r="R255" s="90"/>
    </row>
    <row r="256" spans="1:18" ht="12.75" customHeight="1" x14ac:dyDescent="0.25">
      <c r="B256" s="767" t="s">
        <v>326</v>
      </c>
      <c r="C256" s="764" t="s">
        <v>132</v>
      </c>
      <c r="D256" s="376" t="s">
        <v>70</v>
      </c>
      <c r="E256" s="377">
        <v>0</v>
      </c>
      <c r="F256" s="377">
        <v>0</v>
      </c>
      <c r="G256" s="377">
        <v>0</v>
      </c>
      <c r="H256" s="377">
        <v>0</v>
      </c>
      <c r="I256" s="377">
        <v>0</v>
      </c>
      <c r="J256" s="377">
        <v>0</v>
      </c>
      <c r="K256" s="377">
        <v>0</v>
      </c>
      <c r="L256" s="377">
        <v>0</v>
      </c>
      <c r="M256" s="377">
        <v>0</v>
      </c>
      <c r="N256" s="377">
        <v>0</v>
      </c>
      <c r="O256" s="377">
        <v>0</v>
      </c>
      <c r="P256" s="377">
        <v>0</v>
      </c>
      <c r="Q256" s="377">
        <v>0</v>
      </c>
      <c r="R256" s="377">
        <v>0</v>
      </c>
    </row>
    <row r="257" spans="1:18" ht="12.75" customHeight="1" x14ac:dyDescent="0.25">
      <c r="B257" s="767"/>
      <c r="C257" s="764"/>
      <c r="D257" s="376" t="s">
        <v>73</v>
      </c>
      <c r="E257" s="377">
        <v>0</v>
      </c>
      <c r="F257" s="90"/>
      <c r="G257" s="90"/>
      <c r="H257" s="90"/>
      <c r="I257" s="90"/>
      <c r="J257" s="90"/>
      <c r="K257" s="90"/>
      <c r="L257" s="90"/>
      <c r="M257" s="90"/>
      <c r="N257" s="90"/>
      <c r="O257" s="90"/>
      <c r="P257" s="90"/>
      <c r="Q257" s="90"/>
      <c r="R257" s="90"/>
    </row>
    <row r="258" spans="1:18" ht="12.75" customHeight="1" x14ac:dyDescent="0.25">
      <c r="B258" s="718"/>
      <c r="C258" s="220"/>
      <c r="D258" s="89"/>
      <c r="E258" s="90"/>
      <c r="F258" s="90"/>
      <c r="G258" s="90"/>
      <c r="H258" s="90"/>
      <c r="I258" s="90"/>
      <c r="J258" s="90"/>
      <c r="K258" s="90"/>
      <c r="L258" s="90"/>
      <c r="M258" s="90"/>
      <c r="N258" s="90"/>
      <c r="O258" s="90"/>
      <c r="P258" s="90"/>
      <c r="Q258" s="90"/>
      <c r="R258" s="90"/>
    </row>
    <row r="259" spans="1:18" ht="12.75" customHeight="1" x14ac:dyDescent="0.25">
      <c r="B259" s="766" t="s">
        <v>119</v>
      </c>
      <c r="C259" s="764" t="s">
        <v>132</v>
      </c>
      <c r="D259" s="101" t="s">
        <v>70</v>
      </c>
      <c r="E259" s="93">
        <f>E166+E177-K166</f>
        <v>677060.45</v>
      </c>
      <c r="F259" s="93">
        <f t="shared" ref="F259:R259" si="9">F166</f>
        <v>50299.4</v>
      </c>
      <c r="G259" s="93">
        <f t="shared" si="9"/>
        <v>28306.81</v>
      </c>
      <c r="H259" s="93">
        <f t="shared" si="9"/>
        <v>13261.04</v>
      </c>
      <c r="I259" s="93">
        <f t="shared" si="9"/>
        <v>158471.07</v>
      </c>
      <c r="J259" s="93">
        <f t="shared" si="9"/>
        <v>5919.25</v>
      </c>
      <c r="K259" s="93">
        <f t="shared" si="9"/>
        <v>0</v>
      </c>
      <c r="L259" s="93">
        <f t="shared" si="9"/>
        <v>55353.5</v>
      </c>
      <c r="M259" s="93">
        <f t="shared" si="9"/>
        <v>47484.34</v>
      </c>
      <c r="N259" s="93">
        <f t="shared" si="9"/>
        <v>226549.08</v>
      </c>
      <c r="O259" s="93">
        <f t="shared" si="9"/>
        <v>116920.46</v>
      </c>
      <c r="P259" s="93">
        <f t="shared" si="9"/>
        <v>8971.6200000000008</v>
      </c>
      <c r="Q259" s="93">
        <f t="shared" si="9"/>
        <v>-12.45</v>
      </c>
      <c r="R259" s="93">
        <f t="shared" si="9"/>
        <v>0</v>
      </c>
    </row>
    <row r="260" spans="1:18" ht="12.75" customHeight="1" x14ac:dyDescent="0.25">
      <c r="B260" s="766"/>
      <c r="C260" s="764"/>
      <c r="D260" s="101" t="s">
        <v>73</v>
      </c>
      <c r="E260" s="93">
        <f>E177</f>
        <v>-34463.67</v>
      </c>
      <c r="F260" s="90"/>
      <c r="G260" s="90"/>
      <c r="H260" s="90"/>
      <c r="I260" s="90"/>
      <c r="J260" s="90"/>
      <c r="K260" s="90"/>
      <c r="L260" s="90"/>
      <c r="M260" s="90"/>
      <c r="N260" s="90"/>
      <c r="O260" s="90"/>
      <c r="P260" s="90"/>
      <c r="Q260" s="90"/>
      <c r="R260" s="90"/>
    </row>
    <row r="261" spans="1:18" ht="12.75" customHeight="1" x14ac:dyDescent="0.3">
      <c r="A261" s="89"/>
      <c r="B261" s="97"/>
      <c r="E261" s="90"/>
      <c r="F261" s="90"/>
      <c r="G261" s="90"/>
      <c r="H261" s="90"/>
      <c r="I261" s="90"/>
      <c r="J261" s="90"/>
      <c r="K261" s="90"/>
      <c r="L261" s="90"/>
      <c r="M261" s="90"/>
      <c r="N261" s="90"/>
      <c r="O261" s="90"/>
      <c r="P261" s="90"/>
      <c r="Q261" s="90"/>
      <c r="R261" s="90"/>
    </row>
    <row r="262" spans="1:18" ht="12.75" customHeight="1" x14ac:dyDescent="0.25">
      <c r="B262" s="765" t="s">
        <v>161</v>
      </c>
      <c r="C262" s="764" t="s">
        <v>132</v>
      </c>
      <c r="D262" s="231" t="s">
        <v>70</v>
      </c>
      <c r="E262" s="232">
        <v>0</v>
      </c>
      <c r="F262" s="232">
        <v>0</v>
      </c>
      <c r="G262" s="232">
        <v>0</v>
      </c>
      <c r="H262" s="232">
        <v>0</v>
      </c>
      <c r="I262" s="232">
        <v>0</v>
      </c>
      <c r="J262" s="232">
        <v>0</v>
      </c>
      <c r="K262" s="232">
        <v>0</v>
      </c>
      <c r="L262" s="232">
        <v>0</v>
      </c>
      <c r="M262" s="232">
        <v>0</v>
      </c>
      <c r="N262" s="232">
        <v>0</v>
      </c>
      <c r="O262" s="232">
        <v>0</v>
      </c>
      <c r="P262" s="232">
        <v>0</v>
      </c>
      <c r="Q262" s="232">
        <v>0</v>
      </c>
      <c r="R262" s="232">
        <v>0</v>
      </c>
    </row>
    <row r="263" spans="1:18" ht="12.75" customHeight="1" x14ac:dyDescent="0.25">
      <c r="B263" s="765"/>
      <c r="C263" s="764"/>
      <c r="D263" s="231" t="s">
        <v>73</v>
      </c>
      <c r="E263" s="232">
        <v>0</v>
      </c>
      <c r="F263" s="90"/>
      <c r="G263" s="90"/>
      <c r="H263" s="90"/>
      <c r="I263" s="90"/>
      <c r="J263" s="90"/>
      <c r="K263" s="90"/>
      <c r="L263" s="90"/>
      <c r="M263" s="90"/>
      <c r="N263" s="90"/>
      <c r="O263" s="90"/>
      <c r="P263" s="90"/>
      <c r="Q263" s="90"/>
      <c r="R263" s="90"/>
    </row>
    <row r="264" spans="1:18" s="238" customFormat="1" x14ac:dyDescent="0.25"/>
    <row r="265" spans="1:18" ht="15" customHeight="1" x14ac:dyDescent="0.3">
      <c r="B265" s="97" t="s">
        <v>88</v>
      </c>
    </row>
    <row r="266" spans="1:18" ht="12.65" customHeight="1" x14ac:dyDescent="0.25">
      <c r="E266" s="89" t="s">
        <v>70</v>
      </c>
      <c r="F266" s="89" t="s">
        <v>64</v>
      </c>
      <c r="G266" s="89" t="s">
        <v>65</v>
      </c>
      <c r="H266" s="219" t="s">
        <v>164</v>
      </c>
      <c r="I266" s="89" t="s">
        <v>69</v>
      </c>
      <c r="J266" s="89" t="s">
        <v>68</v>
      </c>
      <c r="K266" s="89" t="s">
        <v>83</v>
      </c>
      <c r="L266" s="89" t="s">
        <v>66</v>
      </c>
      <c r="M266" s="89" t="s">
        <v>63</v>
      </c>
      <c r="N266" s="89" t="s">
        <v>61</v>
      </c>
      <c r="O266" s="89" t="s">
        <v>62</v>
      </c>
      <c r="P266" s="89" t="s">
        <v>67</v>
      </c>
      <c r="Q266" s="89" t="s">
        <v>84</v>
      </c>
      <c r="R266" s="387" t="s">
        <v>226</v>
      </c>
    </row>
    <row r="267" spans="1:18" ht="12.75" customHeight="1" x14ac:dyDescent="0.25">
      <c r="D267" t="s">
        <v>72</v>
      </c>
      <c r="E267" s="387">
        <v>10688944.029999999</v>
      </c>
      <c r="F267" s="89">
        <v>690663.01</v>
      </c>
      <c r="G267" s="89">
        <v>399607.09</v>
      </c>
      <c r="H267" s="387">
        <v>177922.44</v>
      </c>
      <c r="I267" s="89">
        <v>1962809.1</v>
      </c>
      <c r="J267" s="89">
        <v>83986.03</v>
      </c>
      <c r="K267" s="89">
        <v>0</v>
      </c>
      <c r="L267" s="89">
        <v>866486.03</v>
      </c>
      <c r="M267" s="89">
        <v>740539.47</v>
      </c>
      <c r="N267" s="89">
        <v>3686387.82</v>
      </c>
      <c r="O267" s="89">
        <v>1961121.16</v>
      </c>
      <c r="P267" s="89">
        <v>119279.57</v>
      </c>
      <c r="Q267" s="89">
        <v>142.31</v>
      </c>
      <c r="R267" s="387">
        <v>0</v>
      </c>
    </row>
    <row r="268" spans="1:18" ht="12.75" customHeight="1" x14ac:dyDescent="0.25">
      <c r="D268" t="s">
        <v>81</v>
      </c>
      <c r="E268" s="387">
        <v>1045.4100000000001</v>
      </c>
      <c r="F268" s="89">
        <v>70.349999999999994</v>
      </c>
      <c r="G268" s="89">
        <v>40.06</v>
      </c>
      <c r="H268" s="387">
        <v>21.43</v>
      </c>
      <c r="I268" s="89">
        <v>216.71</v>
      </c>
      <c r="J268" s="89">
        <v>8.07</v>
      </c>
      <c r="K268" s="89">
        <v>0</v>
      </c>
      <c r="L268" s="89">
        <v>68.2</v>
      </c>
      <c r="M268" s="89">
        <v>69.510000000000005</v>
      </c>
      <c r="N268" s="89">
        <v>351.23</v>
      </c>
      <c r="O268" s="89">
        <v>186.73</v>
      </c>
      <c r="P268" s="89">
        <v>13.12</v>
      </c>
      <c r="Q268" s="89">
        <v>0</v>
      </c>
      <c r="R268">
        <v>0</v>
      </c>
    </row>
    <row r="269" spans="1:18" ht="12.75" customHeight="1" x14ac:dyDescent="0.25">
      <c r="C269" t="s">
        <v>156</v>
      </c>
      <c r="D269" t="s">
        <v>70</v>
      </c>
      <c r="E269" s="387">
        <v>10689989.439999999</v>
      </c>
      <c r="F269" s="89">
        <v>690733.36</v>
      </c>
      <c r="G269" s="89">
        <v>399647.15</v>
      </c>
      <c r="H269" s="387">
        <v>177943.87</v>
      </c>
      <c r="I269" s="89">
        <v>1963025.81</v>
      </c>
      <c r="J269" s="89">
        <v>83994.1</v>
      </c>
      <c r="K269" s="89">
        <v>0</v>
      </c>
      <c r="L269" s="89">
        <v>866554.23</v>
      </c>
      <c r="M269" s="89">
        <v>740608.98</v>
      </c>
      <c r="N269" s="89">
        <v>3686739.05</v>
      </c>
      <c r="O269" s="89">
        <v>1961307.89</v>
      </c>
      <c r="P269" s="89">
        <v>119292.69</v>
      </c>
      <c r="Q269" s="89">
        <v>142.31</v>
      </c>
      <c r="R269">
        <v>0</v>
      </c>
    </row>
    <row r="270" spans="1:18" s="237" customFormat="1" ht="12.75" customHeight="1" x14ac:dyDescent="0.25">
      <c r="B270" s="237" t="s">
        <v>155</v>
      </c>
      <c r="C270" s="237" t="s">
        <v>70</v>
      </c>
      <c r="D270" s="221"/>
      <c r="E270" s="559">
        <v>10689989.439999999</v>
      </c>
      <c r="F270" s="222">
        <v>690733.36</v>
      </c>
      <c r="G270" s="222">
        <v>399647.15</v>
      </c>
      <c r="H270" s="222">
        <v>177943.87</v>
      </c>
      <c r="I270" s="222">
        <v>1963025.81</v>
      </c>
      <c r="J270" s="222">
        <v>83994.1</v>
      </c>
      <c r="K270" s="222">
        <v>0</v>
      </c>
      <c r="L270" s="222">
        <v>866554.23</v>
      </c>
      <c r="M270" s="222">
        <v>740608.98</v>
      </c>
      <c r="N270" s="222">
        <v>3686739.05</v>
      </c>
      <c r="O270" s="222">
        <v>1961307.89</v>
      </c>
      <c r="P270" s="222">
        <v>119292.69</v>
      </c>
      <c r="Q270" s="222">
        <v>142.31</v>
      </c>
      <c r="R270" s="237">
        <v>0</v>
      </c>
    </row>
    <row r="271" spans="1:18" ht="12.75" customHeight="1" x14ac:dyDescent="0.25">
      <c r="B271" s="89"/>
      <c r="C271" s="89"/>
      <c r="D271" t="s">
        <v>72</v>
      </c>
      <c r="E271" s="374">
        <v>1630684.53</v>
      </c>
      <c r="F271" s="90">
        <v>114083.45</v>
      </c>
      <c r="G271" s="90">
        <v>61486.12</v>
      </c>
      <c r="H271" s="90">
        <v>25866.62</v>
      </c>
      <c r="I271" s="90">
        <v>352982.01</v>
      </c>
      <c r="J271" s="90">
        <v>12946.62</v>
      </c>
      <c r="K271" s="90">
        <v>0</v>
      </c>
      <c r="L271" s="90">
        <v>116578.1</v>
      </c>
      <c r="M271" s="90">
        <v>105314.68</v>
      </c>
      <c r="N271" s="90">
        <v>531979.05000000005</v>
      </c>
      <c r="O271" s="90">
        <v>291925.28000000003</v>
      </c>
      <c r="P271" s="90">
        <v>17518.91</v>
      </c>
      <c r="Q271" s="90">
        <v>3.69</v>
      </c>
      <c r="R271">
        <v>0</v>
      </c>
    </row>
    <row r="272" spans="1:18" ht="12.75" customHeight="1" x14ac:dyDescent="0.25">
      <c r="B272" s="89"/>
      <c r="C272" s="89"/>
      <c r="D272" t="s">
        <v>81</v>
      </c>
      <c r="E272" s="374">
        <v>128.47999999999999</v>
      </c>
      <c r="F272" s="90">
        <v>4.21</v>
      </c>
      <c r="G272" s="90">
        <v>2.3199999999999998</v>
      </c>
      <c r="H272" s="90">
        <v>1.26</v>
      </c>
      <c r="I272" s="90">
        <v>33.97</v>
      </c>
      <c r="J272" s="90">
        <v>1.08</v>
      </c>
      <c r="K272" s="90">
        <v>0</v>
      </c>
      <c r="L272" s="90">
        <v>9.56</v>
      </c>
      <c r="M272" s="90">
        <v>10.44</v>
      </c>
      <c r="N272" s="90">
        <v>52.63</v>
      </c>
      <c r="O272" s="90">
        <v>11.22</v>
      </c>
      <c r="P272" s="90">
        <v>1.79</v>
      </c>
      <c r="Q272" s="90">
        <v>0</v>
      </c>
      <c r="R272">
        <v>0</v>
      </c>
    </row>
    <row r="273" spans="1:18" ht="12.75" customHeight="1" x14ac:dyDescent="0.25">
      <c r="B273" s="89"/>
      <c r="C273" s="89" t="s">
        <v>115</v>
      </c>
      <c r="D273" t="s">
        <v>70</v>
      </c>
      <c r="E273" s="374">
        <v>1630813.01</v>
      </c>
      <c r="F273" s="90">
        <v>114087.66</v>
      </c>
      <c r="G273" s="90">
        <v>61488.44</v>
      </c>
      <c r="H273" s="90">
        <v>25867.88</v>
      </c>
      <c r="I273" s="90">
        <v>353015.98</v>
      </c>
      <c r="J273" s="90">
        <v>12947.7</v>
      </c>
      <c r="K273" s="90">
        <v>0</v>
      </c>
      <c r="L273" s="90">
        <v>116587.66</v>
      </c>
      <c r="M273" s="90">
        <v>105325.12</v>
      </c>
      <c r="N273" s="90">
        <v>532031.68000000005</v>
      </c>
      <c r="O273" s="90">
        <v>291936.5</v>
      </c>
      <c r="P273" s="90">
        <v>17520.7</v>
      </c>
      <c r="Q273" s="90">
        <v>3.69</v>
      </c>
      <c r="R273">
        <v>0</v>
      </c>
    </row>
    <row r="274" spans="1:18" ht="12.75" customHeight="1" x14ac:dyDescent="0.25">
      <c r="B274" s="89"/>
      <c r="C274" s="89"/>
      <c r="D274" t="s">
        <v>72</v>
      </c>
      <c r="E274" s="374">
        <v>139252.74</v>
      </c>
      <c r="F274" s="90">
        <v>10535.39</v>
      </c>
      <c r="G274" s="90">
        <v>5919.16</v>
      </c>
      <c r="H274" s="90">
        <v>3122.09</v>
      </c>
      <c r="I274" s="90">
        <v>37406.800000000003</v>
      </c>
      <c r="J274" s="90">
        <v>1486.64</v>
      </c>
      <c r="K274" s="90">
        <v>0</v>
      </c>
      <c r="L274" s="90">
        <v>16300.9</v>
      </c>
      <c r="M274" s="90">
        <v>12816.68</v>
      </c>
      <c r="N274" s="90">
        <v>39853.339999999997</v>
      </c>
      <c r="O274" s="90">
        <v>9385.32</v>
      </c>
      <c r="P274" s="90">
        <v>2425.56</v>
      </c>
      <c r="Q274" s="90">
        <v>0.86</v>
      </c>
      <c r="R274">
        <v>0</v>
      </c>
    </row>
    <row r="275" spans="1:18" ht="12.75" customHeight="1" x14ac:dyDescent="0.25">
      <c r="B275" s="89"/>
      <c r="C275" s="89" t="s">
        <v>116</v>
      </c>
      <c r="D275" t="s">
        <v>70</v>
      </c>
      <c r="E275" s="374">
        <v>139252.74</v>
      </c>
      <c r="F275" s="90">
        <v>10535.39</v>
      </c>
      <c r="G275" s="90">
        <v>5919.16</v>
      </c>
      <c r="H275" s="90">
        <v>3122.09</v>
      </c>
      <c r="I275" s="90">
        <v>37406.800000000003</v>
      </c>
      <c r="J275" s="90">
        <v>1486.64</v>
      </c>
      <c r="K275" s="90">
        <v>0</v>
      </c>
      <c r="L275" s="90">
        <v>16300.9</v>
      </c>
      <c r="M275" s="90">
        <v>12816.68</v>
      </c>
      <c r="N275" s="90">
        <v>39853.339999999997</v>
      </c>
      <c r="O275" s="90">
        <v>9385.32</v>
      </c>
      <c r="P275" s="90">
        <v>2425.56</v>
      </c>
      <c r="Q275" s="90">
        <v>0.86</v>
      </c>
      <c r="R275">
        <v>0</v>
      </c>
    </row>
    <row r="276" spans="1:18" ht="12.75" customHeight="1" x14ac:dyDescent="0.25">
      <c r="B276" s="89"/>
      <c r="C276" s="89"/>
      <c r="D276" t="s">
        <v>72</v>
      </c>
      <c r="E276" s="374">
        <v>3167273.99</v>
      </c>
      <c r="F276" s="90">
        <v>205212.1</v>
      </c>
      <c r="G276" s="90">
        <v>127767.46</v>
      </c>
      <c r="H276" s="90">
        <v>36332.879999999997</v>
      </c>
      <c r="I276" s="90">
        <v>837811.51</v>
      </c>
      <c r="J276" s="90">
        <v>29878.2</v>
      </c>
      <c r="K276" s="90">
        <v>0</v>
      </c>
      <c r="L276" s="90">
        <v>265406.69</v>
      </c>
      <c r="M276" s="90">
        <v>217415.56</v>
      </c>
      <c r="N276" s="90">
        <v>890738.34</v>
      </c>
      <c r="O276" s="90">
        <v>524402.30000000005</v>
      </c>
      <c r="P276" s="90">
        <v>32305.63</v>
      </c>
      <c r="Q276" s="90">
        <v>3.32</v>
      </c>
      <c r="R276">
        <v>0</v>
      </c>
    </row>
    <row r="277" spans="1:18" ht="12.75" customHeight="1" x14ac:dyDescent="0.25">
      <c r="B277" s="89"/>
      <c r="C277" s="89"/>
      <c r="D277" t="s">
        <v>81</v>
      </c>
      <c r="E277" s="374">
        <v>12.33</v>
      </c>
      <c r="F277" s="90">
        <v>0.6</v>
      </c>
      <c r="G277" s="90">
        <v>0.34</v>
      </c>
      <c r="H277" s="90">
        <v>0.17</v>
      </c>
      <c r="I277" s="90">
        <v>2.99</v>
      </c>
      <c r="J277" s="90">
        <v>0.11</v>
      </c>
      <c r="K277" s="90">
        <v>0</v>
      </c>
      <c r="L277" s="90">
        <v>0.92</v>
      </c>
      <c r="M277" s="90">
        <v>0.9</v>
      </c>
      <c r="N277" s="90">
        <v>4.57</v>
      </c>
      <c r="O277" s="90">
        <v>1.57</v>
      </c>
      <c r="P277" s="90">
        <v>0.16</v>
      </c>
      <c r="Q277" s="90">
        <v>0</v>
      </c>
      <c r="R277">
        <v>0</v>
      </c>
    </row>
    <row r="278" spans="1:18" ht="12.75" customHeight="1" x14ac:dyDescent="0.25">
      <c r="B278" s="89"/>
      <c r="C278" s="89" t="s">
        <v>118</v>
      </c>
      <c r="D278" t="s">
        <v>70</v>
      </c>
      <c r="E278" s="374">
        <v>3167286.32</v>
      </c>
      <c r="F278" s="90">
        <v>205212.7</v>
      </c>
      <c r="G278" s="90">
        <v>127767.8</v>
      </c>
      <c r="H278" s="90">
        <v>36333.050000000003</v>
      </c>
      <c r="I278" s="90">
        <v>837814.5</v>
      </c>
      <c r="J278" s="90">
        <v>29878.31</v>
      </c>
      <c r="K278" s="90">
        <v>0</v>
      </c>
      <c r="L278" s="90">
        <v>265407.61</v>
      </c>
      <c r="M278" s="90">
        <v>217416.46</v>
      </c>
      <c r="N278" s="90">
        <v>890742.91</v>
      </c>
      <c r="O278" s="90">
        <v>524403.87</v>
      </c>
      <c r="P278" s="90">
        <v>32305.79</v>
      </c>
      <c r="Q278" s="90">
        <v>3.32</v>
      </c>
      <c r="R278">
        <v>0</v>
      </c>
    </row>
    <row r="279" spans="1:18" s="224" customFormat="1" ht="12.75" customHeight="1" x14ac:dyDescent="0.25">
      <c r="B279" s="224" t="s">
        <v>120</v>
      </c>
      <c r="C279" s="223" t="s">
        <v>70</v>
      </c>
      <c r="D279" s="223"/>
      <c r="E279" s="225">
        <v>4937352.07</v>
      </c>
      <c r="F279" s="225">
        <v>329835.75</v>
      </c>
      <c r="G279" s="225">
        <v>195175.4</v>
      </c>
      <c r="H279" s="225">
        <v>65323.02</v>
      </c>
      <c r="I279" s="225">
        <v>1228237.28</v>
      </c>
      <c r="J279" s="225">
        <v>44312.65</v>
      </c>
      <c r="K279" s="225">
        <v>0</v>
      </c>
      <c r="L279" s="225">
        <v>398296.17</v>
      </c>
      <c r="M279" s="225">
        <v>335558.26</v>
      </c>
      <c r="N279" s="225">
        <v>1462627.93</v>
      </c>
      <c r="O279" s="225">
        <v>825725.69</v>
      </c>
      <c r="P279" s="225">
        <v>52252.05</v>
      </c>
      <c r="Q279" s="225">
        <v>7.87</v>
      </c>
      <c r="R279" s="224">
        <v>0</v>
      </c>
    </row>
    <row r="280" spans="1:18" ht="12.75" customHeight="1" x14ac:dyDescent="0.25">
      <c r="C280" s="89"/>
      <c r="D280" s="89" t="s">
        <v>72</v>
      </c>
      <c r="E280" s="374">
        <v>142181.96</v>
      </c>
      <c r="F280" s="90">
        <v>8159.15</v>
      </c>
      <c r="G280" s="90">
        <v>5607.03</v>
      </c>
      <c r="H280" s="90">
        <v>690.45</v>
      </c>
      <c r="I280" s="90">
        <v>49398.34</v>
      </c>
      <c r="J280" s="90">
        <v>1829.52</v>
      </c>
      <c r="K280" s="90">
        <v>0</v>
      </c>
      <c r="L280" s="90">
        <v>16682.88</v>
      </c>
      <c r="M280" s="90">
        <v>9330.49</v>
      </c>
      <c r="N280" s="90">
        <v>26416.58</v>
      </c>
      <c r="O280" s="90">
        <v>23462.66</v>
      </c>
      <c r="P280" s="90">
        <v>606.39</v>
      </c>
      <c r="Q280" s="90">
        <v>-1.53</v>
      </c>
      <c r="R280">
        <v>0</v>
      </c>
    </row>
    <row r="281" spans="1:18" ht="12.75" customHeight="1" x14ac:dyDescent="0.25">
      <c r="C281" s="89"/>
      <c r="D281" s="89" t="s">
        <v>81</v>
      </c>
      <c r="E281" s="374">
        <v>113.81</v>
      </c>
      <c r="F281" s="90">
        <v>10.93</v>
      </c>
      <c r="G281" s="90">
        <v>5.59</v>
      </c>
      <c r="H281" s="90">
        <v>3.08</v>
      </c>
      <c r="I281" s="90">
        <v>20.85</v>
      </c>
      <c r="J281" s="90">
        <v>0.63</v>
      </c>
      <c r="K281" s="90">
        <v>0</v>
      </c>
      <c r="L281" s="90">
        <v>5.53</v>
      </c>
      <c r="M281" s="90">
        <v>6.13</v>
      </c>
      <c r="N281" s="90">
        <v>30.69</v>
      </c>
      <c r="O281" s="90">
        <v>29.35</v>
      </c>
      <c r="P281" s="90">
        <v>1.03</v>
      </c>
      <c r="Q281" s="90">
        <v>0</v>
      </c>
      <c r="R281">
        <v>0</v>
      </c>
    </row>
    <row r="282" spans="1:18" ht="12.75" customHeight="1" x14ac:dyDescent="0.25">
      <c r="C282" s="89" t="s">
        <v>82</v>
      </c>
      <c r="D282" s="89" t="s">
        <v>70</v>
      </c>
      <c r="E282" s="374">
        <v>142295.76999999999</v>
      </c>
      <c r="F282" s="90">
        <v>8170.08</v>
      </c>
      <c r="G282" s="90">
        <v>5612.62</v>
      </c>
      <c r="H282" s="90">
        <v>693.53</v>
      </c>
      <c r="I282" s="90">
        <v>49419.19</v>
      </c>
      <c r="J282" s="90">
        <v>1830.15</v>
      </c>
      <c r="K282" s="90">
        <v>0</v>
      </c>
      <c r="L282" s="90">
        <v>16688.41</v>
      </c>
      <c r="M282" s="90">
        <v>9336.6200000000008</v>
      </c>
      <c r="N282" s="90">
        <v>26447.27</v>
      </c>
      <c r="O282" s="90">
        <v>23492.01</v>
      </c>
      <c r="P282" s="90">
        <v>607.41999999999996</v>
      </c>
      <c r="Q282" s="90">
        <v>-1.53</v>
      </c>
      <c r="R282">
        <v>0</v>
      </c>
    </row>
    <row r="283" spans="1:18" ht="12.75" customHeight="1" x14ac:dyDescent="0.25">
      <c r="C283" s="89"/>
      <c r="D283" s="89" t="s">
        <v>72</v>
      </c>
      <c r="E283" s="374">
        <v>1336712.76</v>
      </c>
      <c r="F283" s="90">
        <v>84052.79</v>
      </c>
      <c r="G283" s="90">
        <v>45848.58</v>
      </c>
      <c r="H283" s="90">
        <v>20099.12</v>
      </c>
      <c r="I283" s="90">
        <v>329190.53999999998</v>
      </c>
      <c r="J283" s="90">
        <v>11505.47</v>
      </c>
      <c r="K283" s="90">
        <v>0</v>
      </c>
      <c r="L283" s="90">
        <v>122039.42</v>
      </c>
      <c r="M283" s="90">
        <v>94603.81</v>
      </c>
      <c r="N283" s="90">
        <v>394970.03</v>
      </c>
      <c r="O283" s="90">
        <v>219114.54</v>
      </c>
      <c r="P283" s="90">
        <v>15286.2</v>
      </c>
      <c r="Q283" s="90">
        <v>2.2599999999999998</v>
      </c>
      <c r="R283">
        <v>0</v>
      </c>
    </row>
    <row r="284" spans="1:18" ht="12.75" customHeight="1" x14ac:dyDescent="0.25">
      <c r="C284" s="89"/>
      <c r="D284" s="89" t="s">
        <v>81</v>
      </c>
      <c r="E284" s="374">
        <v>277.60000000000002</v>
      </c>
      <c r="F284" s="90">
        <v>15.48</v>
      </c>
      <c r="G284" s="90">
        <v>8.32</v>
      </c>
      <c r="H284" s="90">
        <v>4.71</v>
      </c>
      <c r="I284" s="90">
        <v>61.54</v>
      </c>
      <c r="J284" s="90">
        <v>1.93</v>
      </c>
      <c r="K284" s="90">
        <v>0</v>
      </c>
      <c r="L284" s="90">
        <v>16.68</v>
      </c>
      <c r="M284" s="90">
        <v>19.66</v>
      </c>
      <c r="N284" s="90">
        <v>105.08</v>
      </c>
      <c r="O284" s="90">
        <v>41.04</v>
      </c>
      <c r="P284" s="90">
        <v>3.16</v>
      </c>
      <c r="Q284" s="90">
        <v>0</v>
      </c>
      <c r="R284">
        <v>0</v>
      </c>
    </row>
    <row r="285" spans="1:18" ht="12.75" customHeight="1" x14ac:dyDescent="0.25">
      <c r="C285" s="89" t="s">
        <v>86</v>
      </c>
      <c r="D285" s="89" t="s">
        <v>70</v>
      </c>
      <c r="E285" s="374">
        <v>1336990.3600000001</v>
      </c>
      <c r="F285" s="90">
        <v>84068.27</v>
      </c>
      <c r="G285" s="90">
        <v>45856.9</v>
      </c>
      <c r="H285" s="90">
        <v>20103.830000000002</v>
      </c>
      <c r="I285" s="90">
        <v>329252.08</v>
      </c>
      <c r="J285" s="90">
        <v>11507.4</v>
      </c>
      <c r="K285" s="90">
        <v>0</v>
      </c>
      <c r="L285" s="90">
        <v>122056.1</v>
      </c>
      <c r="M285" s="90">
        <v>94623.47</v>
      </c>
      <c r="N285" s="90">
        <v>395075.11</v>
      </c>
      <c r="O285" s="90">
        <v>219155.58</v>
      </c>
      <c r="P285" s="90">
        <v>15289.36</v>
      </c>
      <c r="Q285" s="90">
        <v>2.2599999999999998</v>
      </c>
      <c r="R285">
        <v>0</v>
      </c>
    </row>
    <row r="286" spans="1:18" ht="12.75" customHeight="1" x14ac:dyDescent="0.25">
      <c r="C286" s="89"/>
      <c r="D286" s="89" t="s">
        <v>72</v>
      </c>
      <c r="E286" s="374">
        <v>564435.71</v>
      </c>
      <c r="F286" s="90">
        <v>47376.44</v>
      </c>
      <c r="G286" s="90">
        <v>26751.37</v>
      </c>
      <c r="H286" s="90">
        <v>12436.26</v>
      </c>
      <c r="I286" s="90">
        <v>96082.27</v>
      </c>
      <c r="J286" s="90">
        <v>3640.85</v>
      </c>
      <c r="K286" s="90">
        <v>0</v>
      </c>
      <c r="L286" s="90">
        <v>54074.32</v>
      </c>
      <c r="M286" s="90">
        <v>35061.83</v>
      </c>
      <c r="N286" s="90">
        <v>169077.96</v>
      </c>
      <c r="O286" s="90">
        <v>113380.47</v>
      </c>
      <c r="P286" s="90">
        <v>6546.76</v>
      </c>
      <c r="Q286" s="90">
        <v>7.18</v>
      </c>
      <c r="R286">
        <v>0</v>
      </c>
    </row>
    <row r="287" spans="1:18" ht="12.75" customHeight="1" x14ac:dyDescent="0.25">
      <c r="C287" s="89"/>
      <c r="D287" s="89" t="s">
        <v>81</v>
      </c>
      <c r="E287" s="374">
        <v>28.72</v>
      </c>
      <c r="F287" s="90">
        <v>2.25</v>
      </c>
      <c r="G287" s="90">
        <v>1.27</v>
      </c>
      <c r="H287" s="90">
        <v>0.67</v>
      </c>
      <c r="I287" s="90">
        <v>5.29</v>
      </c>
      <c r="J287" s="90">
        <v>0.21</v>
      </c>
      <c r="K287" s="90">
        <v>0</v>
      </c>
      <c r="L287" s="90">
        <v>1.83</v>
      </c>
      <c r="M287" s="90">
        <v>1.78</v>
      </c>
      <c r="N287" s="90">
        <v>9.1300000000000008</v>
      </c>
      <c r="O287" s="90">
        <v>5.95</v>
      </c>
      <c r="P287" s="90">
        <v>0.34</v>
      </c>
      <c r="Q287" s="90">
        <v>0</v>
      </c>
      <c r="R287">
        <v>0</v>
      </c>
    </row>
    <row r="288" spans="1:18" ht="12.75" customHeight="1" x14ac:dyDescent="0.25">
      <c r="A288" s="89"/>
      <c r="B288" s="89"/>
      <c r="C288" t="s">
        <v>87</v>
      </c>
      <c r="D288" t="s">
        <v>70</v>
      </c>
      <c r="E288" s="90">
        <v>564464.43000000005</v>
      </c>
      <c r="F288" s="90">
        <v>47378.69</v>
      </c>
      <c r="G288" s="90">
        <v>26752.639999999999</v>
      </c>
      <c r="H288" s="90">
        <v>12436.93</v>
      </c>
      <c r="I288" s="90">
        <v>96087.56</v>
      </c>
      <c r="J288" s="90">
        <v>3641.06</v>
      </c>
      <c r="K288" s="90">
        <v>0</v>
      </c>
      <c r="L288" s="90">
        <v>54076.15</v>
      </c>
      <c r="M288" s="90">
        <v>35063.61</v>
      </c>
      <c r="N288" s="90">
        <v>169087.09</v>
      </c>
      <c r="O288" s="90">
        <v>113386.42</v>
      </c>
      <c r="P288" s="90">
        <v>6547.1</v>
      </c>
      <c r="Q288" s="90">
        <v>7.18</v>
      </c>
      <c r="R288">
        <v>0</v>
      </c>
    </row>
    <row r="289" spans="1:18" s="94" customFormat="1" ht="12.75" customHeight="1" x14ac:dyDescent="0.25">
      <c r="B289" s="101" t="s">
        <v>119</v>
      </c>
      <c r="C289" s="101" t="s">
        <v>70</v>
      </c>
      <c r="E289" s="93">
        <v>2043750.56</v>
      </c>
      <c r="F289" s="93">
        <v>139617.04</v>
      </c>
      <c r="G289" s="93">
        <v>78222.16</v>
      </c>
      <c r="H289" s="93">
        <v>33234.29</v>
      </c>
      <c r="I289" s="93">
        <v>474758.83</v>
      </c>
      <c r="J289" s="93">
        <v>16978.61</v>
      </c>
      <c r="K289" s="93">
        <v>0</v>
      </c>
      <c r="L289" s="93">
        <v>192820.66</v>
      </c>
      <c r="M289" s="93">
        <v>139023.70000000001</v>
      </c>
      <c r="N289" s="93">
        <v>590609.47</v>
      </c>
      <c r="O289" s="93">
        <v>356034.01</v>
      </c>
      <c r="P289" s="93">
        <v>22443.88</v>
      </c>
      <c r="Q289" s="93">
        <v>7.91</v>
      </c>
      <c r="R289" s="94">
        <v>0</v>
      </c>
    </row>
    <row r="290" spans="1:18" s="226" customFormat="1" ht="12.75" customHeight="1" x14ac:dyDescent="0.25">
      <c r="A290" s="98" t="s">
        <v>78</v>
      </c>
      <c r="B290" s="98" t="s">
        <v>70</v>
      </c>
      <c r="E290" s="100">
        <v>17671092.07</v>
      </c>
      <c r="F290" s="100">
        <v>1160186.1499999999</v>
      </c>
      <c r="G290" s="100">
        <v>673044.71</v>
      </c>
      <c r="H290" s="100">
        <v>276501.18</v>
      </c>
      <c r="I290" s="100">
        <v>3666021.92</v>
      </c>
      <c r="J290" s="100">
        <v>145285.35999999999</v>
      </c>
      <c r="K290" s="100">
        <v>0</v>
      </c>
      <c r="L290" s="100">
        <v>1457671.06</v>
      </c>
      <c r="M290" s="100">
        <v>1215190.94</v>
      </c>
      <c r="N290" s="100">
        <v>5739976.4500000002</v>
      </c>
      <c r="O290" s="100">
        <v>3143067.59</v>
      </c>
      <c r="P290" s="100">
        <v>193988.62</v>
      </c>
      <c r="Q290" s="100">
        <v>158.09</v>
      </c>
      <c r="R290" s="226">
        <v>0</v>
      </c>
    </row>
    <row r="291" spans="1:18" ht="12.75" customHeight="1" x14ac:dyDescent="0.25">
      <c r="B291" s="89"/>
      <c r="C291" s="89"/>
      <c r="D291" t="s">
        <v>73</v>
      </c>
      <c r="E291" s="374">
        <v>-260134.03</v>
      </c>
      <c r="F291" s="90">
        <v>28014</v>
      </c>
      <c r="G291" s="90">
        <v>13267.63</v>
      </c>
      <c r="H291" s="90">
        <v>4767.93</v>
      </c>
      <c r="I291" s="90">
        <v>-144966.87</v>
      </c>
      <c r="J291" s="90">
        <v>-5457.31</v>
      </c>
      <c r="K291" s="90">
        <v>0</v>
      </c>
      <c r="L291" s="90">
        <v>-41573.06</v>
      </c>
      <c r="M291" s="90">
        <v>-41918.980000000003</v>
      </c>
      <c r="N291" s="90">
        <v>-179794.61</v>
      </c>
      <c r="O291" s="90">
        <v>113826.48</v>
      </c>
      <c r="P291" s="90">
        <v>-6299.24</v>
      </c>
      <c r="Q291" s="90">
        <v>0</v>
      </c>
      <c r="R291">
        <v>0</v>
      </c>
    </row>
    <row r="292" spans="1:18" ht="12.75" customHeight="1" x14ac:dyDescent="0.25">
      <c r="B292" s="89"/>
      <c r="C292" s="89" t="s">
        <v>156</v>
      </c>
      <c r="D292" t="s">
        <v>70</v>
      </c>
      <c r="E292" s="374">
        <v>-260134.03</v>
      </c>
      <c r="F292" s="90">
        <v>28014</v>
      </c>
      <c r="G292" s="90">
        <v>13267.63</v>
      </c>
      <c r="H292" s="90">
        <v>4767.93</v>
      </c>
      <c r="I292" s="90">
        <v>-144966.87</v>
      </c>
      <c r="J292" s="90">
        <v>-5457.31</v>
      </c>
      <c r="K292" s="90">
        <v>0</v>
      </c>
      <c r="L292" s="90">
        <v>-41573.06</v>
      </c>
      <c r="M292" s="90">
        <v>-41918.980000000003</v>
      </c>
      <c r="N292" s="90">
        <v>-179794.61</v>
      </c>
      <c r="O292" s="90">
        <v>113826.48</v>
      </c>
      <c r="P292" s="90">
        <v>-6299.24</v>
      </c>
      <c r="Q292" s="90">
        <v>0</v>
      </c>
      <c r="R292">
        <v>0</v>
      </c>
    </row>
    <row r="293" spans="1:18" s="237" customFormat="1" ht="12.75" customHeight="1" x14ac:dyDescent="0.25">
      <c r="B293" s="237" t="s">
        <v>155</v>
      </c>
      <c r="C293" s="237" t="s">
        <v>70</v>
      </c>
      <c r="D293" s="221"/>
      <c r="E293" s="559">
        <v>-260134.03</v>
      </c>
      <c r="F293" s="222">
        <v>28014</v>
      </c>
      <c r="G293" s="222">
        <v>13267.63</v>
      </c>
      <c r="H293" s="222">
        <v>4767.93</v>
      </c>
      <c r="I293" s="222">
        <v>-144966.87</v>
      </c>
      <c r="J293" s="222">
        <v>-5457.31</v>
      </c>
      <c r="K293" s="222">
        <v>0</v>
      </c>
      <c r="L293" s="222">
        <v>-41573.06</v>
      </c>
      <c r="M293" s="222">
        <v>-41918.980000000003</v>
      </c>
      <c r="N293" s="222">
        <v>-179794.61</v>
      </c>
      <c r="O293" s="222">
        <v>113826.48</v>
      </c>
      <c r="P293" s="222">
        <v>-6299.24</v>
      </c>
      <c r="Q293" s="222">
        <v>0</v>
      </c>
      <c r="R293" s="237">
        <v>0</v>
      </c>
    </row>
    <row r="294" spans="1:18" ht="12.75" customHeight="1" x14ac:dyDescent="0.25">
      <c r="B294" s="89"/>
      <c r="C294" s="89"/>
      <c r="D294" t="s">
        <v>73</v>
      </c>
      <c r="E294" s="374">
        <v>119391.31</v>
      </c>
      <c r="F294" s="90">
        <v>14612.65</v>
      </c>
      <c r="G294" s="90">
        <v>6907.88</v>
      </c>
      <c r="H294" s="90">
        <v>2966.41</v>
      </c>
      <c r="I294" s="90">
        <v>14670.55</v>
      </c>
      <c r="J294" s="90">
        <v>397.15</v>
      </c>
      <c r="K294" s="90">
        <v>0</v>
      </c>
      <c r="L294" s="90">
        <v>5114.1099999999997</v>
      </c>
      <c r="M294" s="90">
        <v>6442.6</v>
      </c>
      <c r="N294" s="90">
        <v>35583.910000000003</v>
      </c>
      <c r="O294" s="90">
        <v>31744.799999999999</v>
      </c>
      <c r="P294" s="90">
        <v>951.25</v>
      </c>
      <c r="Q294" s="90">
        <v>0</v>
      </c>
      <c r="R294">
        <v>0</v>
      </c>
    </row>
    <row r="295" spans="1:18" ht="12.75" customHeight="1" x14ac:dyDescent="0.25">
      <c r="B295" s="89"/>
      <c r="C295" s="89" t="s">
        <v>115</v>
      </c>
      <c r="D295" t="s">
        <v>70</v>
      </c>
      <c r="E295" s="374">
        <v>119391.31</v>
      </c>
      <c r="F295" s="90">
        <v>14612.65</v>
      </c>
      <c r="G295" s="90">
        <v>6907.88</v>
      </c>
      <c r="H295" s="90">
        <v>2966.41</v>
      </c>
      <c r="I295" s="90">
        <v>14670.55</v>
      </c>
      <c r="J295" s="90">
        <v>397.15</v>
      </c>
      <c r="K295" s="90">
        <v>0</v>
      </c>
      <c r="L295" s="90">
        <v>5114.1099999999997</v>
      </c>
      <c r="M295" s="90">
        <v>6442.6</v>
      </c>
      <c r="N295" s="90">
        <v>35583.910000000003</v>
      </c>
      <c r="O295" s="90">
        <v>31744.799999999999</v>
      </c>
      <c r="P295" s="90">
        <v>951.25</v>
      </c>
      <c r="Q295" s="90">
        <v>0</v>
      </c>
      <c r="R295">
        <v>0</v>
      </c>
    </row>
    <row r="296" spans="1:18" ht="12.75" customHeight="1" x14ac:dyDescent="0.25">
      <c r="B296" s="89"/>
      <c r="C296" s="89"/>
      <c r="D296" t="s">
        <v>73</v>
      </c>
      <c r="E296" s="374">
        <v>-12397.73</v>
      </c>
      <c r="F296" s="90">
        <v>-531.85</v>
      </c>
      <c r="G296" s="90">
        <v>-300.29000000000002</v>
      </c>
      <c r="H296" s="90">
        <v>-157.61000000000001</v>
      </c>
      <c r="I296" s="90">
        <v>-2805.52</v>
      </c>
      <c r="J296" s="90">
        <v>-111.5</v>
      </c>
      <c r="K296" s="90">
        <v>0</v>
      </c>
      <c r="L296" s="90">
        <v>-978.06</v>
      </c>
      <c r="M296" s="90">
        <v>-961.26</v>
      </c>
      <c r="N296" s="90">
        <v>-4961.92</v>
      </c>
      <c r="O296" s="90">
        <v>-1407.8</v>
      </c>
      <c r="P296" s="90">
        <v>-181.92</v>
      </c>
      <c r="Q296" s="90">
        <v>0</v>
      </c>
      <c r="R296">
        <v>0</v>
      </c>
    </row>
    <row r="297" spans="1:18" ht="12.75" customHeight="1" x14ac:dyDescent="0.25">
      <c r="B297" s="89"/>
      <c r="C297" s="89" t="s">
        <v>116</v>
      </c>
      <c r="D297" t="s">
        <v>70</v>
      </c>
      <c r="E297" s="374">
        <v>-12397.73</v>
      </c>
      <c r="F297" s="90">
        <v>-531.85</v>
      </c>
      <c r="G297" s="90">
        <v>-300.29000000000002</v>
      </c>
      <c r="H297" s="90">
        <v>-157.61000000000001</v>
      </c>
      <c r="I297" s="90">
        <v>-2805.52</v>
      </c>
      <c r="J297" s="90">
        <v>-111.5</v>
      </c>
      <c r="K297" s="90">
        <v>0</v>
      </c>
      <c r="L297" s="90">
        <v>-978.06</v>
      </c>
      <c r="M297" s="90">
        <v>-961.26</v>
      </c>
      <c r="N297" s="90">
        <v>-4961.92</v>
      </c>
      <c r="O297" s="90">
        <v>-1407.8</v>
      </c>
      <c r="P297" s="90">
        <v>-181.92</v>
      </c>
      <c r="Q297" s="90">
        <v>0</v>
      </c>
      <c r="R297">
        <v>0</v>
      </c>
    </row>
    <row r="298" spans="1:18" ht="12.75" customHeight="1" x14ac:dyDescent="0.25">
      <c r="B298" s="89"/>
      <c r="C298" s="89"/>
      <c r="D298" t="s">
        <v>73</v>
      </c>
      <c r="E298" s="374">
        <v>-239517.39</v>
      </c>
      <c r="F298" s="90">
        <v>4594.87</v>
      </c>
      <c r="G298" s="90">
        <v>2592.46</v>
      </c>
      <c r="H298" s="90">
        <v>279.85000000000002</v>
      </c>
      <c r="I298" s="90">
        <v>-72722.8</v>
      </c>
      <c r="J298" s="90">
        <v>-2958.53</v>
      </c>
      <c r="K298" s="90">
        <v>0</v>
      </c>
      <c r="L298" s="90">
        <v>-24321.119999999999</v>
      </c>
      <c r="M298" s="90">
        <v>-23916.81</v>
      </c>
      <c r="N298" s="90">
        <v>-123882.83</v>
      </c>
      <c r="O298" s="90">
        <v>5341.3</v>
      </c>
      <c r="P298" s="90">
        <v>-4523.78</v>
      </c>
      <c r="Q298" s="90">
        <v>0</v>
      </c>
      <c r="R298">
        <v>0</v>
      </c>
    </row>
    <row r="299" spans="1:18" ht="12.75" customHeight="1" x14ac:dyDescent="0.25">
      <c r="B299" s="89"/>
      <c r="C299" s="89" t="s">
        <v>118</v>
      </c>
      <c r="D299" t="s">
        <v>70</v>
      </c>
      <c r="E299" s="374">
        <v>-239517.39</v>
      </c>
      <c r="F299" s="90">
        <v>4594.87</v>
      </c>
      <c r="G299" s="90">
        <v>2592.46</v>
      </c>
      <c r="H299" s="90">
        <v>279.85000000000002</v>
      </c>
      <c r="I299" s="90">
        <v>-72722.8</v>
      </c>
      <c r="J299" s="90">
        <v>-2958.53</v>
      </c>
      <c r="K299" s="90">
        <v>0</v>
      </c>
      <c r="L299" s="90">
        <v>-24321.119999999999</v>
      </c>
      <c r="M299" s="90">
        <v>-23916.81</v>
      </c>
      <c r="N299" s="90">
        <v>-123882.83</v>
      </c>
      <c r="O299" s="90">
        <v>5341.3</v>
      </c>
      <c r="P299" s="90">
        <v>-4523.78</v>
      </c>
      <c r="Q299" s="90">
        <v>0</v>
      </c>
      <c r="R299">
        <v>0</v>
      </c>
    </row>
    <row r="300" spans="1:18" s="224" customFormat="1" ht="12.75" customHeight="1" x14ac:dyDescent="0.25">
      <c r="B300" s="224" t="s">
        <v>120</v>
      </c>
      <c r="C300" s="224" t="s">
        <v>70</v>
      </c>
      <c r="D300" s="223"/>
      <c r="E300" s="225">
        <v>-132523.81</v>
      </c>
      <c r="F300" s="225">
        <v>18675.669999999998</v>
      </c>
      <c r="G300" s="225">
        <v>9200.0499999999993</v>
      </c>
      <c r="H300" s="225">
        <v>3088.65</v>
      </c>
      <c r="I300" s="225">
        <v>-60857.77</v>
      </c>
      <c r="J300" s="225">
        <v>-2672.88</v>
      </c>
      <c r="K300" s="225">
        <v>0</v>
      </c>
      <c r="L300" s="225">
        <v>-20185.07</v>
      </c>
      <c r="M300" s="225">
        <v>-18435.47</v>
      </c>
      <c r="N300" s="225">
        <v>-93260.84</v>
      </c>
      <c r="O300" s="225">
        <v>35678.300000000003</v>
      </c>
      <c r="P300" s="225">
        <v>-3754.45</v>
      </c>
      <c r="Q300" s="225">
        <v>0</v>
      </c>
      <c r="R300" s="224">
        <v>0</v>
      </c>
    </row>
    <row r="301" spans="1:18" ht="12.75" customHeight="1" x14ac:dyDescent="0.25">
      <c r="D301" s="89" t="s">
        <v>73</v>
      </c>
      <c r="E301" s="374">
        <v>-38134.04</v>
      </c>
      <c r="F301" s="90">
        <v>-1799.84</v>
      </c>
      <c r="G301" s="90">
        <v>-1016.2</v>
      </c>
      <c r="H301" s="90">
        <v>-533.38</v>
      </c>
      <c r="I301" s="90">
        <v>-8812.52</v>
      </c>
      <c r="J301" s="90">
        <v>-330.18</v>
      </c>
      <c r="K301" s="90">
        <v>0</v>
      </c>
      <c r="L301" s="90">
        <v>-2896.32</v>
      </c>
      <c r="M301" s="90">
        <v>-2827.36</v>
      </c>
      <c r="N301" s="90">
        <v>-14614.94</v>
      </c>
      <c r="O301" s="90">
        <v>-4764.58</v>
      </c>
      <c r="P301" s="90">
        <v>-538.72</v>
      </c>
      <c r="Q301" s="90">
        <v>0</v>
      </c>
      <c r="R301">
        <v>0</v>
      </c>
    </row>
    <row r="302" spans="1:18" ht="12.75" customHeight="1" x14ac:dyDescent="0.25">
      <c r="C302" t="s">
        <v>82</v>
      </c>
      <c r="D302" s="89" t="s">
        <v>70</v>
      </c>
      <c r="E302" s="374">
        <v>-38134.04</v>
      </c>
      <c r="F302" s="90">
        <v>-1799.84</v>
      </c>
      <c r="G302" s="90">
        <v>-1016.2</v>
      </c>
      <c r="H302" s="90">
        <v>-533.38</v>
      </c>
      <c r="I302" s="90">
        <v>-8812.52</v>
      </c>
      <c r="J302" s="90">
        <v>-330.18</v>
      </c>
      <c r="K302" s="90">
        <v>0</v>
      </c>
      <c r="L302" s="90">
        <v>-2896.32</v>
      </c>
      <c r="M302" s="90">
        <v>-2827.36</v>
      </c>
      <c r="N302" s="90">
        <v>-14614.94</v>
      </c>
      <c r="O302" s="90">
        <v>-4764.58</v>
      </c>
      <c r="P302" s="90">
        <v>-538.72</v>
      </c>
      <c r="Q302" s="90">
        <v>0</v>
      </c>
      <c r="R302">
        <v>0</v>
      </c>
    </row>
    <row r="303" spans="1:18" ht="12.75" customHeight="1" x14ac:dyDescent="0.25">
      <c r="D303" s="89" t="s">
        <v>73</v>
      </c>
      <c r="E303" s="374">
        <v>-149380.85</v>
      </c>
      <c r="F303" s="90">
        <v>-4297.38</v>
      </c>
      <c r="G303" s="90">
        <v>-2414.64</v>
      </c>
      <c r="H303" s="90">
        <v>-1331.62</v>
      </c>
      <c r="I303" s="90">
        <v>-43065.08</v>
      </c>
      <c r="J303" s="90">
        <v>-1476.98</v>
      </c>
      <c r="K303" s="90">
        <v>0</v>
      </c>
      <c r="L303" s="90">
        <v>-11325.81</v>
      </c>
      <c r="M303" s="90">
        <v>-11671.79</v>
      </c>
      <c r="N303" s="90">
        <v>-59861.94</v>
      </c>
      <c r="O303" s="90">
        <v>-11525.8</v>
      </c>
      <c r="P303" s="90">
        <v>-2409.81</v>
      </c>
      <c r="Q303" s="90">
        <v>0</v>
      </c>
      <c r="R303">
        <v>0</v>
      </c>
    </row>
    <row r="304" spans="1:18" ht="12.75" customHeight="1" x14ac:dyDescent="0.25">
      <c r="C304" t="s">
        <v>86</v>
      </c>
      <c r="D304" s="89" t="s">
        <v>70</v>
      </c>
      <c r="E304" s="374">
        <v>-149380.85</v>
      </c>
      <c r="F304" s="90">
        <v>-4297.38</v>
      </c>
      <c r="G304" s="90">
        <v>-2414.64</v>
      </c>
      <c r="H304" s="90">
        <v>-1331.62</v>
      </c>
      <c r="I304" s="90">
        <v>-43065.08</v>
      </c>
      <c r="J304" s="90">
        <v>-1476.98</v>
      </c>
      <c r="K304" s="90">
        <v>0</v>
      </c>
      <c r="L304" s="90">
        <v>-11325.81</v>
      </c>
      <c r="M304" s="90">
        <v>-11671.79</v>
      </c>
      <c r="N304" s="90">
        <v>-59861.94</v>
      </c>
      <c r="O304" s="90">
        <v>-11525.8</v>
      </c>
      <c r="P304" s="90">
        <v>-2409.81</v>
      </c>
      <c r="Q304" s="90">
        <v>0</v>
      </c>
      <c r="R304">
        <v>0</v>
      </c>
    </row>
    <row r="305" spans="1:18" ht="12.75" customHeight="1" x14ac:dyDescent="0.25">
      <c r="C305" s="89"/>
      <c r="D305" s="89" t="s">
        <v>73</v>
      </c>
      <c r="E305" s="90">
        <v>145080.99</v>
      </c>
      <c r="F305" s="90">
        <v>11106.63</v>
      </c>
      <c r="G305" s="90">
        <v>6270.83</v>
      </c>
      <c r="H305" s="90">
        <v>3291.37</v>
      </c>
      <c r="I305" s="90">
        <v>26883.33</v>
      </c>
      <c r="J305" s="90">
        <v>1056.71</v>
      </c>
      <c r="K305" s="90">
        <v>0</v>
      </c>
      <c r="L305" s="90">
        <v>9269.43</v>
      </c>
      <c r="M305" s="90">
        <v>9099.02</v>
      </c>
      <c r="N305" s="90">
        <v>46980.3</v>
      </c>
      <c r="O305" s="90">
        <v>29399.24</v>
      </c>
      <c r="P305" s="90">
        <v>1724.13</v>
      </c>
      <c r="Q305" s="90">
        <v>0</v>
      </c>
      <c r="R305">
        <v>0</v>
      </c>
    </row>
    <row r="306" spans="1:18" ht="12.75" customHeight="1" x14ac:dyDescent="0.25">
      <c r="B306" s="89"/>
      <c r="C306" s="89" t="s">
        <v>87</v>
      </c>
      <c r="D306" t="s">
        <v>70</v>
      </c>
      <c r="E306" s="90">
        <v>145080.99</v>
      </c>
      <c r="F306" s="90">
        <v>11106.63</v>
      </c>
      <c r="G306" s="90">
        <v>6270.83</v>
      </c>
      <c r="H306" s="90">
        <v>3291.37</v>
      </c>
      <c r="I306" s="90">
        <v>26883.33</v>
      </c>
      <c r="J306" s="90">
        <v>1056.71</v>
      </c>
      <c r="K306" s="90">
        <v>0</v>
      </c>
      <c r="L306" s="90">
        <v>9269.43</v>
      </c>
      <c r="M306" s="90">
        <v>9099.02</v>
      </c>
      <c r="N306" s="90">
        <v>46980.3</v>
      </c>
      <c r="O306" s="90">
        <v>29399.24</v>
      </c>
      <c r="P306" s="90">
        <v>1724.13</v>
      </c>
      <c r="Q306" s="90">
        <v>0</v>
      </c>
      <c r="R306">
        <v>0</v>
      </c>
    </row>
    <row r="307" spans="1:18" s="94" customFormat="1" ht="12.75" customHeight="1" x14ac:dyDescent="0.25">
      <c r="B307" s="101" t="s">
        <v>119</v>
      </c>
      <c r="C307" s="101" t="s">
        <v>70</v>
      </c>
      <c r="E307" s="93">
        <v>-42433.9</v>
      </c>
      <c r="F307" s="93">
        <v>5009.41</v>
      </c>
      <c r="G307" s="93">
        <v>2839.99</v>
      </c>
      <c r="H307" s="93">
        <v>1426.37</v>
      </c>
      <c r="I307" s="93">
        <v>-24994.27</v>
      </c>
      <c r="J307" s="93">
        <v>-750.45</v>
      </c>
      <c r="K307" s="93">
        <v>0</v>
      </c>
      <c r="L307" s="93">
        <v>-4952.7</v>
      </c>
      <c r="M307" s="93">
        <v>-5400.13</v>
      </c>
      <c r="N307" s="93">
        <v>-27496.58</v>
      </c>
      <c r="O307" s="93">
        <v>13108.86</v>
      </c>
      <c r="P307" s="93">
        <v>-1224.4000000000001</v>
      </c>
      <c r="Q307" s="93">
        <v>0</v>
      </c>
      <c r="R307" s="94">
        <v>0</v>
      </c>
    </row>
    <row r="308" spans="1:18" s="226" customFormat="1" ht="12.75" customHeight="1" x14ac:dyDescent="0.25">
      <c r="A308" s="98" t="s">
        <v>79</v>
      </c>
      <c r="B308" s="98" t="s">
        <v>70</v>
      </c>
      <c r="E308" s="100">
        <v>-435091.74</v>
      </c>
      <c r="F308" s="100">
        <v>51699.08</v>
      </c>
      <c r="G308" s="100">
        <v>25307.67</v>
      </c>
      <c r="H308" s="100">
        <v>9282.9500000000007</v>
      </c>
      <c r="I308" s="100">
        <v>-230818.91</v>
      </c>
      <c r="J308" s="100">
        <v>-8880.64</v>
      </c>
      <c r="K308" s="100">
        <v>0</v>
      </c>
      <c r="L308" s="100">
        <v>-66710.83</v>
      </c>
      <c r="M308" s="100">
        <v>-65754.58</v>
      </c>
      <c r="N308" s="100">
        <v>-300552.03000000003</v>
      </c>
      <c r="O308" s="100">
        <v>162613.64000000001</v>
      </c>
      <c r="P308" s="100">
        <v>-11278.09</v>
      </c>
      <c r="Q308" s="100">
        <v>0</v>
      </c>
      <c r="R308" s="226">
        <v>0</v>
      </c>
    </row>
    <row r="309" spans="1:18" ht="12.75" customHeight="1" x14ac:dyDescent="0.25">
      <c r="A309" s="89" t="s">
        <v>70</v>
      </c>
      <c r="E309" s="90">
        <v>17236000.329999998</v>
      </c>
      <c r="F309" s="90">
        <v>1211885.23</v>
      </c>
      <c r="G309" s="90">
        <v>698352.38</v>
      </c>
      <c r="H309" s="90">
        <v>285784.13</v>
      </c>
      <c r="I309" s="90">
        <v>3435203.01</v>
      </c>
      <c r="J309" s="90">
        <v>136404.72</v>
      </c>
      <c r="K309" s="90">
        <v>0</v>
      </c>
      <c r="L309" s="90">
        <v>1390960.23</v>
      </c>
      <c r="M309" s="90">
        <v>1149436.3600000001</v>
      </c>
      <c r="N309" s="90">
        <v>5439424.4199999999</v>
      </c>
      <c r="O309" s="90">
        <v>3305681.23</v>
      </c>
      <c r="P309" s="90">
        <v>182710.53</v>
      </c>
      <c r="Q309" s="90">
        <v>158.09</v>
      </c>
      <c r="R309">
        <v>0</v>
      </c>
    </row>
    <row r="310" spans="1:18" ht="12.75" customHeight="1" x14ac:dyDescent="0.25">
      <c r="C310" s="89"/>
      <c r="D310" s="89"/>
      <c r="E310" s="90"/>
      <c r="F310" s="90"/>
      <c r="G310" s="90"/>
      <c r="H310" s="90"/>
      <c r="I310" s="90"/>
      <c r="J310" s="90"/>
      <c r="K310" s="90"/>
      <c r="L310" s="90"/>
      <c r="M310" s="90"/>
      <c r="N310" s="90"/>
      <c r="O310" s="90"/>
      <c r="P310" s="90"/>
      <c r="Q310" s="90"/>
    </row>
    <row r="311" spans="1:18" ht="12.75" customHeight="1" x14ac:dyDescent="0.25">
      <c r="C311" s="89"/>
      <c r="D311" s="89"/>
      <c r="E311" s="90"/>
      <c r="F311" s="90"/>
      <c r="G311" s="90"/>
      <c r="H311" s="90"/>
      <c r="I311" s="90"/>
      <c r="J311" s="90"/>
      <c r="K311" s="90"/>
      <c r="L311" s="90"/>
      <c r="M311" s="90"/>
      <c r="N311" s="90"/>
      <c r="O311" s="90"/>
      <c r="P311" s="90"/>
      <c r="Q311" s="90"/>
    </row>
    <row r="312" spans="1:18" ht="12.75" hidden="1" customHeight="1" x14ac:dyDescent="0.25">
      <c r="C312" s="89"/>
      <c r="D312" s="89"/>
      <c r="E312" s="90"/>
      <c r="F312" s="90"/>
      <c r="G312" s="90"/>
      <c r="H312" s="90"/>
      <c r="I312" s="90"/>
      <c r="J312" s="90"/>
      <c r="K312" s="90"/>
      <c r="L312" s="90"/>
      <c r="M312" s="90"/>
      <c r="N312" s="90"/>
      <c r="O312" s="90"/>
      <c r="P312" s="90"/>
      <c r="Q312" s="90"/>
    </row>
    <row r="313" spans="1:18" ht="12.75" hidden="1" customHeight="1" x14ac:dyDescent="0.25">
      <c r="C313" s="89"/>
      <c r="D313" s="89"/>
      <c r="E313" s="90"/>
      <c r="F313" s="90"/>
      <c r="G313" s="90"/>
      <c r="H313" s="90"/>
      <c r="I313" s="90"/>
      <c r="J313" s="90"/>
      <c r="K313" s="90"/>
      <c r="L313" s="90"/>
      <c r="M313" s="90"/>
      <c r="N313" s="90"/>
      <c r="O313" s="90"/>
      <c r="P313" s="90"/>
      <c r="Q313" s="90"/>
    </row>
    <row r="314" spans="1:18" ht="12.75" hidden="1" customHeight="1" x14ac:dyDescent="0.25">
      <c r="C314" s="89"/>
      <c r="D314" s="89"/>
      <c r="E314" s="90"/>
      <c r="F314" s="90"/>
      <c r="G314" s="90"/>
      <c r="H314" s="90"/>
      <c r="I314" s="90"/>
      <c r="J314" s="90"/>
      <c r="K314" s="90"/>
      <c r="L314" s="90"/>
      <c r="M314" s="90"/>
      <c r="N314" s="90"/>
      <c r="O314" s="90"/>
      <c r="P314" s="90"/>
      <c r="Q314" s="90"/>
    </row>
    <row r="315" spans="1:18" ht="12.75" hidden="1" customHeight="1" x14ac:dyDescent="0.25">
      <c r="C315" s="89"/>
      <c r="D315" s="89"/>
      <c r="E315" s="90"/>
      <c r="F315" s="90"/>
      <c r="G315" s="90"/>
      <c r="H315" s="90"/>
      <c r="I315" s="90"/>
      <c r="J315" s="90"/>
      <c r="K315" s="90"/>
      <c r="L315" s="90"/>
      <c r="M315" s="90"/>
      <c r="N315" s="90"/>
      <c r="O315" s="90"/>
      <c r="P315" s="90"/>
      <c r="Q315" s="90"/>
    </row>
    <row r="316" spans="1:18" ht="12.75" hidden="1" customHeight="1" x14ac:dyDescent="0.25">
      <c r="C316" s="89"/>
      <c r="D316" s="89"/>
      <c r="E316" s="90"/>
      <c r="F316" s="90"/>
      <c r="G316" s="90"/>
      <c r="H316" s="90"/>
      <c r="I316" s="90"/>
      <c r="J316" s="90"/>
      <c r="K316" s="90"/>
      <c r="L316" s="90"/>
      <c r="M316" s="90"/>
      <c r="N316" s="90"/>
      <c r="O316" s="90"/>
      <c r="P316" s="90"/>
      <c r="Q316" s="90"/>
    </row>
    <row r="317" spans="1:18" ht="12.75" hidden="1" customHeight="1" x14ac:dyDescent="0.25">
      <c r="C317" s="89"/>
      <c r="D317" s="89"/>
      <c r="E317" s="90"/>
      <c r="F317" s="90"/>
      <c r="G317" s="90"/>
      <c r="H317" s="90"/>
      <c r="I317" s="90"/>
      <c r="J317" s="90"/>
      <c r="K317" s="90"/>
      <c r="L317" s="90"/>
      <c r="M317" s="90"/>
      <c r="N317" s="90"/>
      <c r="O317" s="90"/>
      <c r="P317" s="90"/>
      <c r="Q317" s="90"/>
    </row>
    <row r="318" spans="1:18" ht="12.75" hidden="1" customHeight="1" x14ac:dyDescent="0.25">
      <c r="C318" s="89"/>
      <c r="D318" s="89"/>
      <c r="E318" s="90"/>
      <c r="F318" s="90"/>
      <c r="G318" s="90"/>
      <c r="H318" s="90"/>
      <c r="I318" s="90"/>
      <c r="J318" s="90"/>
      <c r="K318" s="90"/>
      <c r="L318" s="90"/>
      <c r="M318" s="90"/>
      <c r="N318" s="90"/>
      <c r="O318" s="90"/>
      <c r="P318" s="90"/>
      <c r="Q318" s="90"/>
    </row>
    <row r="319" spans="1:18" ht="12.75" hidden="1" customHeight="1" x14ac:dyDescent="0.25">
      <c r="C319" s="89"/>
      <c r="D319" s="89"/>
      <c r="E319" s="90"/>
      <c r="F319" s="90"/>
      <c r="G319" s="90"/>
      <c r="H319" s="90"/>
      <c r="I319" s="90"/>
      <c r="J319" s="90"/>
      <c r="K319" s="90"/>
      <c r="L319" s="90"/>
      <c r="M319" s="90"/>
      <c r="N319" s="90"/>
      <c r="O319" s="90"/>
      <c r="P319" s="90"/>
      <c r="Q319" s="90"/>
    </row>
    <row r="320" spans="1:18" ht="12.75" hidden="1" customHeight="1" x14ac:dyDescent="0.25">
      <c r="C320" s="89"/>
      <c r="D320" s="89"/>
      <c r="E320" s="90"/>
      <c r="F320" s="90"/>
      <c r="G320" s="90"/>
      <c r="H320" s="90"/>
      <c r="I320" s="90"/>
      <c r="J320" s="90"/>
      <c r="K320" s="90"/>
      <c r="L320" s="90"/>
      <c r="M320" s="90"/>
      <c r="N320" s="90"/>
      <c r="O320" s="90"/>
      <c r="P320" s="90"/>
      <c r="Q320" s="90"/>
    </row>
    <row r="321" spans="3:17" ht="12.75" hidden="1" customHeight="1" x14ac:dyDescent="0.25">
      <c r="C321" s="89"/>
      <c r="D321" s="89"/>
      <c r="E321" s="90"/>
      <c r="F321" s="90"/>
      <c r="G321" s="90"/>
      <c r="H321" s="90"/>
      <c r="I321" s="90"/>
      <c r="J321" s="90"/>
      <c r="K321" s="90"/>
      <c r="L321" s="90"/>
      <c r="M321" s="90"/>
      <c r="N321" s="90"/>
      <c r="O321" s="90"/>
      <c r="P321" s="90"/>
      <c r="Q321" s="90"/>
    </row>
    <row r="322" spans="3:17" ht="12.75" hidden="1" customHeight="1" x14ac:dyDescent="0.25">
      <c r="C322" s="89"/>
      <c r="D322" s="89"/>
      <c r="E322" s="90"/>
      <c r="F322" s="90"/>
      <c r="G322" s="90"/>
      <c r="H322" s="90"/>
      <c r="I322" s="90"/>
      <c r="J322" s="90"/>
      <c r="K322" s="90"/>
      <c r="L322" s="90"/>
      <c r="M322" s="90"/>
      <c r="N322" s="90"/>
      <c r="O322" s="90"/>
      <c r="P322" s="90"/>
      <c r="Q322" s="90"/>
    </row>
    <row r="323" spans="3:17" ht="12.75" hidden="1" customHeight="1" x14ac:dyDescent="0.25">
      <c r="C323" s="89"/>
      <c r="D323" s="89"/>
      <c r="E323" s="90"/>
      <c r="F323" s="90"/>
      <c r="G323" s="90"/>
      <c r="H323" s="90"/>
      <c r="I323" s="90"/>
      <c r="J323" s="90"/>
      <c r="K323" s="90"/>
      <c r="L323" s="90"/>
      <c r="M323" s="90"/>
      <c r="N323" s="90"/>
      <c r="O323" s="90"/>
      <c r="P323" s="90"/>
      <c r="Q323" s="90"/>
    </row>
    <row r="324" spans="3:17" ht="12.75" hidden="1" customHeight="1" x14ac:dyDescent="0.25">
      <c r="C324" s="89"/>
      <c r="D324" s="89"/>
      <c r="E324" s="90"/>
      <c r="F324" s="90"/>
      <c r="G324" s="90"/>
      <c r="H324" s="90"/>
      <c r="I324" s="90"/>
      <c r="J324" s="90"/>
      <c r="K324" s="90"/>
      <c r="L324" s="90"/>
      <c r="M324" s="90"/>
      <c r="N324" s="90"/>
      <c r="O324" s="90"/>
      <c r="P324" s="90"/>
      <c r="Q324" s="90"/>
    </row>
    <row r="325" spans="3:17" ht="12.75" hidden="1" customHeight="1" x14ac:dyDescent="0.25">
      <c r="C325" s="89"/>
      <c r="D325" s="89"/>
      <c r="E325" s="90"/>
      <c r="F325" s="90"/>
      <c r="G325" s="90"/>
      <c r="H325" s="90"/>
      <c r="I325" s="90"/>
      <c r="J325" s="90"/>
      <c r="K325" s="90"/>
      <c r="L325" s="90"/>
      <c r="M325" s="90"/>
      <c r="N325" s="90"/>
      <c r="O325" s="90"/>
      <c r="P325" s="90"/>
      <c r="Q325" s="90"/>
    </row>
    <row r="326" spans="3:17" ht="12.75" hidden="1" customHeight="1" x14ac:dyDescent="0.25">
      <c r="C326" s="89"/>
      <c r="D326" s="89"/>
      <c r="E326" s="90"/>
      <c r="F326" s="90"/>
      <c r="G326" s="90"/>
      <c r="H326" s="90"/>
      <c r="I326" s="90"/>
      <c r="J326" s="90"/>
      <c r="K326" s="90"/>
      <c r="L326" s="90"/>
      <c r="M326" s="90"/>
      <c r="N326" s="90"/>
      <c r="O326" s="90"/>
      <c r="P326" s="90"/>
      <c r="Q326" s="90"/>
    </row>
    <row r="327" spans="3:17" ht="12.75" hidden="1" customHeight="1" x14ac:dyDescent="0.25">
      <c r="C327" s="89"/>
      <c r="D327" s="89"/>
      <c r="E327" s="90"/>
      <c r="F327" s="90"/>
      <c r="G327" s="90"/>
      <c r="H327" s="90"/>
      <c r="I327" s="90"/>
      <c r="J327" s="90"/>
      <c r="K327" s="90"/>
      <c r="L327" s="90"/>
      <c r="M327" s="90"/>
      <c r="N327" s="90"/>
      <c r="O327" s="90"/>
      <c r="P327" s="90"/>
      <c r="Q327" s="90"/>
    </row>
    <row r="328" spans="3:17" ht="12.75" hidden="1" customHeight="1" x14ac:dyDescent="0.25">
      <c r="C328" s="89"/>
      <c r="D328" s="89"/>
      <c r="E328" s="90"/>
      <c r="F328" s="90"/>
      <c r="G328" s="90"/>
      <c r="H328" s="90"/>
      <c r="I328" s="90"/>
      <c r="J328" s="90"/>
      <c r="K328" s="90"/>
      <c r="L328" s="90"/>
      <c r="M328" s="90"/>
      <c r="N328" s="90"/>
      <c r="O328" s="90"/>
      <c r="P328" s="90"/>
      <c r="Q328" s="90"/>
    </row>
    <row r="329" spans="3:17" ht="12.75" hidden="1" customHeight="1" x14ac:dyDescent="0.25">
      <c r="C329" s="89"/>
      <c r="D329" s="89"/>
      <c r="E329" s="90"/>
      <c r="F329" s="90"/>
      <c r="G329" s="90"/>
      <c r="H329" s="90"/>
      <c r="I329" s="90"/>
      <c r="J329" s="90"/>
      <c r="K329" s="90"/>
      <c r="L329" s="90"/>
      <c r="M329" s="90"/>
      <c r="N329" s="90"/>
      <c r="O329" s="90"/>
      <c r="P329" s="90"/>
      <c r="Q329" s="90"/>
    </row>
    <row r="330" spans="3:17" ht="12.75" hidden="1" customHeight="1" x14ac:dyDescent="0.25">
      <c r="C330" s="89"/>
      <c r="D330" s="89"/>
      <c r="E330" s="90"/>
      <c r="F330" s="90"/>
      <c r="G330" s="90"/>
      <c r="H330" s="90"/>
      <c r="I330" s="90"/>
      <c r="J330" s="90"/>
      <c r="K330" s="90"/>
      <c r="L330" s="90"/>
      <c r="M330" s="90"/>
      <c r="N330" s="90"/>
      <c r="O330" s="90"/>
      <c r="P330" s="90"/>
      <c r="Q330" s="90"/>
    </row>
    <row r="331" spans="3:17" ht="12.75" hidden="1" customHeight="1" x14ac:dyDescent="0.25">
      <c r="C331" s="89"/>
      <c r="D331" s="89"/>
      <c r="E331" s="90"/>
      <c r="F331" s="90"/>
      <c r="G331" s="90"/>
      <c r="H331" s="90"/>
      <c r="I331" s="90"/>
      <c r="J331" s="90"/>
      <c r="K331" s="90"/>
      <c r="L331" s="90"/>
      <c r="M331" s="90"/>
      <c r="N331" s="90"/>
      <c r="O331" s="90"/>
      <c r="P331" s="90"/>
      <c r="Q331" s="90"/>
    </row>
    <row r="332" spans="3:17" ht="12.75" hidden="1" customHeight="1" x14ac:dyDescent="0.25">
      <c r="C332" s="89"/>
      <c r="D332" s="89"/>
      <c r="E332" s="90"/>
      <c r="F332" s="90"/>
      <c r="G332" s="90"/>
      <c r="H332" s="90"/>
      <c r="I332" s="90"/>
      <c r="J332" s="90"/>
      <c r="K332" s="90"/>
      <c r="L332" s="90"/>
      <c r="M332" s="90"/>
      <c r="N332" s="90"/>
      <c r="O332" s="90"/>
      <c r="P332" s="90"/>
      <c r="Q332" s="90"/>
    </row>
    <row r="333" spans="3:17" ht="12.75" hidden="1" customHeight="1" x14ac:dyDescent="0.25">
      <c r="C333" s="89"/>
      <c r="D333" s="89"/>
      <c r="E333" s="90"/>
      <c r="F333" s="90"/>
      <c r="G333" s="90"/>
      <c r="H333" s="90"/>
      <c r="I333" s="90"/>
      <c r="J333" s="90"/>
      <c r="K333" s="90"/>
      <c r="L333" s="90"/>
      <c r="M333" s="90"/>
      <c r="N333" s="90"/>
      <c r="O333" s="90"/>
      <c r="P333" s="90"/>
      <c r="Q333" s="90"/>
    </row>
    <row r="334" spans="3:17" ht="12.75" hidden="1" customHeight="1" x14ac:dyDescent="0.25">
      <c r="C334" s="89"/>
      <c r="D334" s="89"/>
      <c r="E334" s="90"/>
      <c r="F334" s="90"/>
      <c r="G334" s="90"/>
      <c r="H334" s="90"/>
      <c r="I334" s="90"/>
      <c r="J334" s="90"/>
      <c r="K334" s="90"/>
      <c r="L334" s="90"/>
      <c r="M334" s="90"/>
      <c r="N334" s="90"/>
      <c r="O334" s="90"/>
      <c r="P334" s="90"/>
      <c r="Q334" s="90"/>
    </row>
    <row r="335" spans="3:17" ht="12.75" hidden="1" customHeight="1" x14ac:dyDescent="0.25">
      <c r="C335" s="89"/>
      <c r="D335" s="89"/>
      <c r="E335" s="90"/>
      <c r="F335" s="90"/>
      <c r="G335" s="90"/>
      <c r="H335" s="90"/>
      <c r="I335" s="90"/>
      <c r="J335" s="90"/>
      <c r="K335" s="90"/>
      <c r="L335" s="90"/>
      <c r="M335" s="90"/>
      <c r="N335" s="90"/>
      <c r="O335" s="90"/>
      <c r="P335" s="90"/>
      <c r="Q335" s="90"/>
    </row>
    <row r="336" spans="3:17" ht="12.75" hidden="1" customHeight="1" x14ac:dyDescent="0.25">
      <c r="C336" s="89"/>
      <c r="D336" s="89"/>
      <c r="E336" s="90"/>
      <c r="F336" s="90"/>
      <c r="G336" s="90"/>
      <c r="H336" s="90"/>
      <c r="I336" s="90"/>
      <c r="J336" s="90"/>
      <c r="K336" s="90"/>
      <c r="L336" s="90"/>
      <c r="M336" s="90"/>
      <c r="N336" s="90"/>
      <c r="O336" s="90"/>
      <c r="P336" s="90"/>
      <c r="Q336" s="90"/>
    </row>
    <row r="337" spans="1:18" ht="12.75" hidden="1" customHeight="1" x14ac:dyDescent="0.25">
      <c r="C337" s="89"/>
      <c r="D337" s="89"/>
      <c r="E337" s="90"/>
      <c r="F337" s="90"/>
      <c r="G337" s="90"/>
      <c r="H337" s="90"/>
      <c r="I337" s="90"/>
      <c r="J337" s="90"/>
      <c r="K337" s="90"/>
      <c r="L337" s="90"/>
      <c r="M337" s="90"/>
      <c r="N337" s="90"/>
      <c r="O337" s="90"/>
      <c r="P337" s="90"/>
      <c r="Q337" s="90"/>
    </row>
    <row r="338" spans="1:18" ht="12.75" hidden="1" customHeight="1" x14ac:dyDescent="0.25">
      <c r="C338" s="89"/>
      <c r="D338" s="89"/>
      <c r="E338" s="90"/>
      <c r="F338" s="90"/>
      <c r="G338" s="90"/>
      <c r="H338" s="90"/>
      <c r="I338" s="90"/>
      <c r="J338" s="90"/>
      <c r="K338" s="90"/>
      <c r="L338" s="90"/>
      <c r="M338" s="90"/>
      <c r="N338" s="90"/>
      <c r="O338" s="90"/>
      <c r="P338" s="90"/>
      <c r="Q338" s="90"/>
    </row>
    <row r="339" spans="1:18" ht="12.75" hidden="1" customHeight="1" x14ac:dyDescent="0.25">
      <c r="C339" s="89"/>
      <c r="D339" s="89"/>
      <c r="E339" s="90"/>
      <c r="F339" s="90"/>
      <c r="G339" s="90"/>
      <c r="H339" s="90"/>
      <c r="I339" s="90"/>
      <c r="J339" s="90"/>
      <c r="K339" s="90"/>
      <c r="L339" s="90"/>
      <c r="M339" s="90"/>
      <c r="N339" s="90"/>
      <c r="O339" s="90"/>
      <c r="P339" s="90"/>
      <c r="Q339" s="90"/>
    </row>
    <row r="340" spans="1:18" ht="12.75" hidden="1" customHeight="1" x14ac:dyDescent="0.25">
      <c r="C340" s="89"/>
      <c r="D340" s="89"/>
      <c r="E340" s="90"/>
      <c r="F340" s="90"/>
      <c r="G340" s="90"/>
      <c r="H340" s="90"/>
      <c r="I340" s="90"/>
      <c r="J340" s="90"/>
      <c r="K340" s="90"/>
      <c r="L340" s="90"/>
      <c r="M340" s="90"/>
      <c r="N340" s="90"/>
      <c r="O340" s="90"/>
      <c r="P340" s="90"/>
      <c r="Q340" s="90"/>
    </row>
    <row r="341" spans="1:18" ht="12.75" hidden="1" customHeight="1" x14ac:dyDescent="0.25">
      <c r="C341" s="89"/>
      <c r="D341" s="89"/>
      <c r="E341" s="90"/>
      <c r="F341" s="90"/>
      <c r="G341" s="90"/>
      <c r="H341" s="90"/>
      <c r="I341" s="90"/>
      <c r="J341" s="90"/>
      <c r="K341" s="90"/>
      <c r="L341" s="90"/>
      <c r="M341" s="90"/>
      <c r="N341" s="90"/>
      <c r="O341" s="90"/>
      <c r="P341" s="90"/>
      <c r="Q341" s="90"/>
    </row>
    <row r="342" spans="1:18" ht="12.75" customHeight="1" x14ac:dyDescent="0.25">
      <c r="C342" s="89"/>
      <c r="D342" s="89"/>
      <c r="E342" s="90"/>
      <c r="F342" s="90"/>
      <c r="G342" s="90"/>
      <c r="H342" s="90"/>
      <c r="I342" s="90"/>
      <c r="J342" s="90"/>
      <c r="K342" s="90"/>
      <c r="L342" s="90"/>
      <c r="M342" s="90"/>
      <c r="N342" s="90"/>
      <c r="O342" s="90"/>
      <c r="P342" s="90"/>
      <c r="Q342" s="90"/>
    </row>
    <row r="343" spans="1:18" ht="12.75" customHeight="1" x14ac:dyDescent="0.25">
      <c r="B343" s="766" t="s">
        <v>2</v>
      </c>
      <c r="C343" s="764" t="s">
        <v>132</v>
      </c>
      <c r="D343" s="98" t="s">
        <v>70</v>
      </c>
      <c r="E343" s="100">
        <f>E290+E308-K290</f>
        <v>17236000.330000002</v>
      </c>
      <c r="F343" s="100">
        <f>F290</f>
        <v>1160186.1499999999</v>
      </c>
      <c r="G343" s="100">
        <f t="shared" ref="G343:R343" si="10">G290</f>
        <v>673044.71</v>
      </c>
      <c r="H343" s="100">
        <f t="shared" si="10"/>
        <v>276501.18</v>
      </c>
      <c r="I343" s="100">
        <f t="shared" si="10"/>
        <v>3666021.92</v>
      </c>
      <c r="J343" s="100">
        <f t="shared" si="10"/>
        <v>145285.35999999999</v>
      </c>
      <c r="K343" s="100">
        <f t="shared" si="10"/>
        <v>0</v>
      </c>
      <c r="L343" s="100">
        <f t="shared" si="10"/>
        <v>1457671.06</v>
      </c>
      <c r="M343" s="100">
        <f t="shared" si="10"/>
        <v>1215190.94</v>
      </c>
      <c r="N343" s="100">
        <f t="shared" si="10"/>
        <v>5739976.4500000002</v>
      </c>
      <c r="O343" s="100">
        <f t="shared" si="10"/>
        <v>3143067.59</v>
      </c>
      <c r="P343" s="100">
        <f t="shared" si="10"/>
        <v>193988.62</v>
      </c>
      <c r="Q343" s="100">
        <f t="shared" si="10"/>
        <v>158.09</v>
      </c>
      <c r="R343" s="100">
        <f t="shared" si="10"/>
        <v>0</v>
      </c>
    </row>
    <row r="344" spans="1:18" ht="12.75" customHeight="1" x14ac:dyDescent="0.25">
      <c r="B344" s="766"/>
      <c r="C344" s="764"/>
      <c r="D344" s="98" t="s">
        <v>73</v>
      </c>
      <c r="E344" s="100">
        <f>E308</f>
        <v>-435091.74</v>
      </c>
      <c r="F344" s="90"/>
      <c r="G344" s="90"/>
      <c r="H344" s="90"/>
      <c r="I344" s="90"/>
      <c r="J344" s="90"/>
      <c r="K344" s="90"/>
      <c r="L344" s="90"/>
      <c r="M344" s="90"/>
      <c r="N344" s="90"/>
      <c r="O344" s="90"/>
      <c r="P344" s="90"/>
      <c r="Q344" s="90"/>
      <c r="R344" s="90"/>
    </row>
    <row r="345" spans="1:18" ht="12.75" customHeight="1" x14ac:dyDescent="0.3">
      <c r="A345" s="89"/>
      <c r="B345" s="97"/>
      <c r="E345" s="90"/>
      <c r="F345" s="90"/>
      <c r="G345" s="90"/>
      <c r="H345" s="90"/>
      <c r="I345" s="90"/>
      <c r="J345" s="90"/>
      <c r="K345" s="90"/>
      <c r="L345" s="90"/>
      <c r="M345" s="90"/>
      <c r="N345" s="90"/>
      <c r="O345" s="90"/>
      <c r="P345" s="90"/>
      <c r="Q345" s="90"/>
      <c r="R345" s="90"/>
    </row>
    <row r="346" spans="1:18" ht="12.75" customHeight="1" x14ac:dyDescent="0.25">
      <c r="B346" s="766" t="s">
        <v>160</v>
      </c>
      <c r="C346" s="764" t="s">
        <v>132</v>
      </c>
      <c r="D346" s="223" t="s">
        <v>70</v>
      </c>
      <c r="E346" s="225">
        <f>E300+E279-K279</f>
        <v>4804828.2600000007</v>
      </c>
      <c r="F346" s="225">
        <f>F279</f>
        <v>329835.75</v>
      </c>
      <c r="G346" s="225">
        <f t="shared" ref="G346:R346" si="11">G279</f>
        <v>195175.4</v>
      </c>
      <c r="H346" s="225">
        <f t="shared" si="11"/>
        <v>65323.02</v>
      </c>
      <c r="I346" s="225">
        <f t="shared" si="11"/>
        <v>1228237.28</v>
      </c>
      <c r="J346" s="225">
        <f t="shared" si="11"/>
        <v>44312.65</v>
      </c>
      <c r="K346" s="225">
        <f t="shared" si="11"/>
        <v>0</v>
      </c>
      <c r="L346" s="225">
        <f t="shared" si="11"/>
        <v>398296.17</v>
      </c>
      <c r="M346" s="225">
        <f t="shared" si="11"/>
        <v>335558.26</v>
      </c>
      <c r="N346" s="225">
        <f t="shared" si="11"/>
        <v>1462627.93</v>
      </c>
      <c r="O346" s="225">
        <f t="shared" si="11"/>
        <v>825725.69</v>
      </c>
      <c r="P346" s="225">
        <f t="shared" si="11"/>
        <v>52252.05</v>
      </c>
      <c r="Q346" s="225">
        <f t="shared" si="11"/>
        <v>7.87</v>
      </c>
      <c r="R346" s="225">
        <f t="shared" si="11"/>
        <v>0</v>
      </c>
    </row>
    <row r="347" spans="1:18" ht="12.75" customHeight="1" x14ac:dyDescent="0.25">
      <c r="B347" s="766"/>
      <c r="C347" s="764"/>
      <c r="D347" s="223" t="s">
        <v>73</v>
      </c>
      <c r="E347" s="225">
        <f>E300</f>
        <v>-132523.81</v>
      </c>
      <c r="F347" s="90"/>
      <c r="G347" s="90"/>
      <c r="H347" s="90"/>
      <c r="I347" s="90"/>
      <c r="J347" s="90"/>
      <c r="K347" s="90"/>
      <c r="L347" s="90"/>
      <c r="M347" s="90"/>
      <c r="N347" s="90"/>
      <c r="O347" s="90"/>
      <c r="P347" s="90"/>
      <c r="Q347" s="90"/>
      <c r="R347" s="90"/>
    </row>
    <row r="348" spans="1:18" ht="12.75" customHeight="1" x14ac:dyDescent="0.3">
      <c r="A348" s="89"/>
      <c r="B348" s="97"/>
      <c r="E348" s="90"/>
      <c r="F348" s="90"/>
      <c r="G348" s="90"/>
      <c r="H348" s="90"/>
      <c r="I348" s="90"/>
      <c r="J348" s="90"/>
      <c r="K348" s="90"/>
      <c r="L348" s="90"/>
      <c r="M348" s="90"/>
      <c r="N348" s="90"/>
      <c r="O348" s="90"/>
      <c r="P348" s="90"/>
      <c r="Q348" s="90"/>
      <c r="R348" s="90"/>
    </row>
    <row r="349" spans="1:18" ht="12.75" customHeight="1" x14ac:dyDescent="0.25">
      <c r="B349" s="766" t="s">
        <v>155</v>
      </c>
      <c r="C349" s="764" t="s">
        <v>132</v>
      </c>
      <c r="D349" s="221" t="s">
        <v>70</v>
      </c>
      <c r="E349" s="222">
        <f>E293+E270-K270</f>
        <v>10429855.41</v>
      </c>
      <c r="F349" s="222">
        <f>F270</f>
        <v>690733.36</v>
      </c>
      <c r="G349" s="222">
        <f t="shared" ref="G349:R349" si="12">G270</f>
        <v>399647.15</v>
      </c>
      <c r="H349" s="222">
        <f t="shared" si="12"/>
        <v>177943.87</v>
      </c>
      <c r="I349" s="222">
        <f t="shared" si="12"/>
        <v>1963025.81</v>
      </c>
      <c r="J349" s="222">
        <f t="shared" si="12"/>
        <v>83994.1</v>
      </c>
      <c r="K349" s="222">
        <f t="shared" si="12"/>
        <v>0</v>
      </c>
      <c r="L349" s="222">
        <f t="shared" si="12"/>
        <v>866554.23</v>
      </c>
      <c r="M349" s="222">
        <f t="shared" si="12"/>
        <v>740608.98</v>
      </c>
      <c r="N349" s="222">
        <f t="shared" si="12"/>
        <v>3686739.05</v>
      </c>
      <c r="O349" s="222">
        <f t="shared" si="12"/>
        <v>1961307.89</v>
      </c>
      <c r="P349" s="222">
        <f t="shared" si="12"/>
        <v>119292.69</v>
      </c>
      <c r="Q349" s="222">
        <f t="shared" si="12"/>
        <v>142.31</v>
      </c>
      <c r="R349" s="222">
        <f t="shared" si="12"/>
        <v>0</v>
      </c>
    </row>
    <row r="350" spans="1:18" ht="12.75" customHeight="1" x14ac:dyDescent="0.25">
      <c r="B350" s="766"/>
      <c r="C350" s="764"/>
      <c r="D350" s="221" t="s">
        <v>73</v>
      </c>
      <c r="E350" s="222">
        <f>E293</f>
        <v>-260134.03</v>
      </c>
      <c r="F350" s="90"/>
      <c r="G350" s="90"/>
      <c r="H350" s="90"/>
      <c r="I350" s="90"/>
      <c r="J350" s="90"/>
      <c r="K350" s="90"/>
      <c r="L350" s="90"/>
      <c r="M350" s="90"/>
      <c r="N350" s="90"/>
      <c r="O350" s="90"/>
      <c r="P350" s="90"/>
      <c r="Q350" s="90"/>
      <c r="R350" s="90"/>
    </row>
    <row r="351" spans="1:18" ht="12.75" customHeight="1" x14ac:dyDescent="0.3">
      <c r="A351" s="89"/>
      <c r="B351" s="97"/>
      <c r="E351" s="90"/>
      <c r="F351" s="90"/>
      <c r="G351" s="90"/>
      <c r="H351" s="90"/>
      <c r="I351" s="90"/>
      <c r="J351" s="90"/>
      <c r="K351" s="90"/>
      <c r="L351" s="90"/>
      <c r="M351" s="90"/>
      <c r="N351" s="90"/>
      <c r="O351" s="90"/>
      <c r="P351" s="90"/>
      <c r="Q351" s="90"/>
      <c r="R351" s="90"/>
    </row>
    <row r="352" spans="1:18" ht="12.75" customHeight="1" x14ac:dyDescent="0.25">
      <c r="B352" s="767" t="s">
        <v>326</v>
      </c>
      <c r="C352" s="764" t="s">
        <v>132</v>
      </c>
      <c r="D352" s="376" t="s">
        <v>70</v>
      </c>
      <c r="E352" s="377">
        <v>0</v>
      </c>
      <c r="F352" s="377">
        <v>0</v>
      </c>
      <c r="G352" s="377">
        <v>0</v>
      </c>
      <c r="H352" s="377">
        <v>0</v>
      </c>
      <c r="I352" s="377">
        <v>0</v>
      </c>
      <c r="J352" s="377">
        <v>0</v>
      </c>
      <c r="K352" s="377">
        <v>0</v>
      </c>
      <c r="L352" s="377">
        <v>0</v>
      </c>
      <c r="M352" s="377">
        <v>0</v>
      </c>
      <c r="N352" s="377">
        <v>0</v>
      </c>
      <c r="O352" s="377">
        <v>0</v>
      </c>
      <c r="P352" s="377">
        <v>0</v>
      </c>
      <c r="Q352" s="377">
        <v>0</v>
      </c>
      <c r="R352" s="377">
        <v>0</v>
      </c>
    </row>
    <row r="353" spans="1:18" ht="12.75" customHeight="1" x14ac:dyDescent="0.25">
      <c r="B353" s="767"/>
      <c r="C353" s="764"/>
      <c r="D353" s="376" t="s">
        <v>73</v>
      </c>
      <c r="E353" s="377">
        <v>0</v>
      </c>
      <c r="F353" s="90"/>
      <c r="G353" s="90"/>
      <c r="H353" s="90"/>
      <c r="I353" s="90"/>
      <c r="J353" s="90"/>
      <c r="K353" s="90"/>
      <c r="L353" s="90"/>
      <c r="M353" s="90"/>
      <c r="N353" s="90"/>
      <c r="O353" s="90"/>
      <c r="P353" s="90"/>
      <c r="Q353" s="90"/>
      <c r="R353" s="90"/>
    </row>
    <row r="354" spans="1:18" ht="12.75" customHeight="1" x14ac:dyDescent="0.3">
      <c r="A354" s="89"/>
      <c r="B354" s="97"/>
      <c r="E354" s="90"/>
      <c r="F354" s="90"/>
      <c r="G354" s="90"/>
      <c r="H354" s="90"/>
      <c r="I354" s="90"/>
      <c r="J354" s="90"/>
      <c r="K354" s="90"/>
      <c r="L354" s="90"/>
      <c r="M354" s="90"/>
      <c r="N354" s="90"/>
      <c r="O354" s="90"/>
      <c r="P354" s="90"/>
      <c r="Q354" s="90"/>
      <c r="R354" s="90"/>
    </row>
    <row r="355" spans="1:18" ht="12.75" customHeight="1" x14ac:dyDescent="0.25">
      <c r="A355" s="142" t="s">
        <v>227</v>
      </c>
      <c r="B355" s="766" t="s">
        <v>119</v>
      </c>
      <c r="C355" s="764" t="s">
        <v>132</v>
      </c>
      <c r="D355" s="101" t="s">
        <v>70</v>
      </c>
      <c r="E355" s="93">
        <f>E289+E307-K289</f>
        <v>2001316.6600000001</v>
      </c>
      <c r="F355" s="93">
        <f t="shared" ref="F355:R355" si="13">F289</f>
        <v>139617.04</v>
      </c>
      <c r="G355" s="93">
        <f t="shared" si="13"/>
        <v>78222.16</v>
      </c>
      <c r="H355" s="93">
        <f t="shared" si="13"/>
        <v>33234.29</v>
      </c>
      <c r="I355" s="93">
        <f t="shared" si="13"/>
        <v>474758.83</v>
      </c>
      <c r="J355" s="93">
        <f t="shared" si="13"/>
        <v>16978.61</v>
      </c>
      <c r="K355" s="93">
        <f t="shared" si="13"/>
        <v>0</v>
      </c>
      <c r="L355" s="93">
        <f t="shared" si="13"/>
        <v>192820.66</v>
      </c>
      <c r="M355" s="93">
        <f t="shared" si="13"/>
        <v>139023.70000000001</v>
      </c>
      <c r="N355" s="93">
        <f t="shared" si="13"/>
        <v>590609.47</v>
      </c>
      <c r="O355" s="93">
        <f t="shared" si="13"/>
        <v>356034.01</v>
      </c>
      <c r="P355" s="93">
        <f t="shared" si="13"/>
        <v>22443.88</v>
      </c>
      <c r="Q355" s="93">
        <f t="shared" si="13"/>
        <v>7.91</v>
      </c>
      <c r="R355" s="93">
        <f t="shared" si="13"/>
        <v>0</v>
      </c>
    </row>
    <row r="356" spans="1:18" ht="12.75" customHeight="1" x14ac:dyDescent="0.25">
      <c r="B356" s="766"/>
      <c r="C356" s="764"/>
      <c r="D356" s="101" t="s">
        <v>73</v>
      </c>
      <c r="E356" s="93">
        <f>E307</f>
        <v>-42433.9</v>
      </c>
      <c r="F356" s="90"/>
      <c r="G356" s="90"/>
      <c r="H356" s="90"/>
      <c r="I356" s="90"/>
      <c r="J356" s="90"/>
      <c r="K356" s="90"/>
      <c r="L356" s="90"/>
      <c r="M356" s="90"/>
      <c r="N356" s="90"/>
      <c r="O356" s="90"/>
      <c r="P356" s="90"/>
      <c r="Q356" s="90"/>
      <c r="R356" s="90"/>
    </row>
    <row r="357" spans="1:18" ht="12.75" customHeight="1" x14ac:dyDescent="0.3">
      <c r="A357" s="89"/>
      <c r="B357" s="97"/>
      <c r="E357" s="90"/>
      <c r="F357" s="90"/>
      <c r="G357" s="90"/>
      <c r="H357" s="90"/>
      <c r="I357" s="90"/>
      <c r="J357" s="90"/>
      <c r="K357" s="90"/>
      <c r="L357" s="90"/>
      <c r="M357" s="90"/>
      <c r="N357" s="90"/>
      <c r="O357" s="90"/>
      <c r="P357" s="90"/>
      <c r="Q357" s="90"/>
      <c r="R357" s="90"/>
    </row>
    <row r="358" spans="1:18" ht="12.75" customHeight="1" x14ac:dyDescent="0.25">
      <c r="B358" s="765" t="s">
        <v>161</v>
      </c>
      <c r="C358" s="764" t="s">
        <v>132</v>
      </c>
      <c r="D358" s="231" t="s">
        <v>70</v>
      </c>
      <c r="E358" s="232">
        <v>0</v>
      </c>
      <c r="F358" s="232">
        <v>0</v>
      </c>
      <c r="G358" s="232">
        <v>0</v>
      </c>
      <c r="H358" s="232">
        <v>0</v>
      </c>
      <c r="I358" s="232">
        <v>0</v>
      </c>
      <c r="J358" s="232">
        <v>0</v>
      </c>
      <c r="K358" s="232">
        <v>0</v>
      </c>
      <c r="L358" s="232">
        <v>0</v>
      </c>
      <c r="M358" s="232">
        <v>0</v>
      </c>
      <c r="N358" s="232">
        <v>0</v>
      </c>
      <c r="O358" s="232">
        <v>0</v>
      </c>
      <c r="P358" s="232">
        <v>0</v>
      </c>
      <c r="Q358" s="232">
        <v>0</v>
      </c>
      <c r="R358" s="232">
        <v>0</v>
      </c>
    </row>
    <row r="359" spans="1:18" ht="12.75" customHeight="1" x14ac:dyDescent="0.25">
      <c r="B359" s="765"/>
      <c r="C359" s="764"/>
      <c r="D359" s="231" t="s">
        <v>73</v>
      </c>
      <c r="E359" s="232">
        <v>0</v>
      </c>
      <c r="F359" s="90"/>
      <c r="G359" s="90"/>
      <c r="H359" s="90"/>
      <c r="I359" s="90"/>
      <c r="J359" s="90"/>
      <c r="K359" s="90"/>
      <c r="L359" s="90"/>
      <c r="M359" s="90"/>
      <c r="N359" s="90"/>
      <c r="O359" s="90"/>
      <c r="P359" s="90"/>
      <c r="Q359" s="90"/>
      <c r="R359" s="90"/>
    </row>
    <row r="360" spans="1:18" s="238" customFormat="1" x14ac:dyDescent="0.25"/>
    <row r="361" spans="1:18" ht="13" x14ac:dyDescent="0.3">
      <c r="B361" s="97" t="s">
        <v>93</v>
      </c>
    </row>
    <row r="362" spans="1:18" x14ac:dyDescent="0.25">
      <c r="E362" s="89" t="s">
        <v>70</v>
      </c>
      <c r="F362" s="89" t="s">
        <v>64</v>
      </c>
      <c r="G362" s="89" t="s">
        <v>65</v>
      </c>
      <c r="H362" s="219" t="s">
        <v>164</v>
      </c>
      <c r="I362" s="89" t="s">
        <v>69</v>
      </c>
      <c r="J362" s="89" t="s">
        <v>68</v>
      </c>
      <c r="K362" s="89" t="s">
        <v>83</v>
      </c>
      <c r="L362" s="89" t="s">
        <v>66</v>
      </c>
      <c r="M362" s="89" t="s">
        <v>63</v>
      </c>
      <c r="N362" s="89" t="s">
        <v>61</v>
      </c>
      <c r="O362" s="89" t="s">
        <v>62</v>
      </c>
      <c r="P362" s="89" t="s">
        <v>67</v>
      </c>
      <c r="Q362" s="89" t="s">
        <v>84</v>
      </c>
      <c r="R362" s="387" t="s">
        <v>226</v>
      </c>
    </row>
    <row r="363" spans="1:18" ht="12.75" customHeight="1" x14ac:dyDescent="0.25">
      <c r="D363" s="89" t="s">
        <v>72</v>
      </c>
      <c r="E363" s="90">
        <v>33144323.809999999</v>
      </c>
      <c r="F363" s="90">
        <v>2102317.64</v>
      </c>
      <c r="G363" s="90">
        <v>1195463.02</v>
      </c>
      <c r="H363" s="90">
        <v>518047.12</v>
      </c>
      <c r="I363" s="90">
        <v>6892125.96</v>
      </c>
      <c r="J363" s="90">
        <v>232204</v>
      </c>
      <c r="K363" s="90">
        <v>307500</v>
      </c>
      <c r="L363" s="90">
        <v>2702560.5</v>
      </c>
      <c r="M363" s="90">
        <v>2111835.58</v>
      </c>
      <c r="N363" s="90">
        <v>10312862.41</v>
      </c>
      <c r="O363" s="90">
        <v>6435422.4100000001</v>
      </c>
      <c r="P363" s="90">
        <v>334332.53000000003</v>
      </c>
      <c r="Q363" s="90">
        <v>-347.36</v>
      </c>
      <c r="R363">
        <v>0</v>
      </c>
    </row>
    <row r="364" spans="1:18" ht="12.75" customHeight="1" x14ac:dyDescent="0.25">
      <c r="D364" s="89" t="s">
        <v>81</v>
      </c>
      <c r="E364" s="90">
        <v>45910.720000000001</v>
      </c>
      <c r="F364" s="90">
        <v>3854.54</v>
      </c>
      <c r="G364" s="90">
        <v>2169.34</v>
      </c>
      <c r="H364" s="90">
        <v>1114.78</v>
      </c>
      <c r="I364" s="90">
        <v>7407.08</v>
      </c>
      <c r="J364" s="90">
        <v>288.75</v>
      </c>
      <c r="K364" s="90">
        <v>1496.91</v>
      </c>
      <c r="L364" s="90">
        <v>2533.48</v>
      </c>
      <c r="M364" s="90">
        <v>2468.44</v>
      </c>
      <c r="N364" s="90">
        <v>12556.14</v>
      </c>
      <c r="O364" s="90">
        <v>11550.27</v>
      </c>
      <c r="P364" s="90">
        <v>471.07</v>
      </c>
      <c r="Q364" s="90">
        <v>-0.08</v>
      </c>
      <c r="R364">
        <v>0</v>
      </c>
    </row>
    <row r="365" spans="1:18" ht="12.75" customHeight="1" x14ac:dyDescent="0.25">
      <c r="B365" s="89"/>
      <c r="C365" s="89" t="s">
        <v>156</v>
      </c>
      <c r="D365" t="s">
        <v>70</v>
      </c>
      <c r="E365" s="90">
        <v>33190234.530000001</v>
      </c>
      <c r="F365" s="90">
        <v>2106172.1800000002</v>
      </c>
      <c r="G365" s="90">
        <v>1197632.3600000001</v>
      </c>
      <c r="H365" s="90">
        <v>519161.9</v>
      </c>
      <c r="I365" s="90">
        <v>6899533.04</v>
      </c>
      <c r="J365" s="90">
        <v>232492.75</v>
      </c>
      <c r="K365" s="90">
        <v>308996.90999999997</v>
      </c>
      <c r="L365" s="90">
        <v>2705093.98</v>
      </c>
      <c r="M365" s="90">
        <v>2114304.02</v>
      </c>
      <c r="N365" s="90">
        <v>10325418.550000001</v>
      </c>
      <c r="O365" s="90">
        <v>6446972.6799999997</v>
      </c>
      <c r="P365" s="90">
        <v>334803.59999999998</v>
      </c>
      <c r="Q365" s="90">
        <v>-347.44</v>
      </c>
      <c r="R365">
        <v>0</v>
      </c>
    </row>
    <row r="366" spans="1:18" s="237" customFormat="1" ht="12.75" customHeight="1" x14ac:dyDescent="0.25">
      <c r="B366" s="221" t="s">
        <v>155</v>
      </c>
      <c r="C366" s="221" t="s">
        <v>70</v>
      </c>
      <c r="E366" s="222">
        <v>33190234.530000001</v>
      </c>
      <c r="F366" s="222">
        <v>2106172.1800000002</v>
      </c>
      <c r="G366" s="222">
        <v>1197632.3600000001</v>
      </c>
      <c r="H366" s="222">
        <v>519161.9</v>
      </c>
      <c r="I366" s="222">
        <v>6899533.04</v>
      </c>
      <c r="J366" s="222">
        <v>232492.75</v>
      </c>
      <c r="K366" s="222">
        <v>308996.90999999997</v>
      </c>
      <c r="L366" s="222">
        <v>2705093.98</v>
      </c>
      <c r="M366" s="222">
        <v>2114304.02</v>
      </c>
      <c r="N366" s="222">
        <v>10325418.550000001</v>
      </c>
      <c r="O366" s="222">
        <v>6446972.6799999997</v>
      </c>
      <c r="P366" s="222">
        <v>334803.59999999998</v>
      </c>
      <c r="Q366" s="222">
        <v>-347.44</v>
      </c>
      <c r="R366" s="237">
        <v>0</v>
      </c>
    </row>
    <row r="367" spans="1:18" ht="12.75" customHeight="1" x14ac:dyDescent="0.25">
      <c r="D367" t="s">
        <v>72</v>
      </c>
      <c r="E367" s="142">
        <v>137903.91</v>
      </c>
      <c r="F367">
        <v>7432.48</v>
      </c>
      <c r="G367">
        <v>4196.3900000000003</v>
      </c>
      <c r="H367">
        <v>2357.4899999999998</v>
      </c>
      <c r="I367">
        <v>29485.71</v>
      </c>
      <c r="J367">
        <v>1125.9000000000001</v>
      </c>
      <c r="K367">
        <v>0</v>
      </c>
      <c r="L367">
        <v>9876.24</v>
      </c>
      <c r="M367">
        <v>9709.91</v>
      </c>
      <c r="N367">
        <v>49736.7</v>
      </c>
      <c r="O367">
        <v>22149.39</v>
      </c>
      <c r="P367">
        <v>1836.99</v>
      </c>
      <c r="Q367">
        <v>-3.29</v>
      </c>
      <c r="R367">
        <v>0</v>
      </c>
    </row>
    <row r="368" spans="1:18" ht="12.75" customHeight="1" x14ac:dyDescent="0.25">
      <c r="C368" t="s">
        <v>82</v>
      </c>
      <c r="D368" t="s">
        <v>70</v>
      </c>
      <c r="E368" s="142">
        <v>137903.91</v>
      </c>
      <c r="F368">
        <v>7432.48</v>
      </c>
      <c r="G368">
        <v>4196.3900000000003</v>
      </c>
      <c r="H368">
        <v>2357.4899999999998</v>
      </c>
      <c r="I368">
        <v>29485.71</v>
      </c>
      <c r="J368">
        <v>1125.9000000000001</v>
      </c>
      <c r="K368">
        <v>0</v>
      </c>
      <c r="L368">
        <v>9876.24</v>
      </c>
      <c r="M368">
        <v>9709.91</v>
      </c>
      <c r="N368">
        <v>49736.7</v>
      </c>
      <c r="O368">
        <v>22149.39</v>
      </c>
      <c r="P368">
        <v>1836.99</v>
      </c>
      <c r="Q368">
        <v>-3.29</v>
      </c>
      <c r="R368">
        <v>0</v>
      </c>
    </row>
    <row r="369" spans="1:18" ht="12.75" customHeight="1" x14ac:dyDescent="0.25">
      <c r="D369" t="s">
        <v>72</v>
      </c>
      <c r="E369" s="142">
        <v>290933.13</v>
      </c>
      <c r="F369">
        <v>16731.98</v>
      </c>
      <c r="G369">
        <v>8859.59</v>
      </c>
      <c r="H369">
        <v>4990.67</v>
      </c>
      <c r="I369">
        <v>62427.81</v>
      </c>
      <c r="J369">
        <v>2251.8000000000002</v>
      </c>
      <c r="K369">
        <v>0</v>
      </c>
      <c r="L369">
        <v>26336.639999999999</v>
      </c>
      <c r="M369">
        <v>19419.82</v>
      </c>
      <c r="N369">
        <v>99473.4</v>
      </c>
      <c r="O369">
        <v>46762.68</v>
      </c>
      <c r="P369">
        <v>3673.98</v>
      </c>
      <c r="Q369">
        <v>4.76</v>
      </c>
      <c r="R369">
        <v>0</v>
      </c>
    </row>
    <row r="370" spans="1:18" ht="12.75" customHeight="1" x14ac:dyDescent="0.25">
      <c r="C370" t="s">
        <v>86</v>
      </c>
      <c r="D370" t="s">
        <v>70</v>
      </c>
      <c r="E370" s="142">
        <v>290933.13</v>
      </c>
      <c r="F370">
        <v>16731.98</v>
      </c>
      <c r="G370">
        <v>8859.59</v>
      </c>
      <c r="H370">
        <v>4990.67</v>
      </c>
      <c r="I370">
        <v>62427.81</v>
      </c>
      <c r="J370">
        <v>2251.8000000000002</v>
      </c>
      <c r="K370">
        <v>0</v>
      </c>
      <c r="L370">
        <v>26336.639999999999</v>
      </c>
      <c r="M370">
        <v>19419.82</v>
      </c>
      <c r="N370">
        <v>99473.4</v>
      </c>
      <c r="O370">
        <v>46762.68</v>
      </c>
      <c r="P370">
        <v>3673.98</v>
      </c>
      <c r="Q370">
        <v>4.76</v>
      </c>
      <c r="R370">
        <v>0</v>
      </c>
    </row>
    <row r="371" spans="1:18" ht="12.75" customHeight="1" x14ac:dyDescent="0.25">
      <c r="D371" t="s">
        <v>72</v>
      </c>
      <c r="E371" s="142">
        <v>189532.82</v>
      </c>
      <c r="F371">
        <v>12421.21</v>
      </c>
      <c r="G371">
        <v>7013.03</v>
      </c>
      <c r="H371">
        <v>3680.95</v>
      </c>
      <c r="I371">
        <v>40559.230000000003</v>
      </c>
      <c r="J371">
        <v>1563.75</v>
      </c>
      <c r="K371">
        <v>0</v>
      </c>
      <c r="L371">
        <v>13717</v>
      </c>
      <c r="M371">
        <v>13486</v>
      </c>
      <c r="N371">
        <v>58144.67</v>
      </c>
      <c r="O371">
        <v>37006.18</v>
      </c>
      <c r="P371">
        <v>1939.05</v>
      </c>
      <c r="Q371">
        <v>1.75</v>
      </c>
      <c r="R371">
        <v>0</v>
      </c>
    </row>
    <row r="372" spans="1:18" ht="12.75" customHeight="1" x14ac:dyDescent="0.25">
      <c r="B372" s="142"/>
      <c r="C372" t="s">
        <v>87</v>
      </c>
      <c r="D372" t="s">
        <v>70</v>
      </c>
      <c r="E372" s="142">
        <v>189532.82</v>
      </c>
      <c r="F372">
        <v>12421.21</v>
      </c>
      <c r="G372">
        <v>7013.03</v>
      </c>
      <c r="H372">
        <v>3680.95</v>
      </c>
      <c r="I372">
        <v>40559.230000000003</v>
      </c>
      <c r="J372">
        <v>1563.75</v>
      </c>
      <c r="K372">
        <v>0</v>
      </c>
      <c r="L372">
        <v>13717</v>
      </c>
      <c r="M372">
        <v>13486</v>
      </c>
      <c r="N372">
        <v>58144.67</v>
      </c>
      <c r="O372">
        <v>37006.18</v>
      </c>
      <c r="P372">
        <v>1939.05</v>
      </c>
      <c r="Q372">
        <v>1.75</v>
      </c>
      <c r="R372">
        <v>0</v>
      </c>
    </row>
    <row r="373" spans="1:18" s="94" customFormat="1" ht="12.75" customHeight="1" x14ac:dyDescent="0.25">
      <c r="B373" s="101" t="s">
        <v>119</v>
      </c>
      <c r="C373" s="101" t="s">
        <v>70</v>
      </c>
      <c r="E373" s="93">
        <v>618369.86</v>
      </c>
      <c r="F373" s="93">
        <v>36585.67</v>
      </c>
      <c r="G373" s="93">
        <v>20069.009999999998</v>
      </c>
      <c r="H373" s="93">
        <v>11029.11</v>
      </c>
      <c r="I373" s="93">
        <v>132472.75</v>
      </c>
      <c r="J373" s="93">
        <v>4941.45</v>
      </c>
      <c r="K373" s="93">
        <v>0</v>
      </c>
      <c r="L373" s="93">
        <v>49929.88</v>
      </c>
      <c r="M373" s="93">
        <v>42615.73</v>
      </c>
      <c r="N373" s="93">
        <v>207354.77</v>
      </c>
      <c r="O373" s="93">
        <v>105918.25</v>
      </c>
      <c r="P373" s="93">
        <v>7450.02</v>
      </c>
      <c r="Q373" s="93">
        <v>3.22</v>
      </c>
      <c r="R373" s="94">
        <v>0</v>
      </c>
    </row>
    <row r="374" spans="1:18" s="226" customFormat="1" ht="12.75" customHeight="1" x14ac:dyDescent="0.25">
      <c r="A374" s="98" t="s">
        <v>78</v>
      </c>
      <c r="B374" s="98" t="s">
        <v>70</v>
      </c>
      <c r="E374" s="100">
        <v>33808604.390000001</v>
      </c>
      <c r="F374" s="100">
        <v>2142757.85</v>
      </c>
      <c r="G374" s="100">
        <v>1217701.3700000001</v>
      </c>
      <c r="H374" s="100">
        <v>530191.01</v>
      </c>
      <c r="I374" s="100">
        <v>7032005.79</v>
      </c>
      <c r="J374" s="100">
        <v>237434.2</v>
      </c>
      <c r="K374" s="100">
        <v>308996.90999999997</v>
      </c>
      <c r="L374" s="100">
        <v>2755023.86</v>
      </c>
      <c r="M374" s="100">
        <v>2156919.75</v>
      </c>
      <c r="N374" s="100">
        <v>10532773.32</v>
      </c>
      <c r="O374" s="100">
        <v>6552890.9299999997</v>
      </c>
      <c r="P374" s="100">
        <v>342253.62</v>
      </c>
      <c r="Q374" s="100">
        <v>-344.22</v>
      </c>
      <c r="R374" s="226">
        <v>0</v>
      </c>
    </row>
    <row r="375" spans="1:18" ht="12.75" customHeight="1" x14ac:dyDescent="0.25">
      <c r="C375" s="89"/>
      <c r="D375" s="89" t="s">
        <v>73</v>
      </c>
      <c r="E375" s="90">
        <v>-2762742.4</v>
      </c>
      <c r="F375" s="90">
        <v>28864.959999999999</v>
      </c>
      <c r="G375" s="90">
        <v>1870.71</v>
      </c>
      <c r="H375" s="90">
        <v>6489.42</v>
      </c>
      <c r="I375" s="90">
        <v>-889398.75</v>
      </c>
      <c r="J375" s="90">
        <v>-34075.01</v>
      </c>
      <c r="K375" s="90">
        <v>0</v>
      </c>
      <c r="L375" s="90">
        <v>-281891.69</v>
      </c>
      <c r="M375" s="90">
        <v>-275234.69</v>
      </c>
      <c r="N375" s="90">
        <v>-1399953.38</v>
      </c>
      <c r="O375" s="90">
        <v>134607.82</v>
      </c>
      <c r="P375" s="90">
        <v>-54021.79</v>
      </c>
      <c r="Q375" s="90">
        <v>0</v>
      </c>
      <c r="R375">
        <v>0</v>
      </c>
    </row>
    <row r="376" spans="1:18" ht="12.75" customHeight="1" x14ac:dyDescent="0.25">
      <c r="B376" s="89"/>
      <c r="C376" s="89" t="s">
        <v>156</v>
      </c>
      <c r="D376" t="s">
        <v>70</v>
      </c>
      <c r="E376" s="90">
        <v>-2762742.4</v>
      </c>
      <c r="F376" s="90">
        <v>28864.959999999999</v>
      </c>
      <c r="G376" s="90">
        <v>1870.71</v>
      </c>
      <c r="H376" s="90">
        <v>6489.42</v>
      </c>
      <c r="I376" s="90">
        <v>-889398.75</v>
      </c>
      <c r="J376" s="90">
        <v>-34075.01</v>
      </c>
      <c r="K376" s="90">
        <v>0</v>
      </c>
      <c r="L376" s="90">
        <v>-281891.69</v>
      </c>
      <c r="M376" s="90">
        <v>-275234.69</v>
      </c>
      <c r="N376" s="90">
        <v>-1399953.38</v>
      </c>
      <c r="O376" s="90">
        <v>134607.82</v>
      </c>
      <c r="P376" s="90">
        <v>-54021.79</v>
      </c>
      <c r="Q376" s="90">
        <v>0</v>
      </c>
      <c r="R376">
        <v>0</v>
      </c>
    </row>
    <row r="377" spans="1:18" s="237" customFormat="1" ht="12.75" customHeight="1" x14ac:dyDescent="0.25">
      <c r="B377" s="221" t="s">
        <v>155</v>
      </c>
      <c r="C377" s="221" t="s">
        <v>70</v>
      </c>
      <c r="E377" s="222">
        <v>-2762742.4</v>
      </c>
      <c r="F377" s="222">
        <v>28864.959999999999</v>
      </c>
      <c r="G377" s="222">
        <v>1870.71</v>
      </c>
      <c r="H377" s="222">
        <v>6489.42</v>
      </c>
      <c r="I377" s="222">
        <v>-889398.75</v>
      </c>
      <c r="J377" s="222">
        <v>-34075.01</v>
      </c>
      <c r="K377" s="222">
        <v>0</v>
      </c>
      <c r="L377" s="222">
        <v>-281891.69</v>
      </c>
      <c r="M377" s="222">
        <v>-275234.69</v>
      </c>
      <c r="N377" s="222">
        <v>-1399953.38</v>
      </c>
      <c r="O377" s="222">
        <v>134607.82</v>
      </c>
      <c r="P377" s="222">
        <v>-54021.79</v>
      </c>
      <c r="Q377" s="222">
        <v>0</v>
      </c>
      <c r="R377" s="237">
        <v>0</v>
      </c>
    </row>
    <row r="378" spans="1:18" ht="12.75" customHeight="1" x14ac:dyDescent="0.25">
      <c r="B378" s="142"/>
      <c r="C378" s="89"/>
      <c r="D378" s="89" t="s">
        <v>73</v>
      </c>
      <c r="E378" s="374">
        <v>27293.81</v>
      </c>
      <c r="F378" s="90">
        <v>1466.52</v>
      </c>
      <c r="G378" s="90">
        <v>668.01</v>
      </c>
      <c r="H378" s="90">
        <v>434.59</v>
      </c>
      <c r="I378" s="90">
        <v>5897.15</v>
      </c>
      <c r="J378" s="90">
        <v>225.18</v>
      </c>
      <c r="K378" s="90">
        <v>0</v>
      </c>
      <c r="L378" s="90">
        <v>1975.25</v>
      </c>
      <c r="M378" s="90">
        <v>1942</v>
      </c>
      <c r="N378" s="90">
        <v>9947.34</v>
      </c>
      <c r="O378" s="90">
        <v>4370.3599999999997</v>
      </c>
      <c r="P378" s="90">
        <v>367.41</v>
      </c>
      <c r="Q378" s="90">
        <v>0</v>
      </c>
      <c r="R378">
        <v>0</v>
      </c>
    </row>
    <row r="379" spans="1:18" ht="12.75" customHeight="1" x14ac:dyDescent="0.25">
      <c r="B379" s="142"/>
      <c r="C379" s="89" t="s">
        <v>82</v>
      </c>
      <c r="D379" s="89" t="s">
        <v>70</v>
      </c>
      <c r="E379" s="374">
        <v>27293.81</v>
      </c>
      <c r="F379" s="90">
        <v>1466.52</v>
      </c>
      <c r="G379" s="90">
        <v>668.01</v>
      </c>
      <c r="H379" s="90">
        <v>434.59</v>
      </c>
      <c r="I379" s="90">
        <v>5897.15</v>
      </c>
      <c r="J379" s="90">
        <v>225.18</v>
      </c>
      <c r="K379" s="90">
        <v>0</v>
      </c>
      <c r="L379" s="90">
        <v>1975.25</v>
      </c>
      <c r="M379" s="90">
        <v>1942</v>
      </c>
      <c r="N379" s="90">
        <v>9947.34</v>
      </c>
      <c r="O379" s="90">
        <v>4370.3599999999997</v>
      </c>
      <c r="P379" s="90">
        <v>367.41</v>
      </c>
      <c r="Q379" s="90">
        <v>0</v>
      </c>
      <c r="R379">
        <v>0</v>
      </c>
    </row>
    <row r="380" spans="1:18" ht="12.75" customHeight="1" x14ac:dyDescent="0.25">
      <c r="B380" s="142"/>
      <c r="C380" s="89"/>
      <c r="D380" s="89" t="s">
        <v>73</v>
      </c>
      <c r="E380" s="374">
        <v>-14220.19</v>
      </c>
      <c r="F380" s="90">
        <v>-249.44</v>
      </c>
      <c r="G380" s="90">
        <v>-140.83000000000001</v>
      </c>
      <c r="H380" s="90">
        <v>-73.92</v>
      </c>
      <c r="I380" s="90">
        <v>-4422.8599999999997</v>
      </c>
      <c r="J380" s="90">
        <v>18.760000000000002</v>
      </c>
      <c r="K380" s="90">
        <v>0</v>
      </c>
      <c r="L380" s="90">
        <v>164.61</v>
      </c>
      <c r="M380" s="90">
        <v>-1037.1199999999999</v>
      </c>
      <c r="N380" s="90">
        <v>-7460.51</v>
      </c>
      <c r="O380" s="90">
        <v>-743.34</v>
      </c>
      <c r="P380" s="90">
        <v>-275.54000000000002</v>
      </c>
      <c r="Q380" s="90">
        <v>0</v>
      </c>
      <c r="R380">
        <v>0</v>
      </c>
    </row>
    <row r="381" spans="1:18" ht="12.75" customHeight="1" x14ac:dyDescent="0.25">
      <c r="B381" s="142"/>
      <c r="C381" s="89" t="s">
        <v>86</v>
      </c>
      <c r="D381" s="89" t="s">
        <v>70</v>
      </c>
      <c r="E381" s="374">
        <v>-14220.19</v>
      </c>
      <c r="F381" s="90">
        <v>-249.44</v>
      </c>
      <c r="G381" s="90">
        <v>-140.83000000000001</v>
      </c>
      <c r="H381" s="90">
        <v>-73.92</v>
      </c>
      <c r="I381" s="90">
        <v>-4422.8599999999997</v>
      </c>
      <c r="J381" s="90">
        <v>18.760000000000002</v>
      </c>
      <c r="K381" s="90">
        <v>0</v>
      </c>
      <c r="L381" s="90">
        <v>164.61</v>
      </c>
      <c r="M381" s="90">
        <v>-1037.1199999999999</v>
      </c>
      <c r="N381" s="90">
        <v>-7460.51</v>
      </c>
      <c r="O381" s="90">
        <v>-743.34</v>
      </c>
      <c r="P381" s="90">
        <v>-275.54000000000002</v>
      </c>
      <c r="Q381" s="90">
        <v>0</v>
      </c>
      <c r="R381">
        <v>0</v>
      </c>
    </row>
    <row r="382" spans="1:18" ht="12.75" customHeight="1" x14ac:dyDescent="0.25">
      <c r="B382" s="142"/>
      <c r="C382" s="89"/>
      <c r="D382" s="89" t="s">
        <v>73</v>
      </c>
      <c r="E382" s="374">
        <v>24215.53</v>
      </c>
      <c r="F382" s="90">
        <v>1673.55</v>
      </c>
      <c r="G382" s="90">
        <v>944.89</v>
      </c>
      <c r="H382" s="90">
        <v>495.95</v>
      </c>
      <c r="I382" s="90">
        <v>4668.57</v>
      </c>
      <c r="J382" s="90">
        <v>178.27</v>
      </c>
      <c r="K382" s="90">
        <v>0</v>
      </c>
      <c r="L382" s="90">
        <v>1563.74</v>
      </c>
      <c r="M382" s="90">
        <v>1537.4</v>
      </c>
      <c r="N382" s="90">
        <v>7874.98</v>
      </c>
      <c r="O382" s="90">
        <v>4987.32</v>
      </c>
      <c r="P382" s="90">
        <v>290.86</v>
      </c>
      <c r="Q382" s="90">
        <v>0</v>
      </c>
      <c r="R382">
        <v>0</v>
      </c>
    </row>
    <row r="383" spans="1:18" ht="12.75" customHeight="1" x14ac:dyDescent="0.25">
      <c r="B383" s="142"/>
      <c r="C383" s="89" t="s">
        <v>87</v>
      </c>
      <c r="D383" s="89" t="s">
        <v>70</v>
      </c>
      <c r="E383" s="374">
        <v>24215.53</v>
      </c>
      <c r="F383" s="90">
        <v>1673.55</v>
      </c>
      <c r="G383" s="90">
        <v>944.89</v>
      </c>
      <c r="H383" s="90">
        <v>495.95</v>
      </c>
      <c r="I383" s="90">
        <v>4668.57</v>
      </c>
      <c r="J383" s="90">
        <v>178.27</v>
      </c>
      <c r="K383" s="90">
        <v>0</v>
      </c>
      <c r="L383" s="90">
        <v>1563.74</v>
      </c>
      <c r="M383" s="90">
        <v>1537.4</v>
      </c>
      <c r="N383" s="90">
        <v>7874.98</v>
      </c>
      <c r="O383" s="90">
        <v>4987.32</v>
      </c>
      <c r="P383" s="90">
        <v>290.86</v>
      </c>
      <c r="Q383" s="90">
        <v>0</v>
      </c>
      <c r="R383">
        <v>0</v>
      </c>
    </row>
    <row r="384" spans="1:18" s="94" customFormat="1" ht="12.75" customHeight="1" x14ac:dyDescent="0.25">
      <c r="B384" s="101" t="s">
        <v>119</v>
      </c>
      <c r="C384" s="101" t="s">
        <v>70</v>
      </c>
      <c r="E384" s="93">
        <v>37289.15</v>
      </c>
      <c r="F384" s="93">
        <v>2890.63</v>
      </c>
      <c r="G384" s="93">
        <v>1472.07</v>
      </c>
      <c r="H384" s="93">
        <v>856.62</v>
      </c>
      <c r="I384" s="93">
        <v>6142.86</v>
      </c>
      <c r="J384" s="93">
        <v>422.21</v>
      </c>
      <c r="K384" s="93">
        <v>0</v>
      </c>
      <c r="L384" s="93">
        <v>3703.6</v>
      </c>
      <c r="M384" s="93">
        <v>2442.2800000000002</v>
      </c>
      <c r="N384" s="93">
        <v>10361.81</v>
      </c>
      <c r="O384" s="93">
        <v>8614.34</v>
      </c>
      <c r="P384" s="93">
        <v>382.73</v>
      </c>
      <c r="Q384" s="93">
        <v>0</v>
      </c>
      <c r="R384" s="94">
        <v>0</v>
      </c>
    </row>
    <row r="385" spans="1:18" s="226" customFormat="1" ht="12.75" customHeight="1" x14ac:dyDescent="0.25">
      <c r="A385" s="98" t="s">
        <v>79</v>
      </c>
      <c r="B385" s="98" t="s">
        <v>70</v>
      </c>
      <c r="E385" s="100">
        <v>-2725453.25</v>
      </c>
      <c r="F385" s="100">
        <v>31755.59</v>
      </c>
      <c r="G385" s="100">
        <v>3342.78</v>
      </c>
      <c r="H385" s="100">
        <v>7346.04</v>
      </c>
      <c r="I385" s="100">
        <v>-883255.89</v>
      </c>
      <c r="J385" s="100">
        <v>-33652.800000000003</v>
      </c>
      <c r="K385" s="100">
        <v>0</v>
      </c>
      <c r="L385" s="100">
        <v>-278188.09000000003</v>
      </c>
      <c r="M385" s="100">
        <v>-272792.40999999997</v>
      </c>
      <c r="N385" s="100">
        <v>-1389591.57</v>
      </c>
      <c r="O385" s="100">
        <v>143222.16</v>
      </c>
      <c r="P385" s="100">
        <v>-53639.06</v>
      </c>
      <c r="Q385" s="100">
        <v>0</v>
      </c>
      <c r="R385" s="226">
        <v>0</v>
      </c>
    </row>
    <row r="386" spans="1:18" ht="12.75" customHeight="1" x14ac:dyDescent="0.25">
      <c r="A386" s="89" t="s">
        <v>70</v>
      </c>
      <c r="E386" s="90">
        <v>31083151.140000001</v>
      </c>
      <c r="F386" s="90">
        <v>2174513.44</v>
      </c>
      <c r="G386" s="90">
        <v>1221044.1499999999</v>
      </c>
      <c r="H386" s="90">
        <v>537537.05000000005</v>
      </c>
      <c r="I386" s="90">
        <v>6148749.9000000004</v>
      </c>
      <c r="J386" s="90">
        <v>203781.4</v>
      </c>
      <c r="K386" s="90">
        <v>308996.90999999997</v>
      </c>
      <c r="L386" s="90">
        <v>2476835.77</v>
      </c>
      <c r="M386" s="90">
        <v>1884127.34</v>
      </c>
      <c r="N386" s="90">
        <v>9143181.75</v>
      </c>
      <c r="O386" s="90">
        <v>6696113.0899999999</v>
      </c>
      <c r="P386" s="90">
        <v>288614.56</v>
      </c>
      <c r="Q386" s="90">
        <v>-344.22</v>
      </c>
      <c r="R386" s="90">
        <v>0</v>
      </c>
    </row>
    <row r="387" spans="1:18" ht="12.75" hidden="1" customHeight="1" x14ac:dyDescent="0.25">
      <c r="A387" s="89"/>
      <c r="E387" s="90"/>
      <c r="F387" s="90"/>
      <c r="G387" s="90"/>
      <c r="H387" s="90"/>
      <c r="I387" s="90"/>
      <c r="J387" s="90"/>
      <c r="K387" s="90"/>
      <c r="L387" s="90"/>
      <c r="M387" s="90"/>
      <c r="N387" s="90"/>
      <c r="O387" s="90"/>
      <c r="P387" s="90"/>
      <c r="Q387" s="90"/>
      <c r="R387" s="90"/>
    </row>
    <row r="388" spans="1:18" ht="12.75" hidden="1" customHeight="1" x14ac:dyDescent="0.25">
      <c r="A388" s="89"/>
      <c r="E388" s="90"/>
      <c r="F388" s="90"/>
      <c r="G388" s="90"/>
      <c r="H388" s="90"/>
      <c r="I388" s="90"/>
      <c r="J388" s="90"/>
      <c r="K388" s="90"/>
      <c r="L388" s="90"/>
      <c r="M388" s="90"/>
      <c r="N388" s="90"/>
      <c r="O388" s="90"/>
      <c r="P388" s="90"/>
      <c r="Q388" s="90"/>
      <c r="R388" s="90"/>
    </row>
    <row r="389" spans="1:18" ht="12.75" hidden="1" customHeight="1" x14ac:dyDescent="0.25">
      <c r="A389" s="89"/>
      <c r="E389" s="90"/>
      <c r="F389" s="90"/>
      <c r="G389" s="90"/>
      <c r="H389" s="90"/>
      <c r="I389" s="90"/>
      <c r="J389" s="90"/>
      <c r="K389" s="90"/>
      <c r="L389" s="90"/>
      <c r="M389" s="90"/>
      <c r="N389" s="90"/>
      <c r="O389" s="90"/>
      <c r="P389" s="90"/>
      <c r="Q389" s="90"/>
      <c r="R389" s="90"/>
    </row>
    <row r="390" spans="1:18" ht="12.75" hidden="1" customHeight="1" x14ac:dyDescent="0.25">
      <c r="A390" s="89"/>
      <c r="E390" s="90"/>
      <c r="F390" s="90"/>
      <c r="G390" s="90"/>
      <c r="H390" s="90"/>
      <c r="I390" s="90"/>
      <c r="J390" s="90"/>
      <c r="K390" s="90"/>
      <c r="L390" s="90"/>
      <c r="M390" s="90"/>
      <c r="N390" s="90"/>
      <c r="O390" s="90"/>
      <c r="P390" s="90"/>
      <c r="Q390" s="90"/>
      <c r="R390" s="90"/>
    </row>
    <row r="391" spans="1:18" ht="12.75" hidden="1" customHeight="1" x14ac:dyDescent="0.25">
      <c r="A391" s="89"/>
      <c r="E391" s="90"/>
      <c r="F391" s="90"/>
      <c r="G391" s="90"/>
      <c r="H391" s="90"/>
      <c r="I391" s="90"/>
      <c r="J391" s="90"/>
      <c r="K391" s="90"/>
      <c r="L391" s="90"/>
      <c r="M391" s="90"/>
      <c r="N391" s="90"/>
      <c r="O391" s="90"/>
      <c r="P391" s="90"/>
      <c r="Q391" s="90"/>
      <c r="R391" s="90"/>
    </row>
    <row r="392" spans="1:18" ht="12.75" hidden="1" customHeight="1" x14ac:dyDescent="0.25">
      <c r="A392" s="89"/>
      <c r="E392" s="90"/>
      <c r="F392" s="90"/>
      <c r="G392" s="90"/>
      <c r="H392" s="90"/>
      <c r="I392" s="90"/>
      <c r="J392" s="90"/>
      <c r="K392" s="90"/>
      <c r="L392" s="90"/>
      <c r="M392" s="90"/>
      <c r="N392" s="90"/>
      <c r="O392" s="90"/>
      <c r="P392" s="90"/>
      <c r="Q392" s="90"/>
      <c r="R392" s="90"/>
    </row>
    <row r="393" spans="1:18" ht="12.75" hidden="1" customHeight="1" x14ac:dyDescent="0.25">
      <c r="A393" s="89"/>
      <c r="E393" s="90"/>
      <c r="F393" s="90"/>
      <c r="G393" s="90"/>
      <c r="H393" s="90"/>
      <c r="I393" s="90"/>
      <c r="J393" s="90"/>
      <c r="K393" s="90"/>
      <c r="L393" s="90"/>
      <c r="M393" s="90"/>
      <c r="N393" s="90"/>
      <c r="O393" s="90"/>
      <c r="P393" s="90"/>
      <c r="Q393" s="90"/>
      <c r="R393" s="90"/>
    </row>
    <row r="394" spans="1:18" ht="12.75" hidden="1" customHeight="1" x14ac:dyDescent="0.25">
      <c r="A394" s="89"/>
      <c r="E394" s="90"/>
      <c r="F394" s="90"/>
      <c r="G394" s="90"/>
      <c r="H394" s="90"/>
      <c r="I394" s="90"/>
      <c r="J394" s="90"/>
      <c r="K394" s="90"/>
      <c r="L394" s="90"/>
      <c r="M394" s="90"/>
      <c r="N394" s="90"/>
      <c r="O394" s="90"/>
      <c r="P394" s="90"/>
      <c r="Q394" s="90"/>
      <c r="R394" s="90"/>
    </row>
    <row r="395" spans="1:18" ht="12.75" hidden="1" customHeight="1" x14ac:dyDescent="0.25">
      <c r="A395" s="89"/>
      <c r="E395" s="90"/>
      <c r="F395" s="90"/>
      <c r="G395" s="90"/>
      <c r="H395" s="90"/>
      <c r="I395" s="90"/>
      <c r="J395" s="90"/>
      <c r="K395" s="90"/>
      <c r="L395" s="90"/>
      <c r="M395" s="90"/>
      <c r="N395" s="90"/>
      <c r="O395" s="90"/>
      <c r="P395" s="90"/>
      <c r="Q395" s="90"/>
      <c r="R395" s="90"/>
    </row>
    <row r="396" spans="1:18" ht="12.75" hidden="1" customHeight="1" x14ac:dyDescent="0.25">
      <c r="A396" s="89"/>
      <c r="E396" s="90"/>
      <c r="F396" s="90"/>
      <c r="G396" s="90"/>
      <c r="H396" s="90"/>
      <c r="I396" s="90"/>
      <c r="J396" s="90"/>
      <c r="K396" s="90"/>
      <c r="L396" s="90"/>
      <c r="M396" s="90"/>
      <c r="N396" s="90"/>
      <c r="O396" s="90"/>
      <c r="P396" s="90"/>
      <c r="Q396" s="90"/>
      <c r="R396" s="90"/>
    </row>
    <row r="397" spans="1:18" ht="12.75" hidden="1" customHeight="1" x14ac:dyDescent="0.25">
      <c r="A397" s="89"/>
      <c r="E397" s="90"/>
      <c r="F397" s="90"/>
      <c r="G397" s="90"/>
      <c r="H397" s="90"/>
      <c r="I397" s="90"/>
      <c r="J397" s="90"/>
      <c r="K397" s="90"/>
      <c r="L397" s="90"/>
      <c r="M397" s="90"/>
      <c r="N397" s="90"/>
      <c r="O397" s="90"/>
      <c r="P397" s="90"/>
      <c r="Q397" s="90"/>
      <c r="R397" s="90"/>
    </row>
    <row r="398" spans="1:18" ht="12.75" hidden="1" customHeight="1" x14ac:dyDescent="0.25">
      <c r="A398" s="89"/>
      <c r="E398" s="90"/>
      <c r="F398" s="90"/>
      <c r="G398" s="90"/>
      <c r="H398" s="90"/>
      <c r="I398" s="90"/>
      <c r="J398" s="90"/>
      <c r="K398" s="90"/>
      <c r="L398" s="90"/>
      <c r="M398" s="90"/>
      <c r="N398" s="90"/>
      <c r="O398" s="90"/>
      <c r="P398" s="90"/>
      <c r="Q398" s="90"/>
      <c r="R398" s="90"/>
    </row>
    <row r="399" spans="1:18" ht="12.75" hidden="1" customHeight="1" x14ac:dyDescent="0.25">
      <c r="A399" s="89"/>
      <c r="E399" s="90"/>
      <c r="F399" s="90"/>
      <c r="G399" s="90"/>
      <c r="H399" s="90"/>
      <c r="I399" s="90"/>
      <c r="J399" s="90"/>
      <c r="K399" s="90"/>
      <c r="L399" s="90"/>
      <c r="M399" s="90"/>
      <c r="N399" s="90"/>
      <c r="O399" s="90"/>
      <c r="P399" s="90"/>
      <c r="Q399" s="90"/>
      <c r="R399" s="90"/>
    </row>
    <row r="400" spans="1:18" ht="12.75" hidden="1" customHeight="1" x14ac:dyDescent="0.25">
      <c r="A400" s="89"/>
      <c r="E400" s="90"/>
      <c r="F400" s="90"/>
      <c r="G400" s="90"/>
      <c r="H400" s="90"/>
      <c r="I400" s="90"/>
      <c r="J400" s="90"/>
      <c r="K400" s="90"/>
      <c r="L400" s="90"/>
      <c r="M400" s="90"/>
      <c r="N400" s="90"/>
      <c r="O400" s="90"/>
      <c r="P400" s="90"/>
      <c r="Q400" s="90"/>
      <c r="R400" s="90"/>
    </row>
    <row r="401" spans="1:18" ht="12.75" hidden="1" customHeight="1" x14ac:dyDescent="0.25">
      <c r="A401" s="89"/>
      <c r="E401" s="90"/>
      <c r="F401" s="90"/>
      <c r="G401" s="90"/>
      <c r="H401" s="90"/>
      <c r="I401" s="90"/>
      <c r="J401" s="90"/>
      <c r="K401" s="90"/>
      <c r="L401" s="90"/>
      <c r="M401" s="90"/>
      <c r="N401" s="90"/>
      <c r="O401" s="90"/>
      <c r="P401" s="90"/>
      <c r="Q401" s="90"/>
      <c r="R401" s="90"/>
    </row>
    <row r="402" spans="1:18" ht="12.75" hidden="1" customHeight="1" x14ac:dyDescent="0.25">
      <c r="A402" s="89"/>
      <c r="E402" s="90"/>
      <c r="F402" s="90"/>
      <c r="G402" s="90"/>
      <c r="H402" s="90"/>
      <c r="I402" s="90"/>
      <c r="J402" s="90"/>
      <c r="K402" s="90"/>
      <c r="L402" s="90"/>
      <c r="M402" s="90"/>
      <c r="N402" s="90"/>
      <c r="O402" s="90"/>
      <c r="P402" s="90"/>
      <c r="Q402" s="90"/>
      <c r="R402" s="90"/>
    </row>
    <row r="403" spans="1:18" ht="12.75" hidden="1" customHeight="1" x14ac:dyDescent="0.25">
      <c r="A403" s="89"/>
      <c r="E403" s="90"/>
      <c r="F403" s="90"/>
      <c r="G403" s="90"/>
      <c r="H403" s="90"/>
      <c r="I403" s="90"/>
      <c r="J403" s="90"/>
      <c r="K403" s="90"/>
      <c r="L403" s="90"/>
      <c r="M403" s="90"/>
      <c r="N403" s="90"/>
      <c r="O403" s="90"/>
      <c r="P403" s="90"/>
      <c r="Q403" s="90"/>
      <c r="R403" s="90"/>
    </row>
    <row r="404" spans="1:18" ht="12.75" hidden="1" customHeight="1" x14ac:dyDescent="0.25">
      <c r="A404" s="89"/>
      <c r="E404" s="90"/>
      <c r="F404" s="90"/>
      <c r="G404" s="90"/>
      <c r="H404" s="90"/>
      <c r="I404" s="90"/>
      <c r="J404" s="90"/>
      <c r="K404" s="90"/>
      <c r="L404" s="90"/>
      <c r="M404" s="90"/>
      <c r="N404" s="90"/>
      <c r="O404" s="90"/>
      <c r="P404" s="90"/>
      <c r="Q404" s="90"/>
      <c r="R404" s="90"/>
    </row>
    <row r="405" spans="1:18" ht="12.75" hidden="1" customHeight="1" x14ac:dyDescent="0.25">
      <c r="A405" s="89"/>
      <c r="E405" s="90"/>
      <c r="F405" s="90"/>
      <c r="G405" s="90"/>
      <c r="H405" s="90"/>
      <c r="I405" s="90"/>
      <c r="J405" s="90"/>
      <c r="K405" s="90"/>
      <c r="L405" s="90"/>
      <c r="M405" s="90"/>
      <c r="N405" s="90"/>
      <c r="O405" s="90"/>
      <c r="P405" s="90"/>
      <c r="Q405" s="90"/>
      <c r="R405" s="90"/>
    </row>
    <row r="406" spans="1:18" ht="12.75" hidden="1" customHeight="1" x14ac:dyDescent="0.25">
      <c r="A406" s="89"/>
      <c r="E406" s="90"/>
      <c r="F406" s="90"/>
      <c r="G406" s="90"/>
      <c r="H406" s="90"/>
      <c r="I406" s="90"/>
      <c r="J406" s="90"/>
      <c r="K406" s="90"/>
      <c r="L406" s="90"/>
      <c r="M406" s="90"/>
      <c r="N406" s="90"/>
      <c r="O406" s="90"/>
      <c r="P406" s="90"/>
      <c r="Q406" s="90"/>
      <c r="R406" s="90"/>
    </row>
    <row r="407" spans="1:18" ht="12.75" hidden="1" customHeight="1" x14ac:dyDescent="0.25">
      <c r="A407" s="89"/>
      <c r="E407" s="90"/>
      <c r="F407" s="90"/>
      <c r="G407" s="90"/>
      <c r="H407" s="90"/>
      <c r="I407" s="90"/>
      <c r="J407" s="90"/>
      <c r="K407" s="90"/>
      <c r="L407" s="90"/>
      <c r="M407" s="90"/>
      <c r="N407" s="90"/>
      <c r="O407" s="90"/>
      <c r="P407" s="90"/>
      <c r="Q407" s="90"/>
      <c r="R407" s="90"/>
    </row>
    <row r="408" spans="1:18" ht="12.75" hidden="1" customHeight="1" x14ac:dyDescent="0.25">
      <c r="A408" s="89"/>
      <c r="E408" s="90"/>
      <c r="F408" s="90"/>
      <c r="G408" s="90"/>
      <c r="H408" s="90"/>
      <c r="I408" s="90"/>
      <c r="J408" s="90"/>
      <c r="K408" s="90"/>
      <c r="L408" s="90"/>
      <c r="M408" s="90"/>
      <c r="N408" s="90"/>
      <c r="O408" s="90"/>
      <c r="P408" s="90"/>
      <c r="Q408" s="90"/>
      <c r="R408" s="90"/>
    </row>
    <row r="409" spans="1:18" ht="12.75" hidden="1" customHeight="1" x14ac:dyDescent="0.25">
      <c r="A409" s="89"/>
      <c r="E409" s="90"/>
      <c r="F409" s="90"/>
      <c r="G409" s="90"/>
      <c r="H409" s="90"/>
      <c r="I409" s="90"/>
      <c r="J409" s="90"/>
      <c r="K409" s="90"/>
      <c r="L409" s="90"/>
      <c r="M409" s="90"/>
      <c r="N409" s="90"/>
      <c r="O409" s="90"/>
      <c r="P409" s="90"/>
      <c r="Q409" s="90"/>
      <c r="R409" s="90"/>
    </row>
    <row r="410" spans="1:18" ht="12.75" hidden="1" customHeight="1" x14ac:dyDescent="0.25">
      <c r="A410" s="89"/>
      <c r="E410" s="90"/>
      <c r="F410" s="90"/>
      <c r="G410" s="90"/>
      <c r="H410" s="90"/>
      <c r="I410" s="90"/>
      <c r="J410" s="90"/>
      <c r="K410" s="90"/>
      <c r="L410" s="90"/>
      <c r="M410" s="90"/>
      <c r="N410" s="90"/>
      <c r="O410" s="90"/>
      <c r="P410" s="90"/>
      <c r="Q410" s="90"/>
      <c r="R410" s="90"/>
    </row>
    <row r="411" spans="1:18" ht="12.75" customHeight="1" x14ac:dyDescent="0.25">
      <c r="A411" s="89"/>
      <c r="E411" s="90"/>
      <c r="F411" s="90"/>
      <c r="G411" s="90"/>
      <c r="H411" s="90"/>
      <c r="I411" s="90"/>
      <c r="J411" s="90"/>
      <c r="K411" s="90"/>
      <c r="L411" s="90"/>
      <c r="M411" s="90"/>
      <c r="N411" s="90"/>
      <c r="O411" s="90"/>
      <c r="P411" s="90"/>
      <c r="Q411" s="90"/>
      <c r="R411" s="90"/>
    </row>
    <row r="412" spans="1:18" ht="12.75" customHeight="1" x14ac:dyDescent="0.25">
      <c r="A412" s="89"/>
      <c r="E412" s="90"/>
      <c r="F412" s="90"/>
      <c r="G412" s="90"/>
      <c r="H412" s="90"/>
      <c r="I412" s="90"/>
      <c r="J412" s="90"/>
      <c r="K412" s="90"/>
      <c r="L412" s="90"/>
      <c r="M412" s="90"/>
      <c r="N412" s="90"/>
      <c r="O412" s="90"/>
      <c r="P412" s="90"/>
      <c r="Q412" s="90"/>
      <c r="R412" s="90"/>
    </row>
    <row r="413" spans="1:18" ht="12.75" customHeight="1" x14ac:dyDescent="0.25">
      <c r="B413" s="766" t="s">
        <v>2</v>
      </c>
      <c r="C413" s="764" t="s">
        <v>132</v>
      </c>
      <c r="D413" s="98" t="s">
        <v>70</v>
      </c>
      <c r="E413" s="100">
        <f>E385+E374-K374</f>
        <v>30774154.23</v>
      </c>
      <c r="F413" s="100">
        <f>F374</f>
        <v>2142757.85</v>
      </c>
      <c r="G413" s="100">
        <f t="shared" ref="G413:R413" si="14">G374</f>
        <v>1217701.3700000001</v>
      </c>
      <c r="H413" s="100">
        <f t="shared" si="14"/>
        <v>530191.01</v>
      </c>
      <c r="I413" s="100">
        <f t="shared" si="14"/>
        <v>7032005.79</v>
      </c>
      <c r="J413" s="100">
        <f t="shared" si="14"/>
        <v>237434.2</v>
      </c>
      <c r="K413" s="100">
        <f t="shared" si="14"/>
        <v>308996.90999999997</v>
      </c>
      <c r="L413" s="100">
        <f t="shared" si="14"/>
        <v>2755023.86</v>
      </c>
      <c r="M413" s="100">
        <f t="shared" si="14"/>
        <v>2156919.75</v>
      </c>
      <c r="N413" s="100">
        <f t="shared" si="14"/>
        <v>10532773.32</v>
      </c>
      <c r="O413" s="100">
        <f t="shared" si="14"/>
        <v>6552890.9299999997</v>
      </c>
      <c r="P413" s="100">
        <f t="shared" si="14"/>
        <v>342253.62</v>
      </c>
      <c r="Q413" s="100">
        <f t="shared" si="14"/>
        <v>-344.22</v>
      </c>
      <c r="R413" s="100">
        <f t="shared" si="14"/>
        <v>0</v>
      </c>
    </row>
    <row r="414" spans="1:18" ht="12.75" customHeight="1" x14ac:dyDescent="0.25">
      <c r="B414" s="766"/>
      <c r="C414" s="764"/>
      <c r="D414" s="98" t="s">
        <v>73</v>
      </c>
      <c r="E414" s="100">
        <f>E385</f>
        <v>-2725453.25</v>
      </c>
      <c r="F414" s="90"/>
      <c r="G414" s="90"/>
      <c r="H414" s="90"/>
      <c r="I414" s="90"/>
      <c r="J414" s="90"/>
      <c r="K414" s="90"/>
      <c r="L414" s="90"/>
      <c r="M414" s="90"/>
      <c r="N414" s="90"/>
      <c r="O414" s="90"/>
      <c r="P414" s="90"/>
      <c r="Q414" s="90"/>
      <c r="R414" s="90"/>
    </row>
    <row r="415" spans="1:18" ht="12.75" customHeight="1" x14ac:dyDescent="0.3">
      <c r="A415" s="89"/>
      <c r="B415" s="97"/>
      <c r="E415" s="90"/>
      <c r="F415" s="90"/>
      <c r="G415" s="90"/>
      <c r="H415" s="90"/>
      <c r="I415" s="90"/>
      <c r="J415" s="90"/>
      <c r="K415" s="90"/>
      <c r="L415" s="90"/>
      <c r="M415" s="90"/>
      <c r="N415" s="90"/>
      <c r="O415" s="90"/>
      <c r="P415" s="90"/>
      <c r="Q415" s="90"/>
      <c r="R415" s="90"/>
    </row>
    <row r="416" spans="1:18" ht="12.75" customHeight="1" x14ac:dyDescent="0.25">
      <c r="B416" s="766" t="s">
        <v>160</v>
      </c>
      <c r="C416" s="764" t="s">
        <v>132</v>
      </c>
      <c r="D416" s="223" t="s">
        <v>70</v>
      </c>
      <c r="E416" s="225">
        <v>0</v>
      </c>
      <c r="F416" s="225">
        <v>0</v>
      </c>
      <c r="G416" s="225">
        <v>0</v>
      </c>
      <c r="H416" s="225">
        <v>0</v>
      </c>
      <c r="I416" s="225">
        <v>0</v>
      </c>
      <c r="J416" s="225">
        <v>0</v>
      </c>
      <c r="K416" s="225">
        <v>0</v>
      </c>
      <c r="L416" s="225">
        <v>0</v>
      </c>
      <c r="M416" s="225">
        <v>0</v>
      </c>
      <c r="N416" s="225">
        <v>0</v>
      </c>
      <c r="O416" s="225">
        <v>0</v>
      </c>
      <c r="P416" s="225">
        <v>0</v>
      </c>
      <c r="Q416" s="225">
        <v>0</v>
      </c>
      <c r="R416" s="225">
        <v>0</v>
      </c>
    </row>
    <row r="417" spans="1:18" ht="12.75" customHeight="1" x14ac:dyDescent="0.25">
      <c r="B417" s="766"/>
      <c r="C417" s="764"/>
      <c r="D417" s="223" t="s">
        <v>73</v>
      </c>
      <c r="E417" s="225">
        <v>0</v>
      </c>
      <c r="F417" s="90"/>
      <c r="G417" s="90"/>
      <c r="H417" s="90"/>
      <c r="I417" s="90"/>
      <c r="J417" s="90"/>
      <c r="K417" s="90"/>
      <c r="L417" s="90"/>
      <c r="M417" s="90"/>
      <c r="N417" s="90"/>
      <c r="O417" s="90"/>
      <c r="P417" s="90"/>
      <c r="Q417" s="90"/>
      <c r="R417" s="90"/>
    </row>
    <row r="418" spans="1:18" ht="12.75" customHeight="1" x14ac:dyDescent="0.3">
      <c r="A418" s="89"/>
      <c r="B418" s="97"/>
      <c r="E418" s="90"/>
      <c r="F418" s="90"/>
      <c r="G418" s="90"/>
      <c r="H418" s="90"/>
      <c r="I418" s="90"/>
      <c r="J418" s="90"/>
      <c r="K418" s="90"/>
      <c r="L418" s="90"/>
      <c r="M418" s="90"/>
      <c r="N418" s="90"/>
      <c r="O418" s="90"/>
      <c r="P418" s="90"/>
      <c r="Q418" s="90"/>
      <c r="R418" s="90"/>
    </row>
    <row r="419" spans="1:18" ht="12.75" customHeight="1" x14ac:dyDescent="0.25">
      <c r="B419" s="766" t="s">
        <v>155</v>
      </c>
      <c r="C419" s="764" t="s">
        <v>132</v>
      </c>
      <c r="D419" s="221" t="s">
        <v>70</v>
      </c>
      <c r="E419" s="222">
        <f>E377+E366-K366</f>
        <v>30118495.220000003</v>
      </c>
      <c r="F419" s="222">
        <f t="shared" ref="F419:R419" si="15">F366</f>
        <v>2106172.1800000002</v>
      </c>
      <c r="G419" s="222">
        <f t="shared" si="15"/>
        <v>1197632.3600000001</v>
      </c>
      <c r="H419" s="222">
        <f t="shared" si="15"/>
        <v>519161.9</v>
      </c>
      <c r="I419" s="222">
        <f t="shared" si="15"/>
        <v>6899533.04</v>
      </c>
      <c r="J419" s="222">
        <f t="shared" si="15"/>
        <v>232492.75</v>
      </c>
      <c r="K419" s="222">
        <f t="shared" si="15"/>
        <v>308996.90999999997</v>
      </c>
      <c r="L419" s="222">
        <f t="shared" si="15"/>
        <v>2705093.98</v>
      </c>
      <c r="M419" s="222">
        <f t="shared" si="15"/>
        <v>2114304.02</v>
      </c>
      <c r="N419" s="222">
        <f t="shared" si="15"/>
        <v>10325418.550000001</v>
      </c>
      <c r="O419" s="222">
        <f t="shared" si="15"/>
        <v>6446972.6799999997</v>
      </c>
      <c r="P419" s="222">
        <f t="shared" si="15"/>
        <v>334803.59999999998</v>
      </c>
      <c r="Q419" s="222">
        <f t="shared" si="15"/>
        <v>-347.44</v>
      </c>
      <c r="R419" s="222">
        <f t="shared" si="15"/>
        <v>0</v>
      </c>
    </row>
    <row r="420" spans="1:18" ht="12.75" customHeight="1" x14ac:dyDescent="0.25">
      <c r="B420" s="766"/>
      <c r="C420" s="764"/>
      <c r="D420" s="221" t="s">
        <v>73</v>
      </c>
      <c r="E420" s="222">
        <f>E377</f>
        <v>-2762742.4</v>
      </c>
      <c r="F420" s="90"/>
      <c r="G420" s="90"/>
      <c r="H420" s="90"/>
      <c r="I420" s="90"/>
      <c r="J420" s="90"/>
      <c r="K420" s="90"/>
      <c r="L420" s="90"/>
      <c r="M420" s="90"/>
      <c r="N420" s="90"/>
      <c r="O420" s="90"/>
      <c r="P420" s="90"/>
      <c r="Q420" s="90"/>
      <c r="R420" s="90"/>
    </row>
    <row r="421" spans="1:18" ht="12.75" customHeight="1" x14ac:dyDescent="0.3">
      <c r="A421" s="89"/>
      <c r="B421" s="97"/>
      <c r="E421" s="90"/>
      <c r="F421" s="90"/>
      <c r="G421" s="90"/>
      <c r="H421" s="90"/>
      <c r="I421" s="90"/>
      <c r="J421" s="90"/>
      <c r="K421" s="90"/>
      <c r="L421" s="90"/>
      <c r="M421" s="90"/>
      <c r="N421" s="90"/>
      <c r="O421" s="90"/>
      <c r="P421" s="90"/>
      <c r="Q421" s="90"/>
      <c r="R421" s="90"/>
    </row>
    <row r="422" spans="1:18" ht="12.75" customHeight="1" x14ac:dyDescent="0.25">
      <c r="B422" s="767" t="s">
        <v>326</v>
      </c>
      <c r="C422" s="764" t="s">
        <v>132</v>
      </c>
      <c r="D422" s="376" t="s">
        <v>70</v>
      </c>
      <c r="E422" s="377">
        <v>0</v>
      </c>
      <c r="F422" s="377">
        <v>0</v>
      </c>
      <c r="G422" s="377">
        <v>0</v>
      </c>
      <c r="H422" s="377">
        <v>0</v>
      </c>
      <c r="I422" s="377">
        <v>0</v>
      </c>
      <c r="J422" s="377">
        <v>0</v>
      </c>
      <c r="K422" s="377">
        <v>0</v>
      </c>
      <c r="L422" s="377">
        <v>0</v>
      </c>
      <c r="M422" s="377">
        <v>0</v>
      </c>
      <c r="N422" s="377">
        <v>0</v>
      </c>
      <c r="O422" s="377">
        <v>0</v>
      </c>
      <c r="P422" s="377">
        <v>0</v>
      </c>
      <c r="Q422" s="377">
        <v>0</v>
      </c>
      <c r="R422" s="377">
        <v>0</v>
      </c>
    </row>
    <row r="423" spans="1:18" ht="12.75" customHeight="1" x14ac:dyDescent="0.25">
      <c r="B423" s="767"/>
      <c r="C423" s="764"/>
      <c r="D423" s="376" t="s">
        <v>73</v>
      </c>
      <c r="E423" s="377">
        <v>0</v>
      </c>
      <c r="F423" s="90"/>
      <c r="G423" s="90"/>
      <c r="H423" s="90"/>
      <c r="I423" s="90"/>
      <c r="J423" s="90"/>
      <c r="K423" s="90"/>
      <c r="L423" s="90"/>
      <c r="M423" s="90"/>
      <c r="N423" s="90"/>
      <c r="O423" s="90"/>
      <c r="P423" s="90"/>
      <c r="Q423" s="90"/>
      <c r="R423" s="90"/>
    </row>
    <row r="424" spans="1:18" ht="12.75" customHeight="1" x14ac:dyDescent="0.25">
      <c r="B424" s="718"/>
      <c r="C424" s="220"/>
      <c r="D424" s="89"/>
      <c r="E424" s="90"/>
      <c r="F424" s="90"/>
      <c r="G424" s="90"/>
      <c r="H424" s="90"/>
      <c r="I424" s="90"/>
      <c r="J424" s="90"/>
      <c r="K424" s="90"/>
      <c r="L424" s="90"/>
      <c r="M424" s="90"/>
      <c r="N424" s="90"/>
      <c r="O424" s="90"/>
      <c r="P424" s="90"/>
      <c r="Q424" s="90"/>
      <c r="R424" s="90"/>
    </row>
    <row r="425" spans="1:18" ht="12.75" customHeight="1" x14ac:dyDescent="0.25">
      <c r="B425" s="766" t="s">
        <v>119</v>
      </c>
      <c r="C425" s="764" t="s">
        <v>132</v>
      </c>
      <c r="D425" s="101" t="s">
        <v>70</v>
      </c>
      <c r="E425" s="93">
        <f>E373+E384-K373</f>
        <v>655659.01</v>
      </c>
      <c r="F425" s="93">
        <f>F373</f>
        <v>36585.67</v>
      </c>
      <c r="G425" s="93">
        <f t="shared" ref="G425:R425" si="16">G373</f>
        <v>20069.009999999998</v>
      </c>
      <c r="H425" s="93">
        <f t="shared" si="16"/>
        <v>11029.11</v>
      </c>
      <c r="I425" s="93">
        <f t="shared" si="16"/>
        <v>132472.75</v>
      </c>
      <c r="J425" s="93">
        <f t="shared" si="16"/>
        <v>4941.45</v>
      </c>
      <c r="K425" s="93">
        <f t="shared" si="16"/>
        <v>0</v>
      </c>
      <c r="L425" s="93">
        <f t="shared" si="16"/>
        <v>49929.88</v>
      </c>
      <c r="M425" s="93">
        <f t="shared" si="16"/>
        <v>42615.73</v>
      </c>
      <c r="N425" s="93">
        <f t="shared" si="16"/>
        <v>207354.77</v>
      </c>
      <c r="O425" s="93">
        <f t="shared" si="16"/>
        <v>105918.25</v>
      </c>
      <c r="P425" s="93">
        <f t="shared" si="16"/>
        <v>7450.02</v>
      </c>
      <c r="Q425" s="93">
        <f t="shared" si="16"/>
        <v>3.22</v>
      </c>
      <c r="R425" s="93">
        <f t="shared" si="16"/>
        <v>0</v>
      </c>
    </row>
    <row r="426" spans="1:18" ht="12.75" customHeight="1" x14ac:dyDescent="0.25">
      <c r="B426" s="766"/>
      <c r="C426" s="764"/>
      <c r="D426" s="101" t="s">
        <v>73</v>
      </c>
      <c r="E426" s="93">
        <f>E384</f>
        <v>37289.15</v>
      </c>
      <c r="F426" s="90"/>
      <c r="G426" s="90"/>
      <c r="H426" s="90"/>
      <c r="I426" s="90"/>
      <c r="J426" s="90"/>
      <c r="K426" s="90"/>
      <c r="L426" s="90"/>
      <c r="M426" s="90"/>
      <c r="N426" s="90"/>
      <c r="O426" s="90"/>
      <c r="P426" s="90"/>
      <c r="Q426" s="90"/>
      <c r="R426" s="90"/>
    </row>
    <row r="427" spans="1:18" ht="12.75" customHeight="1" x14ac:dyDescent="0.3">
      <c r="A427" s="89"/>
      <c r="B427" s="97"/>
      <c r="E427" s="90"/>
      <c r="F427" s="90"/>
      <c r="G427" s="90"/>
      <c r="H427" s="90"/>
      <c r="I427" s="90"/>
      <c r="J427" s="90"/>
      <c r="K427" s="90"/>
      <c r="L427" s="90"/>
      <c r="M427" s="90"/>
      <c r="N427" s="90"/>
      <c r="O427" s="90"/>
      <c r="P427" s="90"/>
      <c r="Q427" s="90"/>
      <c r="R427" s="90"/>
    </row>
    <row r="428" spans="1:18" ht="12.75" customHeight="1" x14ac:dyDescent="0.25">
      <c r="B428" s="765" t="s">
        <v>161</v>
      </c>
      <c r="C428" s="764" t="s">
        <v>132</v>
      </c>
      <c r="D428" s="231" t="s">
        <v>70</v>
      </c>
      <c r="E428" s="232">
        <v>0</v>
      </c>
      <c r="F428" s="232">
        <v>0</v>
      </c>
      <c r="G428" s="232">
        <v>0</v>
      </c>
      <c r="H428" s="232">
        <v>0</v>
      </c>
      <c r="I428" s="232">
        <v>0</v>
      </c>
      <c r="J428" s="232">
        <v>0</v>
      </c>
      <c r="K428" s="232">
        <v>0</v>
      </c>
      <c r="L428" s="232">
        <v>0</v>
      </c>
      <c r="M428" s="232">
        <v>0</v>
      </c>
      <c r="N428" s="232">
        <v>0</v>
      </c>
      <c r="O428" s="232">
        <v>0</v>
      </c>
      <c r="P428" s="232">
        <v>0</v>
      </c>
      <c r="Q428" s="232">
        <v>0</v>
      </c>
      <c r="R428" s="232">
        <v>0</v>
      </c>
    </row>
    <row r="429" spans="1:18" ht="12.75" customHeight="1" x14ac:dyDescent="0.25">
      <c r="B429" s="765"/>
      <c r="C429" s="764"/>
      <c r="D429" s="231" t="s">
        <v>73</v>
      </c>
      <c r="E429" s="232">
        <v>0</v>
      </c>
      <c r="F429" s="90"/>
      <c r="G429" s="90"/>
      <c r="H429" s="90"/>
      <c r="I429" s="90"/>
      <c r="J429" s="90"/>
      <c r="K429" s="90"/>
      <c r="L429" s="90"/>
      <c r="M429" s="90"/>
      <c r="N429" s="90"/>
      <c r="O429" s="90"/>
      <c r="P429" s="90"/>
      <c r="Q429" s="90"/>
      <c r="R429" s="90"/>
    </row>
    <row r="430" spans="1:18" s="238" customFormat="1" x14ac:dyDescent="0.25"/>
  </sheetData>
  <mergeCells count="60">
    <mergeCell ref="B425:B426"/>
    <mergeCell ref="C425:C426"/>
    <mergeCell ref="B428:B429"/>
    <mergeCell ref="C428:C429"/>
    <mergeCell ref="B422:B423"/>
    <mergeCell ref="C422:C423"/>
    <mergeCell ref="B413:B414"/>
    <mergeCell ref="C413:C414"/>
    <mergeCell ref="B416:B417"/>
    <mergeCell ref="C416:C417"/>
    <mergeCell ref="B419:B420"/>
    <mergeCell ref="C419:C420"/>
    <mergeCell ref="B355:B356"/>
    <mergeCell ref="C355:C356"/>
    <mergeCell ref="B358:B359"/>
    <mergeCell ref="C358:C359"/>
    <mergeCell ref="B352:B353"/>
    <mergeCell ref="C352:C353"/>
    <mergeCell ref="B343:B344"/>
    <mergeCell ref="C343:C344"/>
    <mergeCell ref="B346:B347"/>
    <mergeCell ref="C346:C347"/>
    <mergeCell ref="B349:B350"/>
    <mergeCell ref="C349:C350"/>
    <mergeCell ref="B259:B260"/>
    <mergeCell ref="C259:C260"/>
    <mergeCell ref="B256:B257"/>
    <mergeCell ref="C256:C257"/>
    <mergeCell ref="B262:B263"/>
    <mergeCell ref="C262:C263"/>
    <mergeCell ref="B247:B248"/>
    <mergeCell ref="C247:C248"/>
    <mergeCell ref="B250:B251"/>
    <mergeCell ref="C250:C251"/>
    <mergeCell ref="B253:B254"/>
    <mergeCell ref="C253:C254"/>
    <mergeCell ref="B41:B42"/>
    <mergeCell ref="C41:C42"/>
    <mergeCell ref="B44:B45"/>
    <mergeCell ref="C44:C45"/>
    <mergeCell ref="B50:B51"/>
    <mergeCell ref="C50:C51"/>
    <mergeCell ref="B47:B48"/>
    <mergeCell ref="C47:C48"/>
    <mergeCell ref="B53:B54"/>
    <mergeCell ref="C53:C54"/>
    <mergeCell ref="B150:B151"/>
    <mergeCell ref="C150:C151"/>
    <mergeCell ref="B56:B57"/>
    <mergeCell ref="C56:C57"/>
    <mergeCell ref="B135:B136"/>
    <mergeCell ref="C135:C136"/>
    <mergeCell ref="B138:B139"/>
    <mergeCell ref="C138:C139"/>
    <mergeCell ref="B141:B142"/>
    <mergeCell ref="C141:C142"/>
    <mergeCell ref="B147:B148"/>
    <mergeCell ref="C147:C148"/>
    <mergeCell ref="B144:B145"/>
    <mergeCell ref="C144:C145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R368"/>
  <sheetViews>
    <sheetView zoomScale="90" zoomScaleNormal="90" workbookViewId="0">
      <pane ySplit="2" topLeftCell="A3" activePane="bottomLeft" state="frozen"/>
      <selection activeCell="A6" sqref="A6"/>
      <selection pane="bottomLeft" activeCell="A3" sqref="A3"/>
    </sheetView>
  </sheetViews>
  <sheetFormatPr baseColWidth="10" defaultColWidth="11.453125" defaultRowHeight="12.5" x14ac:dyDescent="0.25"/>
  <cols>
    <col min="1" max="1" width="21.26953125" style="609" customWidth="1"/>
    <col min="2" max="2" width="19.7265625" style="609" bestFit="1" customWidth="1"/>
    <col min="3" max="3" width="24.7265625" style="609" bestFit="1" customWidth="1"/>
    <col min="4" max="4" width="23.26953125" style="609" bestFit="1" customWidth="1"/>
    <col min="5" max="5" width="15.7265625" style="609" bestFit="1" customWidth="1"/>
    <col min="6" max="6" width="15.453125" style="609" bestFit="1" customWidth="1"/>
    <col min="7" max="7" width="15.453125" style="609" customWidth="1"/>
    <col min="8" max="8" width="16.453125" style="609" bestFit="1" customWidth="1"/>
    <col min="9" max="9" width="18" style="609" bestFit="1" customWidth="1"/>
    <col min="10" max="10" width="17" style="609" bestFit="1" customWidth="1"/>
    <col min="11" max="11" width="15.54296875" style="609" bestFit="1" customWidth="1"/>
    <col min="12" max="13" width="15.7265625" style="609" bestFit="1" customWidth="1"/>
    <col min="14" max="14" width="21.453125" style="609" bestFit="1" customWidth="1"/>
    <col min="15" max="16" width="20.453125" style="609" bestFit="1" customWidth="1"/>
    <col min="17" max="17" width="20" style="609" bestFit="1" customWidth="1"/>
    <col min="18" max="16384" width="11.453125" style="609"/>
  </cols>
  <sheetData>
    <row r="1" spans="1:18" ht="13" x14ac:dyDescent="0.3">
      <c r="B1" s="610" t="s">
        <v>74</v>
      </c>
    </row>
    <row r="2" spans="1:18" ht="12.75" customHeight="1" x14ac:dyDescent="0.25">
      <c r="D2" s="611" t="s">
        <v>70</v>
      </c>
      <c r="E2" s="611" t="s">
        <v>64</v>
      </c>
      <c r="F2" s="611" t="s">
        <v>65</v>
      </c>
      <c r="G2" s="612" t="s">
        <v>164</v>
      </c>
      <c r="H2" s="611" t="s">
        <v>69</v>
      </c>
      <c r="I2" s="611" t="s">
        <v>68</v>
      </c>
      <c r="J2" s="611" t="s">
        <v>66</v>
      </c>
      <c r="K2" s="611" t="s">
        <v>63</v>
      </c>
      <c r="L2" s="611" t="s">
        <v>61</v>
      </c>
      <c r="M2" s="611" t="s">
        <v>62</v>
      </c>
      <c r="N2" s="611" t="s">
        <v>67</v>
      </c>
      <c r="O2" s="611" t="s">
        <v>77</v>
      </c>
      <c r="P2" s="609" t="s">
        <v>71</v>
      </c>
      <c r="Q2" s="611" t="s">
        <v>80</v>
      </c>
      <c r="R2" s="609" t="s">
        <v>167</v>
      </c>
    </row>
    <row r="3" spans="1:18" ht="12.75" customHeight="1" x14ac:dyDescent="0.25">
      <c r="C3" s="609" t="s">
        <v>72</v>
      </c>
      <c r="D3" s="611">
        <v>-8485687.5600000005</v>
      </c>
      <c r="E3" s="611">
        <v>-1533145.5</v>
      </c>
      <c r="F3" s="611">
        <v>-865959.97</v>
      </c>
      <c r="G3" s="613">
        <v>-456267.38</v>
      </c>
      <c r="H3" s="611">
        <v>-382091.3</v>
      </c>
      <c r="I3" s="611">
        <v>-12179.47</v>
      </c>
      <c r="J3" s="611">
        <v>-112932.75</v>
      </c>
      <c r="K3" s="611">
        <v>-152004.56</v>
      </c>
      <c r="L3" s="611">
        <v>-737957.5</v>
      </c>
      <c r="M3" s="611">
        <v>-4213305.37</v>
      </c>
      <c r="N3" s="611">
        <v>-19871.419999999998</v>
      </c>
      <c r="O3" s="611">
        <v>27.66</v>
      </c>
      <c r="P3" s="609">
        <v>0</v>
      </c>
      <c r="Q3" s="611">
        <v>0</v>
      </c>
      <c r="R3" s="609">
        <v>0</v>
      </c>
    </row>
    <row r="4" spans="1:18" ht="12.75" customHeight="1" x14ac:dyDescent="0.25">
      <c r="C4" s="609" t="s">
        <v>81</v>
      </c>
      <c r="D4" s="611">
        <v>-26833.73</v>
      </c>
      <c r="E4" s="611">
        <v>-5410.19</v>
      </c>
      <c r="F4" s="611">
        <v>-3055.42</v>
      </c>
      <c r="G4" s="613">
        <v>-1614.59</v>
      </c>
      <c r="H4" s="611">
        <v>-512.83000000000004</v>
      </c>
      <c r="I4" s="611">
        <v>-18.28</v>
      </c>
      <c r="J4" s="611">
        <v>-160.4</v>
      </c>
      <c r="K4" s="611">
        <v>-207</v>
      </c>
      <c r="L4" s="611">
        <v>-945.64</v>
      </c>
      <c r="M4" s="611">
        <v>-14879.62</v>
      </c>
      <c r="N4" s="611">
        <v>-29.75</v>
      </c>
      <c r="O4" s="611">
        <v>-0.01</v>
      </c>
      <c r="P4" s="611">
        <v>0</v>
      </c>
      <c r="Q4" s="611">
        <v>0</v>
      </c>
      <c r="R4" s="609">
        <v>0</v>
      </c>
    </row>
    <row r="5" spans="1:18" s="614" customFormat="1" ht="12.75" customHeight="1" x14ac:dyDescent="0.25">
      <c r="B5" s="615" t="s">
        <v>78</v>
      </c>
      <c r="C5" s="615" t="s">
        <v>70</v>
      </c>
      <c r="D5" s="615">
        <v>-8512521.2899999991</v>
      </c>
      <c r="E5" s="615">
        <v>-1538555.69</v>
      </c>
      <c r="F5" s="615">
        <v>-869015.39</v>
      </c>
      <c r="G5" s="615">
        <v>-457881.97</v>
      </c>
      <c r="H5" s="615">
        <v>-382604.13</v>
      </c>
      <c r="I5" s="615">
        <v>-12197.75</v>
      </c>
      <c r="J5" s="615">
        <v>-113093.15</v>
      </c>
      <c r="K5" s="615">
        <v>-152211.56</v>
      </c>
      <c r="L5" s="615">
        <v>-738903.14</v>
      </c>
      <c r="M5" s="615">
        <v>-4228184.99</v>
      </c>
      <c r="N5" s="615">
        <v>-19901.169999999998</v>
      </c>
      <c r="O5" s="615">
        <v>27.65</v>
      </c>
      <c r="P5" s="614">
        <v>0</v>
      </c>
      <c r="Q5" s="615">
        <v>0</v>
      </c>
      <c r="R5" s="615">
        <v>0</v>
      </c>
    </row>
    <row r="6" spans="1:18" ht="12.75" customHeight="1" x14ac:dyDescent="0.25">
      <c r="C6" s="609" t="s">
        <v>73</v>
      </c>
      <c r="D6" s="613">
        <v>-3541734.36</v>
      </c>
      <c r="E6" s="611">
        <v>-668084.55000000005</v>
      </c>
      <c r="F6" s="611">
        <v>-378722.34</v>
      </c>
      <c r="G6" s="613">
        <v>-199766.06</v>
      </c>
      <c r="H6" s="611">
        <v>-126968.15</v>
      </c>
      <c r="I6" s="611">
        <v>-4568.7</v>
      </c>
      <c r="J6" s="611">
        <v>-38734.160000000003</v>
      </c>
      <c r="K6" s="611">
        <v>-50056.15</v>
      </c>
      <c r="L6" s="611">
        <v>-232448.97</v>
      </c>
      <c r="M6" s="611">
        <v>-1834931.18</v>
      </c>
      <c r="N6" s="611">
        <v>-7454.1</v>
      </c>
      <c r="O6" s="611">
        <v>0</v>
      </c>
      <c r="P6" s="611">
        <v>0</v>
      </c>
      <c r="Q6" s="611">
        <v>0</v>
      </c>
      <c r="R6" s="609">
        <v>0</v>
      </c>
    </row>
    <row r="7" spans="1:18" s="616" customFormat="1" ht="12.75" customHeight="1" x14ac:dyDescent="0.25">
      <c r="B7" s="616" t="s">
        <v>79</v>
      </c>
      <c r="C7" s="616" t="s">
        <v>70</v>
      </c>
      <c r="D7" s="629">
        <v>-3541734.36</v>
      </c>
      <c r="E7" s="617">
        <v>-668084.55000000005</v>
      </c>
      <c r="F7" s="617">
        <v>-378722.34</v>
      </c>
      <c r="G7" s="629">
        <v>-199766.06</v>
      </c>
      <c r="H7" s="617">
        <v>-126968.15</v>
      </c>
      <c r="I7" s="617">
        <v>-4568.7</v>
      </c>
      <c r="J7" s="617">
        <v>-38734.160000000003</v>
      </c>
      <c r="K7" s="617">
        <v>-50056.15</v>
      </c>
      <c r="L7" s="617">
        <v>-232448.97</v>
      </c>
      <c r="M7" s="617">
        <v>-1834931.18</v>
      </c>
      <c r="N7" s="617">
        <v>-7454.1</v>
      </c>
      <c r="O7" s="617">
        <v>0</v>
      </c>
      <c r="P7" s="616">
        <v>0</v>
      </c>
      <c r="Q7" s="617">
        <v>0</v>
      </c>
      <c r="R7" s="616">
        <v>0</v>
      </c>
    </row>
    <row r="8" spans="1:18" s="746" customFormat="1" ht="12.75" customHeight="1" x14ac:dyDescent="0.25">
      <c r="A8" s="746" t="s">
        <v>119</v>
      </c>
      <c r="B8" s="746" t="s">
        <v>70</v>
      </c>
      <c r="D8" s="622">
        <v>-12054255.65</v>
      </c>
      <c r="E8" s="621">
        <v>-2206640.2400000002</v>
      </c>
      <c r="F8" s="621">
        <v>-1247737.73</v>
      </c>
      <c r="G8" s="622">
        <v>-657648.03</v>
      </c>
      <c r="H8" s="621">
        <v>-509572.28</v>
      </c>
      <c r="I8" s="621">
        <v>-16766.45</v>
      </c>
      <c r="J8" s="621">
        <v>-151827.31</v>
      </c>
      <c r="K8" s="621">
        <v>-202267.71</v>
      </c>
      <c r="L8" s="621">
        <v>-971352.11</v>
      </c>
      <c r="M8" s="621">
        <v>-6063116.1699999999</v>
      </c>
      <c r="N8" s="621">
        <v>-27355.27</v>
      </c>
      <c r="O8" s="621">
        <v>27.65</v>
      </c>
      <c r="P8" s="621">
        <v>0</v>
      </c>
      <c r="Q8" s="621">
        <v>0</v>
      </c>
      <c r="R8" s="746">
        <v>0</v>
      </c>
    </row>
    <row r="9" spans="1:18" s="624" customFormat="1" ht="12.75" customHeight="1" x14ac:dyDescent="0.25">
      <c r="A9" s="623" t="s">
        <v>70</v>
      </c>
      <c r="D9" s="623">
        <v>-12054255.65</v>
      </c>
      <c r="E9" s="623">
        <v>-2206640.2400000002</v>
      </c>
      <c r="F9" s="623">
        <v>-1247737.73</v>
      </c>
      <c r="G9" s="623">
        <v>-657648.03</v>
      </c>
      <c r="H9" s="623">
        <v>-509572.28</v>
      </c>
      <c r="I9" s="623">
        <v>-16766.45</v>
      </c>
      <c r="J9" s="623">
        <v>-151827.31</v>
      </c>
      <c r="K9" s="623">
        <v>-202267.71</v>
      </c>
      <c r="L9" s="623">
        <v>-971352.11</v>
      </c>
      <c r="M9" s="623">
        <v>-6063116.1699999999</v>
      </c>
      <c r="N9" s="623">
        <v>-27355.27</v>
      </c>
      <c r="O9" s="623">
        <v>27.65</v>
      </c>
      <c r="P9" s="624">
        <v>0</v>
      </c>
      <c r="Q9" s="623">
        <v>0</v>
      </c>
      <c r="R9" s="623">
        <v>0</v>
      </c>
    </row>
    <row r="10" spans="1:18" ht="12.75" customHeight="1" x14ac:dyDescent="0.25">
      <c r="A10" s="611"/>
      <c r="D10" s="611"/>
      <c r="E10" s="611"/>
      <c r="F10" s="611"/>
      <c r="G10" s="611"/>
      <c r="H10" s="611"/>
      <c r="I10" s="611"/>
      <c r="J10" s="611"/>
      <c r="K10" s="611"/>
      <c r="L10" s="611"/>
      <c r="M10" s="611"/>
      <c r="N10" s="611"/>
      <c r="O10" s="611"/>
    </row>
    <row r="11" spans="1:18" ht="12.75" customHeight="1" x14ac:dyDescent="0.25">
      <c r="A11" s="611"/>
      <c r="D11" s="611"/>
      <c r="E11" s="611"/>
      <c r="F11" s="611"/>
      <c r="G11" s="611"/>
      <c r="H11" s="611"/>
      <c r="I11" s="611"/>
      <c r="J11" s="611"/>
      <c r="K11" s="611"/>
      <c r="L11" s="611"/>
      <c r="M11" s="611"/>
      <c r="N11" s="611"/>
      <c r="O11" s="611"/>
    </row>
    <row r="12" spans="1:18" ht="12.75" hidden="1" customHeight="1" x14ac:dyDescent="0.25">
      <c r="A12" s="611"/>
      <c r="D12" s="611"/>
      <c r="E12" s="611"/>
      <c r="F12" s="611"/>
      <c r="G12" s="611"/>
      <c r="H12" s="611"/>
      <c r="I12" s="611"/>
      <c r="J12" s="611"/>
      <c r="K12" s="611"/>
      <c r="L12" s="611"/>
      <c r="M12" s="611"/>
      <c r="N12" s="611"/>
      <c r="O12" s="611"/>
    </row>
    <row r="13" spans="1:18" ht="12.75" hidden="1" customHeight="1" x14ac:dyDescent="0.25">
      <c r="A13" s="611"/>
      <c r="D13" s="611"/>
      <c r="E13" s="611"/>
      <c r="F13" s="611"/>
      <c r="G13" s="611"/>
      <c r="H13" s="611"/>
      <c r="I13" s="611"/>
      <c r="J13" s="611"/>
      <c r="K13" s="611"/>
      <c r="L13" s="611"/>
      <c r="M13" s="611"/>
      <c r="N13" s="611"/>
      <c r="O13" s="611"/>
    </row>
    <row r="14" spans="1:18" ht="12.75" hidden="1" customHeight="1" x14ac:dyDescent="0.25">
      <c r="A14" s="611"/>
      <c r="D14" s="611"/>
      <c r="E14" s="611"/>
      <c r="F14" s="611"/>
      <c r="G14" s="611"/>
      <c r="H14" s="611"/>
      <c r="I14" s="611"/>
      <c r="J14" s="611"/>
      <c r="K14" s="611"/>
      <c r="L14" s="611"/>
      <c r="M14" s="611"/>
      <c r="N14" s="611"/>
      <c r="O14" s="611"/>
    </row>
    <row r="15" spans="1:18" ht="12.75" hidden="1" customHeight="1" x14ac:dyDescent="0.25">
      <c r="A15" s="611"/>
      <c r="D15" s="611"/>
      <c r="E15" s="611"/>
      <c r="F15" s="611"/>
      <c r="G15" s="611"/>
      <c r="H15" s="611"/>
      <c r="I15" s="611"/>
      <c r="J15" s="611"/>
      <c r="K15" s="611"/>
      <c r="L15" s="611"/>
      <c r="M15" s="611"/>
      <c r="N15" s="611"/>
      <c r="O15" s="611"/>
    </row>
    <row r="16" spans="1:18" ht="12.75" hidden="1" customHeight="1" x14ac:dyDescent="0.25">
      <c r="A16" s="611"/>
      <c r="D16" s="611"/>
      <c r="E16" s="611"/>
      <c r="F16" s="611"/>
      <c r="G16" s="611"/>
      <c r="H16" s="611"/>
      <c r="I16" s="611"/>
      <c r="J16" s="611"/>
      <c r="K16" s="611"/>
      <c r="L16" s="611"/>
      <c r="M16" s="611"/>
      <c r="N16" s="611"/>
      <c r="O16" s="611"/>
    </row>
    <row r="17" spans="1:15" ht="12.75" hidden="1" customHeight="1" x14ac:dyDescent="0.25">
      <c r="A17" s="611"/>
      <c r="D17" s="611"/>
      <c r="E17" s="611"/>
      <c r="F17" s="611"/>
      <c r="G17" s="611"/>
      <c r="H17" s="611"/>
      <c r="I17" s="611"/>
      <c r="J17" s="611"/>
      <c r="K17" s="611"/>
      <c r="L17" s="611"/>
      <c r="M17" s="611"/>
      <c r="N17" s="611"/>
      <c r="O17" s="611"/>
    </row>
    <row r="18" spans="1:15" ht="12.75" hidden="1" customHeight="1" x14ac:dyDescent="0.25">
      <c r="A18" s="611"/>
      <c r="D18" s="611"/>
      <c r="E18" s="611"/>
      <c r="F18" s="611"/>
      <c r="G18" s="611"/>
      <c r="H18" s="611"/>
      <c r="I18" s="611"/>
      <c r="J18" s="611"/>
      <c r="K18" s="611"/>
      <c r="L18" s="611"/>
      <c r="M18" s="611"/>
      <c r="N18" s="611"/>
      <c r="O18" s="611"/>
    </row>
    <row r="19" spans="1:15" ht="12.75" hidden="1" customHeight="1" x14ac:dyDescent="0.25">
      <c r="A19" s="611"/>
      <c r="D19" s="611"/>
      <c r="E19" s="611"/>
      <c r="F19" s="611"/>
      <c r="G19" s="611"/>
      <c r="H19" s="611"/>
      <c r="I19" s="611"/>
      <c r="J19" s="611"/>
      <c r="K19" s="611"/>
      <c r="L19" s="611"/>
      <c r="M19" s="611"/>
      <c r="N19" s="611"/>
      <c r="O19" s="611"/>
    </row>
    <row r="20" spans="1:15" ht="12.75" hidden="1" customHeight="1" x14ac:dyDescent="0.25">
      <c r="A20" s="611"/>
      <c r="D20" s="611"/>
      <c r="E20" s="611"/>
      <c r="F20" s="611"/>
      <c r="G20" s="611"/>
      <c r="H20" s="611"/>
      <c r="I20" s="611"/>
      <c r="J20" s="611"/>
      <c r="K20" s="611"/>
      <c r="L20" s="611"/>
      <c r="M20" s="611"/>
      <c r="N20" s="611"/>
      <c r="O20" s="611"/>
    </row>
    <row r="21" spans="1:15" ht="12.75" hidden="1" customHeight="1" x14ac:dyDescent="0.25">
      <c r="A21" s="611"/>
      <c r="D21" s="611"/>
      <c r="E21" s="611"/>
      <c r="F21" s="611"/>
      <c r="G21" s="611"/>
      <c r="H21" s="611"/>
      <c r="I21" s="611"/>
      <c r="J21" s="611"/>
      <c r="K21" s="611"/>
      <c r="L21" s="611"/>
      <c r="M21" s="611"/>
      <c r="N21" s="611"/>
      <c r="O21" s="611"/>
    </row>
    <row r="22" spans="1:15" ht="12.75" hidden="1" customHeight="1" x14ac:dyDescent="0.25">
      <c r="A22" s="611"/>
      <c r="D22" s="611"/>
      <c r="E22" s="611"/>
      <c r="F22" s="611"/>
      <c r="G22" s="611"/>
      <c r="H22" s="611"/>
      <c r="I22" s="611"/>
      <c r="J22" s="611"/>
      <c r="K22" s="611"/>
      <c r="L22" s="611"/>
      <c r="M22" s="611"/>
      <c r="N22" s="611"/>
      <c r="O22" s="611"/>
    </row>
    <row r="23" spans="1:15" ht="12.75" hidden="1" customHeight="1" x14ac:dyDescent="0.25">
      <c r="A23" s="611"/>
      <c r="D23" s="611"/>
      <c r="E23" s="611"/>
      <c r="F23" s="611"/>
      <c r="G23" s="611"/>
      <c r="H23" s="611"/>
      <c r="I23" s="611"/>
      <c r="J23" s="611"/>
      <c r="K23" s="611"/>
      <c r="L23" s="611"/>
      <c r="M23" s="611"/>
      <c r="N23" s="611"/>
      <c r="O23" s="611"/>
    </row>
    <row r="24" spans="1:15" ht="12.75" hidden="1" customHeight="1" x14ac:dyDescent="0.25">
      <c r="A24" s="611"/>
      <c r="D24" s="611"/>
      <c r="E24" s="611"/>
      <c r="F24" s="611"/>
      <c r="G24" s="611"/>
      <c r="H24" s="611"/>
      <c r="I24" s="611"/>
      <c r="J24" s="611"/>
      <c r="K24" s="611"/>
      <c r="L24" s="611"/>
      <c r="M24" s="611"/>
      <c r="N24" s="611"/>
      <c r="O24" s="611"/>
    </row>
    <row r="25" spans="1:15" ht="12.75" hidden="1" customHeight="1" x14ac:dyDescent="0.25">
      <c r="A25" s="611"/>
      <c r="D25" s="611"/>
      <c r="E25" s="611"/>
      <c r="F25" s="611"/>
      <c r="G25" s="611"/>
      <c r="H25" s="611"/>
      <c r="I25" s="611"/>
      <c r="J25" s="611"/>
      <c r="K25" s="611"/>
      <c r="L25" s="611"/>
      <c r="M25" s="611"/>
      <c r="N25" s="611"/>
      <c r="O25" s="611"/>
    </row>
    <row r="26" spans="1:15" ht="12.75" hidden="1" customHeight="1" x14ac:dyDescent="0.25">
      <c r="A26" s="611"/>
      <c r="D26" s="611"/>
      <c r="E26" s="611"/>
      <c r="F26" s="611"/>
      <c r="G26" s="611"/>
      <c r="H26" s="611"/>
      <c r="I26" s="611"/>
      <c r="J26" s="611"/>
      <c r="K26" s="611"/>
      <c r="L26" s="611"/>
      <c r="M26" s="611"/>
      <c r="N26" s="611"/>
      <c r="O26" s="611"/>
    </row>
    <row r="27" spans="1:15" ht="12.75" hidden="1" customHeight="1" x14ac:dyDescent="0.25">
      <c r="A27" s="611"/>
      <c r="D27" s="611"/>
      <c r="E27" s="611"/>
      <c r="F27" s="611"/>
      <c r="G27" s="611"/>
      <c r="H27" s="611"/>
      <c r="I27" s="611"/>
      <c r="J27" s="611"/>
      <c r="K27" s="611"/>
      <c r="L27" s="611"/>
      <c r="M27" s="611"/>
      <c r="N27" s="611"/>
      <c r="O27" s="611"/>
    </row>
    <row r="28" spans="1:15" ht="12.75" hidden="1" customHeight="1" x14ac:dyDescent="0.25">
      <c r="A28" s="611"/>
      <c r="D28" s="611"/>
      <c r="E28" s="611"/>
      <c r="F28" s="611"/>
      <c r="G28" s="611"/>
      <c r="H28" s="611"/>
      <c r="I28" s="611"/>
      <c r="J28" s="611"/>
      <c r="K28" s="611"/>
      <c r="L28" s="611"/>
      <c r="M28" s="611"/>
      <c r="N28" s="611"/>
      <c r="O28" s="611"/>
    </row>
    <row r="29" spans="1:15" ht="12.75" hidden="1" customHeight="1" x14ac:dyDescent="0.25">
      <c r="A29" s="611"/>
      <c r="D29" s="611"/>
      <c r="E29" s="611"/>
      <c r="F29" s="611"/>
      <c r="G29" s="611"/>
      <c r="H29" s="611"/>
      <c r="I29" s="611"/>
      <c r="J29" s="611"/>
      <c r="K29" s="611"/>
      <c r="L29" s="611"/>
      <c r="M29" s="611"/>
      <c r="N29" s="611"/>
      <c r="O29" s="611"/>
    </row>
    <row r="30" spans="1:15" ht="12.75" hidden="1" customHeight="1" x14ac:dyDescent="0.25">
      <c r="A30" s="611"/>
      <c r="D30" s="611"/>
      <c r="E30" s="611"/>
      <c r="F30" s="611"/>
      <c r="G30" s="611"/>
      <c r="H30" s="611"/>
      <c r="I30" s="611"/>
      <c r="J30" s="611"/>
      <c r="K30" s="611"/>
      <c r="L30" s="611"/>
      <c r="M30" s="611"/>
      <c r="N30" s="611"/>
      <c r="O30" s="611"/>
    </row>
    <row r="31" spans="1:15" ht="12.75" hidden="1" customHeight="1" x14ac:dyDescent="0.25">
      <c r="A31" s="611"/>
      <c r="D31" s="611"/>
      <c r="E31" s="611"/>
      <c r="F31" s="611"/>
      <c r="G31" s="611"/>
      <c r="H31" s="611"/>
      <c r="I31" s="611"/>
      <c r="J31" s="611"/>
      <c r="K31" s="611"/>
      <c r="L31" s="611"/>
      <c r="M31" s="611"/>
      <c r="N31" s="611"/>
      <c r="O31" s="611"/>
    </row>
    <row r="32" spans="1:15" ht="12.75" hidden="1" customHeight="1" x14ac:dyDescent="0.25">
      <c r="A32" s="611"/>
      <c r="D32" s="611"/>
      <c r="E32" s="611"/>
      <c r="F32" s="611"/>
      <c r="G32" s="611"/>
      <c r="H32" s="611"/>
      <c r="I32" s="611"/>
      <c r="J32" s="611"/>
      <c r="K32" s="611"/>
      <c r="L32" s="611"/>
      <c r="M32" s="611"/>
      <c r="N32" s="611"/>
      <c r="O32" s="611"/>
    </row>
    <row r="33" spans="1:15" ht="12.75" hidden="1" customHeight="1" x14ac:dyDescent="0.25">
      <c r="A33" s="611"/>
      <c r="D33" s="611"/>
      <c r="E33" s="611"/>
      <c r="F33" s="611"/>
      <c r="G33" s="611"/>
      <c r="H33" s="611"/>
      <c r="I33" s="611"/>
      <c r="J33" s="611"/>
      <c r="K33" s="611"/>
      <c r="L33" s="611"/>
      <c r="M33" s="611"/>
      <c r="N33" s="611"/>
      <c r="O33" s="611"/>
    </row>
    <row r="34" spans="1:15" ht="12.75" hidden="1" customHeight="1" x14ac:dyDescent="0.25">
      <c r="A34" s="611"/>
      <c r="D34" s="611"/>
      <c r="E34" s="611"/>
      <c r="F34" s="611"/>
      <c r="G34" s="611"/>
      <c r="H34" s="611"/>
      <c r="I34" s="611"/>
      <c r="J34" s="611"/>
      <c r="K34" s="611"/>
      <c r="L34" s="611"/>
      <c r="M34" s="611"/>
      <c r="N34" s="611"/>
      <c r="O34" s="611"/>
    </row>
    <row r="35" spans="1:15" ht="12.75" hidden="1" customHeight="1" x14ac:dyDescent="0.25">
      <c r="A35" s="611"/>
      <c r="D35" s="611"/>
      <c r="E35" s="611"/>
      <c r="F35" s="611"/>
      <c r="G35" s="611"/>
      <c r="H35" s="611"/>
      <c r="I35" s="611"/>
      <c r="J35" s="611"/>
      <c r="K35" s="611"/>
      <c r="L35" s="611"/>
      <c r="M35" s="611"/>
      <c r="N35" s="611"/>
      <c r="O35" s="611"/>
    </row>
    <row r="36" spans="1:15" ht="12.75" hidden="1" customHeight="1" x14ac:dyDescent="0.25">
      <c r="A36" s="611"/>
      <c r="D36" s="611"/>
      <c r="E36" s="611"/>
      <c r="F36" s="611"/>
      <c r="G36" s="611"/>
      <c r="H36" s="611"/>
      <c r="I36" s="611"/>
      <c r="J36" s="611"/>
      <c r="K36" s="611"/>
      <c r="L36" s="611"/>
      <c r="M36" s="611"/>
      <c r="N36" s="611"/>
      <c r="O36" s="611"/>
    </row>
    <row r="37" spans="1:15" ht="12.75" hidden="1" customHeight="1" x14ac:dyDescent="0.25">
      <c r="A37" s="611"/>
      <c r="D37" s="611"/>
      <c r="E37" s="611"/>
      <c r="F37" s="611"/>
      <c r="G37" s="611"/>
      <c r="H37" s="611"/>
      <c r="I37" s="611"/>
      <c r="J37" s="611"/>
      <c r="K37" s="611"/>
      <c r="L37" s="611"/>
      <c r="M37" s="611"/>
      <c r="N37" s="611"/>
      <c r="O37" s="611"/>
    </row>
    <row r="38" spans="1:15" ht="12.75" hidden="1" customHeight="1" x14ac:dyDescent="0.25">
      <c r="A38" s="611"/>
      <c r="D38" s="611"/>
      <c r="E38" s="611"/>
      <c r="F38" s="611"/>
      <c r="G38" s="611"/>
      <c r="H38" s="611"/>
      <c r="I38" s="611"/>
      <c r="J38" s="611"/>
      <c r="K38" s="611"/>
      <c r="L38" s="611"/>
      <c r="M38" s="611"/>
      <c r="N38" s="611"/>
      <c r="O38" s="611"/>
    </row>
    <row r="39" spans="1:15" ht="12.75" hidden="1" customHeight="1" x14ac:dyDescent="0.25">
      <c r="A39" s="611"/>
      <c r="D39" s="611"/>
      <c r="E39" s="611"/>
      <c r="F39" s="611"/>
      <c r="G39" s="611"/>
      <c r="H39" s="611"/>
      <c r="I39" s="611"/>
      <c r="J39" s="611"/>
      <c r="K39" s="611"/>
      <c r="L39" s="611"/>
      <c r="M39" s="611"/>
      <c r="N39" s="611"/>
      <c r="O39" s="611"/>
    </row>
    <row r="40" spans="1:15" ht="12.75" hidden="1" customHeight="1" x14ac:dyDescent="0.25">
      <c r="A40" s="611"/>
      <c r="D40" s="611"/>
      <c r="E40" s="611"/>
      <c r="F40" s="611"/>
      <c r="G40" s="611"/>
      <c r="H40" s="611"/>
      <c r="I40" s="611"/>
      <c r="J40" s="611"/>
      <c r="K40" s="611"/>
      <c r="L40" s="611"/>
      <c r="M40" s="611"/>
      <c r="N40" s="611"/>
      <c r="O40" s="611"/>
    </row>
    <row r="41" spans="1:15" ht="12.75" hidden="1" customHeight="1" x14ac:dyDescent="0.25">
      <c r="A41" s="611"/>
      <c r="D41" s="611"/>
      <c r="E41" s="611"/>
      <c r="F41" s="611"/>
      <c r="G41" s="611"/>
      <c r="H41" s="611"/>
      <c r="I41" s="611"/>
      <c r="J41" s="611"/>
      <c r="K41" s="611"/>
      <c r="L41" s="611"/>
      <c r="M41" s="611"/>
      <c r="N41" s="611"/>
      <c r="O41" s="611"/>
    </row>
    <row r="42" spans="1:15" ht="12.75" hidden="1" customHeight="1" x14ac:dyDescent="0.25">
      <c r="A42" s="611"/>
      <c r="D42" s="611"/>
      <c r="E42" s="611"/>
      <c r="F42" s="611"/>
      <c r="G42" s="611"/>
      <c r="H42" s="611"/>
      <c r="I42" s="611"/>
      <c r="J42" s="611"/>
      <c r="K42" s="611"/>
      <c r="L42" s="611"/>
      <c r="M42" s="611"/>
      <c r="N42" s="611"/>
      <c r="O42" s="611"/>
    </row>
    <row r="43" spans="1:15" ht="12.75" hidden="1" customHeight="1" x14ac:dyDescent="0.25">
      <c r="A43" s="611"/>
      <c r="D43" s="611"/>
      <c r="E43" s="611"/>
      <c r="F43" s="611"/>
      <c r="G43" s="611"/>
      <c r="H43" s="611"/>
      <c r="I43" s="611"/>
      <c r="J43" s="611"/>
      <c r="K43" s="611"/>
      <c r="L43" s="611"/>
      <c r="M43" s="611"/>
      <c r="N43" s="611"/>
      <c r="O43" s="611"/>
    </row>
    <row r="44" spans="1:15" ht="12.75" hidden="1" customHeight="1" x14ac:dyDescent="0.25">
      <c r="A44" s="611"/>
      <c r="D44" s="611"/>
      <c r="E44" s="611"/>
      <c r="F44" s="611"/>
      <c r="G44" s="611"/>
      <c r="H44" s="611"/>
      <c r="I44" s="611"/>
      <c r="J44" s="611"/>
      <c r="K44" s="611"/>
      <c r="L44" s="611"/>
      <c r="M44" s="611"/>
      <c r="N44" s="611"/>
      <c r="O44" s="611"/>
    </row>
    <row r="45" spans="1:15" ht="12.75" hidden="1" customHeight="1" x14ac:dyDescent="0.25">
      <c r="A45" s="611"/>
      <c r="D45" s="611"/>
      <c r="E45" s="611"/>
      <c r="F45" s="611"/>
      <c r="G45" s="611"/>
      <c r="H45" s="611"/>
      <c r="I45" s="611"/>
      <c r="J45" s="611"/>
      <c r="K45" s="611"/>
      <c r="L45" s="611"/>
      <c r="M45" s="611"/>
      <c r="N45" s="611"/>
      <c r="O45" s="611"/>
    </row>
    <row r="46" spans="1:15" ht="12.75" hidden="1" customHeight="1" x14ac:dyDescent="0.25">
      <c r="A46" s="611"/>
      <c r="D46" s="611"/>
      <c r="E46" s="611"/>
      <c r="F46" s="611"/>
      <c r="G46" s="611"/>
      <c r="H46" s="611"/>
      <c r="I46" s="611"/>
      <c r="J46" s="611"/>
      <c r="K46" s="611"/>
      <c r="L46" s="611"/>
      <c r="M46" s="611"/>
      <c r="N46" s="611"/>
      <c r="O46" s="611"/>
    </row>
    <row r="47" spans="1:15" ht="12.75" hidden="1" customHeight="1" x14ac:dyDescent="0.25">
      <c r="A47" s="611"/>
      <c r="D47" s="611"/>
      <c r="E47" s="611"/>
      <c r="F47" s="611"/>
      <c r="G47" s="611"/>
      <c r="H47" s="611"/>
      <c r="I47" s="611"/>
      <c r="J47" s="611"/>
      <c r="K47" s="611"/>
      <c r="L47" s="611"/>
      <c r="M47" s="611"/>
      <c r="N47" s="611"/>
      <c r="O47" s="611"/>
    </row>
    <row r="48" spans="1:15" ht="12.75" hidden="1" customHeight="1" x14ac:dyDescent="0.25">
      <c r="A48" s="611"/>
      <c r="D48" s="611"/>
      <c r="E48" s="611"/>
      <c r="F48" s="611"/>
      <c r="G48" s="611"/>
      <c r="H48" s="611"/>
      <c r="I48" s="611"/>
      <c r="J48" s="611"/>
      <c r="K48" s="611"/>
      <c r="L48" s="611"/>
      <c r="M48" s="611"/>
      <c r="N48" s="611"/>
      <c r="O48" s="611"/>
    </row>
    <row r="49" spans="1:15" ht="12.75" hidden="1" customHeight="1" x14ac:dyDescent="0.25">
      <c r="A49" s="611"/>
      <c r="D49" s="611"/>
      <c r="E49" s="611"/>
      <c r="F49" s="611"/>
      <c r="G49" s="611"/>
      <c r="H49" s="611"/>
      <c r="I49" s="611"/>
      <c r="J49" s="611"/>
      <c r="K49" s="611"/>
      <c r="L49" s="611"/>
      <c r="M49" s="611"/>
      <c r="N49" s="611"/>
      <c r="O49" s="611"/>
    </row>
    <row r="50" spans="1:15" ht="12.75" hidden="1" customHeight="1" x14ac:dyDescent="0.25">
      <c r="A50" s="611"/>
      <c r="D50" s="611"/>
      <c r="E50" s="611"/>
      <c r="F50" s="611"/>
      <c r="G50" s="611"/>
      <c r="H50" s="611"/>
      <c r="I50" s="611"/>
      <c r="J50" s="611"/>
      <c r="K50" s="611"/>
      <c r="L50" s="611"/>
      <c r="M50" s="611"/>
      <c r="N50" s="611"/>
      <c r="O50" s="611"/>
    </row>
    <row r="51" spans="1:15" ht="12.75" hidden="1" customHeight="1" x14ac:dyDescent="0.25">
      <c r="A51" s="611"/>
      <c r="D51" s="611"/>
      <c r="E51" s="611"/>
      <c r="F51" s="611"/>
      <c r="G51" s="611"/>
      <c r="H51" s="611"/>
      <c r="I51" s="611"/>
      <c r="J51" s="611"/>
      <c r="K51" s="611"/>
      <c r="L51" s="611"/>
      <c r="M51" s="611"/>
      <c r="N51" s="611"/>
      <c r="O51" s="611"/>
    </row>
    <row r="52" spans="1:15" ht="12.75" hidden="1" customHeight="1" x14ac:dyDescent="0.25">
      <c r="A52" s="611"/>
      <c r="D52" s="611"/>
      <c r="E52" s="611"/>
      <c r="F52" s="611"/>
      <c r="G52" s="611"/>
      <c r="H52" s="611"/>
      <c r="I52" s="611"/>
      <c r="J52" s="611"/>
      <c r="K52" s="611"/>
      <c r="L52" s="611"/>
      <c r="M52" s="611"/>
      <c r="N52" s="611"/>
      <c r="O52" s="611"/>
    </row>
    <row r="53" spans="1:15" ht="12.75" hidden="1" customHeight="1" x14ac:dyDescent="0.25">
      <c r="A53" s="611"/>
      <c r="D53" s="611"/>
      <c r="E53" s="611"/>
      <c r="F53" s="611"/>
      <c r="G53" s="611"/>
      <c r="H53" s="611"/>
      <c r="I53" s="611"/>
      <c r="J53" s="611"/>
      <c r="K53" s="611"/>
      <c r="L53" s="611"/>
      <c r="M53" s="611"/>
      <c r="N53" s="611"/>
      <c r="O53" s="611"/>
    </row>
    <row r="54" spans="1:15" ht="12.75" hidden="1" customHeight="1" x14ac:dyDescent="0.25">
      <c r="A54" s="611"/>
      <c r="D54" s="611"/>
      <c r="E54" s="611"/>
      <c r="F54" s="611"/>
      <c r="G54" s="611"/>
      <c r="H54" s="611"/>
      <c r="I54" s="611"/>
      <c r="J54" s="611"/>
      <c r="K54" s="611"/>
      <c r="L54" s="611"/>
      <c r="M54" s="611"/>
      <c r="N54" s="611"/>
      <c r="O54" s="611"/>
    </row>
    <row r="55" spans="1:15" ht="12.75" hidden="1" customHeight="1" x14ac:dyDescent="0.25">
      <c r="A55" s="611"/>
      <c r="D55" s="611"/>
      <c r="E55" s="611"/>
      <c r="F55" s="611"/>
      <c r="G55" s="611"/>
      <c r="H55" s="611"/>
      <c r="I55" s="611"/>
      <c r="J55" s="611"/>
      <c r="K55" s="611"/>
      <c r="L55" s="611"/>
      <c r="M55" s="611"/>
      <c r="N55" s="611"/>
      <c r="O55" s="611"/>
    </row>
    <row r="56" spans="1:15" ht="12.75" hidden="1" customHeight="1" x14ac:dyDescent="0.25">
      <c r="A56" s="611"/>
      <c r="D56" s="611"/>
      <c r="E56" s="611"/>
      <c r="F56" s="611"/>
      <c r="G56" s="611"/>
      <c r="H56" s="611"/>
      <c r="I56" s="611"/>
      <c r="J56" s="611"/>
      <c r="K56" s="611"/>
      <c r="L56" s="611"/>
      <c r="M56" s="611"/>
      <c r="N56" s="611"/>
      <c r="O56" s="611"/>
    </row>
    <row r="57" spans="1:15" ht="12.75" hidden="1" customHeight="1" x14ac:dyDescent="0.25">
      <c r="A57" s="611"/>
      <c r="D57" s="611"/>
      <c r="E57" s="611"/>
      <c r="F57" s="611"/>
      <c r="G57" s="611"/>
      <c r="H57" s="611"/>
      <c r="I57" s="611"/>
      <c r="J57" s="611"/>
      <c r="K57" s="611"/>
      <c r="L57" s="611"/>
      <c r="M57" s="611"/>
      <c r="N57" s="611"/>
      <c r="O57" s="611"/>
    </row>
    <row r="58" spans="1:15" ht="12.75" hidden="1" customHeight="1" x14ac:dyDescent="0.25">
      <c r="A58" s="611"/>
      <c r="D58" s="611"/>
      <c r="E58" s="611"/>
      <c r="F58" s="611"/>
      <c r="G58" s="611"/>
      <c r="H58" s="611"/>
      <c r="I58" s="611"/>
      <c r="J58" s="611"/>
      <c r="K58" s="611"/>
      <c r="L58" s="611"/>
      <c r="M58" s="611"/>
      <c r="N58" s="611"/>
      <c r="O58" s="611"/>
    </row>
    <row r="59" spans="1:15" ht="12.75" hidden="1" customHeight="1" x14ac:dyDescent="0.25">
      <c r="A59" s="611"/>
      <c r="D59" s="611"/>
      <c r="E59" s="611"/>
      <c r="F59" s="611"/>
      <c r="G59" s="611"/>
      <c r="H59" s="611"/>
      <c r="I59" s="611"/>
      <c r="J59" s="611"/>
      <c r="K59" s="611"/>
      <c r="L59" s="611"/>
      <c r="M59" s="611"/>
      <c r="N59" s="611"/>
      <c r="O59" s="611"/>
    </row>
    <row r="60" spans="1:15" ht="12.75" hidden="1" customHeight="1" x14ac:dyDescent="0.25">
      <c r="A60" s="611"/>
      <c r="D60" s="611"/>
      <c r="E60" s="611"/>
      <c r="F60" s="611"/>
      <c r="G60" s="611"/>
      <c r="H60" s="611"/>
      <c r="I60" s="611"/>
      <c r="J60" s="611"/>
      <c r="K60" s="611"/>
      <c r="L60" s="611"/>
      <c r="M60" s="611"/>
      <c r="N60" s="611"/>
      <c r="O60" s="611"/>
    </row>
    <row r="61" spans="1:15" ht="12.75" hidden="1" customHeight="1" x14ac:dyDescent="0.25">
      <c r="A61" s="611"/>
      <c r="D61" s="611"/>
      <c r="E61" s="611"/>
      <c r="F61" s="611"/>
      <c r="G61" s="611"/>
      <c r="H61" s="611"/>
      <c r="I61" s="611"/>
      <c r="J61" s="611"/>
      <c r="K61" s="611"/>
      <c r="L61" s="611"/>
      <c r="M61" s="611"/>
      <c r="N61" s="611"/>
      <c r="O61" s="611"/>
    </row>
    <row r="62" spans="1:15" ht="12.75" hidden="1" customHeight="1" x14ac:dyDescent="0.25">
      <c r="A62" s="611"/>
      <c r="D62" s="611"/>
      <c r="E62" s="611"/>
      <c r="F62" s="611"/>
      <c r="G62" s="611"/>
      <c r="H62" s="611"/>
      <c r="I62" s="611"/>
      <c r="J62" s="611"/>
      <c r="K62" s="611"/>
      <c r="L62" s="611"/>
      <c r="M62" s="611"/>
      <c r="N62" s="611"/>
      <c r="O62" s="611"/>
    </row>
    <row r="63" spans="1:15" ht="12.75" hidden="1" customHeight="1" x14ac:dyDescent="0.25">
      <c r="A63" s="611"/>
      <c r="D63" s="611"/>
      <c r="E63" s="611"/>
      <c r="F63" s="611"/>
      <c r="G63" s="611"/>
      <c r="H63" s="611"/>
      <c r="I63" s="611"/>
      <c r="J63" s="611"/>
      <c r="K63" s="611"/>
      <c r="L63" s="611"/>
      <c r="M63" s="611"/>
      <c r="N63" s="611"/>
      <c r="O63" s="611"/>
    </row>
    <row r="64" spans="1:15" ht="12.75" hidden="1" customHeight="1" x14ac:dyDescent="0.25">
      <c r="A64" s="611"/>
      <c r="D64" s="611"/>
      <c r="E64" s="611"/>
      <c r="F64" s="611"/>
      <c r="G64" s="611"/>
      <c r="H64" s="611"/>
      <c r="I64" s="611"/>
      <c r="J64" s="611"/>
      <c r="K64" s="611"/>
      <c r="L64" s="611"/>
      <c r="M64" s="611"/>
      <c r="N64" s="611"/>
      <c r="O64" s="611"/>
    </row>
    <row r="65" spans="1:18" ht="12.75" hidden="1" customHeight="1" x14ac:dyDescent="0.25">
      <c r="A65" s="611"/>
      <c r="D65" s="611"/>
      <c r="E65" s="611"/>
      <c r="F65" s="611"/>
      <c r="G65" s="611"/>
      <c r="H65" s="611"/>
      <c r="I65" s="611"/>
      <c r="J65" s="611"/>
      <c r="K65" s="611"/>
      <c r="L65" s="611"/>
      <c r="M65" s="611"/>
      <c r="N65" s="611"/>
      <c r="O65" s="611"/>
    </row>
    <row r="66" spans="1:18" x14ac:dyDescent="0.25">
      <c r="A66" s="611"/>
      <c r="D66" s="611"/>
      <c r="E66" s="611"/>
      <c r="F66" s="611"/>
      <c r="G66" s="611"/>
      <c r="H66" s="611"/>
      <c r="I66" s="611"/>
      <c r="J66" s="611"/>
      <c r="K66" s="611"/>
      <c r="L66" s="611"/>
      <c r="M66" s="611"/>
      <c r="N66" s="611"/>
      <c r="O66" s="611"/>
    </row>
    <row r="67" spans="1:18" x14ac:dyDescent="0.25">
      <c r="A67" s="770" t="s">
        <v>2</v>
      </c>
      <c r="B67" s="769" t="s">
        <v>132</v>
      </c>
      <c r="C67" s="623" t="s">
        <v>70</v>
      </c>
      <c r="D67" s="623">
        <f>D9-P9</f>
        <v>-12054255.65</v>
      </c>
      <c r="E67" s="623">
        <f>E5</f>
        <v>-1538555.69</v>
      </c>
      <c r="F67" s="623">
        <f t="shared" ref="F67:R67" si="0">F5</f>
        <v>-869015.39</v>
      </c>
      <c r="G67" s="623">
        <f t="shared" si="0"/>
        <v>-457881.97</v>
      </c>
      <c r="H67" s="623">
        <f t="shared" si="0"/>
        <v>-382604.13</v>
      </c>
      <c r="I67" s="623">
        <f t="shared" si="0"/>
        <v>-12197.75</v>
      </c>
      <c r="J67" s="623">
        <f t="shared" si="0"/>
        <v>-113093.15</v>
      </c>
      <c r="K67" s="623">
        <f t="shared" si="0"/>
        <v>-152211.56</v>
      </c>
      <c r="L67" s="623">
        <f t="shared" si="0"/>
        <v>-738903.14</v>
      </c>
      <c r="M67" s="623">
        <f t="shared" si="0"/>
        <v>-4228184.99</v>
      </c>
      <c r="N67" s="623">
        <f t="shared" si="0"/>
        <v>-19901.169999999998</v>
      </c>
      <c r="O67" s="623">
        <f t="shared" si="0"/>
        <v>27.65</v>
      </c>
      <c r="P67" s="623">
        <f t="shared" si="0"/>
        <v>0</v>
      </c>
      <c r="Q67" s="623">
        <f t="shared" si="0"/>
        <v>0</v>
      </c>
      <c r="R67" s="623">
        <f t="shared" si="0"/>
        <v>0</v>
      </c>
    </row>
    <row r="68" spans="1:18" x14ac:dyDescent="0.25">
      <c r="A68" s="770"/>
      <c r="B68" s="769"/>
      <c r="C68" s="623" t="s">
        <v>73</v>
      </c>
      <c r="D68" s="623">
        <f>D7</f>
        <v>-3541734.36</v>
      </c>
      <c r="E68" s="611"/>
      <c r="F68" s="611"/>
      <c r="G68" s="611"/>
      <c r="H68" s="611"/>
      <c r="I68" s="611"/>
      <c r="J68" s="611"/>
      <c r="K68" s="611"/>
      <c r="L68" s="611"/>
      <c r="M68" s="611"/>
      <c r="N68" s="611"/>
      <c r="O68" s="611"/>
      <c r="P68" s="611"/>
      <c r="Q68" s="611"/>
      <c r="R68" s="611"/>
    </row>
    <row r="69" spans="1:18" ht="13" x14ac:dyDescent="0.3">
      <c r="A69" s="610"/>
      <c r="D69" s="611"/>
      <c r="E69" s="611"/>
      <c r="F69" s="611"/>
      <c r="G69" s="611"/>
      <c r="H69" s="611"/>
      <c r="I69" s="611"/>
      <c r="J69" s="611"/>
      <c r="K69" s="611"/>
      <c r="L69" s="611"/>
      <c r="M69" s="611"/>
      <c r="N69" s="611"/>
      <c r="O69" s="611"/>
      <c r="P69" s="611"/>
      <c r="Q69" s="611"/>
      <c r="R69" s="611"/>
    </row>
    <row r="70" spans="1:18" x14ac:dyDescent="0.25">
      <c r="A70" s="770" t="s">
        <v>160</v>
      </c>
      <c r="B70" s="769" t="s">
        <v>132</v>
      </c>
      <c r="C70" s="625" t="s">
        <v>70</v>
      </c>
      <c r="D70" s="625">
        <v>0</v>
      </c>
      <c r="E70" s="625">
        <v>0</v>
      </c>
      <c r="F70" s="625">
        <v>0</v>
      </c>
      <c r="G70" s="625">
        <v>0</v>
      </c>
      <c r="H70" s="625">
        <v>0</v>
      </c>
      <c r="I70" s="625">
        <v>0</v>
      </c>
      <c r="J70" s="625">
        <v>0</v>
      </c>
      <c r="K70" s="625">
        <v>0</v>
      </c>
      <c r="L70" s="625">
        <v>0</v>
      </c>
      <c r="M70" s="625">
        <v>0</v>
      </c>
      <c r="N70" s="625">
        <v>0</v>
      </c>
      <c r="O70" s="625">
        <v>0</v>
      </c>
      <c r="P70" s="625">
        <v>0</v>
      </c>
      <c r="Q70" s="625">
        <v>0</v>
      </c>
      <c r="R70" s="625">
        <v>0</v>
      </c>
    </row>
    <row r="71" spans="1:18" x14ac:dyDescent="0.25">
      <c r="A71" s="770"/>
      <c r="B71" s="769"/>
      <c r="C71" s="625" t="s">
        <v>73</v>
      </c>
      <c r="D71" s="625">
        <v>0</v>
      </c>
      <c r="E71" s="611"/>
      <c r="F71" s="611"/>
      <c r="G71" s="611"/>
      <c r="H71" s="611"/>
      <c r="I71" s="611"/>
      <c r="J71" s="611"/>
      <c r="K71" s="611"/>
      <c r="L71" s="611"/>
      <c r="M71" s="611"/>
      <c r="N71" s="611"/>
      <c r="O71" s="611"/>
      <c r="P71" s="611"/>
      <c r="Q71" s="611"/>
      <c r="R71" s="611"/>
    </row>
    <row r="72" spans="1:18" ht="13" x14ac:dyDescent="0.3">
      <c r="A72" s="610"/>
      <c r="D72" s="611"/>
      <c r="E72" s="611"/>
      <c r="F72" s="611"/>
      <c r="G72" s="611"/>
      <c r="H72" s="611"/>
      <c r="I72" s="611"/>
      <c r="J72" s="611"/>
      <c r="K72" s="611"/>
      <c r="L72" s="611"/>
      <c r="M72" s="611"/>
      <c r="N72" s="611"/>
      <c r="O72" s="611"/>
      <c r="P72" s="611"/>
      <c r="Q72" s="611"/>
      <c r="R72" s="611"/>
    </row>
    <row r="73" spans="1:18" x14ac:dyDescent="0.25">
      <c r="A73" s="770" t="s">
        <v>155</v>
      </c>
      <c r="B73" s="769" t="s">
        <v>132</v>
      </c>
      <c r="C73" s="626" t="s">
        <v>70</v>
      </c>
      <c r="D73" s="626">
        <v>0</v>
      </c>
      <c r="E73" s="626">
        <v>0</v>
      </c>
      <c r="F73" s="626">
        <v>0</v>
      </c>
      <c r="G73" s="626">
        <v>0</v>
      </c>
      <c r="H73" s="626">
        <v>0</v>
      </c>
      <c r="I73" s="626">
        <v>0</v>
      </c>
      <c r="J73" s="626">
        <v>0</v>
      </c>
      <c r="K73" s="626">
        <v>0</v>
      </c>
      <c r="L73" s="626">
        <v>0</v>
      </c>
      <c r="M73" s="626">
        <v>0</v>
      </c>
      <c r="N73" s="626">
        <v>0</v>
      </c>
      <c r="O73" s="626">
        <v>0</v>
      </c>
      <c r="P73" s="626">
        <v>0</v>
      </c>
      <c r="Q73" s="626">
        <v>0</v>
      </c>
      <c r="R73" s="626">
        <v>0</v>
      </c>
    </row>
    <row r="74" spans="1:18" x14ac:dyDescent="0.25">
      <c r="A74" s="770"/>
      <c r="B74" s="769"/>
      <c r="C74" s="626" t="s">
        <v>73</v>
      </c>
      <c r="D74" s="626">
        <v>0</v>
      </c>
      <c r="E74" s="611"/>
      <c r="F74" s="611"/>
      <c r="G74" s="611"/>
      <c r="H74" s="611"/>
      <c r="I74" s="611"/>
      <c r="J74" s="611"/>
      <c r="K74" s="611"/>
      <c r="L74" s="611"/>
      <c r="M74" s="611"/>
      <c r="N74" s="611"/>
      <c r="O74" s="611"/>
      <c r="P74" s="611"/>
      <c r="Q74" s="611"/>
      <c r="R74" s="611"/>
    </row>
    <row r="75" spans="1:18" ht="13" x14ac:dyDescent="0.25">
      <c r="A75" s="721"/>
      <c r="B75" s="720"/>
      <c r="C75" s="611"/>
      <c r="D75" s="611"/>
      <c r="E75" s="611"/>
      <c r="F75" s="611"/>
      <c r="G75" s="611"/>
      <c r="H75" s="611"/>
      <c r="I75" s="611"/>
      <c r="J75" s="611"/>
      <c r="K75" s="611"/>
      <c r="L75" s="611"/>
      <c r="M75" s="611"/>
      <c r="N75" s="611"/>
      <c r="O75" s="611"/>
      <c r="P75" s="611"/>
      <c r="Q75" s="611"/>
      <c r="R75" s="611"/>
    </row>
    <row r="76" spans="1:18" ht="12.75" customHeight="1" x14ac:dyDescent="0.25">
      <c r="A76" s="771" t="s">
        <v>326</v>
      </c>
      <c r="B76" s="769" t="s">
        <v>132</v>
      </c>
      <c r="C76" s="626" t="s">
        <v>70</v>
      </c>
      <c r="D76" s="719">
        <v>0</v>
      </c>
      <c r="E76" s="719">
        <v>0</v>
      </c>
      <c r="F76" s="719">
        <v>0</v>
      </c>
      <c r="G76" s="719">
        <v>0</v>
      </c>
      <c r="H76" s="719">
        <v>0</v>
      </c>
      <c r="I76" s="719">
        <v>0</v>
      </c>
      <c r="J76" s="719">
        <v>0</v>
      </c>
      <c r="K76" s="719">
        <v>0</v>
      </c>
      <c r="L76" s="719">
        <v>0</v>
      </c>
      <c r="M76" s="719">
        <v>0</v>
      </c>
      <c r="N76" s="719">
        <v>0</v>
      </c>
      <c r="O76" s="719">
        <v>0</v>
      </c>
      <c r="P76" s="719">
        <v>0</v>
      </c>
      <c r="Q76" s="719">
        <v>0</v>
      </c>
      <c r="R76" s="719">
        <v>0</v>
      </c>
    </row>
    <row r="77" spans="1:18" ht="12.75" customHeight="1" x14ac:dyDescent="0.25">
      <c r="A77" s="771"/>
      <c r="B77" s="769"/>
      <c r="C77" s="626" t="s">
        <v>73</v>
      </c>
      <c r="D77" s="719">
        <v>0</v>
      </c>
      <c r="E77" s="611"/>
      <c r="F77" s="611"/>
      <c r="G77" s="611"/>
      <c r="H77" s="611"/>
      <c r="I77" s="611"/>
      <c r="J77" s="611"/>
      <c r="K77" s="611"/>
      <c r="L77" s="611"/>
      <c r="M77" s="611"/>
      <c r="N77" s="611"/>
      <c r="O77" s="611"/>
      <c r="P77" s="611"/>
      <c r="Q77" s="611"/>
    </row>
    <row r="78" spans="1:18" ht="13" x14ac:dyDescent="0.3">
      <c r="A78" s="610"/>
      <c r="D78" s="611"/>
      <c r="E78" s="611"/>
      <c r="F78" s="611"/>
      <c r="G78" s="611"/>
      <c r="H78" s="611"/>
      <c r="I78" s="611"/>
      <c r="J78" s="611"/>
      <c r="K78" s="611"/>
      <c r="L78" s="611"/>
      <c r="M78" s="611"/>
      <c r="N78" s="611"/>
      <c r="O78" s="611"/>
      <c r="P78" s="611"/>
      <c r="Q78" s="611"/>
      <c r="R78" s="611"/>
    </row>
    <row r="79" spans="1:18" x14ac:dyDescent="0.25">
      <c r="A79" s="770" t="s">
        <v>119</v>
      </c>
      <c r="B79" s="769" t="s">
        <v>132</v>
      </c>
      <c r="C79" s="621" t="s">
        <v>70</v>
      </c>
      <c r="D79" s="621">
        <f>D8-P8</f>
        <v>-12054255.65</v>
      </c>
      <c r="E79" s="621">
        <f>E5</f>
        <v>-1538555.69</v>
      </c>
      <c r="F79" s="621">
        <f t="shared" ref="F79:R79" si="1">F5</f>
        <v>-869015.39</v>
      </c>
      <c r="G79" s="621">
        <f t="shared" si="1"/>
        <v>-457881.97</v>
      </c>
      <c r="H79" s="621">
        <f t="shared" si="1"/>
        <v>-382604.13</v>
      </c>
      <c r="I79" s="621">
        <f t="shared" si="1"/>
        <v>-12197.75</v>
      </c>
      <c r="J79" s="621">
        <f t="shared" si="1"/>
        <v>-113093.15</v>
      </c>
      <c r="K79" s="621">
        <f t="shared" si="1"/>
        <v>-152211.56</v>
      </c>
      <c r="L79" s="621">
        <f t="shared" si="1"/>
        <v>-738903.14</v>
      </c>
      <c r="M79" s="621">
        <f t="shared" si="1"/>
        <v>-4228184.99</v>
      </c>
      <c r="N79" s="621">
        <f t="shared" si="1"/>
        <v>-19901.169999999998</v>
      </c>
      <c r="O79" s="621">
        <f t="shared" si="1"/>
        <v>27.65</v>
      </c>
      <c r="P79" s="621">
        <f t="shared" si="1"/>
        <v>0</v>
      </c>
      <c r="Q79" s="621">
        <f t="shared" si="1"/>
        <v>0</v>
      </c>
      <c r="R79" s="621">
        <f t="shared" si="1"/>
        <v>0</v>
      </c>
    </row>
    <row r="80" spans="1:18" ht="12.75" customHeight="1" x14ac:dyDescent="0.25">
      <c r="A80" s="770"/>
      <c r="B80" s="769"/>
      <c r="C80" s="621" t="s">
        <v>73</v>
      </c>
      <c r="D80" s="621">
        <f>D7</f>
        <v>-3541734.36</v>
      </c>
      <c r="E80" s="611"/>
      <c r="F80" s="611"/>
      <c r="G80" s="611"/>
      <c r="H80" s="611"/>
      <c r="I80" s="611"/>
      <c r="J80" s="611"/>
      <c r="K80" s="611"/>
      <c r="L80" s="611"/>
      <c r="M80" s="611"/>
      <c r="N80" s="611"/>
      <c r="O80" s="611"/>
      <c r="P80" s="611"/>
      <c r="Q80" s="611"/>
      <c r="R80" s="611"/>
    </row>
    <row r="81" spans="1:18" ht="12.75" customHeight="1" x14ac:dyDescent="0.3">
      <c r="A81" s="610"/>
      <c r="D81" s="611"/>
      <c r="E81" s="611"/>
      <c r="F81" s="611"/>
      <c r="G81" s="611"/>
      <c r="H81" s="611"/>
      <c r="I81" s="611"/>
      <c r="J81" s="611"/>
      <c r="K81" s="611"/>
      <c r="L81" s="611"/>
      <c r="M81" s="611"/>
      <c r="N81" s="611"/>
      <c r="O81" s="611"/>
      <c r="P81" s="611"/>
      <c r="Q81" s="611"/>
      <c r="R81" s="611"/>
    </row>
    <row r="82" spans="1:18" ht="12.75" customHeight="1" x14ac:dyDescent="0.25">
      <c r="A82" s="768" t="s">
        <v>161</v>
      </c>
      <c r="B82" s="769" t="s">
        <v>132</v>
      </c>
      <c r="C82" s="627" t="s">
        <v>70</v>
      </c>
      <c r="D82" s="627">
        <v>0</v>
      </c>
      <c r="E82" s="627">
        <v>0</v>
      </c>
      <c r="F82" s="627">
        <v>0</v>
      </c>
      <c r="G82" s="627">
        <v>0</v>
      </c>
      <c r="H82" s="627">
        <v>0</v>
      </c>
      <c r="I82" s="627">
        <v>0</v>
      </c>
      <c r="J82" s="627">
        <v>0</v>
      </c>
      <c r="K82" s="627">
        <v>0</v>
      </c>
      <c r="L82" s="627">
        <v>0</v>
      </c>
      <c r="M82" s="627">
        <v>0</v>
      </c>
      <c r="N82" s="627">
        <v>0</v>
      </c>
      <c r="O82" s="627">
        <v>0</v>
      </c>
      <c r="P82" s="627">
        <v>0</v>
      </c>
      <c r="Q82" s="627">
        <v>0</v>
      </c>
      <c r="R82" s="627">
        <v>0</v>
      </c>
    </row>
    <row r="83" spans="1:18" ht="12.75" customHeight="1" x14ac:dyDescent="0.25">
      <c r="A83" s="768"/>
      <c r="B83" s="769"/>
      <c r="C83" s="627" t="s">
        <v>73</v>
      </c>
      <c r="D83" s="627">
        <v>0</v>
      </c>
      <c r="E83" s="611"/>
      <c r="F83" s="611"/>
      <c r="G83" s="611"/>
      <c r="H83" s="611"/>
      <c r="I83" s="611"/>
      <c r="J83" s="611"/>
      <c r="K83" s="611"/>
      <c r="L83" s="611"/>
      <c r="M83" s="611"/>
      <c r="N83" s="611"/>
      <c r="O83" s="611"/>
      <c r="P83" s="611"/>
      <c r="Q83" s="611"/>
    </row>
    <row r="84" spans="1:18" s="628" customFormat="1" x14ac:dyDescent="0.25"/>
    <row r="85" spans="1:18" ht="13" x14ac:dyDescent="0.3">
      <c r="B85" s="610" t="s">
        <v>75</v>
      </c>
    </row>
    <row r="86" spans="1:18" ht="12.75" customHeight="1" x14ac:dyDescent="0.25">
      <c r="D86" s="611" t="s">
        <v>70</v>
      </c>
      <c r="E86" s="611" t="s">
        <v>64</v>
      </c>
      <c r="F86" s="611" t="s">
        <v>65</v>
      </c>
      <c r="G86" s="612" t="s">
        <v>164</v>
      </c>
      <c r="H86" s="611" t="s">
        <v>69</v>
      </c>
      <c r="I86" s="611" t="s">
        <v>68</v>
      </c>
      <c r="J86" s="611" t="s">
        <v>66</v>
      </c>
      <c r="K86" s="611" t="s">
        <v>63</v>
      </c>
      <c r="L86" s="611" t="s">
        <v>61</v>
      </c>
      <c r="M86" s="611" t="s">
        <v>62</v>
      </c>
      <c r="N86" s="611" t="s">
        <v>67</v>
      </c>
      <c r="O86" s="611" t="s">
        <v>77</v>
      </c>
      <c r="P86" s="609" t="s">
        <v>71</v>
      </c>
      <c r="Q86" s="611" t="s">
        <v>80</v>
      </c>
      <c r="R86" s="609" t="s">
        <v>167</v>
      </c>
    </row>
    <row r="87" spans="1:18" ht="12.75" customHeight="1" x14ac:dyDescent="0.25">
      <c r="C87" s="609" t="s">
        <v>72</v>
      </c>
      <c r="D87" s="611">
        <v>-12510091.210000001</v>
      </c>
      <c r="E87" s="611">
        <v>-685319.88</v>
      </c>
      <c r="F87" s="611">
        <v>-386138.78</v>
      </c>
      <c r="G87" s="613">
        <v>-203450.42</v>
      </c>
      <c r="H87" s="611">
        <v>-3018006.62</v>
      </c>
      <c r="I87" s="611">
        <v>-115581.1</v>
      </c>
      <c r="J87" s="611">
        <v>-1004303.36</v>
      </c>
      <c r="K87" s="611">
        <v>-984101.17</v>
      </c>
      <c r="L87" s="611">
        <v>-4576813.8</v>
      </c>
      <c r="M87" s="611">
        <v>-1348439.45</v>
      </c>
      <c r="N87" s="611">
        <v>-187944.08</v>
      </c>
      <c r="O87" s="611">
        <v>7.45</v>
      </c>
      <c r="P87" s="609">
        <v>0</v>
      </c>
      <c r="Q87" s="611">
        <v>0</v>
      </c>
      <c r="R87" s="609">
        <v>0</v>
      </c>
    </row>
    <row r="88" spans="1:18" ht="12.75" customHeight="1" x14ac:dyDescent="0.25">
      <c r="C88" s="609" t="s">
        <v>81</v>
      </c>
      <c r="D88" s="611">
        <v>-28375.39</v>
      </c>
      <c r="E88" s="611">
        <v>-1910.39</v>
      </c>
      <c r="F88" s="611">
        <v>-986.27</v>
      </c>
      <c r="G88" s="613">
        <v>-479.41</v>
      </c>
      <c r="H88" s="611">
        <v>-5748.48</v>
      </c>
      <c r="I88" s="611">
        <v>-254.76</v>
      </c>
      <c r="J88" s="611">
        <v>-2231.44</v>
      </c>
      <c r="K88" s="611">
        <v>-2549.7800000000002</v>
      </c>
      <c r="L88" s="611">
        <v>-10026.67</v>
      </c>
      <c r="M88" s="611">
        <v>-3773.44</v>
      </c>
      <c r="N88" s="611">
        <v>-414.85</v>
      </c>
      <c r="O88" s="611">
        <v>0.1</v>
      </c>
      <c r="P88" s="609">
        <v>0</v>
      </c>
      <c r="Q88" s="611">
        <v>0</v>
      </c>
      <c r="R88" s="609">
        <v>0</v>
      </c>
    </row>
    <row r="89" spans="1:18" s="614" customFormat="1" ht="12.75" customHeight="1" x14ac:dyDescent="0.25">
      <c r="B89" s="615" t="s">
        <v>78</v>
      </c>
      <c r="C89" s="615" t="s">
        <v>70</v>
      </c>
      <c r="D89" s="615">
        <v>-12538466.6</v>
      </c>
      <c r="E89" s="615">
        <v>-687230.27</v>
      </c>
      <c r="F89" s="615">
        <v>-387125.05</v>
      </c>
      <c r="G89" s="615">
        <v>-203929.83</v>
      </c>
      <c r="H89" s="615">
        <v>-3023755.1</v>
      </c>
      <c r="I89" s="615">
        <v>-115835.86</v>
      </c>
      <c r="J89" s="615">
        <v>-1006534.8</v>
      </c>
      <c r="K89" s="615">
        <v>-986650.95</v>
      </c>
      <c r="L89" s="615">
        <v>-4586840.47</v>
      </c>
      <c r="M89" s="615">
        <v>-1352212.89</v>
      </c>
      <c r="N89" s="615">
        <v>-188358.93</v>
      </c>
      <c r="O89" s="615">
        <v>7.55</v>
      </c>
      <c r="P89" s="614">
        <v>0</v>
      </c>
      <c r="Q89" s="615">
        <v>0</v>
      </c>
      <c r="R89" s="615">
        <v>0</v>
      </c>
    </row>
    <row r="90" spans="1:18" ht="12.75" customHeight="1" x14ac:dyDescent="0.25">
      <c r="C90" s="609" t="s">
        <v>73</v>
      </c>
      <c r="D90" s="611">
        <v>2669055.6</v>
      </c>
      <c r="E90" s="611">
        <v>90356.23</v>
      </c>
      <c r="F90" s="611">
        <v>51012.76</v>
      </c>
      <c r="G90" s="613">
        <v>26867.42</v>
      </c>
      <c r="H90" s="611">
        <v>688638.15</v>
      </c>
      <c r="I90" s="611">
        <v>27274.93</v>
      </c>
      <c r="J90" s="611">
        <v>239249.96</v>
      </c>
      <c r="K90" s="611">
        <v>234515.54</v>
      </c>
      <c r="L90" s="611">
        <v>1090962.3799999999</v>
      </c>
      <c r="M90" s="611">
        <v>175677.7</v>
      </c>
      <c r="N90" s="611">
        <v>44500.53</v>
      </c>
      <c r="O90" s="611">
        <v>0</v>
      </c>
      <c r="P90" s="609">
        <v>0</v>
      </c>
      <c r="Q90" s="611">
        <v>0</v>
      </c>
      <c r="R90" s="609">
        <v>0</v>
      </c>
    </row>
    <row r="91" spans="1:18" s="616" customFormat="1" ht="12.75" customHeight="1" x14ac:dyDescent="0.25">
      <c r="B91" s="616" t="s">
        <v>79</v>
      </c>
      <c r="C91" s="616" t="s">
        <v>70</v>
      </c>
      <c r="D91" s="629">
        <v>2669055.6</v>
      </c>
      <c r="E91" s="617">
        <v>90356.23</v>
      </c>
      <c r="F91" s="617">
        <v>51012.76</v>
      </c>
      <c r="G91" s="629">
        <v>26867.42</v>
      </c>
      <c r="H91" s="617">
        <v>688638.15</v>
      </c>
      <c r="I91" s="617">
        <v>27274.93</v>
      </c>
      <c r="J91" s="617">
        <v>239249.96</v>
      </c>
      <c r="K91" s="617">
        <v>234515.54</v>
      </c>
      <c r="L91" s="617">
        <v>1090962.3799999999</v>
      </c>
      <c r="M91" s="617">
        <v>175677.7</v>
      </c>
      <c r="N91" s="617">
        <v>44500.53</v>
      </c>
      <c r="O91" s="617">
        <v>0</v>
      </c>
      <c r="P91" s="616">
        <v>0</v>
      </c>
      <c r="Q91" s="617">
        <v>0</v>
      </c>
      <c r="R91" s="616">
        <v>0</v>
      </c>
    </row>
    <row r="92" spans="1:18" s="618" customFormat="1" ht="12.75" customHeight="1" x14ac:dyDescent="0.25">
      <c r="A92" s="618" t="s">
        <v>155</v>
      </c>
      <c r="B92" s="618" t="s">
        <v>70</v>
      </c>
      <c r="D92" s="619">
        <v>-9869411</v>
      </c>
      <c r="E92" s="619">
        <v>-596874.04</v>
      </c>
      <c r="F92" s="619">
        <v>-336112.29</v>
      </c>
      <c r="G92" s="620">
        <v>-177062.41</v>
      </c>
      <c r="H92" s="619">
        <v>-2335116.9500000002</v>
      </c>
      <c r="I92" s="619">
        <v>-88560.93</v>
      </c>
      <c r="J92" s="619">
        <v>-767284.84</v>
      </c>
      <c r="K92" s="619">
        <v>-752135.41</v>
      </c>
      <c r="L92" s="619">
        <v>-3495878.09</v>
      </c>
      <c r="M92" s="619">
        <v>-1176535.19</v>
      </c>
      <c r="N92" s="619">
        <v>-143858.4</v>
      </c>
      <c r="O92" s="619">
        <v>7.55</v>
      </c>
      <c r="P92" s="618">
        <v>0</v>
      </c>
      <c r="Q92" s="619">
        <v>0</v>
      </c>
      <c r="R92" s="618">
        <v>0</v>
      </c>
    </row>
    <row r="93" spans="1:18" ht="12.75" customHeight="1" x14ac:dyDescent="0.25">
      <c r="C93" s="609" t="s">
        <v>72</v>
      </c>
      <c r="D93" s="611">
        <v>-23269.08</v>
      </c>
      <c r="E93" s="611">
        <v>-163.22999999999999</v>
      </c>
      <c r="F93" s="611">
        <v>-92.16</v>
      </c>
      <c r="G93" s="613">
        <v>-48.37</v>
      </c>
      <c r="H93" s="611">
        <v>0</v>
      </c>
      <c r="I93" s="611">
        <v>-374.65</v>
      </c>
      <c r="J93" s="611">
        <v>-3286.39</v>
      </c>
      <c r="K93" s="611">
        <v>-3205.2</v>
      </c>
      <c r="L93" s="611">
        <v>-15163.76</v>
      </c>
      <c r="M93" s="611">
        <v>-324.05</v>
      </c>
      <c r="N93" s="611">
        <v>-611.27</v>
      </c>
      <c r="O93" s="611">
        <v>0</v>
      </c>
      <c r="P93" s="609">
        <v>0</v>
      </c>
      <c r="Q93" s="611">
        <v>0</v>
      </c>
      <c r="R93" s="609">
        <v>0</v>
      </c>
    </row>
    <row r="94" spans="1:18" s="614" customFormat="1" ht="12.75" customHeight="1" x14ac:dyDescent="0.25">
      <c r="B94" s="615" t="s">
        <v>78</v>
      </c>
      <c r="C94" s="615" t="s">
        <v>70</v>
      </c>
      <c r="D94" s="615">
        <v>-23269.08</v>
      </c>
      <c r="E94" s="615">
        <v>-163.22999999999999</v>
      </c>
      <c r="F94" s="615">
        <v>-92.16</v>
      </c>
      <c r="G94" s="615">
        <v>-48.37</v>
      </c>
      <c r="H94" s="615">
        <v>0</v>
      </c>
      <c r="I94" s="615">
        <v>-374.65</v>
      </c>
      <c r="J94" s="615">
        <v>-3286.39</v>
      </c>
      <c r="K94" s="615">
        <v>-3205.2</v>
      </c>
      <c r="L94" s="615">
        <v>-15163.76</v>
      </c>
      <c r="M94" s="615">
        <v>-324.05</v>
      </c>
      <c r="N94" s="615">
        <v>-611.27</v>
      </c>
      <c r="O94" s="615">
        <v>0</v>
      </c>
      <c r="P94" s="614">
        <v>0</v>
      </c>
      <c r="Q94" s="615">
        <v>0</v>
      </c>
      <c r="R94" s="615">
        <v>0</v>
      </c>
    </row>
    <row r="95" spans="1:18" ht="12.75" customHeight="1" x14ac:dyDescent="0.25">
      <c r="C95" s="609" t="s">
        <v>73</v>
      </c>
      <c r="D95" s="611">
        <v>3490.36</v>
      </c>
      <c r="E95" s="611">
        <v>24.48</v>
      </c>
      <c r="F95" s="611">
        <v>13.82</v>
      </c>
      <c r="G95" s="613">
        <v>7.26</v>
      </c>
      <c r="H95" s="611">
        <v>0</v>
      </c>
      <c r="I95" s="611">
        <v>56.2</v>
      </c>
      <c r="J95" s="611">
        <v>492.96</v>
      </c>
      <c r="K95" s="611">
        <v>480.78</v>
      </c>
      <c r="L95" s="611">
        <v>2274.56</v>
      </c>
      <c r="M95" s="611">
        <v>48.61</v>
      </c>
      <c r="N95" s="611">
        <v>91.69</v>
      </c>
      <c r="O95" s="611">
        <v>0</v>
      </c>
      <c r="P95" s="609">
        <v>0</v>
      </c>
      <c r="Q95" s="611">
        <v>0</v>
      </c>
      <c r="R95" s="609">
        <v>0</v>
      </c>
    </row>
    <row r="96" spans="1:18" s="616" customFormat="1" ht="12.75" customHeight="1" x14ac:dyDescent="0.25">
      <c r="B96" s="616" t="s">
        <v>79</v>
      </c>
      <c r="C96" s="616" t="s">
        <v>70</v>
      </c>
      <c r="D96" s="629">
        <v>3490.36</v>
      </c>
      <c r="E96" s="617">
        <v>24.48</v>
      </c>
      <c r="F96" s="617">
        <v>13.82</v>
      </c>
      <c r="G96" s="629">
        <v>7.26</v>
      </c>
      <c r="H96" s="617">
        <v>0</v>
      </c>
      <c r="I96" s="617">
        <v>56.2</v>
      </c>
      <c r="J96" s="617">
        <v>492.96</v>
      </c>
      <c r="K96" s="617">
        <v>480.78</v>
      </c>
      <c r="L96" s="617">
        <v>2274.56</v>
      </c>
      <c r="M96" s="617">
        <v>48.61</v>
      </c>
      <c r="N96" s="617">
        <v>91.69</v>
      </c>
      <c r="O96" s="617">
        <v>0</v>
      </c>
      <c r="P96" s="616">
        <v>0</v>
      </c>
      <c r="Q96" s="617">
        <v>0</v>
      </c>
      <c r="R96" s="616">
        <v>0</v>
      </c>
    </row>
    <row r="97" spans="1:18" s="691" customFormat="1" ht="12.75" customHeight="1" x14ac:dyDescent="0.25">
      <c r="A97" s="691" t="s">
        <v>120</v>
      </c>
      <c r="B97" s="691" t="s">
        <v>70</v>
      </c>
      <c r="D97" s="692">
        <v>-19778.72</v>
      </c>
      <c r="E97" s="692">
        <v>-138.75</v>
      </c>
      <c r="F97" s="692">
        <v>-78.34</v>
      </c>
      <c r="G97" s="693">
        <v>-41.11</v>
      </c>
      <c r="H97" s="692">
        <v>0</v>
      </c>
      <c r="I97" s="692">
        <v>-318.45</v>
      </c>
      <c r="J97" s="692">
        <v>-2793.43</v>
      </c>
      <c r="K97" s="692">
        <v>-2724.42</v>
      </c>
      <c r="L97" s="692">
        <v>-12889.2</v>
      </c>
      <c r="M97" s="692">
        <v>-275.44</v>
      </c>
      <c r="N97" s="692">
        <v>-519.58000000000004</v>
      </c>
      <c r="O97" s="692">
        <v>0</v>
      </c>
      <c r="P97" s="691">
        <v>0</v>
      </c>
      <c r="Q97" s="692">
        <v>0</v>
      </c>
      <c r="R97" s="691">
        <v>0</v>
      </c>
    </row>
    <row r="98" spans="1:18" s="624" customFormat="1" ht="12.75" customHeight="1" x14ac:dyDescent="0.25">
      <c r="A98" s="623" t="s">
        <v>70</v>
      </c>
      <c r="D98" s="623">
        <v>-9889189.7200000007</v>
      </c>
      <c r="E98" s="623">
        <v>-597012.79</v>
      </c>
      <c r="F98" s="623">
        <v>-336190.63</v>
      </c>
      <c r="G98" s="623">
        <v>-177103.52</v>
      </c>
      <c r="H98" s="623">
        <v>-2335116.9500000002</v>
      </c>
      <c r="I98" s="623">
        <v>-88879.38</v>
      </c>
      <c r="J98" s="623">
        <v>-770078.27</v>
      </c>
      <c r="K98" s="623">
        <v>-754859.83</v>
      </c>
      <c r="L98" s="623">
        <v>-3508767.29</v>
      </c>
      <c r="M98" s="623">
        <v>-1176810.6299999999</v>
      </c>
      <c r="N98" s="623">
        <v>-144377.98000000001</v>
      </c>
      <c r="O98" s="623">
        <v>7.55</v>
      </c>
      <c r="P98" s="624">
        <v>0</v>
      </c>
      <c r="Q98" s="623">
        <v>0</v>
      </c>
      <c r="R98" s="623">
        <v>0</v>
      </c>
    </row>
    <row r="99" spans="1:18" ht="12.75" customHeight="1" x14ac:dyDescent="0.25">
      <c r="A99" s="611"/>
      <c r="D99" s="611"/>
      <c r="E99" s="611"/>
      <c r="F99" s="611"/>
      <c r="G99" s="611"/>
      <c r="H99" s="611"/>
      <c r="I99" s="611"/>
      <c r="J99" s="611"/>
      <c r="K99" s="611"/>
      <c r="L99" s="611"/>
      <c r="M99" s="611"/>
      <c r="N99" s="611"/>
      <c r="O99" s="611"/>
      <c r="P99" s="611"/>
    </row>
    <row r="100" spans="1:18" ht="12.75" hidden="1" customHeight="1" x14ac:dyDescent="0.25">
      <c r="A100" s="611"/>
      <c r="D100" s="611"/>
      <c r="E100" s="611"/>
      <c r="F100" s="611"/>
      <c r="G100" s="611"/>
      <c r="H100" s="611"/>
      <c r="I100" s="611"/>
      <c r="J100" s="611"/>
      <c r="K100" s="611"/>
      <c r="L100" s="611"/>
      <c r="M100" s="611"/>
      <c r="N100" s="611"/>
      <c r="O100" s="611"/>
      <c r="P100" s="611"/>
    </row>
    <row r="101" spans="1:18" ht="12.75" hidden="1" customHeight="1" x14ac:dyDescent="0.25">
      <c r="A101" s="611"/>
      <c r="D101" s="611"/>
      <c r="E101" s="611"/>
      <c r="F101" s="611"/>
      <c r="G101" s="611"/>
      <c r="H101" s="611"/>
      <c r="I101" s="611"/>
      <c r="J101" s="611"/>
      <c r="K101" s="611"/>
      <c r="L101" s="611"/>
      <c r="M101" s="611"/>
      <c r="N101" s="611"/>
      <c r="O101" s="611"/>
      <c r="P101" s="611"/>
    </row>
    <row r="102" spans="1:18" ht="12.75" hidden="1" customHeight="1" x14ac:dyDescent="0.25">
      <c r="A102" s="611"/>
      <c r="D102" s="611"/>
      <c r="E102" s="611"/>
      <c r="F102" s="611"/>
      <c r="G102" s="611"/>
      <c r="H102" s="611"/>
      <c r="I102" s="611"/>
      <c r="J102" s="611"/>
      <c r="K102" s="611"/>
      <c r="L102" s="611"/>
      <c r="M102" s="611"/>
      <c r="N102" s="611"/>
      <c r="O102" s="611"/>
      <c r="P102" s="611"/>
    </row>
    <row r="103" spans="1:18" ht="12.75" hidden="1" customHeight="1" x14ac:dyDescent="0.25">
      <c r="A103" s="611"/>
      <c r="D103" s="611"/>
      <c r="E103" s="611"/>
      <c r="F103" s="611"/>
      <c r="G103" s="611"/>
      <c r="H103" s="611"/>
      <c r="I103" s="611"/>
      <c r="J103" s="611"/>
      <c r="K103" s="611"/>
      <c r="L103" s="611"/>
      <c r="M103" s="611"/>
      <c r="N103" s="611"/>
      <c r="O103" s="611"/>
      <c r="P103" s="611"/>
    </row>
    <row r="104" spans="1:18" ht="12.75" hidden="1" customHeight="1" x14ac:dyDescent="0.25">
      <c r="A104" s="611"/>
      <c r="D104" s="611"/>
      <c r="E104" s="611"/>
      <c r="F104" s="611"/>
      <c r="G104" s="611"/>
      <c r="H104" s="611"/>
      <c r="I104" s="611"/>
      <c r="J104" s="611"/>
      <c r="K104" s="611"/>
      <c r="L104" s="611"/>
      <c r="M104" s="611"/>
      <c r="N104" s="611"/>
      <c r="O104" s="611"/>
      <c r="P104" s="611"/>
    </row>
    <row r="105" spans="1:18" ht="12.75" hidden="1" customHeight="1" x14ac:dyDescent="0.25">
      <c r="A105" s="611"/>
      <c r="D105" s="611"/>
      <c r="E105" s="611"/>
      <c r="F105" s="611"/>
      <c r="G105" s="611"/>
      <c r="H105" s="611"/>
      <c r="I105" s="611"/>
      <c r="J105" s="611"/>
      <c r="K105" s="611"/>
      <c r="L105" s="611"/>
      <c r="M105" s="611"/>
      <c r="N105" s="611"/>
      <c r="O105" s="611"/>
      <c r="P105" s="611"/>
    </row>
    <row r="106" spans="1:18" ht="12.75" hidden="1" customHeight="1" x14ac:dyDescent="0.25">
      <c r="A106" s="611"/>
      <c r="D106" s="611"/>
      <c r="E106" s="611"/>
      <c r="F106" s="611"/>
      <c r="G106" s="611"/>
      <c r="H106" s="611"/>
      <c r="I106" s="611"/>
      <c r="J106" s="611"/>
      <c r="K106" s="611"/>
      <c r="L106" s="611"/>
      <c r="M106" s="611"/>
      <c r="N106" s="611"/>
      <c r="O106" s="611"/>
      <c r="P106" s="611"/>
    </row>
    <row r="107" spans="1:18" ht="12.75" hidden="1" customHeight="1" x14ac:dyDescent="0.25">
      <c r="A107" s="611"/>
      <c r="D107" s="611"/>
      <c r="E107" s="611"/>
      <c r="F107" s="611"/>
      <c r="G107" s="611"/>
      <c r="H107" s="611"/>
      <c r="I107" s="611"/>
      <c r="J107" s="611"/>
      <c r="K107" s="611"/>
      <c r="L107" s="611"/>
      <c r="M107" s="611"/>
      <c r="N107" s="611"/>
      <c r="O107" s="611"/>
      <c r="P107" s="611"/>
    </row>
    <row r="108" spans="1:18" ht="12.75" hidden="1" customHeight="1" x14ac:dyDescent="0.25">
      <c r="A108" s="611"/>
      <c r="D108" s="611"/>
      <c r="E108" s="611"/>
      <c r="F108" s="611"/>
      <c r="G108" s="611"/>
      <c r="H108" s="611"/>
      <c r="I108" s="611"/>
      <c r="J108" s="611"/>
      <c r="K108" s="611"/>
      <c r="L108" s="611"/>
      <c r="M108" s="611"/>
      <c r="N108" s="611"/>
      <c r="O108" s="611"/>
      <c r="P108" s="611"/>
    </row>
    <row r="109" spans="1:18" ht="12.75" hidden="1" customHeight="1" x14ac:dyDescent="0.25">
      <c r="A109" s="611"/>
      <c r="D109" s="611"/>
      <c r="E109" s="611"/>
      <c r="F109" s="611"/>
      <c r="G109" s="611"/>
      <c r="H109" s="611"/>
      <c r="I109" s="611"/>
      <c r="J109" s="611"/>
      <c r="K109" s="611"/>
      <c r="L109" s="611"/>
      <c r="M109" s="611"/>
      <c r="N109" s="611"/>
      <c r="O109" s="611"/>
      <c r="P109" s="611"/>
    </row>
    <row r="110" spans="1:18" ht="12.75" hidden="1" customHeight="1" x14ac:dyDescent="0.25">
      <c r="A110" s="611"/>
      <c r="D110" s="611"/>
      <c r="E110" s="611"/>
      <c r="F110" s="611"/>
      <c r="G110" s="611"/>
      <c r="H110" s="611"/>
      <c r="I110" s="611"/>
      <c r="J110" s="611"/>
      <c r="K110" s="611"/>
      <c r="L110" s="611"/>
      <c r="M110" s="611"/>
      <c r="N110" s="611"/>
      <c r="O110" s="611"/>
      <c r="P110" s="611"/>
    </row>
    <row r="111" spans="1:18" ht="12.75" hidden="1" customHeight="1" x14ac:dyDescent="0.25">
      <c r="A111" s="611"/>
      <c r="D111" s="611"/>
      <c r="E111" s="611"/>
      <c r="F111" s="611"/>
      <c r="G111" s="611"/>
      <c r="H111" s="611"/>
      <c r="I111" s="611"/>
      <c r="J111" s="611"/>
      <c r="K111" s="611"/>
      <c r="L111" s="611"/>
      <c r="M111" s="611"/>
      <c r="N111" s="611"/>
      <c r="O111" s="611"/>
      <c r="P111" s="611"/>
    </row>
    <row r="112" spans="1:18" ht="12.75" hidden="1" customHeight="1" x14ac:dyDescent="0.25">
      <c r="A112" s="611"/>
      <c r="D112" s="611"/>
      <c r="E112" s="611"/>
      <c r="F112" s="611"/>
      <c r="G112" s="611"/>
      <c r="H112" s="611"/>
      <c r="I112" s="611"/>
      <c r="J112" s="611"/>
      <c r="K112" s="611"/>
      <c r="L112" s="611"/>
      <c r="M112" s="611"/>
      <c r="N112" s="611"/>
      <c r="O112" s="611"/>
      <c r="P112" s="611"/>
    </row>
    <row r="113" spans="1:16" ht="12.75" hidden="1" customHeight="1" x14ac:dyDescent="0.25">
      <c r="A113" s="611"/>
      <c r="D113" s="611"/>
      <c r="E113" s="611"/>
      <c r="F113" s="611"/>
      <c r="G113" s="611"/>
      <c r="H113" s="611"/>
      <c r="I113" s="611"/>
      <c r="J113" s="611"/>
      <c r="K113" s="611"/>
      <c r="L113" s="611"/>
      <c r="M113" s="611"/>
      <c r="N113" s="611"/>
      <c r="O113" s="611"/>
      <c r="P113" s="611"/>
    </row>
    <row r="114" spans="1:16" ht="12.75" hidden="1" customHeight="1" x14ac:dyDescent="0.25">
      <c r="A114" s="611"/>
      <c r="D114" s="611"/>
      <c r="E114" s="611"/>
      <c r="F114" s="611"/>
      <c r="G114" s="611"/>
      <c r="H114" s="611"/>
      <c r="I114" s="611"/>
      <c r="J114" s="611"/>
      <c r="K114" s="611"/>
      <c r="L114" s="611"/>
      <c r="M114" s="611"/>
      <c r="N114" s="611"/>
      <c r="O114" s="611"/>
      <c r="P114" s="611"/>
    </row>
    <row r="115" spans="1:16" ht="12.75" hidden="1" customHeight="1" x14ac:dyDescent="0.25">
      <c r="A115" s="611"/>
      <c r="D115" s="611"/>
      <c r="E115" s="611"/>
      <c r="F115" s="611"/>
      <c r="G115" s="611"/>
      <c r="H115" s="611"/>
      <c r="I115" s="611"/>
      <c r="J115" s="611"/>
      <c r="K115" s="611"/>
      <c r="L115" s="611"/>
      <c r="M115" s="611"/>
      <c r="N115" s="611"/>
      <c r="O115" s="611"/>
      <c r="P115" s="611"/>
    </row>
    <row r="116" spans="1:16" ht="12.75" hidden="1" customHeight="1" x14ac:dyDescent="0.25">
      <c r="A116" s="611"/>
      <c r="D116" s="611"/>
      <c r="E116" s="611"/>
      <c r="F116" s="611"/>
      <c r="G116" s="611"/>
      <c r="H116" s="611"/>
      <c r="I116" s="611"/>
      <c r="J116" s="611"/>
      <c r="K116" s="611"/>
      <c r="L116" s="611"/>
      <c r="M116" s="611"/>
      <c r="N116" s="611"/>
      <c r="O116" s="611"/>
      <c r="P116" s="611"/>
    </row>
    <row r="117" spans="1:16" ht="12.75" hidden="1" customHeight="1" x14ac:dyDescent="0.25">
      <c r="A117" s="611"/>
      <c r="D117" s="611"/>
      <c r="E117" s="611"/>
      <c r="F117" s="611"/>
      <c r="G117" s="611"/>
      <c r="H117" s="611"/>
      <c r="I117" s="611"/>
      <c r="J117" s="611"/>
      <c r="K117" s="611"/>
      <c r="L117" s="611"/>
      <c r="M117" s="611"/>
      <c r="N117" s="611"/>
      <c r="O117" s="611"/>
      <c r="P117" s="611"/>
    </row>
    <row r="118" spans="1:16" ht="12.75" hidden="1" customHeight="1" x14ac:dyDescent="0.25">
      <c r="A118" s="611"/>
      <c r="D118" s="611"/>
      <c r="E118" s="611"/>
      <c r="F118" s="611"/>
      <c r="G118" s="611"/>
      <c r="H118" s="611"/>
      <c r="I118" s="611"/>
      <c r="J118" s="611"/>
      <c r="K118" s="611"/>
      <c r="L118" s="611"/>
      <c r="M118" s="611"/>
      <c r="N118" s="611"/>
      <c r="O118" s="611"/>
      <c r="P118" s="611"/>
    </row>
    <row r="119" spans="1:16" ht="12.75" hidden="1" customHeight="1" x14ac:dyDescent="0.25">
      <c r="A119" s="611"/>
      <c r="D119" s="611"/>
      <c r="E119" s="611"/>
      <c r="F119" s="611"/>
      <c r="G119" s="611"/>
      <c r="H119" s="611"/>
      <c r="I119" s="611"/>
      <c r="J119" s="611"/>
      <c r="K119" s="611"/>
      <c r="L119" s="611"/>
      <c r="M119" s="611"/>
      <c r="N119" s="611"/>
      <c r="O119" s="611"/>
      <c r="P119" s="611"/>
    </row>
    <row r="120" spans="1:16" ht="12.75" hidden="1" customHeight="1" x14ac:dyDescent="0.25">
      <c r="A120" s="611"/>
      <c r="D120" s="611"/>
      <c r="E120" s="611"/>
      <c r="F120" s="611"/>
      <c r="G120" s="611"/>
      <c r="H120" s="611"/>
      <c r="I120" s="611"/>
      <c r="J120" s="611"/>
      <c r="K120" s="611"/>
      <c r="L120" s="611"/>
      <c r="M120" s="611"/>
      <c r="N120" s="611"/>
      <c r="O120" s="611"/>
      <c r="P120" s="611"/>
    </row>
    <row r="121" spans="1:16" ht="12.75" hidden="1" customHeight="1" x14ac:dyDescent="0.25">
      <c r="A121" s="611"/>
      <c r="D121" s="611"/>
      <c r="E121" s="611"/>
      <c r="F121" s="611"/>
      <c r="G121" s="611"/>
      <c r="H121" s="611"/>
      <c r="I121" s="611"/>
      <c r="J121" s="611"/>
      <c r="K121" s="611"/>
      <c r="L121" s="611"/>
      <c r="M121" s="611"/>
      <c r="N121" s="611"/>
      <c r="O121" s="611"/>
      <c r="P121" s="611"/>
    </row>
    <row r="122" spans="1:16" ht="12.75" hidden="1" customHeight="1" x14ac:dyDescent="0.25">
      <c r="A122" s="611"/>
      <c r="D122" s="611"/>
      <c r="E122" s="611"/>
      <c r="F122" s="611"/>
      <c r="G122" s="611"/>
      <c r="H122" s="611"/>
      <c r="I122" s="611"/>
      <c r="J122" s="611"/>
      <c r="K122" s="611"/>
      <c r="L122" s="611"/>
      <c r="M122" s="611"/>
      <c r="N122" s="611"/>
      <c r="O122" s="611"/>
      <c r="P122" s="611"/>
    </row>
    <row r="123" spans="1:16" ht="12.75" hidden="1" customHeight="1" x14ac:dyDescent="0.25">
      <c r="A123" s="611"/>
      <c r="D123" s="611"/>
      <c r="E123" s="611"/>
      <c r="F123" s="611"/>
      <c r="G123" s="611"/>
      <c r="H123" s="611"/>
      <c r="I123" s="611"/>
      <c r="J123" s="611"/>
      <c r="K123" s="611"/>
      <c r="L123" s="611"/>
      <c r="M123" s="611"/>
      <c r="N123" s="611"/>
      <c r="O123" s="611"/>
      <c r="P123" s="611"/>
    </row>
    <row r="124" spans="1:16" ht="12.75" hidden="1" customHeight="1" x14ac:dyDescent="0.25">
      <c r="A124" s="611"/>
      <c r="D124" s="611"/>
      <c r="E124" s="611"/>
      <c r="F124" s="611"/>
      <c r="G124" s="611"/>
      <c r="H124" s="611"/>
      <c r="I124" s="611"/>
      <c r="J124" s="611"/>
      <c r="K124" s="611"/>
      <c r="L124" s="611"/>
      <c r="M124" s="611"/>
      <c r="N124" s="611"/>
      <c r="O124" s="611"/>
      <c r="P124" s="611"/>
    </row>
    <row r="125" spans="1:16" ht="12.75" hidden="1" customHeight="1" x14ac:dyDescent="0.25">
      <c r="A125" s="611"/>
      <c r="D125" s="611"/>
      <c r="E125" s="611"/>
      <c r="F125" s="611"/>
      <c r="G125" s="611"/>
      <c r="H125" s="611"/>
      <c r="I125" s="611"/>
      <c r="J125" s="611"/>
      <c r="K125" s="611"/>
      <c r="L125" s="611"/>
      <c r="M125" s="611"/>
      <c r="N125" s="611"/>
      <c r="O125" s="611"/>
      <c r="P125" s="611"/>
    </row>
    <row r="126" spans="1:16" ht="12.75" hidden="1" customHeight="1" x14ac:dyDescent="0.25">
      <c r="A126" s="611"/>
      <c r="D126" s="611"/>
      <c r="E126" s="611"/>
      <c r="F126" s="611"/>
      <c r="G126" s="611"/>
      <c r="H126" s="611"/>
      <c r="I126" s="611"/>
      <c r="J126" s="611"/>
      <c r="K126" s="611"/>
      <c r="L126" s="611"/>
      <c r="M126" s="611"/>
      <c r="N126" s="611"/>
      <c r="O126" s="611"/>
      <c r="P126" s="611"/>
    </row>
    <row r="127" spans="1:16" ht="12.75" hidden="1" customHeight="1" x14ac:dyDescent="0.25">
      <c r="A127" s="611"/>
      <c r="D127" s="611"/>
      <c r="E127" s="611"/>
      <c r="F127" s="611"/>
      <c r="G127" s="611"/>
      <c r="H127" s="611"/>
      <c r="I127" s="611"/>
      <c r="J127" s="611"/>
      <c r="K127" s="611"/>
      <c r="L127" s="611"/>
      <c r="M127" s="611"/>
      <c r="N127" s="611"/>
      <c r="O127" s="611"/>
      <c r="P127" s="611"/>
    </row>
    <row r="128" spans="1:16" ht="12.75" hidden="1" customHeight="1" x14ac:dyDescent="0.25">
      <c r="A128" s="611"/>
      <c r="D128" s="611"/>
      <c r="E128" s="611"/>
      <c r="F128" s="611"/>
      <c r="G128" s="611"/>
      <c r="H128" s="611"/>
      <c r="I128" s="611"/>
      <c r="J128" s="611"/>
      <c r="K128" s="611"/>
      <c r="L128" s="611"/>
      <c r="M128" s="611"/>
      <c r="N128" s="611"/>
      <c r="O128" s="611"/>
      <c r="P128" s="611"/>
    </row>
    <row r="129" spans="1:16" ht="12.75" hidden="1" customHeight="1" x14ac:dyDescent="0.25">
      <c r="A129" s="611"/>
      <c r="D129" s="611"/>
      <c r="E129" s="611"/>
      <c r="F129" s="611"/>
      <c r="G129" s="611"/>
      <c r="H129" s="611"/>
      <c r="I129" s="611"/>
      <c r="J129" s="611"/>
      <c r="K129" s="611"/>
      <c r="L129" s="611"/>
      <c r="M129" s="611"/>
      <c r="N129" s="611"/>
      <c r="O129" s="611"/>
      <c r="P129" s="611"/>
    </row>
    <row r="130" spans="1:16" ht="12.75" hidden="1" customHeight="1" x14ac:dyDescent="0.25">
      <c r="A130" s="611"/>
      <c r="D130" s="611"/>
      <c r="E130" s="611"/>
      <c r="F130" s="611"/>
      <c r="G130" s="611"/>
      <c r="H130" s="611"/>
      <c r="I130" s="611"/>
      <c r="J130" s="611"/>
      <c r="K130" s="611"/>
      <c r="L130" s="611"/>
      <c r="M130" s="611"/>
      <c r="N130" s="611"/>
      <c r="O130" s="611"/>
      <c r="P130" s="611"/>
    </row>
    <row r="131" spans="1:16" ht="12.75" hidden="1" customHeight="1" x14ac:dyDescent="0.25">
      <c r="A131" s="611"/>
      <c r="D131" s="611"/>
      <c r="E131" s="611"/>
      <c r="F131" s="611"/>
      <c r="G131" s="611"/>
      <c r="H131" s="611"/>
      <c r="I131" s="611"/>
      <c r="J131" s="611"/>
      <c r="K131" s="611"/>
      <c r="L131" s="611"/>
      <c r="M131" s="611"/>
      <c r="N131" s="611"/>
      <c r="O131" s="611"/>
      <c r="P131" s="611"/>
    </row>
    <row r="132" spans="1:16" ht="12.75" hidden="1" customHeight="1" x14ac:dyDescent="0.25">
      <c r="A132" s="611"/>
      <c r="D132" s="611"/>
      <c r="E132" s="611"/>
      <c r="F132" s="611"/>
      <c r="G132" s="611"/>
      <c r="H132" s="611"/>
      <c r="I132" s="611"/>
      <c r="J132" s="611"/>
      <c r="K132" s="611"/>
      <c r="L132" s="611"/>
      <c r="M132" s="611"/>
      <c r="N132" s="611"/>
      <c r="O132" s="611"/>
      <c r="P132" s="611"/>
    </row>
    <row r="133" spans="1:16" ht="12.75" hidden="1" customHeight="1" x14ac:dyDescent="0.25">
      <c r="A133" s="611"/>
      <c r="D133" s="611"/>
      <c r="E133" s="611"/>
      <c r="F133" s="611"/>
      <c r="G133" s="611"/>
      <c r="H133" s="611"/>
      <c r="I133" s="611"/>
      <c r="J133" s="611"/>
      <c r="K133" s="611"/>
      <c r="L133" s="611"/>
      <c r="M133" s="611"/>
      <c r="N133" s="611"/>
      <c r="O133" s="611"/>
      <c r="P133" s="611"/>
    </row>
    <row r="134" spans="1:16" ht="12.75" hidden="1" customHeight="1" x14ac:dyDescent="0.25">
      <c r="A134" s="611"/>
      <c r="D134" s="611"/>
      <c r="E134" s="611"/>
      <c r="F134" s="611"/>
      <c r="G134" s="611"/>
      <c r="H134" s="611"/>
      <c r="I134" s="611"/>
      <c r="J134" s="611"/>
      <c r="K134" s="611"/>
      <c r="L134" s="611"/>
      <c r="M134" s="611"/>
      <c r="N134" s="611"/>
      <c r="O134" s="611"/>
      <c r="P134" s="611"/>
    </row>
    <row r="135" spans="1:16" ht="12.75" hidden="1" customHeight="1" x14ac:dyDescent="0.25">
      <c r="A135" s="611"/>
      <c r="D135" s="611"/>
      <c r="E135" s="611"/>
      <c r="F135" s="611"/>
      <c r="G135" s="611"/>
      <c r="H135" s="611"/>
      <c r="I135" s="611"/>
      <c r="J135" s="611"/>
      <c r="K135" s="611"/>
      <c r="L135" s="611"/>
      <c r="M135" s="611"/>
      <c r="N135" s="611"/>
      <c r="O135" s="611"/>
      <c r="P135" s="611"/>
    </row>
    <row r="136" spans="1:16" ht="12.75" hidden="1" customHeight="1" x14ac:dyDescent="0.25">
      <c r="A136" s="611"/>
      <c r="D136" s="611"/>
      <c r="E136" s="611"/>
      <c r="F136" s="611"/>
      <c r="G136" s="611"/>
      <c r="H136" s="611"/>
      <c r="I136" s="611"/>
      <c r="J136" s="611"/>
      <c r="K136" s="611"/>
      <c r="L136" s="611"/>
      <c r="M136" s="611"/>
      <c r="N136" s="611"/>
      <c r="O136" s="611"/>
      <c r="P136" s="611"/>
    </row>
    <row r="137" spans="1:16" ht="12.75" hidden="1" customHeight="1" x14ac:dyDescent="0.25">
      <c r="A137" s="611"/>
      <c r="D137" s="611"/>
      <c r="E137" s="611"/>
      <c r="F137" s="611"/>
      <c r="G137" s="611"/>
      <c r="H137" s="611"/>
      <c r="I137" s="611"/>
      <c r="J137" s="611"/>
      <c r="K137" s="611"/>
      <c r="L137" s="611"/>
      <c r="M137" s="611"/>
      <c r="N137" s="611"/>
      <c r="O137" s="611"/>
      <c r="P137" s="611"/>
    </row>
    <row r="138" spans="1:16" ht="12.75" hidden="1" customHeight="1" x14ac:dyDescent="0.25">
      <c r="A138" s="611"/>
      <c r="D138" s="611"/>
      <c r="E138" s="611"/>
      <c r="F138" s="611"/>
      <c r="G138" s="611"/>
      <c r="H138" s="611"/>
      <c r="I138" s="611"/>
      <c r="J138" s="611"/>
      <c r="K138" s="611"/>
      <c r="L138" s="611"/>
      <c r="M138" s="611"/>
      <c r="N138" s="611"/>
      <c r="O138" s="611"/>
      <c r="P138" s="611"/>
    </row>
    <row r="139" spans="1:16" ht="12.75" hidden="1" customHeight="1" x14ac:dyDescent="0.25">
      <c r="A139" s="611"/>
      <c r="D139" s="611"/>
      <c r="E139" s="611"/>
      <c r="F139" s="611"/>
      <c r="G139" s="611"/>
      <c r="H139" s="611"/>
      <c r="I139" s="611"/>
      <c r="J139" s="611"/>
      <c r="K139" s="611"/>
      <c r="L139" s="611"/>
      <c r="M139" s="611"/>
      <c r="N139" s="611"/>
      <c r="O139" s="611"/>
      <c r="P139" s="611"/>
    </row>
    <row r="140" spans="1:16" ht="12.75" hidden="1" customHeight="1" x14ac:dyDescent="0.25">
      <c r="A140" s="611"/>
      <c r="D140" s="611"/>
      <c r="E140" s="611"/>
      <c r="F140" s="611"/>
      <c r="G140" s="611"/>
      <c r="H140" s="611"/>
      <c r="I140" s="611"/>
      <c r="J140" s="611"/>
      <c r="K140" s="611"/>
      <c r="L140" s="611"/>
      <c r="M140" s="611"/>
      <c r="N140" s="611"/>
      <c r="O140" s="611"/>
      <c r="P140" s="611"/>
    </row>
    <row r="141" spans="1:16" ht="12.75" hidden="1" customHeight="1" x14ac:dyDescent="0.25">
      <c r="A141" s="611"/>
      <c r="D141" s="611"/>
      <c r="E141" s="611"/>
      <c r="F141" s="611"/>
      <c r="G141" s="611"/>
      <c r="H141" s="611"/>
      <c r="I141" s="611"/>
      <c r="J141" s="611"/>
      <c r="K141" s="611"/>
      <c r="L141" s="611"/>
      <c r="M141" s="611"/>
      <c r="N141" s="611"/>
      <c r="O141" s="611"/>
      <c r="P141" s="611"/>
    </row>
    <row r="142" spans="1:16" ht="12.75" hidden="1" customHeight="1" x14ac:dyDescent="0.25">
      <c r="A142" s="611"/>
      <c r="D142" s="611"/>
      <c r="E142" s="611"/>
      <c r="F142" s="611"/>
      <c r="G142" s="611"/>
      <c r="H142" s="611"/>
      <c r="I142" s="611"/>
      <c r="J142" s="611"/>
      <c r="K142" s="611"/>
      <c r="L142" s="611"/>
      <c r="M142" s="611"/>
      <c r="N142" s="611"/>
      <c r="O142" s="611"/>
      <c r="P142" s="611"/>
    </row>
    <row r="143" spans="1:16" ht="12.75" hidden="1" customHeight="1" x14ac:dyDescent="0.25">
      <c r="A143" s="611"/>
      <c r="D143" s="611"/>
      <c r="E143" s="611"/>
      <c r="F143" s="611"/>
      <c r="G143" s="611"/>
      <c r="H143" s="611"/>
      <c r="I143" s="611"/>
      <c r="J143" s="611"/>
      <c r="K143" s="611"/>
      <c r="L143" s="611"/>
      <c r="M143" s="611"/>
      <c r="N143" s="611"/>
      <c r="O143" s="611"/>
      <c r="P143" s="611"/>
    </row>
    <row r="144" spans="1:16" ht="12.75" hidden="1" customHeight="1" x14ac:dyDescent="0.25">
      <c r="A144" s="611"/>
      <c r="D144" s="611"/>
      <c r="E144" s="611"/>
      <c r="F144" s="611"/>
      <c r="G144" s="611"/>
      <c r="H144" s="611"/>
      <c r="I144" s="611"/>
      <c r="J144" s="611"/>
      <c r="K144" s="611"/>
      <c r="L144" s="611"/>
      <c r="M144" s="611"/>
      <c r="N144" s="611"/>
      <c r="O144" s="611"/>
      <c r="P144" s="611"/>
    </row>
    <row r="145" spans="1:16" ht="12.75" hidden="1" customHeight="1" x14ac:dyDescent="0.25">
      <c r="A145" s="611"/>
      <c r="D145" s="611"/>
      <c r="E145" s="611"/>
      <c r="F145" s="611"/>
      <c r="G145" s="611"/>
      <c r="H145" s="611"/>
      <c r="I145" s="611"/>
      <c r="J145" s="611"/>
      <c r="K145" s="611"/>
      <c r="L145" s="611"/>
      <c r="M145" s="611"/>
      <c r="N145" s="611"/>
      <c r="O145" s="611"/>
      <c r="P145" s="611"/>
    </row>
    <row r="146" spans="1:16" ht="12.75" hidden="1" customHeight="1" x14ac:dyDescent="0.25">
      <c r="A146" s="611"/>
      <c r="D146" s="611"/>
      <c r="E146" s="611"/>
      <c r="F146" s="611"/>
      <c r="G146" s="611"/>
      <c r="H146" s="611"/>
      <c r="I146" s="611"/>
      <c r="J146" s="611"/>
      <c r="K146" s="611"/>
      <c r="L146" s="611"/>
      <c r="M146" s="611"/>
      <c r="N146" s="611"/>
      <c r="O146" s="611"/>
      <c r="P146" s="611"/>
    </row>
    <row r="147" spans="1:16" ht="12.75" hidden="1" customHeight="1" x14ac:dyDescent="0.25">
      <c r="A147" s="611"/>
      <c r="D147" s="611"/>
      <c r="E147" s="611"/>
      <c r="F147" s="611"/>
      <c r="G147" s="611"/>
      <c r="H147" s="611"/>
      <c r="I147" s="611"/>
      <c r="J147" s="611"/>
      <c r="K147" s="611"/>
      <c r="L147" s="611"/>
      <c r="M147" s="611"/>
      <c r="N147" s="611"/>
      <c r="O147" s="611"/>
      <c r="P147" s="611"/>
    </row>
    <row r="148" spans="1:16" ht="12.75" hidden="1" customHeight="1" x14ac:dyDescent="0.25">
      <c r="A148" s="611"/>
      <c r="D148" s="611"/>
      <c r="E148" s="611"/>
      <c r="F148" s="611"/>
      <c r="G148" s="611"/>
      <c r="H148" s="611"/>
      <c r="I148" s="611"/>
      <c r="J148" s="611"/>
      <c r="K148" s="611"/>
      <c r="L148" s="611"/>
      <c r="M148" s="611"/>
      <c r="N148" s="611"/>
      <c r="O148" s="611"/>
      <c r="P148" s="611"/>
    </row>
    <row r="149" spans="1:16" ht="12.75" hidden="1" customHeight="1" x14ac:dyDescent="0.25">
      <c r="A149" s="611"/>
      <c r="D149" s="611"/>
      <c r="E149" s="611"/>
      <c r="F149" s="611"/>
      <c r="G149" s="611"/>
      <c r="H149" s="611"/>
      <c r="I149" s="611"/>
      <c r="J149" s="611"/>
      <c r="K149" s="611"/>
      <c r="L149" s="611"/>
      <c r="M149" s="611"/>
      <c r="N149" s="611"/>
      <c r="O149" s="611"/>
      <c r="P149" s="611"/>
    </row>
    <row r="150" spans="1:16" ht="12.75" hidden="1" customHeight="1" x14ac:dyDescent="0.25">
      <c r="A150" s="611"/>
      <c r="D150" s="611"/>
      <c r="E150" s="611"/>
      <c r="F150" s="611"/>
      <c r="G150" s="611"/>
      <c r="H150" s="611"/>
      <c r="I150" s="611"/>
      <c r="J150" s="611"/>
      <c r="K150" s="611"/>
      <c r="L150" s="611"/>
      <c r="M150" s="611"/>
      <c r="N150" s="611"/>
      <c r="O150" s="611"/>
      <c r="P150" s="611"/>
    </row>
    <row r="151" spans="1:16" ht="12.75" hidden="1" customHeight="1" x14ac:dyDescent="0.25">
      <c r="A151" s="611"/>
      <c r="D151" s="611"/>
      <c r="E151" s="611"/>
      <c r="F151" s="611"/>
      <c r="G151" s="611"/>
      <c r="H151" s="611"/>
      <c r="I151" s="611"/>
      <c r="J151" s="611"/>
      <c r="K151" s="611"/>
      <c r="L151" s="611"/>
      <c r="M151" s="611"/>
      <c r="N151" s="611"/>
      <c r="O151" s="611"/>
      <c r="P151" s="611"/>
    </row>
    <row r="152" spans="1:16" ht="12.75" hidden="1" customHeight="1" x14ac:dyDescent="0.25">
      <c r="A152" s="611"/>
      <c r="D152" s="611"/>
      <c r="E152" s="611"/>
      <c r="F152" s="611"/>
      <c r="G152" s="611"/>
      <c r="H152" s="611"/>
      <c r="I152" s="611"/>
      <c r="J152" s="611"/>
      <c r="K152" s="611"/>
      <c r="L152" s="611"/>
      <c r="M152" s="611"/>
      <c r="N152" s="611"/>
      <c r="O152" s="611"/>
      <c r="P152" s="611"/>
    </row>
    <row r="153" spans="1:16" ht="12.75" hidden="1" customHeight="1" x14ac:dyDescent="0.25">
      <c r="A153" s="611"/>
      <c r="D153" s="611"/>
      <c r="E153" s="611"/>
      <c r="F153" s="611"/>
      <c r="G153" s="611"/>
      <c r="H153" s="611"/>
      <c r="I153" s="611"/>
      <c r="J153" s="611"/>
      <c r="K153" s="611"/>
      <c r="L153" s="611"/>
      <c r="M153" s="611"/>
      <c r="N153" s="611"/>
      <c r="O153" s="611"/>
      <c r="P153" s="611"/>
    </row>
    <row r="154" spans="1:16" ht="12.75" hidden="1" customHeight="1" x14ac:dyDescent="0.25">
      <c r="A154" s="611"/>
      <c r="D154" s="611"/>
      <c r="E154" s="611"/>
      <c r="F154" s="611"/>
      <c r="G154" s="611"/>
      <c r="H154" s="611"/>
      <c r="I154" s="611"/>
      <c r="J154" s="611"/>
      <c r="K154" s="611"/>
      <c r="L154" s="611"/>
      <c r="M154" s="611"/>
      <c r="N154" s="611"/>
      <c r="O154" s="611"/>
      <c r="P154" s="611"/>
    </row>
    <row r="155" spans="1:16" ht="12.75" hidden="1" customHeight="1" x14ac:dyDescent="0.25">
      <c r="A155" s="611"/>
      <c r="D155" s="611"/>
      <c r="E155" s="611"/>
      <c r="F155" s="611"/>
      <c r="G155" s="611"/>
      <c r="H155" s="611"/>
      <c r="I155" s="611"/>
      <c r="J155" s="611"/>
      <c r="K155" s="611"/>
      <c r="L155" s="611"/>
      <c r="M155" s="611"/>
      <c r="N155" s="611"/>
      <c r="O155" s="611"/>
      <c r="P155" s="611"/>
    </row>
    <row r="156" spans="1:16" ht="12.75" hidden="1" customHeight="1" x14ac:dyDescent="0.25">
      <c r="A156" s="611"/>
      <c r="D156" s="611"/>
      <c r="E156" s="611"/>
      <c r="F156" s="611"/>
      <c r="G156" s="611"/>
      <c r="H156" s="611"/>
      <c r="I156" s="611"/>
      <c r="J156" s="611"/>
      <c r="K156" s="611"/>
      <c r="L156" s="611"/>
      <c r="M156" s="611"/>
      <c r="N156" s="611"/>
      <c r="O156" s="611"/>
      <c r="P156" s="611"/>
    </row>
    <row r="157" spans="1:16" ht="12.75" hidden="1" customHeight="1" x14ac:dyDescent="0.25">
      <c r="A157" s="611"/>
      <c r="D157" s="611"/>
      <c r="E157" s="611"/>
      <c r="F157" s="611"/>
      <c r="G157" s="611"/>
      <c r="H157" s="611"/>
      <c r="I157" s="611"/>
      <c r="J157" s="611"/>
      <c r="K157" s="611"/>
      <c r="L157" s="611"/>
      <c r="M157" s="611"/>
      <c r="N157" s="611"/>
      <c r="O157" s="611"/>
      <c r="P157" s="611"/>
    </row>
    <row r="158" spans="1:16" ht="12.75" hidden="1" customHeight="1" x14ac:dyDescent="0.25">
      <c r="A158" s="611"/>
      <c r="D158" s="611"/>
      <c r="E158" s="611"/>
      <c r="F158" s="611"/>
      <c r="G158" s="611"/>
      <c r="H158" s="611"/>
      <c r="I158" s="611"/>
      <c r="J158" s="611"/>
      <c r="K158" s="611"/>
      <c r="L158" s="611"/>
      <c r="M158" s="611"/>
      <c r="N158" s="611"/>
      <c r="O158" s="611"/>
      <c r="P158" s="611"/>
    </row>
    <row r="159" spans="1:16" ht="12.75" hidden="1" customHeight="1" x14ac:dyDescent="0.25">
      <c r="A159" s="611"/>
      <c r="D159" s="611"/>
      <c r="E159" s="611"/>
      <c r="F159" s="611"/>
      <c r="G159" s="611"/>
      <c r="H159" s="611"/>
      <c r="I159" s="611"/>
      <c r="J159" s="611"/>
      <c r="K159" s="611"/>
      <c r="L159" s="611"/>
      <c r="M159" s="611"/>
      <c r="N159" s="611"/>
      <c r="O159" s="611"/>
      <c r="P159" s="611"/>
    </row>
    <row r="160" spans="1:16" ht="12.75" customHeight="1" x14ac:dyDescent="0.25">
      <c r="A160" s="611"/>
      <c r="D160" s="611"/>
      <c r="E160" s="611"/>
      <c r="F160" s="611"/>
      <c r="G160" s="611"/>
      <c r="H160" s="611"/>
      <c r="I160" s="611"/>
      <c r="J160" s="611"/>
      <c r="K160" s="611"/>
      <c r="L160" s="611"/>
      <c r="M160" s="611"/>
      <c r="N160" s="611"/>
      <c r="O160" s="611"/>
      <c r="P160" s="611"/>
    </row>
    <row r="161" spans="1:18" ht="12.75" customHeight="1" x14ac:dyDescent="0.25">
      <c r="A161" s="770" t="s">
        <v>2</v>
      </c>
      <c r="B161" s="769" t="s">
        <v>132</v>
      </c>
      <c r="C161" s="623" t="s">
        <v>70</v>
      </c>
      <c r="D161" s="623">
        <f>D98-P98</f>
        <v>-9889189.7200000007</v>
      </c>
      <c r="E161" s="623">
        <f>E94+E89</f>
        <v>-687393.5</v>
      </c>
      <c r="F161" s="623">
        <f t="shared" ref="F161:R161" si="2">F94+F89</f>
        <v>-387217.20999999996</v>
      </c>
      <c r="G161" s="623">
        <f t="shared" si="2"/>
        <v>-203978.19999999998</v>
      </c>
      <c r="H161" s="623">
        <f t="shared" si="2"/>
        <v>-3023755.1</v>
      </c>
      <c r="I161" s="623">
        <f t="shared" si="2"/>
        <v>-116210.51</v>
      </c>
      <c r="J161" s="623">
        <f t="shared" si="2"/>
        <v>-1009821.1900000001</v>
      </c>
      <c r="K161" s="623">
        <f t="shared" si="2"/>
        <v>-989856.14999999991</v>
      </c>
      <c r="L161" s="623">
        <f t="shared" si="2"/>
        <v>-4602004.2299999995</v>
      </c>
      <c r="M161" s="623">
        <f t="shared" si="2"/>
        <v>-1352536.94</v>
      </c>
      <c r="N161" s="623">
        <f t="shared" si="2"/>
        <v>-188970.19999999998</v>
      </c>
      <c r="O161" s="623">
        <f t="shared" si="2"/>
        <v>7.55</v>
      </c>
      <c r="P161" s="623">
        <f t="shared" si="2"/>
        <v>0</v>
      </c>
      <c r="Q161" s="623">
        <f t="shared" si="2"/>
        <v>0</v>
      </c>
      <c r="R161" s="623">
        <f t="shared" si="2"/>
        <v>0</v>
      </c>
    </row>
    <row r="162" spans="1:18" ht="12.75" customHeight="1" x14ac:dyDescent="0.25">
      <c r="A162" s="770"/>
      <c r="B162" s="769"/>
      <c r="C162" s="623" t="s">
        <v>73</v>
      </c>
      <c r="D162" s="623">
        <f>D96+D91</f>
        <v>2672545.96</v>
      </c>
      <c r="E162" s="611"/>
      <c r="F162" s="611"/>
      <c r="G162" s="611"/>
      <c r="H162" s="611"/>
      <c r="I162" s="611"/>
      <c r="J162" s="611"/>
      <c r="K162" s="611"/>
      <c r="L162" s="611"/>
      <c r="M162" s="611"/>
      <c r="N162" s="611"/>
      <c r="O162" s="611"/>
      <c r="P162" s="611"/>
      <c r="Q162" s="611"/>
    </row>
    <row r="163" spans="1:18" ht="12.75" customHeight="1" x14ac:dyDescent="0.3">
      <c r="A163" s="610"/>
      <c r="D163" s="611"/>
      <c r="E163" s="611"/>
      <c r="F163" s="611"/>
      <c r="G163" s="611"/>
      <c r="H163" s="611"/>
      <c r="I163" s="611"/>
      <c r="J163" s="611"/>
      <c r="K163" s="611"/>
      <c r="L163" s="611"/>
      <c r="M163" s="611"/>
      <c r="N163" s="611"/>
      <c r="O163" s="611"/>
      <c r="P163" s="611"/>
      <c r="Q163" s="611"/>
    </row>
    <row r="164" spans="1:18" ht="12.75" customHeight="1" x14ac:dyDescent="0.25">
      <c r="A164" s="770" t="s">
        <v>160</v>
      </c>
      <c r="B164" s="769" t="s">
        <v>132</v>
      </c>
      <c r="C164" s="625" t="s">
        <v>70</v>
      </c>
      <c r="D164" s="625">
        <f>D97-P97</f>
        <v>-19778.72</v>
      </c>
      <c r="E164" s="625">
        <f t="shared" ref="E164:R164" si="3">E94</f>
        <v>-163.22999999999999</v>
      </c>
      <c r="F164" s="625">
        <f t="shared" si="3"/>
        <v>-92.16</v>
      </c>
      <c r="G164" s="625">
        <f t="shared" si="3"/>
        <v>-48.37</v>
      </c>
      <c r="H164" s="625">
        <f t="shared" si="3"/>
        <v>0</v>
      </c>
      <c r="I164" s="625">
        <f t="shared" si="3"/>
        <v>-374.65</v>
      </c>
      <c r="J164" s="625">
        <f t="shared" si="3"/>
        <v>-3286.39</v>
      </c>
      <c r="K164" s="625">
        <f t="shared" si="3"/>
        <v>-3205.2</v>
      </c>
      <c r="L164" s="625">
        <f t="shared" si="3"/>
        <v>-15163.76</v>
      </c>
      <c r="M164" s="625">
        <f t="shared" si="3"/>
        <v>-324.05</v>
      </c>
      <c r="N164" s="625">
        <f t="shared" si="3"/>
        <v>-611.27</v>
      </c>
      <c r="O164" s="625">
        <f t="shared" si="3"/>
        <v>0</v>
      </c>
      <c r="P164" s="625">
        <f t="shared" si="3"/>
        <v>0</v>
      </c>
      <c r="Q164" s="625">
        <f t="shared" si="3"/>
        <v>0</v>
      </c>
      <c r="R164" s="625">
        <f t="shared" si="3"/>
        <v>0</v>
      </c>
    </row>
    <row r="165" spans="1:18" ht="12.75" customHeight="1" x14ac:dyDescent="0.25">
      <c r="A165" s="770"/>
      <c r="B165" s="769"/>
      <c r="C165" s="625" t="s">
        <v>73</v>
      </c>
      <c r="D165" s="625">
        <f>D96</f>
        <v>3490.36</v>
      </c>
      <c r="E165" s="611"/>
      <c r="F165" s="611"/>
      <c r="G165" s="611"/>
      <c r="H165" s="611"/>
      <c r="I165" s="611"/>
      <c r="J165" s="611"/>
      <c r="K165" s="611"/>
      <c r="L165" s="611"/>
      <c r="M165" s="611"/>
      <c r="N165" s="611"/>
      <c r="O165" s="611"/>
      <c r="P165" s="611"/>
      <c r="Q165" s="611"/>
    </row>
    <row r="166" spans="1:18" ht="12.75" customHeight="1" x14ac:dyDescent="0.3">
      <c r="A166" s="610"/>
      <c r="D166" s="611"/>
      <c r="E166" s="611"/>
      <c r="F166" s="611"/>
      <c r="G166" s="611"/>
      <c r="H166" s="611"/>
      <c r="I166" s="611"/>
      <c r="J166" s="611"/>
      <c r="K166" s="611"/>
      <c r="L166" s="611"/>
      <c r="M166" s="611"/>
      <c r="N166" s="611"/>
      <c r="O166" s="611"/>
      <c r="P166" s="611"/>
      <c r="Q166" s="611"/>
    </row>
    <row r="167" spans="1:18" ht="12.75" customHeight="1" x14ac:dyDescent="0.25">
      <c r="A167" s="770" t="s">
        <v>155</v>
      </c>
      <c r="B167" s="769" t="s">
        <v>132</v>
      </c>
      <c r="C167" s="626" t="s">
        <v>70</v>
      </c>
      <c r="D167" s="626">
        <f>D92-P92</f>
        <v>-9869411</v>
      </c>
      <c r="E167" s="626">
        <f t="shared" ref="E167:R167" si="4">E89</f>
        <v>-687230.27</v>
      </c>
      <c r="F167" s="626">
        <f t="shared" si="4"/>
        <v>-387125.05</v>
      </c>
      <c r="G167" s="626">
        <f t="shared" si="4"/>
        <v>-203929.83</v>
      </c>
      <c r="H167" s="626">
        <f t="shared" si="4"/>
        <v>-3023755.1</v>
      </c>
      <c r="I167" s="626">
        <f t="shared" si="4"/>
        <v>-115835.86</v>
      </c>
      <c r="J167" s="626">
        <f t="shared" si="4"/>
        <v>-1006534.8</v>
      </c>
      <c r="K167" s="626">
        <f t="shared" si="4"/>
        <v>-986650.95</v>
      </c>
      <c r="L167" s="626">
        <f t="shared" si="4"/>
        <v>-4586840.47</v>
      </c>
      <c r="M167" s="626">
        <f t="shared" si="4"/>
        <v>-1352212.89</v>
      </c>
      <c r="N167" s="626">
        <f t="shared" si="4"/>
        <v>-188358.93</v>
      </c>
      <c r="O167" s="626">
        <f t="shared" si="4"/>
        <v>7.55</v>
      </c>
      <c r="P167" s="626">
        <f t="shared" si="4"/>
        <v>0</v>
      </c>
      <c r="Q167" s="626">
        <f t="shared" si="4"/>
        <v>0</v>
      </c>
      <c r="R167" s="626">
        <f t="shared" si="4"/>
        <v>0</v>
      </c>
    </row>
    <row r="168" spans="1:18" ht="12.75" customHeight="1" x14ac:dyDescent="0.25">
      <c r="A168" s="770"/>
      <c r="B168" s="769"/>
      <c r="C168" s="626" t="s">
        <v>73</v>
      </c>
      <c r="D168" s="626">
        <f>D91</f>
        <v>2669055.6</v>
      </c>
      <c r="E168" s="611"/>
      <c r="F168" s="611"/>
      <c r="G168" s="611"/>
      <c r="H168" s="611"/>
      <c r="I168" s="611"/>
      <c r="J168" s="611"/>
      <c r="K168" s="611"/>
      <c r="L168" s="611"/>
      <c r="M168" s="611"/>
      <c r="N168" s="611"/>
      <c r="O168" s="611"/>
      <c r="P168" s="611"/>
      <c r="Q168" s="611"/>
    </row>
    <row r="169" spans="1:18" ht="12.75" customHeight="1" x14ac:dyDescent="0.25">
      <c r="A169" s="721"/>
      <c r="B169" s="720"/>
      <c r="C169" s="611"/>
      <c r="D169" s="611"/>
      <c r="E169" s="611"/>
      <c r="F169" s="611"/>
      <c r="G169" s="611"/>
      <c r="H169" s="611"/>
      <c r="I169" s="611"/>
      <c r="J169" s="611"/>
      <c r="K169" s="611"/>
      <c r="L169" s="611"/>
      <c r="M169" s="611"/>
      <c r="N169" s="611"/>
      <c r="O169" s="611"/>
      <c r="P169" s="611"/>
      <c r="Q169" s="611"/>
    </row>
    <row r="170" spans="1:18" ht="12.75" customHeight="1" x14ac:dyDescent="0.25">
      <c r="A170" s="771" t="s">
        <v>326</v>
      </c>
      <c r="B170" s="769" t="s">
        <v>132</v>
      </c>
      <c r="C170" s="626" t="s">
        <v>70</v>
      </c>
      <c r="D170" s="719">
        <v>0</v>
      </c>
      <c r="E170" s="719">
        <v>0</v>
      </c>
      <c r="F170" s="719">
        <v>0</v>
      </c>
      <c r="G170" s="719">
        <v>0</v>
      </c>
      <c r="H170" s="719">
        <v>0</v>
      </c>
      <c r="I170" s="719">
        <v>0</v>
      </c>
      <c r="J170" s="719">
        <v>0</v>
      </c>
      <c r="K170" s="719">
        <v>0</v>
      </c>
      <c r="L170" s="719">
        <v>0</v>
      </c>
      <c r="M170" s="719">
        <v>0</v>
      </c>
      <c r="N170" s="719">
        <v>0</v>
      </c>
      <c r="O170" s="719">
        <v>0</v>
      </c>
      <c r="P170" s="719">
        <v>0</v>
      </c>
      <c r="Q170" s="719">
        <v>0</v>
      </c>
      <c r="R170" s="719">
        <v>0</v>
      </c>
    </row>
    <row r="171" spans="1:18" ht="12.75" customHeight="1" x14ac:dyDescent="0.25">
      <c r="A171" s="771"/>
      <c r="B171" s="769"/>
      <c r="C171" s="626" t="s">
        <v>73</v>
      </c>
      <c r="D171" s="719">
        <v>0</v>
      </c>
      <c r="E171" s="611"/>
      <c r="F171" s="611"/>
      <c r="G171" s="611"/>
      <c r="H171" s="611"/>
      <c r="I171" s="611"/>
      <c r="J171" s="611"/>
      <c r="K171" s="611"/>
      <c r="L171" s="611"/>
      <c r="M171" s="611"/>
      <c r="N171" s="611"/>
      <c r="O171" s="611"/>
      <c r="P171" s="611"/>
      <c r="Q171" s="611"/>
    </row>
    <row r="172" spans="1:18" ht="12.75" customHeight="1" x14ac:dyDescent="0.3">
      <c r="A172" s="610"/>
      <c r="D172" s="611"/>
      <c r="E172" s="611"/>
      <c r="F172" s="611"/>
      <c r="G172" s="611"/>
      <c r="H172" s="611"/>
      <c r="I172" s="611"/>
      <c r="J172" s="611"/>
      <c r="K172" s="611"/>
      <c r="L172" s="611"/>
      <c r="M172" s="611"/>
      <c r="N172" s="611"/>
      <c r="O172" s="611"/>
      <c r="P172" s="611"/>
      <c r="Q172" s="611"/>
    </row>
    <row r="173" spans="1:18" ht="12.75" customHeight="1" x14ac:dyDescent="0.25">
      <c r="A173" s="770" t="s">
        <v>119</v>
      </c>
      <c r="B173" s="769" t="s">
        <v>132</v>
      </c>
      <c r="C173" s="621" t="s">
        <v>70</v>
      </c>
      <c r="D173" s="621">
        <v>0</v>
      </c>
      <c r="E173" s="621">
        <v>0</v>
      </c>
      <c r="F173" s="621">
        <v>0</v>
      </c>
      <c r="G173" s="621">
        <v>0</v>
      </c>
      <c r="H173" s="621">
        <v>0</v>
      </c>
      <c r="I173" s="621">
        <v>0</v>
      </c>
      <c r="J173" s="621">
        <v>0</v>
      </c>
      <c r="K173" s="621">
        <v>0</v>
      </c>
      <c r="L173" s="621">
        <v>0</v>
      </c>
      <c r="M173" s="621">
        <v>0</v>
      </c>
      <c r="N173" s="621">
        <v>0</v>
      </c>
      <c r="O173" s="621">
        <v>0</v>
      </c>
      <c r="P173" s="621">
        <v>0</v>
      </c>
      <c r="Q173" s="621">
        <v>0</v>
      </c>
      <c r="R173" s="621">
        <v>0</v>
      </c>
    </row>
    <row r="174" spans="1:18" ht="12.75" customHeight="1" x14ac:dyDescent="0.25">
      <c r="A174" s="770"/>
      <c r="B174" s="769"/>
      <c r="C174" s="621" t="s">
        <v>73</v>
      </c>
      <c r="D174" s="621">
        <v>0</v>
      </c>
      <c r="E174" s="611"/>
      <c r="F174" s="611"/>
      <c r="G174" s="611"/>
      <c r="H174" s="611"/>
      <c r="I174" s="611"/>
      <c r="J174" s="611"/>
      <c r="K174" s="611"/>
      <c r="L174" s="611"/>
      <c r="M174" s="611"/>
      <c r="N174" s="611"/>
      <c r="O174" s="611"/>
      <c r="P174" s="611"/>
      <c r="Q174" s="611"/>
      <c r="R174" s="611"/>
    </row>
    <row r="175" spans="1:18" ht="12.75" customHeight="1" x14ac:dyDescent="0.3">
      <c r="A175" s="610"/>
      <c r="D175" s="611"/>
      <c r="E175" s="611"/>
      <c r="F175" s="611"/>
      <c r="G175" s="611"/>
      <c r="H175" s="611"/>
      <c r="I175" s="611"/>
      <c r="J175" s="611"/>
      <c r="K175" s="611"/>
      <c r="L175" s="611"/>
      <c r="M175" s="611"/>
      <c r="N175" s="611"/>
      <c r="O175" s="611"/>
      <c r="P175" s="611"/>
      <c r="Q175" s="611"/>
      <c r="R175" s="611"/>
    </row>
    <row r="176" spans="1:18" ht="12.75" customHeight="1" x14ac:dyDescent="0.25">
      <c r="A176" s="768" t="s">
        <v>161</v>
      </c>
      <c r="B176" s="769" t="s">
        <v>132</v>
      </c>
      <c r="C176" s="627" t="s">
        <v>70</v>
      </c>
      <c r="D176" s="627">
        <v>0</v>
      </c>
      <c r="E176" s="627">
        <v>0</v>
      </c>
      <c r="F176" s="627">
        <v>0</v>
      </c>
      <c r="G176" s="627">
        <v>0</v>
      </c>
      <c r="H176" s="627">
        <v>0</v>
      </c>
      <c r="I176" s="627">
        <v>0</v>
      </c>
      <c r="J176" s="627">
        <v>0</v>
      </c>
      <c r="K176" s="627">
        <v>0</v>
      </c>
      <c r="L176" s="627">
        <v>0</v>
      </c>
      <c r="M176" s="627">
        <v>0</v>
      </c>
      <c r="N176" s="627">
        <v>0</v>
      </c>
      <c r="O176" s="627">
        <v>0</v>
      </c>
      <c r="P176" s="627">
        <v>0</v>
      </c>
      <c r="Q176" s="627">
        <v>0</v>
      </c>
      <c r="R176" s="627">
        <v>0</v>
      </c>
    </row>
    <row r="177" spans="1:18" ht="12.75" customHeight="1" x14ac:dyDescent="0.25">
      <c r="A177" s="768"/>
      <c r="B177" s="769"/>
      <c r="C177" s="627" t="s">
        <v>73</v>
      </c>
      <c r="D177" s="627">
        <v>0</v>
      </c>
      <c r="E177" s="611"/>
      <c r="F177" s="611"/>
      <c r="G177" s="611"/>
      <c r="H177" s="611"/>
      <c r="I177" s="611"/>
      <c r="J177" s="611"/>
      <c r="K177" s="611"/>
      <c r="L177" s="611"/>
      <c r="M177" s="611"/>
      <c r="N177" s="611"/>
      <c r="O177" s="611"/>
      <c r="P177" s="611"/>
      <c r="Q177" s="611"/>
    </row>
    <row r="178" spans="1:18" s="628" customFormat="1" x14ac:dyDescent="0.25"/>
    <row r="179" spans="1:18" ht="13" x14ac:dyDescent="0.3">
      <c r="B179" s="610" t="s">
        <v>76</v>
      </c>
    </row>
    <row r="180" spans="1:18" x14ac:dyDescent="0.25">
      <c r="D180" s="611" t="s">
        <v>70</v>
      </c>
      <c r="E180" s="611" t="s">
        <v>64</v>
      </c>
      <c r="F180" s="611" t="s">
        <v>65</v>
      </c>
      <c r="G180" s="612" t="s">
        <v>164</v>
      </c>
      <c r="H180" s="611" t="s">
        <v>69</v>
      </c>
      <c r="I180" s="611" t="s">
        <v>68</v>
      </c>
      <c r="J180" s="611" t="s">
        <v>66</v>
      </c>
      <c r="K180" s="611" t="s">
        <v>63</v>
      </c>
      <c r="L180" s="611" t="s">
        <v>61</v>
      </c>
      <c r="M180" s="611" t="s">
        <v>62</v>
      </c>
      <c r="N180" s="611" t="s">
        <v>67</v>
      </c>
      <c r="O180" s="611" t="s">
        <v>77</v>
      </c>
      <c r="P180" s="609" t="s">
        <v>71</v>
      </c>
      <c r="Q180" s="611" t="s">
        <v>80</v>
      </c>
      <c r="R180" s="609" t="s">
        <v>167</v>
      </c>
    </row>
    <row r="181" spans="1:18" ht="12.75" customHeight="1" x14ac:dyDescent="0.25">
      <c r="B181" s="611"/>
      <c r="C181" s="611" t="s">
        <v>72</v>
      </c>
      <c r="D181" s="611">
        <v>-6145967.0599999996</v>
      </c>
      <c r="E181" s="611">
        <v>-349180.17</v>
      </c>
      <c r="F181" s="611">
        <v>-196775.04000000001</v>
      </c>
      <c r="G181" s="611">
        <v>-103888.74</v>
      </c>
      <c r="H181" s="611">
        <v>-1434778.63</v>
      </c>
      <c r="I181" s="611">
        <v>-54350.68</v>
      </c>
      <c r="J181" s="611">
        <v>-476763.32</v>
      </c>
      <c r="K181" s="611">
        <v>-466428.2</v>
      </c>
      <c r="L181" s="611">
        <v>-2167699.41</v>
      </c>
      <c r="M181" s="611">
        <v>-807353.75</v>
      </c>
      <c r="N181" s="611">
        <v>-88678.1</v>
      </c>
      <c r="O181" s="611">
        <v>-71.02</v>
      </c>
      <c r="P181" s="609">
        <v>0</v>
      </c>
      <c r="Q181" s="611">
        <v>0</v>
      </c>
      <c r="R181" s="611">
        <v>0</v>
      </c>
    </row>
    <row r="182" spans="1:18" ht="12.75" customHeight="1" x14ac:dyDescent="0.25">
      <c r="B182" s="611"/>
      <c r="C182" s="611" t="s">
        <v>81</v>
      </c>
      <c r="D182" s="611">
        <v>-8558.43</v>
      </c>
      <c r="E182" s="611">
        <v>-1248.82</v>
      </c>
      <c r="F182" s="611">
        <v>-702.2</v>
      </c>
      <c r="G182" s="611">
        <v>-373.05</v>
      </c>
      <c r="H182" s="611">
        <v>-1035.82</v>
      </c>
      <c r="I182" s="611">
        <v>-38.299999999999997</v>
      </c>
      <c r="J182" s="611">
        <v>-336.02</v>
      </c>
      <c r="K182" s="611">
        <v>-329.37</v>
      </c>
      <c r="L182" s="611">
        <v>-1510.98</v>
      </c>
      <c r="M182" s="611">
        <v>-2921.34</v>
      </c>
      <c r="N182" s="611">
        <v>-62.48</v>
      </c>
      <c r="O182" s="611">
        <v>-0.05</v>
      </c>
      <c r="P182" s="609">
        <v>0</v>
      </c>
      <c r="Q182" s="611">
        <v>0</v>
      </c>
      <c r="R182" s="611">
        <v>0</v>
      </c>
    </row>
    <row r="183" spans="1:18" s="614" customFormat="1" ht="12.75" customHeight="1" x14ac:dyDescent="0.25">
      <c r="B183" s="615" t="s">
        <v>78</v>
      </c>
      <c r="C183" s="615" t="s">
        <v>70</v>
      </c>
      <c r="D183" s="615">
        <v>-6154525.4900000002</v>
      </c>
      <c r="E183" s="615">
        <v>-350428.99</v>
      </c>
      <c r="F183" s="615">
        <v>-197477.24</v>
      </c>
      <c r="G183" s="615">
        <v>-104261.79</v>
      </c>
      <c r="H183" s="615">
        <v>-1435814.45</v>
      </c>
      <c r="I183" s="615">
        <v>-54388.98</v>
      </c>
      <c r="J183" s="615">
        <v>-477099.34</v>
      </c>
      <c r="K183" s="615">
        <v>-466757.57</v>
      </c>
      <c r="L183" s="615">
        <v>-2169210.39</v>
      </c>
      <c r="M183" s="615">
        <v>-810275.09</v>
      </c>
      <c r="N183" s="615">
        <v>-88740.58</v>
      </c>
      <c r="O183" s="615">
        <v>-71.069999999999993</v>
      </c>
      <c r="P183" s="614">
        <v>0</v>
      </c>
      <c r="Q183" s="615">
        <v>0</v>
      </c>
      <c r="R183" s="615">
        <v>0</v>
      </c>
    </row>
    <row r="184" spans="1:18" ht="12.75" customHeight="1" x14ac:dyDescent="0.25">
      <c r="B184" s="611"/>
      <c r="C184" s="611" t="s">
        <v>73</v>
      </c>
      <c r="D184" s="611">
        <v>582564.49</v>
      </c>
      <c r="E184" s="611">
        <v>-17627.28</v>
      </c>
      <c r="F184" s="611">
        <v>-10061.43</v>
      </c>
      <c r="G184" s="611">
        <v>-5205.25</v>
      </c>
      <c r="H184" s="611">
        <v>205245.27</v>
      </c>
      <c r="I184" s="611">
        <v>7510.5</v>
      </c>
      <c r="J184" s="611">
        <v>65881.45</v>
      </c>
      <c r="K184" s="611">
        <v>64440.83</v>
      </c>
      <c r="L184" s="611">
        <v>301226.99</v>
      </c>
      <c r="M184" s="611">
        <v>-41100.53</v>
      </c>
      <c r="N184" s="611">
        <v>12253.94</v>
      </c>
      <c r="O184" s="611">
        <v>0</v>
      </c>
      <c r="P184" s="609">
        <v>0</v>
      </c>
      <c r="Q184" s="611">
        <v>0</v>
      </c>
      <c r="R184" s="611">
        <v>0</v>
      </c>
    </row>
    <row r="185" spans="1:18" s="616" customFormat="1" ht="12.75" customHeight="1" x14ac:dyDescent="0.25">
      <c r="B185" s="616" t="s">
        <v>79</v>
      </c>
      <c r="C185" s="616" t="s">
        <v>70</v>
      </c>
      <c r="D185" s="617">
        <v>582564.49</v>
      </c>
      <c r="E185" s="617">
        <v>-17627.28</v>
      </c>
      <c r="F185" s="617">
        <v>-10061.43</v>
      </c>
      <c r="G185" s="629">
        <v>-5205.25</v>
      </c>
      <c r="H185" s="617">
        <v>205245.27</v>
      </c>
      <c r="I185" s="617">
        <v>7510.5</v>
      </c>
      <c r="J185" s="617">
        <v>65881.45</v>
      </c>
      <c r="K185" s="617">
        <v>64440.83</v>
      </c>
      <c r="L185" s="617">
        <v>301226.99</v>
      </c>
      <c r="M185" s="617">
        <v>-41100.53</v>
      </c>
      <c r="N185" s="617">
        <v>12253.94</v>
      </c>
      <c r="O185" s="617">
        <v>0</v>
      </c>
      <c r="P185" s="617">
        <v>0</v>
      </c>
      <c r="Q185" s="617">
        <v>0</v>
      </c>
      <c r="R185" s="616">
        <v>0</v>
      </c>
    </row>
    <row r="186" spans="1:18" s="630" customFormat="1" ht="12.75" customHeight="1" x14ac:dyDescent="0.25">
      <c r="A186" s="630" t="s">
        <v>155</v>
      </c>
      <c r="B186" s="626" t="s">
        <v>70</v>
      </c>
      <c r="C186" s="626"/>
      <c r="D186" s="626">
        <v>-5571961</v>
      </c>
      <c r="E186" s="626">
        <v>-368056.27</v>
      </c>
      <c r="F186" s="626">
        <v>-207538.67</v>
      </c>
      <c r="G186" s="626">
        <v>-109467.04</v>
      </c>
      <c r="H186" s="626">
        <v>-1230569.18</v>
      </c>
      <c r="I186" s="626">
        <v>-46878.48</v>
      </c>
      <c r="J186" s="626">
        <v>-411217.89</v>
      </c>
      <c r="K186" s="626">
        <v>-402316.74</v>
      </c>
      <c r="L186" s="626">
        <v>-1867983.4</v>
      </c>
      <c r="M186" s="626">
        <v>-851375.62</v>
      </c>
      <c r="N186" s="626">
        <v>-76486.64</v>
      </c>
      <c r="O186" s="626">
        <v>-71.069999999999993</v>
      </c>
      <c r="P186" s="630">
        <v>0</v>
      </c>
      <c r="Q186" s="626">
        <v>0</v>
      </c>
      <c r="R186" s="626">
        <v>0</v>
      </c>
    </row>
    <row r="187" spans="1:18" ht="12.75" customHeight="1" x14ac:dyDescent="0.25">
      <c r="B187" s="611"/>
      <c r="C187" s="611" t="s">
        <v>72</v>
      </c>
      <c r="D187" s="611">
        <v>-7191231.2800000003</v>
      </c>
      <c r="E187" s="611">
        <v>-1290187.17</v>
      </c>
      <c r="F187" s="611">
        <v>-727655.58</v>
      </c>
      <c r="G187" s="611">
        <v>-383403.13</v>
      </c>
      <c r="H187" s="611">
        <v>-546142.93999999994</v>
      </c>
      <c r="I187" s="611">
        <v>-14831.06</v>
      </c>
      <c r="J187" s="611">
        <v>-132335.31</v>
      </c>
      <c r="K187" s="611">
        <v>-192881.75</v>
      </c>
      <c r="L187" s="611">
        <v>-868987.31</v>
      </c>
      <c r="M187" s="611">
        <v>-3010588.4</v>
      </c>
      <c r="N187" s="611">
        <v>-24198.32</v>
      </c>
      <c r="O187" s="611">
        <v>-20.309999999999999</v>
      </c>
      <c r="P187" s="609">
        <v>0</v>
      </c>
      <c r="Q187" s="611">
        <v>0</v>
      </c>
      <c r="R187" s="611">
        <v>0</v>
      </c>
    </row>
    <row r="188" spans="1:18" ht="12.75" customHeight="1" x14ac:dyDescent="0.25">
      <c r="B188" s="611"/>
      <c r="C188" s="611" t="s">
        <v>81</v>
      </c>
      <c r="D188" s="611">
        <v>-168206.84</v>
      </c>
      <c r="E188" s="611">
        <v>-35174.639999999999</v>
      </c>
      <c r="F188" s="611">
        <v>-19828.27</v>
      </c>
      <c r="G188" s="611">
        <v>-10500.45</v>
      </c>
      <c r="H188" s="611">
        <v>-6841.22</v>
      </c>
      <c r="I188" s="611">
        <v>-164.45</v>
      </c>
      <c r="J188" s="611">
        <v>-1443.15</v>
      </c>
      <c r="K188" s="611">
        <v>-2078.83</v>
      </c>
      <c r="L188" s="611">
        <v>-9557.77</v>
      </c>
      <c r="M188" s="611">
        <v>-82350.12</v>
      </c>
      <c r="N188" s="611">
        <v>-268.2</v>
      </c>
      <c r="O188" s="611">
        <v>0.26</v>
      </c>
      <c r="P188" s="609">
        <v>0</v>
      </c>
      <c r="Q188" s="611">
        <v>0</v>
      </c>
      <c r="R188" s="611">
        <v>0</v>
      </c>
    </row>
    <row r="189" spans="1:18" s="614" customFormat="1" ht="12.75" customHeight="1" x14ac:dyDescent="0.25">
      <c r="B189" s="615" t="s">
        <v>78</v>
      </c>
      <c r="C189" s="615" t="s">
        <v>70</v>
      </c>
      <c r="D189" s="615">
        <v>-7359438.1200000001</v>
      </c>
      <c r="E189" s="615">
        <v>-1325361.81</v>
      </c>
      <c r="F189" s="615">
        <v>-747483.85</v>
      </c>
      <c r="G189" s="615">
        <v>-393903.58</v>
      </c>
      <c r="H189" s="615">
        <v>-552984.16</v>
      </c>
      <c r="I189" s="615">
        <v>-14995.51</v>
      </c>
      <c r="J189" s="615">
        <v>-133778.46</v>
      </c>
      <c r="K189" s="615">
        <v>-194960.58</v>
      </c>
      <c r="L189" s="615">
        <v>-878545.08</v>
      </c>
      <c r="M189" s="615">
        <v>-3092938.52</v>
      </c>
      <c r="N189" s="615">
        <v>-24466.52</v>
      </c>
      <c r="O189" s="615">
        <v>-20.05</v>
      </c>
      <c r="P189" s="614">
        <v>0</v>
      </c>
      <c r="Q189" s="615">
        <v>0</v>
      </c>
      <c r="R189" s="615">
        <v>0</v>
      </c>
    </row>
    <row r="190" spans="1:18" ht="12.75" customHeight="1" x14ac:dyDescent="0.25">
      <c r="B190" s="611"/>
      <c r="C190" s="611" t="s">
        <v>73</v>
      </c>
      <c r="D190" s="611">
        <v>-3172043.77</v>
      </c>
      <c r="E190" s="611">
        <v>-685613.87</v>
      </c>
      <c r="F190" s="611">
        <v>-387173.36</v>
      </c>
      <c r="G190" s="611">
        <v>-202748.11</v>
      </c>
      <c r="H190" s="611">
        <v>-74920.639999999999</v>
      </c>
      <c r="I190" s="611">
        <v>-1731.91</v>
      </c>
      <c r="J190" s="611">
        <v>-18114.04</v>
      </c>
      <c r="K190" s="611">
        <v>-24106.17</v>
      </c>
      <c r="L190" s="611">
        <v>-112026.93</v>
      </c>
      <c r="M190" s="611">
        <v>-1662782.86</v>
      </c>
      <c r="N190" s="611">
        <v>-2825.88</v>
      </c>
      <c r="O190" s="611">
        <v>0</v>
      </c>
      <c r="P190" s="609">
        <v>0</v>
      </c>
      <c r="Q190" s="611">
        <v>0</v>
      </c>
      <c r="R190" s="611">
        <v>0</v>
      </c>
    </row>
    <row r="191" spans="1:18" s="616" customFormat="1" ht="12.75" customHeight="1" x14ac:dyDescent="0.25">
      <c r="B191" s="616" t="s">
        <v>79</v>
      </c>
      <c r="C191" s="616" t="s">
        <v>70</v>
      </c>
      <c r="D191" s="617">
        <v>-3172043.77</v>
      </c>
      <c r="E191" s="617">
        <v>-685613.87</v>
      </c>
      <c r="F191" s="617">
        <v>-387173.36</v>
      </c>
      <c r="G191" s="629">
        <v>-202748.11</v>
      </c>
      <c r="H191" s="617">
        <v>-74920.639999999999</v>
      </c>
      <c r="I191" s="617">
        <v>-1731.91</v>
      </c>
      <c r="J191" s="617">
        <v>-18114.04</v>
      </c>
      <c r="K191" s="617">
        <v>-24106.17</v>
      </c>
      <c r="L191" s="617">
        <v>-112026.93</v>
      </c>
      <c r="M191" s="617">
        <v>-1662782.86</v>
      </c>
      <c r="N191" s="617">
        <v>-2825.88</v>
      </c>
      <c r="O191" s="617">
        <v>0</v>
      </c>
      <c r="P191" s="617">
        <v>0</v>
      </c>
      <c r="Q191" s="617">
        <v>0</v>
      </c>
      <c r="R191" s="616">
        <v>0</v>
      </c>
    </row>
    <row r="192" spans="1:18" s="746" customFormat="1" ht="12.75" customHeight="1" x14ac:dyDescent="0.25">
      <c r="A192" s="746" t="s">
        <v>119</v>
      </c>
      <c r="B192" s="746" t="s">
        <v>70</v>
      </c>
      <c r="D192" s="621">
        <v>-10531481.890000001</v>
      </c>
      <c r="E192" s="621">
        <v>-2010975.68</v>
      </c>
      <c r="F192" s="621">
        <v>-1134657.21</v>
      </c>
      <c r="G192" s="622">
        <v>-596651.68999999994</v>
      </c>
      <c r="H192" s="621">
        <v>-627904.80000000005</v>
      </c>
      <c r="I192" s="621">
        <v>-16727.419999999998</v>
      </c>
      <c r="J192" s="621">
        <v>-151892.5</v>
      </c>
      <c r="K192" s="621">
        <v>-219066.75</v>
      </c>
      <c r="L192" s="621">
        <v>-990572.01</v>
      </c>
      <c r="M192" s="621">
        <v>-4755721.38</v>
      </c>
      <c r="N192" s="621">
        <v>-27292.400000000001</v>
      </c>
      <c r="O192" s="621">
        <v>-20.05</v>
      </c>
      <c r="P192" s="621">
        <v>0</v>
      </c>
      <c r="Q192" s="621">
        <v>0</v>
      </c>
      <c r="R192" s="746">
        <v>0</v>
      </c>
    </row>
    <row r="193" spans="1:18" s="624" customFormat="1" ht="12.75" customHeight="1" x14ac:dyDescent="0.25">
      <c r="A193" s="623" t="s">
        <v>70</v>
      </c>
      <c r="D193" s="623">
        <v>-16103442.890000001</v>
      </c>
      <c r="E193" s="623">
        <v>-2379031.9500000002</v>
      </c>
      <c r="F193" s="623">
        <v>-1342195.88</v>
      </c>
      <c r="G193" s="623">
        <v>-706118.73</v>
      </c>
      <c r="H193" s="623">
        <v>-1858473.98</v>
      </c>
      <c r="I193" s="623">
        <v>-63605.9</v>
      </c>
      <c r="J193" s="623">
        <v>-563110.39</v>
      </c>
      <c r="K193" s="623">
        <v>-621383.49</v>
      </c>
      <c r="L193" s="623">
        <v>-2858555.41</v>
      </c>
      <c r="M193" s="623">
        <v>-5607097</v>
      </c>
      <c r="N193" s="623">
        <v>-103779.04</v>
      </c>
      <c r="O193" s="623">
        <v>-91.12</v>
      </c>
      <c r="P193" s="624">
        <v>0</v>
      </c>
      <c r="Q193" s="624">
        <v>0</v>
      </c>
      <c r="R193" s="624">
        <v>0</v>
      </c>
    </row>
    <row r="194" spans="1:18" ht="12.75" customHeight="1" x14ac:dyDescent="0.25">
      <c r="A194" s="611"/>
      <c r="D194" s="611"/>
      <c r="E194" s="611"/>
      <c r="F194" s="611"/>
      <c r="G194" s="611"/>
      <c r="H194" s="611"/>
      <c r="I194" s="611"/>
      <c r="J194" s="611"/>
      <c r="K194" s="611"/>
      <c r="L194" s="611"/>
      <c r="M194" s="611"/>
      <c r="N194" s="611"/>
      <c r="O194" s="611"/>
    </row>
    <row r="195" spans="1:18" ht="12.75" customHeight="1" x14ac:dyDescent="0.25">
      <c r="A195" s="611"/>
      <c r="D195" s="611"/>
      <c r="E195" s="611"/>
      <c r="F195" s="611"/>
      <c r="G195" s="611"/>
      <c r="H195" s="611"/>
      <c r="I195" s="611"/>
      <c r="J195" s="611"/>
      <c r="K195" s="611"/>
      <c r="L195" s="611"/>
      <c r="M195" s="611"/>
      <c r="N195" s="611"/>
      <c r="O195" s="611"/>
    </row>
    <row r="196" spans="1:18" ht="12.75" customHeight="1" x14ac:dyDescent="0.25">
      <c r="A196" s="611"/>
      <c r="D196" s="611"/>
      <c r="E196" s="611"/>
      <c r="F196" s="611"/>
      <c r="G196" s="611"/>
      <c r="H196" s="611"/>
      <c r="I196" s="611"/>
      <c r="J196" s="611"/>
      <c r="K196" s="611"/>
      <c r="L196" s="611"/>
      <c r="M196" s="611"/>
      <c r="N196" s="611"/>
      <c r="O196" s="611"/>
    </row>
    <row r="197" spans="1:18" ht="12.75" customHeight="1" x14ac:dyDescent="0.25">
      <c r="A197" s="611"/>
      <c r="D197" s="611"/>
      <c r="E197" s="611"/>
      <c r="F197" s="611"/>
      <c r="G197" s="611"/>
      <c r="H197" s="611"/>
      <c r="I197" s="611"/>
      <c r="J197" s="611"/>
      <c r="K197" s="611"/>
      <c r="L197" s="611"/>
      <c r="M197" s="611"/>
      <c r="N197" s="611"/>
      <c r="O197" s="611"/>
    </row>
    <row r="198" spans="1:18" ht="12.75" customHeight="1" x14ac:dyDescent="0.25">
      <c r="A198" s="770" t="s">
        <v>2</v>
      </c>
      <c r="B198" s="769" t="s">
        <v>132</v>
      </c>
      <c r="C198" s="623" t="s">
        <v>70</v>
      </c>
      <c r="D198" s="623">
        <f>D193-P193</f>
        <v>-16103442.890000001</v>
      </c>
      <c r="E198" s="623">
        <f>E189+E183</f>
        <v>-1675790.8</v>
      </c>
      <c r="F198" s="623">
        <f t="shared" ref="F198:R198" si="5">F189+F183</f>
        <v>-944961.09</v>
      </c>
      <c r="G198" s="623">
        <f t="shared" si="5"/>
        <v>-498165.37</v>
      </c>
      <c r="H198" s="623">
        <f t="shared" si="5"/>
        <v>-1988798.6099999999</v>
      </c>
      <c r="I198" s="623">
        <f t="shared" si="5"/>
        <v>-69384.490000000005</v>
      </c>
      <c r="J198" s="623">
        <f t="shared" si="5"/>
        <v>-610877.80000000005</v>
      </c>
      <c r="K198" s="623">
        <f t="shared" si="5"/>
        <v>-661718.15</v>
      </c>
      <c r="L198" s="623">
        <f t="shared" si="5"/>
        <v>-3047755.47</v>
      </c>
      <c r="M198" s="623">
        <f t="shared" si="5"/>
        <v>-3903213.61</v>
      </c>
      <c r="N198" s="623">
        <f t="shared" si="5"/>
        <v>-113207.1</v>
      </c>
      <c r="O198" s="623">
        <f t="shared" si="5"/>
        <v>-91.11999999999999</v>
      </c>
      <c r="P198" s="623">
        <f t="shared" si="5"/>
        <v>0</v>
      </c>
      <c r="Q198" s="623">
        <f t="shared" si="5"/>
        <v>0</v>
      </c>
      <c r="R198" s="623">
        <f t="shared" si="5"/>
        <v>0</v>
      </c>
    </row>
    <row r="199" spans="1:18" ht="12.75" customHeight="1" x14ac:dyDescent="0.25">
      <c r="A199" s="770"/>
      <c r="B199" s="769"/>
      <c r="C199" s="623" t="s">
        <v>73</v>
      </c>
      <c r="D199" s="623">
        <f>D191+D185</f>
        <v>-2589479.2800000003</v>
      </c>
      <c r="E199" s="611"/>
      <c r="F199" s="611"/>
      <c r="G199" s="611"/>
      <c r="H199" s="611"/>
      <c r="I199" s="611"/>
      <c r="J199" s="611"/>
      <c r="K199" s="611"/>
      <c r="L199" s="611"/>
      <c r="M199" s="611"/>
      <c r="N199" s="611"/>
      <c r="O199" s="611"/>
      <c r="P199" s="611"/>
      <c r="Q199" s="611"/>
      <c r="R199" s="611"/>
    </row>
    <row r="200" spans="1:18" ht="12.75" customHeight="1" x14ac:dyDescent="0.3">
      <c r="A200" s="610"/>
      <c r="D200" s="611"/>
      <c r="E200" s="611"/>
      <c r="F200" s="611"/>
      <c r="G200" s="611"/>
      <c r="H200" s="611"/>
      <c r="I200" s="611"/>
      <c r="J200" s="611"/>
      <c r="K200" s="611"/>
      <c r="L200" s="611"/>
      <c r="M200" s="611"/>
      <c r="N200" s="611"/>
      <c r="O200" s="611"/>
      <c r="P200" s="611"/>
      <c r="Q200" s="611"/>
      <c r="R200" s="611"/>
    </row>
    <row r="201" spans="1:18" ht="12.75" customHeight="1" x14ac:dyDescent="0.25">
      <c r="A201" s="770" t="s">
        <v>160</v>
      </c>
      <c r="B201" s="769" t="s">
        <v>132</v>
      </c>
      <c r="C201" s="625" t="s">
        <v>70</v>
      </c>
      <c r="D201" s="625">
        <v>0</v>
      </c>
      <c r="E201" s="625">
        <v>0</v>
      </c>
      <c r="F201" s="625">
        <v>0</v>
      </c>
      <c r="G201" s="625">
        <v>0</v>
      </c>
      <c r="H201" s="625">
        <v>0</v>
      </c>
      <c r="I201" s="625">
        <v>0</v>
      </c>
      <c r="J201" s="625">
        <v>0</v>
      </c>
      <c r="K201" s="625">
        <v>0</v>
      </c>
      <c r="L201" s="625">
        <v>0</v>
      </c>
      <c r="M201" s="625">
        <v>0</v>
      </c>
      <c r="N201" s="625">
        <v>0</v>
      </c>
      <c r="O201" s="625">
        <v>0</v>
      </c>
      <c r="P201" s="625">
        <v>0</v>
      </c>
      <c r="Q201" s="625">
        <v>0</v>
      </c>
      <c r="R201" s="625">
        <v>0</v>
      </c>
    </row>
    <row r="202" spans="1:18" ht="12.75" customHeight="1" x14ac:dyDescent="0.25">
      <c r="A202" s="770"/>
      <c r="B202" s="769"/>
      <c r="C202" s="625" t="s">
        <v>73</v>
      </c>
      <c r="D202" s="625">
        <v>0</v>
      </c>
      <c r="E202" s="611"/>
      <c r="F202" s="611"/>
      <c r="G202" s="611"/>
      <c r="H202" s="611"/>
      <c r="I202" s="611"/>
      <c r="J202" s="611"/>
      <c r="K202" s="611"/>
      <c r="L202" s="611"/>
      <c r="M202" s="611"/>
      <c r="N202" s="611"/>
      <c r="O202" s="611"/>
      <c r="P202" s="611"/>
      <c r="Q202" s="611"/>
      <c r="R202" s="611"/>
    </row>
    <row r="203" spans="1:18" ht="12.75" customHeight="1" x14ac:dyDescent="0.3">
      <c r="A203" s="610"/>
      <c r="D203" s="611"/>
      <c r="E203" s="611"/>
      <c r="F203" s="611"/>
      <c r="G203" s="611"/>
      <c r="H203" s="611"/>
      <c r="I203" s="611"/>
      <c r="J203" s="611"/>
      <c r="K203" s="611"/>
      <c r="L203" s="611"/>
      <c r="M203" s="611"/>
      <c r="N203" s="611"/>
      <c r="O203" s="611"/>
      <c r="P203" s="611"/>
      <c r="Q203" s="611"/>
      <c r="R203" s="611"/>
    </row>
    <row r="204" spans="1:18" ht="12.75" customHeight="1" x14ac:dyDescent="0.25">
      <c r="A204" s="770" t="s">
        <v>155</v>
      </c>
      <c r="B204" s="769" t="s">
        <v>132</v>
      </c>
      <c r="C204" s="626" t="s">
        <v>70</v>
      </c>
      <c r="D204" s="626">
        <f>D186-P186</f>
        <v>-5571961</v>
      </c>
      <c r="E204" s="626">
        <f>E183</f>
        <v>-350428.99</v>
      </c>
      <c r="F204" s="626">
        <f t="shared" ref="F204:R204" si="6">F183</f>
        <v>-197477.24</v>
      </c>
      <c r="G204" s="626">
        <f t="shared" si="6"/>
        <v>-104261.79</v>
      </c>
      <c r="H204" s="626">
        <f t="shared" si="6"/>
        <v>-1435814.45</v>
      </c>
      <c r="I204" s="626">
        <f t="shared" si="6"/>
        <v>-54388.98</v>
      </c>
      <c r="J204" s="626">
        <f t="shared" si="6"/>
        <v>-477099.34</v>
      </c>
      <c r="K204" s="626">
        <f t="shared" si="6"/>
        <v>-466757.57</v>
      </c>
      <c r="L204" s="626">
        <f t="shared" si="6"/>
        <v>-2169210.39</v>
      </c>
      <c r="M204" s="626">
        <f t="shared" si="6"/>
        <v>-810275.09</v>
      </c>
      <c r="N204" s="626">
        <f t="shared" si="6"/>
        <v>-88740.58</v>
      </c>
      <c r="O204" s="626">
        <f t="shared" si="6"/>
        <v>-71.069999999999993</v>
      </c>
      <c r="P204" s="626">
        <f t="shared" si="6"/>
        <v>0</v>
      </c>
      <c r="Q204" s="626">
        <f t="shared" si="6"/>
        <v>0</v>
      </c>
      <c r="R204" s="626">
        <f t="shared" si="6"/>
        <v>0</v>
      </c>
    </row>
    <row r="205" spans="1:18" ht="12.75" customHeight="1" x14ac:dyDescent="0.25">
      <c r="A205" s="770"/>
      <c r="B205" s="769"/>
      <c r="C205" s="626" t="s">
        <v>73</v>
      </c>
      <c r="D205" s="626">
        <f>D185</f>
        <v>582564.49</v>
      </c>
      <c r="E205" s="611"/>
      <c r="F205" s="611"/>
      <c r="G205" s="611"/>
      <c r="H205" s="611"/>
      <c r="I205" s="611"/>
      <c r="J205" s="611"/>
      <c r="K205" s="611"/>
      <c r="L205" s="611"/>
      <c r="M205" s="611"/>
      <c r="N205" s="611"/>
      <c r="O205" s="611"/>
      <c r="P205" s="611"/>
      <c r="Q205" s="611"/>
      <c r="R205" s="611"/>
    </row>
    <row r="206" spans="1:18" ht="12.75" customHeight="1" x14ac:dyDescent="0.25">
      <c r="A206" s="721"/>
      <c r="B206" s="720"/>
      <c r="C206" s="611"/>
      <c r="D206" s="611"/>
      <c r="E206" s="611"/>
      <c r="F206" s="611"/>
      <c r="G206" s="611"/>
      <c r="H206" s="611"/>
      <c r="I206" s="611"/>
      <c r="J206" s="611"/>
      <c r="K206" s="611"/>
      <c r="L206" s="611"/>
      <c r="M206" s="611"/>
      <c r="N206" s="611"/>
      <c r="O206" s="611"/>
      <c r="P206" s="611"/>
      <c r="Q206" s="611"/>
      <c r="R206" s="611"/>
    </row>
    <row r="207" spans="1:18" ht="12.75" customHeight="1" x14ac:dyDescent="0.25">
      <c r="A207" s="771" t="s">
        <v>326</v>
      </c>
      <c r="B207" s="769" t="s">
        <v>132</v>
      </c>
      <c r="C207" s="626" t="s">
        <v>70</v>
      </c>
      <c r="D207" s="719">
        <v>0</v>
      </c>
      <c r="E207" s="719">
        <v>0</v>
      </c>
      <c r="F207" s="719">
        <v>0</v>
      </c>
      <c r="G207" s="719">
        <v>0</v>
      </c>
      <c r="H207" s="719">
        <v>0</v>
      </c>
      <c r="I207" s="719">
        <v>0</v>
      </c>
      <c r="J207" s="719">
        <v>0</v>
      </c>
      <c r="K207" s="719">
        <v>0</v>
      </c>
      <c r="L207" s="719">
        <v>0</v>
      </c>
      <c r="M207" s="719">
        <v>0</v>
      </c>
      <c r="N207" s="719">
        <v>0</v>
      </c>
      <c r="O207" s="719">
        <v>0</v>
      </c>
      <c r="P207" s="719">
        <v>0</v>
      </c>
      <c r="Q207" s="719">
        <v>0</v>
      </c>
      <c r="R207" s="719">
        <v>0</v>
      </c>
    </row>
    <row r="208" spans="1:18" ht="12.75" customHeight="1" x14ac:dyDescent="0.25">
      <c r="A208" s="771"/>
      <c r="B208" s="769"/>
      <c r="C208" s="626" t="s">
        <v>73</v>
      </c>
      <c r="D208" s="719">
        <v>0</v>
      </c>
      <c r="E208" s="611"/>
      <c r="F208" s="611"/>
      <c r="G208" s="611"/>
      <c r="H208" s="611"/>
      <c r="I208" s="611"/>
      <c r="J208" s="611"/>
      <c r="K208" s="611"/>
      <c r="L208" s="611"/>
      <c r="M208" s="611"/>
      <c r="N208" s="611"/>
      <c r="O208" s="611"/>
      <c r="P208" s="611"/>
      <c r="Q208" s="611"/>
    </row>
    <row r="209" spans="1:18" ht="12.75" customHeight="1" x14ac:dyDescent="0.3">
      <c r="A209" s="610"/>
      <c r="D209" s="611"/>
      <c r="E209" s="611"/>
      <c r="F209" s="611"/>
      <c r="G209" s="611"/>
      <c r="H209" s="611"/>
      <c r="I209" s="611"/>
      <c r="J209" s="611"/>
      <c r="K209" s="611"/>
      <c r="L209" s="611"/>
      <c r="M209" s="611"/>
      <c r="N209" s="611"/>
      <c r="O209" s="611"/>
      <c r="P209" s="611"/>
      <c r="Q209" s="611"/>
      <c r="R209" s="611"/>
    </row>
    <row r="210" spans="1:18" ht="12.75" customHeight="1" x14ac:dyDescent="0.25">
      <c r="A210" s="770" t="s">
        <v>119</v>
      </c>
      <c r="B210" s="769" t="s">
        <v>132</v>
      </c>
      <c r="C210" s="621" t="s">
        <v>70</v>
      </c>
      <c r="D210" s="621">
        <f>D192-P192</f>
        <v>-10531481.890000001</v>
      </c>
      <c r="E210" s="621">
        <f>E189</f>
        <v>-1325361.81</v>
      </c>
      <c r="F210" s="621">
        <f t="shared" ref="F210:R210" si="7">F189</f>
        <v>-747483.85</v>
      </c>
      <c r="G210" s="621">
        <f t="shared" si="7"/>
        <v>-393903.58</v>
      </c>
      <c r="H210" s="621">
        <f t="shared" si="7"/>
        <v>-552984.16</v>
      </c>
      <c r="I210" s="621">
        <f t="shared" si="7"/>
        <v>-14995.51</v>
      </c>
      <c r="J210" s="621">
        <f t="shared" si="7"/>
        <v>-133778.46</v>
      </c>
      <c r="K210" s="621">
        <f t="shared" si="7"/>
        <v>-194960.58</v>
      </c>
      <c r="L210" s="621">
        <f t="shared" si="7"/>
        <v>-878545.08</v>
      </c>
      <c r="M210" s="621">
        <f t="shared" si="7"/>
        <v>-3092938.52</v>
      </c>
      <c r="N210" s="621">
        <f t="shared" si="7"/>
        <v>-24466.52</v>
      </c>
      <c r="O210" s="621">
        <f t="shared" si="7"/>
        <v>-20.05</v>
      </c>
      <c r="P210" s="621">
        <f t="shared" si="7"/>
        <v>0</v>
      </c>
      <c r="Q210" s="621">
        <f t="shared" si="7"/>
        <v>0</v>
      </c>
      <c r="R210" s="621">
        <f t="shared" si="7"/>
        <v>0</v>
      </c>
    </row>
    <row r="211" spans="1:18" ht="12.75" customHeight="1" x14ac:dyDescent="0.25">
      <c r="A211" s="770"/>
      <c r="B211" s="769"/>
      <c r="C211" s="621" t="s">
        <v>73</v>
      </c>
      <c r="D211" s="621">
        <f>D191</f>
        <v>-3172043.77</v>
      </c>
      <c r="E211" s="611"/>
      <c r="F211" s="611"/>
      <c r="G211" s="611"/>
      <c r="H211" s="611"/>
      <c r="I211" s="611"/>
      <c r="J211" s="611"/>
      <c r="K211" s="611"/>
      <c r="L211" s="611"/>
      <c r="M211" s="611"/>
      <c r="N211" s="611"/>
      <c r="O211" s="611"/>
      <c r="P211" s="611"/>
      <c r="Q211" s="611"/>
      <c r="R211" s="611"/>
    </row>
    <row r="212" spans="1:18" ht="12.75" customHeight="1" x14ac:dyDescent="0.3">
      <c r="A212" s="610"/>
      <c r="D212" s="611"/>
      <c r="E212" s="611"/>
      <c r="F212" s="611"/>
      <c r="G212" s="611"/>
      <c r="H212" s="611"/>
      <c r="I212" s="611"/>
      <c r="J212" s="611"/>
      <c r="K212" s="611"/>
      <c r="L212" s="611"/>
      <c r="M212" s="611"/>
      <c r="N212" s="611"/>
      <c r="O212" s="611"/>
      <c r="P212" s="611"/>
      <c r="Q212" s="611"/>
      <c r="R212" s="611"/>
    </row>
    <row r="213" spans="1:18" ht="12.75" customHeight="1" x14ac:dyDescent="0.25">
      <c r="A213" s="768" t="s">
        <v>161</v>
      </c>
      <c r="B213" s="769" t="s">
        <v>132</v>
      </c>
      <c r="C213" s="627" t="s">
        <v>70</v>
      </c>
      <c r="D213" s="627">
        <v>0</v>
      </c>
      <c r="E213" s="627">
        <v>0</v>
      </c>
      <c r="F213" s="627">
        <v>0</v>
      </c>
      <c r="G213" s="627">
        <v>0</v>
      </c>
      <c r="H213" s="627">
        <v>0</v>
      </c>
      <c r="I213" s="627">
        <v>0</v>
      </c>
      <c r="J213" s="627">
        <v>0</v>
      </c>
      <c r="K213" s="627">
        <v>0</v>
      </c>
      <c r="L213" s="627">
        <v>0</v>
      </c>
      <c r="M213" s="627">
        <v>0</v>
      </c>
      <c r="N213" s="627">
        <v>0</v>
      </c>
      <c r="O213" s="627">
        <v>0</v>
      </c>
      <c r="P213" s="627">
        <v>0</v>
      </c>
      <c r="Q213" s="627">
        <v>0</v>
      </c>
      <c r="R213" s="627">
        <v>0</v>
      </c>
    </row>
    <row r="214" spans="1:18" ht="12.75" customHeight="1" x14ac:dyDescent="0.25">
      <c r="A214" s="768"/>
      <c r="B214" s="769"/>
      <c r="C214" s="627" t="s">
        <v>73</v>
      </c>
      <c r="D214" s="627">
        <v>0</v>
      </c>
      <c r="E214" s="611"/>
      <c r="F214" s="611"/>
      <c r="G214" s="611"/>
      <c r="H214" s="611"/>
      <c r="I214" s="611"/>
      <c r="J214" s="611"/>
      <c r="K214" s="611"/>
      <c r="L214" s="611"/>
      <c r="M214" s="611"/>
      <c r="N214" s="611"/>
      <c r="O214" s="611"/>
      <c r="P214" s="611"/>
      <c r="Q214" s="611"/>
    </row>
    <row r="215" spans="1:18" s="628" customFormat="1" x14ac:dyDescent="0.25"/>
    <row r="216" spans="1:18" ht="13" x14ac:dyDescent="0.3">
      <c r="B216" s="610" t="s">
        <v>88</v>
      </c>
    </row>
    <row r="217" spans="1:18" ht="12.75" customHeight="1" x14ac:dyDescent="0.25">
      <c r="D217" s="611" t="s">
        <v>70</v>
      </c>
      <c r="E217" s="611" t="s">
        <v>64</v>
      </c>
      <c r="F217" s="611" t="s">
        <v>65</v>
      </c>
      <c r="G217" s="612" t="s">
        <v>164</v>
      </c>
      <c r="H217" s="611" t="s">
        <v>69</v>
      </c>
      <c r="I217" s="611" t="s">
        <v>68</v>
      </c>
      <c r="J217" s="611" t="s">
        <v>66</v>
      </c>
      <c r="K217" s="611" t="s">
        <v>63</v>
      </c>
      <c r="L217" s="611" t="s">
        <v>61</v>
      </c>
      <c r="M217" s="611" t="s">
        <v>62</v>
      </c>
      <c r="N217" s="611" t="s">
        <v>67</v>
      </c>
      <c r="O217" s="611" t="s">
        <v>77</v>
      </c>
      <c r="P217" s="611" t="s">
        <v>71</v>
      </c>
      <c r="Q217" s="611" t="s">
        <v>80</v>
      </c>
      <c r="R217" s="609" t="s">
        <v>167</v>
      </c>
    </row>
    <row r="218" spans="1:18" ht="12.5" customHeight="1" x14ac:dyDescent="0.25">
      <c r="C218" s="609" t="s">
        <v>72</v>
      </c>
      <c r="D218" s="611">
        <v>-15076052.720000001</v>
      </c>
      <c r="E218" s="611">
        <v>-950203.7</v>
      </c>
      <c r="F218" s="611">
        <v>-529101.01</v>
      </c>
      <c r="G218" s="613">
        <v>-276975.39</v>
      </c>
      <c r="H218" s="611">
        <v>-3249908.5</v>
      </c>
      <c r="I218" s="611">
        <v>-118563</v>
      </c>
      <c r="J218" s="611">
        <v>-1039649.66</v>
      </c>
      <c r="K218" s="611">
        <v>-1027919.11</v>
      </c>
      <c r="L218" s="611">
        <v>-5136480.32</v>
      </c>
      <c r="M218" s="611">
        <v>-2554589.2999999998</v>
      </c>
      <c r="N218" s="611">
        <v>-192796.2</v>
      </c>
      <c r="O218" s="611">
        <v>133.47</v>
      </c>
      <c r="P218" s="611">
        <v>0</v>
      </c>
      <c r="Q218" s="611">
        <v>0</v>
      </c>
      <c r="R218" s="609">
        <v>0</v>
      </c>
    </row>
    <row r="219" spans="1:18" ht="12.5" customHeight="1" x14ac:dyDescent="0.25">
      <c r="C219" s="609" t="s">
        <v>81</v>
      </c>
      <c r="D219" s="611">
        <v>-538967.52</v>
      </c>
      <c r="E219" s="611">
        <v>-65025.4</v>
      </c>
      <c r="F219" s="611">
        <v>-32049.68</v>
      </c>
      <c r="G219" s="613">
        <v>-13139.44</v>
      </c>
      <c r="H219" s="611">
        <v>-75519.100000000006</v>
      </c>
      <c r="I219" s="611">
        <v>-3209.32</v>
      </c>
      <c r="J219" s="611">
        <v>-28151.47</v>
      </c>
      <c r="K219" s="611">
        <v>-35321.99</v>
      </c>
      <c r="L219" s="611">
        <v>-115622.58</v>
      </c>
      <c r="M219" s="611">
        <v>-165690.43</v>
      </c>
      <c r="N219" s="611">
        <v>-5237.1400000000003</v>
      </c>
      <c r="O219" s="611">
        <v>-2.2400000000000002</v>
      </c>
      <c r="P219" s="611">
        <v>0</v>
      </c>
      <c r="Q219" s="611">
        <v>0</v>
      </c>
      <c r="R219" s="609">
        <v>1.27</v>
      </c>
    </row>
    <row r="220" spans="1:18" s="614" customFormat="1" ht="12.75" customHeight="1" x14ac:dyDescent="0.25">
      <c r="B220" s="615" t="s">
        <v>78</v>
      </c>
      <c r="C220" s="615" t="s">
        <v>70</v>
      </c>
      <c r="D220" s="615">
        <v>-15615020.24</v>
      </c>
      <c r="E220" s="615">
        <v>-1015229.1</v>
      </c>
      <c r="F220" s="615">
        <v>-561150.68999999994</v>
      </c>
      <c r="G220" s="615">
        <v>-290114.83</v>
      </c>
      <c r="H220" s="615">
        <v>-3325427.6</v>
      </c>
      <c r="I220" s="615">
        <v>-121772.32</v>
      </c>
      <c r="J220" s="615">
        <v>-1067801.1299999999</v>
      </c>
      <c r="K220" s="615">
        <v>-1063241.1000000001</v>
      </c>
      <c r="L220" s="615">
        <v>-5252102.9000000004</v>
      </c>
      <c r="M220" s="615">
        <v>-2720279.73</v>
      </c>
      <c r="N220" s="615">
        <v>-198033.34</v>
      </c>
      <c r="O220" s="615">
        <v>131.22999999999999</v>
      </c>
      <c r="P220" s="614">
        <v>0</v>
      </c>
      <c r="Q220" s="615">
        <v>0</v>
      </c>
      <c r="R220" s="615">
        <v>1.27</v>
      </c>
    </row>
    <row r="221" spans="1:18" ht="12.5" customHeight="1" x14ac:dyDescent="0.25">
      <c r="C221" s="609" t="s">
        <v>73</v>
      </c>
      <c r="D221" s="611">
        <v>-353166.37</v>
      </c>
      <c r="E221" s="611">
        <v>-159690.26</v>
      </c>
      <c r="F221" s="611">
        <v>-92306.89</v>
      </c>
      <c r="G221" s="613">
        <v>-49591.41</v>
      </c>
      <c r="H221" s="611">
        <v>127872.79</v>
      </c>
      <c r="I221" s="611">
        <v>4017.75</v>
      </c>
      <c r="J221" s="611">
        <v>35242.870000000003</v>
      </c>
      <c r="K221" s="611">
        <v>34118.14</v>
      </c>
      <c r="L221" s="611">
        <v>166138.88</v>
      </c>
      <c r="M221" s="611">
        <v>-425523.39</v>
      </c>
      <c r="N221" s="611">
        <v>6555.15</v>
      </c>
      <c r="O221" s="611">
        <v>0</v>
      </c>
      <c r="P221" s="611">
        <v>0</v>
      </c>
      <c r="Q221" s="611">
        <v>0</v>
      </c>
      <c r="R221" s="609">
        <v>0</v>
      </c>
    </row>
    <row r="222" spans="1:18" s="616" customFormat="1" ht="12.75" customHeight="1" x14ac:dyDescent="0.25">
      <c r="B222" s="617" t="s">
        <v>79</v>
      </c>
      <c r="C222" s="617" t="s">
        <v>70</v>
      </c>
      <c r="D222" s="617">
        <v>-353166.37</v>
      </c>
      <c r="E222" s="617">
        <v>-159690.26</v>
      </c>
      <c r="F222" s="617">
        <v>-92306.89</v>
      </c>
      <c r="G222" s="617">
        <v>-49591.41</v>
      </c>
      <c r="H222" s="617">
        <v>127872.79</v>
      </c>
      <c r="I222" s="617">
        <v>4017.75</v>
      </c>
      <c r="J222" s="617">
        <v>35242.870000000003</v>
      </c>
      <c r="K222" s="617">
        <v>34118.14</v>
      </c>
      <c r="L222" s="617">
        <v>166138.88</v>
      </c>
      <c r="M222" s="617">
        <v>-425523.39</v>
      </c>
      <c r="N222" s="617">
        <v>6555.15</v>
      </c>
      <c r="O222" s="617">
        <v>0</v>
      </c>
      <c r="P222" s="616">
        <v>0</v>
      </c>
      <c r="Q222" s="617">
        <v>0</v>
      </c>
      <c r="R222" s="617">
        <v>0</v>
      </c>
    </row>
    <row r="223" spans="1:18" s="618" customFormat="1" ht="12.5" customHeight="1" x14ac:dyDescent="0.25">
      <c r="A223" s="618" t="s">
        <v>155</v>
      </c>
      <c r="B223" s="618" t="s">
        <v>70</v>
      </c>
      <c r="D223" s="619">
        <v>-15968186.609999999</v>
      </c>
      <c r="E223" s="619">
        <v>-1174919.3600000001</v>
      </c>
      <c r="F223" s="619">
        <v>-653457.57999999996</v>
      </c>
      <c r="G223" s="620">
        <v>-339706.24</v>
      </c>
      <c r="H223" s="619">
        <v>-3197554.81</v>
      </c>
      <c r="I223" s="619">
        <v>-117754.57</v>
      </c>
      <c r="J223" s="619">
        <v>-1032558.26</v>
      </c>
      <c r="K223" s="619">
        <v>-1029122.96</v>
      </c>
      <c r="L223" s="619">
        <v>-5085964.0199999996</v>
      </c>
      <c r="M223" s="619">
        <v>-3145803.12</v>
      </c>
      <c r="N223" s="619">
        <v>-191478.19</v>
      </c>
      <c r="O223" s="619">
        <v>131.22999999999999</v>
      </c>
      <c r="P223" s="619">
        <v>0</v>
      </c>
      <c r="Q223" s="619">
        <v>0</v>
      </c>
      <c r="R223" s="618">
        <v>1.27</v>
      </c>
    </row>
    <row r="224" spans="1:18" ht="12.5" customHeight="1" x14ac:dyDescent="0.25">
      <c r="C224" s="609" t="s">
        <v>72</v>
      </c>
      <c r="D224" s="611">
        <v>-367858.16</v>
      </c>
      <c r="E224" s="611">
        <v>-25757.99</v>
      </c>
      <c r="F224" s="611">
        <v>-13609.93</v>
      </c>
      <c r="G224" s="613">
        <v>-7922.5</v>
      </c>
      <c r="H224" s="611">
        <v>-71079.73</v>
      </c>
      <c r="I224" s="611">
        <v>-1946.36</v>
      </c>
      <c r="J224" s="611">
        <v>-17073.54</v>
      </c>
      <c r="K224" s="611">
        <v>-22906.17</v>
      </c>
      <c r="L224" s="611">
        <v>-135380.64000000001</v>
      </c>
      <c r="M224" s="611">
        <v>-69013.399999999994</v>
      </c>
      <c r="N224" s="611">
        <v>-3175.66</v>
      </c>
      <c r="O224" s="611">
        <v>7.76</v>
      </c>
      <c r="P224" s="611">
        <v>0</v>
      </c>
      <c r="Q224" s="611">
        <v>0</v>
      </c>
      <c r="R224" s="609">
        <v>0</v>
      </c>
    </row>
    <row r="225" spans="1:18" ht="12.75" customHeight="1" x14ac:dyDescent="0.25">
      <c r="B225" s="611"/>
      <c r="C225" s="611" t="s">
        <v>81</v>
      </c>
      <c r="D225" s="611">
        <v>-30.53</v>
      </c>
      <c r="E225" s="611">
        <v>-2.4300000000000002</v>
      </c>
      <c r="F225" s="611">
        <v>-1.1200000000000001</v>
      </c>
      <c r="G225" s="611">
        <v>-0.61</v>
      </c>
      <c r="H225" s="611">
        <v>-6.94</v>
      </c>
      <c r="I225" s="611">
        <v>-0.17</v>
      </c>
      <c r="J225" s="611">
        <v>-1.49</v>
      </c>
      <c r="K225" s="611">
        <v>-1.84</v>
      </c>
      <c r="L225" s="611">
        <v>-9.06</v>
      </c>
      <c r="M225" s="611">
        <v>-6.59</v>
      </c>
      <c r="N225" s="611">
        <v>-0.28000000000000003</v>
      </c>
      <c r="O225" s="611">
        <v>0</v>
      </c>
      <c r="P225" s="609">
        <v>0</v>
      </c>
      <c r="Q225" s="611">
        <v>0</v>
      </c>
      <c r="R225" s="611">
        <v>0</v>
      </c>
    </row>
    <row r="226" spans="1:18" s="614" customFormat="1" ht="12.75" customHeight="1" x14ac:dyDescent="0.25">
      <c r="B226" s="615" t="s">
        <v>78</v>
      </c>
      <c r="C226" s="615" t="s">
        <v>70</v>
      </c>
      <c r="D226" s="615">
        <v>-367888.69</v>
      </c>
      <c r="E226" s="615">
        <v>-25760.42</v>
      </c>
      <c r="F226" s="615">
        <v>-13611.05</v>
      </c>
      <c r="G226" s="615">
        <v>-7923.11</v>
      </c>
      <c r="H226" s="615">
        <v>-71086.67</v>
      </c>
      <c r="I226" s="615">
        <v>-1946.53</v>
      </c>
      <c r="J226" s="615">
        <v>-17075.03</v>
      </c>
      <c r="K226" s="615">
        <v>-22908.01</v>
      </c>
      <c r="L226" s="615">
        <v>-135389.70000000001</v>
      </c>
      <c r="M226" s="615">
        <v>-69019.990000000005</v>
      </c>
      <c r="N226" s="615">
        <v>-3175.94</v>
      </c>
      <c r="O226" s="615">
        <v>7.76</v>
      </c>
      <c r="P226" s="614">
        <v>0</v>
      </c>
      <c r="Q226" s="615">
        <v>0</v>
      </c>
      <c r="R226" s="615">
        <v>0</v>
      </c>
    </row>
    <row r="227" spans="1:18" ht="12.75" customHeight="1" x14ac:dyDescent="0.25">
      <c r="B227" s="611"/>
      <c r="C227" s="611" t="s">
        <v>73</v>
      </c>
      <c r="D227" s="611">
        <v>-96481.31</v>
      </c>
      <c r="E227" s="611">
        <v>-7964.87</v>
      </c>
      <c r="F227" s="611">
        <v>-4293</v>
      </c>
      <c r="G227" s="611">
        <v>-2449.79</v>
      </c>
      <c r="H227" s="611">
        <v>-11884.32</v>
      </c>
      <c r="I227" s="611">
        <v>-613.79999999999995</v>
      </c>
      <c r="J227" s="611">
        <v>-5384.03</v>
      </c>
      <c r="K227" s="611">
        <v>-6824.33</v>
      </c>
      <c r="L227" s="611">
        <v>-34597.89</v>
      </c>
      <c r="M227" s="611">
        <v>-21467.82</v>
      </c>
      <c r="N227" s="611">
        <v>-1001.46</v>
      </c>
      <c r="O227" s="611">
        <v>0</v>
      </c>
      <c r="P227" s="609">
        <v>0</v>
      </c>
      <c r="Q227" s="611">
        <v>0</v>
      </c>
      <c r="R227" s="611">
        <v>0</v>
      </c>
    </row>
    <row r="228" spans="1:18" s="616" customFormat="1" ht="12.75" customHeight="1" x14ac:dyDescent="0.25">
      <c r="B228" s="617" t="s">
        <v>79</v>
      </c>
      <c r="C228" s="617" t="s">
        <v>70</v>
      </c>
      <c r="D228" s="617">
        <v>-96481.31</v>
      </c>
      <c r="E228" s="617">
        <v>-7964.87</v>
      </c>
      <c r="F228" s="617">
        <v>-4293</v>
      </c>
      <c r="G228" s="617">
        <v>-2449.79</v>
      </c>
      <c r="H228" s="617">
        <v>-11884.32</v>
      </c>
      <c r="I228" s="617">
        <v>-613.79999999999995</v>
      </c>
      <c r="J228" s="617">
        <v>-5384.03</v>
      </c>
      <c r="K228" s="617">
        <v>-6824.33</v>
      </c>
      <c r="L228" s="617">
        <v>-34597.89</v>
      </c>
      <c r="M228" s="617">
        <v>-21467.82</v>
      </c>
      <c r="N228" s="617">
        <v>-1001.46</v>
      </c>
      <c r="O228" s="617">
        <v>0</v>
      </c>
      <c r="P228" s="616">
        <v>0</v>
      </c>
      <c r="Q228" s="617">
        <v>0</v>
      </c>
      <c r="R228" s="617">
        <v>0</v>
      </c>
    </row>
    <row r="229" spans="1:18" s="691" customFormat="1" ht="12.5" customHeight="1" x14ac:dyDescent="0.25">
      <c r="A229" s="691" t="s">
        <v>120</v>
      </c>
      <c r="B229" s="691" t="s">
        <v>70</v>
      </c>
      <c r="D229" s="692">
        <v>-464370</v>
      </c>
      <c r="E229" s="692">
        <v>-33725.29</v>
      </c>
      <c r="F229" s="692">
        <v>-17904.05</v>
      </c>
      <c r="G229" s="693">
        <v>-10372.9</v>
      </c>
      <c r="H229" s="692">
        <v>-82970.990000000005</v>
      </c>
      <c r="I229" s="692">
        <v>-2560.33</v>
      </c>
      <c r="J229" s="692">
        <v>-22459.06</v>
      </c>
      <c r="K229" s="692">
        <v>-29732.34</v>
      </c>
      <c r="L229" s="692">
        <v>-169987.59</v>
      </c>
      <c r="M229" s="692">
        <v>-90487.81</v>
      </c>
      <c r="N229" s="692">
        <v>-4177.3999999999996</v>
      </c>
      <c r="O229" s="692">
        <v>7.76</v>
      </c>
      <c r="P229" s="692">
        <v>0</v>
      </c>
      <c r="Q229" s="692">
        <v>0</v>
      </c>
      <c r="R229" s="691">
        <v>0</v>
      </c>
    </row>
    <row r="230" spans="1:18" ht="12.75" customHeight="1" x14ac:dyDescent="0.25">
      <c r="B230" s="611"/>
      <c r="C230" s="611" t="s">
        <v>72</v>
      </c>
      <c r="D230" s="611">
        <v>-4794726.08</v>
      </c>
      <c r="E230" s="611">
        <v>-316630.93</v>
      </c>
      <c r="F230" s="611">
        <v>-178230.21</v>
      </c>
      <c r="G230" s="611">
        <v>-95686.73</v>
      </c>
      <c r="H230" s="611">
        <v>-1006887.63</v>
      </c>
      <c r="I230" s="611">
        <v>-34872.410000000003</v>
      </c>
      <c r="J230" s="611">
        <v>-308680.75</v>
      </c>
      <c r="K230" s="611">
        <v>-326282.53000000003</v>
      </c>
      <c r="L230" s="611">
        <v>-1616571.87</v>
      </c>
      <c r="M230" s="611">
        <v>-853956.66</v>
      </c>
      <c r="N230" s="611">
        <v>-56912.41</v>
      </c>
      <c r="O230" s="611">
        <v>-13.95</v>
      </c>
      <c r="P230" s="609">
        <v>0</v>
      </c>
      <c r="Q230" s="611">
        <v>0</v>
      </c>
      <c r="R230" s="611">
        <v>0</v>
      </c>
    </row>
    <row r="231" spans="1:18" ht="12.75" customHeight="1" x14ac:dyDescent="0.25">
      <c r="B231" s="611"/>
      <c r="C231" s="611" t="s">
        <v>81</v>
      </c>
      <c r="D231" s="611">
        <v>-687500.88</v>
      </c>
      <c r="E231" s="611">
        <v>-116224.77</v>
      </c>
      <c r="F231" s="611">
        <v>-31590.51</v>
      </c>
      <c r="G231" s="611">
        <v>-3782.11</v>
      </c>
      <c r="H231" s="611">
        <v>-40136.839999999997</v>
      </c>
      <c r="I231" s="611">
        <v>-2590.69</v>
      </c>
      <c r="J231" s="611">
        <v>-22728.639999999999</v>
      </c>
      <c r="K231" s="611">
        <v>-23035.81</v>
      </c>
      <c r="L231" s="611">
        <v>-71995.31</v>
      </c>
      <c r="M231" s="611">
        <v>-371186.11</v>
      </c>
      <c r="N231" s="611">
        <v>-4228.18</v>
      </c>
      <c r="O231" s="611">
        <v>-1.91</v>
      </c>
      <c r="P231" s="609">
        <v>0</v>
      </c>
      <c r="Q231" s="611">
        <v>0</v>
      </c>
      <c r="R231" s="611">
        <v>0</v>
      </c>
    </row>
    <row r="232" spans="1:18" s="614" customFormat="1" ht="12.75" customHeight="1" x14ac:dyDescent="0.25">
      <c r="B232" s="615" t="s">
        <v>78</v>
      </c>
      <c r="C232" s="615" t="s">
        <v>70</v>
      </c>
      <c r="D232" s="615">
        <v>-5482226.96</v>
      </c>
      <c r="E232" s="615">
        <v>-432855.7</v>
      </c>
      <c r="F232" s="615">
        <v>-209820.72</v>
      </c>
      <c r="G232" s="615">
        <v>-99468.84</v>
      </c>
      <c r="H232" s="615">
        <v>-1047024.47</v>
      </c>
      <c r="I232" s="615">
        <v>-37463.1</v>
      </c>
      <c r="J232" s="615">
        <v>-331409.39</v>
      </c>
      <c r="K232" s="615">
        <v>-349318.34</v>
      </c>
      <c r="L232" s="615">
        <v>-1688567.18</v>
      </c>
      <c r="M232" s="615">
        <v>-1225142.77</v>
      </c>
      <c r="N232" s="615">
        <v>-61140.59</v>
      </c>
      <c r="O232" s="615">
        <v>-15.86</v>
      </c>
      <c r="P232" s="614">
        <v>0</v>
      </c>
      <c r="Q232" s="615">
        <v>0</v>
      </c>
      <c r="R232" s="615">
        <v>0</v>
      </c>
    </row>
    <row r="233" spans="1:18" ht="12.75" customHeight="1" x14ac:dyDescent="0.25">
      <c r="B233" s="611"/>
      <c r="C233" s="611" t="s">
        <v>73</v>
      </c>
      <c r="D233" s="611">
        <v>625875</v>
      </c>
      <c r="E233" s="611">
        <v>21424.75</v>
      </c>
      <c r="F233" s="611">
        <v>11771.93</v>
      </c>
      <c r="G233" s="611">
        <v>6328.28</v>
      </c>
      <c r="H233" s="611">
        <v>165668.93</v>
      </c>
      <c r="I233" s="611">
        <v>5797.77</v>
      </c>
      <c r="J233" s="611">
        <v>50833.32</v>
      </c>
      <c r="K233" s="611">
        <v>49420.33</v>
      </c>
      <c r="L233" s="611">
        <v>247212.36</v>
      </c>
      <c r="M233" s="611">
        <v>57965.13</v>
      </c>
      <c r="N233" s="611">
        <v>9452.2000000000007</v>
      </c>
      <c r="O233" s="611">
        <v>0</v>
      </c>
      <c r="P233" s="609">
        <v>0</v>
      </c>
      <c r="Q233" s="611">
        <v>0</v>
      </c>
      <c r="R233" s="611">
        <v>0</v>
      </c>
    </row>
    <row r="234" spans="1:18" s="616" customFormat="1" ht="12.75" customHeight="1" x14ac:dyDescent="0.25">
      <c r="B234" s="617" t="s">
        <v>79</v>
      </c>
      <c r="C234" s="617" t="s">
        <v>70</v>
      </c>
      <c r="D234" s="617">
        <v>625875</v>
      </c>
      <c r="E234" s="617">
        <v>21424.75</v>
      </c>
      <c r="F234" s="617">
        <v>11771.93</v>
      </c>
      <c r="G234" s="617">
        <v>6328.28</v>
      </c>
      <c r="H234" s="617">
        <v>165668.93</v>
      </c>
      <c r="I234" s="617">
        <v>5797.77</v>
      </c>
      <c r="J234" s="617">
        <v>50833.32</v>
      </c>
      <c r="K234" s="617">
        <v>49420.33</v>
      </c>
      <c r="L234" s="617">
        <v>247212.36</v>
      </c>
      <c r="M234" s="617">
        <v>57965.13</v>
      </c>
      <c r="N234" s="617">
        <v>9452.2000000000007</v>
      </c>
      <c r="O234" s="617">
        <v>0</v>
      </c>
      <c r="P234" s="616">
        <v>0</v>
      </c>
      <c r="Q234" s="617">
        <v>0</v>
      </c>
      <c r="R234" s="617">
        <v>0</v>
      </c>
    </row>
    <row r="235" spans="1:18" s="746" customFormat="1" ht="12.75" customHeight="1" x14ac:dyDescent="0.25">
      <c r="A235" s="746" t="s">
        <v>119</v>
      </c>
      <c r="B235" s="746" t="s">
        <v>70</v>
      </c>
      <c r="D235" s="621">
        <v>-4856351.96</v>
      </c>
      <c r="E235" s="621">
        <v>-411430.95</v>
      </c>
      <c r="F235" s="621">
        <v>-198048.79</v>
      </c>
      <c r="G235" s="622">
        <v>-93140.56</v>
      </c>
      <c r="H235" s="621">
        <v>-881355.54</v>
      </c>
      <c r="I235" s="621">
        <v>-31665.33</v>
      </c>
      <c r="J235" s="621">
        <v>-280576.07</v>
      </c>
      <c r="K235" s="621">
        <v>-299898.01</v>
      </c>
      <c r="L235" s="621">
        <v>-1441354.82</v>
      </c>
      <c r="M235" s="621">
        <v>-1167177.6399999999</v>
      </c>
      <c r="N235" s="621">
        <v>-51688.39</v>
      </c>
      <c r="O235" s="621">
        <v>-15.86</v>
      </c>
      <c r="P235" s="621">
        <v>0</v>
      </c>
      <c r="Q235" s="621">
        <v>0</v>
      </c>
      <c r="R235" s="746">
        <v>0</v>
      </c>
    </row>
    <row r="236" spans="1:18" s="624" customFormat="1" ht="12.75" customHeight="1" x14ac:dyDescent="0.25">
      <c r="A236" s="623" t="s">
        <v>70</v>
      </c>
      <c r="D236" s="623">
        <v>-21288908.57</v>
      </c>
      <c r="E236" s="623">
        <v>-1620075.6</v>
      </c>
      <c r="F236" s="623">
        <v>-869410.42</v>
      </c>
      <c r="G236" s="623">
        <v>-443219.7</v>
      </c>
      <c r="H236" s="623">
        <v>-4161881.34</v>
      </c>
      <c r="I236" s="623">
        <v>-151980.23000000001</v>
      </c>
      <c r="J236" s="623">
        <v>-1335593.3899999999</v>
      </c>
      <c r="K236" s="623">
        <v>-1358753.31</v>
      </c>
      <c r="L236" s="623">
        <v>-6697306.4299999997</v>
      </c>
      <c r="M236" s="623">
        <v>-4403468.57</v>
      </c>
      <c r="N236" s="623">
        <v>-247343.98</v>
      </c>
      <c r="O236" s="623">
        <v>123.13</v>
      </c>
      <c r="P236" s="624">
        <v>0</v>
      </c>
      <c r="Q236" s="624">
        <v>0</v>
      </c>
      <c r="R236" s="624">
        <v>1.27</v>
      </c>
    </row>
    <row r="237" spans="1:18" ht="12.75" customHeight="1" x14ac:dyDescent="0.25">
      <c r="A237" s="611"/>
      <c r="D237" s="611"/>
      <c r="E237" s="611"/>
      <c r="F237" s="611"/>
      <c r="G237" s="611"/>
      <c r="H237" s="611"/>
      <c r="I237" s="611"/>
      <c r="J237" s="611"/>
      <c r="K237" s="611"/>
      <c r="L237" s="611"/>
      <c r="M237" s="611"/>
      <c r="N237" s="611"/>
      <c r="O237" s="611"/>
    </row>
    <row r="238" spans="1:18" ht="12.75" customHeight="1" x14ac:dyDescent="0.25">
      <c r="B238" s="611"/>
      <c r="C238" s="611"/>
      <c r="D238" s="611"/>
      <c r="E238" s="611"/>
      <c r="F238" s="611"/>
      <c r="G238" s="611"/>
      <c r="H238" s="611"/>
      <c r="I238" s="611"/>
      <c r="J238" s="611"/>
      <c r="K238" s="611"/>
      <c r="L238" s="611"/>
      <c r="M238" s="611"/>
      <c r="N238" s="611"/>
      <c r="O238" s="611"/>
    </row>
    <row r="239" spans="1:18" ht="12.75" hidden="1" customHeight="1" x14ac:dyDescent="0.25">
      <c r="B239" s="611"/>
      <c r="C239" s="611"/>
      <c r="D239" s="611"/>
      <c r="E239" s="611"/>
      <c r="F239" s="611"/>
      <c r="G239" s="611"/>
      <c r="H239" s="611"/>
      <c r="I239" s="611"/>
      <c r="J239" s="611"/>
      <c r="K239" s="611"/>
      <c r="L239" s="611"/>
      <c r="M239" s="611"/>
      <c r="N239" s="611"/>
      <c r="O239" s="611"/>
    </row>
    <row r="240" spans="1:18" ht="12.75" hidden="1" customHeight="1" x14ac:dyDescent="0.25">
      <c r="B240" s="611"/>
      <c r="C240" s="611"/>
      <c r="D240" s="611"/>
      <c r="E240" s="611"/>
      <c r="F240" s="611"/>
      <c r="G240" s="611"/>
      <c r="H240" s="611"/>
      <c r="I240" s="611"/>
      <c r="J240" s="611"/>
      <c r="K240" s="611"/>
      <c r="L240" s="611"/>
      <c r="M240" s="611"/>
      <c r="N240" s="611"/>
      <c r="O240" s="611"/>
    </row>
    <row r="241" spans="2:15" ht="12.75" hidden="1" customHeight="1" x14ac:dyDescent="0.25">
      <c r="B241" s="611"/>
      <c r="C241" s="611"/>
      <c r="D241" s="611"/>
      <c r="E241" s="611"/>
      <c r="F241" s="611"/>
      <c r="G241" s="611"/>
      <c r="H241" s="611"/>
      <c r="I241" s="611"/>
      <c r="J241" s="611"/>
      <c r="K241" s="611"/>
      <c r="L241" s="611"/>
      <c r="M241" s="611"/>
      <c r="N241" s="611"/>
      <c r="O241" s="611"/>
    </row>
    <row r="242" spans="2:15" ht="12.75" hidden="1" customHeight="1" x14ac:dyDescent="0.25">
      <c r="B242" s="611"/>
      <c r="C242" s="611"/>
      <c r="D242" s="611"/>
      <c r="E242" s="611"/>
      <c r="F242" s="611"/>
      <c r="G242" s="611"/>
      <c r="H242" s="611"/>
      <c r="I242" s="611"/>
      <c r="J242" s="611"/>
      <c r="K242" s="611"/>
      <c r="L242" s="611"/>
      <c r="M242" s="611"/>
      <c r="N242" s="611"/>
      <c r="O242" s="611"/>
    </row>
    <row r="243" spans="2:15" ht="12.75" hidden="1" customHeight="1" x14ac:dyDescent="0.25">
      <c r="B243" s="611"/>
      <c r="C243" s="611"/>
      <c r="D243" s="611"/>
      <c r="E243" s="611"/>
      <c r="F243" s="611"/>
      <c r="G243" s="611"/>
      <c r="H243" s="611"/>
      <c r="I243" s="611"/>
      <c r="J243" s="611"/>
      <c r="K243" s="611"/>
      <c r="L243" s="611"/>
      <c r="M243" s="611"/>
      <c r="N243" s="611"/>
      <c r="O243" s="611"/>
    </row>
    <row r="244" spans="2:15" ht="12.75" hidden="1" customHeight="1" x14ac:dyDescent="0.25">
      <c r="B244" s="611"/>
      <c r="C244" s="611"/>
      <c r="D244" s="611"/>
      <c r="E244" s="611"/>
      <c r="F244" s="611"/>
      <c r="G244" s="611"/>
      <c r="H244" s="611"/>
      <c r="I244" s="611"/>
      <c r="J244" s="611"/>
      <c r="K244" s="611"/>
      <c r="L244" s="611"/>
      <c r="M244" s="611"/>
      <c r="N244" s="611"/>
      <c r="O244" s="611"/>
    </row>
    <row r="245" spans="2:15" ht="12.75" hidden="1" customHeight="1" x14ac:dyDescent="0.25">
      <c r="B245" s="611"/>
      <c r="C245" s="611"/>
      <c r="D245" s="611"/>
      <c r="E245" s="611"/>
      <c r="F245" s="611"/>
      <c r="G245" s="611"/>
      <c r="H245" s="611"/>
      <c r="I245" s="611"/>
      <c r="J245" s="611"/>
      <c r="K245" s="611"/>
      <c r="L245" s="611"/>
      <c r="M245" s="611"/>
      <c r="N245" s="611"/>
      <c r="O245" s="611"/>
    </row>
    <row r="246" spans="2:15" ht="12.75" hidden="1" customHeight="1" x14ac:dyDescent="0.25">
      <c r="B246" s="611"/>
      <c r="C246" s="611"/>
      <c r="D246" s="611"/>
      <c r="E246" s="611"/>
      <c r="F246" s="611"/>
      <c r="G246" s="611"/>
      <c r="H246" s="611"/>
      <c r="I246" s="611"/>
      <c r="J246" s="611"/>
      <c r="K246" s="611"/>
      <c r="L246" s="611"/>
      <c r="M246" s="611"/>
      <c r="N246" s="611"/>
      <c r="O246" s="611"/>
    </row>
    <row r="247" spans="2:15" ht="12.75" hidden="1" customHeight="1" x14ac:dyDescent="0.25">
      <c r="B247" s="611"/>
      <c r="C247" s="611"/>
      <c r="D247" s="611"/>
      <c r="E247" s="611"/>
      <c r="F247" s="611"/>
      <c r="G247" s="611"/>
      <c r="H247" s="611"/>
      <c r="I247" s="611"/>
      <c r="J247" s="611"/>
      <c r="K247" s="611"/>
      <c r="L247" s="611"/>
      <c r="M247" s="611"/>
      <c r="N247" s="611"/>
      <c r="O247" s="611"/>
    </row>
    <row r="248" spans="2:15" ht="12.75" hidden="1" customHeight="1" x14ac:dyDescent="0.25">
      <c r="B248" s="611"/>
      <c r="C248" s="611"/>
      <c r="D248" s="611"/>
      <c r="E248" s="611"/>
      <c r="F248" s="611"/>
      <c r="G248" s="611"/>
      <c r="H248" s="611"/>
      <c r="I248" s="611"/>
      <c r="J248" s="611"/>
      <c r="K248" s="611"/>
      <c r="L248" s="611"/>
      <c r="M248" s="611"/>
      <c r="N248" s="611"/>
      <c r="O248" s="611"/>
    </row>
    <row r="249" spans="2:15" ht="12.75" hidden="1" customHeight="1" x14ac:dyDescent="0.25">
      <c r="B249" s="611"/>
      <c r="C249" s="611"/>
      <c r="D249" s="611"/>
      <c r="E249" s="611"/>
      <c r="F249" s="611"/>
      <c r="G249" s="611"/>
      <c r="H249" s="611"/>
      <c r="I249" s="611"/>
      <c r="J249" s="611"/>
      <c r="K249" s="611"/>
      <c r="L249" s="611"/>
      <c r="M249" s="611"/>
      <c r="N249" s="611"/>
      <c r="O249" s="611"/>
    </row>
    <row r="250" spans="2:15" ht="12.75" hidden="1" customHeight="1" x14ac:dyDescent="0.25">
      <c r="B250" s="611"/>
      <c r="C250" s="611"/>
      <c r="D250" s="611"/>
      <c r="E250" s="611"/>
      <c r="F250" s="611"/>
      <c r="G250" s="611"/>
      <c r="H250" s="611"/>
      <c r="I250" s="611"/>
      <c r="J250" s="611"/>
      <c r="K250" s="611"/>
      <c r="L250" s="611"/>
      <c r="M250" s="611"/>
      <c r="N250" s="611"/>
      <c r="O250" s="611"/>
    </row>
    <row r="251" spans="2:15" ht="12.75" hidden="1" customHeight="1" x14ac:dyDescent="0.25">
      <c r="B251" s="611"/>
      <c r="C251" s="611"/>
      <c r="D251" s="611"/>
      <c r="E251" s="611"/>
      <c r="F251" s="611"/>
      <c r="G251" s="611"/>
      <c r="H251" s="611"/>
      <c r="I251" s="611"/>
      <c r="J251" s="611"/>
      <c r="K251" s="611"/>
      <c r="L251" s="611"/>
      <c r="M251" s="611"/>
      <c r="N251" s="611"/>
      <c r="O251" s="611"/>
    </row>
    <row r="252" spans="2:15" ht="12.75" hidden="1" customHeight="1" x14ac:dyDescent="0.25">
      <c r="B252" s="611"/>
      <c r="C252" s="611"/>
      <c r="D252" s="611"/>
      <c r="E252" s="611"/>
      <c r="F252" s="611"/>
      <c r="G252" s="611"/>
      <c r="H252" s="611"/>
      <c r="I252" s="611"/>
      <c r="J252" s="611"/>
      <c r="K252" s="611"/>
      <c r="L252" s="611"/>
      <c r="M252" s="611"/>
      <c r="N252" s="611"/>
      <c r="O252" s="611"/>
    </row>
    <row r="253" spans="2:15" ht="12.75" hidden="1" customHeight="1" x14ac:dyDescent="0.25">
      <c r="B253" s="611"/>
      <c r="C253" s="611"/>
      <c r="D253" s="611"/>
      <c r="E253" s="611"/>
      <c r="F253" s="611"/>
      <c r="G253" s="611"/>
      <c r="H253" s="611"/>
      <c r="I253" s="611"/>
      <c r="J253" s="611"/>
      <c r="K253" s="611"/>
      <c r="L253" s="611"/>
      <c r="M253" s="611"/>
      <c r="N253" s="611"/>
      <c r="O253" s="611"/>
    </row>
    <row r="254" spans="2:15" ht="12.75" hidden="1" customHeight="1" x14ac:dyDescent="0.25">
      <c r="B254" s="611"/>
      <c r="C254" s="611"/>
      <c r="D254" s="611"/>
      <c r="E254" s="611"/>
      <c r="F254" s="611"/>
      <c r="G254" s="611"/>
      <c r="H254" s="611"/>
      <c r="I254" s="611"/>
      <c r="J254" s="611"/>
      <c r="K254" s="611"/>
      <c r="L254" s="611"/>
      <c r="M254" s="611"/>
      <c r="N254" s="611"/>
      <c r="O254" s="611"/>
    </row>
    <row r="255" spans="2:15" ht="12.75" hidden="1" customHeight="1" x14ac:dyDescent="0.25">
      <c r="B255" s="611"/>
      <c r="C255" s="611"/>
      <c r="D255" s="611"/>
      <c r="E255" s="611"/>
      <c r="F255" s="611"/>
      <c r="G255" s="611"/>
      <c r="H255" s="611"/>
      <c r="I255" s="611"/>
      <c r="J255" s="611"/>
      <c r="K255" s="611"/>
      <c r="L255" s="611"/>
      <c r="M255" s="611"/>
      <c r="N255" s="611"/>
      <c r="O255" s="611"/>
    </row>
    <row r="256" spans="2:15" ht="12.75" hidden="1" customHeight="1" x14ac:dyDescent="0.25">
      <c r="B256" s="611"/>
      <c r="C256" s="611"/>
      <c r="D256" s="611"/>
      <c r="E256" s="611"/>
      <c r="F256" s="611"/>
      <c r="G256" s="611"/>
      <c r="H256" s="611"/>
      <c r="I256" s="611"/>
      <c r="J256" s="611"/>
      <c r="K256" s="611"/>
      <c r="L256" s="611"/>
      <c r="M256" s="611"/>
      <c r="N256" s="611"/>
      <c r="O256" s="611"/>
    </row>
    <row r="257" spans="2:15" ht="12.75" hidden="1" customHeight="1" x14ac:dyDescent="0.25">
      <c r="B257" s="611"/>
      <c r="C257" s="611"/>
      <c r="D257" s="611"/>
      <c r="E257" s="611"/>
      <c r="F257" s="611"/>
      <c r="G257" s="611"/>
      <c r="H257" s="611"/>
      <c r="I257" s="611"/>
      <c r="J257" s="611"/>
      <c r="K257" s="611"/>
      <c r="L257" s="611"/>
      <c r="M257" s="611"/>
      <c r="N257" s="611"/>
      <c r="O257" s="611"/>
    </row>
    <row r="258" spans="2:15" ht="12.75" hidden="1" customHeight="1" x14ac:dyDescent="0.25">
      <c r="B258" s="611"/>
      <c r="C258" s="611"/>
      <c r="D258" s="611"/>
      <c r="E258" s="611"/>
      <c r="F258" s="611"/>
      <c r="G258" s="611"/>
      <c r="H258" s="611"/>
      <c r="I258" s="611"/>
      <c r="J258" s="611"/>
      <c r="K258" s="611"/>
      <c r="L258" s="611"/>
      <c r="M258" s="611"/>
      <c r="N258" s="611"/>
      <c r="O258" s="611"/>
    </row>
    <row r="259" spans="2:15" ht="12.75" hidden="1" customHeight="1" x14ac:dyDescent="0.25">
      <c r="B259" s="611"/>
      <c r="C259" s="611"/>
      <c r="D259" s="611"/>
      <c r="E259" s="611"/>
      <c r="F259" s="611"/>
      <c r="G259" s="611"/>
      <c r="H259" s="611"/>
      <c r="I259" s="611"/>
      <c r="J259" s="611"/>
      <c r="K259" s="611"/>
      <c r="L259" s="611"/>
      <c r="M259" s="611"/>
      <c r="N259" s="611"/>
      <c r="O259" s="611"/>
    </row>
    <row r="260" spans="2:15" ht="12.75" hidden="1" customHeight="1" x14ac:dyDescent="0.25">
      <c r="B260" s="611"/>
      <c r="C260" s="611"/>
      <c r="D260" s="611"/>
      <c r="E260" s="611"/>
      <c r="F260" s="611"/>
      <c r="G260" s="611"/>
      <c r="H260" s="611"/>
      <c r="I260" s="611"/>
      <c r="J260" s="611"/>
      <c r="K260" s="611"/>
      <c r="L260" s="611"/>
      <c r="M260" s="611"/>
      <c r="N260" s="611"/>
      <c r="O260" s="611"/>
    </row>
    <row r="261" spans="2:15" ht="12.75" hidden="1" customHeight="1" x14ac:dyDescent="0.25">
      <c r="B261" s="611"/>
      <c r="C261" s="611"/>
      <c r="D261" s="611"/>
      <c r="E261" s="611"/>
      <c r="F261" s="611"/>
      <c r="G261" s="611"/>
      <c r="H261" s="611"/>
      <c r="I261" s="611"/>
      <c r="J261" s="611"/>
      <c r="K261" s="611"/>
      <c r="L261" s="611"/>
      <c r="M261" s="611"/>
      <c r="N261" s="611"/>
      <c r="O261" s="611"/>
    </row>
    <row r="262" spans="2:15" ht="12.75" hidden="1" customHeight="1" x14ac:dyDescent="0.25">
      <c r="B262" s="611"/>
      <c r="C262" s="611"/>
      <c r="D262" s="611"/>
      <c r="E262" s="611"/>
      <c r="F262" s="611"/>
      <c r="G262" s="611"/>
      <c r="H262" s="611"/>
      <c r="I262" s="611"/>
      <c r="J262" s="611"/>
      <c r="K262" s="611"/>
      <c r="L262" s="611"/>
      <c r="M262" s="611"/>
      <c r="N262" s="611"/>
      <c r="O262" s="611"/>
    </row>
    <row r="263" spans="2:15" ht="12.75" hidden="1" customHeight="1" x14ac:dyDescent="0.25">
      <c r="B263" s="611"/>
      <c r="C263" s="611"/>
      <c r="D263" s="611"/>
      <c r="E263" s="611"/>
      <c r="F263" s="611"/>
      <c r="G263" s="611"/>
      <c r="H263" s="611"/>
      <c r="I263" s="611"/>
      <c r="J263" s="611"/>
      <c r="K263" s="611"/>
      <c r="L263" s="611"/>
      <c r="M263" s="611"/>
      <c r="N263" s="611"/>
      <c r="O263" s="611"/>
    </row>
    <row r="264" spans="2:15" ht="12.75" hidden="1" customHeight="1" x14ac:dyDescent="0.25">
      <c r="B264" s="611"/>
      <c r="C264" s="611"/>
      <c r="D264" s="611"/>
      <c r="E264" s="611"/>
      <c r="F264" s="611"/>
      <c r="G264" s="611"/>
      <c r="H264" s="611"/>
      <c r="I264" s="611"/>
      <c r="J264" s="611"/>
      <c r="K264" s="611"/>
      <c r="L264" s="611"/>
      <c r="M264" s="611"/>
      <c r="N264" s="611"/>
      <c r="O264" s="611"/>
    </row>
    <row r="265" spans="2:15" ht="12.75" hidden="1" customHeight="1" x14ac:dyDescent="0.25">
      <c r="B265" s="611"/>
      <c r="C265" s="611"/>
      <c r="D265" s="611"/>
      <c r="E265" s="611"/>
      <c r="F265" s="611"/>
      <c r="G265" s="611"/>
      <c r="H265" s="611"/>
      <c r="I265" s="611"/>
      <c r="J265" s="611"/>
      <c r="K265" s="611"/>
      <c r="L265" s="611"/>
      <c r="M265" s="611"/>
      <c r="N265" s="611"/>
      <c r="O265" s="611"/>
    </row>
    <row r="266" spans="2:15" ht="12.75" hidden="1" customHeight="1" x14ac:dyDescent="0.25">
      <c r="B266" s="611"/>
      <c r="C266" s="611"/>
      <c r="D266" s="611"/>
      <c r="E266" s="611"/>
      <c r="F266" s="611"/>
      <c r="G266" s="611"/>
      <c r="H266" s="611"/>
      <c r="I266" s="611"/>
      <c r="J266" s="611"/>
      <c r="K266" s="611"/>
      <c r="L266" s="611"/>
      <c r="M266" s="611"/>
      <c r="N266" s="611"/>
      <c r="O266" s="611"/>
    </row>
    <row r="267" spans="2:15" ht="12.75" hidden="1" customHeight="1" x14ac:dyDescent="0.25">
      <c r="B267" s="611"/>
      <c r="C267" s="611"/>
      <c r="D267" s="611"/>
      <c r="E267" s="611"/>
      <c r="F267" s="611"/>
      <c r="G267" s="611"/>
      <c r="H267" s="611"/>
      <c r="I267" s="611"/>
      <c r="J267" s="611"/>
      <c r="K267" s="611"/>
      <c r="L267" s="611"/>
      <c r="M267" s="611"/>
      <c r="N267" s="611"/>
      <c r="O267" s="611"/>
    </row>
    <row r="268" spans="2:15" ht="12.75" hidden="1" customHeight="1" x14ac:dyDescent="0.25">
      <c r="B268" s="611"/>
      <c r="C268" s="611"/>
      <c r="D268" s="611"/>
      <c r="E268" s="611"/>
      <c r="F268" s="611"/>
      <c r="G268" s="611"/>
      <c r="H268" s="611"/>
      <c r="I268" s="611"/>
      <c r="J268" s="611"/>
      <c r="K268" s="611"/>
      <c r="L268" s="611"/>
      <c r="M268" s="611"/>
      <c r="N268" s="611"/>
      <c r="O268" s="611"/>
    </row>
    <row r="269" spans="2:15" ht="12.75" hidden="1" customHeight="1" x14ac:dyDescent="0.25">
      <c r="B269" s="611"/>
      <c r="C269" s="611"/>
      <c r="D269" s="611"/>
      <c r="E269" s="611"/>
      <c r="F269" s="611"/>
      <c r="G269" s="611"/>
      <c r="H269" s="611"/>
      <c r="I269" s="611"/>
      <c r="J269" s="611"/>
      <c r="K269" s="611"/>
      <c r="L269" s="611"/>
      <c r="M269" s="611"/>
      <c r="N269" s="611"/>
      <c r="O269" s="611"/>
    </row>
    <row r="270" spans="2:15" ht="12.75" hidden="1" customHeight="1" x14ac:dyDescent="0.25">
      <c r="B270" s="611"/>
      <c r="C270" s="611"/>
      <c r="D270" s="611"/>
      <c r="E270" s="611"/>
      <c r="F270" s="611"/>
      <c r="G270" s="611"/>
      <c r="H270" s="611"/>
      <c r="I270" s="611"/>
      <c r="J270" s="611"/>
      <c r="K270" s="611"/>
      <c r="L270" s="611"/>
      <c r="M270" s="611"/>
      <c r="N270" s="611"/>
      <c r="O270" s="611"/>
    </row>
    <row r="271" spans="2:15" ht="12.75" hidden="1" customHeight="1" x14ac:dyDescent="0.25">
      <c r="B271" s="611"/>
      <c r="C271" s="611"/>
      <c r="D271" s="611"/>
      <c r="E271" s="611"/>
      <c r="F271" s="611"/>
      <c r="G271" s="611"/>
      <c r="H271" s="611"/>
      <c r="I271" s="611"/>
      <c r="J271" s="611"/>
      <c r="K271" s="611"/>
      <c r="L271" s="611"/>
      <c r="M271" s="611"/>
      <c r="N271" s="611"/>
      <c r="O271" s="611"/>
    </row>
    <row r="272" spans="2:15" ht="12.75" hidden="1" customHeight="1" x14ac:dyDescent="0.25">
      <c r="B272" s="611"/>
      <c r="C272" s="611"/>
      <c r="D272" s="611"/>
      <c r="E272" s="611"/>
      <c r="F272" s="611"/>
      <c r="G272" s="611"/>
      <c r="H272" s="611"/>
      <c r="I272" s="611"/>
      <c r="J272" s="611"/>
      <c r="K272" s="611"/>
      <c r="L272" s="611"/>
      <c r="M272" s="611"/>
      <c r="N272" s="611"/>
      <c r="O272" s="611"/>
    </row>
    <row r="273" spans="2:15" ht="12.75" hidden="1" customHeight="1" x14ac:dyDescent="0.25">
      <c r="B273" s="611"/>
      <c r="C273" s="611"/>
      <c r="D273" s="611"/>
      <c r="E273" s="611"/>
      <c r="F273" s="611"/>
      <c r="G273" s="611"/>
      <c r="H273" s="611"/>
      <c r="I273" s="611"/>
      <c r="J273" s="611"/>
      <c r="K273" s="611"/>
      <c r="L273" s="611"/>
      <c r="M273" s="611"/>
      <c r="N273" s="611"/>
      <c r="O273" s="611"/>
    </row>
    <row r="274" spans="2:15" ht="12.75" hidden="1" customHeight="1" x14ac:dyDescent="0.25">
      <c r="B274" s="611"/>
      <c r="C274" s="611"/>
      <c r="D274" s="611"/>
      <c r="E274" s="611"/>
      <c r="F274" s="611"/>
      <c r="G274" s="611"/>
      <c r="H274" s="611"/>
      <c r="I274" s="611"/>
      <c r="J274" s="611"/>
      <c r="K274" s="611"/>
      <c r="L274" s="611"/>
      <c r="M274" s="611"/>
      <c r="N274" s="611"/>
      <c r="O274" s="611"/>
    </row>
    <row r="275" spans="2:15" ht="12.75" hidden="1" customHeight="1" x14ac:dyDescent="0.25">
      <c r="B275" s="611"/>
      <c r="C275" s="611"/>
      <c r="D275" s="611"/>
      <c r="E275" s="611"/>
      <c r="F275" s="611"/>
      <c r="G275" s="611"/>
      <c r="H275" s="611"/>
      <c r="I275" s="611"/>
      <c r="J275" s="611"/>
      <c r="K275" s="611"/>
      <c r="L275" s="611"/>
      <c r="M275" s="611"/>
      <c r="N275" s="611"/>
      <c r="O275" s="611"/>
    </row>
    <row r="276" spans="2:15" ht="12.75" hidden="1" customHeight="1" x14ac:dyDescent="0.25">
      <c r="B276" s="611"/>
      <c r="C276" s="611"/>
      <c r="D276" s="611"/>
      <c r="E276" s="611"/>
      <c r="F276" s="611"/>
      <c r="G276" s="611"/>
      <c r="H276" s="611"/>
      <c r="I276" s="611"/>
      <c r="J276" s="611"/>
      <c r="K276" s="611"/>
      <c r="L276" s="611"/>
      <c r="M276" s="611"/>
      <c r="N276" s="611"/>
      <c r="O276" s="611"/>
    </row>
    <row r="277" spans="2:15" ht="12.75" hidden="1" customHeight="1" x14ac:dyDescent="0.25">
      <c r="B277" s="611"/>
      <c r="C277" s="611"/>
      <c r="D277" s="611"/>
      <c r="E277" s="611"/>
      <c r="F277" s="611"/>
      <c r="G277" s="611"/>
      <c r="H277" s="611"/>
      <c r="I277" s="611"/>
      <c r="J277" s="611"/>
      <c r="K277" s="611"/>
      <c r="L277" s="611"/>
      <c r="M277" s="611"/>
      <c r="N277" s="611"/>
      <c r="O277" s="611"/>
    </row>
    <row r="278" spans="2:15" ht="12.75" hidden="1" customHeight="1" x14ac:dyDescent="0.25">
      <c r="B278" s="611"/>
      <c r="C278" s="611"/>
      <c r="D278" s="611"/>
      <c r="E278" s="611"/>
      <c r="F278" s="611"/>
      <c r="G278" s="611"/>
      <c r="H278" s="611"/>
      <c r="I278" s="611"/>
      <c r="J278" s="611"/>
      <c r="K278" s="611"/>
      <c r="L278" s="611"/>
      <c r="M278" s="611"/>
      <c r="N278" s="611"/>
      <c r="O278" s="611"/>
    </row>
    <row r="279" spans="2:15" ht="12.75" hidden="1" customHeight="1" x14ac:dyDescent="0.25">
      <c r="B279" s="611"/>
      <c r="C279" s="611"/>
      <c r="D279" s="611"/>
      <c r="E279" s="611"/>
      <c r="F279" s="611"/>
      <c r="G279" s="611"/>
      <c r="H279" s="611"/>
      <c r="I279" s="611"/>
      <c r="J279" s="611"/>
      <c r="K279" s="611"/>
      <c r="L279" s="611"/>
      <c r="M279" s="611"/>
      <c r="N279" s="611"/>
      <c r="O279" s="611"/>
    </row>
    <row r="280" spans="2:15" ht="12.75" hidden="1" customHeight="1" x14ac:dyDescent="0.25">
      <c r="B280" s="611"/>
      <c r="C280" s="611"/>
      <c r="D280" s="611"/>
      <c r="E280" s="611"/>
      <c r="F280" s="611"/>
      <c r="G280" s="611"/>
      <c r="H280" s="611"/>
      <c r="I280" s="611"/>
      <c r="J280" s="611"/>
      <c r="K280" s="611"/>
      <c r="L280" s="611"/>
      <c r="M280" s="611"/>
      <c r="N280" s="611"/>
      <c r="O280" s="611"/>
    </row>
    <row r="281" spans="2:15" ht="12.75" hidden="1" customHeight="1" x14ac:dyDescent="0.25">
      <c r="B281" s="611"/>
      <c r="C281" s="611"/>
      <c r="D281" s="611"/>
      <c r="E281" s="611"/>
      <c r="F281" s="611"/>
      <c r="G281" s="611"/>
      <c r="H281" s="611"/>
      <c r="I281" s="611"/>
      <c r="J281" s="611"/>
      <c r="K281" s="611"/>
      <c r="L281" s="611"/>
      <c r="M281" s="611"/>
      <c r="N281" s="611"/>
      <c r="O281" s="611"/>
    </row>
    <row r="282" spans="2:15" ht="12.75" hidden="1" customHeight="1" x14ac:dyDescent="0.25">
      <c r="B282" s="611"/>
      <c r="C282" s="611"/>
      <c r="D282" s="611"/>
      <c r="E282" s="611"/>
      <c r="F282" s="611"/>
      <c r="G282" s="611"/>
      <c r="H282" s="611"/>
      <c r="I282" s="611"/>
      <c r="J282" s="611"/>
      <c r="K282" s="611"/>
      <c r="L282" s="611"/>
      <c r="M282" s="611"/>
      <c r="N282" s="611"/>
      <c r="O282" s="611"/>
    </row>
    <row r="283" spans="2:15" ht="12.75" hidden="1" customHeight="1" x14ac:dyDescent="0.25">
      <c r="B283" s="611"/>
      <c r="C283" s="611"/>
      <c r="D283" s="611"/>
      <c r="E283" s="611"/>
      <c r="F283" s="611"/>
      <c r="G283" s="611"/>
      <c r="H283" s="611"/>
      <c r="I283" s="611"/>
      <c r="J283" s="611"/>
      <c r="K283" s="611"/>
      <c r="L283" s="611"/>
      <c r="M283" s="611"/>
      <c r="N283" s="611"/>
      <c r="O283" s="611"/>
    </row>
    <row r="284" spans="2:15" ht="12.75" hidden="1" customHeight="1" x14ac:dyDescent="0.25">
      <c r="B284" s="611"/>
      <c r="C284" s="611"/>
      <c r="D284" s="611"/>
      <c r="E284" s="611"/>
      <c r="F284" s="611"/>
      <c r="G284" s="611"/>
      <c r="H284" s="611"/>
      <c r="I284" s="611"/>
      <c r="J284" s="611"/>
      <c r="K284" s="611"/>
      <c r="L284" s="611"/>
      <c r="M284" s="611"/>
      <c r="N284" s="611"/>
      <c r="O284" s="611"/>
    </row>
    <row r="285" spans="2:15" ht="12.75" hidden="1" customHeight="1" x14ac:dyDescent="0.25">
      <c r="B285" s="611"/>
      <c r="C285" s="611"/>
      <c r="D285" s="611"/>
      <c r="E285" s="611"/>
      <c r="F285" s="611"/>
      <c r="G285" s="611"/>
      <c r="H285" s="611"/>
      <c r="I285" s="611"/>
      <c r="J285" s="611"/>
      <c r="K285" s="611"/>
      <c r="L285" s="611"/>
      <c r="M285" s="611"/>
      <c r="N285" s="611"/>
      <c r="O285" s="611"/>
    </row>
    <row r="286" spans="2:15" ht="12.75" hidden="1" customHeight="1" x14ac:dyDescent="0.25">
      <c r="B286" s="611"/>
      <c r="C286" s="611"/>
      <c r="D286" s="611"/>
      <c r="E286" s="611"/>
      <c r="F286" s="611"/>
      <c r="G286" s="611"/>
      <c r="H286" s="611"/>
      <c r="I286" s="611"/>
      <c r="J286" s="611"/>
      <c r="K286" s="611"/>
      <c r="L286" s="611"/>
      <c r="M286" s="611"/>
      <c r="N286" s="611"/>
      <c r="O286" s="611"/>
    </row>
    <row r="287" spans="2:15" ht="12.75" hidden="1" customHeight="1" x14ac:dyDescent="0.25">
      <c r="B287" s="611"/>
      <c r="C287" s="611"/>
      <c r="D287" s="611"/>
      <c r="E287" s="611"/>
      <c r="F287" s="611"/>
      <c r="G287" s="611"/>
      <c r="H287" s="611"/>
      <c r="I287" s="611"/>
      <c r="J287" s="611"/>
      <c r="K287" s="611"/>
      <c r="L287" s="611"/>
      <c r="M287" s="611"/>
      <c r="N287" s="611"/>
      <c r="O287" s="611"/>
    </row>
    <row r="288" spans="2:15" ht="12.75" hidden="1" customHeight="1" x14ac:dyDescent="0.25">
      <c r="B288" s="611"/>
      <c r="C288" s="611"/>
      <c r="D288" s="611"/>
      <c r="E288" s="611"/>
      <c r="F288" s="611"/>
      <c r="G288" s="611"/>
      <c r="H288" s="611"/>
      <c r="I288" s="611"/>
      <c r="J288" s="611"/>
      <c r="K288" s="611"/>
      <c r="L288" s="611"/>
      <c r="M288" s="611"/>
      <c r="N288" s="611"/>
      <c r="O288" s="611"/>
    </row>
    <row r="289" spans="2:15" ht="12.75" hidden="1" customHeight="1" x14ac:dyDescent="0.25">
      <c r="B289" s="611"/>
      <c r="C289" s="611"/>
      <c r="D289" s="611"/>
      <c r="E289" s="611"/>
      <c r="F289" s="611"/>
      <c r="G289" s="611"/>
      <c r="H289" s="611"/>
      <c r="I289" s="611"/>
      <c r="J289" s="611"/>
      <c r="K289" s="611"/>
      <c r="L289" s="611"/>
      <c r="M289" s="611"/>
      <c r="N289" s="611"/>
      <c r="O289" s="611"/>
    </row>
    <row r="290" spans="2:15" ht="12.75" hidden="1" customHeight="1" x14ac:dyDescent="0.25">
      <c r="B290" s="611"/>
      <c r="C290" s="611"/>
      <c r="D290" s="611"/>
      <c r="E290" s="611"/>
      <c r="F290" s="611"/>
      <c r="G290" s="611"/>
      <c r="H290" s="611"/>
      <c r="I290" s="611"/>
      <c r="J290" s="611"/>
      <c r="K290" s="611"/>
      <c r="L290" s="611"/>
      <c r="M290" s="611"/>
      <c r="N290" s="611"/>
      <c r="O290" s="611"/>
    </row>
    <row r="291" spans="2:15" ht="12.75" hidden="1" customHeight="1" x14ac:dyDescent="0.25">
      <c r="B291" s="611"/>
      <c r="C291" s="611"/>
      <c r="D291" s="611"/>
      <c r="E291" s="611"/>
      <c r="F291" s="611"/>
      <c r="G291" s="611"/>
      <c r="H291" s="611"/>
      <c r="I291" s="611"/>
      <c r="J291" s="611"/>
      <c r="K291" s="611"/>
      <c r="L291" s="611"/>
      <c r="M291" s="611"/>
      <c r="N291" s="611"/>
      <c r="O291" s="611"/>
    </row>
    <row r="292" spans="2:15" ht="12.75" hidden="1" customHeight="1" x14ac:dyDescent="0.25">
      <c r="B292" s="611"/>
      <c r="C292" s="611"/>
      <c r="D292" s="611"/>
      <c r="E292" s="611"/>
      <c r="F292" s="611"/>
      <c r="G292" s="611"/>
      <c r="H292" s="611"/>
      <c r="I292" s="611"/>
      <c r="J292" s="611"/>
      <c r="K292" s="611"/>
      <c r="L292" s="611"/>
      <c r="M292" s="611"/>
      <c r="N292" s="611"/>
      <c r="O292" s="611"/>
    </row>
    <row r="293" spans="2:15" ht="12.75" hidden="1" customHeight="1" x14ac:dyDescent="0.25">
      <c r="B293" s="611"/>
      <c r="C293" s="611"/>
      <c r="D293" s="611"/>
      <c r="E293" s="611"/>
      <c r="F293" s="611"/>
      <c r="G293" s="611"/>
      <c r="H293" s="611"/>
      <c r="I293" s="611"/>
      <c r="J293" s="611"/>
      <c r="K293" s="611"/>
      <c r="L293" s="611"/>
      <c r="M293" s="611"/>
      <c r="N293" s="611"/>
      <c r="O293" s="611"/>
    </row>
    <row r="294" spans="2:15" ht="12.75" hidden="1" customHeight="1" x14ac:dyDescent="0.25">
      <c r="B294" s="611"/>
      <c r="C294" s="611"/>
      <c r="D294" s="611"/>
      <c r="E294" s="611"/>
      <c r="F294" s="611"/>
      <c r="G294" s="611"/>
      <c r="H294" s="611"/>
      <c r="I294" s="611"/>
      <c r="J294" s="611"/>
      <c r="K294" s="611"/>
      <c r="L294" s="611"/>
      <c r="M294" s="611"/>
      <c r="N294" s="611"/>
      <c r="O294" s="611"/>
    </row>
    <row r="295" spans="2:15" ht="12.75" hidden="1" customHeight="1" x14ac:dyDescent="0.25">
      <c r="B295" s="611"/>
      <c r="C295" s="611"/>
      <c r="D295" s="611"/>
      <c r="E295" s="611"/>
      <c r="F295" s="611"/>
      <c r="G295" s="611"/>
      <c r="H295" s="611"/>
      <c r="I295" s="611"/>
      <c r="J295" s="611"/>
      <c r="K295" s="611"/>
      <c r="L295" s="611"/>
      <c r="M295" s="611"/>
      <c r="N295" s="611"/>
      <c r="O295" s="611"/>
    </row>
    <row r="296" spans="2:15" ht="12.75" hidden="1" customHeight="1" x14ac:dyDescent="0.25">
      <c r="B296" s="611"/>
      <c r="C296" s="611"/>
      <c r="D296" s="611"/>
      <c r="E296" s="611"/>
      <c r="F296" s="611"/>
      <c r="G296" s="611"/>
      <c r="H296" s="611"/>
      <c r="I296" s="611"/>
      <c r="J296" s="611"/>
      <c r="K296" s="611"/>
      <c r="L296" s="611"/>
      <c r="M296" s="611"/>
      <c r="N296" s="611"/>
      <c r="O296" s="611"/>
    </row>
    <row r="297" spans="2:15" ht="12.75" hidden="1" customHeight="1" x14ac:dyDescent="0.25">
      <c r="B297" s="611"/>
      <c r="C297" s="611"/>
      <c r="D297" s="611"/>
      <c r="E297" s="611"/>
      <c r="F297" s="611"/>
      <c r="G297" s="611"/>
      <c r="H297" s="611"/>
      <c r="I297" s="611"/>
      <c r="J297" s="611"/>
      <c r="K297" s="611"/>
      <c r="L297" s="611"/>
      <c r="M297" s="611"/>
      <c r="N297" s="611"/>
      <c r="O297" s="611"/>
    </row>
    <row r="298" spans="2:15" ht="12.75" hidden="1" customHeight="1" x14ac:dyDescent="0.25">
      <c r="B298" s="611"/>
      <c r="C298" s="611"/>
      <c r="D298" s="611"/>
      <c r="E298" s="611"/>
      <c r="F298" s="611"/>
      <c r="G298" s="611"/>
      <c r="H298" s="611"/>
      <c r="I298" s="611"/>
      <c r="J298" s="611"/>
      <c r="K298" s="611"/>
      <c r="L298" s="611"/>
      <c r="M298" s="611"/>
      <c r="N298" s="611"/>
      <c r="O298" s="611"/>
    </row>
    <row r="299" spans="2:15" ht="12.75" hidden="1" customHeight="1" x14ac:dyDescent="0.25">
      <c r="B299" s="611"/>
      <c r="C299" s="611"/>
      <c r="D299" s="611"/>
      <c r="E299" s="611"/>
      <c r="F299" s="611"/>
      <c r="G299" s="611"/>
      <c r="H299" s="611"/>
      <c r="I299" s="611"/>
      <c r="J299" s="611"/>
      <c r="K299" s="611"/>
      <c r="L299" s="611"/>
      <c r="M299" s="611"/>
      <c r="N299" s="611"/>
      <c r="O299" s="611"/>
    </row>
    <row r="300" spans="2:15" ht="12.75" hidden="1" customHeight="1" x14ac:dyDescent="0.25">
      <c r="B300" s="611"/>
      <c r="C300" s="611"/>
      <c r="D300" s="611"/>
      <c r="E300" s="611"/>
      <c r="F300" s="611"/>
      <c r="G300" s="611"/>
      <c r="H300" s="611"/>
      <c r="I300" s="611"/>
      <c r="J300" s="611"/>
      <c r="K300" s="611"/>
      <c r="L300" s="611"/>
      <c r="M300" s="611"/>
      <c r="N300" s="611"/>
      <c r="O300" s="611"/>
    </row>
    <row r="301" spans="2:15" ht="12.75" hidden="1" customHeight="1" x14ac:dyDescent="0.25">
      <c r="B301" s="611"/>
      <c r="C301" s="611"/>
      <c r="D301" s="611"/>
      <c r="E301" s="611"/>
      <c r="F301" s="611"/>
      <c r="G301" s="611"/>
      <c r="H301" s="611"/>
      <c r="I301" s="611"/>
      <c r="J301" s="611"/>
      <c r="K301" s="611"/>
      <c r="L301" s="611"/>
      <c r="M301" s="611"/>
      <c r="N301" s="611"/>
      <c r="O301" s="611"/>
    </row>
    <row r="302" spans="2:15" ht="12.75" hidden="1" customHeight="1" x14ac:dyDescent="0.25">
      <c r="B302" s="611"/>
      <c r="C302" s="611"/>
      <c r="D302" s="611"/>
      <c r="E302" s="611"/>
      <c r="F302" s="611"/>
      <c r="G302" s="611"/>
      <c r="H302" s="611"/>
      <c r="I302" s="611"/>
      <c r="J302" s="611"/>
      <c r="K302" s="611"/>
      <c r="L302" s="611"/>
      <c r="M302" s="611"/>
      <c r="N302" s="611"/>
      <c r="O302" s="611"/>
    </row>
    <row r="303" spans="2:15" ht="12.75" hidden="1" customHeight="1" x14ac:dyDescent="0.25">
      <c r="B303" s="611"/>
      <c r="C303" s="611"/>
      <c r="D303" s="611"/>
      <c r="E303" s="611"/>
      <c r="F303" s="611"/>
      <c r="G303" s="611"/>
      <c r="H303" s="611"/>
      <c r="I303" s="611"/>
      <c r="J303" s="611"/>
      <c r="K303" s="611"/>
      <c r="L303" s="611"/>
      <c r="M303" s="611"/>
      <c r="N303" s="611"/>
      <c r="O303" s="611"/>
    </row>
    <row r="304" spans="2:15" ht="12.75" hidden="1" customHeight="1" x14ac:dyDescent="0.25">
      <c r="B304" s="611"/>
      <c r="C304" s="611"/>
      <c r="D304" s="611"/>
      <c r="E304" s="611"/>
      <c r="F304" s="611"/>
      <c r="G304" s="611"/>
      <c r="H304" s="611"/>
      <c r="I304" s="611"/>
      <c r="J304" s="611"/>
      <c r="K304" s="611"/>
      <c r="L304" s="611"/>
      <c r="M304" s="611"/>
      <c r="N304" s="611"/>
      <c r="O304" s="611"/>
    </row>
    <row r="305" spans="1:18" ht="12.75" hidden="1" customHeight="1" x14ac:dyDescent="0.25">
      <c r="B305" s="611"/>
      <c r="C305" s="611"/>
      <c r="D305" s="611"/>
      <c r="E305" s="611"/>
      <c r="F305" s="611"/>
      <c r="G305" s="611"/>
      <c r="H305" s="611"/>
      <c r="I305" s="611"/>
      <c r="J305" s="611"/>
      <c r="K305" s="611"/>
      <c r="L305" s="611"/>
      <c r="M305" s="611"/>
      <c r="N305" s="611"/>
      <c r="O305" s="611"/>
    </row>
    <row r="306" spans="1:18" ht="12.75" hidden="1" customHeight="1" x14ac:dyDescent="0.25">
      <c r="B306" s="611"/>
      <c r="C306" s="611"/>
      <c r="D306" s="611"/>
      <c r="E306" s="611"/>
      <c r="F306" s="611"/>
      <c r="G306" s="611"/>
      <c r="H306" s="611"/>
      <c r="I306" s="611"/>
      <c r="J306" s="611"/>
      <c r="K306" s="611"/>
      <c r="L306" s="611"/>
      <c r="M306" s="611"/>
      <c r="N306" s="611"/>
      <c r="O306" s="611"/>
    </row>
    <row r="307" spans="1:18" ht="12.75" hidden="1" customHeight="1" x14ac:dyDescent="0.25">
      <c r="B307" s="611"/>
      <c r="C307" s="611"/>
      <c r="D307" s="611"/>
      <c r="E307" s="611"/>
      <c r="F307" s="611"/>
      <c r="G307" s="611"/>
      <c r="H307" s="611"/>
      <c r="I307" s="611"/>
      <c r="J307" s="611"/>
      <c r="K307" s="611"/>
      <c r="L307" s="611"/>
      <c r="M307" s="611"/>
      <c r="N307" s="611"/>
      <c r="O307" s="611"/>
    </row>
    <row r="308" spans="1:18" ht="12.75" hidden="1" customHeight="1" x14ac:dyDescent="0.25">
      <c r="B308" s="611"/>
      <c r="C308" s="611"/>
      <c r="D308" s="611"/>
      <c r="E308" s="611"/>
      <c r="F308" s="611"/>
      <c r="G308" s="611"/>
      <c r="H308" s="611"/>
      <c r="I308" s="611"/>
      <c r="J308" s="611"/>
      <c r="K308" s="611"/>
      <c r="L308" s="611"/>
      <c r="M308" s="611"/>
      <c r="N308" s="611"/>
      <c r="O308" s="611"/>
    </row>
    <row r="309" spans="1:18" ht="12.75" hidden="1" customHeight="1" x14ac:dyDescent="0.25">
      <c r="B309" s="611"/>
      <c r="C309" s="611"/>
      <c r="D309" s="611"/>
      <c r="E309" s="611"/>
      <c r="F309" s="611"/>
      <c r="G309" s="611"/>
      <c r="H309" s="611"/>
      <c r="I309" s="611"/>
      <c r="J309" s="611"/>
      <c r="K309" s="611"/>
      <c r="L309" s="611"/>
      <c r="M309" s="611"/>
      <c r="N309" s="611"/>
      <c r="O309" s="611"/>
    </row>
    <row r="310" spans="1:18" ht="12.75" hidden="1" customHeight="1" x14ac:dyDescent="0.25">
      <c r="B310" s="611"/>
      <c r="C310" s="611"/>
      <c r="D310" s="611"/>
      <c r="E310" s="611"/>
      <c r="F310" s="611"/>
      <c r="G310" s="611"/>
      <c r="H310" s="611"/>
      <c r="I310" s="611"/>
      <c r="J310" s="611"/>
      <c r="K310" s="611"/>
      <c r="L310" s="611"/>
      <c r="M310" s="611"/>
      <c r="N310" s="611"/>
      <c r="O310" s="611"/>
    </row>
    <row r="311" spans="1:18" ht="12.75" customHeight="1" x14ac:dyDescent="0.25">
      <c r="B311" s="611"/>
      <c r="C311" s="611"/>
      <c r="D311" s="611"/>
      <c r="E311" s="611"/>
      <c r="F311" s="611"/>
      <c r="G311" s="611"/>
      <c r="H311" s="611"/>
      <c r="I311" s="611"/>
      <c r="J311" s="611"/>
      <c r="K311" s="611"/>
      <c r="L311" s="611"/>
      <c r="M311" s="611"/>
      <c r="N311" s="611"/>
      <c r="O311" s="611"/>
    </row>
    <row r="312" spans="1:18" ht="12.75" customHeight="1" x14ac:dyDescent="0.25">
      <c r="A312" s="770" t="s">
        <v>2</v>
      </c>
      <c r="B312" s="769" t="s">
        <v>132</v>
      </c>
      <c r="C312" s="623" t="s">
        <v>70</v>
      </c>
      <c r="D312" s="623">
        <f>D236-P236</f>
        <v>-21288908.57</v>
      </c>
      <c r="E312" s="623">
        <f>E232+E226+E220</f>
        <v>-1473845.22</v>
      </c>
      <c r="F312" s="623">
        <f t="shared" ref="F312:R312" si="8">F232+F226+F220</f>
        <v>-784582.46</v>
      </c>
      <c r="G312" s="623">
        <f t="shared" si="8"/>
        <v>-397506.78</v>
      </c>
      <c r="H312" s="623">
        <f t="shared" si="8"/>
        <v>-4443538.74</v>
      </c>
      <c r="I312" s="623">
        <f t="shared" si="8"/>
        <v>-161181.95000000001</v>
      </c>
      <c r="J312" s="623">
        <f t="shared" si="8"/>
        <v>-1416285.5499999998</v>
      </c>
      <c r="K312" s="623">
        <f t="shared" si="8"/>
        <v>-1435467.4500000002</v>
      </c>
      <c r="L312" s="623">
        <f t="shared" si="8"/>
        <v>-7076059.7800000003</v>
      </c>
      <c r="M312" s="623">
        <f t="shared" si="8"/>
        <v>-4014442.49</v>
      </c>
      <c r="N312" s="623">
        <f t="shared" si="8"/>
        <v>-262349.87</v>
      </c>
      <c r="O312" s="623">
        <f t="shared" si="8"/>
        <v>123.13</v>
      </c>
      <c r="P312" s="623">
        <f t="shared" si="8"/>
        <v>0</v>
      </c>
      <c r="Q312" s="623">
        <f t="shared" si="8"/>
        <v>0</v>
      </c>
      <c r="R312" s="623">
        <f t="shared" si="8"/>
        <v>1.27</v>
      </c>
    </row>
    <row r="313" spans="1:18" ht="12.75" customHeight="1" x14ac:dyDescent="0.25">
      <c r="A313" s="770"/>
      <c r="B313" s="769"/>
      <c r="C313" s="623" t="s">
        <v>73</v>
      </c>
      <c r="D313" s="623">
        <f>D234+D228+D222</f>
        <v>176227.31999999995</v>
      </c>
      <c r="E313" s="611"/>
      <c r="F313" s="611"/>
      <c r="G313" s="611"/>
      <c r="H313" s="611"/>
      <c r="I313" s="611"/>
      <c r="J313" s="611"/>
      <c r="K313" s="611"/>
      <c r="L313" s="611"/>
      <c r="M313" s="611"/>
      <c r="N313" s="611"/>
      <c r="O313" s="611"/>
      <c r="P313" s="611"/>
      <c r="Q313" s="611"/>
      <c r="R313" s="611"/>
    </row>
    <row r="314" spans="1:18" ht="12.75" customHeight="1" x14ac:dyDescent="0.3">
      <c r="A314" s="610"/>
      <c r="D314" s="611"/>
      <c r="E314" s="611"/>
      <c r="F314" s="611"/>
      <c r="G314" s="611"/>
      <c r="H314" s="611"/>
      <c r="I314" s="611"/>
      <c r="J314" s="611"/>
      <c r="K314" s="611"/>
      <c r="L314" s="611"/>
      <c r="M314" s="611"/>
      <c r="N314" s="611"/>
      <c r="O314" s="611"/>
      <c r="P314" s="611"/>
      <c r="Q314" s="611"/>
      <c r="R314" s="611"/>
    </row>
    <row r="315" spans="1:18" ht="12.75" customHeight="1" x14ac:dyDescent="0.25">
      <c r="A315" s="770" t="s">
        <v>160</v>
      </c>
      <c r="B315" s="769" t="s">
        <v>132</v>
      </c>
      <c r="C315" s="625" t="s">
        <v>70</v>
      </c>
      <c r="D315" s="625">
        <f>D229-P229</f>
        <v>-464370</v>
      </c>
      <c r="E315" s="625">
        <f>E226</f>
        <v>-25760.42</v>
      </c>
      <c r="F315" s="625">
        <f t="shared" ref="F315:R315" si="9">F226</f>
        <v>-13611.05</v>
      </c>
      <c r="G315" s="625">
        <f t="shared" si="9"/>
        <v>-7923.11</v>
      </c>
      <c r="H315" s="625">
        <f t="shared" si="9"/>
        <v>-71086.67</v>
      </c>
      <c r="I315" s="625">
        <f t="shared" si="9"/>
        <v>-1946.53</v>
      </c>
      <c r="J315" s="625">
        <f t="shared" si="9"/>
        <v>-17075.03</v>
      </c>
      <c r="K315" s="625">
        <f t="shared" si="9"/>
        <v>-22908.01</v>
      </c>
      <c r="L315" s="625">
        <f t="shared" si="9"/>
        <v>-135389.70000000001</v>
      </c>
      <c r="M315" s="625">
        <f t="shared" si="9"/>
        <v>-69019.990000000005</v>
      </c>
      <c r="N315" s="625">
        <f t="shared" si="9"/>
        <v>-3175.94</v>
      </c>
      <c r="O315" s="625">
        <f t="shared" si="9"/>
        <v>7.76</v>
      </c>
      <c r="P315" s="625">
        <f t="shared" si="9"/>
        <v>0</v>
      </c>
      <c r="Q315" s="625">
        <f t="shared" si="9"/>
        <v>0</v>
      </c>
      <c r="R315" s="625">
        <f t="shared" si="9"/>
        <v>0</v>
      </c>
    </row>
    <row r="316" spans="1:18" ht="12.75" customHeight="1" x14ac:dyDescent="0.25">
      <c r="A316" s="770"/>
      <c r="B316" s="769"/>
      <c r="C316" s="625" t="s">
        <v>73</v>
      </c>
      <c r="D316" s="711">
        <f>D228</f>
        <v>-96481.31</v>
      </c>
      <c r="E316" s="611"/>
      <c r="F316" s="611"/>
      <c r="G316" s="611"/>
      <c r="H316" s="611"/>
      <c r="I316" s="611"/>
      <c r="J316" s="611"/>
      <c r="K316" s="611"/>
      <c r="L316" s="611"/>
      <c r="M316" s="611"/>
      <c r="N316" s="611"/>
      <c r="O316" s="611"/>
      <c r="P316" s="611"/>
      <c r="Q316" s="611"/>
      <c r="R316" s="611"/>
    </row>
    <row r="317" spans="1:18" ht="12.75" customHeight="1" x14ac:dyDescent="0.3">
      <c r="A317" s="610"/>
      <c r="D317" s="611"/>
      <c r="E317" s="611"/>
      <c r="F317" s="611"/>
      <c r="G317" s="611"/>
      <c r="H317" s="611"/>
      <c r="I317" s="611"/>
      <c r="J317" s="611"/>
      <c r="K317" s="611"/>
      <c r="L317" s="611"/>
      <c r="M317" s="611"/>
      <c r="N317" s="611"/>
      <c r="O317" s="611"/>
      <c r="P317" s="611"/>
      <c r="Q317" s="611"/>
      <c r="R317" s="611"/>
    </row>
    <row r="318" spans="1:18" ht="12.75" customHeight="1" x14ac:dyDescent="0.25">
      <c r="A318" s="770" t="s">
        <v>155</v>
      </c>
      <c r="B318" s="769" t="s">
        <v>132</v>
      </c>
      <c r="C318" s="626" t="s">
        <v>70</v>
      </c>
      <c r="D318" s="626">
        <f>D223-P223</f>
        <v>-15968186.609999999</v>
      </c>
      <c r="E318" s="626">
        <f>E220</f>
        <v>-1015229.1</v>
      </c>
      <c r="F318" s="626">
        <f t="shared" ref="F318:R318" si="10">F220</f>
        <v>-561150.68999999994</v>
      </c>
      <c r="G318" s="626">
        <f t="shared" si="10"/>
        <v>-290114.83</v>
      </c>
      <c r="H318" s="626">
        <f t="shared" si="10"/>
        <v>-3325427.6</v>
      </c>
      <c r="I318" s="626">
        <f t="shared" si="10"/>
        <v>-121772.32</v>
      </c>
      <c r="J318" s="626">
        <f t="shared" si="10"/>
        <v>-1067801.1299999999</v>
      </c>
      <c r="K318" s="626">
        <f t="shared" si="10"/>
        <v>-1063241.1000000001</v>
      </c>
      <c r="L318" s="626">
        <f t="shared" si="10"/>
        <v>-5252102.9000000004</v>
      </c>
      <c r="M318" s="626">
        <f t="shared" si="10"/>
        <v>-2720279.73</v>
      </c>
      <c r="N318" s="626">
        <f t="shared" si="10"/>
        <v>-198033.34</v>
      </c>
      <c r="O318" s="626">
        <f t="shared" si="10"/>
        <v>131.22999999999999</v>
      </c>
      <c r="P318" s="626">
        <f t="shared" si="10"/>
        <v>0</v>
      </c>
      <c r="Q318" s="626">
        <f t="shared" si="10"/>
        <v>0</v>
      </c>
      <c r="R318" s="626">
        <f t="shared" si="10"/>
        <v>1.27</v>
      </c>
    </row>
    <row r="319" spans="1:18" ht="12.75" customHeight="1" x14ac:dyDescent="0.25">
      <c r="A319" s="770"/>
      <c r="B319" s="769"/>
      <c r="C319" s="626" t="s">
        <v>73</v>
      </c>
      <c r="D319" s="626">
        <f>D222</f>
        <v>-353166.37</v>
      </c>
      <c r="E319" s="611"/>
      <c r="F319" s="611"/>
      <c r="G319" s="611"/>
      <c r="H319" s="611"/>
      <c r="I319" s="611"/>
      <c r="J319" s="611"/>
      <c r="K319" s="611"/>
      <c r="L319" s="611"/>
      <c r="M319" s="611"/>
      <c r="N319" s="611"/>
      <c r="O319" s="611"/>
      <c r="P319" s="611"/>
      <c r="Q319" s="611"/>
      <c r="R319" s="611"/>
    </row>
    <row r="320" spans="1:18" ht="12.75" customHeight="1" x14ac:dyDescent="0.25">
      <c r="A320" s="721"/>
      <c r="B320" s="720"/>
      <c r="C320" s="611"/>
      <c r="D320" s="611"/>
      <c r="E320" s="611"/>
      <c r="F320" s="611"/>
      <c r="G320" s="611"/>
      <c r="H320" s="611"/>
      <c r="I320" s="611"/>
      <c r="J320" s="611"/>
      <c r="K320" s="611"/>
      <c r="L320" s="611"/>
      <c r="M320" s="611"/>
      <c r="N320" s="611"/>
      <c r="O320" s="611"/>
      <c r="P320" s="611"/>
      <c r="Q320" s="611"/>
      <c r="R320" s="611"/>
    </row>
    <row r="321" spans="1:18" ht="12.75" customHeight="1" x14ac:dyDescent="0.25">
      <c r="A321" s="771" t="s">
        <v>326</v>
      </c>
      <c r="B321" s="769" t="s">
        <v>132</v>
      </c>
      <c r="C321" s="626" t="s">
        <v>70</v>
      </c>
      <c r="D321" s="719">
        <v>0</v>
      </c>
      <c r="E321" s="719">
        <v>0</v>
      </c>
      <c r="F321" s="719">
        <v>0</v>
      </c>
      <c r="G321" s="719">
        <v>0</v>
      </c>
      <c r="H321" s="719">
        <v>0</v>
      </c>
      <c r="I321" s="719">
        <v>0</v>
      </c>
      <c r="J321" s="719">
        <v>0</v>
      </c>
      <c r="K321" s="719">
        <v>0</v>
      </c>
      <c r="L321" s="719">
        <v>0</v>
      </c>
      <c r="M321" s="719">
        <v>0</v>
      </c>
      <c r="N321" s="719">
        <v>0</v>
      </c>
      <c r="O321" s="719">
        <v>0</v>
      </c>
      <c r="P321" s="719">
        <v>0</v>
      </c>
      <c r="Q321" s="719">
        <v>0</v>
      </c>
      <c r="R321" s="719">
        <v>0</v>
      </c>
    </row>
    <row r="322" spans="1:18" ht="12.75" customHeight="1" x14ac:dyDescent="0.25">
      <c r="A322" s="771"/>
      <c r="B322" s="769"/>
      <c r="C322" s="626" t="s">
        <v>73</v>
      </c>
      <c r="D322" s="719">
        <v>0</v>
      </c>
      <c r="E322" s="611"/>
      <c r="F322" s="611"/>
      <c r="G322" s="611"/>
      <c r="H322" s="611"/>
      <c r="I322" s="611"/>
      <c r="J322" s="611"/>
      <c r="K322" s="611"/>
      <c r="L322" s="611"/>
      <c r="M322" s="611"/>
      <c r="N322" s="611"/>
      <c r="O322" s="611"/>
      <c r="P322" s="611"/>
      <c r="Q322" s="611"/>
    </row>
    <row r="323" spans="1:18" ht="12.75" customHeight="1" x14ac:dyDescent="0.3">
      <c r="A323" s="610"/>
      <c r="D323" s="611"/>
      <c r="E323" s="611"/>
      <c r="F323" s="611"/>
      <c r="G323" s="611"/>
      <c r="H323" s="611"/>
      <c r="I323" s="611"/>
      <c r="J323" s="611"/>
      <c r="K323" s="611"/>
      <c r="L323" s="611"/>
      <c r="M323" s="611"/>
      <c r="N323" s="611"/>
      <c r="O323" s="611"/>
      <c r="P323" s="611"/>
      <c r="Q323" s="611"/>
      <c r="R323" s="611"/>
    </row>
    <row r="324" spans="1:18" ht="12.75" customHeight="1" x14ac:dyDescent="0.25">
      <c r="A324" s="770" t="s">
        <v>119</v>
      </c>
      <c r="B324" s="769" t="s">
        <v>132</v>
      </c>
      <c r="C324" s="621" t="s">
        <v>70</v>
      </c>
      <c r="D324" s="621">
        <f>D235-P235</f>
        <v>-4856351.96</v>
      </c>
      <c r="E324" s="621">
        <f>E232</f>
        <v>-432855.7</v>
      </c>
      <c r="F324" s="621">
        <f t="shared" ref="F324:R324" si="11">F232</f>
        <v>-209820.72</v>
      </c>
      <c r="G324" s="621">
        <f t="shared" si="11"/>
        <v>-99468.84</v>
      </c>
      <c r="H324" s="621">
        <f t="shared" si="11"/>
        <v>-1047024.47</v>
      </c>
      <c r="I324" s="621">
        <f t="shared" si="11"/>
        <v>-37463.1</v>
      </c>
      <c r="J324" s="621">
        <f t="shared" si="11"/>
        <v>-331409.39</v>
      </c>
      <c r="K324" s="621">
        <f t="shared" si="11"/>
        <v>-349318.34</v>
      </c>
      <c r="L324" s="621">
        <f t="shared" si="11"/>
        <v>-1688567.18</v>
      </c>
      <c r="M324" s="621">
        <f t="shared" si="11"/>
        <v>-1225142.77</v>
      </c>
      <c r="N324" s="621">
        <f t="shared" si="11"/>
        <v>-61140.59</v>
      </c>
      <c r="O324" s="621">
        <f t="shared" si="11"/>
        <v>-15.86</v>
      </c>
      <c r="P324" s="621">
        <f t="shared" si="11"/>
        <v>0</v>
      </c>
      <c r="Q324" s="621">
        <f t="shared" si="11"/>
        <v>0</v>
      </c>
      <c r="R324" s="621">
        <f t="shared" si="11"/>
        <v>0</v>
      </c>
    </row>
    <row r="325" spans="1:18" ht="12.75" customHeight="1" x14ac:dyDescent="0.25">
      <c r="A325" s="770"/>
      <c r="B325" s="769"/>
      <c r="C325" s="621" t="s">
        <v>73</v>
      </c>
      <c r="D325" s="621">
        <f>D234</f>
        <v>625875</v>
      </c>
      <c r="E325" s="611"/>
      <c r="F325" s="611"/>
      <c r="G325" s="611"/>
      <c r="H325" s="611"/>
      <c r="I325" s="611"/>
      <c r="J325" s="611"/>
      <c r="K325" s="611"/>
      <c r="L325" s="611"/>
      <c r="M325" s="611"/>
      <c r="N325" s="611"/>
      <c r="O325" s="611"/>
      <c r="P325" s="611"/>
      <c r="Q325" s="611"/>
      <c r="R325" s="611"/>
    </row>
    <row r="326" spans="1:18" ht="12.75" customHeight="1" x14ac:dyDescent="0.3">
      <c r="A326" s="610"/>
      <c r="D326" s="611"/>
      <c r="E326" s="611"/>
      <c r="F326" s="611"/>
      <c r="G326" s="611"/>
      <c r="H326" s="611"/>
      <c r="I326" s="611"/>
      <c r="J326" s="611"/>
      <c r="K326" s="611"/>
      <c r="L326" s="611"/>
      <c r="M326" s="611"/>
      <c r="N326" s="611"/>
      <c r="O326" s="611"/>
      <c r="P326" s="611"/>
      <c r="Q326" s="611"/>
      <c r="R326" s="611"/>
    </row>
    <row r="327" spans="1:18" ht="12.75" customHeight="1" x14ac:dyDescent="0.25">
      <c r="A327" s="768" t="s">
        <v>161</v>
      </c>
      <c r="B327" s="769" t="s">
        <v>132</v>
      </c>
      <c r="C327" s="627" t="s">
        <v>70</v>
      </c>
      <c r="D327" s="627">
        <v>0</v>
      </c>
      <c r="E327" s="627">
        <v>0</v>
      </c>
      <c r="F327" s="627">
        <v>0</v>
      </c>
      <c r="G327" s="627">
        <v>0</v>
      </c>
      <c r="H327" s="627">
        <v>0</v>
      </c>
      <c r="I327" s="627">
        <v>0</v>
      </c>
      <c r="J327" s="627">
        <v>0</v>
      </c>
      <c r="K327" s="627">
        <v>0</v>
      </c>
      <c r="L327" s="627">
        <v>0</v>
      </c>
      <c r="M327" s="627">
        <v>0</v>
      </c>
      <c r="N327" s="627">
        <v>0</v>
      </c>
      <c r="O327" s="627">
        <v>0</v>
      </c>
      <c r="P327" s="627">
        <v>0</v>
      </c>
      <c r="Q327" s="627">
        <v>0</v>
      </c>
      <c r="R327" s="627">
        <v>0</v>
      </c>
    </row>
    <row r="328" spans="1:18" ht="12.75" customHeight="1" x14ac:dyDescent="0.25">
      <c r="A328" s="768"/>
      <c r="B328" s="769"/>
      <c r="C328" s="627" t="s">
        <v>73</v>
      </c>
      <c r="D328" s="627">
        <v>0</v>
      </c>
      <c r="E328" s="611"/>
      <c r="F328" s="611"/>
      <c r="G328" s="611"/>
      <c r="H328" s="611"/>
      <c r="I328" s="611"/>
      <c r="J328" s="611"/>
      <c r="K328" s="611"/>
      <c r="L328" s="611"/>
      <c r="M328" s="611"/>
      <c r="N328" s="611"/>
      <c r="O328" s="611"/>
      <c r="P328" s="611"/>
      <c r="Q328" s="611"/>
    </row>
    <row r="329" spans="1:18" s="628" customFormat="1" x14ac:dyDescent="0.25"/>
    <row r="330" spans="1:18" ht="13" x14ac:dyDescent="0.3">
      <c r="B330" s="610" t="s">
        <v>93</v>
      </c>
    </row>
    <row r="331" spans="1:18" ht="12.75" customHeight="1" x14ac:dyDescent="0.25">
      <c r="D331" s="611" t="s">
        <v>70</v>
      </c>
      <c r="E331" s="611" t="s">
        <v>64</v>
      </c>
      <c r="F331" s="611" t="s">
        <v>65</v>
      </c>
      <c r="G331" s="612" t="s">
        <v>164</v>
      </c>
      <c r="H331" s="611" t="s">
        <v>69</v>
      </c>
      <c r="I331" s="611" t="s">
        <v>68</v>
      </c>
      <c r="J331" s="611" t="s">
        <v>66</v>
      </c>
      <c r="K331" s="611" t="s">
        <v>63</v>
      </c>
      <c r="L331" s="611" t="s">
        <v>61</v>
      </c>
      <c r="M331" s="611" t="s">
        <v>62</v>
      </c>
      <c r="N331" s="611" t="s">
        <v>67</v>
      </c>
      <c r="O331" s="611" t="s">
        <v>77</v>
      </c>
      <c r="P331" s="609" t="s">
        <v>71</v>
      </c>
      <c r="Q331" s="611" t="s">
        <v>80</v>
      </c>
      <c r="R331" s="609" t="s">
        <v>167</v>
      </c>
    </row>
    <row r="332" spans="1:18" ht="12" customHeight="1" x14ac:dyDescent="0.25">
      <c r="C332" s="611" t="s">
        <v>72</v>
      </c>
      <c r="D332" s="611">
        <v>-5639958.0499999998</v>
      </c>
      <c r="E332" s="611">
        <v>-322671.94</v>
      </c>
      <c r="F332" s="611">
        <v>-179942.02</v>
      </c>
      <c r="G332" s="611">
        <v>-95120.97</v>
      </c>
      <c r="H332" s="611">
        <v>-1195985.44</v>
      </c>
      <c r="I332" s="611">
        <v>-45538.04</v>
      </c>
      <c r="J332" s="611">
        <v>-399454.73</v>
      </c>
      <c r="K332" s="611">
        <v>-389547.7</v>
      </c>
      <c r="L332" s="611">
        <v>-1994300.8</v>
      </c>
      <c r="M332" s="611">
        <v>-943141.95</v>
      </c>
      <c r="N332" s="611">
        <v>-74298.94</v>
      </c>
      <c r="O332" s="611">
        <v>44.48</v>
      </c>
      <c r="P332" s="609">
        <v>0</v>
      </c>
      <c r="Q332" s="611">
        <v>0</v>
      </c>
      <c r="R332" s="609">
        <v>0</v>
      </c>
    </row>
    <row r="333" spans="1:18" ht="12" customHeight="1" x14ac:dyDescent="0.25">
      <c r="C333" s="611" t="s">
        <v>81</v>
      </c>
      <c r="D333" s="611">
        <v>-10332.73</v>
      </c>
      <c r="E333" s="611">
        <v>-580.67999999999995</v>
      </c>
      <c r="F333" s="611">
        <v>-280.52</v>
      </c>
      <c r="G333" s="611">
        <v>-158.12</v>
      </c>
      <c r="H333" s="611">
        <v>-2454.44</v>
      </c>
      <c r="I333" s="611">
        <v>-88.91</v>
      </c>
      <c r="J333" s="611">
        <v>-779.65</v>
      </c>
      <c r="K333" s="611">
        <v>-703.48</v>
      </c>
      <c r="L333" s="611">
        <v>-3527.91</v>
      </c>
      <c r="M333" s="611">
        <v>-1614.44</v>
      </c>
      <c r="N333" s="611">
        <v>-144.94</v>
      </c>
      <c r="O333" s="611">
        <v>0.36</v>
      </c>
      <c r="P333" s="609">
        <v>0</v>
      </c>
      <c r="Q333" s="611">
        <v>0</v>
      </c>
      <c r="R333" s="609">
        <v>0</v>
      </c>
    </row>
    <row r="334" spans="1:18" s="614" customFormat="1" ht="12.75" customHeight="1" x14ac:dyDescent="0.25">
      <c r="A334" s="615"/>
      <c r="B334" s="614" t="s">
        <v>78</v>
      </c>
      <c r="C334" s="614" t="s">
        <v>70</v>
      </c>
      <c r="D334" s="615">
        <v>-5650290.7800000003</v>
      </c>
      <c r="E334" s="615">
        <v>-323252.62</v>
      </c>
      <c r="F334" s="615">
        <v>-180222.54</v>
      </c>
      <c r="G334" s="615">
        <v>-95279.09</v>
      </c>
      <c r="H334" s="615">
        <v>-1198439.8799999999</v>
      </c>
      <c r="I334" s="615">
        <v>-45626.95</v>
      </c>
      <c r="J334" s="615">
        <v>-400234.38</v>
      </c>
      <c r="K334" s="615">
        <v>-390251.18</v>
      </c>
      <c r="L334" s="615">
        <v>-1997828.71</v>
      </c>
      <c r="M334" s="615">
        <v>-944756.39</v>
      </c>
      <c r="N334" s="615">
        <v>-74443.88</v>
      </c>
      <c r="O334" s="615">
        <v>44.84</v>
      </c>
      <c r="P334" s="614">
        <v>0</v>
      </c>
      <c r="Q334" s="614">
        <v>0</v>
      </c>
      <c r="R334" s="614">
        <v>0</v>
      </c>
    </row>
    <row r="335" spans="1:18" ht="12" customHeight="1" x14ac:dyDescent="0.25">
      <c r="C335" s="611" t="s">
        <v>73</v>
      </c>
      <c r="D335" s="611">
        <v>179302.78</v>
      </c>
      <c r="E335" s="611">
        <v>-4736.3999999999996</v>
      </c>
      <c r="F335" s="611">
        <v>-3399.3</v>
      </c>
      <c r="G335" s="611">
        <v>-1439.28</v>
      </c>
      <c r="H335" s="611">
        <v>71966</v>
      </c>
      <c r="I335" s="611">
        <v>2229.7399999999998</v>
      </c>
      <c r="J335" s="611">
        <v>19557.009999999998</v>
      </c>
      <c r="K335" s="611">
        <v>17993.63</v>
      </c>
      <c r="L335" s="611">
        <v>89141.64</v>
      </c>
      <c r="M335" s="611">
        <v>-15647.95</v>
      </c>
      <c r="N335" s="611">
        <v>3637.69</v>
      </c>
      <c r="O335" s="611">
        <v>0</v>
      </c>
      <c r="P335" s="609">
        <v>0</v>
      </c>
      <c r="Q335" s="611">
        <v>0</v>
      </c>
      <c r="R335" s="609">
        <v>0</v>
      </c>
    </row>
    <row r="336" spans="1:18" s="616" customFormat="1" ht="12.75" customHeight="1" x14ac:dyDescent="0.25">
      <c r="A336" s="617"/>
      <c r="B336" s="617" t="s">
        <v>79</v>
      </c>
      <c r="C336" s="616" t="s">
        <v>70</v>
      </c>
      <c r="D336" s="617">
        <v>179302.78</v>
      </c>
      <c r="E336" s="617">
        <v>-4736.3999999999996</v>
      </c>
      <c r="F336" s="617">
        <v>-3399.3</v>
      </c>
      <c r="G336" s="617">
        <v>-1439.28</v>
      </c>
      <c r="H336" s="617">
        <v>71966</v>
      </c>
      <c r="I336" s="617">
        <v>2229.7399999999998</v>
      </c>
      <c r="J336" s="617">
        <v>19557.009999999998</v>
      </c>
      <c r="K336" s="617">
        <v>17993.63</v>
      </c>
      <c r="L336" s="617">
        <v>89141.64</v>
      </c>
      <c r="M336" s="617">
        <v>-15647.95</v>
      </c>
      <c r="N336" s="617">
        <v>3637.69</v>
      </c>
      <c r="O336" s="617">
        <v>0</v>
      </c>
      <c r="P336" s="616">
        <v>0</v>
      </c>
      <c r="Q336" s="616">
        <v>0</v>
      </c>
      <c r="R336" s="616">
        <v>0</v>
      </c>
    </row>
    <row r="337" spans="1:18" s="618" customFormat="1" ht="12.75" customHeight="1" x14ac:dyDescent="0.25">
      <c r="A337" s="618" t="s">
        <v>155</v>
      </c>
      <c r="B337" s="618" t="s">
        <v>70</v>
      </c>
      <c r="D337" s="619">
        <v>-5470988</v>
      </c>
      <c r="E337" s="619">
        <v>-327989.02</v>
      </c>
      <c r="F337" s="619">
        <v>-183621.84</v>
      </c>
      <c r="G337" s="620">
        <v>-96718.37</v>
      </c>
      <c r="H337" s="619">
        <v>-1126473.8799999999</v>
      </c>
      <c r="I337" s="619">
        <v>-43397.21</v>
      </c>
      <c r="J337" s="619">
        <v>-380677.37</v>
      </c>
      <c r="K337" s="619">
        <v>-372257.55</v>
      </c>
      <c r="L337" s="619">
        <v>-1908687.07</v>
      </c>
      <c r="M337" s="619">
        <v>-960404.34</v>
      </c>
      <c r="N337" s="619">
        <v>-70806.19</v>
      </c>
      <c r="O337" s="619">
        <v>44.84</v>
      </c>
      <c r="P337" s="619">
        <v>0</v>
      </c>
      <c r="Q337" s="619">
        <v>0</v>
      </c>
      <c r="R337" s="618">
        <v>0</v>
      </c>
    </row>
    <row r="338" spans="1:18" ht="12.75" customHeight="1" x14ac:dyDescent="0.25">
      <c r="C338" s="609" t="s">
        <v>72</v>
      </c>
      <c r="D338" s="613">
        <v>-959125.09</v>
      </c>
      <c r="E338" s="611">
        <v>-55109.23</v>
      </c>
      <c r="F338" s="611">
        <v>-31503.85</v>
      </c>
      <c r="G338" s="613">
        <v>-16840.740000000002</v>
      </c>
      <c r="H338" s="611">
        <v>-190114.98</v>
      </c>
      <c r="I338" s="611">
        <v>-5767.15</v>
      </c>
      <c r="J338" s="611">
        <v>-52849.14</v>
      </c>
      <c r="K338" s="611">
        <v>-73338.27</v>
      </c>
      <c r="L338" s="611">
        <v>-352344.01</v>
      </c>
      <c r="M338" s="611">
        <v>-171854.69</v>
      </c>
      <c r="N338" s="611">
        <v>-9409.59</v>
      </c>
      <c r="O338" s="611">
        <v>6.56</v>
      </c>
      <c r="P338" s="611">
        <v>0</v>
      </c>
      <c r="Q338" s="611">
        <v>0</v>
      </c>
      <c r="R338" s="609">
        <v>0</v>
      </c>
    </row>
    <row r="339" spans="1:18" ht="12.75" customHeight="1" x14ac:dyDescent="0.25">
      <c r="C339" s="609" t="s">
        <v>81</v>
      </c>
      <c r="D339" s="613">
        <v>-6335.49</v>
      </c>
      <c r="E339" s="611">
        <v>-383.89</v>
      </c>
      <c r="F339" s="611">
        <v>-195.55</v>
      </c>
      <c r="G339" s="613">
        <v>-109.28</v>
      </c>
      <c r="H339" s="611">
        <v>-1380.14</v>
      </c>
      <c r="I339" s="611">
        <v>-37.24</v>
      </c>
      <c r="J339" s="611">
        <v>-325.8</v>
      </c>
      <c r="K339" s="611">
        <v>-449.95</v>
      </c>
      <c r="L339" s="611">
        <v>-2239.8200000000002</v>
      </c>
      <c r="M339" s="611">
        <v>-1153.0999999999999</v>
      </c>
      <c r="N339" s="611">
        <v>-60.61</v>
      </c>
      <c r="O339" s="611">
        <v>-0.13</v>
      </c>
      <c r="P339" s="611">
        <v>0</v>
      </c>
      <c r="Q339" s="611">
        <v>0.02</v>
      </c>
      <c r="R339" s="609">
        <v>0</v>
      </c>
    </row>
    <row r="340" spans="1:18" s="614" customFormat="1" ht="12.75" customHeight="1" x14ac:dyDescent="0.25">
      <c r="A340" s="615"/>
      <c r="B340" s="614" t="s">
        <v>78</v>
      </c>
      <c r="C340" s="614" t="s">
        <v>70</v>
      </c>
      <c r="D340" s="615">
        <v>-965460.58</v>
      </c>
      <c r="E340" s="615">
        <v>-55493.120000000003</v>
      </c>
      <c r="F340" s="615">
        <v>-31699.4</v>
      </c>
      <c r="G340" s="615">
        <v>-16950.02</v>
      </c>
      <c r="H340" s="615">
        <v>-191495.12</v>
      </c>
      <c r="I340" s="615">
        <v>-5804.39</v>
      </c>
      <c r="J340" s="615">
        <v>-53174.94</v>
      </c>
      <c r="K340" s="615">
        <v>-73788.22</v>
      </c>
      <c r="L340" s="615">
        <v>-354583.83</v>
      </c>
      <c r="M340" s="615">
        <v>-173007.79</v>
      </c>
      <c r="N340" s="615">
        <v>-9470.2000000000007</v>
      </c>
      <c r="O340" s="615">
        <v>6.43</v>
      </c>
      <c r="P340" s="614">
        <v>0</v>
      </c>
      <c r="Q340" s="614">
        <v>0.02</v>
      </c>
      <c r="R340" s="614">
        <v>0</v>
      </c>
    </row>
    <row r="341" spans="1:18" ht="12.75" customHeight="1" x14ac:dyDescent="0.25">
      <c r="A341" s="611"/>
      <c r="C341" s="609" t="s">
        <v>73</v>
      </c>
      <c r="D341" s="611">
        <v>15173.9</v>
      </c>
      <c r="E341" s="611">
        <v>-673.34</v>
      </c>
      <c r="F341" s="611">
        <v>-392.02</v>
      </c>
      <c r="G341" s="611">
        <v>-215.48</v>
      </c>
      <c r="H341" s="611">
        <v>692.1</v>
      </c>
      <c r="I341" s="611">
        <v>200.26</v>
      </c>
      <c r="J341" s="611">
        <v>1756.76</v>
      </c>
      <c r="K341" s="611">
        <v>2586.65</v>
      </c>
      <c r="L341" s="611">
        <v>13110.48</v>
      </c>
      <c r="M341" s="611">
        <v>-2218.3000000000002</v>
      </c>
      <c r="N341" s="611">
        <v>326.79000000000002</v>
      </c>
      <c r="O341" s="611">
        <v>0</v>
      </c>
      <c r="P341" s="609">
        <v>0</v>
      </c>
      <c r="Q341" s="609">
        <v>0</v>
      </c>
      <c r="R341" s="609">
        <v>0</v>
      </c>
    </row>
    <row r="342" spans="1:18" s="616" customFormat="1" ht="12.75" customHeight="1" x14ac:dyDescent="0.25">
      <c r="A342" s="617"/>
      <c r="B342" s="617" t="s">
        <v>79</v>
      </c>
      <c r="C342" s="616" t="s">
        <v>70</v>
      </c>
      <c r="D342" s="617">
        <v>15173.9</v>
      </c>
      <c r="E342" s="617">
        <v>-673.34</v>
      </c>
      <c r="F342" s="617">
        <v>-392.02</v>
      </c>
      <c r="G342" s="617">
        <v>-215.48</v>
      </c>
      <c r="H342" s="617">
        <v>692.1</v>
      </c>
      <c r="I342" s="617">
        <v>200.26</v>
      </c>
      <c r="J342" s="617">
        <v>1756.76</v>
      </c>
      <c r="K342" s="617">
        <v>2586.65</v>
      </c>
      <c r="L342" s="617">
        <v>13110.48</v>
      </c>
      <c r="M342" s="617">
        <v>-2218.3000000000002</v>
      </c>
      <c r="N342" s="617">
        <v>326.79000000000002</v>
      </c>
      <c r="O342" s="617">
        <v>0</v>
      </c>
      <c r="P342" s="616">
        <v>0</v>
      </c>
      <c r="Q342" s="616">
        <v>0</v>
      </c>
      <c r="R342" s="616">
        <v>0</v>
      </c>
    </row>
    <row r="343" spans="1:18" s="621" customFormat="1" ht="12.75" customHeight="1" x14ac:dyDescent="0.25">
      <c r="A343" s="621" t="s">
        <v>119</v>
      </c>
      <c r="B343" s="621" t="s">
        <v>70</v>
      </c>
      <c r="D343" s="621">
        <v>-950286.68</v>
      </c>
      <c r="E343" s="621">
        <v>-56166.46</v>
      </c>
      <c r="F343" s="621">
        <v>-32091.42</v>
      </c>
      <c r="G343" s="621">
        <v>-17165.5</v>
      </c>
      <c r="H343" s="621">
        <v>-190803.02</v>
      </c>
      <c r="I343" s="621">
        <v>-5604.13</v>
      </c>
      <c r="J343" s="621">
        <v>-51418.18</v>
      </c>
      <c r="K343" s="621">
        <v>-71201.570000000007</v>
      </c>
      <c r="L343" s="621">
        <v>-341473.35</v>
      </c>
      <c r="M343" s="621">
        <v>-175226.09</v>
      </c>
      <c r="N343" s="621">
        <v>-9143.41</v>
      </c>
      <c r="O343" s="621">
        <v>6.43</v>
      </c>
      <c r="P343" s="621">
        <v>0</v>
      </c>
      <c r="Q343" s="621">
        <v>0.02</v>
      </c>
      <c r="R343" s="621">
        <v>0</v>
      </c>
    </row>
    <row r="344" spans="1:18" s="624" customFormat="1" ht="12.75" customHeight="1" x14ac:dyDescent="0.25">
      <c r="A344" s="623" t="s">
        <v>70</v>
      </c>
      <c r="D344" s="623">
        <v>-6421274.6799999997</v>
      </c>
      <c r="E344" s="623">
        <v>-384155.48</v>
      </c>
      <c r="F344" s="623">
        <v>-215713.26</v>
      </c>
      <c r="G344" s="623">
        <v>-113883.87</v>
      </c>
      <c r="H344" s="623">
        <v>-1317276.8999999999</v>
      </c>
      <c r="I344" s="623">
        <v>-49001.34</v>
      </c>
      <c r="J344" s="623">
        <v>-432095.55</v>
      </c>
      <c r="K344" s="623">
        <v>-443459.12</v>
      </c>
      <c r="L344" s="623">
        <v>-2250160.42</v>
      </c>
      <c r="M344" s="623">
        <v>-1135630.43</v>
      </c>
      <c r="N344" s="623">
        <v>-79949.600000000006</v>
      </c>
      <c r="O344" s="623">
        <v>51.27</v>
      </c>
      <c r="P344" s="624">
        <v>0</v>
      </c>
      <c r="Q344" s="624">
        <v>0.02</v>
      </c>
      <c r="R344" s="624">
        <v>0</v>
      </c>
    </row>
    <row r="345" spans="1:18" ht="12.75" customHeight="1" x14ac:dyDescent="0.25">
      <c r="C345" s="611"/>
      <c r="D345" s="611"/>
      <c r="E345" s="611"/>
      <c r="F345" s="611"/>
      <c r="G345" s="611"/>
      <c r="H345" s="611"/>
      <c r="I345" s="611"/>
      <c r="J345" s="611"/>
      <c r="K345" s="611"/>
      <c r="L345" s="611"/>
      <c r="M345" s="611"/>
      <c r="N345" s="611"/>
      <c r="O345" s="611"/>
      <c r="Q345" s="611"/>
    </row>
    <row r="346" spans="1:18" ht="12.75" customHeight="1" x14ac:dyDescent="0.25">
      <c r="C346" s="611"/>
      <c r="D346" s="611"/>
      <c r="E346" s="611"/>
      <c r="F346" s="611"/>
      <c r="G346" s="611"/>
      <c r="H346" s="611"/>
      <c r="I346" s="611"/>
      <c r="J346" s="611"/>
      <c r="K346" s="611"/>
      <c r="L346" s="611"/>
      <c r="M346" s="611"/>
      <c r="N346" s="611"/>
      <c r="O346" s="611"/>
      <c r="Q346" s="611"/>
    </row>
    <row r="347" spans="1:18" ht="12.75" customHeight="1" x14ac:dyDescent="0.25">
      <c r="A347" s="770" t="s">
        <v>2</v>
      </c>
      <c r="B347" s="769" t="s">
        <v>132</v>
      </c>
      <c r="C347" s="623" t="s">
        <v>70</v>
      </c>
      <c r="D347" s="623">
        <f>D344-P344</f>
        <v>-6421274.6799999997</v>
      </c>
      <c r="E347" s="623">
        <f>E340+E334</f>
        <v>-378745.74</v>
      </c>
      <c r="F347" s="623">
        <f t="shared" ref="F347:R347" si="12">F340+F334</f>
        <v>-211921.94</v>
      </c>
      <c r="G347" s="623">
        <f t="shared" si="12"/>
        <v>-112229.11</v>
      </c>
      <c r="H347" s="623">
        <f t="shared" si="12"/>
        <v>-1389935</v>
      </c>
      <c r="I347" s="623">
        <f t="shared" si="12"/>
        <v>-51431.34</v>
      </c>
      <c r="J347" s="623">
        <f t="shared" si="12"/>
        <v>-453409.32</v>
      </c>
      <c r="K347" s="623">
        <f t="shared" si="12"/>
        <v>-464039.4</v>
      </c>
      <c r="L347" s="623">
        <f t="shared" si="12"/>
        <v>-2352412.54</v>
      </c>
      <c r="M347" s="623">
        <f t="shared" si="12"/>
        <v>-1117764.18</v>
      </c>
      <c r="N347" s="623">
        <f t="shared" si="12"/>
        <v>-83914.08</v>
      </c>
      <c r="O347" s="623">
        <f t="shared" si="12"/>
        <v>51.27</v>
      </c>
      <c r="P347" s="623">
        <f t="shared" si="12"/>
        <v>0</v>
      </c>
      <c r="Q347" s="623">
        <f t="shared" si="12"/>
        <v>0.02</v>
      </c>
      <c r="R347" s="623">
        <f t="shared" si="12"/>
        <v>0</v>
      </c>
    </row>
    <row r="348" spans="1:18" ht="12.75" customHeight="1" x14ac:dyDescent="0.25">
      <c r="A348" s="770"/>
      <c r="B348" s="769"/>
      <c r="C348" s="623" t="s">
        <v>73</v>
      </c>
      <c r="D348" s="623">
        <f>D342+D336</f>
        <v>194476.68</v>
      </c>
      <c r="E348" s="611"/>
      <c r="F348" s="611"/>
      <c r="G348" s="611"/>
      <c r="H348" s="611"/>
      <c r="I348" s="611"/>
      <c r="J348" s="611"/>
      <c r="K348" s="611"/>
      <c r="L348" s="611"/>
      <c r="M348" s="611"/>
      <c r="N348" s="611"/>
      <c r="O348" s="611"/>
      <c r="P348" s="611"/>
      <c r="Q348" s="611"/>
      <c r="R348" s="611"/>
    </row>
    <row r="349" spans="1:18" ht="12.75" customHeight="1" x14ac:dyDescent="0.3">
      <c r="A349" s="610"/>
      <c r="D349" s="611"/>
      <c r="E349" s="611"/>
      <c r="F349" s="611"/>
      <c r="G349" s="611"/>
      <c r="H349" s="611"/>
      <c r="I349" s="611"/>
      <c r="J349" s="611"/>
      <c r="K349" s="611"/>
      <c r="L349" s="611"/>
      <c r="M349" s="611"/>
      <c r="N349" s="611"/>
      <c r="O349" s="611"/>
      <c r="P349" s="611"/>
      <c r="Q349" s="611"/>
      <c r="R349" s="611"/>
    </row>
    <row r="350" spans="1:18" ht="12.75" customHeight="1" x14ac:dyDescent="0.25">
      <c r="A350" s="770" t="s">
        <v>160</v>
      </c>
      <c r="B350" s="769" t="s">
        <v>132</v>
      </c>
      <c r="C350" s="625" t="s">
        <v>70</v>
      </c>
      <c r="D350" s="625">
        <v>0</v>
      </c>
      <c r="E350" s="625">
        <v>0</v>
      </c>
      <c r="F350" s="625">
        <v>0</v>
      </c>
      <c r="G350" s="625">
        <v>0</v>
      </c>
      <c r="H350" s="625">
        <v>0</v>
      </c>
      <c r="I350" s="625">
        <v>0</v>
      </c>
      <c r="J350" s="625">
        <v>0</v>
      </c>
      <c r="K350" s="625">
        <v>0</v>
      </c>
      <c r="L350" s="625">
        <v>0</v>
      </c>
      <c r="M350" s="625">
        <v>0</v>
      </c>
      <c r="N350" s="625">
        <v>0</v>
      </c>
      <c r="O350" s="625">
        <v>0</v>
      </c>
      <c r="P350" s="625">
        <v>0</v>
      </c>
      <c r="Q350" s="625">
        <v>0</v>
      </c>
      <c r="R350" s="625">
        <v>0</v>
      </c>
    </row>
    <row r="351" spans="1:18" ht="12.75" customHeight="1" x14ac:dyDescent="0.25">
      <c r="A351" s="770"/>
      <c r="B351" s="769"/>
      <c r="C351" s="625" t="s">
        <v>73</v>
      </c>
      <c r="D351" s="625">
        <v>0</v>
      </c>
      <c r="E351" s="611"/>
      <c r="F351" s="611"/>
      <c r="G351" s="611"/>
      <c r="H351" s="611"/>
      <c r="I351" s="611"/>
      <c r="J351" s="611"/>
      <c r="K351" s="611"/>
      <c r="L351" s="611"/>
      <c r="M351" s="611"/>
      <c r="N351" s="611"/>
      <c r="O351" s="611"/>
      <c r="P351" s="611"/>
      <c r="Q351" s="611"/>
      <c r="R351" s="611"/>
    </row>
    <row r="352" spans="1:18" ht="12.75" customHeight="1" x14ac:dyDescent="0.3">
      <c r="A352" s="610"/>
      <c r="D352" s="611"/>
      <c r="E352" s="611"/>
      <c r="F352" s="611"/>
      <c r="G352" s="611"/>
      <c r="H352" s="611"/>
      <c r="I352" s="611"/>
      <c r="J352" s="611"/>
      <c r="K352" s="611"/>
      <c r="L352" s="611"/>
      <c r="M352" s="611"/>
      <c r="N352" s="611"/>
      <c r="O352" s="611"/>
      <c r="P352" s="611"/>
      <c r="Q352" s="611"/>
      <c r="R352" s="611"/>
    </row>
    <row r="353" spans="1:18" ht="12.75" customHeight="1" x14ac:dyDescent="0.25">
      <c r="A353" s="770" t="s">
        <v>155</v>
      </c>
      <c r="B353" s="769" t="s">
        <v>132</v>
      </c>
      <c r="C353" s="626" t="s">
        <v>70</v>
      </c>
      <c r="D353" s="626">
        <f>D337-P337</f>
        <v>-5470988</v>
      </c>
      <c r="E353" s="626">
        <f>E334</f>
        <v>-323252.62</v>
      </c>
      <c r="F353" s="626">
        <f t="shared" ref="F353:R353" si="13">F334</f>
        <v>-180222.54</v>
      </c>
      <c r="G353" s="626">
        <f t="shared" si="13"/>
        <v>-95279.09</v>
      </c>
      <c r="H353" s="626">
        <f t="shared" si="13"/>
        <v>-1198439.8799999999</v>
      </c>
      <c r="I353" s="626">
        <f t="shared" si="13"/>
        <v>-45626.95</v>
      </c>
      <c r="J353" s="626">
        <f t="shared" si="13"/>
        <v>-400234.38</v>
      </c>
      <c r="K353" s="626">
        <f t="shared" si="13"/>
        <v>-390251.18</v>
      </c>
      <c r="L353" s="626">
        <f t="shared" si="13"/>
        <v>-1997828.71</v>
      </c>
      <c r="M353" s="626">
        <f t="shared" si="13"/>
        <v>-944756.39</v>
      </c>
      <c r="N353" s="626">
        <f t="shared" si="13"/>
        <v>-74443.88</v>
      </c>
      <c r="O353" s="626">
        <f t="shared" si="13"/>
        <v>44.84</v>
      </c>
      <c r="P353" s="626">
        <f t="shared" si="13"/>
        <v>0</v>
      </c>
      <c r="Q353" s="626">
        <f t="shared" si="13"/>
        <v>0</v>
      </c>
      <c r="R353" s="626">
        <f t="shared" si="13"/>
        <v>0</v>
      </c>
    </row>
    <row r="354" spans="1:18" ht="12.75" customHeight="1" x14ac:dyDescent="0.25">
      <c r="A354" s="770"/>
      <c r="B354" s="769"/>
      <c r="C354" s="626" t="s">
        <v>73</v>
      </c>
      <c r="D354" s="626">
        <f>D336</f>
        <v>179302.78</v>
      </c>
      <c r="E354" s="611"/>
      <c r="F354" s="611"/>
      <c r="G354" s="611"/>
      <c r="H354" s="611"/>
      <c r="I354" s="611"/>
      <c r="J354" s="611"/>
      <c r="K354" s="611"/>
      <c r="L354" s="611"/>
      <c r="M354" s="611"/>
      <c r="N354" s="611"/>
      <c r="O354" s="611"/>
      <c r="P354" s="611"/>
      <c r="Q354" s="611"/>
    </row>
    <row r="355" spans="1:18" ht="12.75" customHeight="1" x14ac:dyDescent="0.3">
      <c r="A355" s="610"/>
      <c r="D355" s="611"/>
      <c r="E355" s="611"/>
      <c r="F355" s="611"/>
      <c r="G355" s="611"/>
      <c r="H355" s="611"/>
      <c r="I355" s="611"/>
      <c r="J355" s="611"/>
      <c r="K355" s="611"/>
      <c r="L355" s="611"/>
      <c r="M355" s="611"/>
      <c r="N355" s="611"/>
      <c r="O355" s="611"/>
      <c r="P355" s="611"/>
      <c r="Q355" s="611"/>
    </row>
    <row r="356" spans="1:18" ht="12.75" customHeight="1" x14ac:dyDescent="0.25">
      <c r="A356" s="771" t="s">
        <v>326</v>
      </c>
      <c r="B356" s="769" t="s">
        <v>132</v>
      </c>
      <c r="C356" s="626" t="s">
        <v>70</v>
      </c>
      <c r="D356" s="719">
        <v>0</v>
      </c>
      <c r="E356" s="719">
        <v>0</v>
      </c>
      <c r="F356" s="719">
        <v>0</v>
      </c>
      <c r="G356" s="719">
        <v>0</v>
      </c>
      <c r="H356" s="719">
        <v>0</v>
      </c>
      <c r="I356" s="719">
        <v>0</v>
      </c>
      <c r="J356" s="719">
        <v>0</v>
      </c>
      <c r="K356" s="719">
        <v>0</v>
      </c>
      <c r="L356" s="719">
        <v>0</v>
      </c>
      <c r="M356" s="719">
        <v>0</v>
      </c>
      <c r="N356" s="719">
        <v>0</v>
      </c>
      <c r="O356" s="719">
        <v>0</v>
      </c>
      <c r="P356" s="719">
        <v>0</v>
      </c>
      <c r="Q356" s="719">
        <v>0</v>
      </c>
      <c r="R356" s="719">
        <v>0</v>
      </c>
    </row>
    <row r="357" spans="1:18" ht="12.75" customHeight="1" x14ac:dyDescent="0.25">
      <c r="A357" s="771"/>
      <c r="B357" s="769"/>
      <c r="C357" s="626" t="s">
        <v>73</v>
      </c>
      <c r="D357" s="719">
        <v>0</v>
      </c>
      <c r="E357" s="611"/>
      <c r="F357" s="611"/>
      <c r="G357" s="611"/>
      <c r="H357" s="611"/>
      <c r="I357" s="611"/>
      <c r="J357" s="611"/>
      <c r="K357" s="611"/>
      <c r="L357" s="611"/>
      <c r="M357" s="611"/>
      <c r="N357" s="611"/>
      <c r="O357" s="611"/>
      <c r="P357" s="611"/>
      <c r="Q357" s="611"/>
    </row>
    <row r="358" spans="1:18" ht="12.75" customHeight="1" x14ac:dyDescent="0.3">
      <c r="A358" s="610"/>
      <c r="D358" s="611"/>
      <c r="E358" s="611"/>
      <c r="F358" s="611"/>
      <c r="G358" s="611"/>
      <c r="H358" s="611"/>
      <c r="I358" s="611"/>
      <c r="J358" s="611"/>
      <c r="K358" s="611"/>
      <c r="L358" s="611"/>
      <c r="M358" s="611"/>
      <c r="N358" s="611"/>
      <c r="O358" s="611"/>
      <c r="P358" s="611"/>
      <c r="Q358" s="611"/>
    </row>
    <row r="359" spans="1:18" ht="12.75" customHeight="1" x14ac:dyDescent="0.25">
      <c r="A359" s="770" t="s">
        <v>119</v>
      </c>
      <c r="B359" s="769" t="s">
        <v>132</v>
      </c>
      <c r="C359" s="621" t="s">
        <v>70</v>
      </c>
      <c r="D359" s="621">
        <f>D343-P343</f>
        <v>-950286.68</v>
      </c>
      <c r="E359" s="621">
        <f>E340</f>
        <v>-55493.120000000003</v>
      </c>
      <c r="F359" s="621">
        <f t="shared" ref="F359:R359" si="14">F340</f>
        <v>-31699.4</v>
      </c>
      <c r="G359" s="621">
        <f t="shared" si="14"/>
        <v>-16950.02</v>
      </c>
      <c r="H359" s="621">
        <f t="shared" si="14"/>
        <v>-191495.12</v>
      </c>
      <c r="I359" s="621">
        <f t="shared" si="14"/>
        <v>-5804.39</v>
      </c>
      <c r="J359" s="621">
        <f t="shared" si="14"/>
        <v>-53174.94</v>
      </c>
      <c r="K359" s="621">
        <f t="shared" si="14"/>
        <v>-73788.22</v>
      </c>
      <c r="L359" s="621">
        <f t="shared" si="14"/>
        <v>-354583.83</v>
      </c>
      <c r="M359" s="621">
        <f t="shared" si="14"/>
        <v>-173007.79</v>
      </c>
      <c r="N359" s="621">
        <f t="shared" si="14"/>
        <v>-9470.2000000000007</v>
      </c>
      <c r="O359" s="621">
        <f t="shared" si="14"/>
        <v>6.43</v>
      </c>
      <c r="P359" s="621">
        <f t="shared" si="14"/>
        <v>0</v>
      </c>
      <c r="Q359" s="621">
        <f t="shared" si="14"/>
        <v>0.02</v>
      </c>
      <c r="R359" s="621">
        <f t="shared" si="14"/>
        <v>0</v>
      </c>
    </row>
    <row r="360" spans="1:18" ht="12.75" customHeight="1" x14ac:dyDescent="0.25">
      <c r="A360" s="770"/>
      <c r="B360" s="769"/>
      <c r="C360" s="621" t="s">
        <v>73</v>
      </c>
      <c r="D360" s="622">
        <f>D342</f>
        <v>15173.9</v>
      </c>
      <c r="E360" s="611"/>
      <c r="F360" s="611"/>
      <c r="G360" s="611"/>
      <c r="H360" s="611"/>
      <c r="I360" s="611"/>
      <c r="J360" s="611"/>
      <c r="K360" s="611"/>
      <c r="L360" s="611"/>
      <c r="M360" s="611"/>
      <c r="N360" s="611"/>
      <c r="O360" s="611"/>
      <c r="P360" s="611"/>
      <c r="Q360" s="611"/>
    </row>
    <row r="361" spans="1:18" ht="12.75" customHeight="1" x14ac:dyDescent="0.3">
      <c r="A361" s="610"/>
      <c r="D361" s="611"/>
      <c r="E361" s="611"/>
      <c r="F361" s="611"/>
      <c r="G361" s="611"/>
      <c r="H361" s="611"/>
      <c r="I361" s="611"/>
      <c r="J361" s="611"/>
      <c r="K361" s="611"/>
      <c r="L361" s="611"/>
      <c r="M361" s="611"/>
      <c r="N361" s="611"/>
      <c r="O361" s="611"/>
      <c r="P361" s="611"/>
      <c r="Q361" s="611"/>
    </row>
    <row r="362" spans="1:18" x14ac:dyDescent="0.25">
      <c r="A362" s="768" t="s">
        <v>161</v>
      </c>
      <c r="B362" s="769" t="s">
        <v>132</v>
      </c>
      <c r="C362" s="627" t="s">
        <v>70</v>
      </c>
      <c r="D362" s="627">
        <v>0</v>
      </c>
      <c r="E362" s="627">
        <v>0</v>
      </c>
      <c r="F362" s="627">
        <v>0</v>
      </c>
      <c r="G362" s="627">
        <v>0</v>
      </c>
      <c r="H362" s="627">
        <v>0</v>
      </c>
      <c r="I362" s="627">
        <v>0</v>
      </c>
      <c r="J362" s="627">
        <v>0</v>
      </c>
      <c r="K362" s="627">
        <v>0</v>
      </c>
      <c r="L362" s="627">
        <v>0</v>
      </c>
      <c r="M362" s="627">
        <v>0</v>
      </c>
      <c r="N362" s="627">
        <v>0</v>
      </c>
      <c r="O362" s="627">
        <v>0</v>
      </c>
      <c r="P362" s="627">
        <v>0</v>
      </c>
      <c r="Q362" s="627">
        <v>0</v>
      </c>
      <c r="R362" s="627">
        <v>0</v>
      </c>
    </row>
    <row r="363" spans="1:18" x14ac:dyDescent="0.25">
      <c r="A363" s="768"/>
      <c r="B363" s="769"/>
      <c r="C363" s="627" t="s">
        <v>73</v>
      </c>
      <c r="D363" s="627">
        <v>0</v>
      </c>
      <c r="E363" s="611"/>
      <c r="F363" s="611"/>
      <c r="G363" s="611"/>
      <c r="H363" s="611"/>
      <c r="I363" s="611"/>
      <c r="J363" s="611"/>
      <c r="K363" s="611"/>
      <c r="L363" s="611"/>
      <c r="M363" s="611"/>
      <c r="N363" s="611"/>
      <c r="O363" s="611"/>
      <c r="P363" s="611"/>
      <c r="Q363" s="611"/>
    </row>
    <row r="364" spans="1:18" s="628" customFormat="1" x14ac:dyDescent="0.25"/>
    <row r="367" spans="1:18" x14ac:dyDescent="0.25">
      <c r="D367" s="609">
        <f t="shared" ref="D367:R367" si="15">D67+D161+D198+D312+D347</f>
        <v>-65757071.510000005</v>
      </c>
      <c r="E367" s="609">
        <f t="shared" si="15"/>
        <v>-5754330.9500000002</v>
      </c>
      <c r="F367" s="609">
        <f t="shared" si="15"/>
        <v>-3197698.09</v>
      </c>
      <c r="G367" s="609">
        <f t="shared" si="15"/>
        <v>-1669761.4300000002</v>
      </c>
      <c r="H367" s="609">
        <f t="shared" si="15"/>
        <v>-11228631.58</v>
      </c>
      <c r="I367" s="609">
        <f t="shared" si="15"/>
        <v>-410406.04000000004</v>
      </c>
      <c r="J367" s="609">
        <f t="shared" si="15"/>
        <v>-3603487.01</v>
      </c>
      <c r="K367" s="609">
        <f t="shared" si="15"/>
        <v>-3703292.71</v>
      </c>
      <c r="L367" s="609">
        <f t="shared" si="15"/>
        <v>-17817135.16</v>
      </c>
      <c r="M367" s="609">
        <f t="shared" si="15"/>
        <v>-14616142.209999999</v>
      </c>
      <c r="N367" s="609">
        <f t="shared" si="15"/>
        <v>-668342.41999999993</v>
      </c>
      <c r="O367" s="609">
        <f t="shared" si="15"/>
        <v>118.48000000000002</v>
      </c>
      <c r="P367" s="609">
        <f t="shared" si="15"/>
        <v>0</v>
      </c>
      <c r="Q367" s="609">
        <f t="shared" si="15"/>
        <v>0.02</v>
      </c>
      <c r="R367" s="609">
        <f t="shared" si="15"/>
        <v>1.27</v>
      </c>
    </row>
    <row r="368" spans="1:18" x14ac:dyDescent="0.25">
      <c r="D368" s="609">
        <f>D68+D162+D199+D313+D348</f>
        <v>-3087963.68</v>
      </c>
    </row>
  </sheetData>
  <mergeCells count="60">
    <mergeCell ref="A76:A77"/>
    <mergeCell ref="B76:B77"/>
    <mergeCell ref="A170:A171"/>
    <mergeCell ref="B170:B171"/>
    <mergeCell ref="A207:A208"/>
    <mergeCell ref="B207:B208"/>
    <mergeCell ref="A79:A80"/>
    <mergeCell ref="B79:B80"/>
    <mergeCell ref="A82:A83"/>
    <mergeCell ref="B82:B83"/>
    <mergeCell ref="A161:A162"/>
    <mergeCell ref="B161:B162"/>
    <mergeCell ref="A164:A165"/>
    <mergeCell ref="B164:B165"/>
    <mergeCell ref="A167:A168"/>
    <mergeCell ref="B167:B168"/>
    <mergeCell ref="A67:A68"/>
    <mergeCell ref="B67:B68"/>
    <mergeCell ref="A70:A71"/>
    <mergeCell ref="B70:B71"/>
    <mergeCell ref="A73:A74"/>
    <mergeCell ref="B73:B74"/>
    <mergeCell ref="A173:A174"/>
    <mergeCell ref="B173:B174"/>
    <mergeCell ref="A176:A177"/>
    <mergeCell ref="B176:B177"/>
    <mergeCell ref="A198:A199"/>
    <mergeCell ref="B198:B199"/>
    <mergeCell ref="A201:A202"/>
    <mergeCell ref="B201:B202"/>
    <mergeCell ref="A204:A205"/>
    <mergeCell ref="B204:B205"/>
    <mergeCell ref="A210:A211"/>
    <mergeCell ref="B210:B211"/>
    <mergeCell ref="A213:A214"/>
    <mergeCell ref="B213:B214"/>
    <mergeCell ref="A312:A313"/>
    <mergeCell ref="B312:B313"/>
    <mergeCell ref="A315:A316"/>
    <mergeCell ref="B315:B316"/>
    <mergeCell ref="A318:A319"/>
    <mergeCell ref="B318:B319"/>
    <mergeCell ref="A324:A325"/>
    <mergeCell ref="B324:B325"/>
    <mergeCell ref="A321:A322"/>
    <mergeCell ref="B321:B322"/>
    <mergeCell ref="A327:A328"/>
    <mergeCell ref="B327:B328"/>
    <mergeCell ref="A347:A348"/>
    <mergeCell ref="B347:B348"/>
    <mergeCell ref="A362:A363"/>
    <mergeCell ref="B362:B363"/>
    <mergeCell ref="A350:A351"/>
    <mergeCell ref="B350:B351"/>
    <mergeCell ref="A353:A354"/>
    <mergeCell ref="B353:B354"/>
    <mergeCell ref="A359:A360"/>
    <mergeCell ref="B359:B360"/>
    <mergeCell ref="A356:A357"/>
    <mergeCell ref="B356:B357"/>
  </mergeCells>
  <conditionalFormatting sqref="D69:D83 D161:D177 D198:D214 D312:D328 D347:D363">
    <cfRule type="cellIs" dxfId="82" priority="1" operator="greaterThan">
      <formula>1</formula>
    </cfRule>
  </conditionalFormatting>
  <pageMargins left="0.7" right="0.7" top="0.75" bottom="0.75" header="0.3" footer="0.3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P63"/>
  <sheetViews>
    <sheetView zoomScale="90" zoomScaleNormal="90" workbookViewId="0"/>
  </sheetViews>
  <sheetFormatPr baseColWidth="10" defaultRowHeight="12.5" x14ac:dyDescent="0.25"/>
  <cols>
    <col min="2" max="2" width="24.453125" bestFit="1" customWidth="1"/>
    <col min="3" max="3" width="17" style="144" bestFit="1" customWidth="1"/>
    <col min="4" max="4" width="23.26953125" bestFit="1" customWidth="1"/>
    <col min="5" max="5" width="15.7265625" bestFit="1" customWidth="1"/>
    <col min="6" max="6" width="16.26953125" customWidth="1"/>
    <col min="7" max="7" width="15.453125" bestFit="1" customWidth="1"/>
    <col min="8" max="8" width="15" bestFit="1" customWidth="1"/>
    <col min="9" max="9" width="15.26953125" bestFit="1" customWidth="1"/>
    <col min="10" max="10" width="17" bestFit="1" customWidth="1"/>
    <col min="11" max="12" width="15.54296875" bestFit="1" customWidth="1"/>
    <col min="13" max="13" width="15.26953125" bestFit="1" customWidth="1"/>
    <col min="14" max="14" width="17.7265625" bestFit="1" customWidth="1"/>
    <col min="15" max="15" width="15.54296875" customWidth="1"/>
    <col min="16" max="16" width="20.453125" bestFit="1" customWidth="1"/>
  </cols>
  <sheetData>
    <row r="1" spans="1:16" ht="13" x14ac:dyDescent="0.3">
      <c r="B1" s="97" t="s">
        <v>74</v>
      </c>
    </row>
    <row r="2" spans="1:16" ht="12.75" customHeight="1" x14ac:dyDescent="0.25">
      <c r="C2" s="89" t="s">
        <v>70</v>
      </c>
      <c r="D2" s="89" t="s">
        <v>64</v>
      </c>
      <c r="E2" s="89" t="s">
        <v>65</v>
      </c>
      <c r="F2" s="219" t="s">
        <v>164</v>
      </c>
      <c r="G2" s="89" t="s">
        <v>69</v>
      </c>
      <c r="H2" s="89" t="s">
        <v>68</v>
      </c>
      <c r="I2" s="89" t="s">
        <v>83</v>
      </c>
      <c r="J2" s="89" t="s">
        <v>66</v>
      </c>
      <c r="K2" s="89" t="s">
        <v>63</v>
      </c>
      <c r="L2" s="89" t="s">
        <v>61</v>
      </c>
      <c r="M2" s="89" t="s">
        <v>62</v>
      </c>
      <c r="N2" s="89" t="s">
        <v>67</v>
      </c>
      <c r="O2" s="89" t="s">
        <v>84</v>
      </c>
    </row>
    <row r="3" spans="1:16" ht="12.75" customHeight="1" x14ac:dyDescent="0.25">
      <c r="B3" s="89" t="s">
        <v>72</v>
      </c>
      <c r="C3" s="90">
        <v>0</v>
      </c>
      <c r="D3" s="90">
        <v>0</v>
      </c>
      <c r="E3" s="90">
        <v>0</v>
      </c>
      <c r="F3" s="90">
        <v>0</v>
      </c>
      <c r="G3" s="90">
        <v>0</v>
      </c>
      <c r="H3" s="90">
        <v>0</v>
      </c>
      <c r="I3" s="90">
        <v>0</v>
      </c>
      <c r="J3" s="90">
        <v>0</v>
      </c>
      <c r="K3" s="90">
        <v>0</v>
      </c>
      <c r="L3" s="90">
        <v>0</v>
      </c>
      <c r="M3" s="90">
        <v>0</v>
      </c>
      <c r="N3" s="90">
        <v>0</v>
      </c>
      <c r="O3" s="90">
        <v>0</v>
      </c>
    </row>
    <row r="4" spans="1:16" ht="12.75" customHeight="1" x14ac:dyDescent="0.25">
      <c r="B4" s="89" t="s">
        <v>81</v>
      </c>
      <c r="C4" s="90">
        <v>0</v>
      </c>
      <c r="D4" s="90">
        <v>0</v>
      </c>
      <c r="E4" s="90">
        <v>0</v>
      </c>
      <c r="F4" s="90">
        <v>0</v>
      </c>
      <c r="G4" s="90">
        <v>0</v>
      </c>
      <c r="H4" s="90">
        <v>0</v>
      </c>
      <c r="I4" s="90">
        <v>0</v>
      </c>
      <c r="J4" s="90">
        <v>0</v>
      </c>
      <c r="K4" s="90">
        <v>0</v>
      </c>
      <c r="L4" s="90">
        <v>0</v>
      </c>
      <c r="M4" s="90">
        <v>0</v>
      </c>
      <c r="N4" s="90">
        <v>0</v>
      </c>
      <c r="O4" s="90">
        <v>0</v>
      </c>
    </row>
    <row r="5" spans="1:16" ht="12.75" customHeight="1" x14ac:dyDescent="0.25">
      <c r="A5" s="379" t="s">
        <v>78</v>
      </c>
      <c r="B5" s="379" t="s">
        <v>70</v>
      </c>
      <c r="C5" s="380">
        <v>0</v>
      </c>
      <c r="D5" s="380">
        <v>0</v>
      </c>
      <c r="E5" s="380">
        <v>0</v>
      </c>
      <c r="F5" s="380">
        <v>0</v>
      </c>
      <c r="G5" s="380">
        <v>0</v>
      </c>
      <c r="H5" s="380">
        <v>0</v>
      </c>
      <c r="I5" s="380">
        <v>0</v>
      </c>
      <c r="J5" s="380">
        <v>0</v>
      </c>
      <c r="K5" s="380">
        <v>0</v>
      </c>
      <c r="L5" s="380">
        <v>0</v>
      </c>
      <c r="M5" s="380">
        <v>0</v>
      </c>
      <c r="N5" s="380">
        <v>0</v>
      </c>
      <c r="O5" s="380">
        <v>0</v>
      </c>
      <c r="P5" s="381"/>
    </row>
    <row r="6" spans="1:16" ht="12.75" customHeight="1" x14ac:dyDescent="0.25">
      <c r="B6" s="89" t="s">
        <v>73</v>
      </c>
      <c r="C6" s="90">
        <v>0</v>
      </c>
      <c r="D6" s="90">
        <v>0</v>
      </c>
      <c r="E6" s="90">
        <v>0</v>
      </c>
      <c r="F6" s="90">
        <v>0</v>
      </c>
      <c r="G6" s="90">
        <v>0</v>
      </c>
      <c r="H6" s="90">
        <v>0</v>
      </c>
      <c r="I6" s="90">
        <v>0</v>
      </c>
      <c r="J6" s="90">
        <v>0</v>
      </c>
      <c r="K6" s="90">
        <v>0</v>
      </c>
      <c r="L6" s="90">
        <v>0</v>
      </c>
      <c r="M6" s="90">
        <v>0</v>
      </c>
      <c r="N6" s="90">
        <v>0</v>
      </c>
      <c r="O6" s="90">
        <v>0</v>
      </c>
    </row>
    <row r="7" spans="1:16" ht="12.75" customHeight="1" x14ac:dyDescent="0.25">
      <c r="A7" s="376" t="s">
        <v>79</v>
      </c>
      <c r="B7" s="376" t="s">
        <v>70</v>
      </c>
      <c r="C7" s="377">
        <v>0</v>
      </c>
      <c r="D7" s="377">
        <v>0</v>
      </c>
      <c r="E7" s="377">
        <v>0</v>
      </c>
      <c r="F7" s="377">
        <v>0</v>
      </c>
      <c r="G7" s="377">
        <v>0</v>
      </c>
      <c r="H7" s="377">
        <v>0</v>
      </c>
      <c r="I7" s="377">
        <v>0</v>
      </c>
      <c r="J7" s="377">
        <v>0</v>
      </c>
      <c r="K7" s="377">
        <v>0</v>
      </c>
      <c r="L7" s="377">
        <v>0</v>
      </c>
      <c r="M7" s="377">
        <v>0</v>
      </c>
      <c r="N7" s="377">
        <v>0</v>
      </c>
      <c r="O7" s="377">
        <v>0</v>
      </c>
      <c r="P7" s="375"/>
    </row>
    <row r="8" spans="1:16" ht="12.75" customHeight="1" x14ac:dyDescent="0.25">
      <c r="A8" s="89" t="s">
        <v>70</v>
      </c>
      <c r="C8" s="90">
        <v>0</v>
      </c>
      <c r="D8" s="90">
        <v>0</v>
      </c>
      <c r="E8" s="90">
        <v>0</v>
      </c>
      <c r="F8" s="90">
        <v>0</v>
      </c>
      <c r="G8" s="90">
        <v>0</v>
      </c>
      <c r="H8" s="90">
        <v>0</v>
      </c>
      <c r="I8" s="90">
        <v>0</v>
      </c>
      <c r="J8" s="90">
        <v>0</v>
      </c>
      <c r="K8" s="90">
        <v>0</v>
      </c>
      <c r="L8" s="90">
        <v>0</v>
      </c>
      <c r="M8" s="90">
        <v>0</v>
      </c>
      <c r="N8" s="90">
        <v>0</v>
      </c>
      <c r="O8" s="90">
        <v>0</v>
      </c>
    </row>
    <row r="9" spans="1:16" ht="12.75" customHeight="1" x14ac:dyDescent="0.25"/>
    <row r="10" spans="1:16" ht="12.75" customHeight="1" x14ac:dyDescent="0.25">
      <c r="B10" s="145" t="s">
        <v>70</v>
      </c>
      <c r="C10" s="99">
        <f>C8-I8</f>
        <v>0</v>
      </c>
      <c r="D10" s="99">
        <f>D5</f>
        <v>0</v>
      </c>
      <c r="E10" s="99">
        <f t="shared" ref="E10:P10" si="0">E5</f>
        <v>0</v>
      </c>
      <c r="F10" s="99">
        <f t="shared" si="0"/>
        <v>0</v>
      </c>
      <c r="G10" s="99">
        <f t="shared" si="0"/>
        <v>0</v>
      </c>
      <c r="H10" s="99">
        <f t="shared" si="0"/>
        <v>0</v>
      </c>
      <c r="I10" s="99">
        <f t="shared" si="0"/>
        <v>0</v>
      </c>
      <c r="J10" s="99">
        <f t="shared" si="0"/>
        <v>0</v>
      </c>
      <c r="K10" s="99">
        <f t="shared" si="0"/>
        <v>0</v>
      </c>
      <c r="L10" s="99">
        <f t="shared" si="0"/>
        <v>0</v>
      </c>
      <c r="M10" s="99">
        <f t="shared" si="0"/>
        <v>0</v>
      </c>
      <c r="N10" s="99">
        <f t="shared" si="0"/>
        <v>0</v>
      </c>
      <c r="O10" s="99">
        <f t="shared" si="0"/>
        <v>0</v>
      </c>
      <c r="P10" s="99">
        <f t="shared" si="0"/>
        <v>0</v>
      </c>
    </row>
    <row r="11" spans="1:16" ht="12.75" customHeight="1" x14ac:dyDescent="0.25">
      <c r="B11" s="145" t="s">
        <v>73</v>
      </c>
      <c r="C11" s="99">
        <f>C7</f>
        <v>0</v>
      </c>
      <c r="D11" s="150"/>
    </row>
    <row r="12" spans="1:16" x14ac:dyDescent="0.25">
      <c r="D12" s="150"/>
    </row>
    <row r="13" spans="1:16" x14ac:dyDescent="0.25">
      <c r="A13" s="94"/>
      <c r="B13" s="94"/>
      <c r="C13" s="146"/>
      <c r="D13" s="94"/>
      <c r="E13" s="94"/>
      <c r="F13" s="94"/>
      <c r="G13" s="94"/>
      <c r="H13" s="94"/>
      <c r="I13" s="94"/>
      <c r="J13" s="94"/>
      <c r="K13" s="94"/>
      <c r="L13" s="94"/>
      <c r="M13" s="94"/>
      <c r="N13" s="94"/>
      <c r="O13" s="94"/>
      <c r="P13" s="94"/>
    </row>
    <row r="14" spans="1:16" ht="13" x14ac:dyDescent="0.3">
      <c r="B14" s="97" t="s">
        <v>75</v>
      </c>
    </row>
    <row r="15" spans="1:16" ht="12.75" customHeight="1" x14ac:dyDescent="0.25">
      <c r="C15" s="89" t="s">
        <v>70</v>
      </c>
      <c r="D15" s="89" t="s">
        <v>64</v>
      </c>
      <c r="E15" s="89" t="s">
        <v>65</v>
      </c>
      <c r="F15" s="219" t="s">
        <v>164</v>
      </c>
      <c r="G15" s="89" t="s">
        <v>69</v>
      </c>
      <c r="H15" s="89" t="s">
        <v>68</v>
      </c>
      <c r="I15" s="89" t="s">
        <v>83</v>
      </c>
      <c r="J15" s="89" t="s">
        <v>66</v>
      </c>
      <c r="K15" s="89" t="s">
        <v>63</v>
      </c>
      <c r="L15" s="89" t="s">
        <v>61</v>
      </c>
      <c r="M15" s="89" t="s">
        <v>62</v>
      </c>
      <c r="N15" s="89" t="s">
        <v>67</v>
      </c>
      <c r="O15" s="89" t="s">
        <v>84</v>
      </c>
    </row>
    <row r="16" spans="1:16" ht="12.75" customHeight="1" x14ac:dyDescent="0.25">
      <c r="B16" s="89" t="s">
        <v>72</v>
      </c>
      <c r="C16" s="90">
        <v>0</v>
      </c>
      <c r="D16" s="90">
        <v>0</v>
      </c>
      <c r="E16" s="90">
        <v>0</v>
      </c>
      <c r="F16" s="90">
        <v>0</v>
      </c>
      <c r="G16" s="90">
        <v>0</v>
      </c>
      <c r="H16" s="90">
        <v>0</v>
      </c>
      <c r="I16" s="90">
        <v>0</v>
      </c>
      <c r="J16" s="90">
        <v>0</v>
      </c>
      <c r="K16" s="90">
        <v>0</v>
      </c>
      <c r="L16" s="90">
        <v>0</v>
      </c>
      <c r="M16" s="90">
        <v>0</v>
      </c>
      <c r="N16" s="90">
        <v>0</v>
      </c>
      <c r="O16" s="90">
        <v>0</v>
      </c>
    </row>
    <row r="17" spans="1:16" ht="12.75" customHeight="1" x14ac:dyDescent="0.25">
      <c r="B17" s="89" t="s">
        <v>81</v>
      </c>
      <c r="C17" s="90">
        <v>0</v>
      </c>
      <c r="D17" s="90">
        <v>0</v>
      </c>
      <c r="E17" s="90">
        <v>0</v>
      </c>
      <c r="F17" s="90">
        <v>0</v>
      </c>
      <c r="G17" s="90">
        <v>0</v>
      </c>
      <c r="H17" s="90">
        <v>0</v>
      </c>
      <c r="I17" s="90">
        <v>0</v>
      </c>
      <c r="J17" s="90">
        <v>0</v>
      </c>
      <c r="K17" s="90">
        <v>0</v>
      </c>
      <c r="L17" s="90">
        <v>0</v>
      </c>
      <c r="M17" s="90">
        <v>0</v>
      </c>
      <c r="N17" s="90">
        <v>0</v>
      </c>
      <c r="O17" s="90">
        <v>0</v>
      </c>
    </row>
    <row r="18" spans="1:16" ht="12.75" customHeight="1" x14ac:dyDescent="0.25">
      <c r="A18" s="379" t="s">
        <v>78</v>
      </c>
      <c r="B18" s="379" t="s">
        <v>70</v>
      </c>
      <c r="C18" s="380">
        <v>0</v>
      </c>
      <c r="D18" s="380">
        <v>0</v>
      </c>
      <c r="E18" s="380">
        <v>0</v>
      </c>
      <c r="F18" s="380">
        <v>0</v>
      </c>
      <c r="G18" s="380">
        <v>0</v>
      </c>
      <c r="H18" s="380">
        <v>0</v>
      </c>
      <c r="I18" s="380">
        <v>0</v>
      </c>
      <c r="J18" s="380">
        <v>0</v>
      </c>
      <c r="K18" s="380">
        <v>0</v>
      </c>
      <c r="L18" s="380">
        <v>0</v>
      </c>
      <c r="M18" s="380">
        <v>0</v>
      </c>
      <c r="N18" s="380">
        <v>0</v>
      </c>
      <c r="O18" s="380">
        <v>0</v>
      </c>
      <c r="P18" s="381"/>
    </row>
    <row r="19" spans="1:16" ht="12.75" customHeight="1" x14ac:dyDescent="0.25">
      <c r="B19" s="89" t="s">
        <v>73</v>
      </c>
      <c r="C19" s="90">
        <v>0</v>
      </c>
      <c r="D19" s="90">
        <v>0</v>
      </c>
      <c r="E19" s="90">
        <v>0</v>
      </c>
      <c r="F19" s="90">
        <v>0</v>
      </c>
      <c r="G19" s="90">
        <v>0</v>
      </c>
      <c r="H19" s="90">
        <v>0</v>
      </c>
      <c r="I19" s="90">
        <v>0</v>
      </c>
      <c r="J19" s="90">
        <v>0</v>
      </c>
      <c r="K19" s="90">
        <v>0</v>
      </c>
      <c r="L19" s="90">
        <v>0</v>
      </c>
      <c r="M19" s="90">
        <v>0</v>
      </c>
      <c r="N19" s="90">
        <v>0</v>
      </c>
      <c r="O19" s="90">
        <v>0</v>
      </c>
    </row>
    <row r="20" spans="1:16" ht="12.75" customHeight="1" x14ac:dyDescent="0.25">
      <c r="A20" s="376" t="s">
        <v>79</v>
      </c>
      <c r="B20" s="376" t="s">
        <v>70</v>
      </c>
      <c r="C20" s="377">
        <v>0</v>
      </c>
      <c r="D20" s="377">
        <v>0</v>
      </c>
      <c r="E20" s="377">
        <v>0</v>
      </c>
      <c r="F20" s="377">
        <v>0</v>
      </c>
      <c r="G20" s="377">
        <v>0</v>
      </c>
      <c r="H20" s="377">
        <v>0</v>
      </c>
      <c r="I20" s="377">
        <v>0</v>
      </c>
      <c r="J20" s="377">
        <v>0</v>
      </c>
      <c r="K20" s="377">
        <v>0</v>
      </c>
      <c r="L20" s="377">
        <v>0</v>
      </c>
      <c r="M20" s="377">
        <v>0</v>
      </c>
      <c r="N20" s="377">
        <v>0</v>
      </c>
      <c r="O20" s="377">
        <v>0</v>
      </c>
      <c r="P20" s="375"/>
    </row>
    <row r="21" spans="1:16" ht="12.75" customHeight="1" x14ac:dyDescent="0.25">
      <c r="A21" s="89" t="s">
        <v>70</v>
      </c>
      <c r="C21" s="90">
        <v>0</v>
      </c>
      <c r="D21" s="90">
        <v>0</v>
      </c>
      <c r="E21" s="90">
        <v>0</v>
      </c>
      <c r="F21" s="90">
        <v>0</v>
      </c>
      <c r="G21" s="90">
        <v>0</v>
      </c>
      <c r="H21" s="90">
        <v>0</v>
      </c>
      <c r="I21" s="90">
        <v>0</v>
      </c>
      <c r="J21" s="90">
        <v>0</v>
      </c>
      <c r="K21" s="90">
        <v>0</v>
      </c>
      <c r="L21" s="90">
        <v>0</v>
      </c>
      <c r="M21" s="90">
        <v>0</v>
      </c>
      <c r="N21" s="90">
        <v>0</v>
      </c>
      <c r="O21" s="90">
        <v>0</v>
      </c>
    </row>
    <row r="22" spans="1:16" ht="12.75" customHeight="1" x14ac:dyDescent="0.25">
      <c r="A22" s="89"/>
      <c r="C22" s="90"/>
      <c r="D22" s="90"/>
      <c r="E22" s="90"/>
      <c r="F22" s="90"/>
      <c r="G22" s="90"/>
      <c r="H22" s="90"/>
      <c r="I22" s="90"/>
      <c r="J22" s="90"/>
      <c r="K22" s="90"/>
      <c r="L22" s="90"/>
      <c r="M22" s="90"/>
      <c r="N22" s="90"/>
      <c r="O22" s="90"/>
      <c r="P22" s="90"/>
    </row>
    <row r="23" spans="1:16" ht="12.75" customHeight="1" x14ac:dyDescent="0.25">
      <c r="B23" s="145" t="s">
        <v>70</v>
      </c>
      <c r="C23" s="99">
        <f>C21-I21</f>
        <v>0</v>
      </c>
      <c r="D23" s="99">
        <f>D18</f>
        <v>0</v>
      </c>
      <c r="E23" s="99">
        <f t="shared" ref="E23:P23" si="1">E18</f>
        <v>0</v>
      </c>
      <c r="F23" s="99">
        <f t="shared" si="1"/>
        <v>0</v>
      </c>
      <c r="G23" s="99">
        <f t="shared" si="1"/>
        <v>0</v>
      </c>
      <c r="H23" s="99">
        <f t="shared" si="1"/>
        <v>0</v>
      </c>
      <c r="I23" s="99">
        <f t="shared" si="1"/>
        <v>0</v>
      </c>
      <c r="J23" s="99">
        <f t="shared" si="1"/>
        <v>0</v>
      </c>
      <c r="K23" s="99">
        <f t="shared" si="1"/>
        <v>0</v>
      </c>
      <c r="L23" s="99">
        <f t="shared" si="1"/>
        <v>0</v>
      </c>
      <c r="M23" s="99">
        <f t="shared" si="1"/>
        <v>0</v>
      </c>
      <c r="N23" s="99">
        <f t="shared" si="1"/>
        <v>0</v>
      </c>
      <c r="O23" s="99">
        <f t="shared" si="1"/>
        <v>0</v>
      </c>
      <c r="P23" s="99">
        <f t="shared" si="1"/>
        <v>0</v>
      </c>
    </row>
    <row r="24" spans="1:16" ht="12.75" customHeight="1" x14ac:dyDescent="0.25">
      <c r="B24" s="145" t="s">
        <v>73</v>
      </c>
      <c r="C24" s="99">
        <f>C20</f>
        <v>0</v>
      </c>
    </row>
    <row r="26" spans="1:16" x14ac:dyDescent="0.25">
      <c r="A26" s="94"/>
      <c r="B26" s="94"/>
      <c r="C26" s="146"/>
      <c r="D26" s="94"/>
      <c r="E26" s="94"/>
      <c r="F26" s="94"/>
      <c r="G26" s="94"/>
      <c r="H26" s="94"/>
      <c r="I26" s="94"/>
      <c r="J26" s="94"/>
      <c r="K26" s="94"/>
      <c r="L26" s="94"/>
      <c r="M26" s="94"/>
      <c r="N26" s="94"/>
      <c r="O26" s="94"/>
      <c r="P26" s="94"/>
    </row>
    <row r="27" spans="1:16" ht="13" x14ac:dyDescent="0.3">
      <c r="B27" s="97" t="s">
        <v>76</v>
      </c>
    </row>
    <row r="28" spans="1:16" ht="12.75" customHeight="1" x14ac:dyDescent="0.25">
      <c r="C28" s="89" t="s">
        <v>70</v>
      </c>
      <c r="D28" s="89" t="s">
        <v>64</v>
      </c>
      <c r="E28" s="89" t="s">
        <v>65</v>
      </c>
      <c r="F28" s="219" t="s">
        <v>164</v>
      </c>
      <c r="G28" s="89" t="s">
        <v>69</v>
      </c>
      <c r="H28" s="89" t="s">
        <v>68</v>
      </c>
      <c r="I28" s="89" t="s">
        <v>83</v>
      </c>
      <c r="J28" s="89" t="s">
        <v>66</v>
      </c>
      <c r="K28" s="89" t="s">
        <v>63</v>
      </c>
      <c r="L28" s="89" t="s">
        <v>61</v>
      </c>
      <c r="M28" s="89" t="s">
        <v>62</v>
      </c>
      <c r="N28" s="89" t="s">
        <v>67</v>
      </c>
      <c r="O28" s="89" t="s">
        <v>84</v>
      </c>
    </row>
    <row r="29" spans="1:16" ht="12.75" customHeight="1" x14ac:dyDescent="0.25">
      <c r="B29" s="89" t="s">
        <v>72</v>
      </c>
      <c r="C29" s="90">
        <v>0</v>
      </c>
      <c r="D29" s="90">
        <v>0</v>
      </c>
      <c r="E29" s="90">
        <v>0</v>
      </c>
      <c r="F29" s="90">
        <v>0</v>
      </c>
      <c r="G29" s="90">
        <v>0</v>
      </c>
      <c r="H29" s="90">
        <v>0</v>
      </c>
      <c r="I29" s="90">
        <v>0</v>
      </c>
      <c r="J29" s="90">
        <v>0</v>
      </c>
      <c r="K29" s="90">
        <v>0</v>
      </c>
      <c r="L29" s="90">
        <v>0</v>
      </c>
      <c r="M29" s="90">
        <v>0</v>
      </c>
      <c r="N29" s="90">
        <v>0</v>
      </c>
      <c r="O29" s="90">
        <v>0</v>
      </c>
    </row>
    <row r="30" spans="1:16" ht="12.75" customHeight="1" x14ac:dyDescent="0.25">
      <c r="B30" s="89" t="s">
        <v>81</v>
      </c>
      <c r="C30" s="90">
        <v>0</v>
      </c>
      <c r="D30" s="90">
        <v>0</v>
      </c>
      <c r="E30" s="90">
        <v>0</v>
      </c>
      <c r="F30" s="90">
        <v>0</v>
      </c>
      <c r="G30" s="90">
        <v>0</v>
      </c>
      <c r="H30" s="90">
        <v>0</v>
      </c>
      <c r="I30" s="90">
        <v>0</v>
      </c>
      <c r="J30" s="90">
        <v>0</v>
      </c>
      <c r="K30" s="90">
        <v>0</v>
      </c>
      <c r="L30" s="90">
        <v>0</v>
      </c>
      <c r="M30" s="90">
        <v>0</v>
      </c>
      <c r="N30" s="90">
        <v>0</v>
      </c>
      <c r="O30" s="90">
        <v>0</v>
      </c>
    </row>
    <row r="31" spans="1:16" ht="12.75" customHeight="1" x14ac:dyDescent="0.25">
      <c r="A31" s="379" t="s">
        <v>78</v>
      </c>
      <c r="B31" s="379" t="s">
        <v>70</v>
      </c>
      <c r="C31" s="380">
        <v>0</v>
      </c>
      <c r="D31" s="380">
        <v>0</v>
      </c>
      <c r="E31" s="380">
        <v>0</v>
      </c>
      <c r="F31" s="380">
        <v>0</v>
      </c>
      <c r="G31" s="380">
        <v>0</v>
      </c>
      <c r="H31" s="380">
        <v>0</v>
      </c>
      <c r="I31" s="380">
        <v>0</v>
      </c>
      <c r="J31" s="380">
        <v>0</v>
      </c>
      <c r="K31" s="380">
        <v>0</v>
      </c>
      <c r="L31" s="380">
        <v>0</v>
      </c>
      <c r="M31" s="380">
        <v>0</v>
      </c>
      <c r="N31" s="380">
        <v>0</v>
      </c>
      <c r="O31" s="380">
        <v>0</v>
      </c>
      <c r="P31" s="381"/>
    </row>
    <row r="32" spans="1:16" ht="12.75" customHeight="1" x14ac:dyDescent="0.25">
      <c r="B32" s="89" t="s">
        <v>73</v>
      </c>
      <c r="C32" s="90">
        <v>0</v>
      </c>
      <c r="D32" s="90">
        <v>0</v>
      </c>
      <c r="E32" s="90">
        <v>0</v>
      </c>
      <c r="F32" s="90">
        <v>0</v>
      </c>
      <c r="G32" s="90">
        <v>0</v>
      </c>
      <c r="H32" s="90">
        <v>0</v>
      </c>
      <c r="I32" s="90">
        <v>0</v>
      </c>
      <c r="J32" s="90">
        <v>0</v>
      </c>
      <c r="K32" s="90">
        <v>0</v>
      </c>
      <c r="L32" s="90">
        <v>0</v>
      </c>
      <c r="M32" s="90">
        <v>0</v>
      </c>
      <c r="N32" s="90">
        <v>0</v>
      </c>
      <c r="O32" s="90">
        <v>0</v>
      </c>
    </row>
    <row r="33" spans="1:16" ht="12.75" customHeight="1" x14ac:dyDescent="0.25">
      <c r="A33" s="376" t="s">
        <v>79</v>
      </c>
      <c r="B33" s="376" t="s">
        <v>70</v>
      </c>
      <c r="C33" s="377">
        <v>0</v>
      </c>
      <c r="D33" s="377">
        <v>0</v>
      </c>
      <c r="E33" s="377">
        <v>0</v>
      </c>
      <c r="F33" s="377">
        <v>0</v>
      </c>
      <c r="G33" s="377">
        <v>0</v>
      </c>
      <c r="H33" s="377">
        <v>0</v>
      </c>
      <c r="I33" s="377">
        <v>0</v>
      </c>
      <c r="J33" s="377">
        <v>0</v>
      </c>
      <c r="K33" s="377">
        <v>0</v>
      </c>
      <c r="L33" s="377">
        <v>0</v>
      </c>
      <c r="M33" s="377">
        <v>0</v>
      </c>
      <c r="N33" s="377">
        <v>0</v>
      </c>
      <c r="O33" s="377">
        <v>0</v>
      </c>
      <c r="P33" s="375"/>
    </row>
    <row r="34" spans="1:16" ht="12.75" customHeight="1" x14ac:dyDescent="0.25">
      <c r="A34" s="89" t="s">
        <v>70</v>
      </c>
      <c r="C34" s="90">
        <v>0</v>
      </c>
      <c r="D34" s="90">
        <v>0</v>
      </c>
      <c r="E34" s="90">
        <v>0</v>
      </c>
      <c r="F34" s="90">
        <v>0</v>
      </c>
      <c r="G34" s="90">
        <v>0</v>
      </c>
      <c r="H34" s="90">
        <v>0</v>
      </c>
      <c r="I34" s="90">
        <v>0</v>
      </c>
      <c r="J34" s="90">
        <v>0</v>
      </c>
      <c r="K34" s="90">
        <v>0</v>
      </c>
      <c r="L34" s="90">
        <v>0</v>
      </c>
      <c r="M34" s="90">
        <v>0</v>
      </c>
      <c r="N34" s="90">
        <v>0</v>
      </c>
      <c r="O34" s="90">
        <v>0</v>
      </c>
    </row>
    <row r="35" spans="1:16" ht="12.75" customHeight="1" x14ac:dyDescent="0.25">
      <c r="A35" s="89"/>
      <c r="C35" s="90"/>
      <c r="D35" s="90"/>
      <c r="E35" s="90"/>
      <c r="F35" s="90"/>
      <c r="G35" s="90"/>
      <c r="H35" s="90"/>
      <c r="I35" s="90"/>
      <c r="J35" s="90"/>
      <c r="L35" s="90"/>
      <c r="M35" s="90"/>
      <c r="N35" s="90"/>
      <c r="O35" s="90"/>
      <c r="P35" s="90"/>
    </row>
    <row r="36" spans="1:16" ht="12.75" customHeight="1" x14ac:dyDescent="0.25">
      <c r="B36" s="145" t="s">
        <v>70</v>
      </c>
      <c r="C36" s="99">
        <f>C34-I34</f>
        <v>0</v>
      </c>
      <c r="D36" s="99">
        <f>D31</f>
        <v>0</v>
      </c>
      <c r="E36" s="99">
        <f t="shared" ref="E36:P36" si="2">E31</f>
        <v>0</v>
      </c>
      <c r="F36" s="99">
        <f t="shared" si="2"/>
        <v>0</v>
      </c>
      <c r="G36" s="99">
        <f t="shared" si="2"/>
        <v>0</v>
      </c>
      <c r="H36" s="99">
        <f t="shared" si="2"/>
        <v>0</v>
      </c>
      <c r="I36" s="99">
        <f t="shared" si="2"/>
        <v>0</v>
      </c>
      <c r="J36" s="99">
        <f t="shared" si="2"/>
        <v>0</v>
      </c>
      <c r="K36" s="99">
        <f t="shared" si="2"/>
        <v>0</v>
      </c>
      <c r="L36" s="99">
        <f t="shared" si="2"/>
        <v>0</v>
      </c>
      <c r="M36" s="99">
        <f t="shared" si="2"/>
        <v>0</v>
      </c>
      <c r="N36" s="99">
        <f t="shared" si="2"/>
        <v>0</v>
      </c>
      <c r="O36" s="99">
        <f t="shared" si="2"/>
        <v>0</v>
      </c>
      <c r="P36" s="99">
        <f t="shared" si="2"/>
        <v>0</v>
      </c>
    </row>
    <row r="37" spans="1:16" ht="12.75" customHeight="1" x14ac:dyDescent="0.25">
      <c r="B37" s="145" t="s">
        <v>73</v>
      </c>
      <c r="C37" s="99">
        <f>C33</f>
        <v>0</v>
      </c>
    </row>
    <row r="39" spans="1:16" x14ac:dyDescent="0.25">
      <c r="A39" s="94"/>
      <c r="B39" s="94"/>
      <c r="C39" s="146"/>
      <c r="D39" s="94"/>
      <c r="E39" s="94"/>
      <c r="F39" s="94"/>
      <c r="G39" s="94"/>
      <c r="H39" s="94"/>
      <c r="I39" s="94"/>
      <c r="J39" s="94"/>
      <c r="K39" s="94"/>
      <c r="L39" s="94"/>
      <c r="M39" s="94"/>
      <c r="N39" s="94"/>
      <c r="O39" s="94"/>
      <c r="P39" s="94"/>
    </row>
    <row r="40" spans="1:16" ht="13" x14ac:dyDescent="0.3">
      <c r="B40" s="97" t="s">
        <v>88</v>
      </c>
    </row>
    <row r="41" spans="1:16" ht="12.75" customHeight="1" x14ac:dyDescent="0.25">
      <c r="C41" s="89" t="s">
        <v>70</v>
      </c>
      <c r="D41" s="89" t="s">
        <v>64</v>
      </c>
      <c r="E41" s="89" t="s">
        <v>65</v>
      </c>
      <c r="F41" s="219" t="s">
        <v>164</v>
      </c>
      <c r="G41" s="89" t="s">
        <v>69</v>
      </c>
      <c r="H41" s="89" t="s">
        <v>68</v>
      </c>
      <c r="I41" s="89" t="s">
        <v>83</v>
      </c>
      <c r="J41" s="89" t="s">
        <v>66</v>
      </c>
      <c r="K41" s="89" t="s">
        <v>63</v>
      </c>
      <c r="L41" s="89" t="s">
        <v>61</v>
      </c>
      <c r="M41" s="89" t="s">
        <v>62</v>
      </c>
      <c r="N41" s="89" t="s">
        <v>67</v>
      </c>
      <c r="O41" s="89" t="s">
        <v>84</v>
      </c>
    </row>
    <row r="42" spans="1:16" ht="12.75" customHeight="1" x14ac:dyDescent="0.25">
      <c r="B42" s="89" t="s">
        <v>72</v>
      </c>
      <c r="C42" s="90">
        <v>0</v>
      </c>
      <c r="D42" s="90">
        <v>0</v>
      </c>
      <c r="E42" s="90">
        <v>0</v>
      </c>
      <c r="F42" s="90">
        <v>0</v>
      </c>
      <c r="G42" s="90">
        <v>0</v>
      </c>
      <c r="H42" s="90">
        <v>0</v>
      </c>
      <c r="I42" s="90">
        <v>0</v>
      </c>
      <c r="J42" s="90">
        <v>0</v>
      </c>
      <c r="K42" s="90">
        <v>0</v>
      </c>
      <c r="L42" s="90">
        <v>0</v>
      </c>
      <c r="M42" s="90">
        <v>0</v>
      </c>
      <c r="N42" s="90">
        <v>0</v>
      </c>
      <c r="O42" s="90">
        <v>0</v>
      </c>
    </row>
    <row r="43" spans="1:16" ht="12.75" customHeight="1" x14ac:dyDescent="0.25">
      <c r="B43" s="89" t="s">
        <v>81</v>
      </c>
      <c r="C43" s="90">
        <v>0</v>
      </c>
      <c r="D43" s="90">
        <v>0</v>
      </c>
      <c r="E43" s="90">
        <v>0</v>
      </c>
      <c r="F43" s="90">
        <v>0</v>
      </c>
      <c r="G43" s="90">
        <v>0</v>
      </c>
      <c r="H43" s="90">
        <v>0</v>
      </c>
      <c r="I43" s="90">
        <v>0</v>
      </c>
      <c r="J43" s="90">
        <v>0</v>
      </c>
      <c r="K43" s="90">
        <v>0</v>
      </c>
      <c r="L43" s="90">
        <v>0</v>
      </c>
      <c r="M43" s="90">
        <v>0</v>
      </c>
      <c r="N43" s="90">
        <v>0</v>
      </c>
      <c r="O43" s="90">
        <v>0</v>
      </c>
    </row>
    <row r="44" spans="1:16" ht="12.75" customHeight="1" x14ac:dyDescent="0.25">
      <c r="A44" s="379" t="s">
        <v>78</v>
      </c>
      <c r="B44" s="379" t="s">
        <v>70</v>
      </c>
      <c r="C44" s="380">
        <v>0</v>
      </c>
      <c r="D44" s="380">
        <v>0</v>
      </c>
      <c r="E44" s="380">
        <v>0</v>
      </c>
      <c r="F44" s="380">
        <v>0</v>
      </c>
      <c r="G44" s="380">
        <v>0</v>
      </c>
      <c r="H44" s="380">
        <v>0</v>
      </c>
      <c r="I44" s="380">
        <v>0</v>
      </c>
      <c r="J44" s="380">
        <v>0</v>
      </c>
      <c r="K44" s="380">
        <v>0</v>
      </c>
      <c r="L44" s="380">
        <v>0</v>
      </c>
      <c r="M44" s="380">
        <v>0</v>
      </c>
      <c r="N44" s="380">
        <v>0</v>
      </c>
      <c r="O44" s="380">
        <v>0</v>
      </c>
      <c r="P44" s="381"/>
    </row>
    <row r="45" spans="1:16" ht="12.75" customHeight="1" x14ac:dyDescent="0.25">
      <c r="B45" s="89" t="s">
        <v>73</v>
      </c>
      <c r="C45" s="90">
        <v>0</v>
      </c>
      <c r="D45" s="90">
        <v>0</v>
      </c>
      <c r="E45" s="90">
        <v>0</v>
      </c>
      <c r="F45" s="90">
        <v>0</v>
      </c>
      <c r="G45" s="90">
        <v>0</v>
      </c>
      <c r="H45" s="90">
        <v>0</v>
      </c>
      <c r="I45" s="90">
        <v>0</v>
      </c>
      <c r="J45" s="90">
        <v>0</v>
      </c>
      <c r="K45" s="90">
        <v>0</v>
      </c>
      <c r="L45" s="90">
        <v>0</v>
      </c>
      <c r="M45" s="90">
        <v>0</v>
      </c>
      <c r="N45" s="90">
        <v>0</v>
      </c>
      <c r="O45" s="90">
        <v>0</v>
      </c>
    </row>
    <row r="46" spans="1:16" ht="12.75" customHeight="1" x14ac:dyDescent="0.25">
      <c r="A46" s="376" t="s">
        <v>79</v>
      </c>
      <c r="B46" s="376" t="s">
        <v>70</v>
      </c>
      <c r="C46" s="377">
        <v>0</v>
      </c>
      <c r="D46" s="377">
        <v>0</v>
      </c>
      <c r="E46" s="377">
        <v>0</v>
      </c>
      <c r="F46" s="377">
        <v>0</v>
      </c>
      <c r="G46" s="377">
        <v>0</v>
      </c>
      <c r="H46" s="377">
        <v>0</v>
      </c>
      <c r="I46" s="377">
        <v>0</v>
      </c>
      <c r="J46" s="377">
        <v>0</v>
      </c>
      <c r="K46" s="377">
        <v>0</v>
      </c>
      <c r="L46" s="377">
        <v>0</v>
      </c>
      <c r="M46" s="377">
        <v>0</v>
      </c>
      <c r="N46" s="377">
        <v>0</v>
      </c>
      <c r="O46" s="377">
        <v>0</v>
      </c>
      <c r="P46" s="375"/>
    </row>
    <row r="47" spans="1:16" ht="12.75" customHeight="1" x14ac:dyDescent="0.25">
      <c r="A47" s="89" t="s">
        <v>70</v>
      </c>
      <c r="C47" s="90">
        <v>0</v>
      </c>
      <c r="D47" s="90">
        <v>0</v>
      </c>
      <c r="E47" s="90">
        <v>0</v>
      </c>
      <c r="F47" s="90">
        <v>0</v>
      </c>
      <c r="G47" s="90">
        <v>0</v>
      </c>
      <c r="H47" s="90">
        <v>0</v>
      </c>
      <c r="I47" s="90">
        <v>0</v>
      </c>
      <c r="J47" s="90">
        <v>0</v>
      </c>
      <c r="K47" s="90">
        <v>0</v>
      </c>
      <c r="L47" s="90">
        <v>0</v>
      </c>
      <c r="M47" s="90">
        <v>0</v>
      </c>
      <c r="N47" s="90">
        <v>0</v>
      </c>
      <c r="O47" s="90">
        <v>0</v>
      </c>
    </row>
    <row r="48" spans="1:16" ht="12.75" customHeight="1" x14ac:dyDescent="0.25">
      <c r="A48" s="89"/>
      <c r="C48" s="90"/>
      <c r="D48" s="90"/>
      <c r="E48" s="90"/>
      <c r="F48" s="90"/>
      <c r="G48" s="90"/>
      <c r="H48" s="90"/>
      <c r="I48" s="90"/>
      <c r="J48" s="90"/>
      <c r="K48" s="90"/>
      <c r="L48" s="90"/>
      <c r="M48" s="90"/>
      <c r="N48" s="90"/>
      <c r="O48" s="90"/>
      <c r="P48" s="90"/>
    </row>
    <row r="49" spans="1:16" ht="12.75" customHeight="1" x14ac:dyDescent="0.25">
      <c r="B49" s="145" t="s">
        <v>70</v>
      </c>
      <c r="C49" s="99">
        <f>C47-I47</f>
        <v>0</v>
      </c>
      <c r="D49" s="99">
        <f>D44</f>
        <v>0</v>
      </c>
      <c r="E49" s="99">
        <f t="shared" ref="E49:P49" si="3">E44</f>
        <v>0</v>
      </c>
      <c r="F49" s="99">
        <f t="shared" si="3"/>
        <v>0</v>
      </c>
      <c r="G49" s="99">
        <f t="shared" si="3"/>
        <v>0</v>
      </c>
      <c r="H49" s="99">
        <f t="shared" si="3"/>
        <v>0</v>
      </c>
      <c r="I49" s="99">
        <f t="shared" si="3"/>
        <v>0</v>
      </c>
      <c r="J49" s="99">
        <f t="shared" si="3"/>
        <v>0</v>
      </c>
      <c r="K49" s="99">
        <f t="shared" si="3"/>
        <v>0</v>
      </c>
      <c r="L49" s="99">
        <f t="shared" si="3"/>
        <v>0</v>
      </c>
      <c r="M49" s="99">
        <f t="shared" si="3"/>
        <v>0</v>
      </c>
      <c r="N49" s="99">
        <f t="shared" si="3"/>
        <v>0</v>
      </c>
      <c r="O49" s="99">
        <f t="shared" si="3"/>
        <v>0</v>
      </c>
      <c r="P49" s="99">
        <f t="shared" si="3"/>
        <v>0</v>
      </c>
    </row>
    <row r="50" spans="1:16" ht="12.75" customHeight="1" x14ac:dyDescent="0.25">
      <c r="B50" s="145" t="s">
        <v>73</v>
      </c>
      <c r="C50" s="99">
        <f>C46</f>
        <v>0</v>
      </c>
    </row>
    <row r="52" spans="1:16" x14ac:dyDescent="0.25">
      <c r="A52" s="94"/>
      <c r="B52" s="94"/>
      <c r="C52" s="146"/>
      <c r="D52" s="94"/>
      <c r="E52" s="94"/>
      <c r="F52" s="94"/>
      <c r="G52" s="94"/>
      <c r="H52" s="94"/>
      <c r="I52" s="94"/>
      <c r="J52" s="94"/>
      <c r="K52" s="94"/>
      <c r="L52" s="94"/>
      <c r="M52" s="94"/>
      <c r="N52" s="94"/>
      <c r="O52" s="94"/>
      <c r="P52" s="94"/>
    </row>
    <row r="53" spans="1:16" ht="13" x14ac:dyDescent="0.3">
      <c r="B53" s="97" t="s">
        <v>93</v>
      </c>
    </row>
    <row r="54" spans="1:16" ht="12.75" customHeight="1" x14ac:dyDescent="0.25">
      <c r="C54" s="89" t="s">
        <v>70</v>
      </c>
      <c r="D54" s="89" t="s">
        <v>64</v>
      </c>
      <c r="E54" s="89" t="s">
        <v>65</v>
      </c>
      <c r="F54" s="219" t="s">
        <v>164</v>
      </c>
      <c r="G54" s="89" t="s">
        <v>69</v>
      </c>
      <c r="H54" s="89" t="s">
        <v>68</v>
      </c>
      <c r="I54" t="s">
        <v>83</v>
      </c>
      <c r="J54" s="89" t="s">
        <v>66</v>
      </c>
      <c r="K54" s="89" t="s">
        <v>63</v>
      </c>
      <c r="L54" s="89" t="s">
        <v>61</v>
      </c>
      <c r="M54" s="89" t="s">
        <v>62</v>
      </c>
      <c r="N54" s="89" t="s">
        <v>67</v>
      </c>
      <c r="O54" s="89" t="s">
        <v>84</v>
      </c>
    </row>
    <row r="55" spans="1:16" ht="12.75" customHeight="1" x14ac:dyDescent="0.25">
      <c r="B55" s="89" t="s">
        <v>72</v>
      </c>
      <c r="C55" s="90">
        <v>0</v>
      </c>
      <c r="D55" s="90">
        <v>0</v>
      </c>
      <c r="E55" s="90">
        <v>0</v>
      </c>
      <c r="F55" s="90">
        <v>0</v>
      </c>
      <c r="G55" s="90">
        <v>0</v>
      </c>
      <c r="H55" s="90">
        <v>0</v>
      </c>
      <c r="I55">
        <v>0</v>
      </c>
      <c r="J55" s="90">
        <v>0</v>
      </c>
      <c r="K55" s="90">
        <v>0</v>
      </c>
      <c r="L55" s="90">
        <v>0</v>
      </c>
      <c r="M55" s="90">
        <v>0</v>
      </c>
      <c r="N55" s="90">
        <v>0</v>
      </c>
      <c r="O55" s="90">
        <v>0</v>
      </c>
    </row>
    <row r="56" spans="1:16" ht="12.75" customHeight="1" x14ac:dyDescent="0.25">
      <c r="B56" s="89" t="s">
        <v>81</v>
      </c>
      <c r="C56" s="90">
        <v>0</v>
      </c>
      <c r="D56" s="90">
        <v>0</v>
      </c>
      <c r="E56" s="90">
        <v>0</v>
      </c>
      <c r="F56" s="90">
        <v>0</v>
      </c>
      <c r="G56" s="90">
        <v>0</v>
      </c>
      <c r="H56" s="90">
        <v>0</v>
      </c>
      <c r="I56">
        <v>0</v>
      </c>
      <c r="J56" s="90">
        <v>0</v>
      </c>
      <c r="K56" s="90">
        <v>0</v>
      </c>
      <c r="L56" s="90">
        <v>0</v>
      </c>
      <c r="M56" s="90">
        <v>0</v>
      </c>
      <c r="N56" s="90">
        <v>0</v>
      </c>
      <c r="O56" s="90">
        <v>0</v>
      </c>
    </row>
    <row r="57" spans="1:16" ht="12.75" customHeight="1" x14ac:dyDescent="0.25">
      <c r="A57" s="379" t="s">
        <v>78</v>
      </c>
      <c r="B57" s="379" t="s">
        <v>70</v>
      </c>
      <c r="C57" s="380">
        <v>0</v>
      </c>
      <c r="D57" s="380">
        <v>0</v>
      </c>
      <c r="E57" s="380">
        <v>0</v>
      </c>
      <c r="F57" s="380">
        <v>0</v>
      </c>
      <c r="G57" s="380">
        <v>0</v>
      </c>
      <c r="H57" s="380">
        <v>0</v>
      </c>
      <c r="I57" s="381">
        <v>0</v>
      </c>
      <c r="J57" s="380">
        <v>0</v>
      </c>
      <c r="K57" s="380">
        <v>0</v>
      </c>
      <c r="L57" s="380">
        <v>0</v>
      </c>
      <c r="M57" s="380">
        <v>0</v>
      </c>
      <c r="N57" s="380">
        <v>0</v>
      </c>
      <c r="O57" s="380">
        <v>0</v>
      </c>
      <c r="P57" s="381"/>
    </row>
    <row r="58" spans="1:16" ht="12.75" customHeight="1" x14ac:dyDescent="0.25">
      <c r="B58" s="89" t="s">
        <v>73</v>
      </c>
      <c r="C58" s="90">
        <v>0</v>
      </c>
      <c r="D58" s="90">
        <v>0</v>
      </c>
      <c r="E58" s="90">
        <v>0</v>
      </c>
      <c r="F58" s="90">
        <v>0</v>
      </c>
      <c r="G58" s="90">
        <v>0</v>
      </c>
      <c r="H58" s="90">
        <v>0</v>
      </c>
      <c r="I58">
        <v>0</v>
      </c>
      <c r="J58" s="90">
        <v>0</v>
      </c>
      <c r="K58" s="90">
        <v>0</v>
      </c>
      <c r="L58" s="90">
        <v>0</v>
      </c>
      <c r="M58" s="90">
        <v>0</v>
      </c>
      <c r="N58" s="90">
        <v>0</v>
      </c>
      <c r="O58" s="90">
        <v>0</v>
      </c>
    </row>
    <row r="59" spans="1:16" ht="12.75" customHeight="1" x14ac:dyDescent="0.25">
      <c r="A59" s="376" t="s">
        <v>79</v>
      </c>
      <c r="B59" s="376" t="s">
        <v>70</v>
      </c>
      <c r="C59" s="377">
        <v>0</v>
      </c>
      <c r="D59" s="377">
        <v>0</v>
      </c>
      <c r="E59" s="377">
        <v>0</v>
      </c>
      <c r="F59" s="377">
        <v>0</v>
      </c>
      <c r="G59" s="377">
        <v>0</v>
      </c>
      <c r="H59" s="377">
        <v>0</v>
      </c>
      <c r="I59" s="375">
        <v>0</v>
      </c>
      <c r="J59" s="377">
        <v>0</v>
      </c>
      <c r="K59" s="377">
        <v>0</v>
      </c>
      <c r="L59" s="377">
        <v>0</v>
      </c>
      <c r="M59" s="377">
        <v>0</v>
      </c>
      <c r="N59" s="377">
        <v>0</v>
      </c>
      <c r="O59" s="377">
        <v>0</v>
      </c>
      <c r="P59" s="375"/>
    </row>
    <row r="60" spans="1:16" ht="12.75" customHeight="1" x14ac:dyDescent="0.25">
      <c r="A60" s="89" t="s">
        <v>70</v>
      </c>
      <c r="C60" s="90">
        <v>0</v>
      </c>
      <c r="D60" s="90">
        <v>0</v>
      </c>
      <c r="E60" s="90">
        <v>0</v>
      </c>
      <c r="F60" s="90">
        <v>0</v>
      </c>
      <c r="G60" s="90">
        <v>0</v>
      </c>
      <c r="H60" s="90">
        <v>0</v>
      </c>
      <c r="I60">
        <v>0</v>
      </c>
      <c r="J60" s="90">
        <v>0</v>
      </c>
      <c r="K60" s="90">
        <v>0</v>
      </c>
      <c r="L60" s="90">
        <v>0</v>
      </c>
      <c r="M60" s="90">
        <v>0</v>
      </c>
      <c r="N60" s="90">
        <v>0</v>
      </c>
      <c r="O60" s="90">
        <v>0</v>
      </c>
    </row>
    <row r="62" spans="1:16" ht="12.75" customHeight="1" x14ac:dyDescent="0.25">
      <c r="B62" s="145" t="s">
        <v>70</v>
      </c>
      <c r="C62" s="99">
        <f>C60-I60</f>
        <v>0</v>
      </c>
      <c r="D62" s="99">
        <f>D57</f>
        <v>0</v>
      </c>
      <c r="E62" s="99">
        <f t="shared" ref="E62:P62" si="4">E57</f>
        <v>0</v>
      </c>
      <c r="F62" s="99">
        <f t="shared" si="4"/>
        <v>0</v>
      </c>
      <c r="G62" s="99">
        <f t="shared" si="4"/>
        <v>0</v>
      </c>
      <c r="H62" s="99">
        <f t="shared" si="4"/>
        <v>0</v>
      </c>
      <c r="I62" s="99">
        <f t="shared" si="4"/>
        <v>0</v>
      </c>
      <c r="J62" s="99">
        <f t="shared" si="4"/>
        <v>0</v>
      </c>
      <c r="K62" s="99">
        <f t="shared" si="4"/>
        <v>0</v>
      </c>
      <c r="L62" s="99">
        <f t="shared" si="4"/>
        <v>0</v>
      </c>
      <c r="M62" s="99">
        <f t="shared" si="4"/>
        <v>0</v>
      </c>
      <c r="N62" s="99">
        <f t="shared" si="4"/>
        <v>0</v>
      </c>
      <c r="O62" s="99">
        <f t="shared" si="4"/>
        <v>0</v>
      </c>
      <c r="P62" s="99">
        <f t="shared" si="4"/>
        <v>0</v>
      </c>
    </row>
    <row r="63" spans="1:16" ht="12.75" customHeight="1" x14ac:dyDescent="0.25">
      <c r="B63" s="145" t="s">
        <v>73</v>
      </c>
      <c r="C63" s="99">
        <f>C59</f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O62"/>
  <sheetViews>
    <sheetView zoomScale="90" zoomScaleNormal="90" workbookViewId="0">
      <pane ySplit="2" topLeftCell="A3" activePane="bottomLeft" state="frozen"/>
      <selection activeCell="C50" sqref="C50"/>
      <selection pane="bottomLeft" activeCell="A3" sqref="A3"/>
    </sheetView>
  </sheetViews>
  <sheetFormatPr baseColWidth="10" defaultRowHeight="12.5" x14ac:dyDescent="0.25"/>
  <cols>
    <col min="2" max="2" width="24.453125" bestFit="1" customWidth="1"/>
    <col min="3" max="3" width="15.26953125" style="144" bestFit="1" customWidth="1"/>
    <col min="4" max="4" width="23.26953125" bestFit="1" customWidth="1"/>
    <col min="5" max="5" width="15.7265625" bestFit="1" customWidth="1"/>
    <col min="6" max="6" width="16.54296875" customWidth="1"/>
    <col min="7" max="7" width="15.453125" bestFit="1" customWidth="1"/>
    <col min="8" max="8" width="15" bestFit="1" customWidth="1"/>
    <col min="9" max="10" width="15" customWidth="1"/>
    <col min="11" max="11" width="15.26953125" bestFit="1" customWidth="1"/>
    <col min="12" max="12" width="17" bestFit="1" customWidth="1"/>
    <col min="13" max="14" width="15.54296875" bestFit="1" customWidth="1"/>
    <col min="15" max="15" width="15.26953125" bestFit="1" customWidth="1"/>
  </cols>
  <sheetData>
    <row r="1" spans="1:15" ht="13" x14ac:dyDescent="0.3">
      <c r="B1" s="97" t="s">
        <v>74</v>
      </c>
    </row>
    <row r="2" spans="1:15" ht="12.75" customHeight="1" x14ac:dyDescent="0.25">
      <c r="C2" s="89" t="s">
        <v>70</v>
      </c>
      <c r="D2" s="89" t="s">
        <v>64</v>
      </c>
      <c r="E2" s="89" t="s">
        <v>65</v>
      </c>
      <c r="F2" s="378" t="s">
        <v>164</v>
      </c>
      <c r="G2" s="89" t="s">
        <v>69</v>
      </c>
      <c r="H2" s="89" t="s">
        <v>68</v>
      </c>
      <c r="I2" s="89" t="s">
        <v>83</v>
      </c>
      <c r="J2" s="89" t="s">
        <v>66</v>
      </c>
      <c r="K2" s="89" t="s">
        <v>63</v>
      </c>
      <c r="L2" s="89" t="s">
        <v>61</v>
      </c>
      <c r="M2" s="89" t="s">
        <v>62</v>
      </c>
      <c r="N2" s="89" t="s">
        <v>67</v>
      </c>
      <c r="O2" s="89" t="s">
        <v>84</v>
      </c>
    </row>
    <row r="3" spans="1:15" ht="12.75" customHeight="1" x14ac:dyDescent="0.25">
      <c r="B3" s="89" t="s">
        <v>81</v>
      </c>
      <c r="C3" s="90">
        <v>0</v>
      </c>
      <c r="D3" s="90">
        <v>0</v>
      </c>
      <c r="E3" s="90">
        <v>0</v>
      </c>
      <c r="F3" s="90">
        <v>0</v>
      </c>
      <c r="G3" s="90">
        <v>0</v>
      </c>
      <c r="H3" s="90">
        <v>0</v>
      </c>
      <c r="I3" s="90">
        <v>0</v>
      </c>
      <c r="J3" s="90">
        <v>0</v>
      </c>
      <c r="K3" s="90">
        <v>0</v>
      </c>
      <c r="L3" s="90">
        <v>0</v>
      </c>
      <c r="M3" s="90">
        <v>0</v>
      </c>
      <c r="N3" s="90">
        <v>0</v>
      </c>
      <c r="O3" s="90">
        <v>0</v>
      </c>
    </row>
    <row r="4" spans="1:15" ht="12.75" customHeight="1" x14ac:dyDescent="0.25">
      <c r="B4" s="89" t="s">
        <v>72</v>
      </c>
      <c r="C4" s="90">
        <v>0</v>
      </c>
      <c r="D4" s="90">
        <v>0</v>
      </c>
      <c r="E4" s="90">
        <v>0</v>
      </c>
      <c r="F4" s="90">
        <v>0</v>
      </c>
      <c r="G4" s="90">
        <v>0</v>
      </c>
      <c r="H4" s="90">
        <v>0</v>
      </c>
      <c r="I4" s="90">
        <v>0</v>
      </c>
      <c r="J4" s="90">
        <v>0</v>
      </c>
      <c r="K4" s="90">
        <v>0</v>
      </c>
      <c r="L4" s="90">
        <v>0</v>
      </c>
      <c r="M4" s="90">
        <v>0</v>
      </c>
      <c r="N4" s="90">
        <v>0</v>
      </c>
      <c r="O4" s="90">
        <v>0</v>
      </c>
    </row>
    <row r="5" spans="1:15" s="381" customFormat="1" ht="12.75" customHeight="1" x14ac:dyDescent="0.25">
      <c r="A5" s="379" t="s">
        <v>78</v>
      </c>
      <c r="B5" s="379" t="s">
        <v>70</v>
      </c>
      <c r="C5" s="380">
        <v>0</v>
      </c>
      <c r="D5" s="380">
        <v>0</v>
      </c>
      <c r="E5" s="380">
        <v>0</v>
      </c>
      <c r="F5" s="380">
        <v>0</v>
      </c>
      <c r="G5" s="380">
        <v>0</v>
      </c>
      <c r="H5" s="380">
        <v>0</v>
      </c>
      <c r="I5" s="380">
        <v>0</v>
      </c>
      <c r="J5" s="380">
        <v>0</v>
      </c>
      <c r="K5" s="380">
        <v>0</v>
      </c>
      <c r="L5" s="380">
        <v>0</v>
      </c>
      <c r="M5" s="380">
        <v>0</v>
      </c>
      <c r="N5" s="380">
        <v>0</v>
      </c>
      <c r="O5" s="380">
        <v>0</v>
      </c>
    </row>
    <row r="6" spans="1:15" ht="12.75" customHeight="1" x14ac:dyDescent="0.25">
      <c r="B6" s="89" t="s">
        <v>73</v>
      </c>
      <c r="C6" s="90">
        <v>0</v>
      </c>
      <c r="D6" s="90">
        <v>0</v>
      </c>
      <c r="E6" s="90">
        <v>0</v>
      </c>
      <c r="F6" s="90">
        <v>0</v>
      </c>
      <c r="G6" s="90">
        <v>0</v>
      </c>
      <c r="H6" s="90">
        <v>0</v>
      </c>
      <c r="I6" s="90">
        <v>0</v>
      </c>
      <c r="J6" s="90">
        <v>0</v>
      </c>
      <c r="K6" s="90">
        <v>0</v>
      </c>
      <c r="L6" s="90">
        <v>0</v>
      </c>
      <c r="M6" s="90">
        <v>0</v>
      </c>
      <c r="N6" s="90">
        <v>0</v>
      </c>
      <c r="O6" s="90">
        <v>0</v>
      </c>
    </row>
    <row r="7" spans="1:15" s="375" customFormat="1" ht="12.75" customHeight="1" x14ac:dyDescent="0.25">
      <c r="A7" s="376" t="s">
        <v>79</v>
      </c>
      <c r="B7" s="376" t="s">
        <v>70</v>
      </c>
      <c r="C7" s="377">
        <v>0</v>
      </c>
      <c r="D7" s="377">
        <v>0</v>
      </c>
      <c r="E7" s="377">
        <v>0</v>
      </c>
      <c r="F7" s="377">
        <v>0</v>
      </c>
      <c r="G7" s="377">
        <v>0</v>
      </c>
      <c r="H7" s="377">
        <v>0</v>
      </c>
      <c r="I7" s="377">
        <v>0</v>
      </c>
      <c r="J7" s="377">
        <v>0</v>
      </c>
      <c r="K7" s="377">
        <v>0</v>
      </c>
      <c r="L7" s="377">
        <v>0</v>
      </c>
      <c r="M7" s="377">
        <v>0</v>
      </c>
      <c r="N7" s="377">
        <v>0</v>
      </c>
      <c r="O7" s="377">
        <v>0</v>
      </c>
    </row>
    <row r="8" spans="1:15" ht="12.75" customHeight="1" x14ac:dyDescent="0.25">
      <c r="A8" s="89" t="s">
        <v>70</v>
      </c>
      <c r="C8" s="90">
        <v>0</v>
      </c>
      <c r="D8" s="90">
        <v>0</v>
      </c>
      <c r="E8" s="90">
        <v>0</v>
      </c>
      <c r="F8" s="90">
        <v>0</v>
      </c>
      <c r="G8" s="90">
        <v>0</v>
      </c>
      <c r="H8" s="90">
        <v>0</v>
      </c>
      <c r="I8" s="90">
        <v>0</v>
      </c>
      <c r="J8" s="90">
        <v>0</v>
      </c>
      <c r="K8" s="90">
        <v>0</v>
      </c>
      <c r="L8" s="90">
        <v>0</v>
      </c>
      <c r="M8" s="90">
        <v>0</v>
      </c>
      <c r="N8" s="90">
        <v>0</v>
      </c>
      <c r="O8" s="90">
        <v>0</v>
      </c>
    </row>
    <row r="9" spans="1:15" ht="12.75" customHeight="1" x14ac:dyDescent="0.25">
      <c r="A9" s="89"/>
      <c r="C9" s="90"/>
      <c r="D9" s="90"/>
      <c r="E9" s="90"/>
      <c r="F9" s="90"/>
      <c r="G9" s="90"/>
      <c r="H9" s="90"/>
      <c r="I9" s="90"/>
      <c r="J9" s="90"/>
      <c r="K9" s="90"/>
      <c r="L9" s="90"/>
      <c r="M9" s="90"/>
      <c r="O9" s="90"/>
    </row>
    <row r="10" spans="1:15" ht="12.75" customHeight="1" x14ac:dyDescent="0.25">
      <c r="B10" s="145" t="s">
        <v>70</v>
      </c>
      <c r="C10" s="99">
        <f>C8-I8</f>
        <v>0</v>
      </c>
      <c r="D10" s="99">
        <f>D5</f>
        <v>0</v>
      </c>
      <c r="E10" s="99">
        <f t="shared" ref="E10:O10" si="0">E5</f>
        <v>0</v>
      </c>
      <c r="F10" s="99">
        <f t="shared" si="0"/>
        <v>0</v>
      </c>
      <c r="G10" s="99">
        <f t="shared" si="0"/>
        <v>0</v>
      </c>
      <c r="H10" s="99">
        <f t="shared" si="0"/>
        <v>0</v>
      </c>
      <c r="I10" s="99">
        <f t="shared" si="0"/>
        <v>0</v>
      </c>
      <c r="J10" s="99">
        <f t="shared" si="0"/>
        <v>0</v>
      </c>
      <c r="K10" s="99">
        <f t="shared" si="0"/>
        <v>0</v>
      </c>
      <c r="L10" s="99">
        <f t="shared" si="0"/>
        <v>0</v>
      </c>
      <c r="M10" s="99">
        <f t="shared" si="0"/>
        <v>0</v>
      </c>
      <c r="N10" s="99">
        <f t="shared" si="0"/>
        <v>0</v>
      </c>
      <c r="O10" s="99">
        <f t="shared" si="0"/>
        <v>0</v>
      </c>
    </row>
    <row r="11" spans="1:15" ht="12.75" customHeight="1" x14ac:dyDescent="0.25">
      <c r="B11" s="145" t="s">
        <v>73</v>
      </c>
      <c r="C11" s="99">
        <f>C7</f>
        <v>0</v>
      </c>
    </row>
    <row r="13" spans="1:15" x14ac:dyDescent="0.25">
      <c r="A13" s="94"/>
      <c r="B13" s="94"/>
      <c r="C13" s="146"/>
      <c r="D13" s="94"/>
      <c r="E13" s="94"/>
      <c r="F13" s="94"/>
      <c r="G13" s="94"/>
      <c r="H13" s="94"/>
      <c r="I13" s="94"/>
      <c r="J13" s="94"/>
      <c r="K13" s="94"/>
      <c r="L13" s="94"/>
      <c r="M13" s="94"/>
      <c r="N13" s="94"/>
      <c r="O13" s="94"/>
    </row>
    <row r="14" spans="1:15" ht="13" x14ac:dyDescent="0.3">
      <c r="B14" s="97" t="s">
        <v>75</v>
      </c>
    </row>
    <row r="15" spans="1:15" ht="12.75" customHeight="1" x14ac:dyDescent="0.25">
      <c r="C15" s="89" t="s">
        <v>70</v>
      </c>
      <c r="D15" s="89" t="s">
        <v>64</v>
      </c>
      <c r="E15" s="89" t="s">
        <v>65</v>
      </c>
      <c r="F15" s="378" t="s">
        <v>164</v>
      </c>
      <c r="G15" s="89" t="s">
        <v>69</v>
      </c>
      <c r="H15" s="89" t="s">
        <v>68</v>
      </c>
      <c r="I15" s="89" t="s">
        <v>83</v>
      </c>
      <c r="J15" s="89" t="s">
        <v>66</v>
      </c>
      <c r="K15" s="89" t="s">
        <v>63</v>
      </c>
      <c r="L15" s="89" t="s">
        <v>61</v>
      </c>
      <c r="M15" s="89" t="s">
        <v>62</v>
      </c>
      <c r="N15" s="89" t="s">
        <v>67</v>
      </c>
      <c r="O15" s="89" t="s">
        <v>84</v>
      </c>
    </row>
    <row r="16" spans="1:15" ht="12.75" customHeight="1" x14ac:dyDescent="0.25">
      <c r="B16" s="89" t="s">
        <v>81</v>
      </c>
      <c r="C16" s="90">
        <v>0</v>
      </c>
      <c r="D16" s="90">
        <v>0</v>
      </c>
      <c r="E16" s="90">
        <v>0</v>
      </c>
      <c r="F16" s="90">
        <v>0</v>
      </c>
      <c r="G16" s="90">
        <v>0</v>
      </c>
      <c r="H16" s="90">
        <v>0</v>
      </c>
      <c r="I16">
        <v>0</v>
      </c>
      <c r="J16" s="90">
        <v>0</v>
      </c>
      <c r="K16" s="90">
        <v>0</v>
      </c>
      <c r="L16" s="90">
        <v>0</v>
      </c>
      <c r="M16" s="90">
        <v>0</v>
      </c>
      <c r="N16" s="90">
        <v>0</v>
      </c>
      <c r="O16" s="90">
        <v>0</v>
      </c>
    </row>
    <row r="17" spans="1:15" ht="12.75" customHeight="1" x14ac:dyDescent="0.25">
      <c r="B17" s="89" t="s">
        <v>72</v>
      </c>
      <c r="C17" s="90">
        <v>0</v>
      </c>
      <c r="D17" s="90">
        <v>0</v>
      </c>
      <c r="E17" s="90">
        <v>0</v>
      </c>
      <c r="F17" s="90">
        <v>0</v>
      </c>
      <c r="G17" s="90">
        <v>0</v>
      </c>
      <c r="H17" s="90">
        <v>0</v>
      </c>
      <c r="I17">
        <v>0</v>
      </c>
      <c r="J17" s="90">
        <v>0</v>
      </c>
      <c r="K17" s="90">
        <v>0</v>
      </c>
      <c r="L17" s="90">
        <v>0</v>
      </c>
      <c r="M17" s="90">
        <v>0</v>
      </c>
      <c r="N17" s="90">
        <v>0</v>
      </c>
      <c r="O17" s="90">
        <v>0</v>
      </c>
    </row>
    <row r="18" spans="1:15" s="381" customFormat="1" ht="12.75" customHeight="1" x14ac:dyDescent="0.25">
      <c r="A18" s="379" t="s">
        <v>78</v>
      </c>
      <c r="B18" s="379" t="s">
        <v>70</v>
      </c>
      <c r="C18" s="380">
        <v>0</v>
      </c>
      <c r="D18" s="380">
        <v>0</v>
      </c>
      <c r="E18" s="380">
        <v>0</v>
      </c>
      <c r="F18" s="380">
        <v>0</v>
      </c>
      <c r="G18" s="380">
        <v>0</v>
      </c>
      <c r="H18" s="380">
        <v>0</v>
      </c>
      <c r="I18" s="381">
        <v>0</v>
      </c>
      <c r="J18" s="380">
        <v>0</v>
      </c>
      <c r="K18" s="380">
        <v>0</v>
      </c>
      <c r="L18" s="380">
        <v>0</v>
      </c>
      <c r="M18" s="380">
        <v>0</v>
      </c>
      <c r="N18" s="380">
        <v>0</v>
      </c>
      <c r="O18" s="380">
        <v>0</v>
      </c>
    </row>
    <row r="19" spans="1:15" ht="12.75" customHeight="1" x14ac:dyDescent="0.25">
      <c r="B19" s="89" t="s">
        <v>73</v>
      </c>
      <c r="C19" s="90">
        <v>0</v>
      </c>
      <c r="D19" s="90">
        <v>0</v>
      </c>
      <c r="E19" s="90">
        <v>0</v>
      </c>
      <c r="F19" s="90">
        <v>0</v>
      </c>
      <c r="G19" s="90">
        <v>0</v>
      </c>
      <c r="H19" s="90">
        <v>0</v>
      </c>
      <c r="I19">
        <v>0</v>
      </c>
      <c r="J19" s="90">
        <v>0</v>
      </c>
      <c r="K19" s="90">
        <v>0</v>
      </c>
      <c r="L19" s="90">
        <v>0</v>
      </c>
      <c r="M19" s="90">
        <v>0</v>
      </c>
      <c r="N19" s="90">
        <v>0</v>
      </c>
      <c r="O19" s="90">
        <v>0</v>
      </c>
    </row>
    <row r="20" spans="1:15" s="375" customFormat="1" ht="12.75" customHeight="1" x14ac:dyDescent="0.25">
      <c r="A20" s="376" t="s">
        <v>79</v>
      </c>
      <c r="B20" s="376" t="s">
        <v>70</v>
      </c>
      <c r="C20" s="377">
        <v>0</v>
      </c>
      <c r="D20" s="377">
        <v>0</v>
      </c>
      <c r="E20" s="377">
        <v>0</v>
      </c>
      <c r="F20" s="377">
        <v>0</v>
      </c>
      <c r="G20" s="377">
        <v>0</v>
      </c>
      <c r="H20" s="377">
        <v>0</v>
      </c>
      <c r="I20" s="375">
        <v>0</v>
      </c>
      <c r="J20" s="377">
        <v>0</v>
      </c>
      <c r="K20" s="377">
        <v>0</v>
      </c>
      <c r="L20" s="377">
        <v>0</v>
      </c>
      <c r="M20" s="377">
        <v>0</v>
      </c>
      <c r="N20" s="377">
        <v>0</v>
      </c>
      <c r="O20" s="377">
        <v>0</v>
      </c>
    </row>
    <row r="21" spans="1:15" ht="12.75" customHeight="1" x14ac:dyDescent="0.25">
      <c r="A21" s="89" t="s">
        <v>70</v>
      </c>
      <c r="C21" s="90">
        <v>0</v>
      </c>
      <c r="D21" s="90">
        <v>0</v>
      </c>
      <c r="E21" s="90">
        <v>0</v>
      </c>
      <c r="F21" s="90">
        <v>0</v>
      </c>
      <c r="G21" s="90">
        <v>0</v>
      </c>
      <c r="H21" s="90">
        <v>0</v>
      </c>
      <c r="I21">
        <v>0</v>
      </c>
      <c r="J21" s="90">
        <v>0</v>
      </c>
      <c r="K21" s="90">
        <v>0</v>
      </c>
      <c r="L21" s="90">
        <v>0</v>
      </c>
      <c r="M21" s="90">
        <v>0</v>
      </c>
      <c r="N21" s="90">
        <v>0</v>
      </c>
      <c r="O21" s="90">
        <v>0</v>
      </c>
    </row>
    <row r="22" spans="1:15" ht="12.75" customHeight="1" x14ac:dyDescent="0.25">
      <c r="A22" s="89"/>
      <c r="C22" s="90"/>
      <c r="D22" s="90"/>
      <c r="E22" s="90"/>
      <c r="F22" s="90"/>
      <c r="G22" s="90"/>
      <c r="H22" s="90"/>
      <c r="J22" s="90"/>
      <c r="K22" s="90"/>
      <c r="L22" s="90"/>
      <c r="M22" s="90"/>
      <c r="N22" s="90"/>
    </row>
    <row r="23" spans="1:15" ht="12.75" customHeight="1" x14ac:dyDescent="0.25">
      <c r="B23" s="145" t="s">
        <v>70</v>
      </c>
      <c r="C23" s="99">
        <f>C21-I21</f>
        <v>0</v>
      </c>
      <c r="D23" s="99">
        <f>D18</f>
        <v>0</v>
      </c>
      <c r="E23" s="99">
        <f t="shared" ref="E23:O23" si="1">E18</f>
        <v>0</v>
      </c>
      <c r="F23" s="99">
        <f t="shared" si="1"/>
        <v>0</v>
      </c>
      <c r="G23" s="99">
        <f t="shared" si="1"/>
        <v>0</v>
      </c>
      <c r="H23" s="99">
        <f t="shared" si="1"/>
        <v>0</v>
      </c>
      <c r="I23" s="99">
        <f t="shared" si="1"/>
        <v>0</v>
      </c>
      <c r="J23" s="99">
        <f t="shared" si="1"/>
        <v>0</v>
      </c>
      <c r="K23" s="99">
        <f t="shared" si="1"/>
        <v>0</v>
      </c>
      <c r="L23" s="99">
        <f t="shared" si="1"/>
        <v>0</v>
      </c>
      <c r="M23" s="99">
        <f t="shared" si="1"/>
        <v>0</v>
      </c>
      <c r="N23" s="99">
        <f t="shared" si="1"/>
        <v>0</v>
      </c>
      <c r="O23" s="99">
        <f t="shared" si="1"/>
        <v>0</v>
      </c>
    </row>
    <row r="24" spans="1:15" ht="12.75" customHeight="1" x14ac:dyDescent="0.25">
      <c r="B24" s="145" t="s">
        <v>73</v>
      </c>
      <c r="C24" s="99">
        <f>C20</f>
        <v>0</v>
      </c>
    </row>
    <row r="26" spans="1:15" x14ac:dyDescent="0.25">
      <c r="A26" s="94"/>
      <c r="B26" s="94"/>
      <c r="C26" s="146"/>
      <c r="D26" s="94"/>
      <c r="E26" s="94"/>
      <c r="F26" s="94"/>
      <c r="G26" s="94"/>
      <c r="H26" s="94"/>
      <c r="I26" s="94"/>
      <c r="J26" s="94"/>
      <c r="K26" s="94"/>
      <c r="L26" s="94"/>
      <c r="M26" s="94"/>
      <c r="N26" s="94"/>
      <c r="O26" s="94"/>
    </row>
    <row r="27" spans="1:15" ht="13" x14ac:dyDescent="0.3">
      <c r="B27" s="97" t="s">
        <v>76</v>
      </c>
    </row>
    <row r="28" spans="1:15" ht="12.75" customHeight="1" x14ac:dyDescent="0.25">
      <c r="C28" s="89" t="s">
        <v>70</v>
      </c>
      <c r="D28" s="89" t="s">
        <v>64</v>
      </c>
      <c r="E28" s="89" t="s">
        <v>65</v>
      </c>
      <c r="F28" s="378" t="s">
        <v>164</v>
      </c>
      <c r="G28" s="89" t="s">
        <v>69</v>
      </c>
      <c r="H28" s="89" t="s">
        <v>68</v>
      </c>
      <c r="I28" s="89" t="s">
        <v>83</v>
      </c>
      <c r="J28" s="89" t="s">
        <v>66</v>
      </c>
      <c r="K28" s="89" t="s">
        <v>63</v>
      </c>
      <c r="L28" s="89" t="s">
        <v>61</v>
      </c>
      <c r="M28" s="89" t="s">
        <v>62</v>
      </c>
      <c r="N28" s="89" t="s">
        <v>67</v>
      </c>
      <c r="O28" s="89" t="s">
        <v>84</v>
      </c>
    </row>
    <row r="29" spans="1:15" ht="12.75" customHeight="1" x14ac:dyDescent="0.25">
      <c r="B29" t="s">
        <v>81</v>
      </c>
      <c r="C29" s="89">
        <v>0</v>
      </c>
      <c r="D29" s="89">
        <v>0</v>
      </c>
      <c r="E29" s="89">
        <v>0</v>
      </c>
      <c r="F29" s="89">
        <v>0</v>
      </c>
      <c r="G29" s="89">
        <v>0</v>
      </c>
      <c r="H29" s="89">
        <v>0</v>
      </c>
      <c r="I29" s="89">
        <v>0</v>
      </c>
      <c r="J29" s="89">
        <v>0</v>
      </c>
      <c r="K29" s="89">
        <v>0</v>
      </c>
      <c r="L29" s="89">
        <v>0</v>
      </c>
      <c r="M29" s="89">
        <v>0</v>
      </c>
      <c r="N29" s="89">
        <v>0</v>
      </c>
      <c r="O29" s="89">
        <v>0</v>
      </c>
    </row>
    <row r="30" spans="1:15" ht="12.75" customHeight="1" x14ac:dyDescent="0.25">
      <c r="B30" s="89" t="s">
        <v>72</v>
      </c>
      <c r="C30" s="90">
        <v>0</v>
      </c>
      <c r="D30" s="90">
        <v>0</v>
      </c>
      <c r="E30" s="90">
        <v>0</v>
      </c>
      <c r="F30" s="90">
        <v>0</v>
      </c>
      <c r="G30" s="90">
        <v>0</v>
      </c>
      <c r="H30" s="90">
        <v>0</v>
      </c>
      <c r="I30" s="90">
        <v>0</v>
      </c>
      <c r="J30" s="90">
        <v>0</v>
      </c>
      <c r="K30" s="90">
        <v>0</v>
      </c>
      <c r="L30" s="90">
        <v>0</v>
      </c>
      <c r="M30" s="90">
        <v>0</v>
      </c>
      <c r="N30" s="90">
        <v>0</v>
      </c>
      <c r="O30" s="90">
        <v>0</v>
      </c>
    </row>
    <row r="31" spans="1:15" s="381" customFormat="1" ht="12.75" customHeight="1" x14ac:dyDescent="0.25">
      <c r="A31" s="379" t="s">
        <v>78</v>
      </c>
      <c r="B31" s="379" t="s">
        <v>70</v>
      </c>
      <c r="C31" s="380">
        <v>0</v>
      </c>
      <c r="D31" s="380">
        <v>0</v>
      </c>
      <c r="E31" s="380">
        <v>0</v>
      </c>
      <c r="F31" s="380">
        <v>0</v>
      </c>
      <c r="G31" s="380">
        <v>0</v>
      </c>
      <c r="H31" s="380">
        <v>0</v>
      </c>
      <c r="I31" s="380">
        <v>0</v>
      </c>
      <c r="J31" s="380">
        <v>0</v>
      </c>
      <c r="K31" s="380">
        <v>0</v>
      </c>
      <c r="L31" s="380">
        <v>0</v>
      </c>
      <c r="M31" s="380">
        <v>0</v>
      </c>
      <c r="N31" s="380">
        <v>0</v>
      </c>
      <c r="O31" s="380">
        <v>0</v>
      </c>
    </row>
    <row r="32" spans="1:15" ht="12.75" customHeight="1" x14ac:dyDescent="0.25">
      <c r="B32" s="89" t="s">
        <v>73</v>
      </c>
      <c r="C32" s="90">
        <v>0</v>
      </c>
      <c r="D32" s="90">
        <v>0</v>
      </c>
      <c r="E32" s="90">
        <v>0</v>
      </c>
      <c r="F32" s="90">
        <v>0</v>
      </c>
      <c r="G32" s="90">
        <v>0</v>
      </c>
      <c r="H32" s="90">
        <v>0</v>
      </c>
      <c r="I32" s="90">
        <v>0</v>
      </c>
      <c r="J32" s="90">
        <v>0</v>
      </c>
      <c r="K32" s="90">
        <v>0</v>
      </c>
      <c r="L32" s="90">
        <v>0</v>
      </c>
      <c r="M32" s="90">
        <v>0</v>
      </c>
      <c r="N32" s="90">
        <v>0</v>
      </c>
      <c r="O32" s="90">
        <v>0</v>
      </c>
    </row>
    <row r="33" spans="1:15" s="375" customFormat="1" ht="12.75" customHeight="1" x14ac:dyDescent="0.25">
      <c r="A33" s="376" t="s">
        <v>79</v>
      </c>
      <c r="B33" s="376" t="s">
        <v>70</v>
      </c>
      <c r="C33" s="377">
        <v>0</v>
      </c>
      <c r="D33" s="377">
        <v>0</v>
      </c>
      <c r="E33" s="377">
        <v>0</v>
      </c>
      <c r="F33" s="377">
        <v>0</v>
      </c>
      <c r="G33" s="377">
        <v>0</v>
      </c>
      <c r="H33" s="377">
        <v>0</v>
      </c>
      <c r="I33" s="377">
        <v>0</v>
      </c>
      <c r="J33" s="377">
        <v>0</v>
      </c>
      <c r="K33" s="377">
        <v>0</v>
      </c>
      <c r="L33" s="377">
        <v>0</v>
      </c>
      <c r="M33" s="377">
        <v>0</v>
      </c>
      <c r="N33" s="377">
        <v>0</v>
      </c>
      <c r="O33" s="377">
        <v>0</v>
      </c>
    </row>
    <row r="34" spans="1:15" ht="12.75" customHeight="1" x14ac:dyDescent="0.25">
      <c r="A34" s="89" t="s">
        <v>70</v>
      </c>
      <c r="C34" s="90">
        <v>0</v>
      </c>
      <c r="D34" s="90">
        <v>0</v>
      </c>
      <c r="E34" s="90">
        <v>0</v>
      </c>
      <c r="F34" s="90">
        <v>0</v>
      </c>
      <c r="G34" s="90">
        <v>0</v>
      </c>
      <c r="H34" s="90">
        <v>0</v>
      </c>
      <c r="I34" s="90">
        <v>0</v>
      </c>
      <c r="J34" s="90">
        <v>0</v>
      </c>
      <c r="K34" s="90">
        <v>0</v>
      </c>
      <c r="L34" s="90">
        <v>0</v>
      </c>
      <c r="M34" s="90">
        <v>0</v>
      </c>
      <c r="N34" s="90">
        <v>0</v>
      </c>
      <c r="O34" s="90">
        <v>0</v>
      </c>
    </row>
    <row r="35" spans="1:15" ht="12.75" customHeight="1" x14ac:dyDescent="0.25">
      <c r="A35" s="89"/>
      <c r="C35" s="90"/>
      <c r="D35" s="90"/>
      <c r="E35" s="90"/>
      <c r="F35" s="90"/>
      <c r="G35" s="90"/>
      <c r="H35" s="90"/>
      <c r="I35" s="90"/>
      <c r="J35" s="90"/>
      <c r="K35" s="90"/>
      <c r="L35" s="90"/>
      <c r="M35" s="90"/>
      <c r="O35" s="90"/>
    </row>
    <row r="36" spans="1:15" ht="12.75" customHeight="1" x14ac:dyDescent="0.25">
      <c r="B36" s="145" t="s">
        <v>70</v>
      </c>
      <c r="C36" s="99">
        <f>C34-I34</f>
        <v>0</v>
      </c>
      <c r="D36" s="99">
        <f>D31</f>
        <v>0</v>
      </c>
      <c r="E36" s="99">
        <f t="shared" ref="E36:O36" si="2">E31</f>
        <v>0</v>
      </c>
      <c r="F36" s="99">
        <f t="shared" si="2"/>
        <v>0</v>
      </c>
      <c r="G36" s="99">
        <f t="shared" si="2"/>
        <v>0</v>
      </c>
      <c r="H36" s="99">
        <f t="shared" si="2"/>
        <v>0</v>
      </c>
      <c r="I36" s="99">
        <f t="shared" si="2"/>
        <v>0</v>
      </c>
      <c r="J36" s="99">
        <f t="shared" si="2"/>
        <v>0</v>
      </c>
      <c r="K36" s="99">
        <f t="shared" si="2"/>
        <v>0</v>
      </c>
      <c r="L36" s="99">
        <f t="shared" si="2"/>
        <v>0</v>
      </c>
      <c r="M36" s="99">
        <f t="shared" si="2"/>
        <v>0</v>
      </c>
      <c r="N36" s="99">
        <f t="shared" si="2"/>
        <v>0</v>
      </c>
      <c r="O36" s="99">
        <f t="shared" si="2"/>
        <v>0</v>
      </c>
    </row>
    <row r="37" spans="1:15" ht="12.75" customHeight="1" x14ac:dyDescent="0.25">
      <c r="B37" s="145" t="s">
        <v>73</v>
      </c>
      <c r="C37" s="99">
        <f>C33</f>
        <v>0</v>
      </c>
    </row>
    <row r="39" spans="1:15" x14ac:dyDescent="0.25">
      <c r="A39" s="94"/>
      <c r="B39" s="94"/>
      <c r="C39" s="146"/>
      <c r="D39" s="94"/>
      <c r="E39" s="94"/>
      <c r="F39" s="94"/>
      <c r="G39" s="94"/>
      <c r="H39" s="94"/>
      <c r="I39" s="94"/>
      <c r="J39" s="94"/>
      <c r="K39" s="94"/>
      <c r="L39" s="94"/>
      <c r="M39" s="94"/>
      <c r="N39" s="94"/>
      <c r="O39" s="94"/>
    </row>
    <row r="40" spans="1:15" ht="13" x14ac:dyDescent="0.3">
      <c r="B40" s="97" t="s">
        <v>88</v>
      </c>
    </row>
    <row r="41" spans="1:15" ht="12.75" customHeight="1" x14ac:dyDescent="0.25">
      <c r="C41" s="89" t="s">
        <v>70</v>
      </c>
      <c r="D41" s="89" t="s">
        <v>64</v>
      </c>
      <c r="E41" s="89" t="s">
        <v>65</v>
      </c>
      <c r="F41" s="378" t="s">
        <v>164</v>
      </c>
      <c r="G41" s="89" t="s">
        <v>69</v>
      </c>
      <c r="H41" s="89" t="s">
        <v>68</v>
      </c>
      <c r="I41" s="89" t="s">
        <v>83</v>
      </c>
      <c r="J41" s="89" t="s">
        <v>66</v>
      </c>
      <c r="K41" s="89" t="s">
        <v>63</v>
      </c>
      <c r="L41" s="89" t="s">
        <v>61</v>
      </c>
      <c r="M41" s="89" t="s">
        <v>62</v>
      </c>
      <c r="N41" s="89" t="s">
        <v>67</v>
      </c>
      <c r="O41" s="89" t="s">
        <v>84</v>
      </c>
    </row>
    <row r="42" spans="1:15" ht="12.75" customHeight="1" x14ac:dyDescent="0.25">
      <c r="B42" t="s">
        <v>81</v>
      </c>
      <c r="C42" s="89">
        <v>0</v>
      </c>
      <c r="D42" s="89">
        <v>0</v>
      </c>
      <c r="E42" s="89">
        <v>0</v>
      </c>
      <c r="F42" s="89">
        <v>0</v>
      </c>
      <c r="G42" s="89">
        <v>0</v>
      </c>
      <c r="H42" s="89">
        <v>0</v>
      </c>
      <c r="I42" s="89">
        <v>0</v>
      </c>
      <c r="J42" s="89">
        <v>0</v>
      </c>
      <c r="K42" s="89">
        <v>0</v>
      </c>
      <c r="L42" s="89">
        <v>0</v>
      </c>
      <c r="M42" s="89">
        <v>0</v>
      </c>
      <c r="N42" s="89">
        <v>0</v>
      </c>
      <c r="O42" s="89">
        <v>0</v>
      </c>
    </row>
    <row r="43" spans="1:15" ht="12.75" customHeight="1" x14ac:dyDescent="0.25">
      <c r="A43" s="89"/>
      <c r="B43" s="89" t="s">
        <v>72</v>
      </c>
      <c r="C43" s="90">
        <v>0</v>
      </c>
      <c r="D43" s="90">
        <v>0</v>
      </c>
      <c r="E43" s="90">
        <v>0</v>
      </c>
      <c r="F43" s="90">
        <v>0</v>
      </c>
      <c r="G43" s="90">
        <v>0</v>
      </c>
      <c r="H43" s="90">
        <v>0</v>
      </c>
      <c r="I43" s="90">
        <v>0</v>
      </c>
      <c r="J43" s="90">
        <v>0</v>
      </c>
      <c r="K43" s="90">
        <v>0</v>
      </c>
      <c r="L43" s="90">
        <v>0</v>
      </c>
      <c r="M43" s="90">
        <v>0</v>
      </c>
      <c r="N43" s="90">
        <v>0</v>
      </c>
      <c r="O43" s="90">
        <v>0</v>
      </c>
    </row>
    <row r="44" spans="1:15" s="381" customFormat="1" ht="12.75" customHeight="1" x14ac:dyDescent="0.25">
      <c r="A44" s="379" t="s">
        <v>78</v>
      </c>
      <c r="B44" s="379" t="s">
        <v>70</v>
      </c>
      <c r="C44" s="380">
        <v>0</v>
      </c>
      <c r="D44" s="380">
        <v>0</v>
      </c>
      <c r="E44" s="380">
        <v>0</v>
      </c>
      <c r="F44" s="380">
        <v>0</v>
      </c>
      <c r="G44" s="380">
        <v>0</v>
      </c>
      <c r="H44" s="380">
        <v>0</v>
      </c>
      <c r="I44" s="380">
        <v>0</v>
      </c>
      <c r="J44" s="380">
        <v>0</v>
      </c>
      <c r="K44" s="380">
        <v>0</v>
      </c>
      <c r="L44" s="380">
        <v>0</v>
      </c>
      <c r="M44" s="380">
        <v>0</v>
      </c>
      <c r="N44" s="380">
        <v>0</v>
      </c>
      <c r="O44" s="380">
        <v>0</v>
      </c>
    </row>
    <row r="45" spans="1:15" ht="12.75" customHeight="1" x14ac:dyDescent="0.25">
      <c r="A45" s="89"/>
      <c r="B45" s="89" t="s">
        <v>73</v>
      </c>
      <c r="C45" s="90">
        <v>0</v>
      </c>
      <c r="D45" s="90">
        <v>0</v>
      </c>
      <c r="E45" s="90">
        <v>0</v>
      </c>
      <c r="F45" s="90">
        <v>0</v>
      </c>
      <c r="G45" s="90">
        <v>0</v>
      </c>
      <c r="H45" s="90">
        <v>0</v>
      </c>
      <c r="I45" s="90">
        <v>0</v>
      </c>
      <c r="J45" s="90">
        <v>0</v>
      </c>
      <c r="K45" s="90">
        <v>0</v>
      </c>
      <c r="L45" s="90">
        <v>0</v>
      </c>
      <c r="M45" s="90">
        <v>0</v>
      </c>
      <c r="N45" s="90">
        <v>0</v>
      </c>
      <c r="O45" s="90">
        <v>0</v>
      </c>
    </row>
    <row r="46" spans="1:15" s="375" customFormat="1" ht="12.75" customHeight="1" x14ac:dyDescent="0.25">
      <c r="A46" s="376" t="s">
        <v>79</v>
      </c>
      <c r="B46" s="376" t="s">
        <v>70</v>
      </c>
      <c r="C46" s="377">
        <v>0</v>
      </c>
      <c r="D46" s="377">
        <v>0</v>
      </c>
      <c r="E46" s="377">
        <v>0</v>
      </c>
      <c r="F46" s="377">
        <v>0</v>
      </c>
      <c r="G46" s="377">
        <v>0</v>
      </c>
      <c r="H46" s="377">
        <v>0</v>
      </c>
      <c r="I46" s="377">
        <v>0</v>
      </c>
      <c r="J46" s="377">
        <v>0</v>
      </c>
      <c r="K46" s="377">
        <v>0</v>
      </c>
      <c r="L46" s="377">
        <v>0</v>
      </c>
      <c r="M46" s="377">
        <v>0</v>
      </c>
      <c r="N46" s="377">
        <v>0</v>
      </c>
      <c r="O46" s="377">
        <v>0</v>
      </c>
    </row>
    <row r="47" spans="1:15" ht="12.75" customHeight="1" x14ac:dyDescent="0.25">
      <c r="A47" s="89" t="s">
        <v>70</v>
      </c>
      <c r="C47" s="90">
        <v>0</v>
      </c>
      <c r="D47" s="90">
        <v>0</v>
      </c>
      <c r="E47" s="90">
        <v>0</v>
      </c>
      <c r="F47" s="90">
        <v>0</v>
      </c>
      <c r="G47" s="90">
        <v>0</v>
      </c>
      <c r="H47" s="90">
        <v>0</v>
      </c>
      <c r="I47" s="90">
        <v>0</v>
      </c>
      <c r="J47" s="90">
        <v>0</v>
      </c>
      <c r="K47" s="90">
        <v>0</v>
      </c>
      <c r="L47" s="90">
        <v>0</v>
      </c>
      <c r="M47" s="90">
        <v>0</v>
      </c>
      <c r="N47" s="90">
        <v>0</v>
      </c>
      <c r="O47" s="90">
        <v>0</v>
      </c>
    </row>
    <row r="48" spans="1:15" ht="12.75" customHeight="1" x14ac:dyDescent="0.25">
      <c r="A48" s="89"/>
      <c r="C48" s="90"/>
      <c r="D48" s="90"/>
      <c r="E48" s="90"/>
      <c r="F48" s="90"/>
      <c r="G48" s="90"/>
      <c r="H48" s="90"/>
      <c r="I48" s="90"/>
      <c r="J48" s="90"/>
      <c r="K48" s="90"/>
      <c r="L48" s="90"/>
      <c r="M48" s="90"/>
      <c r="N48" s="90"/>
      <c r="O48" s="90"/>
    </row>
    <row r="49" spans="1:15" ht="12.75" customHeight="1" x14ac:dyDescent="0.25">
      <c r="B49" s="145" t="s">
        <v>70</v>
      </c>
      <c r="C49" s="99">
        <f>C47-I47</f>
        <v>0</v>
      </c>
      <c r="D49" s="99">
        <f>D44</f>
        <v>0</v>
      </c>
      <c r="E49" s="99">
        <f t="shared" ref="E49:O49" si="3">E44</f>
        <v>0</v>
      </c>
      <c r="F49" s="99">
        <f t="shared" si="3"/>
        <v>0</v>
      </c>
      <c r="G49" s="99">
        <f t="shared" si="3"/>
        <v>0</v>
      </c>
      <c r="H49" s="99">
        <f t="shared" si="3"/>
        <v>0</v>
      </c>
      <c r="I49" s="99">
        <f t="shared" si="3"/>
        <v>0</v>
      </c>
      <c r="J49" s="99">
        <f t="shared" si="3"/>
        <v>0</v>
      </c>
      <c r="K49" s="99">
        <f t="shared" si="3"/>
        <v>0</v>
      </c>
      <c r="L49" s="99">
        <f t="shared" si="3"/>
        <v>0</v>
      </c>
      <c r="M49" s="99">
        <f t="shared" si="3"/>
        <v>0</v>
      </c>
      <c r="N49" s="99">
        <f t="shared" si="3"/>
        <v>0</v>
      </c>
      <c r="O49" s="99">
        <f t="shared" si="3"/>
        <v>0</v>
      </c>
    </row>
    <row r="50" spans="1:15" ht="12.75" customHeight="1" x14ac:dyDescent="0.25">
      <c r="B50" s="145" t="s">
        <v>73</v>
      </c>
      <c r="C50" s="99">
        <f>C46</f>
        <v>0</v>
      </c>
    </row>
    <row r="52" spans="1:15" x14ac:dyDescent="0.25">
      <c r="A52" s="94"/>
      <c r="B52" s="94"/>
      <c r="C52" s="146"/>
      <c r="D52" s="94"/>
      <c r="E52" s="94"/>
      <c r="F52" s="94"/>
      <c r="G52" s="94"/>
      <c r="H52" s="94"/>
      <c r="I52" s="94"/>
      <c r="J52" s="94"/>
      <c r="K52" s="94"/>
      <c r="L52" s="94"/>
      <c r="M52" s="94"/>
      <c r="N52" s="94"/>
      <c r="O52" s="94"/>
    </row>
    <row r="53" spans="1:15" ht="13" x14ac:dyDescent="0.3">
      <c r="B53" s="97" t="s">
        <v>93</v>
      </c>
    </row>
    <row r="54" spans="1:15" ht="12.75" customHeight="1" x14ac:dyDescent="0.25">
      <c r="C54" s="89" t="s">
        <v>70</v>
      </c>
      <c r="D54" s="89" t="s">
        <v>64</v>
      </c>
      <c r="E54" s="89" t="s">
        <v>65</v>
      </c>
      <c r="F54" s="378" t="s">
        <v>164</v>
      </c>
      <c r="G54" s="89" t="s">
        <v>69</v>
      </c>
      <c r="H54" s="89" t="s">
        <v>68</v>
      </c>
      <c r="I54" s="89" t="s">
        <v>83</v>
      </c>
      <c r="J54" s="89" t="s">
        <v>66</v>
      </c>
      <c r="K54" s="89" t="s">
        <v>63</v>
      </c>
      <c r="L54" s="89" t="s">
        <v>61</v>
      </c>
      <c r="M54" s="89" t="s">
        <v>62</v>
      </c>
      <c r="N54" s="89" t="s">
        <v>67</v>
      </c>
      <c r="O54" s="89" t="s">
        <v>84</v>
      </c>
    </row>
    <row r="55" spans="1:15" ht="12.75" customHeight="1" x14ac:dyDescent="0.25">
      <c r="B55" s="89" t="s">
        <v>72</v>
      </c>
      <c r="C55" s="90">
        <v>0</v>
      </c>
      <c r="D55" s="90">
        <v>0</v>
      </c>
      <c r="E55" s="90">
        <v>0</v>
      </c>
      <c r="F55" s="90">
        <v>0</v>
      </c>
      <c r="G55" s="90">
        <v>0</v>
      </c>
      <c r="H55" s="90">
        <v>0</v>
      </c>
      <c r="I55">
        <v>0</v>
      </c>
      <c r="J55" s="90">
        <v>0</v>
      </c>
      <c r="K55" s="90">
        <v>0</v>
      </c>
      <c r="L55" s="90">
        <v>0</v>
      </c>
      <c r="M55" s="90">
        <v>0</v>
      </c>
      <c r="N55" s="90">
        <v>0</v>
      </c>
      <c r="O55" s="90">
        <v>0</v>
      </c>
    </row>
    <row r="56" spans="1:15" s="381" customFormat="1" ht="12.75" customHeight="1" x14ac:dyDescent="0.25">
      <c r="A56" s="379" t="s">
        <v>78</v>
      </c>
      <c r="B56" s="379" t="s">
        <v>70</v>
      </c>
      <c r="C56" s="380">
        <v>0</v>
      </c>
      <c r="D56" s="380">
        <v>0</v>
      </c>
      <c r="E56" s="380">
        <v>0</v>
      </c>
      <c r="F56" s="380">
        <v>0</v>
      </c>
      <c r="G56" s="380">
        <v>0</v>
      </c>
      <c r="H56" s="380">
        <v>0</v>
      </c>
      <c r="I56" s="381">
        <v>0</v>
      </c>
      <c r="J56" s="380">
        <v>0</v>
      </c>
      <c r="K56" s="380">
        <v>0</v>
      </c>
      <c r="L56" s="380">
        <v>0</v>
      </c>
      <c r="M56" s="380">
        <v>0</v>
      </c>
      <c r="N56" s="380">
        <v>0</v>
      </c>
      <c r="O56" s="380">
        <v>0</v>
      </c>
    </row>
    <row r="57" spans="1:15" ht="12.75" customHeight="1" x14ac:dyDescent="0.25">
      <c r="B57" s="89" t="s">
        <v>73</v>
      </c>
      <c r="C57" s="90">
        <v>0</v>
      </c>
      <c r="D57" s="90">
        <v>0</v>
      </c>
      <c r="E57" s="90">
        <v>0</v>
      </c>
      <c r="F57" s="90">
        <v>0</v>
      </c>
      <c r="G57" s="90">
        <v>0</v>
      </c>
      <c r="H57" s="90">
        <v>0</v>
      </c>
      <c r="I57">
        <v>0</v>
      </c>
      <c r="J57" s="90">
        <v>0</v>
      </c>
      <c r="K57" s="90">
        <v>0</v>
      </c>
      <c r="L57" s="90">
        <v>0</v>
      </c>
      <c r="M57" s="90">
        <v>0</v>
      </c>
      <c r="N57" s="90">
        <v>0</v>
      </c>
      <c r="O57" s="90">
        <v>0</v>
      </c>
    </row>
    <row r="58" spans="1:15" s="375" customFormat="1" ht="12.75" customHeight="1" x14ac:dyDescent="0.25">
      <c r="A58" s="376" t="s">
        <v>79</v>
      </c>
      <c r="B58" s="376" t="s">
        <v>70</v>
      </c>
      <c r="C58" s="377">
        <v>0</v>
      </c>
      <c r="D58" s="377">
        <v>0</v>
      </c>
      <c r="E58" s="377">
        <v>0</v>
      </c>
      <c r="F58" s="377">
        <v>0</v>
      </c>
      <c r="G58" s="377">
        <v>0</v>
      </c>
      <c r="H58" s="377">
        <v>0</v>
      </c>
      <c r="I58" s="375">
        <v>0</v>
      </c>
      <c r="J58" s="377">
        <v>0</v>
      </c>
      <c r="K58" s="377">
        <v>0</v>
      </c>
      <c r="L58" s="377">
        <v>0</v>
      </c>
      <c r="M58" s="377">
        <v>0</v>
      </c>
      <c r="N58" s="377">
        <v>0</v>
      </c>
      <c r="O58" s="377">
        <v>0</v>
      </c>
    </row>
    <row r="59" spans="1:15" ht="12.75" customHeight="1" x14ac:dyDescent="0.25">
      <c r="A59" s="89" t="s">
        <v>70</v>
      </c>
      <c r="C59" s="90">
        <v>0</v>
      </c>
      <c r="D59" s="90">
        <v>0</v>
      </c>
      <c r="E59" s="90">
        <v>0</v>
      </c>
      <c r="F59" s="90">
        <v>0</v>
      </c>
      <c r="G59" s="90">
        <v>0</v>
      </c>
      <c r="H59" s="90">
        <v>0</v>
      </c>
      <c r="I59">
        <v>0</v>
      </c>
      <c r="J59" s="90">
        <v>0</v>
      </c>
      <c r="K59" s="90">
        <v>0</v>
      </c>
      <c r="L59" s="90">
        <v>0</v>
      </c>
      <c r="M59" s="90">
        <v>0</v>
      </c>
      <c r="N59" s="90">
        <v>0</v>
      </c>
      <c r="O59" s="90">
        <v>0</v>
      </c>
    </row>
    <row r="61" spans="1:15" ht="12.75" customHeight="1" x14ac:dyDescent="0.25">
      <c r="B61" s="145" t="s">
        <v>70</v>
      </c>
      <c r="C61" s="99">
        <f>C59-I59</f>
        <v>0</v>
      </c>
      <c r="D61" s="99">
        <f>D56</f>
        <v>0</v>
      </c>
      <c r="E61" s="99">
        <f t="shared" ref="E61:O61" si="4">E56</f>
        <v>0</v>
      </c>
      <c r="F61" s="99">
        <f t="shared" si="4"/>
        <v>0</v>
      </c>
      <c r="G61" s="99">
        <f t="shared" si="4"/>
        <v>0</v>
      </c>
      <c r="H61" s="99">
        <f t="shared" si="4"/>
        <v>0</v>
      </c>
      <c r="I61" s="99">
        <f t="shared" si="4"/>
        <v>0</v>
      </c>
      <c r="J61" s="99">
        <f t="shared" si="4"/>
        <v>0</v>
      </c>
      <c r="K61" s="99">
        <f t="shared" si="4"/>
        <v>0</v>
      </c>
      <c r="L61" s="99">
        <f t="shared" si="4"/>
        <v>0</v>
      </c>
      <c r="M61" s="99">
        <f t="shared" si="4"/>
        <v>0</v>
      </c>
      <c r="N61" s="99">
        <f t="shared" si="4"/>
        <v>0</v>
      </c>
      <c r="O61" s="99">
        <f t="shared" si="4"/>
        <v>0</v>
      </c>
    </row>
    <row r="62" spans="1:15" ht="12.75" customHeight="1" x14ac:dyDescent="0.25">
      <c r="B62" s="145" t="s">
        <v>73</v>
      </c>
      <c r="C62" s="99">
        <f>C58</f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AH58"/>
  <sheetViews>
    <sheetView zoomScaleNormal="100" workbookViewId="0"/>
  </sheetViews>
  <sheetFormatPr baseColWidth="10" defaultColWidth="11.453125" defaultRowHeight="11.5" x14ac:dyDescent="0.25"/>
  <cols>
    <col min="1" max="1" width="3" style="1" customWidth="1"/>
    <col min="2" max="2" width="4.453125" style="1" bestFit="1" customWidth="1"/>
    <col min="3" max="3" width="36.7265625" style="1" customWidth="1"/>
    <col min="4" max="4" width="15.26953125" style="1" customWidth="1"/>
    <col min="5" max="5" width="16" style="1" customWidth="1"/>
    <col min="6" max="7" width="14.7265625" style="1" customWidth="1"/>
    <col min="8" max="8" width="16.26953125" style="1" customWidth="1"/>
    <col min="9" max="9" width="20.26953125" style="1" bestFit="1" customWidth="1"/>
    <col min="10" max="10" width="15.54296875" style="1" customWidth="1"/>
    <col min="11" max="11" width="17.54296875" style="1" customWidth="1"/>
    <col min="12" max="12" width="17" style="1" bestFit="1" customWidth="1"/>
    <col min="13" max="13" width="19.7265625" style="1" customWidth="1"/>
    <col min="14" max="14" width="19.26953125" style="1" bestFit="1" customWidth="1"/>
    <col min="15" max="15" width="16.7265625" style="1" customWidth="1"/>
    <col min="16" max="16" width="3.7265625" style="1" customWidth="1"/>
    <col min="17" max="17" width="2.7265625" style="1" customWidth="1"/>
    <col min="18" max="18" width="4.54296875" style="1" customWidth="1"/>
    <col min="19" max="19" width="11.26953125" style="1" customWidth="1"/>
    <col min="20" max="20" width="37.54296875" style="1" bestFit="1" customWidth="1"/>
    <col min="21" max="21" width="19.26953125" style="1" customWidth="1"/>
    <col min="22" max="22" width="17.7265625" style="1" customWidth="1"/>
    <col min="23" max="23" width="16.453125" style="1" customWidth="1"/>
    <col min="24" max="24" width="17.26953125" style="1" customWidth="1"/>
    <col min="25" max="25" width="15.7265625" style="1" customWidth="1"/>
    <col min="26" max="26" width="16" style="1" customWidth="1"/>
    <col min="27" max="27" width="15" style="1" customWidth="1"/>
    <col min="28" max="28" width="16.7265625" style="1" customWidth="1"/>
    <col min="29" max="30" width="15.7265625" style="1" bestFit="1" customWidth="1"/>
    <col min="31" max="31" width="16.26953125" style="1" customWidth="1"/>
    <col min="32" max="32" width="18.26953125" style="1" customWidth="1"/>
    <col min="33" max="33" width="13.7265625" style="1" customWidth="1"/>
    <col min="34" max="34" width="3.453125" style="1" customWidth="1"/>
    <col min="35" max="35" width="13.7265625" style="1" bestFit="1" customWidth="1"/>
    <col min="36" max="16384" width="11.453125" style="1"/>
  </cols>
  <sheetData>
    <row r="1" spans="1:34" ht="12" thickBot="1" x14ac:dyDescent="0.3">
      <c r="A1" s="1" t="s">
        <v>1</v>
      </c>
      <c r="Q1" s="4"/>
      <c r="AH1" s="4"/>
    </row>
    <row r="2" spans="1:34" x14ac:dyDescent="0.25">
      <c r="B2" s="5"/>
      <c r="C2" s="3" t="s">
        <v>1</v>
      </c>
      <c r="D2" s="6" t="s">
        <v>1</v>
      </c>
      <c r="E2" s="3"/>
      <c r="F2" s="3"/>
      <c r="G2" s="3"/>
      <c r="H2" s="3" t="s">
        <v>1</v>
      </c>
      <c r="I2" s="3"/>
      <c r="J2" s="3"/>
      <c r="K2" s="3"/>
      <c r="L2" s="3"/>
      <c r="M2" s="3"/>
      <c r="N2" s="3"/>
      <c r="O2" s="7"/>
      <c r="P2" s="2"/>
      <c r="Q2" s="4"/>
      <c r="S2" s="5"/>
      <c r="T2" s="3" t="s">
        <v>1</v>
      </c>
      <c r="U2" s="6" t="s">
        <v>1</v>
      </c>
      <c r="V2" s="3"/>
      <c r="W2" s="3"/>
      <c r="X2" s="3" t="s">
        <v>1</v>
      </c>
      <c r="Y2" s="3"/>
      <c r="Z2" s="3"/>
      <c r="AA2" s="3"/>
      <c r="AB2" s="3"/>
      <c r="AC2" s="3"/>
      <c r="AD2" s="3"/>
      <c r="AE2" s="7"/>
      <c r="AF2" s="2"/>
      <c r="AH2" s="4"/>
    </row>
    <row r="3" spans="1:34" ht="14" x14ac:dyDescent="0.3">
      <c r="B3" s="8"/>
      <c r="F3" s="26" t="s">
        <v>8</v>
      </c>
      <c r="G3" s="26"/>
      <c r="I3" s="26" t="s">
        <v>16</v>
      </c>
      <c r="J3" s="25"/>
      <c r="M3" s="2" t="s">
        <v>15</v>
      </c>
      <c r="N3" s="50">
        <f>'CONSOLIDADO_TOTAL RECAUDO'!N3</f>
        <v>2026071</v>
      </c>
      <c r="O3" s="10"/>
      <c r="P3" s="2"/>
      <c r="Q3" s="4"/>
      <c r="S3" s="8"/>
      <c r="U3" s="26" t="s">
        <v>8</v>
      </c>
      <c r="W3" s="26" t="s">
        <v>16</v>
      </c>
      <c r="X3" s="25"/>
      <c r="Y3" s="2"/>
      <c r="AA3" s="2" t="s">
        <v>15</v>
      </c>
      <c r="AC3" s="84">
        <f>N3</f>
        <v>2026071</v>
      </c>
      <c r="AD3" s="84"/>
      <c r="AE3" s="48"/>
      <c r="AF3" s="2"/>
      <c r="AH3" s="4"/>
    </row>
    <row r="4" spans="1:34" ht="15.5" x14ac:dyDescent="0.35">
      <c r="B4" s="8"/>
      <c r="F4" s="36" t="s">
        <v>29</v>
      </c>
      <c r="G4" s="36"/>
      <c r="O4" s="10"/>
      <c r="P4" s="2"/>
      <c r="Q4" s="4"/>
      <c r="S4" s="8"/>
      <c r="T4" s="26" t="s">
        <v>1</v>
      </c>
      <c r="U4" s="36" t="s">
        <v>29</v>
      </c>
      <c r="Y4" s="2" t="s">
        <v>1</v>
      </c>
      <c r="AA4" s="50" t="s">
        <v>1</v>
      </c>
      <c r="AB4" s="2"/>
      <c r="AC4" s="2"/>
      <c r="AD4" s="2"/>
      <c r="AE4" s="10" t="s">
        <v>1</v>
      </c>
      <c r="AF4" s="2"/>
      <c r="AH4" s="4"/>
    </row>
    <row r="5" spans="1:34" ht="14" x14ac:dyDescent="0.3">
      <c r="B5" s="8"/>
      <c r="F5" s="2" t="s">
        <v>30</v>
      </c>
      <c r="G5" s="2"/>
      <c r="M5" s="2" t="s">
        <v>1</v>
      </c>
      <c r="O5" s="10"/>
      <c r="P5" s="2"/>
      <c r="Q5" s="4"/>
      <c r="S5" s="8"/>
      <c r="T5" s="49" t="s">
        <v>1</v>
      </c>
      <c r="U5" s="2" t="s">
        <v>30</v>
      </c>
      <c r="AE5" s="44"/>
      <c r="AF5" s="2"/>
      <c r="AH5" s="4"/>
    </row>
    <row r="6" spans="1:34" ht="15.5" x14ac:dyDescent="0.35">
      <c r="B6" s="8"/>
      <c r="C6" s="2" t="s">
        <v>17</v>
      </c>
      <c r="D6" s="9">
        <f>'CONSOLIDADO_TOTAL RECAUDO'!D6</f>
        <v>46220</v>
      </c>
      <c r="F6" s="41" t="s">
        <v>123</v>
      </c>
      <c r="G6" s="41"/>
      <c r="H6" s="2"/>
      <c r="J6" s="2"/>
      <c r="O6" s="10"/>
      <c r="P6" s="2"/>
      <c r="Q6" s="4"/>
      <c r="S6" s="8"/>
      <c r="T6" s="41" t="s">
        <v>1</v>
      </c>
      <c r="U6" s="41" t="str">
        <f>+F6</f>
        <v xml:space="preserve">SALDOS A FAVOR POR NOTA </v>
      </c>
      <c r="V6" s="2"/>
      <c r="X6" s="2"/>
      <c r="Y6" s="2"/>
      <c r="AE6" s="48"/>
      <c r="AF6" s="2"/>
      <c r="AH6" s="4"/>
    </row>
    <row r="7" spans="1:34" ht="12" thickBot="1" x14ac:dyDescent="0.3">
      <c r="B7" s="8"/>
      <c r="C7" s="2" t="s">
        <v>0</v>
      </c>
      <c r="D7" s="241">
        <f>'CONSOLIDADO_TOTAL RECAUDO'!D7</f>
        <v>0.58333333333333337</v>
      </c>
      <c r="F7" s="2" t="s">
        <v>27</v>
      </c>
      <c r="G7" s="2"/>
      <c r="H7" s="9">
        <f>'CONSOLIDADO_TOTAL RECAUDO'!G7</f>
        <v>46204</v>
      </c>
      <c r="J7" s="2" t="s">
        <v>28</v>
      </c>
      <c r="K7" s="9">
        <f>'CONSOLIDADO_TOTAL RECAUDO'!K7</f>
        <v>46218</v>
      </c>
      <c r="O7" s="10"/>
      <c r="P7" s="2"/>
      <c r="Q7" s="4"/>
      <c r="S7" s="8"/>
      <c r="U7" s="1" t="str">
        <f>F7</f>
        <v>Fecha Desde:</v>
      </c>
      <c r="V7" s="9">
        <f>H7</f>
        <v>46204</v>
      </c>
      <c r="W7" s="1" t="s">
        <v>1</v>
      </c>
      <c r="X7" s="1" t="str">
        <f>J7</f>
        <v>Feha Hasta:</v>
      </c>
      <c r="Y7" s="9">
        <f>K7</f>
        <v>46218</v>
      </c>
      <c r="Z7" s="1" t="s">
        <v>1</v>
      </c>
      <c r="AE7" s="48"/>
      <c r="AF7" s="2"/>
      <c r="AH7" s="4"/>
    </row>
    <row r="8" spans="1:34" ht="72" customHeight="1" thickBot="1" x14ac:dyDescent="0.3">
      <c r="B8" s="11" t="s">
        <v>3</v>
      </c>
      <c r="C8" s="27" t="s">
        <v>9</v>
      </c>
      <c r="D8" s="11" t="s">
        <v>4</v>
      </c>
      <c r="E8" s="12" t="s">
        <v>5</v>
      </c>
      <c r="F8" s="12" t="s">
        <v>6</v>
      </c>
      <c r="G8" s="27" t="s">
        <v>159</v>
      </c>
      <c r="H8" s="12" t="s">
        <v>18</v>
      </c>
      <c r="I8" s="12" t="s">
        <v>24</v>
      </c>
      <c r="J8" s="73" t="s">
        <v>19</v>
      </c>
      <c r="K8" s="29" t="s">
        <v>20</v>
      </c>
      <c r="L8" s="28" t="s">
        <v>21</v>
      </c>
      <c r="M8" s="39" t="s">
        <v>22</v>
      </c>
      <c r="N8" s="12" t="s">
        <v>7</v>
      </c>
      <c r="O8" s="39" t="s">
        <v>23</v>
      </c>
      <c r="P8" s="13"/>
      <c r="Q8" s="4"/>
      <c r="S8" s="11" t="s">
        <v>3</v>
      </c>
      <c r="T8" s="27" t="s">
        <v>9</v>
      </c>
      <c r="U8" s="80" t="s">
        <v>39</v>
      </c>
      <c r="V8" s="51" t="s">
        <v>40</v>
      </c>
      <c r="W8" s="51" t="s">
        <v>41</v>
      </c>
      <c r="X8" s="51" t="s">
        <v>42</v>
      </c>
      <c r="Y8" s="81" t="s">
        <v>43</v>
      </c>
      <c r="Z8" s="85" t="s">
        <v>21</v>
      </c>
      <c r="AA8" s="383" t="s">
        <v>46</v>
      </c>
      <c r="AB8" s="65" t="s">
        <v>7</v>
      </c>
      <c r="AC8" s="121" t="s">
        <v>107</v>
      </c>
      <c r="AD8" s="121" t="s">
        <v>106</v>
      </c>
      <c r="AE8" s="39" t="s">
        <v>23</v>
      </c>
      <c r="AF8" s="13"/>
      <c r="AH8" s="4"/>
    </row>
    <row r="9" spans="1:34" x14ac:dyDescent="0.25">
      <c r="B9" s="14">
        <v>1</v>
      </c>
      <c r="C9" s="61" t="s">
        <v>10</v>
      </c>
      <c r="D9" s="66">
        <f>'SALDOS POR NOTA'!C10</f>
        <v>0</v>
      </c>
      <c r="E9" s="66">
        <f>'SALDOS POR NOTA'!D10</f>
        <v>0</v>
      </c>
      <c r="F9" s="66">
        <f>'SALDOS POR NOTA'!E10</f>
        <v>0</v>
      </c>
      <c r="G9" s="66">
        <f>'SALDOS POR NOTA'!F10</f>
        <v>0</v>
      </c>
      <c r="H9" s="66">
        <f>'SALDOS POR NOTA'!G10</f>
        <v>0</v>
      </c>
      <c r="I9" s="66">
        <f>'SALDOS POR NOTA'!H10</f>
        <v>0</v>
      </c>
      <c r="J9" s="66">
        <v>0</v>
      </c>
      <c r="K9" s="30">
        <f>D9-E9-F9-G9-H9-I9-J9</f>
        <v>0</v>
      </c>
      <c r="L9" s="37">
        <v>0</v>
      </c>
      <c r="M9" s="30">
        <f>K9-L9</f>
        <v>0</v>
      </c>
      <c r="N9" s="37">
        <f>'SALDOS POR NOTA'!I10</f>
        <v>0</v>
      </c>
      <c r="O9" s="30">
        <f>M9+N9</f>
        <v>0</v>
      </c>
      <c r="Q9" s="4"/>
      <c r="S9" s="14">
        <v>1</v>
      </c>
      <c r="T9" s="61" t="s">
        <v>10</v>
      </c>
      <c r="U9" s="66">
        <f>'SALDOS POR NOTA'!J10</f>
        <v>0</v>
      </c>
      <c r="V9" s="66">
        <f>'SALDOS POR NOTA'!K10</f>
        <v>0</v>
      </c>
      <c r="W9" s="66">
        <f>'SALDOS POR NOTA'!L10</f>
        <v>0</v>
      </c>
      <c r="X9" s="66">
        <f>'SALDOS POR NOTA'!M10</f>
        <v>0</v>
      </c>
      <c r="Y9" s="66">
        <f>'SALDOS POR NOTA'!N10</f>
        <v>0</v>
      </c>
      <c r="Z9" s="382">
        <f>L9*-1</f>
        <v>0</v>
      </c>
      <c r="AA9" s="75">
        <f>'SALDOS POR NOTA'!O10</f>
        <v>0</v>
      </c>
      <c r="AB9" s="37">
        <f>N9</f>
        <v>0</v>
      </c>
      <c r="AC9" s="66">
        <f>-J9+AD9</f>
        <v>0</v>
      </c>
      <c r="AD9" s="66">
        <f>'SALDOS POR NOTA'!C11</f>
        <v>0</v>
      </c>
      <c r="AE9" s="115">
        <f>SUM(U9:AC9)</f>
        <v>0</v>
      </c>
      <c r="AF9" s="117">
        <f>(AE9-O9)</f>
        <v>0</v>
      </c>
      <c r="AG9" s="1" t="b">
        <f>AF9=0</f>
        <v>1</v>
      </c>
      <c r="AH9" s="4"/>
    </row>
    <row r="10" spans="1:34" x14ac:dyDescent="0.25">
      <c r="B10" s="16">
        <v>2</v>
      </c>
      <c r="C10" s="62" t="s">
        <v>11</v>
      </c>
      <c r="D10" s="66">
        <f>'SALDOS POR NOTA'!C23</f>
        <v>0</v>
      </c>
      <c r="E10" s="66">
        <f>'SALDOS POR NOTA'!D23</f>
        <v>0</v>
      </c>
      <c r="F10" s="66">
        <f>'SALDOS POR NOTA'!E23</f>
        <v>0</v>
      </c>
      <c r="G10" s="66">
        <f>'SALDOS POR NOTA'!F23</f>
        <v>0</v>
      </c>
      <c r="H10" s="66">
        <f>'SALDOS POR NOTA'!G23</f>
        <v>0</v>
      </c>
      <c r="I10" s="66">
        <f>'SALDOS POR NOTA'!H23</f>
        <v>0</v>
      </c>
      <c r="J10" s="66">
        <v>0</v>
      </c>
      <c r="K10" s="31">
        <f t="shared" ref="K10:K13" si="0">D10-E10-F10-G10-H10-I10-J10</f>
        <v>0</v>
      </c>
      <c r="L10" s="38">
        <v>0</v>
      </c>
      <c r="M10" s="31">
        <f>K10-L10</f>
        <v>0</v>
      </c>
      <c r="N10" s="37">
        <f>'SALDOS POR NOTA'!I23</f>
        <v>0</v>
      </c>
      <c r="O10" s="31">
        <f t="shared" ref="O10:O12" si="1">M10+N10</f>
        <v>0</v>
      </c>
      <c r="Q10" s="4"/>
      <c r="S10" s="16">
        <v>2</v>
      </c>
      <c r="T10" s="62" t="s">
        <v>11</v>
      </c>
      <c r="U10" s="66">
        <f>'SALDOS POR NOTA'!J23</f>
        <v>0</v>
      </c>
      <c r="V10" s="66">
        <f>'SALDOS POR NOTA'!K23</f>
        <v>0</v>
      </c>
      <c r="W10" s="66">
        <f>'SALDOS POR NOTA'!L23</f>
        <v>0</v>
      </c>
      <c r="X10" s="66">
        <f>'SALDOS POR NOTA'!M23</f>
        <v>0</v>
      </c>
      <c r="Y10" s="66">
        <f>'SALDOS POR NOTA'!N23</f>
        <v>0</v>
      </c>
      <c r="Z10" s="38">
        <f>L10*-1</f>
        <v>0</v>
      </c>
      <c r="AA10" s="385">
        <f>'SALDOS POR NOTA'!O23</f>
        <v>0</v>
      </c>
      <c r="AB10" s="37">
        <f>N10</f>
        <v>0</v>
      </c>
      <c r="AC10" s="66">
        <f t="shared" ref="AC10:AC13" si="2">-J10+AD10</f>
        <v>0</v>
      </c>
      <c r="AD10" s="66">
        <f>'SALDOS POR NOTA'!C24</f>
        <v>0</v>
      </c>
      <c r="AE10" s="116">
        <f>SUM(U10:AC10)</f>
        <v>0</v>
      </c>
      <c r="AF10" s="118">
        <f>(AE10-O10)</f>
        <v>0</v>
      </c>
      <c r="AG10" s="1" t="b">
        <f t="shared" ref="AG10:AG14" si="3">AF10=0</f>
        <v>1</v>
      </c>
      <c r="AH10" s="4"/>
    </row>
    <row r="11" spans="1:34" x14ac:dyDescent="0.25">
      <c r="B11" s="16">
        <v>3</v>
      </c>
      <c r="C11" s="62" t="s">
        <v>12</v>
      </c>
      <c r="D11" s="66">
        <f>'SALDOS POR NOTA'!C36</f>
        <v>0</v>
      </c>
      <c r="E11" s="66">
        <f>'SALDOS POR NOTA'!D36</f>
        <v>0</v>
      </c>
      <c r="F11" s="66">
        <f>'SALDOS POR NOTA'!E36</f>
        <v>0</v>
      </c>
      <c r="G11" s="66">
        <f>'SALDOS POR NOTA'!F36</f>
        <v>0</v>
      </c>
      <c r="H11" s="66">
        <f>'SALDOS POR NOTA'!G36</f>
        <v>0</v>
      </c>
      <c r="I11" s="66">
        <f>'SALDOS POR NOTA'!H36</f>
        <v>0</v>
      </c>
      <c r="J11" s="66">
        <v>0</v>
      </c>
      <c r="K11" s="31">
        <f t="shared" si="0"/>
        <v>0</v>
      </c>
      <c r="L11" s="38">
        <v>0</v>
      </c>
      <c r="M11" s="31">
        <f>K11-L11</f>
        <v>0</v>
      </c>
      <c r="N11" s="37">
        <f>'SALDOS POR NOTA'!I36</f>
        <v>0</v>
      </c>
      <c r="O11" s="31">
        <f t="shared" si="1"/>
        <v>0</v>
      </c>
      <c r="Q11" s="4"/>
      <c r="S11" s="16">
        <v>3</v>
      </c>
      <c r="T11" s="62" t="s">
        <v>12</v>
      </c>
      <c r="U11" s="66">
        <f>'SALDOS POR NOTA'!J36</f>
        <v>0</v>
      </c>
      <c r="V11" s="66">
        <f>'SALDOS POR NOTA'!K36</f>
        <v>0</v>
      </c>
      <c r="W11" s="66">
        <f>'SALDOS POR NOTA'!L36</f>
        <v>0</v>
      </c>
      <c r="X11" s="66">
        <f>'SALDOS POR NOTA'!M36</f>
        <v>0</v>
      </c>
      <c r="Y11" s="66">
        <f>'SALDOS POR NOTA'!N36</f>
        <v>0</v>
      </c>
      <c r="Z11" s="38">
        <f>L11*-1</f>
        <v>0</v>
      </c>
      <c r="AA11" s="385">
        <f>'SALDOS POR NOTA'!O36</f>
        <v>0</v>
      </c>
      <c r="AB11" s="37">
        <f>N11</f>
        <v>0</v>
      </c>
      <c r="AC11" s="66">
        <f t="shared" si="2"/>
        <v>0</v>
      </c>
      <c r="AD11" s="66">
        <f>'SALDOS POR NOTA'!C37</f>
        <v>0</v>
      </c>
      <c r="AE11" s="116">
        <f>SUM(U11:AC11)</f>
        <v>0</v>
      </c>
      <c r="AF11" s="118">
        <f>(AE11-O11)</f>
        <v>0</v>
      </c>
      <c r="AG11" s="1" t="b">
        <f t="shared" si="3"/>
        <v>1</v>
      </c>
      <c r="AH11" s="4"/>
    </row>
    <row r="12" spans="1:34" x14ac:dyDescent="0.25">
      <c r="B12" s="16">
        <v>4</v>
      </c>
      <c r="C12" s="62" t="s">
        <v>13</v>
      </c>
      <c r="D12" s="66">
        <f>'SALDOS POR NOTA'!C49</f>
        <v>0</v>
      </c>
      <c r="E12" s="66">
        <f>'SALDOS POR NOTA'!D49</f>
        <v>0</v>
      </c>
      <c r="F12" s="66">
        <f>'SALDOS POR NOTA'!E49</f>
        <v>0</v>
      </c>
      <c r="G12" s="66">
        <f>'SALDOS POR NOTA'!F49</f>
        <v>0</v>
      </c>
      <c r="H12" s="66">
        <f>'SALDOS POR NOTA'!G49</f>
        <v>0</v>
      </c>
      <c r="I12" s="66">
        <f>'SALDOS POR NOTA'!H49</f>
        <v>0</v>
      </c>
      <c r="J12" s="66">
        <v>0</v>
      </c>
      <c r="K12" s="31">
        <f t="shared" si="0"/>
        <v>0</v>
      </c>
      <c r="L12" s="38">
        <v>0</v>
      </c>
      <c r="M12" s="31">
        <f>K12-L12</f>
        <v>0</v>
      </c>
      <c r="N12" s="37">
        <f>'SALDOS POR NOTA'!I49</f>
        <v>0</v>
      </c>
      <c r="O12" s="31">
        <f t="shared" si="1"/>
        <v>0</v>
      </c>
      <c r="Q12" s="4"/>
      <c r="S12" s="16">
        <v>4</v>
      </c>
      <c r="T12" s="62" t="s">
        <v>13</v>
      </c>
      <c r="U12" s="66">
        <f>'SALDOS POR NOTA'!J49</f>
        <v>0</v>
      </c>
      <c r="V12" s="66">
        <f>'SALDOS POR NOTA'!K49</f>
        <v>0</v>
      </c>
      <c r="W12" s="66">
        <f>'SALDOS POR NOTA'!L49</f>
        <v>0</v>
      </c>
      <c r="X12" s="66">
        <f>'SALDOS POR NOTA'!M49</f>
        <v>0</v>
      </c>
      <c r="Y12" s="66">
        <f>'SALDOS POR NOTA'!N49</f>
        <v>0</v>
      </c>
      <c r="Z12" s="38">
        <f>L12*-1</f>
        <v>0</v>
      </c>
      <c r="AA12" s="385">
        <f>'SALDOS POR NOTA'!O49</f>
        <v>0</v>
      </c>
      <c r="AB12" s="37">
        <f>N12</f>
        <v>0</v>
      </c>
      <c r="AC12" s="66">
        <f t="shared" si="2"/>
        <v>0</v>
      </c>
      <c r="AD12" s="66">
        <f>'SALDOS POR NOTA'!C50</f>
        <v>0</v>
      </c>
      <c r="AE12" s="116">
        <f>SUM(U12:AC12)</f>
        <v>0</v>
      </c>
      <c r="AF12" s="118">
        <f>(AE12-O12)</f>
        <v>0</v>
      </c>
      <c r="AG12" s="1" t="b">
        <f t="shared" si="3"/>
        <v>1</v>
      </c>
      <c r="AH12" s="4"/>
    </row>
    <row r="13" spans="1:34" ht="12" thickBot="1" x14ac:dyDescent="0.3">
      <c r="B13" s="19">
        <v>5</v>
      </c>
      <c r="C13" s="63" t="s">
        <v>14</v>
      </c>
      <c r="D13" s="66">
        <f>'SALDOS POR NOTA'!C62</f>
        <v>0</v>
      </c>
      <c r="E13" s="66">
        <f>'SALDOS POR NOTA'!D62</f>
        <v>0</v>
      </c>
      <c r="F13" s="66">
        <f>'SALDOS POR NOTA'!E62</f>
        <v>0</v>
      </c>
      <c r="G13" s="66">
        <f>'SALDOS POR NOTA'!F62</f>
        <v>0</v>
      </c>
      <c r="H13" s="66">
        <f>'SALDOS POR NOTA'!G62</f>
        <v>0</v>
      </c>
      <c r="I13" s="66">
        <f>'SALDOS POR NOTA'!H62</f>
        <v>0</v>
      </c>
      <c r="J13" s="66">
        <v>0</v>
      </c>
      <c r="K13" s="31">
        <f t="shared" si="0"/>
        <v>0</v>
      </c>
      <c r="L13" s="38">
        <v>0</v>
      </c>
      <c r="M13" s="40">
        <f>K13-L13</f>
        <v>0</v>
      </c>
      <c r="N13" s="37">
        <f>'SALDOS POR NOTA'!I62</f>
        <v>0</v>
      </c>
      <c r="O13" s="40">
        <f>M13+N13</f>
        <v>0</v>
      </c>
      <c r="Q13" s="4"/>
      <c r="S13" s="19">
        <v>5</v>
      </c>
      <c r="T13" s="63" t="s">
        <v>14</v>
      </c>
      <c r="U13" s="66">
        <f>'SALDOS POR NOTA'!J62</f>
        <v>0</v>
      </c>
      <c r="V13" s="66">
        <f>'SALDOS POR NOTA'!K62</f>
        <v>0</v>
      </c>
      <c r="W13" s="66">
        <f>'SALDOS POR NOTA'!L62</f>
        <v>0</v>
      </c>
      <c r="X13" s="66">
        <f>'SALDOS POR NOTA'!M62</f>
        <v>0</v>
      </c>
      <c r="Y13" s="66">
        <f>'SALDOS POR NOTA'!N62</f>
        <v>0</v>
      </c>
      <c r="Z13" s="38">
        <f>L13*-1</f>
        <v>0</v>
      </c>
      <c r="AA13" s="386">
        <f>'SALDOS POR NOTA'!O62</f>
        <v>0</v>
      </c>
      <c r="AB13" s="37">
        <f>N13</f>
        <v>0</v>
      </c>
      <c r="AC13" s="66">
        <f t="shared" si="2"/>
        <v>0</v>
      </c>
      <c r="AD13" s="66">
        <f>'SALDOS POR NOTA'!C63</f>
        <v>0</v>
      </c>
      <c r="AE13" s="116">
        <f>SUM(U13:AC13)</f>
        <v>0</v>
      </c>
      <c r="AF13" s="119">
        <f>(AE13-O13)</f>
        <v>0</v>
      </c>
      <c r="AG13" s="1" t="b">
        <f t="shared" si="3"/>
        <v>1</v>
      </c>
      <c r="AH13" s="4"/>
    </row>
    <row r="14" spans="1:34" ht="13.5" thickBot="1" x14ac:dyDescent="0.35">
      <c r="B14" s="21"/>
      <c r="C14" s="22" t="s">
        <v>2</v>
      </c>
      <c r="D14" s="43">
        <f>SUM(D9:D13)</f>
        <v>0</v>
      </c>
      <c r="E14" s="43">
        <f t="shared" ref="E14:N14" si="4">SUM(E9:E13)</f>
        <v>0</v>
      </c>
      <c r="F14" s="43">
        <f t="shared" si="4"/>
        <v>0</v>
      </c>
      <c r="G14" s="43">
        <f t="shared" si="4"/>
        <v>0</v>
      </c>
      <c r="H14" s="43">
        <f t="shared" si="4"/>
        <v>0</v>
      </c>
      <c r="I14" s="43">
        <f t="shared" si="4"/>
        <v>0</v>
      </c>
      <c r="J14" s="43">
        <f t="shared" si="4"/>
        <v>0</v>
      </c>
      <c r="K14" s="32">
        <f t="shared" si="4"/>
        <v>0</v>
      </c>
      <c r="L14" s="23">
        <f t="shared" si="4"/>
        <v>0</v>
      </c>
      <c r="M14" s="76">
        <f t="shared" si="4"/>
        <v>0</v>
      </c>
      <c r="N14" s="23">
        <f t="shared" si="4"/>
        <v>0</v>
      </c>
      <c r="O14" s="76">
        <f>SUM(O9:O13)</f>
        <v>0</v>
      </c>
      <c r="P14" s="2"/>
      <c r="Q14" s="4"/>
      <c r="S14" s="21"/>
      <c r="T14" s="22" t="s">
        <v>2</v>
      </c>
      <c r="U14" s="43">
        <f>SUM(U9:U13)</f>
        <v>0</v>
      </c>
      <c r="V14" s="43">
        <f t="shared" ref="V14:AB14" si="5">SUM(V9:V13)</f>
        <v>0</v>
      </c>
      <c r="W14" s="43">
        <f t="shared" si="5"/>
        <v>0</v>
      </c>
      <c r="X14" s="43">
        <f t="shared" si="5"/>
        <v>0</v>
      </c>
      <c r="Y14" s="43">
        <f t="shared" si="5"/>
        <v>0</v>
      </c>
      <c r="Z14" s="43">
        <f t="shared" si="5"/>
        <v>0</v>
      </c>
      <c r="AA14" s="384">
        <f t="shared" si="5"/>
        <v>0</v>
      </c>
      <c r="AB14" s="43">
        <f t="shared" si="5"/>
        <v>0</v>
      </c>
      <c r="AC14" s="43">
        <f>SUM(AC9:AC13)</f>
        <v>0</v>
      </c>
      <c r="AD14" s="43">
        <f>SUM(AD9:AD13)</f>
        <v>0</v>
      </c>
      <c r="AE14" s="68">
        <f>SUM(AE9:AE13)</f>
        <v>0</v>
      </c>
      <c r="AF14" s="120">
        <f>SUM(AF9:AF13)</f>
        <v>0</v>
      </c>
      <c r="AG14" s="1" t="b">
        <f t="shared" si="3"/>
        <v>1</v>
      </c>
      <c r="AH14" s="4"/>
    </row>
    <row r="15" spans="1:34" ht="12" thickBot="1" x14ac:dyDescent="0.3">
      <c r="B15" s="2"/>
      <c r="C15" s="2"/>
      <c r="D15" s="24"/>
      <c r="E15" s="24"/>
      <c r="F15" s="24"/>
      <c r="G15" s="24"/>
      <c r="H15" s="24"/>
      <c r="I15" s="24"/>
      <c r="K15" s="24"/>
      <c r="L15" s="24"/>
      <c r="M15" s="24"/>
      <c r="N15" s="24"/>
      <c r="O15" s="24"/>
      <c r="Q15" s="4"/>
      <c r="S15" s="2"/>
      <c r="T15" s="2"/>
      <c r="U15" s="24"/>
      <c r="V15" s="24"/>
      <c r="W15" s="24"/>
      <c r="X15" s="24"/>
      <c r="Y15" s="24"/>
      <c r="AE15" s="24"/>
      <c r="AH15" s="4"/>
    </row>
    <row r="16" spans="1:34" ht="12" thickBot="1" x14ac:dyDescent="0.3">
      <c r="B16" s="2"/>
      <c r="C16" s="2"/>
      <c r="D16" s="24"/>
      <c r="E16" s="24" t="s">
        <v>1</v>
      </c>
      <c r="F16" s="24" t="s">
        <v>1</v>
      </c>
      <c r="G16" s="24"/>
      <c r="H16" s="24" t="s">
        <v>1</v>
      </c>
      <c r="I16" s="24" t="s">
        <v>1</v>
      </c>
      <c r="K16" s="24"/>
      <c r="L16" s="24"/>
      <c r="M16" s="24"/>
      <c r="N16" s="24"/>
      <c r="O16" s="24"/>
      <c r="Q16" s="4"/>
      <c r="Y16" s="86">
        <f>SUM(U14:Y14)</f>
        <v>0</v>
      </c>
      <c r="AA16" s="1" t="s">
        <v>1</v>
      </c>
      <c r="AB16" s="1" t="s">
        <v>1</v>
      </c>
      <c r="AC16" s="1" t="s">
        <v>1</v>
      </c>
      <c r="AE16" s="1" t="s">
        <v>1</v>
      </c>
      <c r="AH16" s="4"/>
    </row>
    <row r="17" spans="1:34" ht="12" thickBot="1" x14ac:dyDescent="0.3">
      <c r="B17" s="2"/>
      <c r="C17" s="2"/>
      <c r="D17" s="24" t="s">
        <v>1</v>
      </c>
      <c r="E17" s="33"/>
      <c r="F17" s="33"/>
      <c r="G17" s="33"/>
      <c r="H17" s="33"/>
      <c r="I17" s="24" t="s">
        <v>1</v>
      </c>
      <c r="K17" s="24"/>
      <c r="L17" s="24"/>
      <c r="M17" s="24"/>
      <c r="N17" s="24"/>
      <c r="O17" s="24"/>
      <c r="Q17" s="4"/>
      <c r="AH17" s="4"/>
    </row>
    <row r="18" spans="1:34" x14ac:dyDescent="0.25">
      <c r="B18" s="2"/>
      <c r="C18" s="2"/>
      <c r="D18" s="24" t="s">
        <v>1</v>
      </c>
      <c r="E18" s="24" t="s">
        <v>1</v>
      </c>
      <c r="F18" s="24" t="s">
        <v>25</v>
      </c>
      <c r="G18" s="24"/>
      <c r="H18" s="24"/>
      <c r="I18" s="24"/>
      <c r="K18" s="24"/>
      <c r="L18" s="24"/>
      <c r="M18" s="24"/>
      <c r="N18" s="24"/>
      <c r="O18" s="24"/>
      <c r="Q18" s="4"/>
      <c r="AH18" s="4"/>
    </row>
    <row r="19" spans="1:34" x14ac:dyDescent="0.25">
      <c r="A19" s="4"/>
      <c r="B19" s="34"/>
      <c r="C19" s="34"/>
      <c r="D19" s="35"/>
      <c r="E19" s="35"/>
      <c r="F19" s="35"/>
      <c r="G19" s="35"/>
      <c r="H19" s="35"/>
      <c r="I19" s="35"/>
      <c r="J19" s="4"/>
      <c r="K19" s="35"/>
      <c r="L19" s="35"/>
      <c r="M19" s="35"/>
      <c r="N19" s="35"/>
      <c r="O19" s="35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</row>
    <row r="20" spans="1:34" ht="12" thickBot="1" x14ac:dyDescent="0.3">
      <c r="Q20" s="4"/>
      <c r="AH20" s="4"/>
    </row>
    <row r="21" spans="1:34" x14ac:dyDescent="0.25">
      <c r="B21" s="5"/>
      <c r="C21" s="3" t="s">
        <v>1</v>
      </c>
      <c r="D21" s="6" t="s">
        <v>1</v>
      </c>
      <c r="E21" s="3"/>
      <c r="F21" s="3"/>
      <c r="G21" s="3"/>
      <c r="H21" s="3" t="s">
        <v>1</v>
      </c>
      <c r="I21" s="3"/>
      <c r="J21" s="3"/>
      <c r="K21" s="3"/>
      <c r="L21" s="3"/>
      <c r="M21" s="3"/>
      <c r="N21" s="3"/>
      <c r="O21" s="7"/>
      <c r="P21" s="2"/>
      <c r="Q21" s="4"/>
      <c r="S21" s="5"/>
      <c r="T21" s="3" t="s">
        <v>1</v>
      </c>
      <c r="U21" s="6" t="s">
        <v>1</v>
      </c>
      <c r="V21" s="3"/>
      <c r="W21" s="3"/>
      <c r="X21" s="3" t="s">
        <v>1</v>
      </c>
      <c r="Y21" s="3"/>
      <c r="Z21" s="3"/>
      <c r="AA21" s="3"/>
      <c r="AB21" s="3"/>
      <c r="AC21" s="3"/>
      <c r="AD21" s="3"/>
      <c r="AE21" s="7"/>
      <c r="AF21" s="2"/>
      <c r="AH21" s="4"/>
    </row>
    <row r="22" spans="1:34" ht="14" x14ac:dyDescent="0.3">
      <c r="B22" s="8"/>
      <c r="F22" s="26" t="s">
        <v>8</v>
      </c>
      <c r="G22" s="26"/>
      <c r="I22" s="26" t="s">
        <v>16</v>
      </c>
      <c r="J22" s="25"/>
      <c r="M22" s="2" t="s">
        <v>15</v>
      </c>
      <c r="N22" s="50">
        <f>N3</f>
        <v>2026071</v>
      </c>
      <c r="O22" s="10"/>
      <c r="P22" s="2"/>
      <c r="Q22" s="4"/>
      <c r="S22" s="8"/>
      <c r="U22" s="26" t="s">
        <v>8</v>
      </c>
      <c r="W22" s="26" t="s">
        <v>16</v>
      </c>
      <c r="X22" s="25"/>
      <c r="Y22" s="2"/>
      <c r="AA22" s="2" t="s">
        <v>15</v>
      </c>
      <c r="AC22" s="84">
        <f>N22</f>
        <v>2026071</v>
      </c>
      <c r="AD22" s="84"/>
      <c r="AE22" s="48"/>
      <c r="AF22" s="2"/>
      <c r="AH22" s="4"/>
    </row>
    <row r="23" spans="1:34" ht="15.5" x14ac:dyDescent="0.35">
      <c r="B23" s="8"/>
      <c r="F23" s="36" t="s">
        <v>29</v>
      </c>
      <c r="G23" s="36"/>
      <c r="O23" s="10"/>
      <c r="P23" s="2"/>
      <c r="Q23" s="4"/>
      <c r="S23" s="8"/>
      <c r="T23" s="26" t="s">
        <v>1</v>
      </c>
      <c r="U23" s="36" t="s">
        <v>29</v>
      </c>
      <c r="Y23" s="2" t="s">
        <v>1</v>
      </c>
      <c r="AA23" s="50" t="s">
        <v>1</v>
      </c>
      <c r="AB23" s="2"/>
      <c r="AC23" s="2"/>
      <c r="AD23" s="2"/>
      <c r="AE23" s="10" t="s">
        <v>1</v>
      </c>
      <c r="AF23" s="2"/>
      <c r="AH23" s="4"/>
    </row>
    <row r="24" spans="1:34" ht="14" x14ac:dyDescent="0.3">
      <c r="B24" s="8"/>
      <c r="F24" s="2" t="s">
        <v>30</v>
      </c>
      <c r="G24" s="2"/>
      <c r="M24" s="2" t="s">
        <v>1</v>
      </c>
      <c r="O24" s="10"/>
      <c r="P24" s="2"/>
      <c r="Q24" s="4"/>
      <c r="S24" s="8"/>
      <c r="T24" s="49" t="s">
        <v>1</v>
      </c>
      <c r="U24" s="2" t="s">
        <v>30</v>
      </c>
      <c r="AE24" s="44"/>
      <c r="AF24" s="2"/>
      <c r="AH24" s="4"/>
    </row>
    <row r="25" spans="1:34" ht="15.5" x14ac:dyDescent="0.35">
      <c r="B25" s="8"/>
      <c r="C25" s="2" t="s">
        <v>17</v>
      </c>
      <c r="D25" s="9">
        <f>D6</f>
        <v>46220</v>
      </c>
      <c r="F25" s="41" t="s">
        <v>124</v>
      </c>
      <c r="G25" s="41"/>
      <c r="H25" s="2"/>
      <c r="J25" s="2"/>
      <c r="O25" s="10"/>
      <c r="P25" s="2"/>
      <c r="Q25" s="4"/>
      <c r="S25" s="8"/>
      <c r="T25" s="41" t="s">
        <v>1</v>
      </c>
      <c r="U25" s="41" t="str">
        <f>+F25</f>
        <v>RETRIBUCION NEGATIVA</v>
      </c>
      <c r="V25" s="2"/>
      <c r="X25" s="2"/>
      <c r="Y25" s="2"/>
      <c r="AE25" s="48"/>
      <c r="AF25" s="2"/>
      <c r="AH25" s="4"/>
    </row>
    <row r="26" spans="1:34" ht="12" thickBot="1" x14ac:dyDescent="0.3">
      <c r="B26" s="8"/>
      <c r="C26" s="2" t="s">
        <v>0</v>
      </c>
      <c r="D26" s="241">
        <f>D7</f>
        <v>0.58333333333333337</v>
      </c>
      <c r="F26" s="2" t="s">
        <v>27</v>
      </c>
      <c r="G26" s="2"/>
      <c r="H26" s="9">
        <f>H7</f>
        <v>46204</v>
      </c>
      <c r="J26" s="2" t="s">
        <v>28</v>
      </c>
      <c r="K26" s="9">
        <f>K7</f>
        <v>46218</v>
      </c>
      <c r="O26" s="10"/>
      <c r="P26" s="2"/>
      <c r="Q26" s="4"/>
      <c r="S26" s="8"/>
      <c r="U26" s="1" t="str">
        <f>F26</f>
        <v>Fecha Desde:</v>
      </c>
      <c r="V26" s="9">
        <f>H26</f>
        <v>46204</v>
      </c>
      <c r="W26" s="1" t="s">
        <v>1</v>
      </c>
      <c r="X26" s="1" t="str">
        <f>J26</f>
        <v>Feha Hasta:</v>
      </c>
      <c r="Y26" s="9">
        <f>K26</f>
        <v>46218</v>
      </c>
      <c r="Z26" s="1" t="s">
        <v>1</v>
      </c>
      <c r="AE26" s="48"/>
      <c r="AF26" s="2"/>
      <c r="AH26" s="4"/>
    </row>
    <row r="27" spans="1:34" ht="72" customHeight="1" thickBot="1" x14ac:dyDescent="0.3">
      <c r="B27" s="11" t="s">
        <v>3</v>
      </c>
      <c r="C27" s="27" t="s">
        <v>9</v>
      </c>
      <c r="D27" s="11" t="s">
        <v>4</v>
      </c>
      <c r="E27" s="12" t="s">
        <v>5</v>
      </c>
      <c r="F27" s="12" t="s">
        <v>6</v>
      </c>
      <c r="G27" s="27" t="s">
        <v>159</v>
      </c>
      <c r="H27" s="12" t="s">
        <v>18</v>
      </c>
      <c r="I27" s="12" t="s">
        <v>24</v>
      </c>
      <c r="J27" s="73" t="s">
        <v>19</v>
      </c>
      <c r="K27" s="29" t="s">
        <v>20</v>
      </c>
      <c r="L27" s="28" t="s">
        <v>21</v>
      </c>
      <c r="M27" s="39" t="s">
        <v>22</v>
      </c>
      <c r="N27" s="12" t="s">
        <v>7</v>
      </c>
      <c r="O27" s="39" t="s">
        <v>23</v>
      </c>
      <c r="P27" s="13"/>
      <c r="Q27" s="4"/>
      <c r="S27" s="11" t="s">
        <v>3</v>
      </c>
      <c r="T27" s="27" t="s">
        <v>9</v>
      </c>
      <c r="U27" s="80" t="s">
        <v>39</v>
      </c>
      <c r="V27" s="51" t="s">
        <v>40</v>
      </c>
      <c r="W27" s="51" t="s">
        <v>41</v>
      </c>
      <c r="X27" s="51" t="s">
        <v>42</v>
      </c>
      <c r="Y27" s="81" t="s">
        <v>43</v>
      </c>
      <c r="Z27" s="85" t="s">
        <v>21</v>
      </c>
      <c r="AA27" s="65" t="s">
        <v>46</v>
      </c>
      <c r="AB27" s="65" t="s">
        <v>7</v>
      </c>
      <c r="AC27" s="121" t="s">
        <v>107</v>
      </c>
      <c r="AD27" s="121" t="s">
        <v>106</v>
      </c>
      <c r="AE27" s="39" t="s">
        <v>23</v>
      </c>
      <c r="AF27" s="13"/>
      <c r="AH27" s="4"/>
    </row>
    <row r="28" spans="1:34" s="308" customFormat="1" x14ac:dyDescent="0.25">
      <c r="B28" s="306">
        <v>1</v>
      </c>
      <c r="C28" s="307" t="s">
        <v>10</v>
      </c>
      <c r="D28" s="294">
        <f>'RETRIBUCION NEGATIVA'!C10</f>
        <v>0</v>
      </c>
      <c r="E28" s="295">
        <f>'RETRIBUCION NEGATIVA'!D10</f>
        <v>0</v>
      </c>
      <c r="F28" s="295">
        <f>'RETRIBUCION NEGATIVA'!E10</f>
        <v>0</v>
      </c>
      <c r="G28" s="295">
        <f>'RETRIBUCION NEGATIVA'!F10</f>
        <v>0</v>
      </c>
      <c r="H28" s="295">
        <f>'RETRIBUCION NEGATIVA'!G10</f>
        <v>0</v>
      </c>
      <c r="I28" s="295">
        <f>'RETRIBUCION NEGATIVA'!H10</f>
        <v>0</v>
      </c>
      <c r="J28" s="291">
        <v>0</v>
      </c>
      <c r="K28" s="296">
        <f>D28-E28-F28-H28-I28-J28-G28</f>
        <v>0</v>
      </c>
      <c r="L28" s="297">
        <v>0</v>
      </c>
      <c r="M28" s="296">
        <f>K28-L28</f>
        <v>0</v>
      </c>
      <c r="N28" s="297">
        <f>'RETRIBUCION NEGATIVA'!I10</f>
        <v>0</v>
      </c>
      <c r="O28" s="296">
        <f>M28+N28</f>
        <v>0</v>
      </c>
      <c r="Q28" s="309"/>
      <c r="S28" s="306">
        <v>1</v>
      </c>
      <c r="T28" s="307" t="s">
        <v>10</v>
      </c>
      <c r="U28" s="294">
        <f>'RETRIBUCION NEGATIVA'!J10</f>
        <v>0</v>
      </c>
      <c r="V28" s="294">
        <f>'RETRIBUCION NEGATIVA'!K10</f>
        <v>0</v>
      </c>
      <c r="W28" s="294">
        <f>'RETRIBUCION NEGATIVA'!L10</f>
        <v>0</v>
      </c>
      <c r="X28" s="294">
        <f>'RETRIBUCION NEGATIVA'!M10</f>
        <v>0</v>
      </c>
      <c r="Y28" s="294">
        <f>'RETRIBUCION NEGATIVA'!N10</f>
        <v>0</v>
      </c>
      <c r="Z28" s="313">
        <f>L28*-1</f>
        <v>0</v>
      </c>
      <c r="AA28" s="315">
        <f>'RETRIBUCION NEGATIVA'!O10</f>
        <v>0</v>
      </c>
      <c r="AB28" s="297">
        <f>N28</f>
        <v>0</v>
      </c>
      <c r="AC28" s="294">
        <f>-J28+AD28</f>
        <v>0</v>
      </c>
      <c r="AD28" s="294">
        <f>'RETRIBUCION NEGATIVA'!C11</f>
        <v>0</v>
      </c>
      <c r="AE28" s="366">
        <f>SUM(U28:AC28)</f>
        <v>0</v>
      </c>
      <c r="AF28" s="314">
        <f>(AE28-O28)</f>
        <v>0</v>
      </c>
      <c r="AG28" s="308" t="b">
        <f>AF28=0</f>
        <v>1</v>
      </c>
      <c r="AH28" s="309"/>
    </row>
    <row r="29" spans="1:34" s="308" customFormat="1" x14ac:dyDescent="0.25">
      <c r="B29" s="317">
        <v>2</v>
      </c>
      <c r="C29" s="318" t="s">
        <v>11</v>
      </c>
      <c r="D29" s="294">
        <f>'RETRIBUCION NEGATIVA'!C23</f>
        <v>0</v>
      </c>
      <c r="E29" s="295">
        <f>'RETRIBUCION NEGATIVA'!D23</f>
        <v>0</v>
      </c>
      <c r="F29" s="295">
        <f>'RETRIBUCION NEGATIVA'!E23</f>
        <v>0</v>
      </c>
      <c r="G29" s="295">
        <f>'RETRIBUCION NEGATIVA'!F23</f>
        <v>0</v>
      </c>
      <c r="H29" s="295">
        <f>'RETRIBUCION NEGATIVA'!G23</f>
        <v>0</v>
      </c>
      <c r="I29" s="295">
        <f>'RETRIBUCION NEGATIVA'!H23</f>
        <v>0</v>
      </c>
      <c r="J29" s="291">
        <v>0</v>
      </c>
      <c r="K29" s="298">
        <f t="shared" ref="K29:K32" si="6">D29-E29-F29-H29-I29-J29-G29</f>
        <v>0</v>
      </c>
      <c r="L29" s="302">
        <v>0</v>
      </c>
      <c r="M29" s="298">
        <f>K29-L29</f>
        <v>0</v>
      </c>
      <c r="N29" s="297">
        <f>'RETRIBUCION NEGATIVA'!I23</f>
        <v>0</v>
      </c>
      <c r="O29" s="298">
        <f t="shared" ref="O29:O32" si="7">M29+N29</f>
        <v>0</v>
      </c>
      <c r="Q29" s="309"/>
      <c r="S29" s="317">
        <v>2</v>
      </c>
      <c r="T29" s="318" t="s">
        <v>11</v>
      </c>
      <c r="U29" s="319">
        <f>'RETRIBUCION NEGATIVA'!J23</f>
        <v>0</v>
      </c>
      <c r="V29" s="319">
        <f>'RETRIBUCION NEGATIVA'!K23</f>
        <v>0</v>
      </c>
      <c r="W29" s="319">
        <f>'RETRIBUCION NEGATIVA'!L23</f>
        <v>0</v>
      </c>
      <c r="X29" s="319">
        <f>'RETRIBUCION NEGATIVA'!M23</f>
        <v>0</v>
      </c>
      <c r="Y29" s="319">
        <f>'RETRIBUCION NEGATIVA'!N23</f>
        <v>0</v>
      </c>
      <c r="Z29" s="322">
        <f>L29*-1</f>
        <v>0</v>
      </c>
      <c r="AA29" s="323">
        <f>'RETRIBUCION NEGATIVA'!O23</f>
        <v>0</v>
      </c>
      <c r="AB29" s="297">
        <f>N29</f>
        <v>0</v>
      </c>
      <c r="AC29" s="294">
        <f>-J29+AD29</f>
        <v>0</v>
      </c>
      <c r="AD29" s="294">
        <f>'RETRIBUCION NEGATIVA'!C24</f>
        <v>0</v>
      </c>
      <c r="AE29" s="368">
        <f>SUM(U29:AC29)</f>
        <v>0</v>
      </c>
      <c r="AF29" s="326">
        <f>(AE29-O29)</f>
        <v>0</v>
      </c>
      <c r="AG29" s="308" t="b">
        <f t="shared" ref="AG29:AG33" si="8">AF29=0</f>
        <v>1</v>
      </c>
      <c r="AH29" s="309"/>
    </row>
    <row r="30" spans="1:34" s="308" customFormat="1" x14ac:dyDescent="0.25">
      <c r="B30" s="317">
        <v>3</v>
      </c>
      <c r="C30" s="318" t="s">
        <v>12</v>
      </c>
      <c r="D30" s="294">
        <f>'RETRIBUCION NEGATIVA'!C36</f>
        <v>0</v>
      </c>
      <c r="E30" s="295">
        <f>'RETRIBUCION NEGATIVA'!D36</f>
        <v>0</v>
      </c>
      <c r="F30" s="295">
        <f>'RETRIBUCION NEGATIVA'!E36</f>
        <v>0</v>
      </c>
      <c r="G30" s="295">
        <f>'RETRIBUCION NEGATIVA'!F36</f>
        <v>0</v>
      </c>
      <c r="H30" s="295">
        <f>'RETRIBUCION NEGATIVA'!G36</f>
        <v>0</v>
      </c>
      <c r="I30" s="295">
        <f>'RETRIBUCION NEGATIVA'!H36</f>
        <v>0</v>
      </c>
      <c r="J30" s="291">
        <v>0</v>
      </c>
      <c r="K30" s="298">
        <f t="shared" si="6"/>
        <v>0</v>
      </c>
      <c r="L30" s="302">
        <v>0</v>
      </c>
      <c r="M30" s="298">
        <f>K30-L30</f>
        <v>0</v>
      </c>
      <c r="N30" s="297">
        <f>'RETRIBUCION NEGATIVA'!I36</f>
        <v>0</v>
      </c>
      <c r="O30" s="298">
        <f t="shared" si="7"/>
        <v>0</v>
      </c>
      <c r="Q30" s="309"/>
      <c r="S30" s="317">
        <v>3</v>
      </c>
      <c r="T30" s="318" t="s">
        <v>12</v>
      </c>
      <c r="U30" s="319">
        <f>'RETRIBUCION NEGATIVA'!J36</f>
        <v>0</v>
      </c>
      <c r="V30" s="319">
        <f>'RETRIBUCION NEGATIVA'!K36</f>
        <v>0</v>
      </c>
      <c r="W30" s="319">
        <f>'RETRIBUCION NEGATIVA'!L36</f>
        <v>0</v>
      </c>
      <c r="X30" s="319">
        <f>'RETRIBUCION NEGATIVA'!M36</f>
        <v>0</v>
      </c>
      <c r="Y30" s="319">
        <f>'RETRIBUCION NEGATIVA'!N36</f>
        <v>0</v>
      </c>
      <c r="Z30" s="322">
        <f>L30*-1</f>
        <v>0</v>
      </c>
      <c r="AA30" s="323">
        <f>'RETRIBUCION NEGATIVA'!O36</f>
        <v>0</v>
      </c>
      <c r="AB30" s="297">
        <f>N30</f>
        <v>0</v>
      </c>
      <c r="AC30" s="294">
        <f t="shared" ref="AC30:AC32" si="9">-J30+AD30</f>
        <v>0</v>
      </c>
      <c r="AD30" s="294">
        <f>'RETRIBUCION NEGATIVA'!C37</f>
        <v>0</v>
      </c>
      <c r="AE30" s="368">
        <f>SUM(U30:AC30)</f>
        <v>0</v>
      </c>
      <c r="AF30" s="326">
        <f t="shared" ref="AF30:AF31" si="10">(AE30-O30)</f>
        <v>0</v>
      </c>
      <c r="AG30" s="308" t="b">
        <f t="shared" si="8"/>
        <v>1</v>
      </c>
      <c r="AH30" s="309"/>
    </row>
    <row r="31" spans="1:34" s="308" customFormat="1" x14ac:dyDescent="0.25">
      <c r="B31" s="317">
        <v>4</v>
      </c>
      <c r="C31" s="318" t="s">
        <v>13</v>
      </c>
      <c r="D31" s="294">
        <f>'RETRIBUCION NEGATIVA'!C49</f>
        <v>0</v>
      </c>
      <c r="E31" s="295">
        <f>'RETRIBUCION NEGATIVA'!D49</f>
        <v>0</v>
      </c>
      <c r="F31" s="295">
        <f>'RETRIBUCION NEGATIVA'!E49</f>
        <v>0</v>
      </c>
      <c r="G31" s="295">
        <f>'RETRIBUCION NEGATIVA'!F49</f>
        <v>0</v>
      </c>
      <c r="H31" s="295">
        <f>'RETRIBUCION NEGATIVA'!G49</f>
        <v>0</v>
      </c>
      <c r="I31" s="295">
        <f>'RETRIBUCION NEGATIVA'!H49</f>
        <v>0</v>
      </c>
      <c r="J31" s="291">
        <v>0</v>
      </c>
      <c r="K31" s="298">
        <f t="shared" si="6"/>
        <v>0</v>
      </c>
      <c r="L31" s="302">
        <v>0</v>
      </c>
      <c r="M31" s="298">
        <f>K31-L31</f>
        <v>0</v>
      </c>
      <c r="N31" s="297">
        <f>'RETRIBUCION NEGATIVA'!I49</f>
        <v>0</v>
      </c>
      <c r="O31" s="298">
        <f t="shared" si="7"/>
        <v>0</v>
      </c>
      <c r="Q31" s="309"/>
      <c r="S31" s="317">
        <v>4</v>
      </c>
      <c r="T31" s="318" t="s">
        <v>13</v>
      </c>
      <c r="U31" s="319">
        <f>'RETRIBUCION NEGATIVA'!J49</f>
        <v>0</v>
      </c>
      <c r="V31" s="319">
        <f>'RETRIBUCION NEGATIVA'!K49</f>
        <v>0</v>
      </c>
      <c r="W31" s="319">
        <f>'RETRIBUCION NEGATIVA'!L49</f>
        <v>0</v>
      </c>
      <c r="X31" s="319">
        <f>'RETRIBUCION NEGATIVA'!M49</f>
        <v>0</v>
      </c>
      <c r="Y31" s="319">
        <f>'RETRIBUCION NEGATIVA'!N49</f>
        <v>0</v>
      </c>
      <c r="Z31" s="322">
        <f>L31*-1</f>
        <v>0</v>
      </c>
      <c r="AA31" s="323">
        <f>'RETRIBUCION NEGATIVA'!O49</f>
        <v>0</v>
      </c>
      <c r="AB31" s="297">
        <f>N31</f>
        <v>0</v>
      </c>
      <c r="AC31" s="294">
        <f t="shared" si="9"/>
        <v>0</v>
      </c>
      <c r="AD31" s="294">
        <f>'RETRIBUCION NEGATIVA'!C50</f>
        <v>0</v>
      </c>
      <c r="AE31" s="368">
        <f>SUM(U31:AC31)</f>
        <v>0</v>
      </c>
      <c r="AF31" s="326">
        <f t="shared" si="10"/>
        <v>0</v>
      </c>
      <c r="AG31" s="308" t="b">
        <f t="shared" si="8"/>
        <v>1</v>
      </c>
      <c r="AH31" s="309"/>
    </row>
    <row r="32" spans="1:34" s="308" customFormat="1" ht="12" thickBot="1" x14ac:dyDescent="0.3">
      <c r="B32" s="327">
        <v>5</v>
      </c>
      <c r="C32" s="328" t="s">
        <v>14</v>
      </c>
      <c r="D32" s="299">
        <f>'RETRIBUCION NEGATIVA'!C61</f>
        <v>0</v>
      </c>
      <c r="E32" s="300">
        <f>'RETRIBUCION NEGATIVA'!D61</f>
        <v>0</v>
      </c>
      <c r="F32" s="300">
        <f>'RETRIBUCION NEGATIVA'!E61</f>
        <v>0</v>
      </c>
      <c r="G32" s="300">
        <f>'RETRIBUCION NEGATIVA'!F61</f>
        <v>0</v>
      </c>
      <c r="H32" s="300">
        <f>'RETRIBUCION NEGATIVA'!G61</f>
        <v>0</v>
      </c>
      <c r="I32" s="300">
        <f>'RETRIBUCION NEGATIVA'!H61</f>
        <v>0</v>
      </c>
      <c r="J32" s="292">
        <v>0</v>
      </c>
      <c r="K32" s="298">
        <f t="shared" si="6"/>
        <v>0</v>
      </c>
      <c r="L32" s="302">
        <v>0</v>
      </c>
      <c r="M32" s="301">
        <f>K32-L32</f>
        <v>0</v>
      </c>
      <c r="N32" s="302">
        <f>'RETRIBUCION NEGATIVA'!I61</f>
        <v>0</v>
      </c>
      <c r="O32" s="301">
        <f t="shared" si="7"/>
        <v>0</v>
      </c>
      <c r="Q32" s="309"/>
      <c r="S32" s="327">
        <v>5</v>
      </c>
      <c r="T32" s="328" t="s">
        <v>14</v>
      </c>
      <c r="U32" s="299">
        <f>'RETRIBUCION NEGATIVA'!J61</f>
        <v>0</v>
      </c>
      <c r="V32" s="299">
        <f>'RETRIBUCION NEGATIVA'!K61</f>
        <v>0</v>
      </c>
      <c r="W32" s="299">
        <f>'RETRIBUCION NEGATIVA'!L61</f>
        <v>0</v>
      </c>
      <c r="X32" s="299">
        <f>'RETRIBUCION NEGATIVA'!M61</f>
        <v>0</v>
      </c>
      <c r="Y32" s="299">
        <f>'RETRIBUCION NEGATIVA'!N61</f>
        <v>0</v>
      </c>
      <c r="Z32" s="322">
        <f>L32*-1</f>
        <v>0</v>
      </c>
      <c r="AA32" s="323">
        <f>'RETRIBUCION NEGATIVA'!O61</f>
        <v>0</v>
      </c>
      <c r="AB32" s="297">
        <f>N32</f>
        <v>0</v>
      </c>
      <c r="AC32" s="294">
        <f t="shared" si="9"/>
        <v>0</v>
      </c>
      <c r="AD32" s="294">
        <f>'RETRIBUCION NEGATIVA'!C62</f>
        <v>0</v>
      </c>
      <c r="AE32" s="368">
        <f>SUM(U32:AC32)</f>
        <v>0</v>
      </c>
      <c r="AF32" s="329">
        <f>(AE32-O32)</f>
        <v>0</v>
      </c>
      <c r="AG32" s="308" t="b">
        <f t="shared" si="8"/>
        <v>1</v>
      </c>
      <c r="AH32" s="309"/>
    </row>
    <row r="33" spans="1:34" s="308" customFormat="1" ht="13.5" thickBot="1" x14ac:dyDescent="0.35">
      <c r="B33" s="330"/>
      <c r="C33" s="331" t="s">
        <v>2</v>
      </c>
      <c r="D33" s="293">
        <f>SUM(D28:D32)</f>
        <v>0</v>
      </c>
      <c r="E33" s="293">
        <f t="shared" ref="E33:O33" si="11">SUM(E28:E32)</f>
        <v>0</v>
      </c>
      <c r="F33" s="293">
        <f t="shared" si="11"/>
        <v>0</v>
      </c>
      <c r="G33" s="293">
        <f>SUM(G28:G32)</f>
        <v>0</v>
      </c>
      <c r="H33" s="293">
        <f t="shared" si="11"/>
        <v>0</v>
      </c>
      <c r="I33" s="293">
        <f t="shared" si="11"/>
        <v>0</v>
      </c>
      <c r="J33" s="293">
        <f t="shared" si="11"/>
        <v>0</v>
      </c>
      <c r="K33" s="303">
        <f t="shared" si="11"/>
        <v>0</v>
      </c>
      <c r="L33" s="304">
        <f t="shared" si="11"/>
        <v>0</v>
      </c>
      <c r="M33" s="305">
        <f t="shared" si="11"/>
        <v>0</v>
      </c>
      <c r="N33" s="304">
        <f t="shared" si="11"/>
        <v>0</v>
      </c>
      <c r="O33" s="305">
        <f t="shared" si="11"/>
        <v>0</v>
      </c>
      <c r="P33" s="332"/>
      <c r="Q33" s="309"/>
      <c r="S33" s="330"/>
      <c r="T33" s="331" t="s">
        <v>2</v>
      </c>
      <c r="U33" s="293">
        <f>SUM(U28:U32)</f>
        <v>0</v>
      </c>
      <c r="V33" s="293">
        <f t="shared" ref="V33:AF33" si="12">SUM(V28:V32)</f>
        <v>0</v>
      </c>
      <c r="W33" s="293">
        <f t="shared" si="12"/>
        <v>0</v>
      </c>
      <c r="X33" s="293">
        <f t="shared" si="12"/>
        <v>0</v>
      </c>
      <c r="Y33" s="293">
        <f t="shared" si="12"/>
        <v>0</v>
      </c>
      <c r="Z33" s="293">
        <f t="shared" si="12"/>
        <v>0</v>
      </c>
      <c r="AA33" s="293">
        <f t="shared" si="12"/>
        <v>0</v>
      </c>
      <c r="AB33" s="293">
        <f t="shared" si="12"/>
        <v>0</v>
      </c>
      <c r="AC33" s="293">
        <f>SUM(AC28:AC32)</f>
        <v>0</v>
      </c>
      <c r="AD33" s="293">
        <f>SUM(AD28:AD32)</f>
        <v>0</v>
      </c>
      <c r="AE33" s="334">
        <f t="shared" si="12"/>
        <v>0</v>
      </c>
      <c r="AF33" s="335">
        <f t="shared" si="12"/>
        <v>0</v>
      </c>
      <c r="AG33" s="308" t="b">
        <f t="shared" si="8"/>
        <v>1</v>
      </c>
      <c r="AH33" s="309"/>
    </row>
    <row r="34" spans="1:34" ht="12" thickBot="1" x14ac:dyDescent="0.3">
      <c r="B34" s="2"/>
      <c r="C34" s="2"/>
      <c r="D34" s="24"/>
      <c r="E34" s="24"/>
      <c r="F34" s="24"/>
      <c r="G34" s="24"/>
      <c r="H34" s="24"/>
      <c r="I34" s="24"/>
      <c r="K34" s="24"/>
      <c r="L34" s="24"/>
      <c r="M34" s="24"/>
      <c r="N34" s="24"/>
      <c r="O34" s="24"/>
      <c r="Q34" s="4"/>
      <c r="S34" s="2"/>
      <c r="T34" s="2"/>
      <c r="U34" s="24"/>
      <c r="V34" s="24"/>
      <c r="W34" s="24"/>
      <c r="X34" s="24"/>
      <c r="Y34" s="24"/>
      <c r="AE34" s="24"/>
      <c r="AH34" s="4"/>
    </row>
    <row r="35" spans="1:34" ht="13.5" customHeight="1" thickBot="1" x14ac:dyDescent="0.3">
      <c r="B35" s="2"/>
      <c r="C35" s="2"/>
      <c r="D35" s="24" t="s">
        <v>1</v>
      </c>
      <c r="E35" s="24"/>
      <c r="F35" s="24"/>
      <c r="G35" s="24"/>
      <c r="H35" s="24"/>
      <c r="I35" s="24"/>
      <c r="J35" s="1" t="s">
        <v>266</v>
      </c>
      <c r="M35" s="632" t="b">
        <f>IF(MAX(D28:O32,U28:AE32)&gt;0.9,"ERROR",TRUE)</f>
        <v>1</v>
      </c>
      <c r="O35" s="24"/>
      <c r="Q35" s="4"/>
      <c r="Y35" s="86">
        <f>SUM(U33:Y33)</f>
        <v>0</v>
      </c>
      <c r="AA35" s="1" t="s">
        <v>1</v>
      </c>
      <c r="AB35" s="1" t="s">
        <v>1</v>
      </c>
      <c r="AC35" s="1" t="s">
        <v>1</v>
      </c>
      <c r="AE35" s="1" t="s">
        <v>1</v>
      </c>
      <c r="AH35" s="4"/>
    </row>
    <row r="36" spans="1:34" ht="12" thickBot="1" x14ac:dyDescent="0.3">
      <c r="B36" s="2"/>
      <c r="C36" s="2"/>
      <c r="D36" s="24" t="s">
        <v>1</v>
      </c>
      <c r="E36" s="33"/>
      <c r="F36" s="33"/>
      <c r="G36" s="33"/>
      <c r="H36" s="33"/>
      <c r="I36" s="24"/>
      <c r="O36" s="24"/>
      <c r="Q36" s="4"/>
      <c r="AH36" s="4"/>
    </row>
    <row r="37" spans="1:34" x14ac:dyDescent="0.25">
      <c r="B37" s="2"/>
      <c r="C37" s="2"/>
      <c r="D37" s="24" t="s">
        <v>1</v>
      </c>
      <c r="E37" s="24" t="s">
        <v>1</v>
      </c>
      <c r="F37" s="24" t="s">
        <v>25</v>
      </c>
      <c r="G37" s="24"/>
      <c r="H37" s="24"/>
      <c r="I37" s="24"/>
      <c r="K37" s="24"/>
      <c r="L37" s="24"/>
      <c r="M37" s="24"/>
      <c r="N37" s="24"/>
      <c r="O37" s="24"/>
      <c r="Q37" s="4"/>
      <c r="AH37" s="4"/>
    </row>
    <row r="38" spans="1:34" x14ac:dyDescent="0.25">
      <c r="A38" s="4"/>
      <c r="B38" s="34"/>
      <c r="C38" s="34"/>
      <c r="D38" s="35"/>
      <c r="E38" s="35"/>
      <c r="F38" s="35"/>
      <c r="G38" s="35"/>
      <c r="H38" s="35"/>
      <c r="I38" s="35"/>
      <c r="J38" s="4"/>
      <c r="K38" s="35"/>
      <c r="L38" s="35"/>
      <c r="M38" s="35"/>
      <c r="N38" s="35"/>
      <c r="O38" s="35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</row>
    <row r="39" spans="1:34" ht="12" thickBot="1" x14ac:dyDescent="0.3">
      <c r="Q39" s="4"/>
      <c r="AH39" s="4"/>
    </row>
    <row r="40" spans="1:34" x14ac:dyDescent="0.25">
      <c r="B40" s="5"/>
      <c r="C40" s="3" t="s">
        <v>1</v>
      </c>
      <c r="D40" s="6" t="s">
        <v>1</v>
      </c>
      <c r="E40" s="3"/>
      <c r="F40" s="3"/>
      <c r="G40" s="3"/>
      <c r="H40" s="3" t="s">
        <v>1</v>
      </c>
      <c r="I40" s="3"/>
      <c r="J40" s="3"/>
      <c r="K40" s="3"/>
      <c r="L40" s="3"/>
      <c r="M40" s="3"/>
      <c r="N40" s="3"/>
      <c r="O40" s="7"/>
      <c r="P40" s="2"/>
      <c r="Q40" s="4"/>
      <c r="S40" s="5"/>
      <c r="T40" s="3" t="s">
        <v>1</v>
      </c>
      <c r="U40" s="6" t="s">
        <v>1</v>
      </c>
      <c r="V40" s="3"/>
      <c r="W40" s="3"/>
      <c r="X40" s="3" t="s">
        <v>1</v>
      </c>
      <c r="Y40" s="3"/>
      <c r="Z40" s="3"/>
      <c r="AA40" s="3"/>
      <c r="AB40" s="3"/>
      <c r="AC40" s="3"/>
      <c r="AD40" s="3"/>
      <c r="AE40" s="7"/>
      <c r="AF40" s="2"/>
      <c r="AH40" s="4"/>
    </row>
    <row r="41" spans="1:34" ht="14" x14ac:dyDescent="0.3">
      <c r="B41" s="8"/>
      <c r="F41" s="26" t="s">
        <v>8</v>
      </c>
      <c r="G41" s="26"/>
      <c r="I41" s="26" t="s">
        <v>16</v>
      </c>
      <c r="J41" s="25"/>
      <c r="M41" s="2" t="s">
        <v>15</v>
      </c>
      <c r="N41" s="50">
        <f>N3</f>
        <v>2026071</v>
      </c>
      <c r="O41" s="10"/>
      <c r="P41" s="2"/>
      <c r="Q41" s="4"/>
      <c r="S41" s="8"/>
      <c r="U41" s="26" t="s">
        <v>8</v>
      </c>
      <c r="W41" s="26" t="s">
        <v>16</v>
      </c>
      <c r="X41" s="25"/>
      <c r="Y41" s="2"/>
      <c r="AA41" s="2" t="s">
        <v>15</v>
      </c>
      <c r="AC41" s="84">
        <f>N41</f>
        <v>2026071</v>
      </c>
      <c r="AD41" s="84"/>
      <c r="AE41" s="48"/>
      <c r="AF41" s="2"/>
      <c r="AH41" s="4"/>
    </row>
    <row r="42" spans="1:34" ht="15.5" x14ac:dyDescent="0.35">
      <c r="B42" s="8"/>
      <c r="F42" s="36" t="s">
        <v>29</v>
      </c>
      <c r="G42" s="36"/>
      <c r="O42" s="10"/>
      <c r="P42" s="2"/>
      <c r="Q42" s="4"/>
      <c r="S42" s="8"/>
      <c r="T42" s="26" t="s">
        <v>1</v>
      </c>
      <c r="U42" s="36" t="s">
        <v>29</v>
      </c>
      <c r="Y42" s="2" t="s">
        <v>1</v>
      </c>
      <c r="AA42" s="50" t="s">
        <v>1</v>
      </c>
      <c r="AB42" s="2"/>
      <c r="AC42" s="2"/>
      <c r="AD42" s="2"/>
      <c r="AE42" s="10" t="s">
        <v>1</v>
      </c>
      <c r="AF42" s="2"/>
      <c r="AH42" s="4"/>
    </row>
    <row r="43" spans="1:34" ht="14" x14ac:dyDescent="0.3">
      <c r="B43" s="8"/>
      <c r="F43" s="2" t="s">
        <v>30</v>
      </c>
      <c r="G43" s="2"/>
      <c r="M43" s="2" t="s">
        <v>1</v>
      </c>
      <c r="O43" s="10"/>
      <c r="P43" s="2"/>
      <c r="Q43" s="4"/>
      <c r="S43" s="8"/>
      <c r="T43" s="49" t="s">
        <v>1</v>
      </c>
      <c r="U43" s="2" t="s">
        <v>30</v>
      </c>
      <c r="AE43" s="44"/>
      <c r="AF43" s="2"/>
      <c r="AH43" s="4"/>
    </row>
    <row r="44" spans="1:34" ht="15.5" x14ac:dyDescent="0.35">
      <c r="B44" s="8"/>
      <c r="C44" s="2" t="s">
        <v>17</v>
      </c>
      <c r="D44" s="9">
        <f>D6</f>
        <v>46220</v>
      </c>
      <c r="F44" s="41" t="s">
        <v>125</v>
      </c>
      <c r="G44" s="41"/>
      <c r="H44" s="2"/>
      <c r="J44" s="2"/>
      <c r="O44" s="10"/>
      <c r="P44" s="2"/>
      <c r="Q44" s="4"/>
      <c r="S44" s="8"/>
      <c r="T44" s="41" t="s">
        <v>1</v>
      </c>
      <c r="U44" s="41" t="str">
        <f>+F44</f>
        <v>CONSOLIDADO SALDOS A FAVOR</v>
      </c>
      <c r="V44" s="2"/>
      <c r="X44" s="2"/>
      <c r="Y44" s="2"/>
      <c r="AE44" s="48"/>
      <c r="AF44" s="2"/>
      <c r="AH44" s="4"/>
    </row>
    <row r="45" spans="1:34" ht="12" thickBot="1" x14ac:dyDescent="0.3">
      <c r="B45" s="8"/>
      <c r="C45" s="2" t="s">
        <v>0</v>
      </c>
      <c r="D45" s="241">
        <f>D7</f>
        <v>0.58333333333333337</v>
      </c>
      <c r="F45" s="2" t="s">
        <v>27</v>
      </c>
      <c r="G45" s="2"/>
      <c r="H45" s="9">
        <f>H7</f>
        <v>46204</v>
      </c>
      <c r="J45" s="2" t="s">
        <v>28</v>
      </c>
      <c r="K45" s="9">
        <f>K7</f>
        <v>46218</v>
      </c>
      <c r="O45" s="10"/>
      <c r="P45" s="2"/>
      <c r="Q45" s="4"/>
      <c r="S45" s="8"/>
      <c r="U45" s="1" t="str">
        <f>F45</f>
        <v>Fecha Desde:</v>
      </c>
      <c r="V45" s="9">
        <f>H45</f>
        <v>46204</v>
      </c>
      <c r="W45" s="1" t="s">
        <v>1</v>
      </c>
      <c r="X45" s="1" t="str">
        <f>J45</f>
        <v>Feha Hasta:</v>
      </c>
      <c r="Y45" s="9">
        <f>K45</f>
        <v>46218</v>
      </c>
      <c r="Z45" s="1" t="s">
        <v>1</v>
      </c>
      <c r="AE45" s="48"/>
      <c r="AF45" s="2"/>
      <c r="AH45" s="4"/>
    </row>
    <row r="46" spans="1:34" ht="72" customHeight="1" thickBot="1" x14ac:dyDescent="0.3">
      <c r="B46" s="11" t="s">
        <v>3</v>
      </c>
      <c r="C46" s="27" t="s">
        <v>9</v>
      </c>
      <c r="D46" s="11" t="s">
        <v>4</v>
      </c>
      <c r="E46" s="12" t="s">
        <v>5</v>
      </c>
      <c r="F46" s="12" t="s">
        <v>6</v>
      </c>
      <c r="G46" s="27" t="s">
        <v>159</v>
      </c>
      <c r="H46" s="12" t="s">
        <v>18</v>
      </c>
      <c r="I46" s="12" t="s">
        <v>24</v>
      </c>
      <c r="J46" s="73" t="s">
        <v>19</v>
      </c>
      <c r="K46" s="29" t="s">
        <v>20</v>
      </c>
      <c r="L46" s="28" t="s">
        <v>21</v>
      </c>
      <c r="M46" s="39" t="s">
        <v>22</v>
      </c>
      <c r="N46" s="12" t="s">
        <v>7</v>
      </c>
      <c r="O46" s="39" t="s">
        <v>23</v>
      </c>
      <c r="P46" s="13"/>
      <c r="Q46" s="4"/>
      <c r="S46" s="11" t="s">
        <v>3</v>
      </c>
      <c r="T46" s="27" t="s">
        <v>9</v>
      </c>
      <c r="U46" s="80" t="s">
        <v>39</v>
      </c>
      <c r="V46" s="51" t="s">
        <v>40</v>
      </c>
      <c r="W46" s="51" t="s">
        <v>41</v>
      </c>
      <c r="X46" s="51" t="s">
        <v>42</v>
      </c>
      <c r="Y46" s="81" t="s">
        <v>43</v>
      </c>
      <c r="Z46" s="85" t="s">
        <v>21</v>
      </c>
      <c r="AA46" s="65" t="s">
        <v>46</v>
      </c>
      <c r="AB46" s="65" t="s">
        <v>7</v>
      </c>
      <c r="AC46" s="121" t="s">
        <v>107</v>
      </c>
      <c r="AD46" s="121" t="s">
        <v>106</v>
      </c>
      <c r="AE46" s="39" t="s">
        <v>23</v>
      </c>
      <c r="AF46" s="13"/>
      <c r="AH46" s="4"/>
    </row>
    <row r="47" spans="1:34" ht="12" thickBot="1" x14ac:dyDescent="0.3">
      <c r="B47" s="14">
        <v>1</v>
      </c>
      <c r="C47" s="61" t="s">
        <v>10</v>
      </c>
      <c r="D47" s="66">
        <f>D9+D28</f>
        <v>0</v>
      </c>
      <c r="E47" s="66">
        <f t="shared" ref="E47:F47" si="13">E9+E28</f>
        <v>0</v>
      </c>
      <c r="F47" s="66">
        <f t="shared" si="13"/>
        <v>0</v>
      </c>
      <c r="G47" s="66">
        <f t="shared" ref="G47" si="14">G9+G28</f>
        <v>0</v>
      </c>
      <c r="H47" s="66">
        <f t="shared" ref="H47:J51" si="15">H9+H28</f>
        <v>0</v>
      </c>
      <c r="I47" s="66">
        <f t="shared" si="15"/>
        <v>0</v>
      </c>
      <c r="J47" s="66">
        <f>J9+J28</f>
        <v>0</v>
      </c>
      <c r="K47" s="30">
        <f>D47-E47-F47-G47-H47-I47-J47</f>
        <v>0</v>
      </c>
      <c r="L47" s="37">
        <v>0</v>
      </c>
      <c r="M47" s="30">
        <f>K47-L47</f>
        <v>0</v>
      </c>
      <c r="N47" s="66">
        <f>N9+N28</f>
        <v>0</v>
      </c>
      <c r="O47" s="30">
        <f>M47+N47</f>
        <v>0</v>
      </c>
      <c r="Q47" s="4"/>
      <c r="S47" s="14">
        <v>1</v>
      </c>
      <c r="T47" s="61" t="s">
        <v>10</v>
      </c>
      <c r="U47" s="140">
        <f t="shared" ref="U47:Y51" si="16">U9+U28</f>
        <v>0</v>
      </c>
      <c r="V47" s="140">
        <f t="shared" si="16"/>
        <v>0</v>
      </c>
      <c r="W47" s="140">
        <f t="shared" si="16"/>
        <v>0</v>
      </c>
      <c r="X47" s="140">
        <f t="shared" si="16"/>
        <v>0</v>
      </c>
      <c r="Y47" s="140">
        <f t="shared" si="16"/>
        <v>0</v>
      </c>
      <c r="Z47" s="87">
        <f>-L47</f>
        <v>0</v>
      </c>
      <c r="AA47" s="75">
        <f t="shared" ref="AA47:AD51" si="17">AA9+AA28</f>
        <v>0</v>
      </c>
      <c r="AB47" s="75">
        <f>AB9+AB28</f>
        <v>0</v>
      </c>
      <c r="AC47" s="75">
        <f t="shared" si="17"/>
        <v>0</v>
      </c>
      <c r="AD47" s="75">
        <f t="shared" si="17"/>
        <v>0</v>
      </c>
      <c r="AE47" s="69">
        <f>SUM(U47:AC47)</f>
        <v>0</v>
      </c>
      <c r="AF47" s="117">
        <f>(AE47-O47)</f>
        <v>0</v>
      </c>
      <c r="AG47" s="1" t="b">
        <f>AF47=0</f>
        <v>1</v>
      </c>
      <c r="AH47" s="4"/>
    </row>
    <row r="48" spans="1:34" ht="12" thickBot="1" x14ac:dyDescent="0.3">
      <c r="B48" s="16">
        <v>2</v>
      </c>
      <c r="C48" s="62" t="s">
        <v>11</v>
      </c>
      <c r="D48" s="66">
        <f t="shared" ref="D48:F51" si="18">D10+D29</f>
        <v>0</v>
      </c>
      <c r="E48" s="66">
        <f t="shared" si="18"/>
        <v>0</v>
      </c>
      <c r="F48" s="66">
        <f t="shared" si="18"/>
        <v>0</v>
      </c>
      <c r="G48" s="66">
        <f t="shared" ref="G48" si="19">G10+G29</f>
        <v>0</v>
      </c>
      <c r="H48" s="66">
        <f t="shared" si="15"/>
        <v>0</v>
      </c>
      <c r="I48" s="66">
        <f t="shared" si="15"/>
        <v>0</v>
      </c>
      <c r="J48" s="66">
        <f t="shared" si="15"/>
        <v>0</v>
      </c>
      <c r="K48" s="31">
        <f>D48-E48-F48-G48-H48-I48-J48</f>
        <v>0</v>
      </c>
      <c r="L48" s="38">
        <v>0</v>
      </c>
      <c r="M48" s="31">
        <f>K48-L48</f>
        <v>0</v>
      </c>
      <c r="N48" s="66">
        <f>N10+N29</f>
        <v>0</v>
      </c>
      <c r="O48" s="31">
        <f t="shared" ref="O48:O51" si="20">M48+N48</f>
        <v>0</v>
      </c>
      <c r="Q48" s="4"/>
      <c r="S48" s="16">
        <v>2</v>
      </c>
      <c r="T48" s="62" t="s">
        <v>11</v>
      </c>
      <c r="U48" s="82">
        <f t="shared" si="16"/>
        <v>0</v>
      </c>
      <c r="V48" s="82">
        <f t="shared" si="16"/>
        <v>0</v>
      </c>
      <c r="W48" s="82">
        <f t="shared" si="16"/>
        <v>0</v>
      </c>
      <c r="X48" s="82">
        <f t="shared" si="16"/>
        <v>0</v>
      </c>
      <c r="Y48" s="82">
        <f t="shared" si="16"/>
        <v>0</v>
      </c>
      <c r="Z48" s="88">
        <f>-L48</f>
        <v>0</v>
      </c>
      <c r="AA48" s="67">
        <f>AA10+AA29</f>
        <v>0</v>
      </c>
      <c r="AB48" s="75">
        <f>AB10+AB29</f>
        <v>0</v>
      </c>
      <c r="AC48" s="75">
        <f t="shared" si="17"/>
        <v>0</v>
      </c>
      <c r="AD48" s="75">
        <f t="shared" si="17"/>
        <v>0</v>
      </c>
      <c r="AE48" s="70">
        <f>SUM(U48:AC48)</f>
        <v>0</v>
      </c>
      <c r="AF48" s="118">
        <f>(AE48-O48)</f>
        <v>0</v>
      </c>
      <c r="AG48" s="1" t="b">
        <f t="shared" ref="AG48:AG52" si="21">AF48=0</f>
        <v>1</v>
      </c>
      <c r="AH48" s="4"/>
    </row>
    <row r="49" spans="1:34" ht="12" thickBot="1" x14ac:dyDescent="0.3">
      <c r="B49" s="16">
        <v>3</v>
      </c>
      <c r="C49" s="62" t="s">
        <v>12</v>
      </c>
      <c r="D49" s="66">
        <f t="shared" si="18"/>
        <v>0</v>
      </c>
      <c r="E49" s="66">
        <f t="shared" si="18"/>
        <v>0</v>
      </c>
      <c r="F49" s="66">
        <f t="shared" si="18"/>
        <v>0</v>
      </c>
      <c r="G49" s="66">
        <f t="shared" ref="G49" si="22">G11+G30</f>
        <v>0</v>
      </c>
      <c r="H49" s="66">
        <f t="shared" si="15"/>
        <v>0</v>
      </c>
      <c r="I49" s="66">
        <f t="shared" si="15"/>
        <v>0</v>
      </c>
      <c r="J49" s="66">
        <f t="shared" si="15"/>
        <v>0</v>
      </c>
      <c r="K49" s="31">
        <f t="shared" ref="K49:K51" si="23">D49-E49-F49-G49-H49-I49-J49</f>
        <v>0</v>
      </c>
      <c r="L49" s="38">
        <v>0</v>
      </c>
      <c r="M49" s="31">
        <f>K49-L49</f>
        <v>0</v>
      </c>
      <c r="N49" s="66">
        <f>N11+N30</f>
        <v>0</v>
      </c>
      <c r="O49" s="31">
        <f t="shared" si="20"/>
        <v>0</v>
      </c>
      <c r="Q49" s="4"/>
      <c r="S49" s="16">
        <v>3</v>
      </c>
      <c r="T49" s="62" t="s">
        <v>12</v>
      </c>
      <c r="U49" s="82">
        <f t="shared" si="16"/>
        <v>0</v>
      </c>
      <c r="V49" s="82">
        <f t="shared" si="16"/>
        <v>0</v>
      </c>
      <c r="W49" s="82">
        <f t="shared" si="16"/>
        <v>0</v>
      </c>
      <c r="X49" s="82">
        <f t="shared" si="16"/>
        <v>0</v>
      </c>
      <c r="Y49" s="82">
        <f t="shared" si="16"/>
        <v>0</v>
      </c>
      <c r="Z49" s="88">
        <f>-L49</f>
        <v>0</v>
      </c>
      <c r="AA49" s="67">
        <f t="shared" si="17"/>
        <v>0</v>
      </c>
      <c r="AB49" s="75">
        <f>AB11+AB30</f>
        <v>0</v>
      </c>
      <c r="AC49" s="75">
        <f t="shared" si="17"/>
        <v>0</v>
      </c>
      <c r="AD49" s="75">
        <f t="shared" si="17"/>
        <v>0</v>
      </c>
      <c r="AE49" s="70">
        <f t="shared" ref="AE49:AE51" si="24">SUM(U49:AC49)</f>
        <v>0</v>
      </c>
      <c r="AF49" s="118">
        <f>(AE49-O49)</f>
        <v>0</v>
      </c>
      <c r="AG49" s="1" t="b">
        <f t="shared" si="21"/>
        <v>1</v>
      </c>
      <c r="AH49" s="4"/>
    </row>
    <row r="50" spans="1:34" ht="12" thickBot="1" x14ac:dyDescent="0.3">
      <c r="B50" s="16">
        <v>4</v>
      </c>
      <c r="C50" s="62" t="s">
        <v>13</v>
      </c>
      <c r="D50" s="66">
        <f t="shared" si="18"/>
        <v>0</v>
      </c>
      <c r="E50" s="66">
        <f t="shared" si="18"/>
        <v>0</v>
      </c>
      <c r="F50" s="66">
        <f t="shared" si="18"/>
        <v>0</v>
      </c>
      <c r="G50" s="66">
        <f t="shared" ref="G50" si="25">G12+G31</f>
        <v>0</v>
      </c>
      <c r="H50" s="66">
        <f t="shared" si="15"/>
        <v>0</v>
      </c>
      <c r="I50" s="66">
        <f t="shared" si="15"/>
        <v>0</v>
      </c>
      <c r="J50" s="66">
        <f t="shared" si="15"/>
        <v>0</v>
      </c>
      <c r="K50" s="31">
        <f t="shared" si="23"/>
        <v>0</v>
      </c>
      <c r="L50" s="38">
        <v>0</v>
      </c>
      <c r="M50" s="31">
        <f>K50-L50</f>
        <v>0</v>
      </c>
      <c r="N50" s="66">
        <f>N12+N31</f>
        <v>0</v>
      </c>
      <c r="O50" s="31">
        <f t="shared" si="20"/>
        <v>0</v>
      </c>
      <c r="Q50" s="4"/>
      <c r="S50" s="16">
        <v>4</v>
      </c>
      <c r="T50" s="62" t="s">
        <v>13</v>
      </c>
      <c r="U50" s="82">
        <f t="shared" si="16"/>
        <v>0</v>
      </c>
      <c r="V50" s="82">
        <f t="shared" si="16"/>
        <v>0</v>
      </c>
      <c r="W50" s="82">
        <f t="shared" si="16"/>
        <v>0</v>
      </c>
      <c r="X50" s="82">
        <f t="shared" si="16"/>
        <v>0</v>
      </c>
      <c r="Y50" s="82">
        <f t="shared" si="16"/>
        <v>0</v>
      </c>
      <c r="Z50" s="88">
        <f>-L50</f>
        <v>0</v>
      </c>
      <c r="AA50" s="67">
        <f>AA12+AA31</f>
        <v>0</v>
      </c>
      <c r="AB50" s="75">
        <f t="shared" si="17"/>
        <v>0</v>
      </c>
      <c r="AC50" s="75">
        <f t="shared" si="17"/>
        <v>0</v>
      </c>
      <c r="AD50" s="75">
        <f t="shared" si="17"/>
        <v>0</v>
      </c>
      <c r="AE50" s="70">
        <f t="shared" si="24"/>
        <v>0</v>
      </c>
      <c r="AF50" s="118">
        <f>(AE50-O50)</f>
        <v>0</v>
      </c>
      <c r="AG50" s="1" t="b">
        <f t="shared" si="21"/>
        <v>1</v>
      </c>
      <c r="AH50" s="4"/>
    </row>
    <row r="51" spans="1:34" ht="12" thickBot="1" x14ac:dyDescent="0.3">
      <c r="B51" s="19">
        <v>5</v>
      </c>
      <c r="C51" s="63" t="s">
        <v>14</v>
      </c>
      <c r="D51" s="66">
        <f t="shared" si="18"/>
        <v>0</v>
      </c>
      <c r="E51" s="66">
        <f t="shared" si="18"/>
        <v>0</v>
      </c>
      <c r="F51" s="66">
        <f t="shared" si="18"/>
        <v>0</v>
      </c>
      <c r="G51" s="66">
        <f t="shared" ref="G51" si="26">G13+G32</f>
        <v>0</v>
      </c>
      <c r="H51" s="66">
        <f t="shared" si="15"/>
        <v>0</v>
      </c>
      <c r="I51" s="66">
        <f t="shared" si="15"/>
        <v>0</v>
      </c>
      <c r="J51" s="66">
        <f t="shared" si="15"/>
        <v>0</v>
      </c>
      <c r="K51" s="31">
        <f t="shared" si="23"/>
        <v>0</v>
      </c>
      <c r="L51" s="38">
        <v>0</v>
      </c>
      <c r="M51" s="40">
        <f>K51-L51</f>
        <v>0</v>
      </c>
      <c r="N51" s="66">
        <f>N13+N32</f>
        <v>0</v>
      </c>
      <c r="O51" s="40">
        <f t="shared" si="20"/>
        <v>0</v>
      </c>
      <c r="Q51" s="4"/>
      <c r="S51" s="19">
        <v>5</v>
      </c>
      <c r="T51" s="63" t="s">
        <v>14</v>
      </c>
      <c r="U51" s="77">
        <f t="shared" si="16"/>
        <v>0</v>
      </c>
      <c r="V51" s="77">
        <f t="shared" si="16"/>
        <v>0</v>
      </c>
      <c r="W51" s="77">
        <f t="shared" si="16"/>
        <v>0</v>
      </c>
      <c r="X51" s="77">
        <f t="shared" si="16"/>
        <v>0</v>
      </c>
      <c r="Y51" s="77">
        <f t="shared" si="16"/>
        <v>0</v>
      </c>
      <c r="Z51" s="88">
        <f>-L51</f>
        <v>0</v>
      </c>
      <c r="AA51" s="67">
        <f>AA13+AA32</f>
        <v>0</v>
      </c>
      <c r="AB51" s="75">
        <f t="shared" si="17"/>
        <v>0</v>
      </c>
      <c r="AC51" s="75">
        <f t="shared" si="17"/>
        <v>0</v>
      </c>
      <c r="AD51" s="75">
        <f t="shared" si="17"/>
        <v>0</v>
      </c>
      <c r="AE51" s="70">
        <f t="shared" si="24"/>
        <v>0</v>
      </c>
      <c r="AF51" s="119">
        <f>(AE51-O51)</f>
        <v>0</v>
      </c>
      <c r="AG51" s="1" t="b">
        <f t="shared" si="21"/>
        <v>1</v>
      </c>
      <c r="AH51" s="4"/>
    </row>
    <row r="52" spans="1:34" ht="13.5" thickBot="1" x14ac:dyDescent="0.35">
      <c r="B52" s="21"/>
      <c r="C52" s="22" t="s">
        <v>2</v>
      </c>
      <c r="D52" s="43">
        <f t="shared" ref="D52:O52" si="27">SUM(D47:D51)</f>
        <v>0</v>
      </c>
      <c r="E52" s="43">
        <f t="shared" si="27"/>
        <v>0</v>
      </c>
      <c r="F52" s="43">
        <f t="shared" si="27"/>
        <v>0</v>
      </c>
      <c r="G52" s="43">
        <f t="shared" si="27"/>
        <v>0</v>
      </c>
      <c r="H52" s="43">
        <f t="shared" si="27"/>
        <v>0</v>
      </c>
      <c r="I52" s="43">
        <f t="shared" si="27"/>
        <v>0</v>
      </c>
      <c r="J52" s="43">
        <f t="shared" si="27"/>
        <v>0</v>
      </c>
      <c r="K52" s="32">
        <f t="shared" si="27"/>
        <v>0</v>
      </c>
      <c r="L52" s="23">
        <f t="shared" si="27"/>
        <v>0</v>
      </c>
      <c r="M52" s="76">
        <f t="shared" si="27"/>
        <v>0</v>
      </c>
      <c r="N52" s="23">
        <f t="shared" si="27"/>
        <v>0</v>
      </c>
      <c r="O52" s="76">
        <f t="shared" si="27"/>
        <v>0</v>
      </c>
      <c r="P52" s="2"/>
      <c r="Q52" s="4"/>
      <c r="S52" s="21"/>
      <c r="T52" s="22" t="s">
        <v>2</v>
      </c>
      <c r="U52" s="43">
        <f>SUM(U47:U51)</f>
        <v>0</v>
      </c>
      <c r="V52" s="43">
        <f t="shared" ref="V52:AE52" si="28">SUM(V47:V51)</f>
        <v>0</v>
      </c>
      <c r="W52" s="43">
        <f t="shared" si="28"/>
        <v>0</v>
      </c>
      <c r="X52" s="43">
        <f t="shared" si="28"/>
        <v>0</v>
      </c>
      <c r="Y52" s="43">
        <f t="shared" si="28"/>
        <v>0</v>
      </c>
      <c r="Z52" s="43">
        <f t="shared" si="28"/>
        <v>0</v>
      </c>
      <c r="AA52" s="43">
        <f t="shared" si="28"/>
        <v>0</v>
      </c>
      <c r="AB52" s="43">
        <f t="shared" si="28"/>
        <v>0</v>
      </c>
      <c r="AC52" s="43">
        <f>SUM(AC47:AC51)</f>
        <v>0</v>
      </c>
      <c r="AD52" s="43">
        <f>SUM(AD47:AD51)</f>
        <v>0</v>
      </c>
      <c r="AE52" s="68">
        <f t="shared" si="28"/>
        <v>0</v>
      </c>
      <c r="AF52" s="120">
        <f>SUM(AF47:AF51)</f>
        <v>0</v>
      </c>
      <c r="AG52" s="1" t="b">
        <f t="shared" si="21"/>
        <v>1</v>
      </c>
      <c r="AH52" s="4"/>
    </row>
    <row r="53" spans="1:34" ht="12" thickBot="1" x14ac:dyDescent="0.3">
      <c r="B53" s="2"/>
      <c r="C53" s="2"/>
      <c r="D53" s="24"/>
      <c r="E53" s="24"/>
      <c r="F53" s="24"/>
      <c r="G53" s="24"/>
      <c r="H53" s="24"/>
      <c r="I53" s="24"/>
      <c r="K53" s="24"/>
      <c r="L53" s="24"/>
      <c r="M53" s="24"/>
      <c r="N53" s="24"/>
      <c r="O53" s="24"/>
      <c r="Q53" s="4"/>
      <c r="S53" s="2"/>
      <c r="T53" s="2"/>
      <c r="U53" s="24"/>
      <c r="V53" s="24"/>
      <c r="W53" s="24"/>
      <c r="X53" s="24"/>
      <c r="Y53" s="24"/>
      <c r="AE53" s="24"/>
      <c r="AH53" s="4"/>
    </row>
    <row r="54" spans="1:34" ht="12" thickBot="1" x14ac:dyDescent="0.3">
      <c r="B54" s="2"/>
      <c r="C54" s="2"/>
      <c r="D54" s="24" t="s">
        <v>1</v>
      </c>
      <c r="E54" s="24"/>
      <c r="F54" s="24"/>
      <c r="G54" s="24"/>
      <c r="H54" s="24"/>
      <c r="I54" s="24"/>
      <c r="K54" s="24"/>
      <c r="L54" s="24"/>
      <c r="M54" s="24"/>
      <c r="N54" s="24"/>
      <c r="O54" s="24"/>
      <c r="Q54" s="4"/>
      <c r="Y54" s="86">
        <f>SUM(U52:Y52)</f>
        <v>0</v>
      </c>
      <c r="AA54" s="1" t="s">
        <v>1</v>
      </c>
      <c r="AB54" s="1" t="s">
        <v>1</v>
      </c>
      <c r="AC54" s="1" t="s">
        <v>1</v>
      </c>
      <c r="AE54" s="1" t="s">
        <v>1</v>
      </c>
      <c r="AH54" s="4"/>
    </row>
    <row r="55" spans="1:34" ht="12" thickBot="1" x14ac:dyDescent="0.3">
      <c r="B55" s="2"/>
      <c r="C55" s="2"/>
      <c r="D55" s="24" t="s">
        <v>1</v>
      </c>
      <c r="E55" s="33"/>
      <c r="F55" s="33"/>
      <c r="G55" s="33"/>
      <c r="H55" s="33"/>
      <c r="I55" s="24"/>
      <c r="K55" s="24"/>
      <c r="L55" s="24"/>
      <c r="M55" s="24"/>
      <c r="N55" s="24"/>
      <c r="O55" s="24"/>
      <c r="Q55" s="4"/>
      <c r="AH55" s="4"/>
    </row>
    <row r="56" spans="1:34" x14ac:dyDescent="0.25">
      <c r="B56" s="2"/>
      <c r="C56" s="2"/>
      <c r="D56" s="24" t="s">
        <v>1</v>
      </c>
      <c r="E56" s="24" t="s">
        <v>1</v>
      </c>
      <c r="F56" s="24" t="s">
        <v>25</v>
      </c>
      <c r="G56" s="24"/>
      <c r="H56" s="24"/>
      <c r="I56" s="24"/>
      <c r="K56" s="24"/>
      <c r="L56" s="24"/>
      <c r="M56" s="24"/>
      <c r="N56" s="24"/>
      <c r="O56" s="24"/>
      <c r="Q56" s="4"/>
      <c r="AH56" s="4"/>
    </row>
    <row r="57" spans="1:34" x14ac:dyDescent="0.25">
      <c r="A57" s="4"/>
      <c r="B57" s="34"/>
      <c r="C57" s="34"/>
      <c r="D57" s="35"/>
      <c r="E57" s="35"/>
      <c r="F57" s="35"/>
      <c r="G57" s="35"/>
      <c r="H57" s="35"/>
      <c r="I57" s="35"/>
      <c r="J57" s="4"/>
      <c r="K57" s="35"/>
      <c r="L57" s="35"/>
      <c r="M57" s="35"/>
      <c r="N57" s="35"/>
      <c r="O57" s="35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</row>
    <row r="58" spans="1:34" x14ac:dyDescent="0.25">
      <c r="Q58" s="24"/>
    </row>
  </sheetData>
  <conditionalFormatting sqref="D28:O32 U28:AF32">
    <cfRule type="cellIs" dxfId="81" priority="3" operator="greaterThan">
      <formula>0.9</formula>
    </cfRule>
  </conditionalFormatting>
  <conditionalFormatting sqref="M35">
    <cfRule type="cellIs" dxfId="80" priority="1" operator="equal">
      <formula>"ERROR"</formula>
    </cfRule>
    <cfRule type="cellIs" dxfId="79" priority="2" operator="equal">
      <formula>TRUE</formula>
    </cfRule>
  </conditionalFormatting>
  <pageMargins left="0.7" right="0.7" top="0.75" bottom="0.75" header="0.3" footer="0.3"/>
  <pageSetup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25E32B-7BC1-40ED-A0D9-589FC2F0FE5A}">
  <sheetPr>
    <pageSetUpPr fitToPage="1"/>
  </sheetPr>
  <dimension ref="B1:S44"/>
  <sheetViews>
    <sheetView topLeftCell="C6" zoomScaleNormal="100" workbookViewId="0">
      <selection activeCell="N41" sqref="N41"/>
    </sheetView>
  </sheetViews>
  <sheetFormatPr baseColWidth="10" defaultRowHeight="13" x14ac:dyDescent="0.3"/>
  <cols>
    <col min="1" max="1" width="2.7265625" customWidth="1"/>
    <col min="2" max="2" width="17.453125" bestFit="1" customWidth="1"/>
    <col min="3" max="3" width="4.7265625" style="151" bestFit="1" customWidth="1"/>
    <col min="4" max="4" width="42.7265625" style="151" bestFit="1" customWidth="1"/>
    <col min="5" max="5" width="9" customWidth="1"/>
    <col min="6" max="6" width="15.7265625" customWidth="1"/>
    <col min="7" max="7" width="17.453125" bestFit="1" customWidth="1"/>
    <col min="8" max="8" width="14.26953125" customWidth="1"/>
    <col min="9" max="9" width="16.26953125" bestFit="1" customWidth="1"/>
    <col min="10" max="10" width="16.7265625" customWidth="1"/>
    <col min="11" max="11" width="17.54296875" customWidth="1"/>
    <col min="12" max="12" width="15.54296875" bestFit="1" customWidth="1"/>
    <col min="13" max="13" width="15.7265625" bestFit="1" customWidth="1"/>
    <col min="14" max="14" width="17" customWidth="1"/>
    <col min="15" max="15" width="17.7265625" customWidth="1"/>
    <col min="16" max="16" width="16.7265625" customWidth="1"/>
    <col min="17" max="17" width="18" customWidth="1"/>
    <col min="18" max="18" width="14.26953125" bestFit="1" customWidth="1"/>
    <col min="19" max="19" width="15.7265625" bestFit="1" customWidth="1"/>
    <col min="20" max="20" width="14.26953125" bestFit="1" customWidth="1"/>
    <col min="21" max="21" width="15.7265625" bestFit="1" customWidth="1"/>
    <col min="22" max="22" width="1.7265625" customWidth="1"/>
  </cols>
  <sheetData>
    <row r="1" spans="2:17" ht="13.5" thickBot="1" x14ac:dyDescent="0.35"/>
    <row r="2" spans="2:17" s="151" customFormat="1" ht="13.5" thickBot="1" x14ac:dyDescent="0.35">
      <c r="B2" s="659"/>
      <c r="E2" s="151" t="s">
        <v>1</v>
      </c>
      <c r="F2" s="574" t="s">
        <v>276</v>
      </c>
      <c r="G2" s="575" t="s">
        <v>277</v>
      </c>
      <c r="H2" s="576" t="s">
        <v>278</v>
      </c>
      <c r="I2" s="576" t="s">
        <v>279</v>
      </c>
      <c r="J2" s="576" t="s">
        <v>280</v>
      </c>
      <c r="K2" s="576" t="s">
        <v>281</v>
      </c>
      <c r="L2" s="575" t="s">
        <v>282</v>
      </c>
      <c r="M2" s="576" t="s">
        <v>283</v>
      </c>
      <c r="N2" s="576" t="s">
        <v>284</v>
      </c>
      <c r="O2" s="576" t="s">
        <v>285</v>
      </c>
      <c r="P2" s="575" t="s">
        <v>286</v>
      </c>
      <c r="Q2" s="749" t="s">
        <v>287</v>
      </c>
    </row>
    <row r="3" spans="2:17" s="151" customFormat="1" ht="26.5" thickBot="1" x14ac:dyDescent="0.35">
      <c r="B3" s="660" t="s">
        <v>134</v>
      </c>
      <c r="C3" s="152" t="s">
        <v>3</v>
      </c>
      <c r="D3" s="153" t="s">
        <v>9</v>
      </c>
      <c r="E3" s="553" t="s">
        <v>108</v>
      </c>
      <c r="F3" s="577" t="s">
        <v>288</v>
      </c>
      <c r="G3" s="578" t="s">
        <v>289</v>
      </c>
      <c r="H3" s="579" t="s">
        <v>290</v>
      </c>
      <c r="I3" s="580" t="s">
        <v>291</v>
      </c>
      <c r="J3" s="577" t="s">
        <v>292</v>
      </c>
      <c r="K3" s="578" t="s">
        <v>293</v>
      </c>
      <c r="L3" s="579" t="s">
        <v>294</v>
      </c>
      <c r="M3" s="580" t="s">
        <v>295</v>
      </c>
      <c r="N3" s="577" t="s">
        <v>296</v>
      </c>
      <c r="O3" s="578" t="s">
        <v>297</v>
      </c>
      <c r="P3" s="579" t="s">
        <v>298</v>
      </c>
      <c r="Q3" s="580" t="s">
        <v>299</v>
      </c>
    </row>
    <row r="4" spans="2:17" s="151" customFormat="1" x14ac:dyDescent="0.3">
      <c r="B4" s="661">
        <v>378371975</v>
      </c>
      <c r="C4" s="554">
        <v>1</v>
      </c>
      <c r="D4" s="161" t="s">
        <v>10</v>
      </c>
      <c r="E4" s="662">
        <v>0.22</v>
      </c>
      <c r="F4" s="663">
        <v>189185988</v>
      </c>
      <c r="G4" s="664">
        <v>189185987</v>
      </c>
      <c r="H4" s="665">
        <v>189185988</v>
      </c>
      <c r="I4" s="666">
        <v>189185987</v>
      </c>
      <c r="J4" s="663">
        <v>189185988</v>
      </c>
      <c r="K4" s="664">
        <v>189185987</v>
      </c>
      <c r="L4" s="665">
        <v>189185988</v>
      </c>
      <c r="M4" s="666">
        <v>189185987</v>
      </c>
      <c r="N4" s="663">
        <v>189185988</v>
      </c>
      <c r="O4" s="664">
        <v>189185987</v>
      </c>
      <c r="P4" s="665">
        <v>189185988</v>
      </c>
      <c r="Q4" s="666">
        <v>189185987</v>
      </c>
    </row>
    <row r="5" spans="2:17" s="151" customFormat="1" x14ac:dyDescent="0.3">
      <c r="B5" s="661">
        <v>533160511</v>
      </c>
      <c r="C5" s="555">
        <v>2</v>
      </c>
      <c r="D5" s="156" t="s">
        <v>11</v>
      </c>
      <c r="E5" s="667">
        <v>0.31</v>
      </c>
      <c r="F5" s="668">
        <v>266580256</v>
      </c>
      <c r="G5" s="669">
        <v>266580255</v>
      </c>
      <c r="H5" s="670">
        <v>266580256</v>
      </c>
      <c r="I5" s="666">
        <v>266580255</v>
      </c>
      <c r="J5" s="668">
        <v>266580256</v>
      </c>
      <c r="K5" s="669">
        <v>266580255</v>
      </c>
      <c r="L5" s="670">
        <v>266580256</v>
      </c>
      <c r="M5" s="666">
        <v>266580255</v>
      </c>
      <c r="N5" s="668">
        <v>266580256</v>
      </c>
      <c r="O5" s="669">
        <v>266580255</v>
      </c>
      <c r="P5" s="670">
        <v>266580256</v>
      </c>
      <c r="Q5" s="666">
        <v>266580255</v>
      </c>
    </row>
    <row r="6" spans="2:17" s="151" customFormat="1" x14ac:dyDescent="0.3">
      <c r="B6" s="661">
        <v>309577071</v>
      </c>
      <c r="C6" s="555">
        <v>3</v>
      </c>
      <c r="D6" s="156" t="s">
        <v>12</v>
      </c>
      <c r="E6" s="667">
        <v>0.18</v>
      </c>
      <c r="F6" s="668">
        <v>154788536</v>
      </c>
      <c r="G6" s="669">
        <v>154788535</v>
      </c>
      <c r="H6" s="670">
        <v>154788536</v>
      </c>
      <c r="I6" s="666">
        <v>154788535</v>
      </c>
      <c r="J6" s="668">
        <v>154788536</v>
      </c>
      <c r="K6" s="669">
        <v>154788535</v>
      </c>
      <c r="L6" s="670">
        <v>154788536</v>
      </c>
      <c r="M6" s="666">
        <v>154788535</v>
      </c>
      <c r="N6" s="668">
        <v>154788536</v>
      </c>
      <c r="O6" s="669">
        <v>154788535</v>
      </c>
      <c r="P6" s="670">
        <v>154788536</v>
      </c>
      <c r="Q6" s="666">
        <v>154788535</v>
      </c>
    </row>
    <row r="7" spans="2:17" s="151" customFormat="1" x14ac:dyDescent="0.3">
      <c r="B7" s="661">
        <v>240782166</v>
      </c>
      <c r="C7" s="555">
        <v>4</v>
      </c>
      <c r="D7" s="156" t="s">
        <v>13</v>
      </c>
      <c r="E7" s="667">
        <v>0.14000000000000001</v>
      </c>
      <c r="F7" s="668">
        <v>120391083</v>
      </c>
      <c r="G7" s="669">
        <v>120391083</v>
      </c>
      <c r="H7" s="670">
        <v>120391083</v>
      </c>
      <c r="I7" s="666">
        <v>120391083</v>
      </c>
      <c r="J7" s="668">
        <v>120391083</v>
      </c>
      <c r="K7" s="669">
        <v>120391083</v>
      </c>
      <c r="L7" s="670">
        <v>120391083</v>
      </c>
      <c r="M7" s="666">
        <v>120391083</v>
      </c>
      <c r="N7" s="668">
        <v>120391083</v>
      </c>
      <c r="O7" s="669">
        <v>120391083</v>
      </c>
      <c r="P7" s="670">
        <v>120391083</v>
      </c>
      <c r="Q7" s="666">
        <v>120391083</v>
      </c>
    </row>
    <row r="8" spans="2:17" s="151" customFormat="1" ht="13.5" thickBot="1" x14ac:dyDescent="0.35">
      <c r="B8" s="661">
        <v>257980891</v>
      </c>
      <c r="C8" s="556">
        <v>5</v>
      </c>
      <c r="D8" s="158" t="s">
        <v>14</v>
      </c>
      <c r="E8" s="671">
        <v>0.15</v>
      </c>
      <c r="F8" s="672">
        <v>128990446</v>
      </c>
      <c r="G8" s="673">
        <v>128990445</v>
      </c>
      <c r="H8" s="674">
        <v>128990446</v>
      </c>
      <c r="I8" s="675">
        <v>128990445</v>
      </c>
      <c r="J8" s="672">
        <v>128990446</v>
      </c>
      <c r="K8" s="673">
        <v>128990445</v>
      </c>
      <c r="L8" s="674">
        <v>128990446</v>
      </c>
      <c r="M8" s="675">
        <v>128990445</v>
      </c>
      <c r="N8" s="672">
        <v>128990446</v>
      </c>
      <c r="O8" s="673">
        <v>128990445</v>
      </c>
      <c r="P8" s="674">
        <v>128990446</v>
      </c>
      <c r="Q8" s="675">
        <v>128990445</v>
      </c>
    </row>
    <row r="9" spans="2:17" s="151" customFormat="1" ht="13.5" thickBot="1" x14ac:dyDescent="0.35">
      <c r="B9" s="676">
        <v>1719872614</v>
      </c>
      <c r="C9" s="159"/>
      <c r="D9" s="160" t="s">
        <v>2</v>
      </c>
      <c r="E9" s="557">
        <v>1</v>
      </c>
      <c r="F9" s="677">
        <v>859936309</v>
      </c>
      <c r="G9" s="677">
        <v>859936305</v>
      </c>
      <c r="H9" s="678">
        <v>859936309</v>
      </c>
      <c r="I9" s="678">
        <v>859936305</v>
      </c>
      <c r="J9" s="677">
        <v>859936309</v>
      </c>
      <c r="K9" s="677">
        <v>859936305</v>
      </c>
      <c r="L9" s="678">
        <v>859936309</v>
      </c>
      <c r="M9" s="678">
        <v>859936305</v>
      </c>
      <c r="N9" s="677">
        <v>859936309</v>
      </c>
      <c r="O9" s="677">
        <v>859936305</v>
      </c>
      <c r="P9" s="678">
        <v>859936309</v>
      </c>
      <c r="Q9" s="678">
        <v>859936305</v>
      </c>
    </row>
    <row r="10" spans="2:17" s="151" customFormat="1" ht="15.75" customHeight="1" thickBot="1" x14ac:dyDescent="0.35">
      <c r="B10" s="659"/>
      <c r="F10" s="772">
        <f>SUM(F9:G9)</f>
        <v>1719872614</v>
      </c>
      <c r="G10" s="773"/>
      <c r="H10" s="772">
        <f>SUM(H9:I9)</f>
        <v>1719872614</v>
      </c>
      <c r="I10" s="773"/>
      <c r="J10" s="772">
        <f>SUM(J9:K9)</f>
        <v>1719872614</v>
      </c>
      <c r="K10" s="773"/>
      <c r="L10" s="772">
        <f>SUM(L9:M9)</f>
        <v>1719872614</v>
      </c>
      <c r="M10" s="773"/>
      <c r="N10" s="772">
        <f>SUM(N9:O9)</f>
        <v>1719872614</v>
      </c>
      <c r="O10" s="773"/>
      <c r="P10" s="772">
        <f>SUM(P9:Q9)</f>
        <v>1719872614</v>
      </c>
      <c r="Q10" s="773"/>
    </row>
    <row r="12" spans="2:17" ht="13.5" thickBot="1" x14ac:dyDescent="0.35"/>
    <row r="13" spans="2:17" s="151" customFormat="1" ht="13.5" thickBot="1" x14ac:dyDescent="0.35">
      <c r="B13" s="659"/>
      <c r="E13" s="151" t="s">
        <v>1</v>
      </c>
      <c r="F13" s="574" t="s">
        <v>300</v>
      </c>
      <c r="G13" s="575" t="s">
        <v>301</v>
      </c>
      <c r="H13" s="575" t="s">
        <v>302</v>
      </c>
      <c r="I13" s="576" t="s">
        <v>303</v>
      </c>
      <c r="J13" s="576" t="s">
        <v>304</v>
      </c>
      <c r="K13" s="575" t="s">
        <v>305</v>
      </c>
      <c r="L13" s="575" t="s">
        <v>306</v>
      </c>
      <c r="M13" s="576" t="s">
        <v>307</v>
      </c>
      <c r="N13" s="576" t="s">
        <v>308</v>
      </c>
      <c r="O13" s="575" t="s">
        <v>309</v>
      </c>
      <c r="P13" s="575" t="s">
        <v>310</v>
      </c>
      <c r="Q13" s="576" t="s">
        <v>311</v>
      </c>
    </row>
    <row r="14" spans="2:17" s="151" customFormat="1" ht="26.5" thickBot="1" x14ac:dyDescent="0.35">
      <c r="B14" s="659"/>
      <c r="C14" s="152" t="s">
        <v>3</v>
      </c>
      <c r="D14" s="153" t="s">
        <v>9</v>
      </c>
      <c r="E14" s="553" t="s">
        <v>108</v>
      </c>
      <c r="F14" s="577" t="s">
        <v>312</v>
      </c>
      <c r="G14" s="578" t="s">
        <v>313</v>
      </c>
      <c r="H14" s="579" t="s">
        <v>314</v>
      </c>
      <c r="I14" s="580" t="s">
        <v>315</v>
      </c>
      <c r="J14" s="577" t="s">
        <v>316</v>
      </c>
      <c r="K14" s="578" t="s">
        <v>317</v>
      </c>
      <c r="L14" s="579" t="s">
        <v>318</v>
      </c>
      <c r="M14" s="580" t="s">
        <v>319</v>
      </c>
      <c r="N14" s="577" t="s">
        <v>320</v>
      </c>
      <c r="O14" s="578" t="s">
        <v>321</v>
      </c>
      <c r="P14" s="579" t="s">
        <v>322</v>
      </c>
      <c r="Q14" s="580" t="s">
        <v>323</v>
      </c>
    </row>
    <row r="15" spans="2:17" s="151" customFormat="1" x14ac:dyDescent="0.3">
      <c r="B15" s="659"/>
      <c r="C15" s="154">
        <v>1</v>
      </c>
      <c r="D15" s="161" t="s">
        <v>10</v>
      </c>
      <c r="E15" s="679">
        <v>0.22</v>
      </c>
      <c r="F15" s="663">
        <v>189185988</v>
      </c>
      <c r="G15" s="664">
        <v>189185987</v>
      </c>
      <c r="H15" s="665">
        <v>189185988</v>
      </c>
      <c r="I15" s="666">
        <v>189185987</v>
      </c>
      <c r="J15" s="663">
        <v>189185988</v>
      </c>
      <c r="K15" s="664">
        <v>189185987</v>
      </c>
      <c r="L15" s="665">
        <v>189185988</v>
      </c>
      <c r="M15" s="666">
        <v>189185987</v>
      </c>
      <c r="N15" s="663">
        <v>189185988</v>
      </c>
      <c r="O15" s="664">
        <v>189185987</v>
      </c>
      <c r="P15" s="665">
        <v>189185988</v>
      </c>
      <c r="Q15" s="666">
        <v>189185987</v>
      </c>
    </row>
    <row r="16" spans="2:17" s="151" customFormat="1" x14ac:dyDescent="0.3">
      <c r="B16" s="659"/>
      <c r="C16" s="155">
        <v>2</v>
      </c>
      <c r="D16" s="156" t="s">
        <v>11</v>
      </c>
      <c r="E16" s="680">
        <v>0.31</v>
      </c>
      <c r="F16" s="668">
        <v>266580256</v>
      </c>
      <c r="G16" s="669">
        <v>266580255</v>
      </c>
      <c r="H16" s="670">
        <v>266580256</v>
      </c>
      <c r="I16" s="666">
        <v>266580255</v>
      </c>
      <c r="J16" s="668">
        <v>266580256</v>
      </c>
      <c r="K16" s="669">
        <v>266580255</v>
      </c>
      <c r="L16" s="670">
        <v>266580256</v>
      </c>
      <c r="M16" s="666">
        <v>266580255</v>
      </c>
      <c r="N16" s="668">
        <v>266580256</v>
      </c>
      <c r="O16" s="669">
        <v>266580255</v>
      </c>
      <c r="P16" s="670">
        <v>266580256</v>
      </c>
      <c r="Q16" s="666">
        <v>266580255</v>
      </c>
    </row>
    <row r="17" spans="2:19" s="151" customFormat="1" x14ac:dyDescent="0.3">
      <c r="B17" s="659"/>
      <c r="C17" s="155">
        <v>3</v>
      </c>
      <c r="D17" s="156" t="s">
        <v>12</v>
      </c>
      <c r="E17" s="680">
        <v>0.18</v>
      </c>
      <c r="F17" s="668">
        <v>154788536</v>
      </c>
      <c r="G17" s="669">
        <v>154788535</v>
      </c>
      <c r="H17" s="670">
        <v>154788536</v>
      </c>
      <c r="I17" s="666">
        <v>154788535</v>
      </c>
      <c r="J17" s="668">
        <v>154788536</v>
      </c>
      <c r="K17" s="669">
        <v>154788535</v>
      </c>
      <c r="L17" s="670">
        <v>154788536</v>
      </c>
      <c r="M17" s="666">
        <v>154788535</v>
      </c>
      <c r="N17" s="668">
        <v>154788536</v>
      </c>
      <c r="O17" s="669">
        <v>154788535</v>
      </c>
      <c r="P17" s="670">
        <v>154788536</v>
      </c>
      <c r="Q17" s="666">
        <v>154788535</v>
      </c>
    </row>
    <row r="18" spans="2:19" s="151" customFormat="1" x14ac:dyDescent="0.3">
      <c r="B18" s="659"/>
      <c r="C18" s="155">
        <v>4</v>
      </c>
      <c r="D18" s="156" t="s">
        <v>13</v>
      </c>
      <c r="E18" s="680">
        <v>0.14000000000000001</v>
      </c>
      <c r="F18" s="668">
        <v>120391083</v>
      </c>
      <c r="G18" s="669">
        <v>120391083</v>
      </c>
      <c r="H18" s="670">
        <v>120391083</v>
      </c>
      <c r="I18" s="666">
        <v>120391083</v>
      </c>
      <c r="J18" s="668">
        <v>120391083</v>
      </c>
      <c r="K18" s="669">
        <v>120391083</v>
      </c>
      <c r="L18" s="670">
        <v>120391083</v>
      </c>
      <c r="M18" s="666">
        <v>120391083</v>
      </c>
      <c r="N18" s="668">
        <v>120391083</v>
      </c>
      <c r="O18" s="669">
        <v>120391083</v>
      </c>
      <c r="P18" s="670">
        <v>120391083</v>
      </c>
      <c r="Q18" s="666">
        <v>120391083</v>
      </c>
    </row>
    <row r="19" spans="2:19" s="151" customFormat="1" ht="13.5" thickBot="1" x14ac:dyDescent="0.35">
      <c r="B19" s="659"/>
      <c r="C19" s="157">
        <v>5</v>
      </c>
      <c r="D19" s="158" t="s">
        <v>14</v>
      </c>
      <c r="E19" s="681">
        <v>0.15</v>
      </c>
      <c r="F19" s="672">
        <v>128990446</v>
      </c>
      <c r="G19" s="673">
        <v>128990445</v>
      </c>
      <c r="H19" s="674">
        <v>128990446</v>
      </c>
      <c r="I19" s="675">
        <v>128990445</v>
      </c>
      <c r="J19" s="672">
        <v>128990446</v>
      </c>
      <c r="K19" s="673">
        <v>128990445</v>
      </c>
      <c r="L19" s="674">
        <v>128990446</v>
      </c>
      <c r="M19" s="675">
        <v>128990445</v>
      </c>
      <c r="N19" s="672">
        <v>128990446</v>
      </c>
      <c r="O19" s="673">
        <v>128990445</v>
      </c>
      <c r="P19" s="674">
        <v>128990446</v>
      </c>
      <c r="Q19" s="675">
        <v>128990445</v>
      </c>
    </row>
    <row r="20" spans="2:19" s="151" customFormat="1" ht="13.5" thickBot="1" x14ac:dyDescent="0.35">
      <c r="B20" s="659"/>
      <c r="C20" s="159"/>
      <c r="D20" s="160" t="s">
        <v>2</v>
      </c>
      <c r="E20" s="558">
        <v>1</v>
      </c>
      <c r="F20" s="677">
        <v>859936309</v>
      </c>
      <c r="G20" s="677">
        <v>859936305</v>
      </c>
      <c r="H20" s="678">
        <v>859936309</v>
      </c>
      <c r="I20" s="678">
        <v>859936305</v>
      </c>
      <c r="J20" s="677">
        <v>859936309</v>
      </c>
      <c r="K20" s="677">
        <v>859936305</v>
      </c>
      <c r="L20" s="678">
        <v>859936309</v>
      </c>
      <c r="M20" s="678">
        <v>859936305</v>
      </c>
      <c r="N20" s="677">
        <v>859936309</v>
      </c>
      <c r="O20" s="677">
        <v>859936305</v>
      </c>
      <c r="P20" s="678">
        <v>859936309</v>
      </c>
      <c r="Q20" s="678">
        <v>859936305</v>
      </c>
    </row>
    <row r="21" spans="2:19" s="151" customFormat="1" ht="13.5" thickBot="1" x14ac:dyDescent="0.35">
      <c r="B21" s="659"/>
      <c r="F21" s="772">
        <f>SUM(F20:G20)</f>
        <v>1719872614</v>
      </c>
      <c r="G21" s="773">
        <v>1191383498</v>
      </c>
      <c r="H21" s="772">
        <f>SUM(H20:I20)</f>
        <v>1719872614</v>
      </c>
      <c r="I21" s="773">
        <v>1191383498</v>
      </c>
      <c r="J21" s="772">
        <f>SUM(J20:K20)</f>
        <v>1719872614</v>
      </c>
      <c r="K21" s="773">
        <v>1191383498</v>
      </c>
      <c r="L21" s="772">
        <f>SUM(L20:M20)</f>
        <v>1719872614</v>
      </c>
      <c r="M21" s="773">
        <v>1191383498</v>
      </c>
      <c r="N21" s="772">
        <f>SUM(N20:O20)</f>
        <v>1719872614</v>
      </c>
      <c r="O21" s="773">
        <v>1191383498</v>
      </c>
      <c r="P21" s="772">
        <f>SUM(P20:Q20)</f>
        <v>1719872614</v>
      </c>
      <c r="Q21" s="773">
        <v>1191383498</v>
      </c>
    </row>
    <row r="24" spans="2:19" ht="13.5" thickBot="1" x14ac:dyDescent="0.35">
      <c r="B24" s="238"/>
      <c r="C24" s="522"/>
      <c r="D24" s="522"/>
      <c r="E24" s="238"/>
      <c r="F24" s="238"/>
      <c r="G24" s="238"/>
      <c r="H24" s="238"/>
      <c r="I24" s="238"/>
      <c r="J24" s="238"/>
      <c r="K24" s="238"/>
      <c r="L24" s="238"/>
      <c r="M24" s="238"/>
      <c r="N24" s="238"/>
      <c r="O24" s="238"/>
      <c r="P24" s="238"/>
      <c r="Q24" s="238"/>
      <c r="R24" s="238"/>
    </row>
    <row r="25" spans="2:19" ht="24.75" customHeight="1" thickBot="1" x14ac:dyDescent="0.35">
      <c r="K25" s="715" t="s">
        <v>269</v>
      </c>
      <c r="L25" s="152" t="s">
        <v>3</v>
      </c>
      <c r="M25" s="637" t="s">
        <v>267</v>
      </c>
      <c r="N25" s="637" t="s">
        <v>268</v>
      </c>
      <c r="Q25" s="523" t="s">
        <v>1</v>
      </c>
      <c r="R25" s="29" t="s">
        <v>200</v>
      </c>
    </row>
    <row r="26" spans="2:19" x14ac:dyDescent="0.3">
      <c r="G26" s="212"/>
      <c r="H26" s="212"/>
      <c r="I26" s="212"/>
      <c r="J26" s="636"/>
      <c r="K26" s="682">
        <v>378371975</v>
      </c>
      <c r="L26" s="154">
        <v>1</v>
      </c>
      <c r="M26" s="713">
        <v>189185988</v>
      </c>
      <c r="N26" s="180">
        <v>189185987</v>
      </c>
      <c r="O26" s="167" t="b">
        <f>N26=R26</f>
        <v>1</v>
      </c>
      <c r="P26" s="167"/>
      <c r="Q26" s="714">
        <f>'CONSOLIDADO_TOTAL RECAUDO'!L104</f>
        <v>189185987</v>
      </c>
      <c r="R26" s="690">
        <f t="shared" ref="R26:R31" si="0">Q4</f>
        <v>189185987</v>
      </c>
      <c r="S26" t="b">
        <f>Q26=R26</f>
        <v>1</v>
      </c>
    </row>
    <row r="27" spans="2:19" x14ac:dyDescent="0.3">
      <c r="G27" s="212"/>
      <c r="H27" s="212"/>
      <c r="I27" s="212"/>
      <c r="J27" s="636"/>
      <c r="K27" s="683">
        <v>533160511</v>
      </c>
      <c r="L27" s="155">
        <v>2</v>
      </c>
      <c r="M27" s="713">
        <v>266580256</v>
      </c>
      <c r="N27" s="180">
        <v>266580255</v>
      </c>
      <c r="O27" s="167" t="b">
        <f t="shared" ref="O27:O31" si="1">N27=R27</f>
        <v>1</v>
      </c>
      <c r="P27" s="167"/>
      <c r="Q27" s="714">
        <f>'CONSOLIDADO_TOTAL RECAUDO'!L105</f>
        <v>266580255</v>
      </c>
      <c r="R27" s="690">
        <f t="shared" si="0"/>
        <v>266580255</v>
      </c>
      <c r="S27" t="b">
        <f t="shared" ref="S27:S31" si="2">Q27=R27</f>
        <v>1</v>
      </c>
    </row>
    <row r="28" spans="2:19" x14ac:dyDescent="0.3">
      <c r="G28" s="167"/>
      <c r="H28" s="212"/>
      <c r="I28" s="212"/>
      <c r="J28" s="636"/>
      <c r="K28" s="683">
        <v>309577071</v>
      </c>
      <c r="L28" s="155">
        <v>3</v>
      </c>
      <c r="M28" s="713">
        <v>154788536</v>
      </c>
      <c r="N28" s="180">
        <v>154788535</v>
      </c>
      <c r="O28" s="167" t="b">
        <f t="shared" si="1"/>
        <v>1</v>
      </c>
      <c r="P28" s="167"/>
      <c r="Q28" s="714">
        <f>'CONSOLIDADO_TOTAL RECAUDO'!L106</f>
        <v>154788535</v>
      </c>
      <c r="R28" s="690">
        <f t="shared" si="0"/>
        <v>154788535</v>
      </c>
      <c r="S28" t="b">
        <f t="shared" si="2"/>
        <v>1</v>
      </c>
    </row>
    <row r="29" spans="2:19" x14ac:dyDescent="0.3">
      <c r="G29" s="594"/>
      <c r="H29" s="212"/>
      <c r="I29" s="212"/>
      <c r="J29" s="636"/>
      <c r="K29" s="683">
        <v>240782166</v>
      </c>
      <c r="L29" s="155">
        <v>4</v>
      </c>
      <c r="M29" s="713">
        <v>120391083</v>
      </c>
      <c r="N29" s="684">
        <v>120391083</v>
      </c>
      <c r="O29" s="167" t="b">
        <f t="shared" si="1"/>
        <v>1</v>
      </c>
      <c r="P29" s="167"/>
      <c r="Q29" s="714">
        <f>'CONSOLIDADO_TOTAL RECAUDO'!L107</f>
        <v>120391083</v>
      </c>
      <c r="R29" s="690">
        <f t="shared" si="0"/>
        <v>120391083</v>
      </c>
      <c r="S29" t="b">
        <f t="shared" si="2"/>
        <v>1</v>
      </c>
    </row>
    <row r="30" spans="2:19" ht="13.5" thickBot="1" x14ac:dyDescent="0.35">
      <c r="G30" s="594"/>
      <c r="H30" s="212"/>
      <c r="I30" s="212"/>
      <c r="J30" s="636"/>
      <c r="K30" s="685">
        <v>257980891</v>
      </c>
      <c r="L30" s="157">
        <v>5</v>
      </c>
      <c r="M30" s="713">
        <v>128990446</v>
      </c>
      <c r="N30" s="686">
        <v>128990445</v>
      </c>
      <c r="O30" s="167" t="b">
        <f t="shared" si="1"/>
        <v>1</v>
      </c>
      <c r="P30" s="167"/>
      <c r="Q30" s="714">
        <f>'CONSOLIDADO_TOTAL RECAUDO'!L108</f>
        <v>128990445</v>
      </c>
      <c r="R30" s="690">
        <f t="shared" si="0"/>
        <v>128990445</v>
      </c>
      <c r="S30" t="b">
        <f t="shared" si="2"/>
        <v>1</v>
      </c>
    </row>
    <row r="31" spans="2:19" ht="13.5" thickBot="1" x14ac:dyDescent="0.35">
      <c r="G31" s="594"/>
      <c r="H31" s="167"/>
      <c r="I31" s="167"/>
      <c r="J31" s="273"/>
      <c r="K31" s="687">
        <f>SUM(K26:K30)</f>
        <v>1719872614</v>
      </c>
      <c r="L31" s="159"/>
      <c r="M31" s="688">
        <f>SUM(M26:M30)</f>
        <v>859936309</v>
      </c>
      <c r="N31" s="688">
        <f>SUM(N26:N30)</f>
        <v>859936305</v>
      </c>
      <c r="O31" s="167" t="b">
        <f t="shared" si="1"/>
        <v>1</v>
      </c>
      <c r="P31" s="167"/>
      <c r="Q31" s="714">
        <f>'CONSOLIDADO_TOTAL RECAUDO'!L109</f>
        <v>859936305</v>
      </c>
      <c r="R31" s="690">
        <f t="shared" si="0"/>
        <v>859936305</v>
      </c>
      <c r="S31" t="b">
        <f t="shared" si="2"/>
        <v>1</v>
      </c>
    </row>
    <row r="32" spans="2:19" x14ac:dyDescent="0.3">
      <c r="G32" s="594"/>
      <c r="H32" s="167"/>
      <c r="I32" s="167"/>
      <c r="K32" s="638">
        <f>SUM(M31:N31)</f>
        <v>1719872614</v>
      </c>
      <c r="L32" s="273"/>
    </row>
    <row r="33" spans="7:17" x14ac:dyDescent="0.3">
      <c r="G33" s="594"/>
      <c r="H33" s="167"/>
      <c r="J33" s="273"/>
      <c r="K33" s="273"/>
      <c r="Q33" s="212"/>
    </row>
    <row r="34" spans="7:17" x14ac:dyDescent="0.3">
      <c r="G34" s="594"/>
      <c r="H34" s="167"/>
      <c r="Q34" s="212"/>
    </row>
    <row r="35" spans="7:17" x14ac:dyDescent="0.3">
      <c r="H35" s="167"/>
      <c r="K35" s="689"/>
      <c r="Q35" s="212"/>
    </row>
    <row r="36" spans="7:17" x14ac:dyDescent="0.3">
      <c r="H36" s="167"/>
      <c r="K36" s="689"/>
      <c r="Q36" s="212"/>
    </row>
    <row r="37" spans="7:17" x14ac:dyDescent="0.3">
      <c r="H37" s="167"/>
      <c r="K37" s="689"/>
      <c r="Q37" s="212"/>
    </row>
    <row r="38" spans="7:17" x14ac:dyDescent="0.3">
      <c r="H38" s="167"/>
      <c r="K38" s="689"/>
      <c r="Q38" s="212"/>
    </row>
    <row r="39" spans="7:17" x14ac:dyDescent="0.3">
      <c r="H39" s="167"/>
      <c r="K39" s="689"/>
    </row>
    <row r="40" spans="7:17" x14ac:dyDescent="0.3">
      <c r="H40" s="167"/>
      <c r="K40" s="689"/>
    </row>
    <row r="41" spans="7:17" x14ac:dyDescent="0.3">
      <c r="H41" s="167"/>
    </row>
    <row r="42" spans="7:17" x14ac:dyDescent="0.3">
      <c r="H42" s="167"/>
    </row>
    <row r="43" spans="7:17" x14ac:dyDescent="0.3">
      <c r="H43" s="167"/>
    </row>
    <row r="44" spans="7:17" x14ac:dyDescent="0.3">
      <c r="H44" s="167"/>
    </row>
  </sheetData>
  <mergeCells count="12">
    <mergeCell ref="P21:Q21"/>
    <mergeCell ref="F10:G10"/>
    <mergeCell ref="H10:I10"/>
    <mergeCell ref="J10:K10"/>
    <mergeCell ref="L10:M10"/>
    <mergeCell ref="N10:O10"/>
    <mergeCell ref="P10:Q10"/>
    <mergeCell ref="F21:G21"/>
    <mergeCell ref="H21:I21"/>
    <mergeCell ref="J21:K21"/>
    <mergeCell ref="L21:M21"/>
    <mergeCell ref="N21:O21"/>
  </mergeCells>
  <conditionalFormatting sqref="R26:R31">
    <cfRule type="cellIs" dxfId="78" priority="1" operator="notEqual">
      <formula>TRUE</formula>
    </cfRule>
  </conditionalFormatting>
  <printOptions horizontalCentered="1" verticalCentered="1"/>
  <pageMargins left="0.11811023622047245" right="0.70866141732283472" top="0" bottom="0" header="0.31496062992125984" footer="0.31496062992125984"/>
  <pageSetup scale="52" orientation="landscape" r:id="rId1"/>
  <legacy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rgb="FFFFFF00"/>
  </sheetPr>
  <dimension ref="A1:AB25"/>
  <sheetViews>
    <sheetView zoomScaleNormal="100" workbookViewId="0"/>
  </sheetViews>
  <sheetFormatPr baseColWidth="10" defaultColWidth="11.453125" defaultRowHeight="11.5" x14ac:dyDescent="0.25"/>
  <cols>
    <col min="1" max="1" width="3" style="392" customWidth="1"/>
    <col min="2" max="2" width="4.453125" style="392" bestFit="1" customWidth="1"/>
    <col min="3" max="3" width="38.26953125" style="392" customWidth="1"/>
    <col min="4" max="4" width="15.26953125" style="392" customWidth="1"/>
    <col min="5" max="5" width="16" style="392" customWidth="1"/>
    <col min="6" max="7" width="14.7265625" style="392" customWidth="1"/>
    <col min="8" max="9" width="16" style="392" customWidth="1"/>
    <col min="10" max="10" width="17.54296875" style="392" customWidth="1"/>
    <col min="11" max="11" width="3.7265625" style="392" customWidth="1"/>
    <col min="12" max="12" width="2.7265625" style="392" customWidth="1"/>
    <col min="13" max="13" width="4.54296875" style="392" customWidth="1"/>
    <col min="14" max="14" width="11.26953125" style="392" customWidth="1"/>
    <col min="15" max="15" width="37.54296875" style="392" bestFit="1" customWidth="1"/>
    <col min="16" max="16" width="19.26953125" style="392" customWidth="1"/>
    <col min="17" max="17" width="17.7265625" style="392" customWidth="1"/>
    <col min="18" max="18" width="16.453125" style="392" customWidth="1"/>
    <col min="19" max="19" width="17.26953125" style="392" customWidth="1"/>
    <col min="20" max="20" width="15.7265625" style="392" customWidth="1"/>
    <col min="21" max="21" width="16.26953125" style="392" customWidth="1"/>
    <col min="22" max="22" width="13.26953125" style="394" customWidth="1"/>
    <col min="23" max="23" width="13.7265625" style="392" customWidth="1"/>
    <col min="24" max="24" width="3.453125" style="392" customWidth="1"/>
    <col min="25" max="25" width="13.7265625" style="392" bestFit="1" customWidth="1"/>
    <col min="26" max="27" width="11.453125" style="392"/>
    <col min="28" max="28" width="15.7265625" style="392" bestFit="1" customWidth="1"/>
    <col min="29" max="16384" width="11.453125" style="392"/>
  </cols>
  <sheetData>
    <row r="1" spans="2:28" x14ac:dyDescent="0.25">
      <c r="L1" s="393"/>
      <c r="X1" s="393"/>
    </row>
    <row r="2" spans="2:28" x14ac:dyDescent="0.25">
      <c r="L2" s="393"/>
      <c r="X2" s="393"/>
    </row>
    <row r="3" spans="2:28" ht="12" thickBot="1" x14ac:dyDescent="0.3">
      <c r="L3" s="393"/>
      <c r="X3" s="393"/>
    </row>
    <row r="4" spans="2:28" x14ac:dyDescent="0.25">
      <c r="B4" s="395"/>
      <c r="C4" s="396" t="s">
        <v>1</v>
      </c>
      <c r="D4" s="397" t="s">
        <v>1</v>
      </c>
      <c r="E4" s="396"/>
      <c r="F4" s="398"/>
      <c r="G4" s="396"/>
      <c r="H4" s="396" t="s">
        <v>1</v>
      </c>
      <c r="I4" s="396"/>
      <c r="J4" s="399"/>
      <c r="K4" s="400"/>
      <c r="L4" s="393"/>
      <c r="N4" s="395"/>
      <c r="O4" s="396" t="s">
        <v>1</v>
      </c>
      <c r="P4" s="397" t="s">
        <v>1</v>
      </c>
      <c r="Q4" s="396"/>
      <c r="R4" s="396"/>
      <c r="S4" s="396" t="s">
        <v>1</v>
      </c>
      <c r="T4" s="396"/>
      <c r="U4" s="399"/>
      <c r="V4" s="401"/>
      <c r="X4" s="393"/>
    </row>
    <row r="5" spans="2:28" ht="15.5" x14ac:dyDescent="0.35">
      <c r="B5" s="402"/>
      <c r="D5" s="403" t="s">
        <v>8</v>
      </c>
      <c r="E5" s="404"/>
      <c r="G5" s="404"/>
      <c r="I5" s="404" t="s">
        <v>16</v>
      </c>
      <c r="J5" s="405"/>
      <c r="K5" s="400"/>
      <c r="L5" s="393"/>
      <c r="N5" s="402"/>
      <c r="P5" s="403" t="s">
        <v>8</v>
      </c>
      <c r="R5" s="404"/>
      <c r="T5" s="404" t="s">
        <v>16</v>
      </c>
      <c r="U5" s="406"/>
      <c r="V5" s="401"/>
      <c r="X5" s="393"/>
    </row>
    <row r="6" spans="2:28" ht="15.5" x14ac:dyDescent="0.35">
      <c r="B6" s="402"/>
      <c r="D6" s="407" t="s">
        <v>184</v>
      </c>
      <c r="E6" s="408"/>
      <c r="G6" s="408"/>
      <c r="J6" s="405"/>
      <c r="K6" s="400"/>
      <c r="L6" s="393"/>
      <c r="N6" s="402"/>
      <c r="O6" s="404" t="s">
        <v>1</v>
      </c>
      <c r="P6" s="407" t="s">
        <v>173</v>
      </c>
      <c r="R6" s="408"/>
      <c r="U6" s="409" t="s">
        <v>1</v>
      </c>
      <c r="V6" s="401"/>
      <c r="X6" s="393"/>
    </row>
    <row r="7" spans="2:28" ht="15.5" x14ac:dyDescent="0.35">
      <c r="B7" s="402"/>
      <c r="D7" s="407" t="s">
        <v>174</v>
      </c>
      <c r="E7" s="408"/>
      <c r="G7" s="408"/>
      <c r="J7" s="405"/>
      <c r="K7" s="400"/>
      <c r="L7" s="393"/>
      <c r="N7" s="402"/>
      <c r="O7" s="404"/>
      <c r="P7" s="407" t="s">
        <v>174</v>
      </c>
      <c r="R7" s="408"/>
      <c r="U7" s="409"/>
      <c r="V7" s="401"/>
      <c r="X7" s="393"/>
    </row>
    <row r="8" spans="2:28" ht="15.5" x14ac:dyDescent="0.35">
      <c r="B8" s="402"/>
      <c r="D8" s="407" t="s">
        <v>175</v>
      </c>
      <c r="E8" s="408"/>
      <c r="G8" s="400"/>
      <c r="J8" s="405"/>
      <c r="K8" s="400"/>
      <c r="L8" s="393"/>
      <c r="N8" s="402"/>
      <c r="O8" s="410" t="s">
        <v>1</v>
      </c>
      <c r="P8" s="407" t="s">
        <v>175</v>
      </c>
      <c r="R8" s="400"/>
      <c r="U8" s="405"/>
      <c r="V8" s="401"/>
      <c r="X8" s="393"/>
    </row>
    <row r="9" spans="2:28" ht="15.5" x14ac:dyDescent="0.35">
      <c r="B9" s="402"/>
      <c r="C9" s="400"/>
      <c r="D9" s="411"/>
      <c r="E9" s="412"/>
      <c r="G9" s="412"/>
      <c r="H9" s="400"/>
      <c r="J9" s="405"/>
      <c r="K9" s="400"/>
      <c r="L9" s="393"/>
      <c r="N9" s="402"/>
      <c r="O9" s="412" t="s">
        <v>1</v>
      </c>
      <c r="P9" s="412"/>
      <c r="R9" s="412"/>
      <c r="S9" s="400"/>
      <c r="U9" s="406"/>
      <c r="V9" s="401"/>
      <c r="X9" s="393"/>
    </row>
    <row r="10" spans="2:28" ht="18" thickBot="1" x14ac:dyDescent="0.5">
      <c r="B10" s="402"/>
      <c r="C10" s="400"/>
      <c r="D10" s="413"/>
      <c r="E10" s="400" t="s">
        <v>27</v>
      </c>
      <c r="F10" s="460">
        <f>'CONSOLIDADO_TOTAL RECAUDO'!G102</f>
        <v>46204</v>
      </c>
      <c r="G10" s="411"/>
      <c r="H10" s="400" t="s">
        <v>28</v>
      </c>
      <c r="I10" s="460">
        <f>'CONSOLIDADO_TOTAL RECAUDO'!K102</f>
        <v>46218</v>
      </c>
      <c r="J10" s="406"/>
      <c r="K10" s="400"/>
      <c r="L10" s="393"/>
      <c r="N10" s="402"/>
      <c r="Q10" s="411"/>
      <c r="R10" s="392" t="s">
        <v>1</v>
      </c>
      <c r="T10" s="411"/>
      <c r="U10" s="406"/>
      <c r="V10" s="401"/>
      <c r="X10" s="393"/>
      <c r="Y10" s="414" t="s">
        <v>1</v>
      </c>
    </row>
    <row r="11" spans="2:28" ht="69.5" thickBot="1" x14ac:dyDescent="0.3">
      <c r="B11" s="415" t="s">
        <v>3</v>
      </c>
      <c r="C11" s="416" t="s">
        <v>9</v>
      </c>
      <c r="D11" s="415" t="s">
        <v>176</v>
      </c>
      <c r="E11" s="417" t="s">
        <v>177</v>
      </c>
      <c r="F11" s="416" t="s">
        <v>178</v>
      </c>
      <c r="G11" s="418" t="s">
        <v>179</v>
      </c>
      <c r="H11" s="416" t="s">
        <v>180</v>
      </c>
      <c r="I11" s="417" t="s">
        <v>181</v>
      </c>
      <c r="J11" s="419" t="s">
        <v>182</v>
      </c>
      <c r="K11" s="420"/>
      <c r="L11" s="393"/>
      <c r="N11" s="415" t="s">
        <v>3</v>
      </c>
      <c r="O11" s="416" t="s">
        <v>9</v>
      </c>
      <c r="P11" s="421" t="s">
        <v>39</v>
      </c>
      <c r="Q11" s="422" t="s">
        <v>40</v>
      </c>
      <c r="R11" s="422" t="s">
        <v>41</v>
      </c>
      <c r="S11" s="422" t="s">
        <v>42</v>
      </c>
      <c r="T11" s="423" t="s">
        <v>183</v>
      </c>
      <c r="U11" s="464" t="s">
        <v>182</v>
      </c>
      <c r="V11" s="424"/>
      <c r="X11" s="393"/>
    </row>
    <row r="12" spans="2:28" s="430" customFormat="1" x14ac:dyDescent="0.25">
      <c r="B12" s="425">
        <v>1</v>
      </c>
      <c r="C12" s="426" t="s">
        <v>10</v>
      </c>
      <c r="D12" s="427">
        <f>'Reporte Componentes R1'!F76*$D$24</f>
        <v>0</v>
      </c>
      <c r="E12" s="427">
        <f>'Reporte Componentes R1'!G76*$D$24</f>
        <v>0</v>
      </c>
      <c r="F12" s="428">
        <f>'Reporte Componentes R1'!H76*$D$24</f>
        <v>0</v>
      </c>
      <c r="G12" s="428">
        <f>'Reporte Componentes R1'!I76*$D$24</f>
        <v>0</v>
      </c>
      <c r="H12" s="428">
        <f>'Reporte Componentes R1'!J76*$D$24</f>
        <v>0</v>
      </c>
      <c r="I12" s="428">
        <f>'Reporte Componentes R1'!K76*$D$24</f>
        <v>0</v>
      </c>
      <c r="J12" s="429">
        <f t="shared" ref="J12:J16" si="0">D12-E12-F12-G12-H12-I12</f>
        <v>0</v>
      </c>
      <c r="L12" s="431"/>
      <c r="N12" s="425">
        <v>1</v>
      </c>
      <c r="O12" s="426" t="s">
        <v>10</v>
      </c>
      <c r="P12" s="432">
        <f>'Reporte Componentes R1'!M76*$P$24</f>
        <v>0</v>
      </c>
      <c r="Q12" s="433">
        <f>'Reporte Componentes R1'!N76*$P$24</f>
        <v>0</v>
      </c>
      <c r="R12" s="433">
        <f>'Reporte Componentes R1'!O76*$P$24</f>
        <v>0</v>
      </c>
      <c r="S12" s="433">
        <f>'Reporte Componentes R1'!P76*$P$24</f>
        <v>0</v>
      </c>
      <c r="T12" s="433">
        <f>'Reporte Componentes R1'!Q76*$P$24</f>
        <v>0</v>
      </c>
      <c r="U12" s="467">
        <f>SUM(P12:T12)</f>
        <v>0</v>
      </c>
      <c r="V12" s="468">
        <f>J12-U12</f>
        <v>0</v>
      </c>
      <c r="W12" s="430" t="b">
        <f t="shared" ref="W12:W17" si="1">V12=0</f>
        <v>1</v>
      </c>
      <c r="X12" s="431"/>
      <c r="AB12" s="434"/>
    </row>
    <row r="13" spans="2:28" s="430" customFormat="1" x14ac:dyDescent="0.25">
      <c r="B13" s="435">
        <v>2</v>
      </c>
      <c r="C13" s="436" t="s">
        <v>11</v>
      </c>
      <c r="D13" s="427">
        <f>'Reporte Componentes R1'!F206*$D$24</f>
        <v>1119721.3799999999</v>
      </c>
      <c r="E13" s="428">
        <f>'Reporte Componentes R1'!G206*$D$24</f>
        <v>97699.19</v>
      </c>
      <c r="F13" s="428">
        <f>'Reporte Componentes R1'!H206*$D$24</f>
        <v>41504.31</v>
      </c>
      <c r="G13" s="428">
        <f>'Reporte Componentes R1'!I206*$D$24</f>
        <v>18125.84</v>
      </c>
      <c r="H13" s="428">
        <f>'Reporte Componentes R1'!J206*$D$24</f>
        <v>225990.73</v>
      </c>
      <c r="I13" s="428">
        <f>'Reporte Componentes R1'!K206*$D$24</f>
        <v>9352.17</v>
      </c>
      <c r="J13" s="429">
        <f t="shared" si="0"/>
        <v>727049.1399999999</v>
      </c>
      <c r="L13" s="431"/>
      <c r="N13" s="435">
        <v>2</v>
      </c>
      <c r="O13" s="436" t="s">
        <v>11</v>
      </c>
      <c r="P13" s="437">
        <f>'Reporte Componentes R1'!M206*$P$24</f>
        <v>82929.960000000006</v>
      </c>
      <c r="Q13" s="438">
        <f>'Reporte Componentes R1'!N206*$P$24</f>
        <v>102820.4</v>
      </c>
      <c r="R13" s="438">
        <f>'Reporte Componentes R1'!O206*$P$24</f>
        <v>345367.61</v>
      </c>
      <c r="S13" s="438">
        <f>'Reporte Componentes R1'!P206*$P$24</f>
        <v>180675.12</v>
      </c>
      <c r="T13" s="438">
        <f>'Reporte Componentes R1'!Q206*$P$24</f>
        <v>15256.05</v>
      </c>
      <c r="U13" s="466">
        <f>SUM(P13:T13)</f>
        <v>727049.14</v>
      </c>
      <c r="V13" s="469">
        <f t="shared" ref="V13:V16" si="2">J13-U13</f>
        <v>0</v>
      </c>
      <c r="W13" s="430" t="b">
        <f t="shared" si="1"/>
        <v>1</v>
      </c>
      <c r="X13" s="431"/>
      <c r="AB13" s="434"/>
    </row>
    <row r="14" spans="2:28" s="430" customFormat="1" x14ac:dyDescent="0.25">
      <c r="B14" s="435">
        <v>3</v>
      </c>
      <c r="C14" s="436" t="s">
        <v>12</v>
      </c>
      <c r="D14" s="427">
        <f>'Reporte Componentes R1'!F346*$D$24</f>
        <v>20882.810000000001</v>
      </c>
      <c r="E14" s="427">
        <f>'Reporte Componentes R1'!G346*$D$24</f>
        <v>1843.26</v>
      </c>
      <c r="F14" s="427">
        <f>'Reporte Componentes R1'!H346*$D$24</f>
        <v>783.09</v>
      </c>
      <c r="G14" s="427">
        <f>'Reporte Componentes R1'!I346*$D$24</f>
        <v>341.97</v>
      </c>
      <c r="H14" s="427">
        <f>'Reporte Componentes R1'!J346*$D$24</f>
        <v>4040.42</v>
      </c>
      <c r="I14" s="427">
        <f>'Reporte Componentes R1'!K346*$D$24</f>
        <v>166.45</v>
      </c>
      <c r="J14" s="429">
        <f t="shared" si="0"/>
        <v>13707.62</v>
      </c>
      <c r="L14" s="431"/>
      <c r="N14" s="435">
        <v>3</v>
      </c>
      <c r="O14" s="436" t="s">
        <v>12</v>
      </c>
      <c r="P14" s="437">
        <f>'Reporte Componentes R1'!M346*$P$24</f>
        <v>1460.16</v>
      </c>
      <c r="Q14" s="438">
        <f>'Reporte Componentes R1'!N346*$P$24</f>
        <v>1830.2</v>
      </c>
      <c r="R14" s="438">
        <f>'Reporte Componentes R1'!O346*$P$24</f>
        <v>6147.57</v>
      </c>
      <c r="S14" s="438">
        <f>'Reporte Componentes R1'!P346*$P$24</f>
        <v>3998.1</v>
      </c>
      <c r="T14" s="438">
        <f>'Reporte Componentes R1'!Q346*$P$24</f>
        <v>271.58999999999997</v>
      </c>
      <c r="U14" s="466">
        <f>SUM(P14:T14)</f>
        <v>13707.62</v>
      </c>
      <c r="V14" s="469">
        <f t="shared" si="2"/>
        <v>0</v>
      </c>
      <c r="W14" s="430" t="b">
        <f t="shared" si="1"/>
        <v>1</v>
      </c>
      <c r="X14" s="431"/>
      <c r="AB14" s="434"/>
    </row>
    <row r="15" spans="2:28" s="430" customFormat="1" x14ac:dyDescent="0.25">
      <c r="B15" s="435">
        <v>4</v>
      </c>
      <c r="C15" s="436" t="s">
        <v>13</v>
      </c>
      <c r="D15" s="427">
        <f>'Reporte Componentes R1'!F467*$D$24</f>
        <v>194589.84</v>
      </c>
      <c r="E15" s="428">
        <f>'Reporte Componentes R1'!G467*$D$24</f>
        <v>15762.93</v>
      </c>
      <c r="F15" s="428">
        <f>'Reporte Componentes R1'!H467*$D$24</f>
        <v>6696.6</v>
      </c>
      <c r="G15" s="428">
        <f>'Reporte Componentes R1'!I467*$D$24</f>
        <v>2924.39</v>
      </c>
      <c r="H15" s="428">
        <f>'Reporte Componentes R1'!J467*$D$24</f>
        <v>35979.040000000001</v>
      </c>
      <c r="I15" s="428">
        <f>'Reporte Componentes R1'!K467*$D$24</f>
        <v>1465.17</v>
      </c>
      <c r="J15" s="429">
        <f t="shared" si="0"/>
        <v>131761.70999999996</v>
      </c>
      <c r="L15" s="431"/>
      <c r="N15" s="435">
        <v>4</v>
      </c>
      <c r="O15" s="436" t="s">
        <v>13</v>
      </c>
      <c r="P15" s="437">
        <f>'Reporte Componentes R1'!M467*$P$24</f>
        <v>12852.44</v>
      </c>
      <c r="Q15" s="438">
        <f>'Reporte Componentes R1'!N467*$P$24</f>
        <v>16343.2</v>
      </c>
      <c r="R15" s="438">
        <f>'Reporte Componentes R1'!O467*$P$24</f>
        <v>60009.599999999999</v>
      </c>
      <c r="S15" s="438">
        <f>'Reporte Componentes R1'!P467*$P$24</f>
        <v>40165.83</v>
      </c>
      <c r="T15" s="438">
        <f>'Reporte Componentes R1'!Q467*$P$24</f>
        <v>2390.64</v>
      </c>
      <c r="U15" s="466">
        <f>SUM(P15:T15)</f>
        <v>131761.71</v>
      </c>
      <c r="V15" s="469">
        <f t="shared" si="2"/>
        <v>0</v>
      </c>
      <c r="W15" s="430" t="b">
        <f t="shared" si="1"/>
        <v>1</v>
      </c>
      <c r="X15" s="431"/>
      <c r="AB15" s="434"/>
    </row>
    <row r="16" spans="2:28" s="430" customFormat="1" ht="12" thickBot="1" x14ac:dyDescent="0.3">
      <c r="B16" s="439">
        <v>5</v>
      </c>
      <c r="C16" s="440" t="s">
        <v>14</v>
      </c>
      <c r="D16" s="441">
        <f>'Reporte Componentes R1'!F549*$D$24</f>
        <v>0</v>
      </c>
      <c r="E16" s="442">
        <f>'Reporte Componentes R1'!G549*$D$24</f>
        <v>0</v>
      </c>
      <c r="F16" s="442">
        <f>'Reporte Componentes R1'!H549*$D$24</f>
        <v>0</v>
      </c>
      <c r="G16" s="442">
        <f>'Reporte Componentes R1'!I549*$D$24</f>
        <v>0</v>
      </c>
      <c r="H16" s="442">
        <f>'Reporte Componentes R1'!J549*$D$24</f>
        <v>0</v>
      </c>
      <c r="I16" s="442">
        <f>'Reporte Componentes R1'!K549*$D$24</f>
        <v>0</v>
      </c>
      <c r="J16" s="429">
        <f t="shared" si="0"/>
        <v>0</v>
      </c>
      <c r="L16" s="431"/>
      <c r="N16" s="439">
        <v>5</v>
      </c>
      <c r="O16" s="440" t="s">
        <v>14</v>
      </c>
      <c r="P16" s="441">
        <f>'Reporte Componentes R1'!M549*$P$24</f>
        <v>0</v>
      </c>
      <c r="Q16" s="442">
        <f>'Reporte Componentes R1'!N549*$P$24</f>
        <v>0</v>
      </c>
      <c r="R16" s="442">
        <f>'Reporte Componentes R1'!O549*$P$24</f>
        <v>0</v>
      </c>
      <c r="S16" s="442">
        <f>'Reporte Componentes R1'!P549*$P$24</f>
        <v>0</v>
      </c>
      <c r="T16" s="442">
        <f>'Reporte Componentes R1'!Q549*$P$24</f>
        <v>0</v>
      </c>
      <c r="U16" s="470">
        <f>SUM(P16:T16)</f>
        <v>0</v>
      </c>
      <c r="V16" s="471">
        <f t="shared" si="2"/>
        <v>0</v>
      </c>
      <c r="W16" s="430" t="b">
        <f t="shared" si="1"/>
        <v>1</v>
      </c>
      <c r="X16" s="431"/>
      <c r="AB16" s="434"/>
    </row>
    <row r="17" spans="1:28" s="430" customFormat="1" ht="12" thickBot="1" x14ac:dyDescent="0.3">
      <c r="B17" s="443"/>
      <c r="C17" s="444" t="s">
        <v>2</v>
      </c>
      <c r="D17" s="445">
        <f t="shared" ref="D17:J17" si="3">SUM(D12:D16)</f>
        <v>1335194.03</v>
      </c>
      <c r="E17" s="445">
        <f t="shared" si="3"/>
        <v>115305.38</v>
      </c>
      <c r="F17" s="445">
        <f t="shared" si="3"/>
        <v>48983.999999999993</v>
      </c>
      <c r="G17" s="445">
        <f t="shared" si="3"/>
        <v>21392.2</v>
      </c>
      <c r="H17" s="445">
        <f t="shared" si="3"/>
        <v>266010.19</v>
      </c>
      <c r="I17" s="445">
        <f t="shared" si="3"/>
        <v>10983.79</v>
      </c>
      <c r="J17" s="446">
        <f t="shared" si="3"/>
        <v>872518.46999999986</v>
      </c>
      <c r="K17" s="447"/>
      <c r="L17" s="431"/>
      <c r="N17" s="443"/>
      <c r="O17" s="444" t="s">
        <v>2</v>
      </c>
      <c r="P17" s="448">
        <f>SUM(P12:P16)</f>
        <v>97242.560000000012</v>
      </c>
      <c r="Q17" s="448">
        <f t="shared" ref="Q17:U17" si="4">SUM(Q12:Q16)</f>
        <v>120993.79999999999</v>
      </c>
      <c r="R17" s="448">
        <f t="shared" si="4"/>
        <v>411524.77999999997</v>
      </c>
      <c r="S17" s="448">
        <f t="shared" si="4"/>
        <v>224839.05</v>
      </c>
      <c r="T17" s="448">
        <f t="shared" si="4"/>
        <v>17918.28</v>
      </c>
      <c r="U17" s="465">
        <f t="shared" si="4"/>
        <v>872518.47</v>
      </c>
      <c r="V17" s="449">
        <f>SUM(V12:V16)</f>
        <v>0</v>
      </c>
      <c r="W17" s="430" t="b">
        <f t="shared" si="1"/>
        <v>1</v>
      </c>
      <c r="X17" s="431"/>
      <c r="AB17" s="434"/>
    </row>
    <row r="18" spans="1:28" ht="12" thickBot="1" x14ac:dyDescent="0.3">
      <c r="B18" s="400"/>
      <c r="C18" s="400"/>
      <c r="D18" s="450"/>
      <c r="E18" s="451"/>
      <c r="F18" s="451"/>
      <c r="G18" s="451"/>
      <c r="H18" s="451"/>
      <c r="I18" s="451"/>
      <c r="J18" s="451"/>
      <c r="L18" s="393"/>
      <c r="N18" s="400"/>
      <c r="O18" s="400"/>
      <c r="P18" s="451"/>
      <c r="Q18" s="451"/>
      <c r="R18" s="451"/>
      <c r="S18" s="451"/>
      <c r="T18" s="451"/>
      <c r="U18" s="451"/>
      <c r="X18" s="393"/>
    </row>
    <row r="19" spans="1:28" ht="12" thickBot="1" x14ac:dyDescent="0.3">
      <c r="B19" s="400"/>
      <c r="C19" s="400"/>
      <c r="D19" s="451"/>
      <c r="E19" s="451"/>
      <c r="F19" s="451"/>
      <c r="G19" s="451"/>
      <c r="H19" s="451"/>
      <c r="I19" s="451"/>
      <c r="J19" s="451"/>
      <c r="L19" s="393"/>
      <c r="T19" s="452">
        <f>SUM(P17:T17)</f>
        <v>872518.47</v>
      </c>
      <c r="U19" s="392" t="s">
        <v>1</v>
      </c>
      <c r="X19" s="393"/>
    </row>
    <row r="20" spans="1:28" ht="12" thickBot="1" x14ac:dyDescent="0.3">
      <c r="B20" s="400"/>
      <c r="C20" s="400"/>
      <c r="D20" s="451" t="s">
        <v>1</v>
      </c>
      <c r="E20" s="453"/>
      <c r="F20" s="453"/>
      <c r="G20" s="453"/>
      <c r="H20" s="453"/>
      <c r="I20" s="451"/>
      <c r="J20" s="633" t="str">
        <f>+IF(MAX(J12:J17)&gt;500000,"VALIDAR",TRUE)</f>
        <v>VALIDAR</v>
      </c>
      <c r="L20" s="393"/>
      <c r="U20" s="454"/>
      <c r="X20" s="393"/>
    </row>
    <row r="21" spans="1:28" x14ac:dyDescent="0.25">
      <c r="B21" s="400"/>
      <c r="C21" s="400"/>
      <c r="D21" s="451" t="s">
        <v>1</v>
      </c>
      <c r="E21" s="451" t="s">
        <v>1</v>
      </c>
      <c r="F21" s="451" t="s">
        <v>25</v>
      </c>
      <c r="G21" s="451"/>
      <c r="H21" s="451"/>
      <c r="I21" s="451"/>
      <c r="J21" s="451"/>
      <c r="L21" s="393"/>
      <c r="X21" s="393"/>
    </row>
    <row r="22" spans="1:28" x14ac:dyDescent="0.25">
      <c r="A22" s="455"/>
      <c r="B22" s="456"/>
      <c r="C22" s="456"/>
      <c r="D22" s="457"/>
      <c r="E22" s="457"/>
      <c r="F22" s="457"/>
      <c r="G22" s="457"/>
      <c r="H22" s="457"/>
      <c r="I22" s="457"/>
      <c r="J22" s="457"/>
      <c r="K22" s="455"/>
      <c r="L22" s="455"/>
      <c r="M22" s="455"/>
      <c r="N22" s="455"/>
      <c r="O22" s="455"/>
      <c r="P22" s="455"/>
      <c r="Q22" s="455"/>
      <c r="R22" s="455"/>
      <c r="S22" s="455"/>
      <c r="T22" s="455"/>
      <c r="U22" s="455"/>
      <c r="V22" s="458"/>
      <c r="W22" s="455"/>
      <c r="X22" s="455"/>
    </row>
    <row r="24" spans="1:28" x14ac:dyDescent="0.25">
      <c r="D24" s="459">
        <v>-1</v>
      </c>
      <c r="P24" s="459">
        <v>-1</v>
      </c>
    </row>
    <row r="25" spans="1:28" ht="15.5" x14ac:dyDescent="0.35">
      <c r="E25" s="408"/>
    </row>
  </sheetData>
  <conditionalFormatting sqref="J20">
    <cfRule type="cellIs" dxfId="77" priority="1" operator="equal">
      <formula>TRUE</formula>
    </cfRule>
    <cfRule type="cellIs" dxfId="76" priority="2" operator="equal">
      <formula>"VALIDAR"</formula>
    </cfRule>
  </conditionalFormatting>
  <pageMargins left="0.7" right="0.7" top="0.75" bottom="0.75" header="0.3" footer="0.3"/>
  <pageSetup orientation="portrait" horizontalDpi="4294967293" verticalDpi="0" r:id="rId1"/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rgb="FF00FF00"/>
    <pageSetUpPr fitToPage="1"/>
  </sheetPr>
  <dimension ref="A1:AM167"/>
  <sheetViews>
    <sheetView tabSelected="1" topLeftCell="A95" zoomScaleNormal="100" workbookViewId="0">
      <selection activeCell="A124" sqref="A124"/>
    </sheetView>
  </sheetViews>
  <sheetFormatPr baseColWidth="10" defaultColWidth="11.453125" defaultRowHeight="11.5" x14ac:dyDescent="0.25"/>
  <cols>
    <col min="1" max="1" width="3" style="1" customWidth="1"/>
    <col min="2" max="2" width="4.453125" style="1" bestFit="1" customWidth="1"/>
    <col min="3" max="3" width="37.7265625" style="1" customWidth="1"/>
    <col min="4" max="4" width="15.26953125" style="1" customWidth="1"/>
    <col min="5" max="5" width="16" style="1" customWidth="1"/>
    <col min="6" max="7" width="14.7265625" style="1" customWidth="1"/>
    <col min="8" max="9" width="16" style="1" customWidth="1"/>
    <col min="10" max="10" width="15.54296875" style="1" customWidth="1"/>
    <col min="11" max="11" width="17.54296875" style="1" customWidth="1"/>
    <col min="12" max="12" width="17.7265625" style="1" customWidth="1"/>
    <col min="13" max="13" width="20" style="1" customWidth="1"/>
    <col min="14" max="14" width="15.26953125" style="1" customWidth="1"/>
    <col min="15" max="15" width="16.7265625" style="1" customWidth="1"/>
    <col min="16" max="16" width="3.7265625" style="1" customWidth="1"/>
    <col min="17" max="17" width="2.7265625" style="1" customWidth="1"/>
    <col min="18" max="18" width="4.54296875" style="1" customWidth="1"/>
    <col min="19" max="19" width="11.26953125" style="1" customWidth="1"/>
    <col min="20" max="20" width="37.54296875" style="1" bestFit="1" customWidth="1"/>
    <col min="21" max="21" width="19.26953125" style="1" customWidth="1"/>
    <col min="22" max="22" width="17.7265625" style="1" customWidth="1"/>
    <col min="23" max="23" width="16.453125" style="1" customWidth="1"/>
    <col min="24" max="24" width="17.26953125" style="1" customWidth="1"/>
    <col min="25" max="25" width="15.7265625" style="1" customWidth="1"/>
    <col min="26" max="26" width="16" style="1" customWidth="1"/>
    <col min="27" max="27" width="15" style="1" customWidth="1"/>
    <col min="28" max="29" width="16.7265625" style="1" customWidth="1"/>
    <col min="30" max="31" width="15.453125" style="1" customWidth="1"/>
    <col min="32" max="32" width="16.26953125" style="1" customWidth="1"/>
    <col min="33" max="33" width="14.7265625" style="274" bestFit="1" customWidth="1"/>
    <col min="34" max="34" width="13.7265625" style="1" customWidth="1"/>
    <col min="35" max="35" width="3.453125" style="1" customWidth="1"/>
    <col min="36" max="36" width="13.7265625" style="1" bestFit="1" customWidth="1"/>
    <col min="37" max="38" width="11.453125" style="1"/>
    <col min="39" max="39" width="15.7265625" style="1" bestFit="1" customWidth="1"/>
    <col min="40" max="16384" width="11.453125" style="1"/>
  </cols>
  <sheetData>
    <row r="1" spans="2:35" ht="12" thickBot="1" x14ac:dyDescent="0.3">
      <c r="Q1" s="4"/>
      <c r="AI1" s="4"/>
    </row>
    <row r="2" spans="2:35" x14ac:dyDescent="0.25">
      <c r="B2" s="5"/>
      <c r="C2" s="3" t="s">
        <v>1</v>
      </c>
      <c r="D2" s="6" t="s">
        <v>1</v>
      </c>
      <c r="E2" s="3"/>
      <c r="F2" s="3"/>
      <c r="G2" s="3"/>
      <c r="H2" s="3" t="s">
        <v>1</v>
      </c>
      <c r="I2" s="3"/>
      <c r="J2" s="3"/>
      <c r="K2" s="3"/>
      <c r="L2" s="3"/>
      <c r="M2" s="3"/>
      <c r="N2" s="3"/>
      <c r="O2" s="7"/>
      <c r="P2" s="2"/>
      <c r="Q2" s="4"/>
      <c r="S2" s="5"/>
      <c r="T2" s="3" t="s">
        <v>1</v>
      </c>
      <c r="U2" s="6" t="s">
        <v>1</v>
      </c>
      <c r="V2" s="3"/>
      <c r="W2" s="3"/>
      <c r="X2" s="3" t="s">
        <v>1</v>
      </c>
      <c r="Y2" s="3"/>
      <c r="Z2" s="3"/>
      <c r="AA2" s="3"/>
      <c r="AB2" s="3"/>
      <c r="AC2" s="3"/>
      <c r="AD2" s="3"/>
      <c r="AE2" s="3"/>
      <c r="AF2" s="7"/>
      <c r="AG2" s="275"/>
      <c r="AI2" s="4"/>
    </row>
    <row r="3" spans="2:35" ht="14" x14ac:dyDescent="0.3">
      <c r="B3" s="8"/>
      <c r="F3" s="26" t="s">
        <v>8</v>
      </c>
      <c r="G3" s="26"/>
      <c r="I3" s="26" t="s">
        <v>16</v>
      </c>
      <c r="J3" s="25"/>
      <c r="M3" s="2" t="s">
        <v>15</v>
      </c>
      <c r="N3" s="50">
        <v>2026071</v>
      </c>
      <c r="O3" s="10"/>
      <c r="P3" s="2"/>
      <c r="Q3" s="4"/>
      <c r="S3" s="8"/>
      <c r="U3" s="26" t="s">
        <v>8</v>
      </c>
      <c r="W3" s="26" t="s">
        <v>16</v>
      </c>
      <c r="X3" s="25"/>
      <c r="Y3" s="2"/>
      <c r="AA3" s="2" t="s">
        <v>15</v>
      </c>
      <c r="AD3" s="84">
        <f>N3</f>
        <v>2026071</v>
      </c>
      <c r="AE3" s="84"/>
      <c r="AF3" s="48"/>
      <c r="AG3" s="275"/>
      <c r="AI3" s="4"/>
    </row>
    <row r="4" spans="2:35" ht="15.5" x14ac:dyDescent="0.35">
      <c r="B4" s="8"/>
      <c r="F4" s="36" t="s">
        <v>29</v>
      </c>
      <c r="G4" s="36"/>
      <c r="O4" s="10"/>
      <c r="P4" s="2"/>
      <c r="Q4" s="4"/>
      <c r="S4" s="8"/>
      <c r="T4" s="26" t="s">
        <v>1</v>
      </c>
      <c r="U4" s="36" t="s">
        <v>29</v>
      </c>
      <c r="Y4" s="2" t="s">
        <v>1</v>
      </c>
      <c r="AA4" s="50" t="s">
        <v>1</v>
      </c>
      <c r="AB4" s="2"/>
      <c r="AC4" s="2"/>
      <c r="AD4" s="2"/>
      <c r="AE4" s="2"/>
      <c r="AF4" s="10" t="s">
        <v>1</v>
      </c>
      <c r="AG4" s="275"/>
      <c r="AI4" s="4"/>
    </row>
    <row r="5" spans="2:35" ht="14" x14ac:dyDescent="0.3">
      <c r="B5" s="8"/>
      <c r="F5" s="2" t="s">
        <v>30</v>
      </c>
      <c r="G5" s="2"/>
      <c r="M5" s="2" t="s">
        <v>1</v>
      </c>
      <c r="O5" s="10"/>
      <c r="P5" s="2"/>
      <c r="Q5" s="4"/>
      <c r="S5" s="8"/>
      <c r="T5" s="49" t="s">
        <v>1</v>
      </c>
      <c r="U5" s="2" t="s">
        <v>30</v>
      </c>
      <c r="AF5" s="44"/>
      <c r="AG5" s="275"/>
      <c r="AI5" s="4"/>
    </row>
    <row r="6" spans="2:35" ht="15.5" x14ac:dyDescent="0.35">
      <c r="B6" s="8"/>
      <c r="C6" s="591" t="s">
        <v>17</v>
      </c>
      <c r="D6" s="9">
        <v>46220</v>
      </c>
      <c r="F6" s="41" t="s">
        <v>26</v>
      </c>
      <c r="G6" s="41"/>
      <c r="H6" s="2"/>
      <c r="J6" s="2"/>
      <c r="O6" s="10"/>
      <c r="P6" s="2"/>
      <c r="Q6" s="4"/>
      <c r="S6" s="8"/>
      <c r="T6" s="41" t="s">
        <v>1</v>
      </c>
      <c r="U6" s="41" t="s">
        <v>26</v>
      </c>
      <c r="V6" s="2"/>
      <c r="X6" s="2"/>
      <c r="Y6" s="2"/>
      <c r="AF6" s="48"/>
      <c r="AG6" s="275"/>
      <c r="AI6" s="4"/>
    </row>
    <row r="7" spans="2:35" ht="12" thickBot="1" x14ac:dyDescent="0.3">
      <c r="B7" s="8"/>
      <c r="C7" s="591" t="s">
        <v>0</v>
      </c>
      <c r="D7" s="241">
        <v>0.58333333333333337</v>
      </c>
      <c r="F7" s="2" t="s">
        <v>27</v>
      </c>
      <c r="G7" s="9">
        <v>46204</v>
      </c>
      <c r="J7" s="2" t="s">
        <v>28</v>
      </c>
      <c r="K7" s="9">
        <v>46218</v>
      </c>
      <c r="O7" s="10"/>
      <c r="P7" s="2"/>
      <c r="Q7" s="4"/>
      <c r="S7" s="8"/>
      <c r="U7" s="1" t="str">
        <f>F7</f>
        <v>Fecha Desde:</v>
      </c>
      <c r="V7" s="9">
        <f>G7</f>
        <v>46204</v>
      </c>
      <c r="W7" s="1" t="s">
        <v>1</v>
      </c>
      <c r="X7" s="1" t="str">
        <f>J7</f>
        <v>Feha Hasta:</v>
      </c>
      <c r="Y7" s="9">
        <f>K7</f>
        <v>46218</v>
      </c>
      <c r="Z7" s="1" t="s">
        <v>1</v>
      </c>
      <c r="AF7" s="48"/>
      <c r="AG7" s="275"/>
      <c r="AI7" s="4"/>
    </row>
    <row r="8" spans="2:35" ht="72" customHeight="1" thickBot="1" x14ac:dyDescent="0.3">
      <c r="B8" s="11" t="s">
        <v>3</v>
      </c>
      <c r="C8" s="27" t="s">
        <v>9</v>
      </c>
      <c r="D8" s="11" t="s">
        <v>4</v>
      </c>
      <c r="E8" s="12" t="s">
        <v>5</v>
      </c>
      <c r="F8" s="27" t="s">
        <v>6</v>
      </c>
      <c r="G8" s="27" t="s">
        <v>159</v>
      </c>
      <c r="H8" s="27" t="s">
        <v>18</v>
      </c>
      <c r="I8" s="12" t="s">
        <v>24</v>
      </c>
      <c r="J8" s="73" t="s">
        <v>19</v>
      </c>
      <c r="K8" s="29" t="s">
        <v>20</v>
      </c>
      <c r="L8" s="28" t="s">
        <v>21</v>
      </c>
      <c r="M8" s="39" t="s">
        <v>22</v>
      </c>
      <c r="N8" s="12" t="s">
        <v>7</v>
      </c>
      <c r="O8" s="39" t="s">
        <v>23</v>
      </c>
      <c r="P8" s="13"/>
      <c r="Q8" s="4"/>
      <c r="S8" s="11" t="s">
        <v>3</v>
      </c>
      <c r="T8" s="27" t="s">
        <v>9</v>
      </c>
      <c r="U8" s="162" t="s">
        <v>39</v>
      </c>
      <c r="V8" s="163" t="s">
        <v>40</v>
      </c>
      <c r="W8" s="163" t="s">
        <v>41</v>
      </c>
      <c r="X8" s="163" t="s">
        <v>42</v>
      </c>
      <c r="Y8" s="164" t="s">
        <v>43</v>
      </c>
      <c r="Z8" s="85" t="s">
        <v>21</v>
      </c>
      <c r="AA8" s="65" t="s">
        <v>46</v>
      </c>
      <c r="AB8" s="65" t="s">
        <v>7</v>
      </c>
      <c r="AC8" s="85" t="s">
        <v>167</v>
      </c>
      <c r="AD8" s="121" t="s">
        <v>107</v>
      </c>
      <c r="AE8" s="121" t="s">
        <v>225</v>
      </c>
      <c r="AF8" s="39" t="s">
        <v>23</v>
      </c>
      <c r="AG8" s="276"/>
      <c r="AI8" s="4"/>
    </row>
    <row r="9" spans="2:35" s="308" customFormat="1" x14ac:dyDescent="0.25">
      <c r="B9" s="306">
        <v>1</v>
      </c>
      <c r="C9" s="307" t="s">
        <v>10</v>
      </c>
      <c r="D9" s="389">
        <f>'Reporte Componentes R1'!F46</f>
        <v>16704332434.57</v>
      </c>
      <c r="E9" s="295">
        <f>'Reporte Componentes R1'!G46</f>
        <v>985257731.52999997</v>
      </c>
      <c r="F9" s="295">
        <f>'Reporte Componentes R1'!H46</f>
        <v>553829482.59000003</v>
      </c>
      <c r="G9" s="295">
        <f>'Reporte Componentes R1'!I46</f>
        <v>291441087.25999999</v>
      </c>
      <c r="H9" s="295">
        <f>'Reporte Componentes R1'!J46</f>
        <v>4870200555.6999998</v>
      </c>
      <c r="I9" s="295">
        <f>'Reporte Componentes R1'!K46</f>
        <v>168913612.41999999</v>
      </c>
      <c r="J9" s="291">
        <f>'BCE SC POR FACT.'!F3</f>
        <v>2032363678.8399997</v>
      </c>
      <c r="K9" s="296">
        <f>D9-E9-F9-G9-H9-I9-J9</f>
        <v>7802326286.2299976</v>
      </c>
      <c r="L9" s="297">
        <f>INTERVENTORIA!Q4</f>
        <v>189185987</v>
      </c>
      <c r="M9" s="296">
        <f>K9-L9</f>
        <v>7613140299.2299976</v>
      </c>
      <c r="N9" s="390">
        <f>'Reporte Componentes R1'!L46</f>
        <v>18193739.239999998</v>
      </c>
      <c r="O9" s="296">
        <f>M9+N9</f>
        <v>7631334038.4699974</v>
      </c>
      <c r="Q9" s="309"/>
      <c r="S9" s="306">
        <v>1</v>
      </c>
      <c r="T9" s="307" t="s">
        <v>10</v>
      </c>
      <c r="U9" s="310">
        <f>'Reporte Componentes R1'!M46</f>
        <v>1482542714.6900001</v>
      </c>
      <c r="V9" s="311">
        <f>'Reporte Componentes R1'!N46</f>
        <v>1434436911.9300001</v>
      </c>
      <c r="W9" s="311">
        <f>'Reporte Componentes R1'!O46</f>
        <v>6787178600.5</v>
      </c>
      <c r="X9" s="311">
        <f>'Reporte Componentes R1'!P46</f>
        <v>2682211010.3899999</v>
      </c>
      <c r="Y9" s="312">
        <f>'Reporte Componentes R1'!Q46</f>
        <v>275615005.69999999</v>
      </c>
      <c r="Z9" s="313">
        <f>L9*-1</f>
        <v>-189185987</v>
      </c>
      <c r="AA9" s="314">
        <f>'Reporte Componentes R1'!R46+'Reporte Componentes R1'!U46+'Reporte Componentes R1'!V46</f>
        <v>-33780.6</v>
      </c>
      <c r="AB9" s="315">
        <f>N9</f>
        <v>18193739.239999998</v>
      </c>
      <c r="AC9" s="323">
        <f>'Reporte Componentes R1'!T46+'Reporte Componentes R1'!W46+'Reporte Componentes R1'!X46+'Reporte Componentes R1'!Y46+'Reporte Componentes R1'!Z46+'Reporte Componentes R1'!S46</f>
        <v>279.27</v>
      </c>
      <c r="AD9" s="294">
        <f>-J9+AE9</f>
        <v>-4859624455.6499996</v>
      </c>
      <c r="AE9" s="294">
        <f>'Reporte Componentes R1'!F47</f>
        <v>-2827260776.8099999</v>
      </c>
      <c r="AF9" s="316">
        <f>SUM(U9:AD9)</f>
        <v>7631334038.4699993</v>
      </c>
      <c r="AG9" s="524">
        <f>(AF9-O9)</f>
        <v>1.9073486328125E-6</v>
      </c>
      <c r="AH9" s="308" t="b">
        <f>INT(AG9)=0</f>
        <v>1</v>
      </c>
      <c r="AI9" s="309"/>
    </row>
    <row r="10" spans="2:35" s="308" customFormat="1" x14ac:dyDescent="0.25">
      <c r="B10" s="317">
        <v>2</v>
      </c>
      <c r="C10" s="318" t="s">
        <v>11</v>
      </c>
      <c r="D10" s="294">
        <f>'Reporte Componentes R1'!F176</f>
        <v>12157780441.190001</v>
      </c>
      <c r="E10" s="295">
        <f>'Reporte Componentes R1'!G176</f>
        <v>1015770233.8699999</v>
      </c>
      <c r="F10" s="295">
        <f>'Reporte Componentes R1'!H176</f>
        <v>562769605.98000002</v>
      </c>
      <c r="G10" s="295">
        <f>'Reporte Componentes R1'!I176</f>
        <v>292850581.68000001</v>
      </c>
      <c r="H10" s="295">
        <f>'Reporte Componentes R1'!J176</f>
        <v>3895596894.7599998</v>
      </c>
      <c r="I10" s="295">
        <f>'Reporte Componentes R1'!K176</f>
        <v>147913633.99000001</v>
      </c>
      <c r="J10" s="291">
        <f>'BCE SC POR FACT.'!F4</f>
        <v>-5011515653.5899992</v>
      </c>
      <c r="K10" s="298">
        <f>D10-E10-F10-G10-H10-I10-J10</f>
        <v>11254395144.5</v>
      </c>
      <c r="L10" s="297">
        <f>INTERVENTORIA!Q5</f>
        <v>266580255</v>
      </c>
      <c r="M10" s="298">
        <f>K10-L10</f>
        <v>10987814889.5</v>
      </c>
      <c r="N10" s="297">
        <f>'Reporte Componentes R1'!L176</f>
        <v>31737181.809999999</v>
      </c>
      <c r="O10" s="298">
        <f>M10+N10</f>
        <v>11019552071.309999</v>
      </c>
      <c r="Q10" s="309"/>
      <c r="S10" s="317">
        <v>2</v>
      </c>
      <c r="T10" s="318" t="s">
        <v>11</v>
      </c>
      <c r="U10" s="319">
        <f>'Reporte Componentes R1'!M176</f>
        <v>1300275924.1499999</v>
      </c>
      <c r="V10" s="320">
        <f>'Reporte Componentes R1'!N176</f>
        <v>1304144780.3399999</v>
      </c>
      <c r="W10" s="320">
        <f>'Reporte Componentes R1'!O176</f>
        <v>6075326989.9300003</v>
      </c>
      <c r="X10" s="320">
        <f>'Reporte Componentes R1'!P176</f>
        <v>1983515059.6800001</v>
      </c>
      <c r="Y10" s="321">
        <f>'Reporte Componentes R1'!Q176</f>
        <v>242015622.47999999</v>
      </c>
      <c r="Z10" s="322">
        <f>L10*-1</f>
        <v>-266580255</v>
      </c>
      <c r="AA10" s="323">
        <f>'Reporte Componentes R1'!R176+'Reporte Componentes R1'!U176+'Reporte Componentes R1'!V176</f>
        <v>-15889.24</v>
      </c>
      <c r="AB10" s="324">
        <f>N10</f>
        <v>31737181.809999999</v>
      </c>
      <c r="AC10" s="323">
        <f>'Reporte Componentes R1'!T176+'Reporte Componentes R1'!W176+'Reporte Componentes R1'!X176+'Reporte Componentes R1'!Y176+'Reporte Componentes R1'!Z176+'Reporte Componentes R1'!S176</f>
        <v>-108.84</v>
      </c>
      <c r="AD10" s="294">
        <f t="shared" ref="AD10:AD13" si="0">-J10+AE10</f>
        <v>349132765.99999905</v>
      </c>
      <c r="AE10" s="294">
        <f>'Reporte Componentes R1'!F177</f>
        <v>-4662382887.5900002</v>
      </c>
      <c r="AF10" s="325">
        <f>SUM(U10:AD10)</f>
        <v>11019552071.309998</v>
      </c>
      <c r="AG10" s="525">
        <f>(AF10-O10)</f>
        <v>-1.9073486328125E-6</v>
      </c>
      <c r="AH10" s="308" t="b">
        <f t="shared" ref="AH10:AH13" si="1">INT(AG10)=0</f>
        <v>0</v>
      </c>
      <c r="AI10" s="309"/>
    </row>
    <row r="11" spans="2:35" s="308" customFormat="1" x14ac:dyDescent="0.25">
      <c r="B11" s="317">
        <v>3</v>
      </c>
      <c r="C11" s="318" t="s">
        <v>12</v>
      </c>
      <c r="D11" s="294">
        <f>'Reporte Componentes R1'!F316</f>
        <v>10101988514.820002</v>
      </c>
      <c r="E11" s="295">
        <f>'Reporte Componentes R1'!G316</f>
        <v>681706141.33000004</v>
      </c>
      <c r="F11" s="295">
        <f>'Reporte Componentes R1'!H316</f>
        <v>384318351.36000001</v>
      </c>
      <c r="G11" s="295">
        <f>'Reporte Componentes R1'!I316</f>
        <v>201926217.52000001</v>
      </c>
      <c r="H11" s="295">
        <f>'Reporte Componentes R1'!J316</f>
        <v>2643771945.7799997</v>
      </c>
      <c r="I11" s="295">
        <f>'Reporte Componentes R1'!K316</f>
        <v>98939010.299999997</v>
      </c>
      <c r="J11" s="291">
        <f>'BCE SC POR FACT.'!F5</f>
        <v>-1196822411.3100002</v>
      </c>
      <c r="K11" s="298">
        <f>D11-E11-F11-G11-H11-I11-J11</f>
        <v>7288149259.8400011</v>
      </c>
      <c r="L11" s="297">
        <f>INTERVENTORIA!Q6</f>
        <v>154788535</v>
      </c>
      <c r="M11" s="298">
        <f>K11-L11</f>
        <v>7133360724.8400011</v>
      </c>
      <c r="N11" s="297">
        <f>'Reporte Componentes R1'!L316</f>
        <v>32320230.18</v>
      </c>
      <c r="O11" s="298">
        <f>M11+N11</f>
        <v>7165680955.0200014</v>
      </c>
      <c r="Q11" s="309"/>
      <c r="S11" s="317">
        <v>3</v>
      </c>
      <c r="T11" s="318" t="s">
        <v>12</v>
      </c>
      <c r="U11" s="319">
        <f>'Reporte Componentes R1'!M316</f>
        <v>868642046.25</v>
      </c>
      <c r="V11" s="320">
        <f>'Reporte Componentes R1'!N316</f>
        <v>852820119.69999993</v>
      </c>
      <c r="W11" s="320">
        <f>'Reporte Componentes R1'!O316</f>
        <v>4032953510.0799999</v>
      </c>
      <c r="X11" s="320">
        <f>'Reporte Componentes R1'!P316</f>
        <v>1582835812.9100001</v>
      </c>
      <c r="Y11" s="321">
        <f>'Reporte Componentes R1'!Q316</f>
        <v>161583783.72999999</v>
      </c>
      <c r="Z11" s="322">
        <f>L11*-1</f>
        <v>-154788535</v>
      </c>
      <c r="AA11" s="323">
        <f>'Reporte Componentes R1'!R316+'Reporte Componentes R1'!U316+'Reporte Componentes R1'!V316</f>
        <v>80346.080000000002</v>
      </c>
      <c r="AB11" s="324">
        <f>N11</f>
        <v>32320230.18</v>
      </c>
      <c r="AC11" s="323">
        <f>'Reporte Componentes R1'!T316+'Reporte Componentes R1'!W316+'Reporte Componentes R1'!X316+'Reporte Componentes R1'!Y316+'Reporte Componentes R1'!Z316+'Reporte Componentes R1'!S316</f>
        <v>2.67</v>
      </c>
      <c r="AD11" s="294">
        <f t="shared" si="0"/>
        <v>-210766361.57999992</v>
      </c>
      <c r="AE11" s="294">
        <f>'Reporte Componentes R1'!F317</f>
        <v>-1407588772.8900001</v>
      </c>
      <c r="AF11" s="325">
        <f t="shared" ref="AF11:AF13" si="2">SUM(U11:AD11)</f>
        <v>7165680955.0199995</v>
      </c>
      <c r="AG11" s="525">
        <f>(AF11-O11)</f>
        <v>-1.9073486328125E-6</v>
      </c>
      <c r="AH11" s="308" t="b">
        <f t="shared" si="1"/>
        <v>0</v>
      </c>
      <c r="AI11" s="309"/>
    </row>
    <row r="12" spans="2:35" s="308" customFormat="1" x14ac:dyDescent="0.25">
      <c r="B12" s="317">
        <v>4</v>
      </c>
      <c r="C12" s="318" t="s">
        <v>13</v>
      </c>
      <c r="D12" s="294">
        <f>'Reporte Componentes R1'!F437</f>
        <v>10552409503.830002</v>
      </c>
      <c r="E12" s="295">
        <f>'Reporte Componentes R1'!G437</f>
        <v>641656113.5200001</v>
      </c>
      <c r="F12" s="295">
        <f>'Reporte Componentes R1'!H437</f>
        <v>359183898.5</v>
      </c>
      <c r="G12" s="295">
        <f>'Reporte Componentes R1'!I437</f>
        <v>188465110.52000001</v>
      </c>
      <c r="H12" s="295">
        <f>'Reporte Componentes R1'!J437</f>
        <v>2357276345.4400001</v>
      </c>
      <c r="I12" s="295">
        <f>'Reporte Componentes R1'!K437</f>
        <v>90994608.560000002</v>
      </c>
      <c r="J12" s="291">
        <f>'BCE SC POR FACT.'!F6</f>
        <v>35955816.039999962</v>
      </c>
      <c r="K12" s="298">
        <f>D12-E12-F12-G12-H12-I12-J12</f>
        <v>6878877611.25</v>
      </c>
      <c r="L12" s="297">
        <f>INTERVENTORIA!Q7</f>
        <v>120391083</v>
      </c>
      <c r="M12" s="298">
        <f>K12-L12</f>
        <v>6758486528.25</v>
      </c>
      <c r="N12" s="297">
        <f>'Reporte Componentes R1'!L437</f>
        <v>22968513.57</v>
      </c>
      <c r="O12" s="298">
        <f>M12+N12</f>
        <v>6781455041.8199997</v>
      </c>
      <c r="Q12" s="309"/>
      <c r="S12" s="317">
        <v>4</v>
      </c>
      <c r="T12" s="318" t="s">
        <v>13</v>
      </c>
      <c r="U12" s="319">
        <f>'Reporte Componentes R1'!M437</f>
        <v>797552929.38999999</v>
      </c>
      <c r="V12" s="320">
        <f>'Reporte Componentes R1'!N437</f>
        <v>788577744.75999999</v>
      </c>
      <c r="W12" s="320">
        <f>'Reporte Componentes R1'!O437</f>
        <v>4057076376.9400001</v>
      </c>
      <c r="X12" s="320">
        <f>'Reporte Componentes R1'!P437</f>
        <v>1697115026.9400001</v>
      </c>
      <c r="Y12" s="321">
        <f>'Reporte Componentes R1'!Q437</f>
        <v>148968851.07000002</v>
      </c>
      <c r="Z12" s="322">
        <f>L12*-1</f>
        <v>-120391083</v>
      </c>
      <c r="AA12" s="323">
        <f>'Reporte Componentes R1'!R437+'Reporte Componentes R1'!U437+'Reporte Componentes R1'!V437</f>
        <v>-160678.67000000001</v>
      </c>
      <c r="AB12" s="324">
        <f>N12</f>
        <v>22968513.57</v>
      </c>
      <c r="AC12" s="323">
        <f>'Reporte Componentes R1'!T437+'Reporte Componentes R1'!W437+'Reporte Componentes R1'!X437+'Reporte Componentes R1'!Y437+'Reporte Componentes R1'!Z437+'Reporte Componentes R1'!S437</f>
        <v>-50.100000000000009</v>
      </c>
      <c r="AD12" s="294">
        <f t="shared" si="0"/>
        <v>-610252589.07999992</v>
      </c>
      <c r="AE12" s="294">
        <f>'Reporte Componentes R1'!F438</f>
        <v>-574296773.03999996</v>
      </c>
      <c r="AF12" s="325">
        <f t="shared" si="2"/>
        <v>6781455041.8199997</v>
      </c>
      <c r="AG12" s="525">
        <f>(AF12-O12)</f>
        <v>0</v>
      </c>
      <c r="AH12" s="308" t="b">
        <f t="shared" si="1"/>
        <v>1</v>
      </c>
      <c r="AI12" s="309"/>
    </row>
    <row r="13" spans="2:35" s="308" customFormat="1" ht="12" thickBot="1" x14ac:dyDescent="0.3">
      <c r="B13" s="327">
        <v>5</v>
      </c>
      <c r="C13" s="328" t="s">
        <v>14</v>
      </c>
      <c r="D13" s="299">
        <f>'Reporte Componentes R1'!F519</f>
        <v>8519310329.2800007</v>
      </c>
      <c r="E13" s="300">
        <f>'Reporte Componentes R1'!G519</f>
        <v>496865109.38</v>
      </c>
      <c r="F13" s="300">
        <f>'Reporte Componentes R1'!H519</f>
        <v>279158844.22000003</v>
      </c>
      <c r="G13" s="300">
        <f>'Reporte Componentes R1'!I519</f>
        <v>143970186.55000001</v>
      </c>
      <c r="H13" s="300">
        <f>'Reporte Componentes R1'!J519</f>
        <v>1819505029.9400001</v>
      </c>
      <c r="I13" s="300">
        <f>'Reporte Componentes R1'!K519</f>
        <v>70488340.61999999</v>
      </c>
      <c r="J13" s="292">
        <f>'BCE SC POR FACT.'!F7</f>
        <v>-1210425628.3100002</v>
      </c>
      <c r="K13" s="298">
        <f>D13-E13-F13-G13-H13-I13-J13</f>
        <v>6919748446.8800011</v>
      </c>
      <c r="L13" s="297">
        <f>INTERVENTORIA!Q8</f>
        <v>128990445</v>
      </c>
      <c r="M13" s="301">
        <f>K13-L13</f>
        <v>6790758001.8800011</v>
      </c>
      <c r="N13" s="302">
        <f>'Reporte Componentes R1'!L519</f>
        <v>26933696.719999999</v>
      </c>
      <c r="O13" s="301">
        <f>M13+N13</f>
        <v>6817691698.6000013</v>
      </c>
      <c r="Q13" s="309"/>
      <c r="S13" s="327">
        <v>5</v>
      </c>
      <c r="T13" s="328" t="s">
        <v>14</v>
      </c>
      <c r="U13" s="299">
        <f>'Reporte Componentes R1'!M519</f>
        <v>618748474.26999998</v>
      </c>
      <c r="V13" s="300">
        <f>'Reporte Componentes R1'!N519</f>
        <v>604356561.63</v>
      </c>
      <c r="W13" s="300">
        <f>'Reporte Componentes R1'!O519</f>
        <v>3109979389.9400001</v>
      </c>
      <c r="X13" s="300">
        <f>'Reporte Componentes R1'!P519</f>
        <v>1446172658.9100001</v>
      </c>
      <c r="Y13" s="292">
        <f>'Reporte Componentes R1'!Q519</f>
        <v>115040759.54000001</v>
      </c>
      <c r="Z13" s="322">
        <f>L13*-1</f>
        <v>-128990445</v>
      </c>
      <c r="AA13" s="323">
        <f>'Reporte Componentes R1'!R519+'Reporte Componentes R1'!U519+'Reporte Componentes R1'!V519</f>
        <v>-78410.78</v>
      </c>
      <c r="AB13" s="324">
        <f>N13</f>
        <v>26933696.719999999</v>
      </c>
      <c r="AC13" s="323">
        <f>'Reporte Componentes R1'!T519+'Reporte Componentes R1'!W519+'Reporte Componentes R1'!X519+'Reporte Componentes R1'!Y519+'Reporte Componentes R1'!Z519+'Reporte Componentes R1'!S519</f>
        <v>-103.71</v>
      </c>
      <c r="AD13" s="294">
        <f t="shared" si="0"/>
        <v>1025529117.0800002</v>
      </c>
      <c r="AE13" s="294">
        <f>'Reporte Componentes R1'!F520</f>
        <v>-184896511.22999999</v>
      </c>
      <c r="AF13" s="325">
        <f t="shared" si="2"/>
        <v>6817691698.6000004</v>
      </c>
      <c r="AG13" s="526">
        <f>(AF13-O13)</f>
        <v>-9.5367431640625E-7</v>
      </c>
      <c r="AH13" s="308" t="b">
        <f t="shared" si="1"/>
        <v>0</v>
      </c>
      <c r="AI13" s="309"/>
    </row>
    <row r="14" spans="2:35" s="308" customFormat="1" ht="13.5" thickBot="1" x14ac:dyDescent="0.35">
      <c r="B14" s="330"/>
      <c r="C14" s="331" t="s">
        <v>2</v>
      </c>
      <c r="D14" s="293">
        <f>SUM(D9:D13)</f>
        <v>58035821223.690002</v>
      </c>
      <c r="E14" s="293">
        <f t="shared" ref="E14:O14" si="3">SUM(E9:E13)</f>
        <v>3821255329.6300001</v>
      </c>
      <c r="F14" s="293">
        <f t="shared" si="3"/>
        <v>2139260182.6500003</v>
      </c>
      <c r="G14" s="293">
        <f t="shared" ref="G14" si="4">SUM(G9:G13)</f>
        <v>1118653183.53</v>
      </c>
      <c r="H14" s="293">
        <f t="shared" si="3"/>
        <v>15586350771.619999</v>
      </c>
      <c r="I14" s="293">
        <f t="shared" si="3"/>
        <v>577249205.88999999</v>
      </c>
      <c r="J14" s="293">
        <f t="shared" si="3"/>
        <v>-5350444198.3299999</v>
      </c>
      <c r="K14" s="303">
        <f>SUM(K9:K13)</f>
        <v>40143496748.699997</v>
      </c>
      <c r="L14" s="304">
        <f>SUM(L9:L13)</f>
        <v>859936305</v>
      </c>
      <c r="M14" s="305">
        <f t="shared" si="3"/>
        <v>39283560443.699997</v>
      </c>
      <c r="N14" s="304">
        <f t="shared" si="3"/>
        <v>132153361.51999998</v>
      </c>
      <c r="O14" s="305">
        <f t="shared" si="3"/>
        <v>39415713805.220001</v>
      </c>
      <c r="P14" s="332"/>
      <c r="Q14" s="309"/>
      <c r="S14" s="330"/>
      <c r="T14" s="331" t="s">
        <v>2</v>
      </c>
      <c r="U14" s="333">
        <f>SUM(U9:U13)</f>
        <v>5067762088.75</v>
      </c>
      <c r="V14" s="333">
        <f t="shared" ref="V14:AF14" si="5">SUM(V9:V13)</f>
        <v>4984336118.3599997</v>
      </c>
      <c r="W14" s="333">
        <f t="shared" si="5"/>
        <v>24062514867.389999</v>
      </c>
      <c r="X14" s="333">
        <f t="shared" si="5"/>
        <v>9391849568.8299999</v>
      </c>
      <c r="Y14" s="333">
        <f t="shared" si="5"/>
        <v>943224022.51999998</v>
      </c>
      <c r="Z14" s="293">
        <f t="shared" si="5"/>
        <v>-859936305</v>
      </c>
      <c r="AA14" s="293">
        <f t="shared" si="5"/>
        <v>-208413.21000000002</v>
      </c>
      <c r="AB14" s="293">
        <f t="shared" si="5"/>
        <v>132153361.51999998</v>
      </c>
      <c r="AC14" s="293">
        <f>SUM(AC9:AC13)</f>
        <v>19.289999999999964</v>
      </c>
      <c r="AD14" s="293">
        <f>SUM(AD9:AD13)</f>
        <v>-4305981523.2300005</v>
      </c>
      <c r="AE14" s="293">
        <f>SUM(AE9:AE13)</f>
        <v>-9656425721.5599976</v>
      </c>
      <c r="AF14" s="334">
        <f t="shared" si="5"/>
        <v>39415713805.220001</v>
      </c>
      <c r="AG14" s="527">
        <f>SUM(AG9:AG13)</f>
        <v>-2.86102294921875E-6</v>
      </c>
      <c r="AH14" s="308" t="b">
        <f>INT(AG14)=0</f>
        <v>0</v>
      </c>
      <c r="AI14" s="309"/>
    </row>
    <row r="15" spans="2:35" ht="12" thickBot="1" x14ac:dyDescent="0.3">
      <c r="B15" s="2"/>
      <c r="C15" s="2"/>
      <c r="D15" s="24"/>
      <c r="E15" s="24"/>
      <c r="F15" s="24"/>
      <c r="G15" s="24"/>
      <c r="H15" s="24"/>
      <c r="I15" s="24"/>
      <c r="K15" s="24"/>
      <c r="L15" s="24"/>
      <c r="M15" s="24"/>
      <c r="N15" s="24"/>
      <c r="O15" s="24"/>
      <c r="Q15" s="4"/>
      <c r="S15" s="2"/>
      <c r="T15" s="2"/>
      <c r="U15" s="24"/>
      <c r="V15" s="24"/>
      <c r="W15" s="24"/>
      <c r="X15" s="24"/>
      <c r="Y15" s="24"/>
      <c r="AF15" s="24"/>
      <c r="AI15" s="4"/>
    </row>
    <row r="16" spans="2:35" ht="12" thickBot="1" x14ac:dyDescent="0.3">
      <c r="B16" s="2"/>
      <c r="C16" s="2"/>
      <c r="D16" s="24"/>
      <c r="E16" s="24"/>
      <c r="F16" s="24" t="s">
        <v>1</v>
      </c>
      <c r="G16" s="24"/>
      <c r="H16" s="24" t="s">
        <v>1</v>
      </c>
      <c r="I16" s="24"/>
      <c r="K16" s="24"/>
      <c r="L16" s="24"/>
      <c r="M16" s="24"/>
      <c r="N16" s="24"/>
      <c r="O16" s="24"/>
      <c r="Q16" s="4"/>
      <c r="Y16" s="86">
        <f>SUM(U14:Y14)</f>
        <v>44449686665.849998</v>
      </c>
      <c r="AA16" s="1" t="s">
        <v>1</v>
      </c>
      <c r="AB16" s="1" t="s">
        <v>1</v>
      </c>
      <c r="AD16" s="1" t="s">
        <v>1</v>
      </c>
      <c r="AF16" s="1" t="s">
        <v>1</v>
      </c>
      <c r="AI16" s="4"/>
    </row>
    <row r="17" spans="1:35" ht="12" thickBot="1" x14ac:dyDescent="0.3">
      <c r="B17" s="2"/>
      <c r="C17" s="2"/>
      <c r="D17" s="24"/>
      <c r="E17" s="24"/>
      <c r="F17" s="33"/>
      <c r="G17" s="33"/>
      <c r="H17" s="33"/>
      <c r="I17" s="24"/>
      <c r="K17" s="24"/>
      <c r="L17" s="24" t="s">
        <v>1</v>
      </c>
      <c r="M17" s="24"/>
      <c r="N17" s="24"/>
      <c r="O17" s="710"/>
      <c r="Q17" s="4"/>
      <c r="AI17" s="4"/>
    </row>
    <row r="18" spans="1:35" x14ac:dyDescent="0.25">
      <c r="B18" s="2"/>
      <c r="C18" s="2"/>
      <c r="D18" s="24" t="s">
        <v>1</v>
      </c>
      <c r="E18" s="24" t="s">
        <v>1</v>
      </c>
      <c r="F18" s="24" t="s">
        <v>25</v>
      </c>
      <c r="G18" s="24"/>
      <c r="H18" s="24"/>
      <c r="I18" s="24"/>
      <c r="K18" s="24"/>
      <c r="L18" s="24"/>
      <c r="M18" s="24"/>
      <c r="N18" s="24"/>
      <c r="O18" s="24"/>
      <c r="Q18" s="4"/>
      <c r="AI18" s="4"/>
    </row>
    <row r="19" spans="1:35" x14ac:dyDescent="0.25">
      <c r="A19" s="4"/>
      <c r="B19" s="34"/>
      <c r="C19" s="34"/>
      <c r="D19" s="35"/>
      <c r="E19" s="35"/>
      <c r="F19" s="35"/>
      <c r="G19" s="35"/>
      <c r="H19" s="35"/>
      <c r="I19" s="35"/>
      <c r="J19" s="4"/>
      <c r="K19" s="35"/>
      <c r="L19" s="35"/>
      <c r="M19" s="35"/>
      <c r="N19" s="35"/>
      <c r="O19" s="35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277"/>
      <c r="AH19" s="4"/>
      <c r="AI19" s="4"/>
    </row>
    <row r="20" spans="1:35" ht="12" thickBot="1" x14ac:dyDescent="0.3">
      <c r="Q20" s="4"/>
      <c r="AI20" s="4"/>
    </row>
    <row r="21" spans="1:35" x14ac:dyDescent="0.25">
      <c r="B21" s="5"/>
      <c r="C21" s="3" t="s">
        <v>1</v>
      </c>
      <c r="D21" s="6" t="s">
        <v>1</v>
      </c>
      <c r="E21" s="3"/>
      <c r="F21" s="3"/>
      <c r="G21" s="3"/>
      <c r="H21" s="3" t="s">
        <v>1</v>
      </c>
      <c r="I21" s="3"/>
      <c r="J21" s="3"/>
      <c r="K21" s="3"/>
      <c r="L21" s="3"/>
      <c r="M21" s="3"/>
      <c r="N21" s="3"/>
      <c r="O21" s="7"/>
      <c r="P21" s="2"/>
      <c r="Q21" s="4"/>
      <c r="S21" s="5"/>
      <c r="T21" s="3" t="s">
        <v>1</v>
      </c>
      <c r="U21" s="6" t="s">
        <v>1</v>
      </c>
      <c r="V21" s="3"/>
      <c r="W21" s="3"/>
      <c r="X21" s="3" t="s">
        <v>1</v>
      </c>
      <c r="Y21" s="3"/>
      <c r="Z21" s="3"/>
      <c r="AA21" s="3"/>
      <c r="AB21" s="3"/>
      <c r="AC21" s="3"/>
      <c r="AD21" s="3"/>
      <c r="AE21" s="3"/>
      <c r="AF21" s="7"/>
      <c r="AG21" s="275"/>
      <c r="AI21" s="4"/>
    </row>
    <row r="22" spans="1:35" ht="14" x14ac:dyDescent="0.3">
      <c r="B22" s="8"/>
      <c r="F22" s="26" t="s">
        <v>8</v>
      </c>
      <c r="G22" s="26"/>
      <c r="I22" s="26" t="s">
        <v>16</v>
      </c>
      <c r="J22" s="25"/>
      <c r="M22" s="2" t="s">
        <v>15</v>
      </c>
      <c r="N22" s="50">
        <f>N3</f>
        <v>2026071</v>
      </c>
      <c r="O22" s="10"/>
      <c r="P22" s="2"/>
      <c r="Q22" s="4"/>
      <c r="S22" s="8"/>
      <c r="U22" s="26" t="s">
        <v>8</v>
      </c>
      <c r="W22" s="26" t="s">
        <v>16</v>
      </c>
      <c r="X22" s="25"/>
      <c r="Y22" s="2"/>
      <c r="AA22" s="2" t="s">
        <v>15</v>
      </c>
      <c r="AD22" s="84">
        <f>N22</f>
        <v>2026071</v>
      </c>
      <c r="AE22" s="84"/>
      <c r="AF22" s="48"/>
      <c r="AG22" s="275"/>
      <c r="AI22" s="4"/>
    </row>
    <row r="23" spans="1:35" ht="15.5" x14ac:dyDescent="0.35">
      <c r="B23" s="8"/>
      <c r="F23" s="36" t="s">
        <v>29</v>
      </c>
      <c r="G23" s="36"/>
      <c r="O23" s="10"/>
      <c r="P23" s="2"/>
      <c r="Q23" s="4"/>
      <c r="S23" s="8"/>
      <c r="T23" s="26" t="s">
        <v>1</v>
      </c>
      <c r="U23" s="36" t="s">
        <v>29</v>
      </c>
      <c r="Y23" s="2" t="s">
        <v>1</v>
      </c>
      <c r="AA23" s="50" t="s">
        <v>1</v>
      </c>
      <c r="AB23" s="2"/>
      <c r="AC23" s="2"/>
      <c r="AD23" s="2"/>
      <c r="AE23" s="2"/>
      <c r="AF23" s="10" t="s">
        <v>1</v>
      </c>
      <c r="AG23" s="275"/>
      <c r="AI23" s="4"/>
    </row>
    <row r="24" spans="1:35" ht="14" x14ac:dyDescent="0.3">
      <c r="B24" s="8"/>
      <c r="F24" s="2" t="s">
        <v>30</v>
      </c>
      <c r="G24" s="2"/>
      <c r="M24" s="2" t="s">
        <v>1</v>
      </c>
      <c r="O24" s="10"/>
      <c r="P24" s="2"/>
      <c r="Q24" s="4"/>
      <c r="S24" s="8"/>
      <c r="T24" s="49" t="s">
        <v>1</v>
      </c>
      <c r="U24" s="2" t="s">
        <v>30</v>
      </c>
      <c r="AF24" s="44"/>
      <c r="AG24" s="275"/>
      <c r="AI24" s="4"/>
    </row>
    <row r="25" spans="1:35" ht="15.5" x14ac:dyDescent="0.35">
      <c r="B25" s="8"/>
      <c r="C25" s="591" t="s">
        <v>17</v>
      </c>
      <c r="D25" s="9">
        <f>D6</f>
        <v>46220</v>
      </c>
      <c r="F25" s="41" t="s">
        <v>31</v>
      </c>
      <c r="G25" s="41"/>
      <c r="H25" s="2"/>
      <c r="J25" s="2"/>
      <c r="O25" s="10"/>
      <c r="P25" s="2"/>
      <c r="Q25" s="4"/>
      <c r="S25" s="8"/>
      <c r="T25" s="41" t="s">
        <v>1</v>
      </c>
      <c r="U25" s="41" t="s">
        <v>31</v>
      </c>
      <c r="V25" s="2"/>
      <c r="X25" s="2"/>
      <c r="Y25" s="2"/>
      <c r="AF25" s="48"/>
      <c r="AG25" s="275"/>
      <c r="AI25" s="4"/>
    </row>
    <row r="26" spans="1:35" ht="12" thickBot="1" x14ac:dyDescent="0.3">
      <c r="B26" s="8"/>
      <c r="C26" s="591" t="s">
        <v>0</v>
      </c>
      <c r="D26" s="241">
        <f>D7</f>
        <v>0.58333333333333337</v>
      </c>
      <c r="F26" s="2" t="s">
        <v>27</v>
      </c>
      <c r="G26" s="9">
        <f>G7</f>
        <v>46204</v>
      </c>
      <c r="J26" s="2" t="s">
        <v>28</v>
      </c>
      <c r="K26" s="9">
        <f>K7</f>
        <v>46218</v>
      </c>
      <c r="O26" s="10"/>
      <c r="P26" s="2"/>
      <c r="Q26" s="4"/>
      <c r="S26" s="8"/>
      <c r="U26" s="1" t="str">
        <f>F26</f>
        <v>Fecha Desde:</v>
      </c>
      <c r="V26" s="9">
        <f>G26</f>
        <v>46204</v>
      </c>
      <c r="W26" s="1" t="s">
        <v>1</v>
      </c>
      <c r="X26" s="1" t="str">
        <f>J26</f>
        <v>Feha Hasta:</v>
      </c>
      <c r="Y26" s="9">
        <f>K26</f>
        <v>46218</v>
      </c>
      <c r="Z26" s="1" t="s">
        <v>1</v>
      </c>
      <c r="AF26" s="48"/>
      <c r="AG26" s="275"/>
      <c r="AI26" s="4"/>
    </row>
    <row r="27" spans="1:35" ht="72" customHeight="1" thickBot="1" x14ac:dyDescent="0.3">
      <c r="B27" s="11" t="s">
        <v>3</v>
      </c>
      <c r="C27" s="27" t="s">
        <v>9</v>
      </c>
      <c r="D27" s="11" t="s">
        <v>4</v>
      </c>
      <c r="E27" s="12" t="s">
        <v>5</v>
      </c>
      <c r="F27" s="27" t="s">
        <v>6</v>
      </c>
      <c r="G27" s="27" t="s">
        <v>159</v>
      </c>
      <c r="H27" s="27" t="s">
        <v>18</v>
      </c>
      <c r="I27" s="12" t="s">
        <v>24</v>
      </c>
      <c r="J27" s="73" t="s">
        <v>19</v>
      </c>
      <c r="K27" s="29" t="s">
        <v>20</v>
      </c>
      <c r="L27" s="28" t="s">
        <v>21</v>
      </c>
      <c r="M27" s="39" t="s">
        <v>22</v>
      </c>
      <c r="N27" s="12" t="s">
        <v>7</v>
      </c>
      <c r="O27" s="39" t="s">
        <v>23</v>
      </c>
      <c r="P27" s="13"/>
      <c r="Q27" s="4"/>
      <c r="S27" s="11" t="s">
        <v>3</v>
      </c>
      <c r="T27" s="27" t="s">
        <v>9</v>
      </c>
      <c r="U27" s="162" t="s">
        <v>39</v>
      </c>
      <c r="V27" s="163" t="s">
        <v>40</v>
      </c>
      <c r="W27" s="163" t="s">
        <v>41</v>
      </c>
      <c r="X27" s="163" t="s">
        <v>42</v>
      </c>
      <c r="Y27" s="164" t="s">
        <v>43</v>
      </c>
      <c r="Z27" s="85" t="s">
        <v>21</v>
      </c>
      <c r="AA27" s="65" t="s">
        <v>46</v>
      </c>
      <c r="AB27" s="65" t="s">
        <v>7</v>
      </c>
      <c r="AC27" s="85" t="s">
        <v>167</v>
      </c>
      <c r="AD27" s="121" t="s">
        <v>107</v>
      </c>
      <c r="AE27" s="121" t="s">
        <v>225</v>
      </c>
      <c r="AF27" s="39" t="s">
        <v>23</v>
      </c>
      <c r="AG27" s="276"/>
      <c r="AI27" s="4"/>
    </row>
    <row r="28" spans="1:35" s="308" customFormat="1" x14ac:dyDescent="0.25">
      <c r="B28" s="306">
        <v>1</v>
      </c>
      <c r="C28" s="307" t="s">
        <v>10</v>
      </c>
      <c r="D28" s="294">
        <f>'Rem. Anticipos R2'!E41</f>
        <v>54216385.679999992</v>
      </c>
      <c r="E28" s="295">
        <f>'Rem. Anticipos R2'!F41</f>
        <v>3199724.81</v>
      </c>
      <c r="F28" s="295">
        <f>'Rem. Anticipos R2'!G41</f>
        <v>1750220.49</v>
      </c>
      <c r="G28" s="295">
        <f>'Rem. Anticipos R2'!H41</f>
        <v>884286.8</v>
      </c>
      <c r="H28" s="295">
        <f>'Rem. Anticipos R2'!I41</f>
        <v>10375657.93</v>
      </c>
      <c r="I28" s="295">
        <f>'Rem. Anticipos R2'!J41</f>
        <v>292010.17</v>
      </c>
      <c r="J28" s="291">
        <v>0</v>
      </c>
      <c r="K28" s="296">
        <f>D28-E28-F28-G28-H28-I28-J28</f>
        <v>37714485.479999989</v>
      </c>
      <c r="L28" s="297">
        <v>0</v>
      </c>
      <c r="M28" s="296">
        <f>K28-L28</f>
        <v>37714485.479999989</v>
      </c>
      <c r="N28" s="297">
        <f>'Rem. Anticipos R2'!K41</f>
        <v>57261.7</v>
      </c>
      <c r="O28" s="296">
        <f>M28+N28</f>
        <v>37771747.179999992</v>
      </c>
      <c r="Q28" s="309"/>
      <c r="S28" s="306">
        <v>1</v>
      </c>
      <c r="T28" s="307" t="s">
        <v>10</v>
      </c>
      <c r="U28" s="310">
        <f>'Rem. Anticipos R2'!L41</f>
        <v>5143717.24</v>
      </c>
      <c r="V28" s="311">
        <f>'Rem. Anticipos R2'!M41</f>
        <v>4474014.26</v>
      </c>
      <c r="W28" s="311">
        <f>'Rem. Anticipos R2'!N41</f>
        <v>20865910.43</v>
      </c>
      <c r="X28" s="311">
        <f>'Rem. Anticipos R2'!O41</f>
        <v>8759453.5099999998</v>
      </c>
      <c r="Y28" s="311">
        <f>'Rem. Anticipos R2'!P41</f>
        <v>476867.62</v>
      </c>
      <c r="Z28" s="313">
        <f>L28*-1</f>
        <v>0</v>
      </c>
      <c r="AA28" s="314">
        <f>'Rem. Anticipos R2'!Q41</f>
        <v>74762.27</v>
      </c>
      <c r="AB28" s="297">
        <f>N28</f>
        <v>57261.7</v>
      </c>
      <c r="AC28" s="314">
        <f>'Rem. Anticipos R2'!R41</f>
        <v>0</v>
      </c>
      <c r="AD28" s="294">
        <f>-J28+AE28</f>
        <v>-2080239.85</v>
      </c>
      <c r="AE28" s="294">
        <f>'Rem. Anticipos R2'!E42</f>
        <v>-2080239.85</v>
      </c>
      <c r="AF28" s="316">
        <f>SUM(U28:AD28)</f>
        <v>37771747.18</v>
      </c>
      <c r="AG28" s="524">
        <f>(AF28-O28)</f>
        <v>7.4505805969238281E-9</v>
      </c>
      <c r="AH28" s="308" t="b">
        <f>INT(AG28)=0</f>
        <v>1</v>
      </c>
      <c r="AI28" s="309"/>
    </row>
    <row r="29" spans="1:35" s="308" customFormat="1" x14ac:dyDescent="0.25">
      <c r="B29" s="317">
        <v>2</v>
      </c>
      <c r="C29" s="318" t="s">
        <v>11</v>
      </c>
      <c r="D29" s="294">
        <f>'Rem. Anticipos R2'!E135</f>
        <v>79400801.25999999</v>
      </c>
      <c r="E29" s="295">
        <f>'Rem. Anticipos R2'!F135</f>
        <v>7426980.6799999997</v>
      </c>
      <c r="F29" s="295">
        <f>'Rem. Anticipos R2'!G135</f>
        <v>4298990.6500000004</v>
      </c>
      <c r="G29" s="295">
        <f>'Rem. Anticipos R2'!H135</f>
        <v>1689669.08</v>
      </c>
      <c r="H29" s="295">
        <f>'Rem. Anticipos R2'!I135</f>
        <v>27869890.870000001</v>
      </c>
      <c r="I29" s="295">
        <f>'Rem. Anticipos R2'!J135</f>
        <v>994374.59</v>
      </c>
      <c r="J29" s="291">
        <v>0</v>
      </c>
      <c r="K29" s="298">
        <f>D29-E29-F29-G29-H29-I29-J29</f>
        <v>37120895.389999971</v>
      </c>
      <c r="L29" s="297">
        <v>0</v>
      </c>
      <c r="M29" s="298">
        <f>K29-L29</f>
        <v>37120895.389999971</v>
      </c>
      <c r="N29" s="297">
        <f>'Rem. Anticipos R2'!K135</f>
        <v>0</v>
      </c>
      <c r="O29" s="298">
        <f t="shared" ref="O29:O32" si="6">M29+N29</f>
        <v>37120895.389999971</v>
      </c>
      <c r="Q29" s="309"/>
      <c r="S29" s="317">
        <v>2</v>
      </c>
      <c r="T29" s="318" t="s">
        <v>11</v>
      </c>
      <c r="U29" s="319">
        <f>'Rem. Anticipos R2'!L135</f>
        <v>10168914.42</v>
      </c>
      <c r="V29" s="320">
        <f>'Rem. Anticipos R2'!M135</f>
        <v>8410867.5500000007</v>
      </c>
      <c r="W29" s="320">
        <f>'Rem. Anticipos R2'!N135</f>
        <v>35498786.119999997</v>
      </c>
      <c r="X29" s="320">
        <f>'Rem. Anticipos R2'!O135</f>
        <v>15170993.98</v>
      </c>
      <c r="Y29" s="321">
        <f>'Rem. Anticipos R2'!P135</f>
        <v>1203786.2</v>
      </c>
      <c r="Z29" s="322">
        <f>L29*-1</f>
        <v>0</v>
      </c>
      <c r="AA29" s="323">
        <f>'Rem. Anticipos R2'!Q135</f>
        <v>123.41</v>
      </c>
      <c r="AB29" s="297">
        <f>N29</f>
        <v>0</v>
      </c>
      <c r="AC29" s="323">
        <f>'Rem. Anticipos R2'!R135</f>
        <v>0</v>
      </c>
      <c r="AD29" s="294">
        <f>-J29+AE29</f>
        <v>-33332576.289999999</v>
      </c>
      <c r="AE29" s="294">
        <f>'Rem. Anticipos R2'!E136</f>
        <v>-33332576.289999999</v>
      </c>
      <c r="AF29" s="325">
        <f>SUM(U29:AD29)</f>
        <v>37120895.389999993</v>
      </c>
      <c r="AG29" s="525">
        <f>(AF29-O29)</f>
        <v>2.2351741790771484E-8</v>
      </c>
      <c r="AH29" s="308" t="b">
        <f t="shared" ref="AH29:AH32" si="7">INT(AG29)=0</f>
        <v>1</v>
      </c>
      <c r="AI29" s="309"/>
    </row>
    <row r="30" spans="1:35" s="308" customFormat="1" x14ac:dyDescent="0.25">
      <c r="B30" s="317">
        <v>3</v>
      </c>
      <c r="C30" s="318" t="s">
        <v>12</v>
      </c>
      <c r="D30" s="294">
        <f>'Rem. Anticipos R2'!E247</f>
        <v>31111803.75</v>
      </c>
      <c r="E30" s="295">
        <f>'Rem. Anticipos R2'!F247</f>
        <v>2080581.84</v>
      </c>
      <c r="F30" s="295">
        <f>'Rem. Anticipos R2'!G247</f>
        <v>1197235.9099999999</v>
      </c>
      <c r="G30" s="295">
        <f>'Rem. Anticipos R2'!H247</f>
        <v>507278.7</v>
      </c>
      <c r="H30" s="295">
        <f>'Rem. Anticipos R2'!I247</f>
        <v>6892671.1900000004</v>
      </c>
      <c r="I30" s="295">
        <f>'Rem. Anticipos R2'!J247</f>
        <v>265030.34000000003</v>
      </c>
      <c r="J30" s="291">
        <v>0</v>
      </c>
      <c r="K30" s="298">
        <f t="shared" ref="K30:K31" si="8">D30-E30-F30-G30-H30-I30-J30</f>
        <v>20169005.77</v>
      </c>
      <c r="L30" s="297">
        <v>0</v>
      </c>
      <c r="M30" s="298">
        <f>K30-L30</f>
        <v>20169005.77</v>
      </c>
      <c r="N30" s="297">
        <f>'Rem. Anticipos R2'!K247</f>
        <v>0</v>
      </c>
      <c r="O30" s="298">
        <f t="shared" si="6"/>
        <v>20169005.77</v>
      </c>
      <c r="Q30" s="309"/>
      <c r="S30" s="317">
        <v>3</v>
      </c>
      <c r="T30" s="318" t="s">
        <v>12</v>
      </c>
      <c r="U30" s="319">
        <f>'Rem. Anticipos R2'!L247</f>
        <v>2692006.63</v>
      </c>
      <c r="V30" s="320">
        <f>'Rem. Anticipos R2'!M247</f>
        <v>2314780.5099999998</v>
      </c>
      <c r="W30" s="320">
        <f>'Rem. Anticipos R2'!N247</f>
        <v>10535561.560000001</v>
      </c>
      <c r="X30" s="320">
        <f>'Rem. Anticipos R2'!O247</f>
        <v>4977155.01</v>
      </c>
      <c r="Y30" s="321">
        <f>'Rem. Anticipos R2'!P247</f>
        <v>365457.45</v>
      </c>
      <c r="Z30" s="322">
        <f>L30*-1</f>
        <v>0</v>
      </c>
      <c r="AA30" s="323">
        <f>'Rem. Anticipos R2'!Q247</f>
        <v>324.25</v>
      </c>
      <c r="AB30" s="297">
        <f>N30</f>
        <v>0</v>
      </c>
      <c r="AC30" s="323">
        <f>'Rem. Anticipos R2'!R247</f>
        <v>0</v>
      </c>
      <c r="AD30" s="294">
        <f t="shared" ref="AD30:AD32" si="9">-J30+AE30</f>
        <v>-716279.64</v>
      </c>
      <c r="AE30" s="294">
        <f>'Rem. Anticipos R2'!E248</f>
        <v>-716279.64</v>
      </c>
      <c r="AF30" s="325">
        <f>SUM(U30:AD30)</f>
        <v>20169005.77</v>
      </c>
      <c r="AG30" s="525">
        <f t="shared" ref="AG30:AG31" si="10">(AF30-O30)</f>
        <v>0</v>
      </c>
      <c r="AH30" s="308" t="b">
        <f t="shared" si="7"/>
        <v>1</v>
      </c>
      <c r="AI30" s="309"/>
    </row>
    <row r="31" spans="1:35" s="308" customFormat="1" x14ac:dyDescent="0.25">
      <c r="B31" s="317">
        <v>4</v>
      </c>
      <c r="C31" s="318" t="s">
        <v>13</v>
      </c>
      <c r="D31" s="294">
        <f>'Rem. Anticipos R2'!E343</f>
        <v>17236000.330000002</v>
      </c>
      <c r="E31" s="295">
        <f>'Rem. Anticipos R2'!F343</f>
        <v>1160186.1499999999</v>
      </c>
      <c r="F31" s="295">
        <f>'Rem. Anticipos R2'!G343</f>
        <v>673044.71</v>
      </c>
      <c r="G31" s="295">
        <f>'Rem. Anticipos R2'!H343</f>
        <v>276501.18</v>
      </c>
      <c r="H31" s="295">
        <f>'Rem. Anticipos R2'!I343</f>
        <v>3666021.92</v>
      </c>
      <c r="I31" s="295">
        <f>'Rem. Anticipos R2'!J343</f>
        <v>145285.35999999999</v>
      </c>
      <c r="J31" s="291">
        <v>0</v>
      </c>
      <c r="K31" s="298">
        <f t="shared" si="8"/>
        <v>11314961.010000004</v>
      </c>
      <c r="L31" s="297">
        <v>0</v>
      </c>
      <c r="M31" s="298">
        <f>K31-L31</f>
        <v>11314961.010000004</v>
      </c>
      <c r="N31" s="297">
        <f>'Rem. Anticipos R2'!K343</f>
        <v>0</v>
      </c>
      <c r="O31" s="298">
        <f t="shared" si="6"/>
        <v>11314961.010000004</v>
      </c>
      <c r="Q31" s="309"/>
      <c r="S31" s="317">
        <v>4</v>
      </c>
      <c r="T31" s="318" t="s">
        <v>13</v>
      </c>
      <c r="U31" s="319">
        <f>'Rem. Anticipos R2'!L343</f>
        <v>1457671.06</v>
      </c>
      <c r="V31" s="320">
        <f>'Rem. Anticipos R2'!M343</f>
        <v>1215190.94</v>
      </c>
      <c r="W31" s="320">
        <f>'Rem. Anticipos R2'!N343</f>
        <v>5739976.4500000002</v>
      </c>
      <c r="X31" s="320">
        <f>'Rem. Anticipos R2'!O343</f>
        <v>3143067.59</v>
      </c>
      <c r="Y31" s="321">
        <f>'Rem. Anticipos R2'!P343</f>
        <v>193988.62</v>
      </c>
      <c r="Z31" s="322">
        <f>L31*-1</f>
        <v>0</v>
      </c>
      <c r="AA31" s="323">
        <f>'Rem. Anticipos R2'!Q343</f>
        <v>158.09</v>
      </c>
      <c r="AB31" s="297">
        <f>N31</f>
        <v>0</v>
      </c>
      <c r="AC31" s="323">
        <f>'Rem. Anticipos R2'!R343</f>
        <v>0</v>
      </c>
      <c r="AD31" s="294">
        <f t="shared" si="9"/>
        <v>-435091.74</v>
      </c>
      <c r="AE31" s="294">
        <f>'Rem. Anticipos R2'!E344</f>
        <v>-435091.74</v>
      </c>
      <c r="AF31" s="325">
        <f>SUM(U31:AD31)</f>
        <v>11314961.009999998</v>
      </c>
      <c r="AG31" s="525">
        <f t="shared" si="10"/>
        <v>-5.5879354476928711E-9</v>
      </c>
      <c r="AH31" s="308" t="b">
        <f t="shared" si="7"/>
        <v>0</v>
      </c>
      <c r="AI31" s="309"/>
    </row>
    <row r="32" spans="1:35" s="308" customFormat="1" ht="12" thickBot="1" x14ac:dyDescent="0.3">
      <c r="B32" s="327">
        <v>5</v>
      </c>
      <c r="C32" s="328" t="s">
        <v>14</v>
      </c>
      <c r="D32" s="299">
        <f>'Rem. Anticipos R2'!E413</f>
        <v>30774154.23</v>
      </c>
      <c r="E32" s="300">
        <f>'Rem. Anticipos R2'!F413</f>
        <v>2142757.85</v>
      </c>
      <c r="F32" s="300">
        <f>'Rem. Anticipos R2'!G413</f>
        <v>1217701.3700000001</v>
      </c>
      <c r="G32" s="300">
        <f>'Rem. Anticipos R2'!H413</f>
        <v>530191.01</v>
      </c>
      <c r="H32" s="300">
        <f>'Rem. Anticipos R2'!I413</f>
        <v>7032005.79</v>
      </c>
      <c r="I32" s="300">
        <f>'Rem. Anticipos R2'!J413</f>
        <v>237434.2</v>
      </c>
      <c r="J32" s="292">
        <v>0</v>
      </c>
      <c r="K32" s="298">
        <f>D32-E32-F32-G32-H32-I32-J32</f>
        <v>19614064.009999998</v>
      </c>
      <c r="L32" s="297">
        <v>0</v>
      </c>
      <c r="M32" s="301">
        <f>K32-L32</f>
        <v>19614064.009999998</v>
      </c>
      <c r="N32" s="302">
        <f>'Rem. Anticipos R2'!K413</f>
        <v>308996.90999999997</v>
      </c>
      <c r="O32" s="301">
        <f t="shared" si="6"/>
        <v>19923060.919999998</v>
      </c>
      <c r="Q32" s="309"/>
      <c r="S32" s="327">
        <v>5</v>
      </c>
      <c r="T32" s="328" t="s">
        <v>14</v>
      </c>
      <c r="U32" s="299">
        <f>'Rem. Anticipos R2'!L413</f>
        <v>2755023.86</v>
      </c>
      <c r="V32" s="300">
        <f>'Rem. Anticipos R2'!M413</f>
        <v>2156919.75</v>
      </c>
      <c r="W32" s="300">
        <f>'Rem. Anticipos R2'!N413</f>
        <v>10532773.32</v>
      </c>
      <c r="X32" s="300">
        <f>'Rem. Anticipos R2'!O413</f>
        <v>6552890.9299999997</v>
      </c>
      <c r="Y32" s="292">
        <f>'Rem. Anticipos R2'!P413</f>
        <v>342253.62</v>
      </c>
      <c r="Z32" s="322">
        <f>L32*-1</f>
        <v>0</v>
      </c>
      <c r="AA32" s="323">
        <f>'Rem. Anticipos R2'!Q413</f>
        <v>-344.22</v>
      </c>
      <c r="AB32" s="297">
        <f>N32</f>
        <v>308996.90999999997</v>
      </c>
      <c r="AC32" s="323">
        <f>'Rem. Anticipos R2'!R413</f>
        <v>0</v>
      </c>
      <c r="AD32" s="294">
        <f t="shared" si="9"/>
        <v>-2725453.25</v>
      </c>
      <c r="AE32" s="294">
        <f>'Rem. Anticipos R2'!E414</f>
        <v>-2725453.25</v>
      </c>
      <c r="AF32" s="325">
        <f>SUM(U32:AD32)</f>
        <v>19923060.920000002</v>
      </c>
      <c r="AG32" s="526">
        <f>(AF32-O32)</f>
        <v>3.7252902984619141E-9</v>
      </c>
      <c r="AH32" s="308" t="b">
        <f t="shared" si="7"/>
        <v>1</v>
      </c>
      <c r="AI32" s="309"/>
    </row>
    <row r="33" spans="1:35" s="308" customFormat="1" ht="13.5" thickBot="1" x14ac:dyDescent="0.35">
      <c r="B33" s="330"/>
      <c r="C33" s="331" t="s">
        <v>2</v>
      </c>
      <c r="D33" s="293">
        <f>SUM(D28:D32)</f>
        <v>212739145.25</v>
      </c>
      <c r="E33" s="293">
        <f>SUM(E28:E32)</f>
        <v>16010231.33</v>
      </c>
      <c r="F33" s="293">
        <f t="shared" ref="F33:O33" si="11">SUM(F28:F32)</f>
        <v>9137193.1300000008</v>
      </c>
      <c r="G33" s="293">
        <f t="shared" ref="G33" si="12">SUM(G28:G32)</f>
        <v>3887926.7700000005</v>
      </c>
      <c r="H33" s="293">
        <f t="shared" si="11"/>
        <v>55836247.699999996</v>
      </c>
      <c r="I33" s="293">
        <f t="shared" si="11"/>
        <v>1934134.66</v>
      </c>
      <c r="J33" s="293">
        <f t="shared" si="11"/>
        <v>0</v>
      </c>
      <c r="K33" s="303">
        <f t="shared" si="11"/>
        <v>125933411.65999997</v>
      </c>
      <c r="L33" s="304">
        <f t="shared" si="11"/>
        <v>0</v>
      </c>
      <c r="M33" s="305">
        <f t="shared" si="11"/>
        <v>125933411.65999997</v>
      </c>
      <c r="N33" s="304">
        <f t="shared" si="11"/>
        <v>366258.61</v>
      </c>
      <c r="O33" s="305">
        <f t="shared" si="11"/>
        <v>126299670.26999997</v>
      </c>
      <c r="P33" s="332"/>
      <c r="Q33" s="309"/>
      <c r="S33" s="330"/>
      <c r="T33" s="331" t="s">
        <v>2</v>
      </c>
      <c r="U33" s="333">
        <f>SUM(U28:U32)</f>
        <v>22217333.209999997</v>
      </c>
      <c r="V33" s="333">
        <f t="shared" ref="V33:AF33" si="13">SUM(V28:V32)</f>
        <v>18571773.009999998</v>
      </c>
      <c r="W33" s="333">
        <f t="shared" si="13"/>
        <v>83173007.879999995</v>
      </c>
      <c r="X33" s="333">
        <f t="shared" si="13"/>
        <v>38603561.019999996</v>
      </c>
      <c r="Y33" s="333">
        <f t="shared" si="13"/>
        <v>2582353.5099999998</v>
      </c>
      <c r="Z33" s="293">
        <f t="shared" si="13"/>
        <v>0</v>
      </c>
      <c r="AA33" s="293">
        <f t="shared" si="13"/>
        <v>75023.8</v>
      </c>
      <c r="AB33" s="293">
        <f t="shared" si="13"/>
        <v>366258.61</v>
      </c>
      <c r="AC33" s="293">
        <f t="shared" ref="AC33" si="14">SUM(AC28:AC32)</f>
        <v>0</v>
      </c>
      <c r="AD33" s="293">
        <f>SUM(AD28:AD32)</f>
        <v>-39289640.770000003</v>
      </c>
      <c r="AE33" s="293">
        <f>SUM(AE28:AE32)</f>
        <v>-39289640.770000003</v>
      </c>
      <c r="AF33" s="334">
        <f t="shared" si="13"/>
        <v>126299670.27</v>
      </c>
      <c r="AG33" s="527">
        <f t="shared" ref="AG33" si="15">SUM(AG28:AG32)</f>
        <v>2.7939677238464355E-8</v>
      </c>
      <c r="AH33" s="308" t="b">
        <f>INT(AG33)=0</f>
        <v>1</v>
      </c>
      <c r="AI33" s="309"/>
    </row>
    <row r="34" spans="1:35" ht="12" thickBot="1" x14ac:dyDescent="0.3">
      <c r="B34" s="2"/>
      <c r="C34" s="2"/>
      <c r="D34" s="24"/>
      <c r="E34" s="24"/>
      <c r="F34" s="24"/>
      <c r="G34" s="24"/>
      <c r="H34" s="24"/>
      <c r="I34" s="24"/>
      <c r="K34" s="24"/>
      <c r="L34" s="24"/>
      <c r="M34" s="24"/>
      <c r="N34" s="24"/>
      <c r="O34" s="24"/>
      <c r="Q34" s="4"/>
      <c r="S34" s="2"/>
      <c r="T34" s="2"/>
      <c r="U34" s="24"/>
      <c r="V34" s="24"/>
      <c r="W34" s="24"/>
      <c r="X34" s="24"/>
      <c r="Y34" s="24"/>
      <c r="AF34" s="24"/>
      <c r="AI34" s="4"/>
    </row>
    <row r="35" spans="1:35" ht="12" thickBot="1" x14ac:dyDescent="0.3">
      <c r="B35" s="2"/>
      <c r="C35" s="2"/>
      <c r="D35" s="24" t="s">
        <v>1</v>
      </c>
      <c r="E35" s="24"/>
      <c r="F35" s="24"/>
      <c r="G35" s="24"/>
      <c r="H35" s="24"/>
      <c r="I35" s="24"/>
      <c r="K35" s="24"/>
      <c r="L35" s="24"/>
      <c r="M35" s="24"/>
      <c r="N35" s="24"/>
      <c r="O35" s="24"/>
      <c r="Q35" s="4"/>
      <c r="Y35" s="86">
        <f>SUM(U33:Y33)</f>
        <v>165148028.63</v>
      </c>
      <c r="AA35" s="1" t="s">
        <v>1</v>
      </c>
      <c r="AB35" s="1" t="s">
        <v>1</v>
      </c>
      <c r="AD35" s="1" t="s">
        <v>1</v>
      </c>
      <c r="AF35" s="1" t="s">
        <v>1</v>
      </c>
      <c r="AI35" s="4"/>
    </row>
    <row r="36" spans="1:35" ht="12" thickBot="1" x14ac:dyDescent="0.3">
      <c r="B36" s="2"/>
      <c r="C36" s="2"/>
      <c r="D36" s="24" t="s">
        <v>1</v>
      </c>
      <c r="E36" s="33"/>
      <c r="F36" s="33"/>
      <c r="G36" s="33"/>
      <c r="H36" s="33"/>
      <c r="I36" s="24"/>
      <c r="K36" s="24"/>
      <c r="L36" s="24"/>
      <c r="M36" s="24"/>
      <c r="N36" s="24"/>
      <c r="O36" s="24"/>
      <c r="Q36" s="4"/>
      <c r="AI36" s="4"/>
    </row>
    <row r="37" spans="1:35" x14ac:dyDescent="0.25">
      <c r="B37" s="2"/>
      <c r="C37" s="2"/>
      <c r="D37" s="24" t="s">
        <v>1</v>
      </c>
      <c r="E37" s="24" t="s">
        <v>1</v>
      </c>
      <c r="F37" s="24" t="s">
        <v>25</v>
      </c>
      <c r="G37" s="24"/>
      <c r="H37" s="24"/>
      <c r="I37" s="24"/>
      <c r="K37" s="24"/>
      <c r="L37" s="24"/>
      <c r="M37" s="24"/>
      <c r="N37" s="24"/>
      <c r="O37" s="24"/>
      <c r="Q37" s="4"/>
      <c r="AI37" s="4"/>
    </row>
    <row r="38" spans="1:35" x14ac:dyDescent="0.25">
      <c r="A38" s="4"/>
      <c r="B38" s="34"/>
      <c r="C38" s="34"/>
      <c r="D38" s="35"/>
      <c r="E38" s="35"/>
      <c r="F38" s="35"/>
      <c r="G38" s="35"/>
      <c r="H38" s="35"/>
      <c r="I38" s="35"/>
      <c r="J38" s="4"/>
      <c r="K38" s="35"/>
      <c r="L38" s="35"/>
      <c r="M38" s="35"/>
      <c r="N38" s="35"/>
      <c r="O38" s="35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277"/>
      <c r="AH38" s="4"/>
      <c r="AI38" s="4"/>
    </row>
    <row r="39" spans="1:35" ht="12" thickBot="1" x14ac:dyDescent="0.3">
      <c r="Q39" s="4"/>
      <c r="AI39" s="4"/>
    </row>
    <row r="40" spans="1:35" x14ac:dyDescent="0.25">
      <c r="B40" s="5"/>
      <c r="C40" s="3" t="s">
        <v>1</v>
      </c>
      <c r="D40" s="6" t="s">
        <v>1</v>
      </c>
      <c r="E40" s="3"/>
      <c r="F40" s="3"/>
      <c r="G40" s="3"/>
      <c r="H40" s="3" t="s">
        <v>1</v>
      </c>
      <c r="I40" s="3"/>
      <c r="J40" s="3"/>
      <c r="K40" s="3"/>
      <c r="L40" s="3"/>
      <c r="M40" s="3"/>
      <c r="N40" s="3"/>
      <c r="O40" s="7"/>
      <c r="P40" s="2"/>
      <c r="Q40" s="4"/>
      <c r="S40" s="5"/>
      <c r="T40" s="3" t="s">
        <v>1</v>
      </c>
      <c r="U40" s="6" t="s">
        <v>1</v>
      </c>
      <c r="V40" s="3"/>
      <c r="W40" s="3"/>
      <c r="X40" s="3" t="s">
        <v>1</v>
      </c>
      <c r="Y40" s="3"/>
      <c r="Z40" s="3"/>
      <c r="AA40" s="3"/>
      <c r="AB40" s="3"/>
      <c r="AC40" s="3"/>
      <c r="AD40" s="3"/>
      <c r="AE40" s="3"/>
      <c r="AF40" s="7"/>
      <c r="AG40" s="275"/>
      <c r="AI40" s="4"/>
    </row>
    <row r="41" spans="1:35" ht="14" x14ac:dyDescent="0.3">
      <c r="B41" s="8"/>
      <c r="F41" s="26" t="s">
        <v>8</v>
      </c>
      <c r="G41" s="26"/>
      <c r="I41" s="26" t="s">
        <v>16</v>
      </c>
      <c r="J41" s="25"/>
      <c r="M41" s="2" t="s">
        <v>15</v>
      </c>
      <c r="N41" s="50">
        <f>N3</f>
        <v>2026071</v>
      </c>
      <c r="O41" s="10"/>
      <c r="P41" s="2"/>
      <c r="Q41" s="4"/>
      <c r="S41" s="8"/>
      <c r="U41" s="26" t="s">
        <v>8</v>
      </c>
      <c r="W41" s="26" t="s">
        <v>16</v>
      </c>
      <c r="X41" s="25"/>
      <c r="Y41" s="2"/>
      <c r="AA41" s="2" t="s">
        <v>15</v>
      </c>
      <c r="AD41" s="84">
        <f>N41</f>
        <v>2026071</v>
      </c>
      <c r="AE41" s="84"/>
      <c r="AF41" s="48"/>
      <c r="AG41" s="275"/>
      <c r="AI41" s="4"/>
    </row>
    <row r="42" spans="1:35" ht="15.5" x14ac:dyDescent="0.35">
      <c r="B42" s="8"/>
      <c r="F42" s="36" t="s">
        <v>29</v>
      </c>
      <c r="G42" s="36"/>
      <c r="O42" s="10"/>
      <c r="P42" s="2"/>
      <c r="Q42" s="4"/>
      <c r="S42" s="8"/>
      <c r="T42" s="26" t="s">
        <v>1</v>
      </c>
      <c r="U42" s="36" t="s">
        <v>29</v>
      </c>
      <c r="Y42" s="2" t="s">
        <v>1</v>
      </c>
      <c r="AA42" s="50" t="s">
        <v>1</v>
      </c>
      <c r="AB42" s="2"/>
      <c r="AC42" s="2"/>
      <c r="AD42" s="2"/>
      <c r="AE42" s="2"/>
      <c r="AF42" s="10" t="s">
        <v>1</v>
      </c>
      <c r="AG42" s="275"/>
      <c r="AI42" s="4"/>
    </row>
    <row r="43" spans="1:35" ht="14" x14ac:dyDescent="0.3">
      <c r="B43" s="8"/>
      <c r="F43" s="2" t="s">
        <v>30</v>
      </c>
      <c r="G43" s="2"/>
      <c r="M43" s="2" t="s">
        <v>1</v>
      </c>
      <c r="O43" s="10"/>
      <c r="P43" s="2"/>
      <c r="Q43" s="4"/>
      <c r="S43" s="8"/>
      <c r="T43" s="49" t="s">
        <v>1</v>
      </c>
      <c r="U43" s="2" t="s">
        <v>30</v>
      </c>
      <c r="AF43" s="44"/>
      <c r="AG43" s="275"/>
      <c r="AI43" s="4"/>
    </row>
    <row r="44" spans="1:35" ht="15.5" x14ac:dyDescent="0.35">
      <c r="B44" s="8"/>
      <c r="C44" s="591" t="s">
        <v>17</v>
      </c>
      <c r="D44" s="9">
        <f>D6</f>
        <v>46220</v>
      </c>
      <c r="F44" s="41" t="s">
        <v>32</v>
      </c>
      <c r="G44" s="41"/>
      <c r="H44" s="2"/>
      <c r="J44" s="2"/>
      <c r="O44" s="10"/>
      <c r="P44" s="2"/>
      <c r="Q44" s="4"/>
      <c r="S44" s="8"/>
      <c r="T44" s="41" t="s">
        <v>1</v>
      </c>
      <c r="U44" s="41" t="s">
        <v>32</v>
      </c>
      <c r="V44" s="2"/>
      <c r="X44" s="2"/>
      <c r="Y44" s="2"/>
      <c r="AF44" s="48"/>
      <c r="AG44" s="275"/>
      <c r="AI44" s="4"/>
    </row>
    <row r="45" spans="1:35" ht="12" thickBot="1" x14ac:dyDescent="0.3">
      <c r="B45" s="8"/>
      <c r="C45" s="591" t="s">
        <v>0</v>
      </c>
      <c r="D45" s="241">
        <f>D7</f>
        <v>0.58333333333333337</v>
      </c>
      <c r="F45" s="2" t="s">
        <v>27</v>
      </c>
      <c r="G45" s="9">
        <f>G7</f>
        <v>46204</v>
      </c>
      <c r="J45" s="2" t="s">
        <v>28</v>
      </c>
      <c r="K45" s="9">
        <f>K7</f>
        <v>46218</v>
      </c>
      <c r="O45" s="10"/>
      <c r="P45" s="2"/>
      <c r="Q45" s="4"/>
      <c r="S45" s="8"/>
      <c r="U45" s="1" t="str">
        <f>F45</f>
        <v>Fecha Desde:</v>
      </c>
      <c r="V45" s="9">
        <f>G45</f>
        <v>46204</v>
      </c>
      <c r="W45" s="1" t="s">
        <v>1</v>
      </c>
      <c r="X45" s="1" t="str">
        <f>J45</f>
        <v>Feha Hasta:</v>
      </c>
      <c r="Y45" s="9">
        <f>K45</f>
        <v>46218</v>
      </c>
      <c r="Z45" s="1" t="s">
        <v>1</v>
      </c>
      <c r="AF45" s="48"/>
      <c r="AG45" s="275"/>
      <c r="AI45" s="4"/>
    </row>
    <row r="46" spans="1:35" ht="72" customHeight="1" thickBot="1" x14ac:dyDescent="0.3">
      <c r="B46" s="11" t="s">
        <v>3</v>
      </c>
      <c r="C46" s="27" t="s">
        <v>9</v>
      </c>
      <c r="D46" s="11" t="s">
        <v>4</v>
      </c>
      <c r="E46" s="12" t="s">
        <v>5</v>
      </c>
      <c r="F46" s="27" t="s">
        <v>6</v>
      </c>
      <c r="G46" s="27" t="s">
        <v>159</v>
      </c>
      <c r="H46" s="27" t="s">
        <v>18</v>
      </c>
      <c r="I46" s="12" t="s">
        <v>24</v>
      </c>
      <c r="J46" s="73" t="s">
        <v>19</v>
      </c>
      <c r="K46" s="29" t="s">
        <v>20</v>
      </c>
      <c r="L46" s="28" t="s">
        <v>21</v>
      </c>
      <c r="M46" s="39" t="s">
        <v>22</v>
      </c>
      <c r="N46" s="12" t="s">
        <v>7</v>
      </c>
      <c r="O46" s="39" t="s">
        <v>23</v>
      </c>
      <c r="P46" s="13"/>
      <c r="Q46" s="4"/>
      <c r="S46" s="11" t="s">
        <v>3</v>
      </c>
      <c r="T46" s="27" t="s">
        <v>9</v>
      </c>
      <c r="U46" s="162" t="s">
        <v>39</v>
      </c>
      <c r="V46" s="163" t="s">
        <v>40</v>
      </c>
      <c r="W46" s="163" t="s">
        <v>41</v>
      </c>
      <c r="X46" s="163" t="s">
        <v>42</v>
      </c>
      <c r="Y46" s="164" t="s">
        <v>43</v>
      </c>
      <c r="Z46" s="85" t="s">
        <v>21</v>
      </c>
      <c r="AA46" s="65" t="s">
        <v>46</v>
      </c>
      <c r="AB46" s="65" t="s">
        <v>7</v>
      </c>
      <c r="AC46" s="85" t="s">
        <v>167</v>
      </c>
      <c r="AD46" s="121" t="s">
        <v>107</v>
      </c>
      <c r="AE46" s="121" t="s">
        <v>225</v>
      </c>
      <c r="AF46" s="39" t="s">
        <v>23</v>
      </c>
      <c r="AG46" s="276"/>
      <c r="AI46" s="4"/>
    </row>
    <row r="47" spans="1:35" s="308" customFormat="1" x14ac:dyDescent="0.25">
      <c r="B47" s="306">
        <v>1</v>
      </c>
      <c r="C47" s="307" t="s">
        <v>10</v>
      </c>
      <c r="D47" s="294">
        <f>'Reporte Componentes R1'!F48</f>
        <v>11673020</v>
      </c>
      <c r="E47" s="295">
        <f>'Reporte Componentes R1'!G48</f>
        <v>1241820.9099999999</v>
      </c>
      <c r="F47" s="295">
        <f>'Reporte Componentes R1'!H48</f>
        <v>701209.88</v>
      </c>
      <c r="G47" s="295">
        <f>'Reporte Componentes R1'!I48</f>
        <v>369347.71</v>
      </c>
      <c r="H47" s="295">
        <f>'Reporte Componentes R1'!J48</f>
        <v>164355.72</v>
      </c>
      <c r="I47" s="295">
        <f>'Reporte Componentes R1'!K48</f>
        <v>5918.58</v>
      </c>
      <c r="J47" s="291">
        <v>0</v>
      </c>
      <c r="K47" s="296">
        <f>D47-E47-F47-G47-H47-I47-J47</f>
        <v>9190367.1999999974</v>
      </c>
      <c r="L47" s="297">
        <v>0</v>
      </c>
      <c r="M47" s="296">
        <f>K47-L47</f>
        <v>9190367.1999999974</v>
      </c>
      <c r="N47" s="297">
        <f>'Reporte Componentes R1'!L48</f>
        <v>0</v>
      </c>
      <c r="O47" s="296">
        <f>M47+N47</f>
        <v>9190367.1999999974</v>
      </c>
      <c r="Q47" s="309"/>
      <c r="S47" s="306">
        <v>1</v>
      </c>
      <c r="T47" s="307" t="s">
        <v>10</v>
      </c>
      <c r="U47" s="310">
        <f>'Reporte Componentes R1'!M48</f>
        <v>51916.98</v>
      </c>
      <c r="V47" s="311">
        <f>'Reporte Componentes R1'!N48</f>
        <v>67675.100000000006</v>
      </c>
      <c r="W47" s="311">
        <f>'Reporte Componentes R1'!O48</f>
        <v>316052.37</v>
      </c>
      <c r="X47" s="311">
        <f>'Reporte Componentes R1'!P48</f>
        <v>3403574.07</v>
      </c>
      <c r="Y47" s="312">
        <f>'Reporte Componentes R1'!Q48</f>
        <v>9656.44</v>
      </c>
      <c r="Z47" s="313">
        <f>-L47</f>
        <v>0</v>
      </c>
      <c r="AA47" s="323">
        <f>'Reporte Componentes R1'!R48+'Reporte Componentes R1'!V48+'Reporte Componentes R1'!U48</f>
        <v>-12.39</v>
      </c>
      <c r="AB47" s="297">
        <f>N47</f>
        <v>0</v>
      </c>
      <c r="AC47" s="314">
        <f>'Reporte Componentes R1'!T48+'Reporte Componentes R1'!W48+'Reporte Componentes R1'!X48+'Reporte Componentes R1'!Y48+'Reporte Componentes R1'!Z48+'Reporte Componentes R1'!S48</f>
        <v>0</v>
      </c>
      <c r="AD47" s="294">
        <f>-J47+AE47</f>
        <v>5341504.63</v>
      </c>
      <c r="AE47" s="294">
        <f>'Reporte Componentes R1'!F49</f>
        <v>5341504.63</v>
      </c>
      <c r="AF47" s="316">
        <f>SUM(U47:AD47)</f>
        <v>9190367.1999999993</v>
      </c>
      <c r="AG47" s="524">
        <f>(AF47-O47)</f>
        <v>1.862645149230957E-9</v>
      </c>
      <c r="AH47" s="308" t="b">
        <f>INT(AG47)=0</f>
        <v>1</v>
      </c>
      <c r="AI47" s="309"/>
    </row>
    <row r="48" spans="1:35" s="308" customFormat="1" x14ac:dyDescent="0.25">
      <c r="B48" s="317">
        <v>2</v>
      </c>
      <c r="C48" s="318" t="s">
        <v>11</v>
      </c>
      <c r="D48" s="294">
        <f>'Reporte Componentes R1'!F178</f>
        <v>0</v>
      </c>
      <c r="E48" s="295">
        <f>'Reporte Componentes R1'!G178</f>
        <v>0</v>
      </c>
      <c r="F48" s="295">
        <f>'Reporte Componentes R1'!H178</f>
        <v>0</v>
      </c>
      <c r="G48" s="295">
        <f>'Reporte Componentes R1'!I178</f>
        <v>0</v>
      </c>
      <c r="H48" s="295">
        <f>'Reporte Componentes R1'!J178</f>
        <v>0</v>
      </c>
      <c r="I48" s="295">
        <f>'Reporte Componentes R1'!K178</f>
        <v>0</v>
      </c>
      <c r="J48" s="291">
        <v>0</v>
      </c>
      <c r="K48" s="298">
        <f t="shared" ref="K48:K51" si="16">D48-E48-F48-G48-H48-I48-J48</f>
        <v>0</v>
      </c>
      <c r="L48" s="297">
        <v>0</v>
      </c>
      <c r="M48" s="298">
        <f>K48-L48</f>
        <v>0</v>
      </c>
      <c r="N48" s="297">
        <f>'Reporte Componentes R1'!L178</f>
        <v>0</v>
      </c>
      <c r="O48" s="298">
        <f t="shared" ref="O48:O51" si="17">M48+N48</f>
        <v>0</v>
      </c>
      <c r="Q48" s="309"/>
      <c r="S48" s="317">
        <v>2</v>
      </c>
      <c r="T48" s="318" t="s">
        <v>11</v>
      </c>
      <c r="U48" s="319">
        <f>'Reporte Componentes R1'!M178</f>
        <v>0</v>
      </c>
      <c r="V48" s="320">
        <f>'Reporte Componentes R1'!N178</f>
        <v>0</v>
      </c>
      <c r="W48" s="320">
        <f>'Reporte Componentes R1'!O178</f>
        <v>0</v>
      </c>
      <c r="X48" s="320">
        <f>'Reporte Componentes R1'!P178</f>
        <v>0</v>
      </c>
      <c r="Y48" s="321">
        <f>'Reporte Componentes R1'!Q178</f>
        <v>0</v>
      </c>
      <c r="Z48" s="322">
        <f>-L48</f>
        <v>0</v>
      </c>
      <c r="AA48" s="323">
        <f>'Reporte Componentes R1'!R178+'Reporte Componentes R1'!V178+'Reporte Componentes R1'!U178</f>
        <v>0</v>
      </c>
      <c r="AB48" s="297">
        <f>N48</f>
        <v>0</v>
      </c>
      <c r="AC48" s="323">
        <f>'Reporte Componentes R1'!T178+'Reporte Componentes R1'!W178+'Reporte Componentes R1'!X178+'Reporte Componentes R1'!Y178+'Reporte Componentes R1'!Z178+'Reporte Componentes R1'!S178</f>
        <v>0</v>
      </c>
      <c r="AD48" s="294">
        <f t="shared" ref="AD48:AD51" si="18">-J48+AE48</f>
        <v>0</v>
      </c>
      <c r="AE48" s="294">
        <f>'Reporte Componentes R1'!F179</f>
        <v>0</v>
      </c>
      <c r="AF48" s="325">
        <f>SUM(U48:AD48)</f>
        <v>0</v>
      </c>
      <c r="AG48" s="525">
        <f>(AF48-O48)</f>
        <v>0</v>
      </c>
      <c r="AH48" s="308" t="b">
        <f t="shared" ref="AH48:AH51" si="19">INT(AG48)=0</f>
        <v>1</v>
      </c>
      <c r="AI48" s="309"/>
    </row>
    <row r="49" spans="1:35" s="308" customFormat="1" x14ac:dyDescent="0.25">
      <c r="B49" s="317">
        <v>3</v>
      </c>
      <c r="C49" s="318" t="s">
        <v>12</v>
      </c>
      <c r="D49" s="294">
        <f>'Reporte Componentes R1'!F318</f>
        <v>10198723.07</v>
      </c>
      <c r="E49" s="295">
        <f>'Reporte Componentes R1'!G318</f>
        <v>1240516.47</v>
      </c>
      <c r="F49" s="295">
        <f>'Reporte Componentes R1'!H318</f>
        <v>700393.35</v>
      </c>
      <c r="G49" s="295">
        <f>'Reporte Componentes R1'!I318</f>
        <v>368494.74</v>
      </c>
      <c r="H49" s="295">
        <f>'Reporte Componentes R1'!J318</f>
        <v>149096.63</v>
      </c>
      <c r="I49" s="295">
        <f>'Reporte Componentes R1'!K318</f>
        <v>4140.01</v>
      </c>
      <c r="J49" s="291">
        <v>0</v>
      </c>
      <c r="K49" s="298">
        <f t="shared" si="16"/>
        <v>7736081.8700000001</v>
      </c>
      <c r="L49" s="297">
        <v>0</v>
      </c>
      <c r="M49" s="298">
        <f>K49-L49</f>
        <v>7736081.8700000001</v>
      </c>
      <c r="N49" s="297">
        <f>'Reporte Componentes R1'!L318</f>
        <v>0</v>
      </c>
      <c r="O49" s="298">
        <f t="shared" si="17"/>
        <v>7736081.8700000001</v>
      </c>
      <c r="Q49" s="309"/>
      <c r="S49" s="317">
        <v>3</v>
      </c>
      <c r="T49" s="318" t="s">
        <v>12</v>
      </c>
      <c r="U49" s="319">
        <f>'Reporte Componentes R1'!M318</f>
        <v>36316.120000000003</v>
      </c>
      <c r="V49" s="320">
        <f>'Reporte Componentes R1'!N318</f>
        <v>53217.55</v>
      </c>
      <c r="W49" s="320">
        <f>'Reporte Componentes R1'!O318</f>
        <v>250685.64</v>
      </c>
      <c r="X49" s="320">
        <f>'Reporte Componentes R1'!P318</f>
        <v>2889219.96</v>
      </c>
      <c r="Y49" s="321">
        <f>'Reporte Componentes R1'!Q318</f>
        <v>6754.81</v>
      </c>
      <c r="Z49" s="322">
        <f>-L49</f>
        <v>0</v>
      </c>
      <c r="AA49" s="323">
        <f>'Reporte Componentes R1'!R318+'Reporte Componentes R1'!V318+'Reporte Componentes R1'!U318</f>
        <v>-10.43</v>
      </c>
      <c r="AB49" s="297">
        <f>N49</f>
        <v>0</v>
      </c>
      <c r="AC49" s="323">
        <f>'Reporte Componentes R1'!T318+'Reporte Componentes R1'!W318+'Reporte Componentes R1'!X318+'Reporte Componentes R1'!Y318+'Reporte Componentes R1'!Z318+'Reporte Componentes R1'!S318</f>
        <v>0</v>
      </c>
      <c r="AD49" s="294">
        <f t="shared" si="18"/>
        <v>4499898.22</v>
      </c>
      <c r="AE49" s="294">
        <f>'Reporte Componentes R1'!F319</f>
        <v>4499898.22</v>
      </c>
      <c r="AF49" s="325">
        <f t="shared" ref="AF49:AF51" si="20">SUM(U49:AD49)</f>
        <v>7736081.8699999992</v>
      </c>
      <c r="AG49" s="525">
        <f t="shared" ref="AG49:AG51" si="21">(AF49-O49)</f>
        <v>-9.3132257461547852E-10</v>
      </c>
      <c r="AH49" s="308" t="b">
        <f t="shared" si="19"/>
        <v>0</v>
      </c>
      <c r="AI49" s="309"/>
    </row>
    <row r="50" spans="1:35" s="308" customFormat="1" x14ac:dyDescent="0.25">
      <c r="B50" s="317">
        <v>4</v>
      </c>
      <c r="C50" s="318" t="s">
        <v>13</v>
      </c>
      <c r="D50" s="294">
        <f>'Reporte Componentes R1'!F439</f>
        <v>5419780</v>
      </c>
      <c r="E50" s="295">
        <f>'Reporte Componentes R1'!G439</f>
        <v>265698.21000000002</v>
      </c>
      <c r="F50" s="295">
        <f>'Reporte Componentes R1'!H439</f>
        <v>146273.84</v>
      </c>
      <c r="G50" s="295">
        <f>'Reporte Componentes R1'!I439</f>
        <v>78115.94</v>
      </c>
      <c r="H50" s="295">
        <f>'Reporte Componentes R1'!J439</f>
        <v>998599.42</v>
      </c>
      <c r="I50" s="295">
        <f>'Reporte Componentes R1'!K439</f>
        <v>35953.06</v>
      </c>
      <c r="J50" s="291">
        <v>0</v>
      </c>
      <c r="K50" s="298">
        <f t="shared" si="16"/>
        <v>3895139.53</v>
      </c>
      <c r="L50" s="297">
        <v>0</v>
      </c>
      <c r="M50" s="298">
        <f>K50-L50</f>
        <v>3895139.53</v>
      </c>
      <c r="N50" s="297">
        <f>'Reporte Componentes R1'!L439</f>
        <v>0</v>
      </c>
      <c r="O50" s="298">
        <f t="shared" si="17"/>
        <v>3895139.53</v>
      </c>
      <c r="Q50" s="309"/>
      <c r="S50" s="317">
        <v>4</v>
      </c>
      <c r="T50" s="318" t="s">
        <v>13</v>
      </c>
      <c r="U50" s="319">
        <f>'Reporte Componentes R1'!M439</f>
        <v>298752.57</v>
      </c>
      <c r="V50" s="320">
        <f>'Reporte Componentes R1'!N439</f>
        <v>307661.96000000002</v>
      </c>
      <c r="W50" s="320">
        <f>'Reporte Componentes R1'!O439</f>
        <v>2386148.1800000002</v>
      </c>
      <c r="X50" s="320">
        <f>'Reporte Componentes R1'!P439</f>
        <v>712936.36</v>
      </c>
      <c r="Y50" s="321">
        <f>'Reporte Componentes R1'!Q439</f>
        <v>59549.52</v>
      </c>
      <c r="Z50" s="322">
        <f>-L50</f>
        <v>0</v>
      </c>
      <c r="AA50" s="323">
        <f>'Reporte Componentes R1'!R439+'Reporte Componentes R1'!V439+'Reporte Componentes R1'!U439</f>
        <v>8.81</v>
      </c>
      <c r="AB50" s="297">
        <f>N50</f>
        <v>0</v>
      </c>
      <c r="AC50" s="323">
        <f>'Reporte Componentes R1'!T439+'Reporte Componentes R1'!W439+'Reporte Componentes R1'!X439+'Reporte Componentes R1'!Y439+'Reporte Componentes R1'!Z439+'Reporte Componentes R1'!S439</f>
        <v>0</v>
      </c>
      <c r="AD50" s="294">
        <f t="shared" si="18"/>
        <v>130082.13</v>
      </c>
      <c r="AE50" s="294">
        <f>'Reporte Componentes R1'!F440</f>
        <v>130082.13</v>
      </c>
      <c r="AF50" s="325">
        <f t="shared" si="20"/>
        <v>3895139.53</v>
      </c>
      <c r="AG50" s="525">
        <f t="shared" si="21"/>
        <v>0</v>
      </c>
      <c r="AH50" s="308" t="b">
        <f t="shared" si="19"/>
        <v>1</v>
      </c>
      <c r="AI50" s="309"/>
    </row>
    <row r="51" spans="1:35" s="308" customFormat="1" ht="12" thickBot="1" x14ac:dyDescent="0.3">
      <c r="B51" s="327">
        <v>5</v>
      </c>
      <c r="C51" s="328" t="s">
        <v>14</v>
      </c>
      <c r="D51" s="299">
        <f>'Reporte Componentes R1'!F521</f>
        <v>0</v>
      </c>
      <c r="E51" s="300">
        <f>'Reporte Componentes R1'!G521</f>
        <v>0</v>
      </c>
      <c r="F51" s="300">
        <f>'Reporte Componentes R1'!H521</f>
        <v>0</v>
      </c>
      <c r="G51" s="300">
        <f>'Reporte Componentes R1'!I521</f>
        <v>0</v>
      </c>
      <c r="H51" s="300">
        <f>'Reporte Componentes R1'!J521</f>
        <v>0</v>
      </c>
      <c r="I51" s="300">
        <f>'Reporte Componentes R1'!K521</f>
        <v>0</v>
      </c>
      <c r="J51" s="292">
        <v>0</v>
      </c>
      <c r="K51" s="298">
        <f t="shared" si="16"/>
        <v>0</v>
      </c>
      <c r="L51" s="297">
        <v>0</v>
      </c>
      <c r="M51" s="301">
        <f>K51-L51</f>
        <v>0</v>
      </c>
      <c r="N51" s="302">
        <f>'Reporte Componentes R1'!L521</f>
        <v>0</v>
      </c>
      <c r="O51" s="301">
        <f t="shared" si="17"/>
        <v>0</v>
      </c>
      <c r="Q51" s="309"/>
      <c r="S51" s="327">
        <v>5</v>
      </c>
      <c r="T51" s="328" t="s">
        <v>14</v>
      </c>
      <c r="U51" s="299">
        <f>'Reporte Componentes R1'!M521</f>
        <v>0</v>
      </c>
      <c r="V51" s="300">
        <f>'Reporte Componentes R1'!N521</f>
        <v>0</v>
      </c>
      <c r="W51" s="300">
        <f>'Reporte Componentes R1'!O521</f>
        <v>0</v>
      </c>
      <c r="X51" s="300">
        <f>'Reporte Componentes R1'!P521</f>
        <v>0</v>
      </c>
      <c r="Y51" s="292">
        <f>'Reporte Componentes R1'!Q521</f>
        <v>0</v>
      </c>
      <c r="Z51" s="322">
        <f>-L51</f>
        <v>0</v>
      </c>
      <c r="AA51" s="323">
        <f>'Reporte Componentes R1'!R521+'Reporte Componentes R1'!V521+'Reporte Componentes R1'!U521</f>
        <v>0</v>
      </c>
      <c r="AB51" s="297">
        <f>N51</f>
        <v>0</v>
      </c>
      <c r="AC51" s="323">
        <f>'Reporte Componentes R1'!T521+'Reporte Componentes R1'!W521+'Reporte Componentes R1'!X521+'Reporte Componentes R1'!Y521+'Reporte Componentes R1'!Z521+'Reporte Componentes R1'!S521</f>
        <v>0</v>
      </c>
      <c r="AD51" s="294">
        <f t="shared" si="18"/>
        <v>0</v>
      </c>
      <c r="AE51" s="294">
        <f>'Reporte Componentes R1'!F522</f>
        <v>0</v>
      </c>
      <c r="AF51" s="325">
        <f t="shared" si="20"/>
        <v>0</v>
      </c>
      <c r="AG51" s="526">
        <f t="shared" si="21"/>
        <v>0</v>
      </c>
      <c r="AH51" s="308" t="b">
        <f t="shared" si="19"/>
        <v>1</v>
      </c>
      <c r="AI51" s="309"/>
    </row>
    <row r="52" spans="1:35" s="308" customFormat="1" ht="13.5" thickBot="1" x14ac:dyDescent="0.35">
      <c r="B52" s="330"/>
      <c r="C52" s="331" t="s">
        <v>2</v>
      </c>
      <c r="D52" s="293">
        <f t="shared" ref="D52:O52" si="22">SUM(D47:D51)</f>
        <v>27291523.07</v>
      </c>
      <c r="E52" s="293">
        <f t="shared" si="22"/>
        <v>2748035.59</v>
      </c>
      <c r="F52" s="293">
        <f t="shared" si="22"/>
        <v>1547877.07</v>
      </c>
      <c r="G52" s="293">
        <f t="shared" ref="G52" si="23">SUM(G47:G51)</f>
        <v>815958.3899999999</v>
      </c>
      <c r="H52" s="293">
        <f t="shared" si="22"/>
        <v>1312051.77</v>
      </c>
      <c r="I52" s="293">
        <f t="shared" si="22"/>
        <v>46011.649999999994</v>
      </c>
      <c r="J52" s="293">
        <f t="shared" si="22"/>
        <v>0</v>
      </c>
      <c r="K52" s="303">
        <f t="shared" si="22"/>
        <v>20821588.599999998</v>
      </c>
      <c r="L52" s="304">
        <f t="shared" si="22"/>
        <v>0</v>
      </c>
      <c r="M52" s="305">
        <f t="shared" si="22"/>
        <v>20821588.599999998</v>
      </c>
      <c r="N52" s="304">
        <f t="shared" si="22"/>
        <v>0</v>
      </c>
      <c r="O52" s="305">
        <f t="shared" si="22"/>
        <v>20821588.599999998</v>
      </c>
      <c r="P52" s="332"/>
      <c r="Q52" s="309"/>
      <c r="S52" s="330"/>
      <c r="T52" s="331" t="s">
        <v>2</v>
      </c>
      <c r="U52" s="333">
        <f>SUM(U47:U51)</f>
        <v>386985.67000000004</v>
      </c>
      <c r="V52" s="333">
        <f t="shared" ref="V52:AG52" si="24">SUM(V47:V51)</f>
        <v>428554.61000000004</v>
      </c>
      <c r="W52" s="333">
        <f t="shared" si="24"/>
        <v>2952886.1900000004</v>
      </c>
      <c r="X52" s="333">
        <f t="shared" si="24"/>
        <v>7005730.3899999997</v>
      </c>
      <c r="Y52" s="333">
        <f t="shared" si="24"/>
        <v>75960.76999999999</v>
      </c>
      <c r="Z52" s="293">
        <f t="shared" si="24"/>
        <v>0</v>
      </c>
      <c r="AA52" s="293">
        <f t="shared" si="24"/>
        <v>-14.01</v>
      </c>
      <c r="AB52" s="293">
        <f t="shared" si="24"/>
        <v>0</v>
      </c>
      <c r="AC52" s="293">
        <f t="shared" si="24"/>
        <v>0</v>
      </c>
      <c r="AD52" s="293">
        <f>SUM(AD47:AD51)</f>
        <v>9971484.9800000004</v>
      </c>
      <c r="AE52" s="293">
        <f>SUM(AE47:AE51)</f>
        <v>9971484.9800000004</v>
      </c>
      <c r="AF52" s="334">
        <f t="shared" si="24"/>
        <v>20821588.600000001</v>
      </c>
      <c r="AG52" s="527">
        <f t="shared" si="24"/>
        <v>9.3132257461547852E-10</v>
      </c>
      <c r="AH52" s="308" t="b">
        <f>INT(AG52)=0</f>
        <v>1</v>
      </c>
      <c r="AI52" s="309"/>
    </row>
    <row r="53" spans="1:35" ht="12" thickBot="1" x14ac:dyDescent="0.3">
      <c r="B53" s="2"/>
      <c r="C53" s="2"/>
      <c r="D53" s="24"/>
      <c r="E53" s="24"/>
      <c r="F53" s="24"/>
      <c r="G53" s="24"/>
      <c r="H53" s="24"/>
      <c r="I53" s="24"/>
      <c r="K53" s="24"/>
      <c r="L53" s="24"/>
      <c r="M53" s="24"/>
      <c r="N53" s="24"/>
      <c r="O53" s="24"/>
      <c r="Q53" s="4"/>
      <c r="S53" s="2"/>
      <c r="T53" s="2"/>
      <c r="U53" s="24"/>
      <c r="V53" s="24"/>
      <c r="W53" s="24"/>
      <c r="X53" s="24"/>
      <c r="Y53" s="24"/>
      <c r="AF53" s="24"/>
      <c r="AI53" s="4"/>
    </row>
    <row r="54" spans="1:35" ht="12" thickBot="1" x14ac:dyDescent="0.3">
      <c r="B54" s="2"/>
      <c r="C54" s="2"/>
      <c r="D54" s="24" t="s">
        <v>1</v>
      </c>
      <c r="E54" s="24"/>
      <c r="F54" s="24"/>
      <c r="G54" s="24"/>
      <c r="H54" s="24"/>
      <c r="I54" s="24"/>
      <c r="K54" s="24"/>
      <c r="L54" s="24"/>
      <c r="M54" s="24"/>
      <c r="N54" s="24"/>
      <c r="O54" s="24"/>
      <c r="Q54" s="4"/>
      <c r="Y54" s="86">
        <f>SUM(U52:Y52)</f>
        <v>10850117.629999999</v>
      </c>
      <c r="AA54" s="1" t="s">
        <v>1</v>
      </c>
      <c r="AB54" s="1" t="s">
        <v>1</v>
      </c>
      <c r="AD54" s="1" t="s">
        <v>1</v>
      </c>
      <c r="AF54" s="1" t="s">
        <v>1</v>
      </c>
      <c r="AI54" s="4"/>
    </row>
    <row r="55" spans="1:35" ht="12" thickBot="1" x14ac:dyDescent="0.3">
      <c r="B55" s="2"/>
      <c r="C55" s="2"/>
      <c r="D55" s="24" t="s">
        <v>1</v>
      </c>
      <c r="E55" s="33"/>
      <c r="F55" s="33"/>
      <c r="G55" s="33"/>
      <c r="H55" s="33"/>
      <c r="I55" s="24"/>
      <c r="K55" s="24"/>
      <c r="L55" s="24"/>
      <c r="M55" s="24"/>
      <c r="N55" s="24"/>
      <c r="O55" s="24"/>
      <c r="Q55" s="4"/>
      <c r="AI55" s="4"/>
    </row>
    <row r="56" spans="1:35" x14ac:dyDescent="0.25">
      <c r="B56" s="2"/>
      <c r="C56" s="2"/>
      <c r="D56" s="24" t="s">
        <v>1</v>
      </c>
      <c r="E56" s="24" t="s">
        <v>1</v>
      </c>
      <c r="F56" s="24" t="s">
        <v>25</v>
      </c>
      <c r="G56" s="24"/>
      <c r="H56" s="24"/>
      <c r="I56" s="24"/>
      <c r="K56" s="24"/>
      <c r="L56" s="24"/>
      <c r="M56" s="24"/>
      <c r="N56" s="24"/>
      <c r="O56" s="24"/>
      <c r="Q56" s="4"/>
      <c r="AI56" s="4"/>
    </row>
    <row r="57" spans="1:35" x14ac:dyDescent="0.25">
      <c r="A57" s="4"/>
      <c r="B57" s="34"/>
      <c r="C57" s="34"/>
      <c r="D57" s="35"/>
      <c r="E57" s="35"/>
      <c r="F57" s="35"/>
      <c r="G57" s="35"/>
      <c r="H57" s="35"/>
      <c r="I57" s="35"/>
      <c r="J57" s="4"/>
      <c r="K57" s="35"/>
      <c r="L57" s="35"/>
      <c r="M57" s="35"/>
      <c r="N57" s="35"/>
      <c r="O57" s="35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277"/>
      <c r="AH57" s="4"/>
      <c r="AI57" s="4"/>
    </row>
    <row r="58" spans="1:35" ht="12" thickBot="1" x14ac:dyDescent="0.3">
      <c r="Q58" s="4"/>
      <c r="AI58" s="4"/>
    </row>
    <row r="59" spans="1:35" x14ac:dyDescent="0.25">
      <c r="B59" s="5"/>
      <c r="C59" s="3" t="s">
        <v>1</v>
      </c>
      <c r="D59" s="6" t="s">
        <v>1</v>
      </c>
      <c r="E59" s="3"/>
      <c r="F59" s="3"/>
      <c r="G59" s="3"/>
      <c r="H59" s="3" t="s">
        <v>1</v>
      </c>
      <c r="I59" s="3"/>
      <c r="J59" s="3"/>
      <c r="K59" s="3"/>
      <c r="L59" s="3"/>
      <c r="M59" s="3"/>
      <c r="N59" s="3"/>
      <c r="O59" s="7"/>
      <c r="P59" s="2"/>
      <c r="Q59" s="4"/>
      <c r="S59" s="5"/>
      <c r="T59" s="3" t="s">
        <v>1</v>
      </c>
      <c r="U59" s="6" t="s">
        <v>1</v>
      </c>
      <c r="V59" s="3"/>
      <c r="W59" s="3"/>
      <c r="X59" s="3" t="s">
        <v>1</v>
      </c>
      <c r="Y59" s="3"/>
      <c r="Z59" s="3"/>
      <c r="AA59" s="3"/>
      <c r="AB59" s="3"/>
      <c r="AC59" s="3"/>
      <c r="AD59" s="3"/>
      <c r="AE59" s="3"/>
      <c r="AF59" s="7"/>
      <c r="AG59" s="275"/>
      <c r="AI59" s="4"/>
    </row>
    <row r="60" spans="1:35" ht="14" x14ac:dyDescent="0.3">
      <c r="B60" s="8"/>
      <c r="F60" s="26" t="s">
        <v>8</v>
      </c>
      <c r="G60" s="26"/>
      <c r="I60" s="26" t="s">
        <v>16</v>
      </c>
      <c r="J60" s="25"/>
      <c r="M60" s="2" t="s">
        <v>15</v>
      </c>
      <c r="N60" s="50">
        <f>N3</f>
        <v>2026071</v>
      </c>
      <c r="O60" s="10"/>
      <c r="P60" s="2"/>
      <c r="Q60" s="4"/>
      <c r="S60" s="8"/>
      <c r="U60" s="26" t="s">
        <v>8</v>
      </c>
      <c r="W60" s="26" t="s">
        <v>16</v>
      </c>
      <c r="X60" s="25"/>
      <c r="Y60" s="2"/>
      <c r="AA60" s="2" t="s">
        <v>15</v>
      </c>
      <c r="AD60" s="84">
        <f>N60</f>
        <v>2026071</v>
      </c>
      <c r="AE60" s="84"/>
      <c r="AF60" s="48"/>
      <c r="AG60" s="275"/>
      <c r="AI60" s="4"/>
    </row>
    <row r="61" spans="1:35" ht="15.5" x14ac:dyDescent="0.35">
      <c r="B61" s="8"/>
      <c r="F61" s="36" t="s">
        <v>29</v>
      </c>
      <c r="G61" s="36"/>
      <c r="O61" s="10"/>
      <c r="P61" s="2"/>
      <c r="Q61" s="4"/>
      <c r="S61" s="8"/>
      <c r="T61" s="26" t="s">
        <v>1</v>
      </c>
      <c r="U61" s="36" t="s">
        <v>29</v>
      </c>
      <c r="Y61" s="2" t="s">
        <v>1</v>
      </c>
      <c r="AA61" s="50" t="s">
        <v>1</v>
      </c>
      <c r="AB61" s="2"/>
      <c r="AC61" s="2"/>
      <c r="AD61" s="2"/>
      <c r="AE61" s="2"/>
      <c r="AF61" s="10" t="s">
        <v>1</v>
      </c>
      <c r="AG61" s="275"/>
      <c r="AI61" s="4"/>
    </row>
    <row r="62" spans="1:35" ht="14" x14ac:dyDescent="0.3">
      <c r="B62" s="8"/>
      <c r="F62" s="2" t="s">
        <v>30</v>
      </c>
      <c r="G62" s="2"/>
      <c r="M62" s="2" t="s">
        <v>1</v>
      </c>
      <c r="O62" s="10"/>
      <c r="P62" s="2"/>
      <c r="Q62" s="4"/>
      <c r="S62" s="8"/>
      <c r="T62" s="49" t="s">
        <v>1</v>
      </c>
      <c r="U62" s="2" t="s">
        <v>30</v>
      </c>
      <c r="AF62" s="44"/>
      <c r="AG62" s="275"/>
      <c r="AI62" s="4"/>
    </row>
    <row r="63" spans="1:35" ht="15.5" x14ac:dyDescent="0.35">
      <c r="B63" s="8"/>
      <c r="C63" s="591" t="s">
        <v>17</v>
      </c>
      <c r="D63" s="9">
        <f>D6</f>
        <v>46220</v>
      </c>
      <c r="F63" s="41" t="s">
        <v>33</v>
      </c>
      <c r="G63" s="41"/>
      <c r="H63" s="2"/>
      <c r="J63" s="2"/>
      <c r="O63" s="10"/>
      <c r="P63" s="2"/>
      <c r="Q63" s="4"/>
      <c r="S63" s="8"/>
      <c r="T63" s="41" t="s">
        <v>1</v>
      </c>
      <c r="U63" s="41" t="s">
        <v>33</v>
      </c>
      <c r="V63" s="2"/>
      <c r="X63" s="2"/>
      <c r="Y63" s="2"/>
      <c r="AF63" s="48"/>
      <c r="AG63" s="275"/>
      <c r="AI63" s="4"/>
    </row>
    <row r="64" spans="1:35" ht="12" thickBot="1" x14ac:dyDescent="0.3">
      <c r="B64" s="8"/>
      <c r="C64" s="591" t="s">
        <v>0</v>
      </c>
      <c r="D64" s="241">
        <f>D7</f>
        <v>0.58333333333333337</v>
      </c>
      <c r="F64" s="2" t="s">
        <v>27</v>
      </c>
      <c r="G64" s="9">
        <f>G7</f>
        <v>46204</v>
      </c>
      <c r="J64" s="2" t="s">
        <v>28</v>
      </c>
      <c r="K64" s="9">
        <f>K7</f>
        <v>46218</v>
      </c>
      <c r="O64" s="10"/>
      <c r="P64" s="2"/>
      <c r="Q64" s="4"/>
      <c r="S64" s="8"/>
      <c r="U64" s="1" t="str">
        <f>F64</f>
        <v>Fecha Desde:</v>
      </c>
      <c r="V64" s="9">
        <f>G64</f>
        <v>46204</v>
      </c>
      <c r="W64" s="1" t="s">
        <v>1</v>
      </c>
      <c r="X64" s="1" t="str">
        <f>J64</f>
        <v>Feha Hasta:</v>
      </c>
      <c r="Y64" s="9">
        <f>K64</f>
        <v>46218</v>
      </c>
      <c r="Z64" s="1" t="s">
        <v>1</v>
      </c>
      <c r="AF64" s="48"/>
      <c r="AG64" s="275"/>
      <c r="AI64" s="4"/>
    </row>
    <row r="65" spans="1:35" ht="72" customHeight="1" thickBot="1" x14ac:dyDescent="0.3">
      <c r="B65" s="11" t="s">
        <v>3</v>
      </c>
      <c r="C65" s="27" t="s">
        <v>9</v>
      </c>
      <c r="D65" s="11" t="s">
        <v>4</v>
      </c>
      <c r="E65" s="12" t="s">
        <v>5</v>
      </c>
      <c r="F65" s="27" t="s">
        <v>6</v>
      </c>
      <c r="G65" s="27" t="s">
        <v>159</v>
      </c>
      <c r="H65" s="27" t="s">
        <v>18</v>
      </c>
      <c r="I65" s="12" t="s">
        <v>24</v>
      </c>
      <c r="J65" s="73" t="s">
        <v>19</v>
      </c>
      <c r="K65" s="29" t="s">
        <v>20</v>
      </c>
      <c r="L65" s="28" t="s">
        <v>21</v>
      </c>
      <c r="M65" s="39" t="s">
        <v>22</v>
      </c>
      <c r="N65" s="12" t="s">
        <v>7</v>
      </c>
      <c r="O65" s="39" t="s">
        <v>23</v>
      </c>
      <c r="P65" s="13"/>
      <c r="Q65" s="4"/>
      <c r="S65" s="11" t="s">
        <v>3</v>
      </c>
      <c r="T65" s="27" t="s">
        <v>9</v>
      </c>
      <c r="U65" s="162" t="s">
        <v>39</v>
      </c>
      <c r="V65" s="163" t="s">
        <v>40</v>
      </c>
      <c r="W65" s="163" t="s">
        <v>41</v>
      </c>
      <c r="X65" s="163" t="s">
        <v>42</v>
      </c>
      <c r="Y65" s="164" t="s">
        <v>43</v>
      </c>
      <c r="Z65" s="85" t="s">
        <v>21</v>
      </c>
      <c r="AA65" s="65" t="s">
        <v>46</v>
      </c>
      <c r="AB65" s="65" t="s">
        <v>7</v>
      </c>
      <c r="AC65" s="85" t="s">
        <v>167</v>
      </c>
      <c r="AD65" s="121" t="s">
        <v>107</v>
      </c>
      <c r="AE65" s="121" t="s">
        <v>225</v>
      </c>
      <c r="AF65" s="39" t="s">
        <v>23</v>
      </c>
      <c r="AG65" s="276"/>
      <c r="AI65" s="4"/>
    </row>
    <row r="66" spans="1:35" s="308" customFormat="1" x14ac:dyDescent="0.25">
      <c r="B66" s="306">
        <v>1</v>
      </c>
      <c r="C66" s="307" t="s">
        <v>10</v>
      </c>
      <c r="D66" s="294">
        <f>'Reversion Pagos R4'!D67</f>
        <v>-12054255.65</v>
      </c>
      <c r="E66" s="295">
        <f>'Reversion Pagos R4'!E67</f>
        <v>-1538555.69</v>
      </c>
      <c r="F66" s="295">
        <f>'Reversion Pagos R4'!F67</f>
        <v>-869015.39</v>
      </c>
      <c r="G66" s="295">
        <f>'Reversion Pagos R4'!G67</f>
        <v>-457881.97</v>
      </c>
      <c r="H66" s="295">
        <f>'Reversion Pagos R4'!H67</f>
        <v>-382604.13</v>
      </c>
      <c r="I66" s="295">
        <f>'Reversion Pagos R4'!I67</f>
        <v>-12197.75</v>
      </c>
      <c r="J66" s="291">
        <v>0</v>
      </c>
      <c r="K66" s="296">
        <f>D66-E66-F66-G66-H66-I66-J66</f>
        <v>-8794000.7199999988</v>
      </c>
      <c r="L66" s="297">
        <v>0</v>
      </c>
      <c r="M66" s="296">
        <f>K66-L66</f>
        <v>-8794000.7199999988</v>
      </c>
      <c r="N66" s="297">
        <f>'Reversion Pagos R4'!P67</f>
        <v>0</v>
      </c>
      <c r="O66" s="296">
        <f>M66+N66</f>
        <v>-8794000.7199999988</v>
      </c>
      <c r="Q66" s="309"/>
      <c r="S66" s="306">
        <v>1</v>
      </c>
      <c r="T66" s="307" t="s">
        <v>10</v>
      </c>
      <c r="U66" s="310">
        <f>'Reversion Pagos R4'!J67</f>
        <v>-113093.15</v>
      </c>
      <c r="V66" s="311">
        <f>'Reversion Pagos R4'!K67</f>
        <v>-152211.56</v>
      </c>
      <c r="W66" s="311">
        <f>'Reversion Pagos R4'!L67</f>
        <v>-738903.14</v>
      </c>
      <c r="X66" s="311">
        <f>'Reversion Pagos R4'!M67</f>
        <v>-4228184.99</v>
      </c>
      <c r="Y66" s="311">
        <f>'Reversion Pagos R4'!N67</f>
        <v>-19901.169999999998</v>
      </c>
      <c r="Z66" s="313">
        <f>-L66</f>
        <v>0</v>
      </c>
      <c r="AA66" s="323">
        <f>'Reversion Pagos R4'!O67</f>
        <v>27.65</v>
      </c>
      <c r="AB66" s="297">
        <f>N66</f>
        <v>0</v>
      </c>
      <c r="AC66" s="323">
        <f>+'Reversion Pagos R4'!Q67+'Reversion Pagos R4'!R67</f>
        <v>0</v>
      </c>
      <c r="AD66" s="294">
        <f>-J66+AE66</f>
        <v>-3541734.36</v>
      </c>
      <c r="AE66" s="294">
        <f>'Reversion Pagos R4'!D68</f>
        <v>-3541734.36</v>
      </c>
      <c r="AF66" s="316">
        <f>SUM(U66:AD66)</f>
        <v>-8794000.7199999988</v>
      </c>
      <c r="AG66" s="524">
        <f>(AF66-O66)</f>
        <v>0</v>
      </c>
      <c r="AH66" s="308" t="b">
        <f>INT(AG66)=0</f>
        <v>1</v>
      </c>
      <c r="AI66" s="309"/>
    </row>
    <row r="67" spans="1:35" s="308" customFormat="1" x14ac:dyDescent="0.25">
      <c r="B67" s="317">
        <v>2</v>
      </c>
      <c r="C67" s="318" t="s">
        <v>11</v>
      </c>
      <c r="D67" s="294">
        <f>'Reversion Pagos R4'!D161</f>
        <v>-9889189.7200000007</v>
      </c>
      <c r="E67" s="295">
        <f>'Reversion Pagos R4'!E161</f>
        <v>-687393.5</v>
      </c>
      <c r="F67" s="295">
        <f>'Reversion Pagos R4'!F161</f>
        <v>-387217.20999999996</v>
      </c>
      <c r="G67" s="295">
        <f>'Reversion Pagos R4'!G161</f>
        <v>-203978.19999999998</v>
      </c>
      <c r="H67" s="295">
        <f>'Reversion Pagos R4'!H161</f>
        <v>-3023755.1</v>
      </c>
      <c r="I67" s="295">
        <f>'Reversion Pagos R4'!I161</f>
        <v>-116210.51</v>
      </c>
      <c r="J67" s="291">
        <v>0</v>
      </c>
      <c r="K67" s="298">
        <f t="shared" ref="K67:K70" si="25">D67-E67-F67-G67-H67-I67-J67</f>
        <v>-5470635.200000003</v>
      </c>
      <c r="L67" s="297">
        <v>0</v>
      </c>
      <c r="M67" s="298">
        <f>K67-L67</f>
        <v>-5470635.200000003</v>
      </c>
      <c r="N67" s="297">
        <f>'Reversion Pagos R4'!P161</f>
        <v>0</v>
      </c>
      <c r="O67" s="298">
        <f t="shared" ref="O67:O70" si="26">M67+N67</f>
        <v>-5470635.200000003</v>
      </c>
      <c r="Q67" s="309"/>
      <c r="S67" s="317">
        <v>2</v>
      </c>
      <c r="T67" s="318" t="s">
        <v>11</v>
      </c>
      <c r="U67" s="319">
        <f>'Reversion Pagos R4'!J161</f>
        <v>-1009821.1900000001</v>
      </c>
      <c r="V67" s="320">
        <f>'Reversion Pagos R4'!K161</f>
        <v>-989856.14999999991</v>
      </c>
      <c r="W67" s="320">
        <f>'Reversion Pagos R4'!L161</f>
        <v>-4602004.2299999995</v>
      </c>
      <c r="X67" s="320">
        <f>'Reversion Pagos R4'!M161</f>
        <v>-1352536.94</v>
      </c>
      <c r="Y67" s="321">
        <f>'Reversion Pagos R4'!N161</f>
        <v>-188970.19999999998</v>
      </c>
      <c r="Z67" s="322">
        <f t="shared" ref="Z67:Z70" si="27">-L67</f>
        <v>0</v>
      </c>
      <c r="AA67" s="323">
        <f>'Reversion Pagos R4'!O161</f>
        <v>7.55</v>
      </c>
      <c r="AB67" s="297">
        <f t="shared" ref="AB67:AB70" si="28">N67</f>
        <v>0</v>
      </c>
      <c r="AC67" s="323">
        <f>+'Reversion Pagos R4'!Q161+'Reversion Pagos R4'!R161</f>
        <v>0</v>
      </c>
      <c r="AD67" s="294">
        <f>-J67+AE67</f>
        <v>2672545.96</v>
      </c>
      <c r="AE67" s="294">
        <f>'Reversion Pagos R4'!D162</f>
        <v>2672545.96</v>
      </c>
      <c r="AF67" s="325">
        <f>SUM(U67:AD67)</f>
        <v>-5470635.2000000002</v>
      </c>
      <c r="AG67" s="525">
        <f>(AF67-O67)</f>
        <v>2.7939677238464355E-9</v>
      </c>
      <c r="AH67" s="308" t="b">
        <f t="shared" ref="AH67:AH70" si="29">INT(AG67)=0</f>
        <v>1</v>
      </c>
      <c r="AI67" s="309"/>
    </row>
    <row r="68" spans="1:35" s="308" customFormat="1" x14ac:dyDescent="0.25">
      <c r="B68" s="317">
        <v>3</v>
      </c>
      <c r="C68" s="318" t="s">
        <v>12</v>
      </c>
      <c r="D68" s="294">
        <f>'Reversion Pagos R4'!D198</f>
        <v>-16103442.890000001</v>
      </c>
      <c r="E68" s="295">
        <f>'Reversion Pagos R4'!E198</f>
        <v>-1675790.8</v>
      </c>
      <c r="F68" s="295">
        <f>'Reversion Pagos R4'!F198</f>
        <v>-944961.09</v>
      </c>
      <c r="G68" s="295">
        <f>'Reversion Pagos R4'!G198</f>
        <v>-498165.37</v>
      </c>
      <c r="H68" s="295">
        <f>'Reversion Pagos R4'!H198</f>
        <v>-1988798.6099999999</v>
      </c>
      <c r="I68" s="295">
        <f>'Reversion Pagos R4'!I198</f>
        <v>-69384.490000000005</v>
      </c>
      <c r="J68" s="291">
        <v>0</v>
      </c>
      <c r="K68" s="298">
        <f t="shared" si="25"/>
        <v>-10926342.530000001</v>
      </c>
      <c r="L68" s="297">
        <v>0</v>
      </c>
      <c r="M68" s="298">
        <f>K68-L68</f>
        <v>-10926342.530000001</v>
      </c>
      <c r="N68" s="297">
        <f>'Reversion Pagos R4'!P198</f>
        <v>0</v>
      </c>
      <c r="O68" s="298">
        <f t="shared" si="26"/>
        <v>-10926342.530000001</v>
      </c>
      <c r="Q68" s="309"/>
      <c r="S68" s="317">
        <v>3</v>
      </c>
      <c r="T68" s="318" t="s">
        <v>12</v>
      </c>
      <c r="U68" s="319">
        <f>'Reversion Pagos R4'!J198</f>
        <v>-610877.80000000005</v>
      </c>
      <c r="V68" s="320">
        <f>'Reversion Pagos R4'!K198</f>
        <v>-661718.15</v>
      </c>
      <c r="W68" s="320">
        <f>'Reversion Pagos R4'!L198</f>
        <v>-3047755.47</v>
      </c>
      <c r="X68" s="320">
        <f>'Reversion Pagos R4'!M198</f>
        <v>-3903213.61</v>
      </c>
      <c r="Y68" s="321">
        <f>'Reversion Pagos R4'!N198</f>
        <v>-113207.1</v>
      </c>
      <c r="Z68" s="322">
        <f t="shared" si="27"/>
        <v>0</v>
      </c>
      <c r="AA68" s="323">
        <f>'Reversion Pagos R4'!O198</f>
        <v>-91.11999999999999</v>
      </c>
      <c r="AB68" s="297">
        <f t="shared" si="28"/>
        <v>0</v>
      </c>
      <c r="AC68" s="323">
        <f>+'Reversion Pagos R4'!Q198+'Reversion Pagos R4'!R198</f>
        <v>0</v>
      </c>
      <c r="AD68" s="294">
        <f t="shared" ref="AD68:AD69" si="30">-J68+AE68</f>
        <v>-2589479.2800000003</v>
      </c>
      <c r="AE68" s="294">
        <f>'Reversion Pagos R4'!D199</f>
        <v>-2589479.2800000003</v>
      </c>
      <c r="AF68" s="325">
        <f t="shared" ref="AF68:AF70" si="31">SUM(U68:AD68)</f>
        <v>-10926342.529999999</v>
      </c>
      <c r="AG68" s="525">
        <f t="shared" ref="AG68:AG70" si="32">(AF68-O68)</f>
        <v>1.862645149230957E-9</v>
      </c>
      <c r="AH68" s="308" t="b">
        <f t="shared" si="29"/>
        <v>1</v>
      </c>
      <c r="AI68" s="309"/>
    </row>
    <row r="69" spans="1:35" s="308" customFormat="1" x14ac:dyDescent="0.25">
      <c r="B69" s="317">
        <v>4</v>
      </c>
      <c r="C69" s="318" t="s">
        <v>13</v>
      </c>
      <c r="D69" s="294">
        <f>'Reversion Pagos R4'!D312</f>
        <v>-21288908.57</v>
      </c>
      <c r="E69" s="295">
        <f>'Reversion Pagos R4'!E312</f>
        <v>-1473845.22</v>
      </c>
      <c r="F69" s="295">
        <f>'Reversion Pagos R4'!F312</f>
        <v>-784582.46</v>
      </c>
      <c r="G69" s="295">
        <f>'Reversion Pagos R4'!G312</f>
        <v>-397506.78</v>
      </c>
      <c r="H69" s="295">
        <f>'Reversion Pagos R4'!H312</f>
        <v>-4443538.74</v>
      </c>
      <c r="I69" s="295">
        <f>'Reversion Pagos R4'!I312</f>
        <v>-161181.95000000001</v>
      </c>
      <c r="J69" s="291">
        <v>0</v>
      </c>
      <c r="K69" s="298">
        <f t="shared" si="25"/>
        <v>-14028253.42</v>
      </c>
      <c r="L69" s="297">
        <v>0</v>
      </c>
      <c r="M69" s="298">
        <f>K69-L69</f>
        <v>-14028253.42</v>
      </c>
      <c r="N69" s="297">
        <f>'Reversion Pagos R4'!P312</f>
        <v>0</v>
      </c>
      <c r="O69" s="298">
        <f t="shared" si="26"/>
        <v>-14028253.42</v>
      </c>
      <c r="Q69" s="309"/>
      <c r="S69" s="317">
        <v>4</v>
      </c>
      <c r="T69" s="318" t="s">
        <v>13</v>
      </c>
      <c r="U69" s="319">
        <f>'Reversion Pagos R4'!J312</f>
        <v>-1416285.5499999998</v>
      </c>
      <c r="V69" s="320">
        <f>'Reversion Pagos R4'!K312</f>
        <v>-1435467.4500000002</v>
      </c>
      <c r="W69" s="320">
        <f>'Reversion Pagos R4'!L312</f>
        <v>-7076059.7800000003</v>
      </c>
      <c r="X69" s="320">
        <f>'Reversion Pagos R4'!M312</f>
        <v>-4014442.49</v>
      </c>
      <c r="Y69" s="321">
        <f>'Reversion Pagos R4'!N312</f>
        <v>-262349.87</v>
      </c>
      <c r="Z69" s="322">
        <f t="shared" si="27"/>
        <v>0</v>
      </c>
      <c r="AA69" s="323">
        <f>'Reversion Pagos R4'!O312</f>
        <v>123.13</v>
      </c>
      <c r="AB69" s="297">
        <f t="shared" si="28"/>
        <v>0</v>
      </c>
      <c r="AC69" s="323">
        <f>+'Reversion Pagos R4'!Q312+'Reversion Pagos R4'!R312</f>
        <v>1.27</v>
      </c>
      <c r="AD69" s="294">
        <f t="shared" si="30"/>
        <v>176227.31999999995</v>
      </c>
      <c r="AE69" s="294">
        <f>'Reversion Pagos R4'!D313</f>
        <v>176227.31999999995</v>
      </c>
      <c r="AF69" s="325">
        <f>SUM(U69:AD69)</f>
        <v>-14028253.42</v>
      </c>
      <c r="AG69" s="525">
        <f>(AF69-O69)</f>
        <v>0</v>
      </c>
      <c r="AH69" s="308" t="b">
        <f t="shared" si="29"/>
        <v>1</v>
      </c>
      <c r="AI69" s="309"/>
    </row>
    <row r="70" spans="1:35" s="308" customFormat="1" ht="12" thickBot="1" x14ac:dyDescent="0.3">
      <c r="B70" s="327">
        <v>5</v>
      </c>
      <c r="C70" s="328" t="s">
        <v>14</v>
      </c>
      <c r="D70" s="299">
        <f>'Reversion Pagos R4'!D347</f>
        <v>-6421274.6799999997</v>
      </c>
      <c r="E70" s="300">
        <f>'Reversion Pagos R4'!E347</f>
        <v>-378745.74</v>
      </c>
      <c r="F70" s="300">
        <f>'Reversion Pagos R4'!F347</f>
        <v>-211921.94</v>
      </c>
      <c r="G70" s="300">
        <f>'Reversion Pagos R4'!G347</f>
        <v>-112229.11</v>
      </c>
      <c r="H70" s="300">
        <f>'Reversion Pagos R4'!H347</f>
        <v>-1389935</v>
      </c>
      <c r="I70" s="300">
        <f>'Reversion Pagos R4'!I347</f>
        <v>-51431.34</v>
      </c>
      <c r="J70" s="292">
        <v>0</v>
      </c>
      <c r="K70" s="298">
        <f t="shared" si="25"/>
        <v>-4277011.5499999989</v>
      </c>
      <c r="L70" s="297">
        <v>0</v>
      </c>
      <c r="M70" s="301">
        <f>K70-L70</f>
        <v>-4277011.5499999989</v>
      </c>
      <c r="N70" s="297">
        <f>'Reversion Pagos R4'!P347</f>
        <v>0</v>
      </c>
      <c r="O70" s="301">
        <f t="shared" si="26"/>
        <v>-4277011.5499999989</v>
      </c>
      <c r="Q70" s="309"/>
      <c r="S70" s="327">
        <v>5</v>
      </c>
      <c r="T70" s="328" t="s">
        <v>14</v>
      </c>
      <c r="U70" s="299">
        <f>'Reversion Pagos R4'!J347</f>
        <v>-453409.32</v>
      </c>
      <c r="V70" s="300">
        <f>'Reversion Pagos R4'!K347</f>
        <v>-464039.4</v>
      </c>
      <c r="W70" s="300">
        <f>'Reversion Pagos R4'!L347</f>
        <v>-2352412.54</v>
      </c>
      <c r="X70" s="300">
        <f>'Reversion Pagos R4'!M347</f>
        <v>-1117764.18</v>
      </c>
      <c r="Y70" s="292">
        <f>'Reversion Pagos R4'!N347</f>
        <v>-83914.08</v>
      </c>
      <c r="Z70" s="322">
        <f t="shared" si="27"/>
        <v>0</v>
      </c>
      <c r="AA70" s="323">
        <f>'Reversion Pagos R4'!O347</f>
        <v>51.27</v>
      </c>
      <c r="AB70" s="297">
        <f t="shared" si="28"/>
        <v>0</v>
      </c>
      <c r="AC70" s="323">
        <f>+'Reversion Pagos R4'!Q347+'Reversion Pagos R4'!R347</f>
        <v>0.02</v>
      </c>
      <c r="AD70" s="294">
        <f>-J70+AE70</f>
        <v>194476.68</v>
      </c>
      <c r="AE70" s="294">
        <f>'Reversion Pagos R4'!D348</f>
        <v>194476.68</v>
      </c>
      <c r="AF70" s="325">
        <f t="shared" si="31"/>
        <v>-4277011.5500000007</v>
      </c>
      <c r="AG70" s="526">
        <f t="shared" si="32"/>
        <v>-1.862645149230957E-9</v>
      </c>
      <c r="AH70" s="308" t="b">
        <f t="shared" si="29"/>
        <v>0</v>
      </c>
      <c r="AI70" s="309"/>
    </row>
    <row r="71" spans="1:35" s="308" customFormat="1" ht="13.5" thickBot="1" x14ac:dyDescent="0.35">
      <c r="B71" s="330"/>
      <c r="C71" s="331" t="s">
        <v>2</v>
      </c>
      <c r="D71" s="293">
        <f t="shared" ref="D71:O71" si="33">SUM(D66:D70)</f>
        <v>-65757071.510000005</v>
      </c>
      <c r="E71" s="293">
        <f t="shared" si="33"/>
        <v>-5754330.9500000002</v>
      </c>
      <c r="F71" s="293">
        <f t="shared" si="33"/>
        <v>-3197698.09</v>
      </c>
      <c r="G71" s="293">
        <f t="shared" ref="G71" si="34">SUM(G66:G70)</f>
        <v>-1669761.4300000002</v>
      </c>
      <c r="H71" s="293">
        <f t="shared" si="33"/>
        <v>-11228631.58</v>
      </c>
      <c r="I71" s="293">
        <f t="shared" si="33"/>
        <v>-410406.04000000004</v>
      </c>
      <c r="J71" s="293">
        <f t="shared" si="33"/>
        <v>0</v>
      </c>
      <c r="K71" s="303">
        <f t="shared" si="33"/>
        <v>-43496243.420000002</v>
      </c>
      <c r="L71" s="304">
        <f t="shared" si="33"/>
        <v>0</v>
      </c>
      <c r="M71" s="305">
        <f t="shared" si="33"/>
        <v>-43496243.420000002</v>
      </c>
      <c r="N71" s="304">
        <f t="shared" si="33"/>
        <v>0</v>
      </c>
      <c r="O71" s="305">
        <f t="shared" si="33"/>
        <v>-43496243.420000002</v>
      </c>
      <c r="P71" s="332"/>
      <c r="Q71" s="309"/>
      <c r="S71" s="330"/>
      <c r="T71" s="331" t="s">
        <v>2</v>
      </c>
      <c r="U71" s="333">
        <f>SUM(U66:U70)</f>
        <v>-3603487.01</v>
      </c>
      <c r="V71" s="333">
        <f t="shared" ref="V71:AF71" si="35">SUM(V66:V70)</f>
        <v>-3703292.71</v>
      </c>
      <c r="W71" s="333">
        <f t="shared" si="35"/>
        <v>-17817135.16</v>
      </c>
      <c r="X71" s="333">
        <f t="shared" si="35"/>
        <v>-14616142.209999999</v>
      </c>
      <c r="Y71" s="333">
        <f t="shared" si="35"/>
        <v>-668342.41999999993</v>
      </c>
      <c r="Z71" s="293">
        <f t="shared" si="35"/>
        <v>0</v>
      </c>
      <c r="AA71" s="293">
        <f>SUM(AA66:AA70)</f>
        <v>118.48000000000002</v>
      </c>
      <c r="AB71" s="293">
        <f t="shared" si="35"/>
        <v>0</v>
      </c>
      <c r="AC71" s="293">
        <f t="shared" ref="AC71" si="36">SUM(AC66:AC70)</f>
        <v>1.29</v>
      </c>
      <c r="AD71" s="293">
        <f>SUM(AD66:AD70)</f>
        <v>-3087963.68</v>
      </c>
      <c r="AE71" s="293">
        <f>SUM(AE66:AE70)</f>
        <v>-3087963.68</v>
      </c>
      <c r="AF71" s="334">
        <f t="shared" si="35"/>
        <v>-43496243.420000002</v>
      </c>
      <c r="AG71" s="527">
        <f t="shared" ref="AG71" si="37">SUM(AG66:AG70)</f>
        <v>2.7939677238464355E-9</v>
      </c>
      <c r="AH71" s="308" t="b">
        <f>INT(AG71)=0</f>
        <v>1</v>
      </c>
      <c r="AI71" s="309"/>
    </row>
    <row r="72" spans="1:35" ht="12" thickBot="1" x14ac:dyDescent="0.3">
      <c r="B72" s="2"/>
      <c r="C72" s="2"/>
      <c r="D72" s="24"/>
      <c r="E72" s="24"/>
      <c r="F72" s="24"/>
      <c r="G72" s="24"/>
      <c r="H72" s="24"/>
      <c r="I72" s="24"/>
      <c r="K72" s="24"/>
      <c r="L72" s="24"/>
      <c r="M72" s="24"/>
      <c r="N72" s="24"/>
      <c r="O72" s="24"/>
      <c r="Q72" s="4"/>
      <c r="S72" s="2"/>
      <c r="T72" s="2"/>
      <c r="U72" s="24"/>
      <c r="V72" s="24"/>
      <c r="W72" s="24"/>
      <c r="X72" s="24"/>
      <c r="Y72" s="24"/>
      <c r="AF72" s="24"/>
      <c r="AI72" s="4"/>
    </row>
    <row r="73" spans="1:35" ht="12" thickBot="1" x14ac:dyDescent="0.3">
      <c r="B73" s="2"/>
      <c r="C73" s="2"/>
      <c r="D73" s="24" t="s">
        <v>1</v>
      </c>
      <c r="E73" s="24"/>
      <c r="F73" s="24"/>
      <c r="G73" s="24"/>
      <c r="H73" s="24"/>
      <c r="I73" s="24"/>
      <c r="K73" s="24"/>
      <c r="L73" s="24"/>
      <c r="M73" s="24"/>
      <c r="N73" s="24"/>
      <c r="O73" s="24"/>
      <c r="Q73" s="4"/>
      <c r="Y73" s="86">
        <f>SUM(U71:Y71)</f>
        <v>-40408399.509999998</v>
      </c>
      <c r="AA73" s="1" t="s">
        <v>1</v>
      </c>
      <c r="AB73" s="1" t="s">
        <v>1</v>
      </c>
      <c r="AD73" s="1" t="s">
        <v>1</v>
      </c>
      <c r="AF73" s="1" t="s">
        <v>1</v>
      </c>
      <c r="AI73" s="4"/>
    </row>
    <row r="74" spans="1:35" ht="12" thickBot="1" x14ac:dyDescent="0.3">
      <c r="B74" s="2"/>
      <c r="C74" s="2"/>
      <c r="D74" s="24" t="s">
        <v>1</v>
      </c>
      <c r="E74" s="33"/>
      <c r="F74" s="33"/>
      <c r="G74" s="33"/>
      <c r="H74" s="33"/>
      <c r="I74" s="24"/>
      <c r="K74" s="24"/>
      <c r="L74" s="24"/>
      <c r="M74" s="24"/>
      <c r="N74" s="24"/>
      <c r="O74" s="24"/>
      <c r="Q74" s="4"/>
      <c r="AI74" s="4"/>
    </row>
    <row r="75" spans="1:35" x14ac:dyDescent="0.25">
      <c r="B75" s="2"/>
      <c r="C75" s="2"/>
      <c r="D75" s="24" t="s">
        <v>1</v>
      </c>
      <c r="E75" s="24" t="s">
        <v>1</v>
      </c>
      <c r="F75" s="24" t="s">
        <v>25</v>
      </c>
      <c r="G75" s="24"/>
      <c r="H75" s="24"/>
      <c r="I75" s="24"/>
      <c r="K75" s="24"/>
      <c r="L75" s="24"/>
      <c r="M75" s="24"/>
      <c r="N75" s="24"/>
      <c r="O75" s="24"/>
      <c r="Q75" s="4"/>
      <c r="AI75" s="4"/>
    </row>
    <row r="76" spans="1:35" x14ac:dyDescent="0.25">
      <c r="A76" s="4"/>
      <c r="B76" s="34"/>
      <c r="C76" s="34"/>
      <c r="D76" s="35"/>
      <c r="E76" s="35"/>
      <c r="F76" s="35"/>
      <c r="G76" s="35"/>
      <c r="H76" s="35"/>
      <c r="I76" s="35"/>
      <c r="J76" s="4"/>
      <c r="K76" s="35"/>
      <c r="L76" s="35"/>
      <c r="M76" s="35"/>
      <c r="N76" s="35"/>
      <c r="O76" s="35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277"/>
      <c r="AH76" s="4"/>
      <c r="AI76" s="4"/>
    </row>
    <row r="77" spans="1:35" ht="12" thickBot="1" x14ac:dyDescent="0.3">
      <c r="Q77" s="4"/>
      <c r="AI77" s="4"/>
    </row>
    <row r="78" spans="1:35" x14ac:dyDescent="0.25">
      <c r="B78" s="5"/>
      <c r="C78" s="3" t="s">
        <v>1</v>
      </c>
      <c r="D78" s="6" t="s">
        <v>1</v>
      </c>
      <c r="E78" s="3"/>
      <c r="F78" s="3"/>
      <c r="G78" s="3"/>
      <c r="H78" s="3" t="s">
        <v>1</v>
      </c>
      <c r="I78" s="3"/>
      <c r="J78" s="3"/>
      <c r="K78" s="3"/>
      <c r="L78" s="3"/>
      <c r="M78" s="3"/>
      <c r="N78" s="3"/>
      <c r="O78" s="7"/>
      <c r="P78" s="2"/>
      <c r="Q78" s="4"/>
      <c r="S78" s="5"/>
      <c r="T78" s="3" t="s">
        <v>1</v>
      </c>
      <c r="U78" s="6" t="s">
        <v>1</v>
      </c>
      <c r="V78" s="3"/>
      <c r="W78" s="3"/>
      <c r="X78" s="3" t="s">
        <v>1</v>
      </c>
      <c r="Y78" s="3"/>
      <c r="Z78" s="3"/>
      <c r="AA78" s="3"/>
      <c r="AB78" s="3"/>
      <c r="AC78" s="3"/>
      <c r="AD78" s="3"/>
      <c r="AE78" s="3"/>
      <c r="AF78" s="7"/>
      <c r="AG78" s="275"/>
      <c r="AI78" s="4"/>
    </row>
    <row r="79" spans="1:35" ht="14" x14ac:dyDescent="0.3">
      <c r="B79" s="8"/>
      <c r="F79" s="26" t="s">
        <v>8</v>
      </c>
      <c r="G79" s="26"/>
      <c r="I79" s="26" t="s">
        <v>16</v>
      </c>
      <c r="J79" s="25"/>
      <c r="M79" s="2" t="s">
        <v>15</v>
      </c>
      <c r="N79" s="50">
        <f>N3</f>
        <v>2026071</v>
      </c>
      <c r="O79" s="10"/>
      <c r="P79" s="2"/>
      <c r="Q79" s="4"/>
      <c r="S79" s="8"/>
      <c r="U79" s="26" t="s">
        <v>8</v>
      </c>
      <c r="W79" s="26" t="s">
        <v>16</v>
      </c>
      <c r="X79" s="25"/>
      <c r="Y79" s="2"/>
      <c r="AA79" s="2" t="s">
        <v>15</v>
      </c>
      <c r="AD79" s="84">
        <f>N79</f>
        <v>2026071</v>
      </c>
      <c r="AE79" s="84"/>
      <c r="AF79" s="48"/>
      <c r="AG79" s="275"/>
      <c r="AI79" s="4"/>
    </row>
    <row r="80" spans="1:35" ht="15.5" x14ac:dyDescent="0.35">
      <c r="B80" s="8"/>
      <c r="F80" s="36" t="s">
        <v>29</v>
      </c>
      <c r="G80" s="36"/>
      <c r="O80" s="10"/>
      <c r="P80" s="2"/>
      <c r="Q80" s="4"/>
      <c r="S80" s="8"/>
      <c r="T80" s="26" t="s">
        <v>1</v>
      </c>
      <c r="U80" s="36" t="s">
        <v>29</v>
      </c>
      <c r="Y80" s="2" t="s">
        <v>1</v>
      </c>
      <c r="AA80" s="50" t="s">
        <v>1</v>
      </c>
      <c r="AB80" s="2"/>
      <c r="AC80" s="2"/>
      <c r="AD80" s="2"/>
      <c r="AE80" s="2"/>
      <c r="AF80" s="10" t="s">
        <v>1</v>
      </c>
      <c r="AG80" s="275"/>
      <c r="AI80" s="4"/>
    </row>
    <row r="81" spans="1:35" ht="14" x14ac:dyDescent="0.3">
      <c r="B81" s="8"/>
      <c r="F81" s="2" t="s">
        <v>30</v>
      </c>
      <c r="G81" s="2"/>
      <c r="M81" s="2" t="s">
        <v>1</v>
      </c>
      <c r="O81" s="10"/>
      <c r="P81" s="2"/>
      <c r="Q81" s="4"/>
      <c r="S81" s="8"/>
      <c r="T81" s="49" t="s">
        <v>1</v>
      </c>
      <c r="U81" s="2" t="s">
        <v>30</v>
      </c>
      <c r="AF81" s="44"/>
      <c r="AG81" s="275"/>
      <c r="AI81" s="4"/>
    </row>
    <row r="82" spans="1:35" ht="15.5" x14ac:dyDescent="0.35">
      <c r="B82" s="8"/>
      <c r="C82" s="591" t="s">
        <v>17</v>
      </c>
      <c r="D82" s="9">
        <f>D6</f>
        <v>46220</v>
      </c>
      <c r="F82" s="41" t="s">
        <v>126</v>
      </c>
      <c r="G82" s="41"/>
      <c r="H82" s="2"/>
      <c r="J82" s="2"/>
      <c r="O82" s="10"/>
      <c r="P82" s="2"/>
      <c r="Q82" s="4"/>
      <c r="S82" s="8"/>
      <c r="T82" s="41" t="s">
        <v>1</v>
      </c>
      <c r="U82" s="41" t="str">
        <f>F82</f>
        <v>R5 - REMUNERACIÓN SALDOS A FAVOR POR NOTA</v>
      </c>
      <c r="V82" s="2"/>
      <c r="X82" s="2"/>
      <c r="Y82" s="2"/>
      <c r="AF82" s="48"/>
      <c r="AG82" s="275"/>
      <c r="AI82" s="4"/>
    </row>
    <row r="83" spans="1:35" ht="12" thickBot="1" x14ac:dyDescent="0.3">
      <c r="B83" s="8"/>
      <c r="C83" s="591" t="s">
        <v>0</v>
      </c>
      <c r="D83" s="241">
        <f>D7</f>
        <v>0.58333333333333337</v>
      </c>
      <c r="F83" s="2" t="s">
        <v>27</v>
      </c>
      <c r="G83" s="9">
        <f>G7</f>
        <v>46204</v>
      </c>
      <c r="J83" s="2" t="s">
        <v>28</v>
      </c>
      <c r="K83" s="9">
        <f>K7</f>
        <v>46218</v>
      </c>
      <c r="O83" s="10"/>
      <c r="P83" s="2"/>
      <c r="Q83" s="4"/>
      <c r="S83" s="8"/>
      <c r="U83" s="1" t="str">
        <f>F83</f>
        <v>Fecha Desde:</v>
      </c>
      <c r="V83" s="9">
        <f>G83</f>
        <v>46204</v>
      </c>
      <c r="W83" s="1" t="s">
        <v>1</v>
      </c>
      <c r="X83" s="1" t="str">
        <f>J83</f>
        <v>Feha Hasta:</v>
      </c>
      <c r="Y83" s="9">
        <f>K83</f>
        <v>46218</v>
      </c>
      <c r="Z83" s="1" t="s">
        <v>1</v>
      </c>
      <c r="AF83" s="48"/>
      <c r="AG83" s="275"/>
      <c r="AI83" s="4"/>
    </row>
    <row r="84" spans="1:35" ht="72" customHeight="1" thickBot="1" x14ac:dyDescent="0.3">
      <c r="B84" s="11" t="s">
        <v>3</v>
      </c>
      <c r="C84" s="27" t="s">
        <v>9</v>
      </c>
      <c r="D84" s="11" t="s">
        <v>4</v>
      </c>
      <c r="E84" s="12" t="s">
        <v>5</v>
      </c>
      <c r="F84" s="27" t="s">
        <v>6</v>
      </c>
      <c r="G84" s="27" t="s">
        <v>159</v>
      </c>
      <c r="H84" s="27" t="s">
        <v>18</v>
      </c>
      <c r="I84" s="12" t="s">
        <v>24</v>
      </c>
      <c r="J84" s="73" t="s">
        <v>19</v>
      </c>
      <c r="K84" s="29" t="s">
        <v>20</v>
      </c>
      <c r="L84" s="28" t="s">
        <v>21</v>
      </c>
      <c r="M84" s="39" t="s">
        <v>22</v>
      </c>
      <c r="N84" s="12" t="s">
        <v>7</v>
      </c>
      <c r="O84" s="39" t="s">
        <v>23</v>
      </c>
      <c r="P84" s="13"/>
      <c r="Q84" s="4"/>
      <c r="S84" s="11" t="s">
        <v>3</v>
      </c>
      <c r="T84" s="27" t="s">
        <v>9</v>
      </c>
      <c r="U84" s="162" t="s">
        <v>39</v>
      </c>
      <c r="V84" s="163" t="s">
        <v>40</v>
      </c>
      <c r="W84" s="163" t="s">
        <v>41</v>
      </c>
      <c r="X84" s="163" t="s">
        <v>42</v>
      </c>
      <c r="Y84" s="164" t="s">
        <v>43</v>
      </c>
      <c r="Z84" s="85" t="s">
        <v>21</v>
      </c>
      <c r="AA84" s="65" t="s">
        <v>46</v>
      </c>
      <c r="AB84" s="599" t="s">
        <v>7</v>
      </c>
      <c r="AC84" s="65" t="s">
        <v>167</v>
      </c>
      <c r="AD84" s="566" t="s">
        <v>105</v>
      </c>
      <c r="AE84" s="121" t="s">
        <v>104</v>
      </c>
      <c r="AF84" s="39" t="s">
        <v>23</v>
      </c>
      <c r="AG84" s="276"/>
      <c r="AI84" s="4"/>
    </row>
    <row r="85" spans="1:35" s="308" customFormat="1" x14ac:dyDescent="0.25">
      <c r="B85" s="306">
        <v>1</v>
      </c>
      <c r="C85" s="307" t="s">
        <v>10</v>
      </c>
      <c r="D85" s="294">
        <f>'AJUSTES - SF-T'!D47</f>
        <v>0</v>
      </c>
      <c r="E85" s="295">
        <f>'AJUSTES - SF-T'!E47</f>
        <v>0</v>
      </c>
      <c r="F85" s="295">
        <f>'AJUSTES - SF-T'!F47</f>
        <v>0</v>
      </c>
      <c r="G85" s="295">
        <f>'AJUSTES - SF-T'!G47</f>
        <v>0</v>
      </c>
      <c r="H85" s="295">
        <f>'AJUSTES - SF-T'!H47</f>
        <v>0</v>
      </c>
      <c r="I85" s="295">
        <f>'AJUSTES - SF-T'!I47</f>
        <v>0</v>
      </c>
      <c r="J85" s="291">
        <f>'AJUSTES - SF-T'!J47</f>
        <v>0</v>
      </c>
      <c r="K85" s="296">
        <f>D85-E85-F85-G85-H85-I85-J85</f>
        <v>0</v>
      </c>
      <c r="L85" s="297">
        <v>0</v>
      </c>
      <c r="M85" s="296">
        <f>K85-L85</f>
        <v>0</v>
      </c>
      <c r="N85" s="297">
        <f>'AJUSTES - SF-T'!N47</f>
        <v>0</v>
      </c>
      <c r="O85" s="296">
        <f>M85+N85</f>
        <v>0</v>
      </c>
      <c r="Q85" s="309"/>
      <c r="S85" s="306">
        <v>1</v>
      </c>
      <c r="T85" s="307" t="s">
        <v>10</v>
      </c>
      <c r="U85" s="310">
        <f>'AJUSTES - SF-T'!U47</f>
        <v>0</v>
      </c>
      <c r="V85" s="311">
        <f>'AJUSTES - SF-T'!V47</f>
        <v>0</v>
      </c>
      <c r="W85" s="311">
        <f>'AJUSTES - SF-T'!W47</f>
        <v>0</v>
      </c>
      <c r="X85" s="311">
        <f>'AJUSTES - SF-T'!X47</f>
        <v>0</v>
      </c>
      <c r="Y85" s="312">
        <f>'AJUSTES - SF-T'!Y47</f>
        <v>0</v>
      </c>
      <c r="Z85" s="313">
        <f>-L85</f>
        <v>0</v>
      </c>
      <c r="AA85" s="314">
        <v>0</v>
      </c>
      <c r="AB85" s="297">
        <f>N85</f>
        <v>0</v>
      </c>
      <c r="AC85" s="314">
        <f>'AJUSTES - SF-T'!AA47</f>
        <v>0</v>
      </c>
      <c r="AD85" s="597">
        <f>-J85+AE85</f>
        <v>0</v>
      </c>
      <c r="AE85" s="294">
        <f>'AJUSTES - SF-T'!AD47</f>
        <v>0</v>
      </c>
      <c r="AF85" s="316">
        <f>SUM(U85:AD85)</f>
        <v>0</v>
      </c>
      <c r="AG85" s="524">
        <f>AF85-O85</f>
        <v>0</v>
      </c>
      <c r="AH85" s="308" t="b">
        <f>INT(AG85)=0</f>
        <v>1</v>
      </c>
      <c r="AI85" s="309"/>
    </row>
    <row r="86" spans="1:35" s="308" customFormat="1" x14ac:dyDescent="0.25">
      <c r="B86" s="317">
        <v>2</v>
      </c>
      <c r="C86" s="318" t="s">
        <v>11</v>
      </c>
      <c r="D86" s="294">
        <f>'AJUSTES - SF-T'!D48</f>
        <v>0</v>
      </c>
      <c r="E86" s="295">
        <f>'AJUSTES - SF-T'!E48</f>
        <v>0</v>
      </c>
      <c r="F86" s="295">
        <f>'AJUSTES - SF-T'!F48</f>
        <v>0</v>
      </c>
      <c r="G86" s="295">
        <f>'AJUSTES - SF-T'!G48</f>
        <v>0</v>
      </c>
      <c r="H86" s="295">
        <f>'AJUSTES - SF-T'!H48</f>
        <v>0</v>
      </c>
      <c r="I86" s="295">
        <f>'AJUSTES - SF-T'!I48</f>
        <v>0</v>
      </c>
      <c r="J86" s="291">
        <f>'AJUSTES - SF-T'!J48</f>
        <v>0</v>
      </c>
      <c r="K86" s="298">
        <f t="shared" ref="K86:K89" si="38">D86-E86-F86-G86-H86-I86-J86</f>
        <v>0</v>
      </c>
      <c r="L86" s="297">
        <v>0</v>
      </c>
      <c r="M86" s="298">
        <f>K86-L86</f>
        <v>0</v>
      </c>
      <c r="N86" s="297">
        <f>'AJUSTES - SF-T'!N48</f>
        <v>0</v>
      </c>
      <c r="O86" s="298">
        <f t="shared" ref="O86:O89" si="39">M86+N86</f>
        <v>0</v>
      </c>
      <c r="Q86" s="309"/>
      <c r="S86" s="317">
        <v>2</v>
      </c>
      <c r="T86" s="318" t="s">
        <v>11</v>
      </c>
      <c r="U86" s="319">
        <f>'AJUSTES - SF-T'!U48</f>
        <v>0</v>
      </c>
      <c r="V86" s="320">
        <f>'AJUSTES - SF-T'!V48</f>
        <v>0</v>
      </c>
      <c r="W86" s="320">
        <f>'AJUSTES - SF-T'!W48</f>
        <v>0</v>
      </c>
      <c r="X86" s="320">
        <f>'AJUSTES - SF-T'!X48</f>
        <v>0</v>
      </c>
      <c r="Y86" s="321">
        <f>'AJUSTES - SF-T'!Y48</f>
        <v>0</v>
      </c>
      <c r="Z86" s="322">
        <f>-L86</f>
        <v>0</v>
      </c>
      <c r="AA86" s="323">
        <f>'AJUSTES - SF-T'!AA48</f>
        <v>0</v>
      </c>
      <c r="AB86" s="297">
        <f>N86</f>
        <v>0</v>
      </c>
      <c r="AC86" s="598">
        <v>0</v>
      </c>
      <c r="AD86" s="597">
        <f t="shared" ref="AD86:AD89" si="40">-J86+AE86</f>
        <v>0</v>
      </c>
      <c r="AE86" s="294">
        <f>'AJUSTES - SF-T'!AD48</f>
        <v>0</v>
      </c>
      <c r="AF86" s="325">
        <f>SUM(U86:AD86)</f>
        <v>0</v>
      </c>
      <c r="AG86" s="525">
        <f>AF86-O86</f>
        <v>0</v>
      </c>
      <c r="AH86" s="308" t="b">
        <f t="shared" ref="AH86:AH89" si="41">INT(AG86)=0</f>
        <v>1</v>
      </c>
      <c r="AI86" s="309"/>
    </row>
    <row r="87" spans="1:35" s="308" customFormat="1" x14ac:dyDescent="0.25">
      <c r="B87" s="317">
        <v>3</v>
      </c>
      <c r="C87" s="318" t="s">
        <v>12</v>
      </c>
      <c r="D87" s="294">
        <f>'AJUSTES - SF-T'!D49</f>
        <v>0</v>
      </c>
      <c r="E87" s="295">
        <f>'AJUSTES - SF-T'!E49</f>
        <v>0</v>
      </c>
      <c r="F87" s="295">
        <f>'AJUSTES - SF-T'!F49</f>
        <v>0</v>
      </c>
      <c r="G87" s="295">
        <f>'AJUSTES - SF-T'!G49</f>
        <v>0</v>
      </c>
      <c r="H87" s="295">
        <f>'AJUSTES - SF-T'!H49</f>
        <v>0</v>
      </c>
      <c r="I87" s="295">
        <f>'AJUSTES - SF-T'!I49</f>
        <v>0</v>
      </c>
      <c r="J87" s="291">
        <f>'AJUSTES - SF-T'!J49</f>
        <v>0</v>
      </c>
      <c r="K87" s="298">
        <f t="shared" si="38"/>
        <v>0</v>
      </c>
      <c r="L87" s="297">
        <v>0</v>
      </c>
      <c r="M87" s="298">
        <f>K87-L87</f>
        <v>0</v>
      </c>
      <c r="N87" s="297">
        <f>'AJUSTES - SF-T'!N49</f>
        <v>0</v>
      </c>
      <c r="O87" s="298">
        <f t="shared" si="39"/>
        <v>0</v>
      </c>
      <c r="Q87" s="309"/>
      <c r="S87" s="317">
        <v>3</v>
      </c>
      <c r="T87" s="318" t="s">
        <v>12</v>
      </c>
      <c r="U87" s="319">
        <f>'AJUSTES - SF-T'!U49</f>
        <v>0</v>
      </c>
      <c r="V87" s="320">
        <f>'AJUSTES - SF-T'!V49</f>
        <v>0</v>
      </c>
      <c r="W87" s="320">
        <f>'AJUSTES - SF-T'!W49</f>
        <v>0</v>
      </c>
      <c r="X87" s="320">
        <f>'AJUSTES - SF-T'!X49</f>
        <v>0</v>
      </c>
      <c r="Y87" s="321">
        <f>'AJUSTES - SF-T'!Y49</f>
        <v>0</v>
      </c>
      <c r="Z87" s="322">
        <f>-L87</f>
        <v>0</v>
      </c>
      <c r="AA87" s="323">
        <f>'AJUSTES - SF-T'!AA49</f>
        <v>0</v>
      </c>
      <c r="AB87" s="297">
        <f>N87</f>
        <v>0</v>
      </c>
      <c r="AC87" s="326">
        <v>0</v>
      </c>
      <c r="AD87" s="597">
        <f t="shared" si="40"/>
        <v>0</v>
      </c>
      <c r="AE87" s="294">
        <f>'AJUSTES - SF-T'!AD49</f>
        <v>0</v>
      </c>
      <c r="AF87" s="325">
        <f t="shared" ref="AF87:AF89" si="42">SUM(U87:AD87)</f>
        <v>0</v>
      </c>
      <c r="AG87" s="525">
        <f>AF87-O87</f>
        <v>0</v>
      </c>
      <c r="AH87" s="308" t="b">
        <f t="shared" si="41"/>
        <v>1</v>
      </c>
      <c r="AI87" s="309"/>
    </row>
    <row r="88" spans="1:35" s="308" customFormat="1" x14ac:dyDescent="0.25">
      <c r="B88" s="317">
        <v>4</v>
      </c>
      <c r="C88" s="318" t="s">
        <v>13</v>
      </c>
      <c r="D88" s="294">
        <f>'AJUSTES - SF-T'!D50</f>
        <v>0</v>
      </c>
      <c r="E88" s="295">
        <f>'AJUSTES - SF-T'!E50</f>
        <v>0</v>
      </c>
      <c r="F88" s="295">
        <f>'AJUSTES - SF-T'!F50</f>
        <v>0</v>
      </c>
      <c r="G88" s="295">
        <f>'AJUSTES - SF-T'!G50</f>
        <v>0</v>
      </c>
      <c r="H88" s="295">
        <f>'AJUSTES - SF-T'!H50</f>
        <v>0</v>
      </c>
      <c r="I88" s="295">
        <f>'AJUSTES - SF-T'!I50</f>
        <v>0</v>
      </c>
      <c r="J88" s="291">
        <f>'AJUSTES - SF-T'!J50</f>
        <v>0</v>
      </c>
      <c r="K88" s="298">
        <f t="shared" si="38"/>
        <v>0</v>
      </c>
      <c r="L88" s="297">
        <v>0</v>
      </c>
      <c r="M88" s="298">
        <f>K88-L88</f>
        <v>0</v>
      </c>
      <c r="N88" s="297">
        <f>'AJUSTES - SF-T'!N50</f>
        <v>0</v>
      </c>
      <c r="O88" s="298">
        <f t="shared" si="39"/>
        <v>0</v>
      </c>
      <c r="Q88" s="309"/>
      <c r="S88" s="317">
        <v>4</v>
      </c>
      <c r="T88" s="318" t="s">
        <v>13</v>
      </c>
      <c r="U88" s="319">
        <f>'AJUSTES - SF-T'!U50</f>
        <v>0</v>
      </c>
      <c r="V88" s="320">
        <f>'AJUSTES - SF-T'!V50</f>
        <v>0</v>
      </c>
      <c r="W88" s="320">
        <f>'AJUSTES - SF-T'!W50</f>
        <v>0</v>
      </c>
      <c r="X88" s="320">
        <f>'AJUSTES - SF-T'!X50</f>
        <v>0</v>
      </c>
      <c r="Y88" s="321">
        <f>'AJUSTES - SF-T'!Y50</f>
        <v>0</v>
      </c>
      <c r="Z88" s="322">
        <f>-L88</f>
        <v>0</v>
      </c>
      <c r="AA88" s="323">
        <f>'AJUSTES - SF-T'!AA50</f>
        <v>0</v>
      </c>
      <c r="AB88" s="297">
        <f>N88</f>
        <v>0</v>
      </c>
      <c r="AC88" s="323">
        <v>0</v>
      </c>
      <c r="AD88" s="597">
        <f t="shared" si="40"/>
        <v>0</v>
      </c>
      <c r="AE88" s="294">
        <f>'AJUSTES - SF-T'!AD50</f>
        <v>0</v>
      </c>
      <c r="AF88" s="325">
        <f t="shared" si="42"/>
        <v>0</v>
      </c>
      <c r="AG88" s="525">
        <f>AF88-O88</f>
        <v>0</v>
      </c>
      <c r="AH88" s="308" t="b">
        <f t="shared" si="41"/>
        <v>1</v>
      </c>
      <c r="AI88" s="309"/>
    </row>
    <row r="89" spans="1:35" s="308" customFormat="1" ht="12" thickBot="1" x14ac:dyDescent="0.3">
      <c r="B89" s="327">
        <v>5</v>
      </c>
      <c r="C89" s="328" t="s">
        <v>14</v>
      </c>
      <c r="D89" s="294">
        <f>'AJUSTES - SF-T'!D51</f>
        <v>0</v>
      </c>
      <c r="E89" s="295">
        <f>'AJUSTES - SF-T'!E51</f>
        <v>0</v>
      </c>
      <c r="F89" s="300">
        <f>'AJUSTES - SF-T'!F51</f>
        <v>0</v>
      </c>
      <c r="G89" s="300">
        <f>'AJUSTES - SF-T'!G51</f>
        <v>0</v>
      </c>
      <c r="H89" s="300">
        <f>'AJUSTES - SF-T'!H51</f>
        <v>0</v>
      </c>
      <c r="I89" s="300">
        <f>'AJUSTES - SF-T'!I51</f>
        <v>0</v>
      </c>
      <c r="J89" s="292">
        <f>'AJUSTES - SF-T'!J51</f>
        <v>0</v>
      </c>
      <c r="K89" s="298">
        <f t="shared" si="38"/>
        <v>0</v>
      </c>
      <c r="L89" s="297">
        <v>0</v>
      </c>
      <c r="M89" s="301">
        <f>K89-L89</f>
        <v>0</v>
      </c>
      <c r="N89" s="302">
        <f>'AJUSTES - SF-T'!N51</f>
        <v>0</v>
      </c>
      <c r="O89" s="301">
        <f t="shared" si="39"/>
        <v>0</v>
      </c>
      <c r="Q89" s="309"/>
      <c r="S89" s="327">
        <v>5</v>
      </c>
      <c r="T89" s="328" t="s">
        <v>14</v>
      </c>
      <c r="U89" s="299">
        <f>'AJUSTES - SF-T'!U51</f>
        <v>0</v>
      </c>
      <c r="V89" s="300">
        <f>'AJUSTES - SF-T'!V51</f>
        <v>0</v>
      </c>
      <c r="W89" s="300">
        <f>'AJUSTES - SF-T'!W51</f>
        <v>0</v>
      </c>
      <c r="X89" s="300">
        <f>'AJUSTES - SF-T'!X51</f>
        <v>0</v>
      </c>
      <c r="Y89" s="292">
        <f>'AJUSTES - SF-T'!Y51</f>
        <v>0</v>
      </c>
      <c r="Z89" s="322">
        <f>-L89</f>
        <v>0</v>
      </c>
      <c r="AA89" s="323">
        <f>'AJUSTES - SF-T'!AA51</f>
        <v>0</v>
      </c>
      <c r="AB89" s="297">
        <f>N89</f>
        <v>0</v>
      </c>
      <c r="AC89" s="326">
        <v>0</v>
      </c>
      <c r="AD89" s="597">
        <f t="shared" si="40"/>
        <v>0</v>
      </c>
      <c r="AE89" s="294">
        <f>'AJUSTES - SF-T'!AD51</f>
        <v>0</v>
      </c>
      <c r="AF89" s="325">
        <f t="shared" si="42"/>
        <v>0</v>
      </c>
      <c r="AG89" s="526">
        <f>AF89-O89</f>
        <v>0</v>
      </c>
      <c r="AH89" s="308" t="b">
        <f t="shared" si="41"/>
        <v>1</v>
      </c>
      <c r="AI89" s="309"/>
    </row>
    <row r="90" spans="1:35" s="308" customFormat="1" ht="13.5" thickBot="1" x14ac:dyDescent="0.35">
      <c r="B90" s="330"/>
      <c r="C90" s="331" t="s">
        <v>2</v>
      </c>
      <c r="D90" s="293">
        <f>SUM(D85:D89)</f>
        <v>0</v>
      </c>
      <c r="E90" s="293">
        <f t="shared" ref="E90:O90" si="43">SUM(E85:E89)</f>
        <v>0</v>
      </c>
      <c r="F90" s="293">
        <f t="shared" si="43"/>
        <v>0</v>
      </c>
      <c r="G90" s="293">
        <f t="shared" ref="G90" si="44">SUM(G85:G89)</f>
        <v>0</v>
      </c>
      <c r="H90" s="293">
        <f t="shared" si="43"/>
        <v>0</v>
      </c>
      <c r="I90" s="293">
        <f t="shared" si="43"/>
        <v>0</v>
      </c>
      <c r="J90" s="293">
        <f t="shared" si="43"/>
        <v>0</v>
      </c>
      <c r="K90" s="303">
        <f t="shared" si="43"/>
        <v>0</v>
      </c>
      <c r="L90" s="304">
        <f t="shared" si="43"/>
        <v>0</v>
      </c>
      <c r="M90" s="305">
        <f t="shared" si="43"/>
        <v>0</v>
      </c>
      <c r="N90" s="304">
        <f t="shared" si="43"/>
        <v>0</v>
      </c>
      <c r="O90" s="305">
        <f t="shared" si="43"/>
        <v>0</v>
      </c>
      <c r="P90" s="332"/>
      <c r="Q90" s="309"/>
      <c r="S90" s="330"/>
      <c r="T90" s="331" t="s">
        <v>2</v>
      </c>
      <c r="U90" s="333">
        <f>SUM(U85:U89)</f>
        <v>0</v>
      </c>
      <c r="V90" s="333">
        <f t="shared" ref="V90:AG90" si="45">SUM(V85:V89)</f>
        <v>0</v>
      </c>
      <c r="W90" s="333">
        <f t="shared" si="45"/>
        <v>0</v>
      </c>
      <c r="X90" s="333">
        <f t="shared" si="45"/>
        <v>0</v>
      </c>
      <c r="Y90" s="333">
        <f t="shared" si="45"/>
        <v>0</v>
      </c>
      <c r="Z90" s="293">
        <f t="shared" si="45"/>
        <v>0</v>
      </c>
      <c r="AA90" s="293">
        <f t="shared" si="45"/>
        <v>0</v>
      </c>
      <c r="AB90" s="473">
        <f t="shared" si="45"/>
        <v>0</v>
      </c>
      <c r="AC90" s="293">
        <f t="shared" ref="AC90" si="46">SUM(AC85:AC89)</f>
        <v>0</v>
      </c>
      <c r="AD90" s="600">
        <f t="shared" si="45"/>
        <v>0</v>
      </c>
      <c r="AE90" s="293">
        <f t="shared" si="45"/>
        <v>0</v>
      </c>
      <c r="AF90" s="334">
        <f t="shared" si="45"/>
        <v>0</v>
      </c>
      <c r="AG90" s="527">
        <f t="shared" si="45"/>
        <v>0</v>
      </c>
      <c r="AH90" s="308" t="b">
        <f>INT(AG90)=0</f>
        <v>1</v>
      </c>
      <c r="AI90" s="309"/>
    </row>
    <row r="91" spans="1:35" ht="12" thickBot="1" x14ac:dyDescent="0.3">
      <c r="B91" s="2"/>
      <c r="C91" s="2"/>
      <c r="D91" s="24"/>
      <c r="E91" s="24"/>
      <c r="F91" s="24"/>
      <c r="G91" s="24"/>
      <c r="H91" s="24"/>
      <c r="I91" s="24"/>
      <c r="K91" s="24"/>
      <c r="L91" s="24"/>
      <c r="M91" s="24"/>
      <c r="N91" s="24"/>
      <c r="O91" s="24"/>
      <c r="Q91" s="4"/>
      <c r="S91" s="2"/>
      <c r="T91" s="2"/>
      <c r="U91" s="24"/>
      <c r="V91" s="24"/>
      <c r="W91" s="24"/>
      <c r="X91" s="24"/>
      <c r="Y91" s="24"/>
      <c r="AF91" s="24"/>
      <c r="AI91" s="4"/>
    </row>
    <row r="92" spans="1:35" ht="12" thickBot="1" x14ac:dyDescent="0.3">
      <c r="B92" s="2" t="s">
        <v>1</v>
      </c>
      <c r="C92" s="2"/>
      <c r="D92" s="24"/>
      <c r="E92" s="24"/>
      <c r="F92" s="24"/>
      <c r="G92" s="24"/>
      <c r="H92" s="24"/>
      <c r="I92" s="24"/>
      <c r="K92" s="24"/>
      <c r="L92" s="24"/>
      <c r="M92" s="24"/>
      <c r="N92" s="24"/>
      <c r="O92" s="24"/>
      <c r="Q92" s="4"/>
      <c r="Y92" s="86">
        <f>SUM(U90:Y90)</f>
        <v>0</v>
      </c>
      <c r="AA92" s="1" t="s">
        <v>1</v>
      </c>
      <c r="AB92" s="1" t="s">
        <v>1</v>
      </c>
      <c r="AD92" s="1" t="s">
        <v>1</v>
      </c>
      <c r="AF92" s="1" t="s">
        <v>1</v>
      </c>
      <c r="AI92" s="4"/>
    </row>
    <row r="93" spans="1:35" ht="12" thickBot="1" x14ac:dyDescent="0.3">
      <c r="B93" s="2"/>
      <c r="C93" s="2"/>
      <c r="D93" s="24" t="s">
        <v>1</v>
      </c>
      <c r="E93" s="33"/>
      <c r="F93" s="33"/>
      <c r="G93" s="33"/>
      <c r="H93" s="33"/>
      <c r="I93" s="24"/>
      <c r="K93" s="24"/>
      <c r="L93" s="24"/>
      <c r="M93" s="24"/>
      <c r="N93" s="24"/>
      <c r="O93" s="24"/>
      <c r="Q93" s="4"/>
      <c r="AI93" s="4"/>
    </row>
    <row r="94" spans="1:35" x14ac:dyDescent="0.25">
      <c r="B94" s="2"/>
      <c r="C94" s="2"/>
      <c r="D94" s="24" t="s">
        <v>1</v>
      </c>
      <c r="E94" s="24" t="s">
        <v>1</v>
      </c>
      <c r="F94" s="24" t="s">
        <v>25</v>
      </c>
      <c r="G94" s="24"/>
      <c r="H94" s="24"/>
      <c r="I94" s="24"/>
      <c r="K94" s="24"/>
      <c r="L94" s="24"/>
      <c r="M94" s="24"/>
      <c r="N94" s="24"/>
      <c r="O94" s="24"/>
      <c r="Q94" s="4"/>
      <c r="AI94" s="4"/>
    </row>
    <row r="95" spans="1:35" x14ac:dyDescent="0.25">
      <c r="A95" s="4"/>
      <c r="B95" s="34"/>
      <c r="C95" s="34"/>
      <c r="D95" s="35"/>
      <c r="E95" s="35"/>
      <c r="F95" s="35"/>
      <c r="G95" s="35"/>
      <c r="H95" s="35"/>
      <c r="I95" s="35"/>
      <c r="J95" s="4"/>
      <c r="K95" s="35"/>
      <c r="L95" s="35"/>
      <c r="M95" s="35"/>
      <c r="N95" s="35"/>
      <c r="O95" s="35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277"/>
      <c r="AH95" s="4"/>
      <c r="AI95" s="4"/>
    </row>
    <row r="96" spans="1:35" ht="12" thickBot="1" x14ac:dyDescent="0.3">
      <c r="Q96" s="4"/>
      <c r="AI96" s="4"/>
    </row>
    <row r="97" spans="2:39" x14ac:dyDescent="0.25">
      <c r="B97" s="5"/>
      <c r="C97" s="3" t="s">
        <v>1</v>
      </c>
      <c r="D97" s="6" t="s">
        <v>1</v>
      </c>
      <c r="E97" s="3"/>
      <c r="F97" s="3"/>
      <c r="G97" s="3"/>
      <c r="H97" s="3" t="s">
        <v>1</v>
      </c>
      <c r="I97" s="3"/>
      <c r="J97" s="3"/>
      <c r="K97" s="3"/>
      <c r="L97" s="3"/>
      <c r="M97" s="3"/>
      <c r="N97" s="3"/>
      <c r="O97" s="7"/>
      <c r="P97" s="2"/>
      <c r="Q97" s="4"/>
      <c r="S97" s="5"/>
      <c r="T97" s="3" t="s">
        <v>1</v>
      </c>
      <c r="U97" s="6" t="s">
        <v>1</v>
      </c>
      <c r="V97" s="3"/>
      <c r="W97" s="3"/>
      <c r="X97" s="3" t="s">
        <v>1</v>
      </c>
      <c r="Y97" s="3"/>
      <c r="Z97" s="3"/>
      <c r="AA97" s="3"/>
      <c r="AB97" s="3"/>
      <c r="AC97" s="3"/>
      <c r="AD97" s="3"/>
      <c r="AE97" s="3"/>
      <c r="AF97" s="7"/>
      <c r="AG97" s="275"/>
      <c r="AI97" s="4"/>
    </row>
    <row r="98" spans="2:39" ht="14" x14ac:dyDescent="0.3">
      <c r="B98" s="8"/>
      <c r="F98" s="26" t="s">
        <v>8</v>
      </c>
      <c r="G98" s="26"/>
      <c r="I98" s="26" t="s">
        <v>16</v>
      </c>
      <c r="J98" s="25"/>
      <c r="M98" s="2" t="s">
        <v>15</v>
      </c>
      <c r="N98" s="50">
        <f>N3</f>
        <v>2026071</v>
      </c>
      <c r="O98" s="10"/>
      <c r="P98" s="2"/>
      <c r="Q98" s="4"/>
      <c r="S98" s="8"/>
      <c r="U98" s="26" t="s">
        <v>8</v>
      </c>
      <c r="W98" s="26" t="s">
        <v>16</v>
      </c>
      <c r="X98" s="25"/>
      <c r="Y98" s="2"/>
      <c r="AA98" s="2" t="s">
        <v>15</v>
      </c>
      <c r="AD98" s="84">
        <f>N98</f>
        <v>2026071</v>
      </c>
      <c r="AE98" s="84"/>
      <c r="AF98" s="48"/>
      <c r="AG98" s="275"/>
      <c r="AI98" s="4"/>
    </row>
    <row r="99" spans="2:39" ht="15.5" x14ac:dyDescent="0.35">
      <c r="B99" s="8"/>
      <c r="F99" s="36" t="s">
        <v>29</v>
      </c>
      <c r="G99" s="36"/>
      <c r="O99" s="10"/>
      <c r="P99" s="2"/>
      <c r="Q99" s="4"/>
      <c r="S99" s="8"/>
      <c r="T99" s="26" t="s">
        <v>1</v>
      </c>
      <c r="U99" s="36" t="s">
        <v>29</v>
      </c>
      <c r="Y99" s="2" t="s">
        <v>1</v>
      </c>
      <c r="AA99" s="50" t="s">
        <v>1</v>
      </c>
      <c r="AB99" s="2"/>
      <c r="AC99" s="2"/>
      <c r="AD99" s="2"/>
      <c r="AE99" s="2"/>
      <c r="AF99" s="10" t="s">
        <v>1</v>
      </c>
      <c r="AG99" s="275"/>
      <c r="AI99" s="4"/>
    </row>
    <row r="100" spans="2:39" ht="14" x14ac:dyDescent="0.3">
      <c r="B100" s="8"/>
      <c r="F100" s="2" t="s">
        <v>30</v>
      </c>
      <c r="G100" s="2"/>
      <c r="M100" s="2" t="s">
        <v>1</v>
      </c>
      <c r="O100" s="10"/>
      <c r="P100" s="2"/>
      <c r="Q100" s="4"/>
      <c r="S100" s="8"/>
      <c r="T100" s="49" t="s">
        <v>1</v>
      </c>
      <c r="U100" s="2" t="s">
        <v>30</v>
      </c>
      <c r="AF100" s="44"/>
      <c r="AG100" s="275"/>
      <c r="AI100" s="4"/>
    </row>
    <row r="101" spans="2:39" ht="15.5" x14ac:dyDescent="0.35">
      <c r="B101" s="8"/>
      <c r="C101" s="591" t="s">
        <v>17</v>
      </c>
      <c r="D101" s="9">
        <f>D6</f>
        <v>46220</v>
      </c>
      <c r="F101" s="58" t="s">
        <v>212</v>
      </c>
      <c r="G101" s="58"/>
      <c r="H101" s="59"/>
      <c r="I101" s="60"/>
      <c r="J101" s="59"/>
      <c r="O101" s="10"/>
      <c r="P101" s="2"/>
      <c r="Q101" s="4"/>
      <c r="S101" s="8"/>
      <c r="T101" s="41" t="s">
        <v>1</v>
      </c>
      <c r="U101" s="58" t="s">
        <v>213</v>
      </c>
      <c r="V101" s="59"/>
      <c r="W101" s="60"/>
      <c r="X101" s="59"/>
      <c r="Y101" s="59"/>
      <c r="AF101" s="48"/>
      <c r="AG101" s="275"/>
      <c r="AI101" s="4"/>
    </row>
    <row r="102" spans="2:39" ht="18" thickBot="1" x14ac:dyDescent="0.5">
      <c r="B102" s="8"/>
      <c r="C102" s="591" t="s">
        <v>0</v>
      </c>
      <c r="D102" s="241">
        <f>D7</f>
        <v>0.58333333333333337</v>
      </c>
      <c r="F102" s="2" t="s">
        <v>27</v>
      </c>
      <c r="G102" s="9">
        <f>G7</f>
        <v>46204</v>
      </c>
      <c r="J102" s="2" t="s">
        <v>28</v>
      </c>
      <c r="K102" s="9">
        <f>K7</f>
        <v>46218</v>
      </c>
      <c r="L102" s="92"/>
      <c r="O102" s="10"/>
      <c r="P102" s="2"/>
      <c r="Q102" s="4"/>
      <c r="S102" s="8"/>
      <c r="U102" s="1" t="str">
        <f>F102</f>
        <v>Fecha Desde:</v>
      </c>
      <c r="V102" s="9">
        <f>G102</f>
        <v>46204</v>
      </c>
      <c r="W102" s="1" t="s">
        <v>1</v>
      </c>
      <c r="X102" s="1" t="str">
        <f>J102</f>
        <v>Feha Hasta:</v>
      </c>
      <c r="Y102" s="9">
        <f>K102</f>
        <v>46218</v>
      </c>
      <c r="Z102" s="1" t="s">
        <v>1</v>
      </c>
      <c r="AF102" s="48"/>
      <c r="AG102" s="275"/>
      <c r="AI102" s="4"/>
      <c r="AJ102" s="112" t="s">
        <v>1</v>
      </c>
    </row>
    <row r="103" spans="2:39" ht="72" customHeight="1" thickBot="1" x14ac:dyDescent="0.3">
      <c r="B103" s="11" t="s">
        <v>3</v>
      </c>
      <c r="C103" s="27" t="s">
        <v>9</v>
      </c>
      <c r="D103" s="11" t="s">
        <v>4</v>
      </c>
      <c r="E103" s="12" t="s">
        <v>5</v>
      </c>
      <c r="F103" s="27" t="s">
        <v>6</v>
      </c>
      <c r="G103" s="271" t="s">
        <v>159</v>
      </c>
      <c r="H103" s="27" t="s">
        <v>18</v>
      </c>
      <c r="I103" s="12" t="s">
        <v>24</v>
      </c>
      <c r="J103" s="73" t="s">
        <v>19</v>
      </c>
      <c r="K103" s="29" t="s">
        <v>20</v>
      </c>
      <c r="L103" s="28" t="s">
        <v>21</v>
      </c>
      <c r="M103" s="39" t="s">
        <v>22</v>
      </c>
      <c r="N103" s="12" t="s">
        <v>7</v>
      </c>
      <c r="O103" s="39" t="s">
        <v>23</v>
      </c>
      <c r="P103" s="13"/>
      <c r="Q103" s="4"/>
      <c r="S103" s="11" t="s">
        <v>3</v>
      </c>
      <c r="T103" s="27" t="s">
        <v>9</v>
      </c>
      <c r="U103" s="162" t="s">
        <v>39</v>
      </c>
      <c r="V103" s="573" t="s">
        <v>40</v>
      </c>
      <c r="W103" s="573" t="s">
        <v>41</v>
      </c>
      <c r="X103" s="163" t="s">
        <v>42</v>
      </c>
      <c r="Y103" s="164" t="s">
        <v>43</v>
      </c>
      <c r="Z103" s="85" t="s">
        <v>21</v>
      </c>
      <c r="AA103" s="65" t="s">
        <v>46</v>
      </c>
      <c r="AB103" s="65" t="s">
        <v>7</v>
      </c>
      <c r="AC103" s="85" t="s">
        <v>167</v>
      </c>
      <c r="AD103" s="121" t="s">
        <v>105</v>
      </c>
      <c r="AE103" s="121" t="s">
        <v>104</v>
      </c>
      <c r="AF103" s="39" t="s">
        <v>23</v>
      </c>
      <c r="AG103" s="276"/>
      <c r="AI103" s="4"/>
    </row>
    <row r="104" spans="2:39" s="308" customFormat="1" x14ac:dyDescent="0.25">
      <c r="B104" s="306">
        <v>1</v>
      </c>
      <c r="C104" s="307" t="s">
        <v>10</v>
      </c>
      <c r="D104" s="294">
        <f t="shared" ref="D104:F106" si="47">D9+D28+D47+D66+D85</f>
        <v>16758167584.6</v>
      </c>
      <c r="E104" s="295">
        <f t="shared" si="47"/>
        <v>988160721.55999982</v>
      </c>
      <c r="F104" s="295">
        <f t="shared" si="47"/>
        <v>555411897.57000005</v>
      </c>
      <c r="G104" s="295">
        <f t="shared" ref="G104" si="48">G9+G28+G47+G66+G85</f>
        <v>292236839.79999995</v>
      </c>
      <c r="H104" s="295">
        <f t="shared" ref="H104:J108" si="49">H9+H28+H47+H66+H85</f>
        <v>4880357965.2200003</v>
      </c>
      <c r="I104" s="295">
        <f t="shared" si="49"/>
        <v>169199343.41999999</v>
      </c>
      <c r="J104" s="291">
        <f t="shared" si="49"/>
        <v>2032363678.8399997</v>
      </c>
      <c r="K104" s="296">
        <f>D104-E104-F104-G104-H104-I104-J104</f>
        <v>7840437138.1900005</v>
      </c>
      <c r="L104" s="297">
        <f>L9+L28+L47+L66+L85</f>
        <v>189185987</v>
      </c>
      <c r="M104" s="296">
        <f>K104-L104</f>
        <v>7651251151.1900005</v>
      </c>
      <c r="N104" s="297">
        <f>N9+N28+N47+N66+N85</f>
        <v>18251000.939999998</v>
      </c>
      <c r="O104" s="296">
        <f>M104+N104</f>
        <v>7669502152.1300001</v>
      </c>
      <c r="Q104" s="309"/>
      <c r="S104" s="306">
        <v>1</v>
      </c>
      <c r="T104" s="307" t="s">
        <v>10</v>
      </c>
      <c r="U104" s="310">
        <f t="shared" ref="U104:AB108" si="50">U9+U28+U47+U66+U85</f>
        <v>1487625255.76</v>
      </c>
      <c r="V104" s="311">
        <f t="shared" si="50"/>
        <v>1438826389.73</v>
      </c>
      <c r="W104" s="311">
        <f t="shared" si="50"/>
        <v>6807621660.1599998</v>
      </c>
      <c r="X104" s="311">
        <f t="shared" si="50"/>
        <v>2690145852.9800005</v>
      </c>
      <c r="Y104" s="312">
        <f t="shared" si="50"/>
        <v>276081628.58999997</v>
      </c>
      <c r="Z104" s="313">
        <f t="shared" si="50"/>
        <v>-189185987</v>
      </c>
      <c r="AA104" s="314">
        <f>AA9+AA28+AA47+AA66+AA85</f>
        <v>40996.930000000008</v>
      </c>
      <c r="AB104" s="297">
        <f t="shared" si="50"/>
        <v>18251000.939999998</v>
      </c>
      <c r="AC104" s="314">
        <f>AC9+AC28+AC47+AC66+AC85</f>
        <v>279.27</v>
      </c>
      <c r="AD104" s="294">
        <f>-J104+AE104</f>
        <v>-4859904925.2299995</v>
      </c>
      <c r="AE104" s="294">
        <f>AE9+AE28+AE47+AE66+AE85</f>
        <v>-2827541246.3899999</v>
      </c>
      <c r="AF104" s="316">
        <f>SUM(U104:AD104)</f>
        <v>7669502152.130003</v>
      </c>
      <c r="AG104" s="524">
        <f>AF104-O104</f>
        <v>0</v>
      </c>
      <c r="AH104" s="308" t="b">
        <f>INT(AG104)=0</f>
        <v>1</v>
      </c>
      <c r="AI104" s="309"/>
      <c r="AM104" s="336"/>
    </row>
    <row r="105" spans="2:39" s="308" customFormat="1" x14ac:dyDescent="0.25">
      <c r="B105" s="317">
        <v>2</v>
      </c>
      <c r="C105" s="318" t="s">
        <v>11</v>
      </c>
      <c r="D105" s="294">
        <f>D10+D29+D48+D67+D86</f>
        <v>12227292052.730001</v>
      </c>
      <c r="E105" s="295">
        <f>E10+E29+E48+E67+E86</f>
        <v>1022509821.0499998</v>
      </c>
      <c r="F105" s="295">
        <f t="shared" si="47"/>
        <v>566681379.41999996</v>
      </c>
      <c r="G105" s="295">
        <f t="shared" ref="G105" si="51">G10+G29+G48+G67+G86</f>
        <v>294336272.56</v>
      </c>
      <c r="H105" s="295">
        <f t="shared" si="49"/>
        <v>3920443030.5299997</v>
      </c>
      <c r="I105" s="295">
        <f t="shared" si="49"/>
        <v>148791798.07000002</v>
      </c>
      <c r="J105" s="291">
        <f t="shared" si="49"/>
        <v>-5011515653.5899992</v>
      </c>
      <c r="K105" s="298">
        <f t="shared" ref="K105:K108" si="52">D105-E105-F105-G105-H105-I105-J105</f>
        <v>11286045404.690002</v>
      </c>
      <c r="L105" s="297">
        <f>L10+L29+L48+L67+L86</f>
        <v>266580255</v>
      </c>
      <c r="M105" s="298">
        <f>K105-L105</f>
        <v>11019465149.690002</v>
      </c>
      <c r="N105" s="297">
        <f>N10+N29+N48+N67+N86</f>
        <v>31737181.809999999</v>
      </c>
      <c r="O105" s="298">
        <f t="shared" ref="O105:O108" si="53">M105+N105</f>
        <v>11051202331.500002</v>
      </c>
      <c r="Q105" s="309"/>
      <c r="S105" s="317">
        <v>2</v>
      </c>
      <c r="T105" s="318" t="s">
        <v>11</v>
      </c>
      <c r="U105" s="319">
        <f t="shared" si="50"/>
        <v>1309435017.3799999</v>
      </c>
      <c r="V105" s="320">
        <f t="shared" si="50"/>
        <v>1311565791.7399998</v>
      </c>
      <c r="W105" s="320">
        <f t="shared" si="50"/>
        <v>6106223771.8200006</v>
      </c>
      <c r="X105" s="320">
        <f t="shared" si="50"/>
        <v>1997333516.72</v>
      </c>
      <c r="Y105" s="321">
        <f t="shared" si="50"/>
        <v>243030438.47999999</v>
      </c>
      <c r="Z105" s="322">
        <f t="shared" si="50"/>
        <v>-266580255</v>
      </c>
      <c r="AA105" s="323">
        <f t="shared" si="50"/>
        <v>-15758.28</v>
      </c>
      <c r="AB105" s="297">
        <f t="shared" si="50"/>
        <v>31737181.809999999</v>
      </c>
      <c r="AC105" s="323">
        <f t="shared" ref="AC105" si="54">AC10+AC29+AC48+AC67+AC86</f>
        <v>-108.84</v>
      </c>
      <c r="AD105" s="294">
        <f t="shared" ref="AD105:AD107" si="55">-J105+AE105</f>
        <v>318472735.66999912</v>
      </c>
      <c r="AE105" s="294">
        <f>AE10+AE29+AE48+AE67+AE86</f>
        <v>-4693042917.9200001</v>
      </c>
      <c r="AF105" s="325">
        <f>SUM(U105:AD105)</f>
        <v>11051202331.499996</v>
      </c>
      <c r="AG105" s="525">
        <f>AF105-O105</f>
        <v>0</v>
      </c>
      <c r="AH105" s="308" t="b">
        <f t="shared" ref="AH105:AH108" si="56">INT(AG105)=0</f>
        <v>1</v>
      </c>
      <c r="AI105" s="309"/>
      <c r="AM105" s="336"/>
    </row>
    <row r="106" spans="2:39" s="308" customFormat="1" x14ac:dyDescent="0.25">
      <c r="B106" s="317">
        <v>3</v>
      </c>
      <c r="C106" s="318" t="s">
        <v>12</v>
      </c>
      <c r="D106" s="294">
        <f t="shared" si="47"/>
        <v>10127195598.750002</v>
      </c>
      <c r="E106" s="295">
        <f t="shared" si="47"/>
        <v>683351448.84000015</v>
      </c>
      <c r="F106" s="295">
        <f t="shared" si="47"/>
        <v>385271019.53000009</v>
      </c>
      <c r="G106" s="295">
        <f t="shared" ref="G106" si="57">G11+G30+G49+G68+G87</f>
        <v>202303825.59</v>
      </c>
      <c r="H106" s="295">
        <f t="shared" si="49"/>
        <v>2648824914.9899998</v>
      </c>
      <c r="I106" s="295">
        <f t="shared" si="49"/>
        <v>99138796.160000011</v>
      </c>
      <c r="J106" s="291">
        <f t="shared" si="49"/>
        <v>-1196822411.3100002</v>
      </c>
      <c r="K106" s="298">
        <f t="shared" si="52"/>
        <v>7305128004.9500017</v>
      </c>
      <c r="L106" s="297">
        <f>L11+L30+L49+L68+L87</f>
        <v>154788535</v>
      </c>
      <c r="M106" s="298">
        <f>K106-L106</f>
        <v>7150339469.9500017</v>
      </c>
      <c r="N106" s="297">
        <f>N11+N30+N49+N68+N87</f>
        <v>32320230.18</v>
      </c>
      <c r="O106" s="298">
        <f t="shared" si="53"/>
        <v>7182659700.130002</v>
      </c>
      <c r="Q106" s="309"/>
      <c r="S106" s="317">
        <v>3</v>
      </c>
      <c r="T106" s="318" t="s">
        <v>12</v>
      </c>
      <c r="U106" s="319">
        <f t="shared" si="50"/>
        <v>870759491.20000005</v>
      </c>
      <c r="V106" s="320">
        <f t="shared" si="50"/>
        <v>854526399.6099999</v>
      </c>
      <c r="W106" s="320">
        <f t="shared" si="50"/>
        <v>4040692001.8099999</v>
      </c>
      <c r="X106" s="320">
        <f t="shared" si="50"/>
        <v>1586798974.2700002</v>
      </c>
      <c r="Y106" s="321">
        <f t="shared" si="50"/>
        <v>161842788.88999999</v>
      </c>
      <c r="Z106" s="322">
        <f t="shared" si="50"/>
        <v>-154788535</v>
      </c>
      <c r="AA106" s="323">
        <f t="shared" si="50"/>
        <v>80568.780000000013</v>
      </c>
      <c r="AB106" s="297">
        <f t="shared" si="50"/>
        <v>32320230.18</v>
      </c>
      <c r="AC106" s="323">
        <f t="shared" ref="AC106" si="58">AC11+AC30+AC49+AC68+AC87</f>
        <v>2.67</v>
      </c>
      <c r="AD106" s="294">
        <f t="shared" si="55"/>
        <v>-209572222.27999997</v>
      </c>
      <c r="AE106" s="294">
        <f>AE11+AE30+AE49+AE68+AE87</f>
        <v>-1406394633.5900002</v>
      </c>
      <c r="AF106" s="325">
        <f>SUM(U106:AD106)</f>
        <v>7182659700.1300011</v>
      </c>
      <c r="AG106" s="525">
        <f>AF106-O106</f>
        <v>0</v>
      </c>
      <c r="AH106" s="308" t="b">
        <f t="shared" si="56"/>
        <v>1</v>
      </c>
      <c r="AI106" s="309"/>
      <c r="AM106" s="336"/>
    </row>
    <row r="107" spans="2:39" s="308" customFormat="1" x14ac:dyDescent="0.25">
      <c r="B107" s="317">
        <v>4</v>
      </c>
      <c r="C107" s="318" t="s">
        <v>13</v>
      </c>
      <c r="D107" s="294">
        <f>D12+D31+D50+D69+D88</f>
        <v>10553776375.590002</v>
      </c>
      <c r="E107" s="295">
        <f>E12+E31+E50+E69+E88</f>
        <v>641608152.66000009</v>
      </c>
      <c r="F107" s="295">
        <f t="shared" ref="E107:F108" si="59">F12+F31+F50+F69+F88</f>
        <v>359218634.58999997</v>
      </c>
      <c r="G107" s="295">
        <f t="shared" ref="G107" si="60">G12+G31+G50+G69+G88</f>
        <v>188422220.86000001</v>
      </c>
      <c r="H107" s="295">
        <f t="shared" si="49"/>
        <v>2357497428.0400004</v>
      </c>
      <c r="I107" s="295">
        <f t="shared" si="49"/>
        <v>91014665.030000001</v>
      </c>
      <c r="J107" s="291">
        <f t="shared" si="49"/>
        <v>35955816.039999962</v>
      </c>
      <c r="K107" s="298">
        <f>D107-E107-F107-G107-H107-I107-J107</f>
        <v>6880059458.3700008</v>
      </c>
      <c r="L107" s="297">
        <f>L12+L31+L50+L69+L88</f>
        <v>120391083</v>
      </c>
      <c r="M107" s="298">
        <f>K107-L107</f>
        <v>6759668375.3700008</v>
      </c>
      <c r="N107" s="297">
        <f>N12+N31+N50+N69+N88</f>
        <v>22968513.57</v>
      </c>
      <c r="O107" s="298">
        <f>M107+N107</f>
        <v>6782636888.9400005</v>
      </c>
      <c r="Q107" s="309"/>
      <c r="S107" s="317">
        <v>4</v>
      </c>
      <c r="T107" s="318" t="s">
        <v>13</v>
      </c>
      <c r="U107" s="319">
        <f t="shared" si="50"/>
        <v>797893067.47000003</v>
      </c>
      <c r="V107" s="320">
        <f t="shared" si="50"/>
        <v>788665130.21000004</v>
      </c>
      <c r="W107" s="320">
        <f t="shared" si="50"/>
        <v>4058126441.7899995</v>
      </c>
      <c r="X107" s="320">
        <f t="shared" si="50"/>
        <v>1696956588.3999999</v>
      </c>
      <c r="Y107" s="321">
        <f t="shared" si="50"/>
        <v>148960039.34000003</v>
      </c>
      <c r="Z107" s="322">
        <f t="shared" si="50"/>
        <v>-120391083</v>
      </c>
      <c r="AA107" s="323">
        <f>AA12+AA31+AA50+AA69+AA88</f>
        <v>-160388.64000000001</v>
      </c>
      <c r="AB107" s="297">
        <f t="shared" si="50"/>
        <v>22968513.57</v>
      </c>
      <c r="AC107" s="323">
        <f t="shared" ref="AC107" si="61">AC12+AC31+AC50+AC69+AC88</f>
        <v>-48.830000000000005</v>
      </c>
      <c r="AD107" s="294">
        <f t="shared" si="55"/>
        <v>-610381371.36999989</v>
      </c>
      <c r="AE107" s="294">
        <f>AE12+AE31+AE50+AE69+AE88</f>
        <v>-574425555.32999992</v>
      </c>
      <c r="AF107" s="325">
        <f>SUM(U107:AD107)</f>
        <v>6782636888.9399986</v>
      </c>
      <c r="AG107" s="525">
        <f>AF107-O107</f>
        <v>0</v>
      </c>
      <c r="AH107" s="308" t="b">
        <f t="shared" si="56"/>
        <v>1</v>
      </c>
      <c r="AI107" s="309"/>
      <c r="AM107" s="336"/>
    </row>
    <row r="108" spans="2:39" s="308" customFormat="1" ht="12" thickBot="1" x14ac:dyDescent="0.3">
      <c r="B108" s="327">
        <v>5</v>
      </c>
      <c r="C108" s="328" t="s">
        <v>14</v>
      </c>
      <c r="D108" s="299">
        <f>D13+D32+D51+D70+D89</f>
        <v>8543663208.8299999</v>
      </c>
      <c r="E108" s="300">
        <f t="shared" si="59"/>
        <v>498629121.49000001</v>
      </c>
      <c r="F108" s="300">
        <f t="shared" si="59"/>
        <v>280164623.65000004</v>
      </c>
      <c r="G108" s="300">
        <f t="shared" ref="G108" si="62">G13+G32+G51+G70+G89</f>
        <v>144388148.44999999</v>
      </c>
      <c r="H108" s="300">
        <f t="shared" si="49"/>
        <v>1825147100.73</v>
      </c>
      <c r="I108" s="300">
        <f t="shared" si="49"/>
        <v>70674343.479999989</v>
      </c>
      <c r="J108" s="292">
        <f t="shared" si="49"/>
        <v>-1210425628.3100002</v>
      </c>
      <c r="K108" s="298">
        <f t="shared" si="52"/>
        <v>6935085499.3400011</v>
      </c>
      <c r="L108" s="297">
        <f>L13+L32+L51+L70+L89</f>
        <v>128990445</v>
      </c>
      <c r="M108" s="301">
        <f>K108-L108</f>
        <v>6806095054.3400011</v>
      </c>
      <c r="N108" s="302">
        <f>N13+N32+N51+N70+N89</f>
        <v>27242693.629999999</v>
      </c>
      <c r="O108" s="301">
        <f t="shared" si="53"/>
        <v>6833337747.9700012</v>
      </c>
      <c r="Q108" s="309"/>
      <c r="S108" s="327">
        <v>5</v>
      </c>
      <c r="T108" s="328" t="s">
        <v>14</v>
      </c>
      <c r="U108" s="299">
        <f t="shared" si="50"/>
        <v>621050088.80999994</v>
      </c>
      <c r="V108" s="300">
        <f t="shared" si="50"/>
        <v>606049441.98000002</v>
      </c>
      <c r="W108" s="300">
        <f t="shared" si="50"/>
        <v>3118159750.7200003</v>
      </c>
      <c r="X108" s="300">
        <f t="shared" si="50"/>
        <v>1451607785.6600001</v>
      </c>
      <c r="Y108" s="292">
        <f t="shared" si="50"/>
        <v>115299099.08000001</v>
      </c>
      <c r="Z108" s="322">
        <f t="shared" si="50"/>
        <v>-128990445</v>
      </c>
      <c r="AA108" s="323">
        <f t="shared" si="50"/>
        <v>-78703.73</v>
      </c>
      <c r="AB108" s="297">
        <f t="shared" si="50"/>
        <v>27242693.629999999</v>
      </c>
      <c r="AC108" s="323">
        <f t="shared" ref="AC108" si="63">AC13+AC32+AC51+AC70+AC89</f>
        <v>-103.69</v>
      </c>
      <c r="AD108" s="294">
        <f>-J108+AE108</f>
        <v>1022998140.5100002</v>
      </c>
      <c r="AE108" s="294">
        <f>AE13+AE32+AE51+AE70+AE89</f>
        <v>-187427487.79999998</v>
      </c>
      <c r="AF108" s="325">
        <f>SUM(U108:AD108)</f>
        <v>6833337747.9700012</v>
      </c>
      <c r="AG108" s="526">
        <f>AF108-O108</f>
        <v>0</v>
      </c>
      <c r="AH108" s="308" t="b">
        <f t="shared" si="56"/>
        <v>1</v>
      </c>
      <c r="AI108" s="309"/>
      <c r="AM108" s="336"/>
    </row>
    <row r="109" spans="2:39" s="308" customFormat="1" ht="13.5" thickBot="1" x14ac:dyDescent="0.35">
      <c r="B109" s="330"/>
      <c r="C109" s="331" t="s">
        <v>2</v>
      </c>
      <c r="D109" s="293">
        <f t="shared" ref="D109:N109" si="64">SUM(D104:D108)</f>
        <v>58210094820.500008</v>
      </c>
      <c r="E109" s="293">
        <f t="shared" si="64"/>
        <v>3834259265.5999994</v>
      </c>
      <c r="F109" s="293">
        <f t="shared" si="64"/>
        <v>2146747554.76</v>
      </c>
      <c r="G109" s="293">
        <f t="shared" ref="G109" si="65">SUM(G104:G108)</f>
        <v>1121687307.26</v>
      </c>
      <c r="H109" s="293">
        <f t="shared" si="64"/>
        <v>15632270439.51</v>
      </c>
      <c r="I109" s="293">
        <f t="shared" si="64"/>
        <v>578818946.16000009</v>
      </c>
      <c r="J109" s="293">
        <f t="shared" si="64"/>
        <v>-5350444198.3299999</v>
      </c>
      <c r="K109" s="303">
        <f t="shared" si="64"/>
        <v>40246755505.540009</v>
      </c>
      <c r="L109" s="304">
        <f t="shared" si="64"/>
        <v>859936305</v>
      </c>
      <c r="M109" s="305">
        <f t="shared" si="64"/>
        <v>39386819200.540009</v>
      </c>
      <c r="N109" s="304">
        <f t="shared" si="64"/>
        <v>132519620.13</v>
      </c>
      <c r="O109" s="305">
        <f>SUM(O104:O108)</f>
        <v>39519338820.670006</v>
      </c>
      <c r="P109" s="332"/>
      <c r="Q109" s="309"/>
      <c r="S109" s="330"/>
      <c r="T109" s="331" t="s">
        <v>2</v>
      </c>
      <c r="U109" s="333">
        <f>SUM(U104:U108)</f>
        <v>5086762920.6200008</v>
      </c>
      <c r="V109" s="333">
        <f t="shared" ref="V109:AF109" si="66">SUM(V104:V108)</f>
        <v>4999633153.2700005</v>
      </c>
      <c r="W109" s="333">
        <f t="shared" si="66"/>
        <v>24130823626.299999</v>
      </c>
      <c r="X109" s="333">
        <f t="shared" si="66"/>
        <v>9422842718.0300007</v>
      </c>
      <c r="Y109" s="333">
        <f t="shared" si="66"/>
        <v>945213994.38</v>
      </c>
      <c r="Z109" s="293">
        <f t="shared" si="66"/>
        <v>-859936305</v>
      </c>
      <c r="AA109" s="293">
        <f t="shared" si="66"/>
        <v>-133284.94</v>
      </c>
      <c r="AB109" s="293">
        <f t="shared" si="66"/>
        <v>132519620.13</v>
      </c>
      <c r="AC109" s="293">
        <f t="shared" ref="AC109" si="67">SUM(AC104:AC108)</f>
        <v>20.579999999999956</v>
      </c>
      <c r="AD109" s="293">
        <f t="shared" si="66"/>
        <v>-4338387642.6999998</v>
      </c>
      <c r="AE109" s="293">
        <f>SUM(AE104:AE108)</f>
        <v>-9688831841.0299988</v>
      </c>
      <c r="AF109" s="334">
        <f t="shared" si="66"/>
        <v>39519338820.669998</v>
      </c>
      <c r="AG109" s="527">
        <f>SUM(AG104:AG108)</f>
        <v>0</v>
      </c>
      <c r="AH109" s="308" t="b">
        <f>INT(AG109)=0</f>
        <v>1</v>
      </c>
      <c r="AI109" s="309"/>
      <c r="AM109" s="336"/>
    </row>
    <row r="110" spans="2:39" ht="12" thickBot="1" x14ac:dyDescent="0.3">
      <c r="B110" s="2"/>
      <c r="C110" s="2"/>
      <c r="D110" s="165"/>
      <c r="E110" s="24"/>
      <c r="F110" s="24"/>
      <c r="G110" s="24"/>
      <c r="H110" s="24"/>
      <c r="I110" s="24"/>
      <c r="J110" s="165"/>
      <c r="K110" s="24"/>
      <c r="L110" s="24"/>
      <c r="M110" s="24"/>
      <c r="N110" s="24"/>
      <c r="O110" s="24"/>
      <c r="Q110" s="4"/>
      <c r="S110" s="2"/>
      <c r="T110" s="2"/>
      <c r="U110" s="24"/>
      <c r="V110" s="24"/>
      <c r="W110" s="24"/>
      <c r="X110" s="24"/>
      <c r="Y110" s="24"/>
      <c r="AF110" s="24"/>
      <c r="AI110" s="4"/>
    </row>
    <row r="111" spans="2:39" ht="12" thickBot="1" x14ac:dyDescent="0.3">
      <c r="B111" s="2"/>
      <c r="C111" s="2"/>
      <c r="D111" s="24"/>
      <c r="E111" s="24"/>
      <c r="F111" s="24"/>
      <c r="G111" s="24"/>
      <c r="H111" s="24"/>
      <c r="I111" s="24"/>
      <c r="J111" s="24"/>
      <c r="K111" s="24"/>
      <c r="L111" s="24"/>
      <c r="M111" s="24"/>
      <c r="N111" s="24"/>
      <c r="O111" s="24"/>
      <c r="Q111" s="4"/>
      <c r="V111" s="584"/>
      <c r="W111" s="584"/>
      <c r="Y111" s="86">
        <f>SUM(U109:Y109)</f>
        <v>44585276412.599998</v>
      </c>
      <c r="AA111" s="1" t="s">
        <v>1</v>
      </c>
      <c r="AB111" s="1" t="s">
        <v>1</v>
      </c>
      <c r="AD111" s="308"/>
      <c r="AF111" s="308"/>
      <c r="AI111" s="4"/>
    </row>
    <row r="112" spans="2:39" ht="12" thickBot="1" x14ac:dyDescent="0.3">
      <c r="B112" s="2"/>
      <c r="C112" s="2"/>
      <c r="D112" s="24" t="s">
        <v>1</v>
      </c>
      <c r="E112" s="33"/>
      <c r="F112" s="33"/>
      <c r="G112" s="33"/>
      <c r="H112" s="33"/>
      <c r="I112" s="24"/>
      <c r="K112" s="24"/>
      <c r="L112" s="24"/>
      <c r="M112" s="24"/>
      <c r="N112" s="24"/>
      <c r="O112" s="24"/>
      <c r="Q112" s="4"/>
      <c r="U112" s="33"/>
      <c r="V112" s="33"/>
      <c r="W112" s="33"/>
      <c r="X112" s="33"/>
      <c r="AF112" s="308"/>
      <c r="AI112" s="4"/>
    </row>
    <row r="113" spans="1:35" x14ac:dyDescent="0.25">
      <c r="B113" s="2"/>
      <c r="C113" s="2"/>
      <c r="D113" s="24" t="s">
        <v>1</v>
      </c>
      <c r="E113" s="24" t="s">
        <v>1</v>
      </c>
      <c r="F113" s="24" t="s">
        <v>25</v>
      </c>
      <c r="G113" s="24"/>
      <c r="H113" s="24"/>
      <c r="I113" s="24"/>
      <c r="K113" s="24"/>
      <c r="L113" s="24"/>
      <c r="M113" s="24"/>
      <c r="N113" s="24"/>
      <c r="O113" s="24"/>
      <c r="Q113" s="4"/>
      <c r="U113" s="24" t="s">
        <v>1</v>
      </c>
      <c r="V113" s="24" t="s">
        <v>25</v>
      </c>
      <c r="W113" s="24"/>
      <c r="X113" s="24"/>
      <c r="AI113" s="4"/>
    </row>
    <row r="114" spans="1:35" x14ac:dyDescent="0.25">
      <c r="A114" s="52"/>
      <c r="B114" s="53"/>
      <c r="C114" s="53"/>
      <c r="D114" s="54"/>
      <c r="E114" s="54"/>
      <c r="F114" s="54"/>
      <c r="G114" s="54"/>
      <c r="H114" s="54"/>
      <c r="I114" s="54"/>
      <c r="J114" s="52"/>
      <c r="K114" s="54"/>
      <c r="L114" s="54"/>
      <c r="M114" s="54"/>
      <c r="N114" s="54"/>
      <c r="O114" s="54"/>
      <c r="P114" s="52"/>
      <c r="Q114" s="52"/>
      <c r="R114" s="52"/>
      <c r="S114" s="52"/>
      <c r="T114" s="52"/>
      <c r="U114" s="52"/>
      <c r="V114" s="52"/>
      <c r="W114" s="52"/>
      <c r="X114" s="52"/>
      <c r="Y114" s="52"/>
      <c r="Z114" s="52"/>
      <c r="AA114" s="52"/>
      <c r="AB114" s="52"/>
      <c r="AC114" s="52"/>
      <c r="AD114" s="52"/>
      <c r="AE114" s="52"/>
      <c r="AF114" s="52"/>
      <c r="AG114" s="278"/>
      <c r="AH114" s="52"/>
      <c r="AI114" s="52"/>
    </row>
    <row r="115" spans="1:35" ht="12" thickBot="1" x14ac:dyDescent="0.3">
      <c r="Q115" s="4"/>
    </row>
    <row r="116" spans="1:35" x14ac:dyDescent="0.25">
      <c r="B116" s="5"/>
      <c r="C116" s="3" t="s">
        <v>1</v>
      </c>
      <c r="D116" s="6" t="s">
        <v>1</v>
      </c>
      <c r="E116" s="3"/>
      <c r="F116" s="3"/>
      <c r="G116" s="3"/>
      <c r="H116" s="3" t="s">
        <v>1</v>
      </c>
      <c r="I116" s="3"/>
      <c r="J116" s="3"/>
      <c r="K116" s="3"/>
      <c r="L116" s="3"/>
      <c r="M116" s="3"/>
      <c r="N116" s="3"/>
      <c r="O116" s="7"/>
      <c r="P116" s="2"/>
      <c r="Q116" s="35"/>
      <c r="V116" s="581"/>
      <c r="W116" s="581"/>
      <c r="AA116" s="308"/>
    </row>
    <row r="117" spans="1:35" ht="14" x14ac:dyDescent="0.3">
      <c r="B117" s="8"/>
      <c r="C117" s="2"/>
      <c r="D117" s="9"/>
      <c r="F117" s="26" t="s">
        <v>8</v>
      </c>
      <c r="G117" s="26"/>
      <c r="I117" s="26" t="s">
        <v>16</v>
      </c>
      <c r="J117" s="25"/>
      <c r="L117" s="2" t="s">
        <v>15</v>
      </c>
      <c r="M117" s="50">
        <f>N3</f>
        <v>2026071</v>
      </c>
      <c r="O117" s="10"/>
      <c r="P117" s="2"/>
      <c r="Q117" s="4"/>
      <c r="AA117" s="308"/>
    </row>
    <row r="118" spans="1:35" ht="15.5" x14ac:dyDescent="0.35">
      <c r="B118" s="8"/>
      <c r="C118" s="2"/>
      <c r="D118" s="57"/>
      <c r="F118" s="36" t="s">
        <v>29</v>
      </c>
      <c r="G118" s="36"/>
      <c r="O118" s="10"/>
      <c r="P118" s="2"/>
      <c r="Q118" s="4"/>
      <c r="X118" s="308"/>
      <c r="Y118" s="308"/>
      <c r="AA118" s="308"/>
    </row>
    <row r="119" spans="1:35" x14ac:dyDescent="0.25">
      <c r="B119" s="8"/>
      <c r="F119" s="2" t="s">
        <v>30</v>
      </c>
      <c r="G119" s="2"/>
      <c r="M119" s="2" t="s">
        <v>1</v>
      </c>
      <c r="O119" s="10"/>
      <c r="P119" s="2"/>
      <c r="Q119" s="4"/>
      <c r="X119" s="308"/>
      <c r="Y119" s="308"/>
      <c r="AA119" s="308"/>
    </row>
    <row r="120" spans="1:35" x14ac:dyDescent="0.25">
      <c r="B120" s="8"/>
      <c r="I120" s="2"/>
      <c r="J120" s="2"/>
      <c r="O120" s="10"/>
      <c r="P120" s="2"/>
      <c r="Q120" s="4"/>
      <c r="X120" s="308"/>
      <c r="Y120" s="308"/>
      <c r="AA120" s="308"/>
    </row>
    <row r="121" spans="1:35" ht="15.5" x14ac:dyDescent="0.35">
      <c r="B121" s="8"/>
      <c r="F121" s="41" t="s">
        <v>37</v>
      </c>
      <c r="G121" s="41"/>
      <c r="H121" s="2"/>
      <c r="J121" s="2"/>
      <c r="O121" s="10"/>
      <c r="P121" s="2"/>
      <c r="Q121" s="4"/>
      <c r="X121" s="308"/>
      <c r="Y121" s="308"/>
    </row>
    <row r="122" spans="1:35" x14ac:dyDescent="0.25">
      <c r="B122" s="8"/>
      <c r="F122" s="2" t="s">
        <v>27</v>
      </c>
      <c r="G122" s="9">
        <f>G7</f>
        <v>46204</v>
      </c>
      <c r="J122" s="2" t="s">
        <v>28</v>
      </c>
      <c r="K122" s="9">
        <f>K7</f>
        <v>46218</v>
      </c>
      <c r="O122" s="10"/>
      <c r="P122" s="2"/>
      <c r="Q122" s="4"/>
      <c r="X122" s="308"/>
      <c r="Y122" s="308"/>
    </row>
    <row r="123" spans="1:35" ht="12" thickBot="1" x14ac:dyDescent="0.3">
      <c r="B123" s="8"/>
      <c r="C123" s="2" t="s">
        <v>1</v>
      </c>
      <c r="D123" s="2" t="s">
        <v>1</v>
      </c>
      <c r="O123" s="44"/>
      <c r="P123" s="2"/>
      <c r="Q123" s="4"/>
      <c r="X123" s="308"/>
      <c r="Y123" s="308"/>
    </row>
    <row r="124" spans="1:35" ht="46.5" thickBot="1" x14ac:dyDescent="0.3">
      <c r="B124" s="11" t="s">
        <v>3</v>
      </c>
      <c r="C124" s="12" t="s">
        <v>9</v>
      </c>
      <c r="D124" s="12" t="s">
        <v>38</v>
      </c>
      <c r="E124" s="73" t="s">
        <v>48</v>
      </c>
      <c r="G124" s="104" t="s">
        <v>47</v>
      </c>
      <c r="H124" s="73" t="s">
        <v>56</v>
      </c>
      <c r="I124" s="73" t="s">
        <v>130</v>
      </c>
      <c r="J124" s="73" t="s">
        <v>171</v>
      </c>
      <c r="K124" s="73" t="s">
        <v>143</v>
      </c>
      <c r="L124" s="73" t="s">
        <v>144</v>
      </c>
      <c r="O124" s="44"/>
      <c r="P124" s="13"/>
      <c r="Q124" s="4"/>
    </row>
    <row r="125" spans="1:35" s="308" customFormat="1" x14ac:dyDescent="0.25">
      <c r="B125" s="337">
        <v>1</v>
      </c>
      <c r="C125" s="338" t="s">
        <v>10</v>
      </c>
      <c r="D125" s="388">
        <f>'ANTICIPOS USUARIOS'!C3</f>
        <v>62753036.189999998</v>
      </c>
      <c r="E125" s="312">
        <v>0</v>
      </c>
      <c r="G125" s="339">
        <f>D47+N47</f>
        <v>11673020</v>
      </c>
      <c r="H125" s="313">
        <f>D28+N28</f>
        <v>54273647.379999995</v>
      </c>
      <c r="I125" s="312">
        <f>D85+N85</f>
        <v>0</v>
      </c>
      <c r="J125" s="312">
        <f>D66+N66</f>
        <v>-12054255.65</v>
      </c>
      <c r="K125" s="312">
        <f>'ANTICIPOS USUARIOS'!C12</f>
        <v>1944280</v>
      </c>
      <c r="L125" s="312">
        <f>-'ANTICIPOS USUARIOS'!C21</f>
        <v>8965804.3499999996</v>
      </c>
      <c r="O125" s="340"/>
      <c r="Q125" s="309"/>
      <c r="AG125" s="336"/>
    </row>
    <row r="126" spans="1:35" s="308" customFormat="1" x14ac:dyDescent="0.25">
      <c r="B126" s="317">
        <v>2</v>
      </c>
      <c r="C126" s="341" t="s">
        <v>11</v>
      </c>
      <c r="D126" s="295">
        <f>'ANTICIPOS USUARIOS'!C4</f>
        <v>95260124</v>
      </c>
      <c r="E126" s="291">
        <v>0</v>
      </c>
      <c r="G126" s="342">
        <f>D48+N48</f>
        <v>0</v>
      </c>
      <c r="H126" s="343">
        <f>D29+N29</f>
        <v>79400801.25999999</v>
      </c>
      <c r="I126" s="291">
        <f>D86+N86</f>
        <v>0</v>
      </c>
      <c r="J126" s="291">
        <f>D67+N67</f>
        <v>-9889189.7200000007</v>
      </c>
      <c r="K126" s="291">
        <f>'ANTICIPOS USUARIOS'!C13</f>
        <v>0</v>
      </c>
      <c r="L126" s="291">
        <f>-'ANTICIPOS USUARIOS'!C22</f>
        <v>649106.28</v>
      </c>
      <c r="O126" s="340"/>
      <c r="Q126" s="309"/>
      <c r="AG126" s="336"/>
    </row>
    <row r="127" spans="1:35" s="308" customFormat="1" x14ac:dyDescent="0.25">
      <c r="B127" s="317">
        <v>3</v>
      </c>
      <c r="C127" s="341" t="s">
        <v>12</v>
      </c>
      <c r="D127" s="295">
        <f>'ANTICIPOS USUARIOS'!C5</f>
        <v>23429781</v>
      </c>
      <c r="E127" s="291">
        <v>0</v>
      </c>
      <c r="G127" s="342">
        <f>D49+N49</f>
        <v>10198723.07</v>
      </c>
      <c r="H127" s="343">
        <f>D30+N30</f>
        <v>31111803.75</v>
      </c>
      <c r="I127" s="291">
        <f>D87+N87</f>
        <v>0</v>
      </c>
      <c r="J127" s="291">
        <f t="shared" ref="J127:J129" si="68">D68+N68</f>
        <v>-16103442.890000001</v>
      </c>
      <c r="K127" s="291">
        <f>'ANTICIPOS USUARIOS'!C14</f>
        <v>426786.93</v>
      </c>
      <c r="L127" s="291">
        <f>-'ANTICIPOS USUARIOS'!C23</f>
        <v>10201649.109999999</v>
      </c>
      <c r="O127" s="340"/>
      <c r="Q127" s="309"/>
      <c r="AG127" s="336"/>
    </row>
    <row r="128" spans="1:35" s="308" customFormat="1" x14ac:dyDescent="0.25">
      <c r="B128" s="317">
        <v>4</v>
      </c>
      <c r="C128" s="341" t="s">
        <v>13</v>
      </c>
      <c r="D128" s="295">
        <f>'ANTICIPOS USUARIOS'!C6</f>
        <v>55699060.600000001</v>
      </c>
      <c r="E128" s="291">
        <v>0</v>
      </c>
      <c r="G128" s="342">
        <f>D50+N50</f>
        <v>5419780</v>
      </c>
      <c r="H128" s="343">
        <f>D31+N31</f>
        <v>17236000.330000002</v>
      </c>
      <c r="I128" s="291">
        <f>D88+N88</f>
        <v>0</v>
      </c>
      <c r="J128" s="291">
        <f t="shared" si="68"/>
        <v>-21288908.57</v>
      </c>
      <c r="K128" s="291">
        <f>'ANTICIPOS USUARIOS'!C15</f>
        <v>12360680</v>
      </c>
      <c r="L128" s="291">
        <f>-'ANTICIPOS USUARIOS'!C24</f>
        <v>489671.43000000005</v>
      </c>
      <c r="O128" s="340"/>
      <c r="Q128" s="309"/>
      <c r="AG128" s="336"/>
    </row>
    <row r="129" spans="1:33" s="308" customFormat="1" x14ac:dyDescent="0.25">
      <c r="B129" s="344">
        <v>5</v>
      </c>
      <c r="C129" s="345" t="s">
        <v>14</v>
      </c>
      <c r="D129" s="346">
        <f>'ANTICIPOS USUARIOS'!C7</f>
        <v>44003851</v>
      </c>
      <c r="E129" s="347">
        <v>0</v>
      </c>
      <c r="G129" s="342">
        <f>D51+N51</f>
        <v>0</v>
      </c>
      <c r="H129" s="343">
        <f>D32+N32</f>
        <v>31083151.140000001</v>
      </c>
      <c r="I129" s="291">
        <f>D89+N89</f>
        <v>0</v>
      </c>
      <c r="J129" s="291">
        <f t="shared" si="68"/>
        <v>-6421274.6799999997</v>
      </c>
      <c r="K129" s="291">
        <f>'ANTICIPOS USUARIOS'!C16</f>
        <v>314490</v>
      </c>
      <c r="L129" s="291">
        <f>-'ANTICIPOS USUARIOS'!C25</f>
        <v>750593.32</v>
      </c>
      <c r="O129" s="340"/>
      <c r="Q129" s="309"/>
      <c r="AG129" s="336"/>
    </row>
    <row r="130" spans="1:33" s="308" customFormat="1" ht="12" thickBot="1" x14ac:dyDescent="0.3">
      <c r="B130" s="327" t="s">
        <v>89</v>
      </c>
      <c r="C130" s="348" t="s">
        <v>113</v>
      </c>
      <c r="D130" s="300"/>
      <c r="E130" s="292">
        <f>'Recaudo Directa Occidente'!D26</f>
        <v>0</v>
      </c>
      <c r="G130" s="349"/>
      <c r="H130" s="350"/>
      <c r="I130" s="292"/>
      <c r="J130" s="292"/>
      <c r="K130" s="292"/>
      <c r="L130" s="292"/>
      <c r="O130" s="340"/>
      <c r="Q130" s="309"/>
      <c r="AG130" s="336"/>
    </row>
    <row r="131" spans="1:33" s="308" customFormat="1" ht="12" thickBot="1" x14ac:dyDescent="0.3">
      <c r="B131" s="351"/>
      <c r="C131" s="352" t="s">
        <v>2</v>
      </c>
      <c r="D131" s="353">
        <f>SUM(D125:D130)</f>
        <v>281145852.78999996</v>
      </c>
      <c r="E131" s="353">
        <f>SUM(E125:E130)</f>
        <v>0</v>
      </c>
      <c r="F131" s="354"/>
      <c r="G131" s="353">
        <f t="shared" ref="G131" si="69">SUM(G125:G129)</f>
        <v>27291523.07</v>
      </c>
      <c r="H131" s="353">
        <f>SUM(H125:H130)</f>
        <v>213105403.86000001</v>
      </c>
      <c r="I131" s="353">
        <f>SUM(I125:I130)</f>
        <v>0</v>
      </c>
      <c r="J131" s="353">
        <f>SUM(J125:J130)</f>
        <v>-65757071.510000005</v>
      </c>
      <c r="K131" s="353">
        <f>SUM(K125:K130)</f>
        <v>15046236.93</v>
      </c>
      <c r="L131" s="353">
        <f>SUM(L125:L130)</f>
        <v>21056824.489999998</v>
      </c>
      <c r="M131" s="354"/>
      <c r="N131" s="354"/>
      <c r="O131" s="355"/>
      <c r="P131" s="332"/>
      <c r="Q131" s="309"/>
      <c r="AG131" s="336"/>
    </row>
    <row r="132" spans="1:33" x14ac:dyDescent="0.25">
      <c r="B132" s="2"/>
      <c r="C132" s="2"/>
      <c r="D132" s="24"/>
      <c r="Q132" s="4"/>
    </row>
    <row r="133" spans="1:33" x14ac:dyDescent="0.25">
      <c r="B133" s="2"/>
      <c r="C133" s="2"/>
      <c r="D133" s="24"/>
      <c r="L133" s="1" t="s">
        <v>1</v>
      </c>
      <c r="Q133" s="4"/>
    </row>
    <row r="134" spans="1:33" ht="12" thickBot="1" x14ac:dyDescent="0.3">
      <c r="B134" s="2"/>
      <c r="C134" s="2"/>
      <c r="D134" s="24"/>
      <c r="E134" s="33"/>
      <c r="F134" s="33"/>
      <c r="G134" s="33"/>
      <c r="H134" s="33"/>
      <c r="I134" s="24"/>
      <c r="K134" s="24"/>
      <c r="L134" s="24" t="s">
        <v>1</v>
      </c>
      <c r="M134" s="24" t="s">
        <v>1</v>
      </c>
      <c r="N134" s="24"/>
      <c r="O134" s="24"/>
      <c r="Q134" s="4"/>
    </row>
    <row r="135" spans="1:33" x14ac:dyDescent="0.25">
      <c r="B135" s="2"/>
      <c r="C135" s="2"/>
      <c r="D135" s="24"/>
      <c r="E135" s="24" t="s">
        <v>1</v>
      </c>
      <c r="F135" s="42" t="s">
        <v>36</v>
      </c>
      <c r="G135" s="42"/>
      <c r="H135" s="42"/>
      <c r="I135" s="24"/>
      <c r="K135" s="24"/>
      <c r="L135" s="24"/>
      <c r="M135" s="24"/>
      <c r="N135" s="24"/>
      <c r="O135" s="24"/>
      <c r="Q135" s="4"/>
    </row>
    <row r="136" spans="1:33" x14ac:dyDescent="0.25">
      <c r="A136" s="52"/>
      <c r="B136" s="53"/>
      <c r="C136" s="53"/>
      <c r="D136" s="54"/>
      <c r="E136" s="54"/>
      <c r="F136" s="54"/>
      <c r="G136" s="54"/>
      <c r="H136" s="54"/>
      <c r="I136" s="54"/>
      <c r="J136" s="52"/>
      <c r="K136" s="54"/>
      <c r="L136" s="54"/>
      <c r="M136" s="54"/>
      <c r="N136" s="54"/>
      <c r="O136" s="54"/>
      <c r="P136" s="52"/>
      <c r="Q136" s="4"/>
    </row>
    <row r="137" spans="1:33" x14ac:dyDescent="0.25">
      <c r="B137" s="2"/>
      <c r="C137" s="2"/>
      <c r="D137" s="24"/>
      <c r="E137" s="24"/>
      <c r="F137" s="24"/>
      <c r="G137" s="24"/>
      <c r="H137" s="24"/>
      <c r="I137" s="24"/>
      <c r="K137" s="24"/>
      <c r="L137" s="24"/>
      <c r="M137" s="24"/>
      <c r="N137" s="24"/>
      <c r="O137" s="24"/>
      <c r="Q137" s="4"/>
    </row>
    <row r="138" spans="1:33" x14ac:dyDescent="0.25">
      <c r="B138" s="2"/>
      <c r="C138" s="59" t="s">
        <v>49</v>
      </c>
      <c r="D138" s="64"/>
      <c r="E138" s="24"/>
      <c r="F138" s="24"/>
      <c r="G138" s="24"/>
      <c r="H138" s="24"/>
      <c r="I138" s="24"/>
      <c r="K138" s="24"/>
      <c r="L138" s="24"/>
      <c r="M138" s="24"/>
      <c r="N138" s="24"/>
      <c r="O138" s="24"/>
      <c r="Q138" s="35"/>
    </row>
    <row r="139" spans="1:33" x14ac:dyDescent="0.25">
      <c r="B139" s="2"/>
      <c r="C139" s="2"/>
      <c r="D139" s="24"/>
      <c r="E139" s="24"/>
      <c r="F139" s="24"/>
      <c r="G139" s="24"/>
      <c r="H139" s="24"/>
      <c r="I139" s="24"/>
      <c r="K139" s="24"/>
      <c r="L139" s="24"/>
      <c r="M139" s="24"/>
      <c r="N139" s="24"/>
      <c r="O139" s="24"/>
      <c r="Q139" s="35"/>
    </row>
    <row r="140" spans="1:33" ht="18.75" customHeight="1" thickBot="1" x14ac:dyDescent="0.3">
      <c r="B140" s="2"/>
      <c r="C140" s="2"/>
      <c r="D140" s="24"/>
      <c r="E140" s="24"/>
      <c r="F140" s="24"/>
      <c r="G140" s="24"/>
      <c r="H140" s="24"/>
      <c r="J140" s="24"/>
      <c r="K140" s="24"/>
      <c r="M140" s="24"/>
      <c r="N140" s="24"/>
      <c r="O140" s="24"/>
      <c r="P140" s="24"/>
      <c r="Q140" s="35"/>
    </row>
    <row r="141" spans="1:33" ht="46.5" thickBot="1" x14ac:dyDescent="0.3">
      <c r="B141" s="104" t="s">
        <v>3</v>
      </c>
      <c r="C141" s="105" t="s">
        <v>9</v>
      </c>
      <c r="D141" s="105" t="s">
        <v>44</v>
      </c>
      <c r="E141" s="105" t="s">
        <v>45</v>
      </c>
      <c r="F141" s="105" t="s">
        <v>31</v>
      </c>
      <c r="G141" s="105" t="s">
        <v>91</v>
      </c>
      <c r="H141" s="105" t="s">
        <v>128</v>
      </c>
      <c r="I141" s="105" t="s">
        <v>127</v>
      </c>
      <c r="J141" s="105" t="s">
        <v>47</v>
      </c>
      <c r="K141" s="105" t="s">
        <v>51</v>
      </c>
      <c r="L141" s="1" t="s">
        <v>1</v>
      </c>
      <c r="M141" s="56"/>
      <c r="N141" s="56"/>
      <c r="O141" s="56"/>
      <c r="P141" s="24"/>
      <c r="Q141" s="35"/>
      <c r="R141" s="24"/>
    </row>
    <row r="142" spans="1:33" x14ac:dyDescent="0.25">
      <c r="B142" s="108">
        <v>1</v>
      </c>
      <c r="C142" s="109" t="s">
        <v>10</v>
      </c>
      <c r="D142" s="110">
        <f>D104+N104+D125+E125</f>
        <v>16839171621.730001</v>
      </c>
      <c r="E142" s="110">
        <f>'Recaudo EAAB Reciprocidad'!D21+'Recaudo EAAB + Ciud Limp'!D21+'Recaudo Directa Occidente'!D21+'Recaudo ENEL'!D21+'Recaudo ENERBIT'!D21</f>
        <v>16785279210</v>
      </c>
      <c r="F142" s="110">
        <f>D28+N28</f>
        <v>54273647.379999995</v>
      </c>
      <c r="G142" s="110">
        <f>D66+N66</f>
        <v>-12054255.65</v>
      </c>
      <c r="H142" s="110">
        <f>D85+N85</f>
        <v>0</v>
      </c>
      <c r="I142" s="110">
        <f>('REPORTE RECAUDO x BANCO'!E62+'REPORTE RECAUDO x BANCO'!E63+'REPORTE RECAUDO x BANCO'!E75)*-1</f>
        <v>0</v>
      </c>
      <c r="J142" s="110">
        <f t="shared" ref="J142:K146" si="70">G125</f>
        <v>11673020</v>
      </c>
      <c r="K142" s="111">
        <f t="shared" si="70"/>
        <v>54273647.379999995</v>
      </c>
      <c r="L142" s="590">
        <f>D142-E142-F142-G142-J142-H142-I142</f>
        <v>1.4547258615493774E-6</v>
      </c>
      <c r="M142" s="1" t="b">
        <f t="shared" ref="M142:M147" si="71">INT(ABS(L142))=0</f>
        <v>1</v>
      </c>
      <c r="O142" s="55"/>
      <c r="P142" s="24"/>
      <c r="Q142" s="35"/>
      <c r="R142" s="24"/>
    </row>
    <row r="143" spans="1:33" x14ac:dyDescent="0.25">
      <c r="B143" s="16">
        <v>2</v>
      </c>
      <c r="C143" s="17" t="s">
        <v>11</v>
      </c>
      <c r="D143" s="18">
        <f>D105+N105+D126+E126</f>
        <v>12354289358.540001</v>
      </c>
      <c r="E143" s="18">
        <f>'Recaudo EAAB Reciprocidad'!D22+'Recaudo EAAB + Ciud Limp'!D22+'Recaudo Directa Occidente'!D22+'Recaudo ENEL'!D22+'Recaudo ENERBIT'!D22</f>
        <v>12284380497</v>
      </c>
      <c r="F143" s="18">
        <f>D29+N29</f>
        <v>79400801.25999999</v>
      </c>
      <c r="G143" s="18">
        <f>D67+N67</f>
        <v>-9889189.7200000007</v>
      </c>
      <c r="H143" s="18">
        <f>D86+N86</f>
        <v>0</v>
      </c>
      <c r="I143" s="18">
        <f>('REPORTE RECAUDO x BANCO'!E64+'REPORTE RECAUDO x BANCO'!E65+'REPORTE RECAUDO x BANCO'!E66+'REPORTE RECAUDO x BANCO'!E76)</f>
        <v>397250</v>
      </c>
      <c r="J143" s="18">
        <f>G126</f>
        <v>0</v>
      </c>
      <c r="K143" s="83">
        <f>H126</f>
        <v>79400801.25999999</v>
      </c>
      <c r="L143" s="590">
        <f>D143-E143-F143-G143-J143-H143-I143</f>
        <v>9.2573463916778564E-7</v>
      </c>
      <c r="M143" s="1" t="b">
        <f t="shared" si="71"/>
        <v>1</v>
      </c>
      <c r="O143" s="130"/>
      <c r="P143" s="24"/>
      <c r="Q143" s="35"/>
      <c r="R143" s="24"/>
    </row>
    <row r="144" spans="1:33" x14ac:dyDescent="0.25">
      <c r="B144" s="16">
        <v>3</v>
      </c>
      <c r="C144" s="17" t="s">
        <v>12</v>
      </c>
      <c r="D144" s="18">
        <f>D106+N106+D127+E127</f>
        <v>10182945609.930002</v>
      </c>
      <c r="E144" s="18">
        <f>'Recaudo EAAB Reciprocidad'!D23+'Recaudo EAAB + Ciud Limp'!D23+'Recaudo Directa Occidente'!D23+'Recaudo ENEL'!D23+'Recaudo ENERBIT'!D23</f>
        <v>10157490416</v>
      </c>
      <c r="F144" s="18">
        <f>D30+N30</f>
        <v>31111803.75</v>
      </c>
      <c r="G144" s="18">
        <f>D68+N68</f>
        <v>-16103442.890000001</v>
      </c>
      <c r="H144" s="18">
        <f>D87+N87</f>
        <v>0</v>
      </c>
      <c r="I144" s="18">
        <f>('REPORTE RECAUDO x BANCO'!E67+'REPORTE RECAUDO x BANCO'!E68+'REPORTE RECAUDO x BANCO'!E77)</f>
        <v>248110</v>
      </c>
      <c r="J144" s="18">
        <f>G127</f>
        <v>10198723.07</v>
      </c>
      <c r="K144" s="83">
        <f t="shared" si="70"/>
        <v>31111803.75</v>
      </c>
      <c r="L144" s="590">
        <f>D144-E144-F144-G144-J144-H144-I144</f>
        <v>2.212822437286377E-6</v>
      </c>
      <c r="M144" s="1" t="b">
        <f t="shared" si="71"/>
        <v>1</v>
      </c>
      <c r="O144" s="55"/>
      <c r="P144" s="24"/>
      <c r="Q144" s="35"/>
      <c r="R144" s="24"/>
    </row>
    <row r="145" spans="1:20" x14ac:dyDescent="0.25">
      <c r="B145" s="16">
        <v>4</v>
      </c>
      <c r="C145" s="17" t="s">
        <v>13</v>
      </c>
      <c r="D145" s="18">
        <f>D107+N107+D128+E128</f>
        <v>10632443949.760002</v>
      </c>
      <c r="E145" s="18">
        <f>'Recaudo EAAB Reciprocidad'!D24+'Recaudo EAAB + Ciud Limp'!D24+'Recaudo Directa Occidente'!D24+'Recaudo ENEL'!D24+'Recaudo ENERBIT'!D24</f>
        <v>10630500288</v>
      </c>
      <c r="F145" s="18">
        <f>D31+N31</f>
        <v>17236000.330000002</v>
      </c>
      <c r="G145" s="18">
        <f>D69+N69</f>
        <v>-21288908.57</v>
      </c>
      <c r="H145" s="18">
        <f>D88+N88</f>
        <v>0</v>
      </c>
      <c r="I145" s="18">
        <f>('REPORTE RECAUDO x BANCO'!E69+'REPORTE RECAUDO x BANCO'!E70+'REPORTE RECAUDO x BANCO'!E71+'REPORTE RECAUDO x BANCO'!E78)</f>
        <v>576790</v>
      </c>
      <c r="J145" s="18">
        <f t="shared" si="70"/>
        <v>5419780</v>
      </c>
      <c r="K145" s="83">
        <f>H128</f>
        <v>17236000.330000002</v>
      </c>
      <c r="L145" s="590">
        <f t="shared" ref="L145:L147" si="72">D145-E145-F145-G145-J145-H145-I145</f>
        <v>2.1345913410186768E-6</v>
      </c>
      <c r="M145" s="1" t="b">
        <f t="shared" si="71"/>
        <v>1</v>
      </c>
      <c r="O145" s="96"/>
      <c r="P145" s="24"/>
      <c r="Q145" s="35"/>
      <c r="R145" s="24"/>
    </row>
    <row r="146" spans="1:20" ht="12" thickBot="1" x14ac:dyDescent="0.3">
      <c r="B146" s="133">
        <v>5</v>
      </c>
      <c r="C146" s="138" t="s">
        <v>14</v>
      </c>
      <c r="D146" s="134">
        <f>D108+N108+D129+E129</f>
        <v>8614909753.4599991</v>
      </c>
      <c r="E146" s="18">
        <f>'Recaudo EAAB Reciprocidad'!D25+'Recaudo EAAB + Ciud Limp'!D25+'Recaudo Directa Occidente'!D25+'Recaudo ENEL'!D25+'Recaudo ENERBIT'!D25</f>
        <v>8589482757</v>
      </c>
      <c r="F146" s="134">
        <f>D32+N32</f>
        <v>31083151.140000001</v>
      </c>
      <c r="G146" s="134">
        <f>D70+N70</f>
        <v>-6421274.6799999997</v>
      </c>
      <c r="H146" s="134">
        <f>D89+N89</f>
        <v>0</v>
      </c>
      <c r="I146" s="134">
        <f>('REPORTE RECAUDO x BANCO'!E72+'REPORTE RECAUDO x BANCO'!E73+'REPORTE RECAUDO x BANCO'!E79)</f>
        <v>765120</v>
      </c>
      <c r="J146" s="134">
        <f t="shared" si="70"/>
        <v>0</v>
      </c>
      <c r="K146" s="136">
        <f t="shared" si="70"/>
        <v>31083151.140000001</v>
      </c>
      <c r="L146" s="590">
        <f t="shared" si="72"/>
        <v>-9.1642141342163086E-7</v>
      </c>
      <c r="M146" s="1" t="b">
        <f t="shared" si="71"/>
        <v>1</v>
      </c>
      <c r="O146" s="55"/>
      <c r="P146" s="24"/>
      <c r="Q146" s="35"/>
      <c r="R146" s="24"/>
    </row>
    <row r="147" spans="1:20" ht="12" thickBot="1" x14ac:dyDescent="0.3">
      <c r="B147" s="21"/>
      <c r="C147" s="22" t="s">
        <v>2</v>
      </c>
      <c r="D147" s="47">
        <f>SUM(D142:D146)</f>
        <v>58623760293.420006</v>
      </c>
      <c r="E147" s="47">
        <f>SUM(E142:E146)</f>
        <v>58447133168</v>
      </c>
      <c r="F147" s="47">
        <f t="shared" ref="F147:K147" si="73">SUM(F142:F146)</f>
        <v>213105403.86000001</v>
      </c>
      <c r="G147" s="47">
        <f t="shared" si="73"/>
        <v>-65757071.510000005</v>
      </c>
      <c r="H147" s="47">
        <f t="shared" si="73"/>
        <v>0</v>
      </c>
      <c r="I147" s="47">
        <f t="shared" si="73"/>
        <v>1987270</v>
      </c>
      <c r="J147" s="47">
        <f t="shared" si="73"/>
        <v>27291523.07</v>
      </c>
      <c r="K147" s="47">
        <f t="shared" si="73"/>
        <v>213105403.86000001</v>
      </c>
      <c r="L147" s="590">
        <f t="shared" si="72"/>
        <v>5.7891011238098145E-6</v>
      </c>
      <c r="M147" s="1" t="b">
        <f t="shared" si="71"/>
        <v>1</v>
      </c>
      <c r="P147" s="24"/>
      <c r="Q147" s="35"/>
      <c r="R147" s="24"/>
    </row>
    <row r="148" spans="1:20" x14ac:dyDescent="0.25">
      <c r="B148" s="2"/>
      <c r="E148" s="24"/>
      <c r="F148" s="55"/>
      <c r="H148" s="55"/>
      <c r="L148" s="24"/>
      <c r="M148" s="24"/>
      <c r="N148" s="24"/>
      <c r="O148" s="24"/>
      <c r="P148" s="24"/>
      <c r="Q148" s="35"/>
    </row>
    <row r="149" spans="1:20" ht="21.75" customHeight="1" x14ac:dyDescent="0.25">
      <c r="B149" s="2"/>
      <c r="C149" s="2"/>
      <c r="D149" s="24"/>
      <c r="E149" s="24"/>
      <c r="F149" s="24"/>
      <c r="G149" s="24"/>
      <c r="H149" s="24"/>
      <c r="I149" s="24"/>
      <c r="J149" s="1" t="s">
        <v>1</v>
      </c>
      <c r="K149" s="24"/>
      <c r="L149" s="24"/>
      <c r="M149" s="24"/>
      <c r="N149" s="24"/>
      <c r="O149" s="24"/>
      <c r="Q149" s="35"/>
    </row>
    <row r="150" spans="1:20" x14ac:dyDescent="0.25">
      <c r="B150" s="2"/>
      <c r="C150" s="2"/>
      <c r="D150" s="24"/>
      <c r="E150" s="24"/>
      <c r="F150" s="24"/>
      <c r="G150" s="24"/>
      <c r="H150" s="24"/>
      <c r="I150" s="24"/>
      <c r="J150" s="55"/>
      <c r="K150" s="24"/>
      <c r="L150" s="24"/>
      <c r="M150" s="24"/>
      <c r="N150" s="24"/>
      <c r="O150" s="24"/>
      <c r="Q150" s="35"/>
      <c r="T150" s="24"/>
    </row>
    <row r="151" spans="1:20" x14ac:dyDescent="0.25">
      <c r="A151" s="52"/>
      <c r="B151" s="53"/>
      <c r="C151" s="53"/>
      <c r="D151" s="54"/>
      <c r="E151" s="54"/>
      <c r="F151" s="54"/>
      <c r="G151" s="54"/>
      <c r="H151" s="54"/>
      <c r="I151" s="54"/>
      <c r="J151" s="52"/>
      <c r="K151" s="54"/>
      <c r="L151" s="54"/>
      <c r="M151" s="54"/>
      <c r="N151" s="54"/>
      <c r="O151" s="54"/>
      <c r="P151" s="52"/>
      <c r="Q151" s="54"/>
      <c r="T151" s="24"/>
    </row>
    <row r="152" spans="1:20" x14ac:dyDescent="0.25">
      <c r="E152" s="55"/>
      <c r="N152" s="24"/>
      <c r="O152" s="24"/>
      <c r="Q152" s="24"/>
      <c r="T152" s="24"/>
    </row>
    <row r="153" spans="1:20" x14ac:dyDescent="0.25">
      <c r="N153" s="24"/>
      <c r="O153" s="24"/>
      <c r="Q153" s="24"/>
      <c r="T153" s="24"/>
    </row>
    <row r="154" spans="1:20" x14ac:dyDescent="0.25">
      <c r="D154" s="308"/>
      <c r="E154" s="96"/>
      <c r="F154" s="308"/>
      <c r="G154" s="308"/>
      <c r="H154" s="308"/>
      <c r="K154" s="581"/>
      <c r="N154" s="24"/>
      <c r="O154" s="24"/>
      <c r="Q154" s="24"/>
      <c r="T154" s="24"/>
    </row>
    <row r="155" spans="1:20" x14ac:dyDescent="0.25">
      <c r="D155" s="308"/>
      <c r="K155" s="582"/>
      <c r="N155" s="24"/>
      <c r="O155" s="24"/>
      <c r="Q155" s="24"/>
      <c r="T155" s="24"/>
    </row>
    <row r="156" spans="1:20" x14ac:dyDescent="0.25">
      <c r="D156" s="581"/>
      <c r="N156" s="24"/>
      <c r="O156" s="24"/>
      <c r="Q156" s="24"/>
      <c r="T156" s="24"/>
    </row>
    <row r="157" spans="1:20" x14ac:dyDescent="0.25">
      <c r="N157" s="24"/>
      <c r="O157" s="24"/>
      <c r="Q157" s="24"/>
      <c r="T157" s="24"/>
    </row>
    <row r="158" spans="1:20" x14ac:dyDescent="0.25">
      <c r="N158" s="24"/>
      <c r="O158" s="24"/>
      <c r="Q158" s="24"/>
      <c r="T158" s="24"/>
    </row>
    <row r="159" spans="1:20" x14ac:dyDescent="0.25">
      <c r="N159" s="24"/>
      <c r="O159" s="24"/>
      <c r="Q159" s="24"/>
      <c r="T159" s="24"/>
    </row>
    <row r="160" spans="1:20" x14ac:dyDescent="0.25">
      <c r="N160" s="24"/>
      <c r="O160" s="24"/>
      <c r="Q160" s="24"/>
      <c r="T160" s="24"/>
    </row>
    <row r="161" spans="14:20" x14ac:dyDescent="0.25">
      <c r="N161" s="24"/>
      <c r="O161" s="24"/>
      <c r="Q161" s="24"/>
      <c r="T161" s="24"/>
    </row>
    <row r="162" spans="14:20" x14ac:dyDescent="0.25">
      <c r="N162" s="24"/>
      <c r="O162" s="24"/>
      <c r="Q162" s="24"/>
      <c r="T162" s="24"/>
    </row>
    <row r="163" spans="14:20" x14ac:dyDescent="0.25">
      <c r="N163" s="24"/>
      <c r="O163" s="24"/>
      <c r="Q163" s="24"/>
      <c r="T163" s="24"/>
    </row>
    <row r="164" spans="14:20" x14ac:dyDescent="0.25">
      <c r="N164" s="24"/>
      <c r="O164" s="24"/>
      <c r="Q164" s="24"/>
      <c r="T164" s="24"/>
    </row>
    <row r="165" spans="14:20" x14ac:dyDescent="0.25">
      <c r="N165" s="24"/>
      <c r="O165" s="24"/>
      <c r="Q165" s="24"/>
      <c r="T165" s="24"/>
    </row>
    <row r="166" spans="14:20" x14ac:dyDescent="0.25">
      <c r="Q166" s="24"/>
      <c r="T166" s="24"/>
    </row>
    <row r="167" spans="14:20" x14ac:dyDescent="0.25">
      <c r="Q167" s="24"/>
    </row>
  </sheetData>
  <phoneticPr fontId="21" type="noConversion"/>
  <conditionalFormatting sqref="L142:L147">
    <cfRule type="expression" dxfId="75" priority="6">
      <formula>$L$142&lt;&gt;0</formula>
    </cfRule>
  </conditionalFormatting>
  <conditionalFormatting sqref="M142:M147">
    <cfRule type="cellIs" dxfId="74" priority="19" operator="notEqual">
      <formula>TRUE</formula>
    </cfRule>
  </conditionalFormatting>
  <conditionalFormatting sqref="AH9:AH14">
    <cfRule type="cellIs" dxfId="73" priority="1" operator="notEqual">
      <formula>TRUE</formula>
    </cfRule>
  </conditionalFormatting>
  <conditionalFormatting sqref="AH28:AH33">
    <cfRule type="cellIs" dxfId="72" priority="2" operator="notEqual">
      <formula>TRUE</formula>
    </cfRule>
  </conditionalFormatting>
  <conditionalFormatting sqref="AH47:AH52">
    <cfRule type="cellIs" dxfId="71" priority="3" operator="notEqual">
      <formula>TRUE</formula>
    </cfRule>
  </conditionalFormatting>
  <conditionalFormatting sqref="AH66:AH71">
    <cfRule type="cellIs" dxfId="70" priority="4" operator="notEqual">
      <formula>TRUE</formula>
    </cfRule>
  </conditionalFormatting>
  <conditionalFormatting sqref="AH85:AH90">
    <cfRule type="cellIs" dxfId="69" priority="5" operator="notEqual">
      <formula>TRUE</formula>
    </cfRule>
  </conditionalFormatting>
  <conditionalFormatting sqref="AH104:AH109">
    <cfRule type="cellIs" dxfId="68" priority="7" operator="notEqual">
      <formula>TRUE</formula>
    </cfRule>
  </conditionalFormatting>
  <printOptions horizontalCentered="1" verticalCentered="1"/>
  <pageMargins left="0.55118110236220474" right="0.74803149606299213" top="0.98425196850393704" bottom="0.78740157480314965" header="0" footer="0"/>
  <pageSetup scale="19" orientation="landscape" r:id="rId1"/>
  <headerFooter alignWithMargins="0"/>
  <ignoredErrors>
    <ignoredError sqref="M104:M105 K104:K106 AD104:AD108 K108 M108" formula="1"/>
  </ignoredErrors>
  <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tabColor rgb="FF00FF00"/>
  </sheetPr>
  <dimension ref="B1:R38"/>
  <sheetViews>
    <sheetView zoomScale="90" zoomScaleNormal="90" workbookViewId="0">
      <selection activeCell="D24" sqref="D24"/>
    </sheetView>
  </sheetViews>
  <sheetFormatPr baseColWidth="10" defaultRowHeight="12.5" x14ac:dyDescent="0.25"/>
  <cols>
    <col min="1" max="1" width="3" customWidth="1"/>
    <col min="2" max="2" width="4.26953125" bestFit="1" customWidth="1"/>
    <col min="3" max="4" width="16.7265625" customWidth="1"/>
    <col min="5" max="7" width="17.7265625" customWidth="1"/>
    <col min="8" max="8" width="18.26953125" customWidth="1"/>
    <col min="9" max="9" width="15.7265625" customWidth="1"/>
    <col min="10" max="10" width="16.453125" customWidth="1"/>
    <col min="11" max="11" width="15.7265625" customWidth="1"/>
    <col min="12" max="13" width="18.26953125" customWidth="1"/>
    <col min="14" max="14" width="15.7265625" customWidth="1"/>
    <col min="15" max="15" width="16" bestFit="1" customWidth="1"/>
    <col min="16" max="16" width="14.453125" customWidth="1"/>
    <col min="17" max="17" width="12.54296875" bestFit="1" customWidth="1"/>
  </cols>
  <sheetData>
    <row r="1" spans="2:16" ht="13" thickBot="1" x14ac:dyDescent="0.3"/>
    <row r="2" spans="2:16" ht="35" thickBot="1" x14ac:dyDescent="0.3">
      <c r="B2" s="11" t="s">
        <v>3</v>
      </c>
      <c r="C2" s="28" t="s">
        <v>55</v>
      </c>
      <c r="D2" s="28" t="s">
        <v>50</v>
      </c>
      <c r="E2" s="28" t="s">
        <v>57</v>
      </c>
      <c r="F2" s="28" t="s">
        <v>129</v>
      </c>
      <c r="G2" s="28" t="s">
        <v>130</v>
      </c>
      <c r="H2" s="131" t="s">
        <v>52</v>
      </c>
      <c r="I2" s="12" t="s">
        <v>58</v>
      </c>
      <c r="J2" s="12" t="s">
        <v>59</v>
      </c>
      <c r="K2" s="12" t="s">
        <v>53</v>
      </c>
      <c r="L2" s="27" t="s">
        <v>60</v>
      </c>
      <c r="M2" s="65" t="s">
        <v>92</v>
      </c>
      <c r="N2" s="132" t="s">
        <v>54</v>
      </c>
    </row>
    <row r="3" spans="2:16" s="358" customFormat="1" x14ac:dyDescent="0.25">
      <c r="B3" s="306">
        <v>1</v>
      </c>
      <c r="C3" s="295">
        <f>'Recaudo EAAB Reciprocidad'!D21+'Recaudo EAAB + Ciud Limp'!D21+'Recaudo Directa Occidente'!D21+'Recaudo ENEL'!D21+'Recaudo ENERBIT'!D21</f>
        <v>16785279210</v>
      </c>
      <c r="D3" s="295">
        <f>'CONSOLIDADO_TOTAL RECAUDO'!G125</f>
        <v>11673020</v>
      </c>
      <c r="E3" s="295">
        <f>'CONSOLIDADO_TOTAL RECAUDO'!D28+'CONSOLIDADO_TOTAL RECAUDO'!N28</f>
        <v>54273647.379999995</v>
      </c>
      <c r="F3" s="295">
        <f>'CONSOLIDADO_TOTAL RECAUDO'!I142</f>
        <v>0</v>
      </c>
      <c r="G3" s="295">
        <f>'CONSOLIDADO_TOTAL RECAUDO'!H142</f>
        <v>0</v>
      </c>
      <c r="H3" s="343">
        <f>SUM(C3:G3)</f>
        <v>16851225877.379999</v>
      </c>
      <c r="I3" s="294">
        <f>'CONSOLIDADO_TOTAL RECAUDO'!D104</f>
        <v>16758167584.6</v>
      </c>
      <c r="J3" s="295">
        <f>'CONSOLIDADO_TOTAL RECAUDO'!N104</f>
        <v>18251000.939999998</v>
      </c>
      <c r="K3" s="295">
        <f>'CONSOLIDADO_TOTAL RECAUDO'!D125</f>
        <v>62753036.189999998</v>
      </c>
      <c r="L3" s="356">
        <f>'CONSOLIDADO_TOTAL RECAUDO'!E125</f>
        <v>0</v>
      </c>
      <c r="M3" s="295">
        <f>-'CONSOLIDADO_TOTAL RECAUDO'!D66-'CONSOLIDADO_TOTAL RECAUDO'!N66</f>
        <v>12054255.65</v>
      </c>
      <c r="N3" s="291">
        <f>SUM(I3:M3)</f>
        <v>16851225877.380001</v>
      </c>
      <c r="O3" s="357">
        <f>H3-N3</f>
        <v>0</v>
      </c>
      <c r="P3" s="1" t="b">
        <f t="shared" ref="P3:P9" si="0">INT(O3)=0</f>
        <v>1</v>
      </c>
    </row>
    <row r="4" spans="2:16" s="358" customFormat="1" x14ac:dyDescent="0.25">
      <c r="B4" s="317">
        <v>2</v>
      </c>
      <c r="C4" s="295">
        <f>'Recaudo EAAB Reciprocidad'!D22+'Recaudo EAAB + Ciud Limp'!D22+'Recaudo Directa Occidente'!D22+'Recaudo ENEL'!D22+'Recaudo ENERBIT'!D22</f>
        <v>12284380497</v>
      </c>
      <c r="D4" s="295">
        <f>'CONSOLIDADO_TOTAL RECAUDO'!G126</f>
        <v>0</v>
      </c>
      <c r="E4" s="295">
        <f>'CONSOLIDADO_TOTAL RECAUDO'!D29+'CONSOLIDADO_TOTAL RECAUDO'!N29</f>
        <v>79400801.25999999</v>
      </c>
      <c r="F4" s="295">
        <f>'CONSOLIDADO_TOTAL RECAUDO'!I143</f>
        <v>397250</v>
      </c>
      <c r="G4" s="295">
        <f>'CONSOLIDADO_TOTAL RECAUDO'!H143</f>
        <v>0</v>
      </c>
      <c r="H4" s="343">
        <f t="shared" ref="H4:H8" si="1">SUM(C4:G4)</f>
        <v>12364178548.26</v>
      </c>
      <c r="I4" s="294">
        <f>'CONSOLIDADO_TOTAL RECAUDO'!D105</f>
        <v>12227292052.730001</v>
      </c>
      <c r="J4" s="295">
        <f>'CONSOLIDADO_TOTAL RECAUDO'!N105</f>
        <v>31737181.809999999</v>
      </c>
      <c r="K4" s="295">
        <f>'CONSOLIDADO_TOTAL RECAUDO'!D126</f>
        <v>95260124</v>
      </c>
      <c r="L4" s="356">
        <f>'CONSOLIDADO_TOTAL RECAUDO'!E126</f>
        <v>0</v>
      </c>
      <c r="M4" s="295">
        <f>-'CONSOLIDADO_TOTAL RECAUDO'!D67-'CONSOLIDADO_TOTAL RECAUDO'!N67</f>
        <v>9889189.7200000007</v>
      </c>
      <c r="N4" s="321">
        <f>SUM(I4:M4)</f>
        <v>12364178548.26</v>
      </c>
      <c r="O4" s="357">
        <f t="shared" ref="O4:O6" si="2">H4-N4</f>
        <v>0</v>
      </c>
      <c r="P4" s="1" t="b">
        <f t="shared" si="0"/>
        <v>1</v>
      </c>
    </row>
    <row r="5" spans="2:16" s="358" customFormat="1" x14ac:dyDescent="0.25">
      <c r="B5" s="317">
        <v>3</v>
      </c>
      <c r="C5" s="295">
        <f>'Recaudo EAAB Reciprocidad'!D23+'Recaudo EAAB + Ciud Limp'!D23+'Recaudo Directa Occidente'!D23+'Recaudo ENEL'!D23+'Recaudo ENERBIT'!D23</f>
        <v>10157490416</v>
      </c>
      <c r="D5" s="295">
        <f>'CONSOLIDADO_TOTAL RECAUDO'!G127</f>
        <v>10198723.07</v>
      </c>
      <c r="E5" s="295">
        <f>'CONSOLIDADO_TOTAL RECAUDO'!D30+'CONSOLIDADO_TOTAL RECAUDO'!N30</f>
        <v>31111803.75</v>
      </c>
      <c r="F5" s="295">
        <f>'CONSOLIDADO_TOTAL RECAUDO'!I144</f>
        <v>248110</v>
      </c>
      <c r="G5" s="295">
        <f>'CONSOLIDADO_TOTAL RECAUDO'!H144</f>
        <v>0</v>
      </c>
      <c r="H5" s="343">
        <f t="shared" si="1"/>
        <v>10199049052.82</v>
      </c>
      <c r="I5" s="294">
        <f>'CONSOLIDADO_TOTAL RECAUDO'!D106</f>
        <v>10127195598.750002</v>
      </c>
      <c r="J5" s="295">
        <f>'CONSOLIDADO_TOTAL RECAUDO'!N106</f>
        <v>32320230.18</v>
      </c>
      <c r="K5" s="295">
        <f>'CONSOLIDADO_TOTAL RECAUDO'!D127</f>
        <v>23429781</v>
      </c>
      <c r="L5" s="356">
        <f>'CONSOLIDADO_TOTAL RECAUDO'!E127</f>
        <v>0</v>
      </c>
      <c r="M5" s="295">
        <f>-'CONSOLIDADO_TOTAL RECAUDO'!D68-'CONSOLIDADO_TOTAL RECAUDO'!N68</f>
        <v>16103442.890000001</v>
      </c>
      <c r="N5" s="321">
        <f>SUM(I5:M5)</f>
        <v>10199049052.820002</v>
      </c>
      <c r="O5" s="357">
        <f>H5-N5</f>
        <v>0</v>
      </c>
      <c r="P5" s="1" t="b">
        <f t="shared" si="0"/>
        <v>1</v>
      </c>
    </row>
    <row r="6" spans="2:16" s="358" customFormat="1" x14ac:dyDescent="0.25">
      <c r="B6" s="317">
        <v>4</v>
      </c>
      <c r="C6" s="295">
        <f>'Recaudo EAAB Reciprocidad'!D24+'Recaudo EAAB + Ciud Limp'!D24+'Recaudo Directa Occidente'!D24+'Recaudo ENEL'!D24+'Recaudo ENERBIT'!D24</f>
        <v>10630500288</v>
      </c>
      <c r="D6" s="295">
        <f>'CONSOLIDADO_TOTAL RECAUDO'!G128</f>
        <v>5419780</v>
      </c>
      <c r="E6" s="295">
        <f>'CONSOLIDADO_TOTAL RECAUDO'!D31+'CONSOLIDADO_TOTAL RECAUDO'!N31</f>
        <v>17236000.330000002</v>
      </c>
      <c r="F6" s="295">
        <f>'CONSOLIDADO_TOTAL RECAUDO'!I145</f>
        <v>576790</v>
      </c>
      <c r="G6" s="295">
        <f>'CONSOLIDADO_TOTAL RECAUDO'!H145</f>
        <v>0</v>
      </c>
      <c r="H6" s="343">
        <f t="shared" si="1"/>
        <v>10653732858.33</v>
      </c>
      <c r="I6" s="294">
        <f>'CONSOLIDADO_TOTAL RECAUDO'!D107</f>
        <v>10553776375.590002</v>
      </c>
      <c r="J6" s="295">
        <f>'CONSOLIDADO_TOTAL RECAUDO'!N107</f>
        <v>22968513.57</v>
      </c>
      <c r="K6" s="295">
        <f>'CONSOLIDADO_TOTAL RECAUDO'!D128</f>
        <v>55699060.600000001</v>
      </c>
      <c r="L6" s="356">
        <f>'CONSOLIDADO_TOTAL RECAUDO'!E128</f>
        <v>0</v>
      </c>
      <c r="M6" s="295">
        <f>-'CONSOLIDADO_TOTAL RECAUDO'!D69-'CONSOLIDADO_TOTAL RECAUDO'!N69</f>
        <v>21288908.57</v>
      </c>
      <c r="N6" s="321">
        <f t="shared" ref="N6:N7" si="3">SUM(I6:M6)</f>
        <v>10653732858.330002</v>
      </c>
      <c r="O6" s="357">
        <f t="shared" si="2"/>
        <v>0</v>
      </c>
      <c r="P6" s="1" t="b">
        <f t="shared" si="0"/>
        <v>1</v>
      </c>
    </row>
    <row r="7" spans="2:16" s="358" customFormat="1" x14ac:dyDescent="0.25">
      <c r="B7" s="317">
        <v>5</v>
      </c>
      <c r="C7" s="295">
        <f>'Recaudo EAAB Reciprocidad'!D25+'Recaudo EAAB + Ciud Limp'!D25+'Recaudo Directa Occidente'!D25+'Recaudo ENEL'!D25+'Recaudo ENERBIT'!D25</f>
        <v>8589482757</v>
      </c>
      <c r="D7" s="295">
        <f>'CONSOLIDADO_TOTAL RECAUDO'!G129</f>
        <v>0</v>
      </c>
      <c r="E7" s="295">
        <f>'CONSOLIDADO_TOTAL RECAUDO'!D32+'CONSOLIDADO_TOTAL RECAUDO'!N32</f>
        <v>31083151.140000001</v>
      </c>
      <c r="F7" s="295">
        <f>'CONSOLIDADO_TOTAL RECAUDO'!I146</f>
        <v>765120</v>
      </c>
      <c r="G7" s="295">
        <f>'CONSOLIDADO_TOTAL RECAUDO'!H146</f>
        <v>0</v>
      </c>
      <c r="H7" s="343">
        <f>SUM(C7:G7)</f>
        <v>8621331028.1399994</v>
      </c>
      <c r="I7" s="294">
        <f>'CONSOLIDADO_TOTAL RECAUDO'!D108</f>
        <v>8543663208.8299999</v>
      </c>
      <c r="J7" s="295">
        <f>'CONSOLIDADO_TOTAL RECAUDO'!N108</f>
        <v>27242693.629999999</v>
      </c>
      <c r="K7" s="295">
        <f>'CONSOLIDADO_TOTAL RECAUDO'!D129</f>
        <v>44003851</v>
      </c>
      <c r="L7" s="356">
        <f>'CONSOLIDADO_TOTAL RECAUDO'!E129</f>
        <v>0</v>
      </c>
      <c r="M7" s="295">
        <f>-'CONSOLIDADO_TOTAL RECAUDO'!D70-'CONSOLIDADO_TOTAL RECAUDO'!N70</f>
        <v>6421274.6799999997</v>
      </c>
      <c r="N7" s="321">
        <f t="shared" si="3"/>
        <v>8621331028.1399994</v>
      </c>
      <c r="O7" s="357">
        <f>H7-N7</f>
        <v>0</v>
      </c>
      <c r="P7" s="1" t="b">
        <f t="shared" si="0"/>
        <v>1</v>
      </c>
    </row>
    <row r="8" spans="2:16" s="358" customFormat="1" ht="13" thickBot="1" x14ac:dyDescent="0.3">
      <c r="B8" s="344" t="s">
        <v>89</v>
      </c>
      <c r="C8" s="359">
        <f>'Recaudo EAAB Reciprocidad'!D26+'Recaudo EAAB + Ciud Limp'!D26+'Recaudo Directa Occidente'!D26+'Recaudo ENEL'!D26+'Recaudo ENERBIT'!D26</f>
        <v>0</v>
      </c>
      <c r="D8" s="359">
        <v>0</v>
      </c>
      <c r="E8" s="359">
        <v>0</v>
      </c>
      <c r="F8" s="359">
        <v>0</v>
      </c>
      <c r="G8" s="359">
        <v>0</v>
      </c>
      <c r="H8" s="343">
        <f t="shared" si="1"/>
        <v>0</v>
      </c>
      <c r="I8" s="360">
        <v>0</v>
      </c>
      <c r="J8" s="346">
        <v>0</v>
      </c>
      <c r="K8" s="346">
        <v>0</v>
      </c>
      <c r="L8" s="356">
        <f>'CONSOLIDADO_TOTAL RECAUDO'!E130</f>
        <v>0</v>
      </c>
      <c r="M8" s="359">
        <v>0</v>
      </c>
      <c r="N8" s="361">
        <f>SUM(I8:L8)-M8</f>
        <v>0</v>
      </c>
      <c r="O8" s="357">
        <f>H8-N8</f>
        <v>0</v>
      </c>
      <c r="P8" s="1" t="b">
        <f t="shared" si="0"/>
        <v>1</v>
      </c>
    </row>
    <row r="9" spans="2:16" s="358" customFormat="1" ht="13" thickBot="1" x14ac:dyDescent="0.3">
      <c r="B9" s="330"/>
      <c r="C9" s="293">
        <f>SUM(C3:C8)</f>
        <v>58447133168</v>
      </c>
      <c r="D9" s="293">
        <f t="shared" ref="D9:L9" si="4">SUM(D3:D8)</f>
        <v>27291523.07</v>
      </c>
      <c r="E9" s="293">
        <f t="shared" si="4"/>
        <v>213105403.86000001</v>
      </c>
      <c r="F9" s="293">
        <f t="shared" si="4"/>
        <v>1987270</v>
      </c>
      <c r="G9" s="293">
        <f t="shared" si="4"/>
        <v>0</v>
      </c>
      <c r="H9" s="293">
        <f t="shared" si="4"/>
        <v>58689517364.93</v>
      </c>
      <c r="I9" s="293">
        <f t="shared" si="4"/>
        <v>58210094820.500008</v>
      </c>
      <c r="J9" s="293">
        <f t="shared" si="4"/>
        <v>132519620.13</v>
      </c>
      <c r="K9" s="293">
        <f t="shared" si="4"/>
        <v>281145852.78999996</v>
      </c>
      <c r="L9" s="293">
        <f t="shared" si="4"/>
        <v>0</v>
      </c>
      <c r="M9" s="293">
        <f>SUM(M3:M8)</f>
        <v>65757071.510000005</v>
      </c>
      <c r="N9" s="293">
        <f>SUM(N3:N8)</f>
        <v>58689517364.93</v>
      </c>
      <c r="O9" s="362">
        <f>SUM(O3:O8)</f>
        <v>0</v>
      </c>
      <c r="P9" s="1" t="b">
        <f t="shared" si="0"/>
        <v>1</v>
      </c>
    </row>
    <row r="11" spans="2:16" ht="13" x14ac:dyDescent="0.3">
      <c r="B11" s="102" t="s">
        <v>89</v>
      </c>
      <c r="C11" s="103" t="s">
        <v>90</v>
      </c>
      <c r="M11" s="141"/>
      <c r="O11" s="137"/>
    </row>
    <row r="12" spans="2:16" x14ac:dyDescent="0.25">
      <c r="C12" s="143"/>
    </row>
    <row r="13" spans="2:16" x14ac:dyDescent="0.25">
      <c r="B13" s="142"/>
      <c r="C13" s="143" t="s">
        <v>1</v>
      </c>
    </row>
    <row r="14" spans="2:16" x14ac:dyDescent="0.25">
      <c r="C14" s="245">
        <f>'Valida - Control Recaudo'!F10</f>
        <v>58447133168</v>
      </c>
      <c r="D14" s="212"/>
    </row>
    <row r="15" spans="2:16" x14ac:dyDescent="0.25">
      <c r="C15" s="249" t="b">
        <f>C14=C9</f>
        <v>1</v>
      </c>
    </row>
    <row r="16" spans="2:16" x14ac:dyDescent="0.25">
      <c r="C16" s="358"/>
    </row>
    <row r="18" spans="3:18" ht="13.5" thickBot="1" x14ac:dyDescent="0.35">
      <c r="D18" s="698" t="s">
        <v>270</v>
      </c>
      <c r="E18" s="698"/>
    </row>
    <row r="19" spans="3:18" ht="35" thickBot="1" x14ac:dyDescent="0.3">
      <c r="D19" s="28" t="s">
        <v>55</v>
      </c>
      <c r="E19" s="28" t="s">
        <v>50</v>
      </c>
      <c r="F19" s="28" t="s">
        <v>57</v>
      </c>
      <c r="G19" s="28" t="s">
        <v>129</v>
      </c>
      <c r="H19" s="28" t="s">
        <v>130</v>
      </c>
      <c r="I19" s="131" t="s">
        <v>52</v>
      </c>
      <c r="J19" s="12" t="s">
        <v>58</v>
      </c>
      <c r="K19" s="12" t="s">
        <v>59</v>
      </c>
      <c r="L19" s="12" t="s">
        <v>53</v>
      </c>
      <c r="M19" s="27" t="s">
        <v>60</v>
      </c>
      <c r="N19" s="65" t="s">
        <v>92</v>
      </c>
      <c r="O19" s="132" t="s">
        <v>54</v>
      </c>
    </row>
    <row r="20" spans="3:18" x14ac:dyDescent="0.25">
      <c r="C20" t="s">
        <v>202</v>
      </c>
      <c r="D20" s="689">
        <f>VALIDACION_RECIP!C9</f>
        <v>44585860</v>
      </c>
      <c r="E20" s="689">
        <f>VALIDACION_RECIP!D9</f>
        <v>0</v>
      </c>
      <c r="F20" s="689">
        <f>VALIDACION_RECIP!E9</f>
        <v>37627673.609999999</v>
      </c>
      <c r="G20" s="689">
        <f>VALIDACION_RECIP!F9</f>
        <v>0</v>
      </c>
      <c r="H20" s="689">
        <f>VALIDACION_RECIP!G9</f>
        <v>0</v>
      </c>
      <c r="I20" s="689">
        <f>VALIDACION_RECIP!H9</f>
        <v>82213533.609999999</v>
      </c>
      <c r="J20" s="689">
        <f>VALIDACION_RECIP!I9</f>
        <v>57978564.890000001</v>
      </c>
      <c r="K20" s="689">
        <f>VALIDACION_RECIP!J9</f>
        <v>0</v>
      </c>
      <c r="L20" s="689">
        <f>VALIDACION_RECIP!K9</f>
        <v>23750820</v>
      </c>
      <c r="M20" s="689">
        <f>VALIDACION_RECIP!L9</f>
        <v>0</v>
      </c>
      <c r="N20" s="689">
        <f>VALIDACION_RECIP!M9</f>
        <v>484148.72</v>
      </c>
      <c r="O20" s="689">
        <f>VALIDACION_RECIP!N9</f>
        <v>82213533.609999999</v>
      </c>
    </row>
    <row r="21" spans="3:18" x14ac:dyDescent="0.25">
      <c r="C21" s="167" t="s">
        <v>155</v>
      </c>
      <c r="D21" s="689">
        <f>VALIDACION_ENEL!C9</f>
        <v>56416918662</v>
      </c>
      <c r="E21" s="689">
        <f>VALIDACION_ENEL!D9</f>
        <v>3564150</v>
      </c>
      <c r="F21" s="689">
        <f>VALIDACION_ENEL!E9</f>
        <v>157391263.36000001</v>
      </c>
      <c r="G21" s="689">
        <f>VALIDACION_ENEL!F9</f>
        <v>1987270</v>
      </c>
      <c r="H21" s="689">
        <f>VALIDACION_ENEL!G9</f>
        <v>0</v>
      </c>
      <c r="I21" s="689">
        <f>VALIDACION_ENEL!H9</f>
        <v>56579861345.359993</v>
      </c>
      <c r="J21" s="689">
        <f>VALIDACION_ENEL!I9</f>
        <v>56263766053.809998</v>
      </c>
      <c r="K21" s="689">
        <f>VALIDACION_ENEL!J9</f>
        <v>86245635.939999998</v>
      </c>
      <c r="L21" s="689">
        <f>VALIDACION_ENEL!K9</f>
        <v>192969109</v>
      </c>
      <c r="M21" s="689">
        <f>VALIDACION_ENEL!L9</f>
        <v>0</v>
      </c>
      <c r="N21" s="689">
        <f>VALIDACION_ENEL!M9</f>
        <v>36880546.609999999</v>
      </c>
      <c r="O21" s="689">
        <f>VALIDACION_ENEL!N9</f>
        <v>56579861345.359993</v>
      </c>
    </row>
    <row r="22" spans="3:18" x14ac:dyDescent="0.25">
      <c r="C22" s="747" t="s">
        <v>326</v>
      </c>
      <c r="D22" s="689">
        <f>VALIDACION_ENERBIT!C9</f>
        <v>129536656</v>
      </c>
      <c r="E22" s="689">
        <f>VALIDACION_ENERBIT!D9</f>
        <v>0</v>
      </c>
      <c r="F22" s="689">
        <f>VALIDACION_ENERBIT!E9</f>
        <v>0</v>
      </c>
      <c r="G22" s="689">
        <f>VALIDACION_ENERBIT!F9</f>
        <v>0</v>
      </c>
      <c r="H22" s="689">
        <f>VALIDACION_ENERBIT!G9</f>
        <v>0</v>
      </c>
      <c r="I22" s="689">
        <f>VALIDACION_ENERBIT!H9</f>
        <v>129536656</v>
      </c>
      <c r="J22" s="689">
        <f>VALIDACION_ENERBIT!I9</f>
        <v>126372775.04000001</v>
      </c>
      <c r="K22" s="689">
        <f>VALIDACION_ENERBIT!J9</f>
        <v>139.96</v>
      </c>
      <c r="L22" s="689">
        <f>VALIDACION_ENERBIT!K9</f>
        <v>3163741</v>
      </c>
      <c r="M22" s="689">
        <f>VALIDACION_ENERBIT!L9</f>
        <v>0</v>
      </c>
      <c r="N22" s="689">
        <f>VALIDACION_ENERBIT!M9</f>
        <v>0</v>
      </c>
      <c r="O22" s="689">
        <f>VALIDACION_ENERBIT!N9</f>
        <v>129536656</v>
      </c>
    </row>
    <row r="23" spans="3:18" x14ac:dyDescent="0.25">
      <c r="C23" s="212" t="s">
        <v>119</v>
      </c>
      <c r="D23" s="689">
        <f>VALIDACION_OCCIDENTE!C9</f>
        <v>1856091990</v>
      </c>
      <c r="E23" s="689">
        <f>VALIDACION_OCCIDENTE!D9</f>
        <v>23727373.07</v>
      </c>
      <c r="F23" s="689">
        <f>VALIDACION_OCCIDENTE!E9</f>
        <v>18086466.890000001</v>
      </c>
      <c r="G23" s="689">
        <f>VALIDACION_OCCIDENTE!F9</f>
        <v>0</v>
      </c>
      <c r="H23" s="689">
        <f>VALIDACION_OCCIDENTE!G9</f>
        <v>0</v>
      </c>
      <c r="I23" s="689">
        <f>VALIDACION_OCCIDENTE!H9</f>
        <v>1897905829.96</v>
      </c>
      <c r="J23" s="689">
        <f>VALIDACION_OCCIDENTE!I9</f>
        <v>1761977426.76</v>
      </c>
      <c r="K23" s="689">
        <f>VALIDACION_OCCIDENTE!J9</f>
        <v>46273844.229999997</v>
      </c>
      <c r="L23" s="689">
        <f>VALIDACION_OCCIDENTE!K9</f>
        <v>61262182.789999999</v>
      </c>
      <c r="M23" s="689">
        <f>VALIDACION_OCCIDENTE!L9</f>
        <v>0</v>
      </c>
      <c r="N23" s="689">
        <f>VALIDACION_OCCIDENTE!M9</f>
        <v>28392376.18</v>
      </c>
      <c r="O23" s="689">
        <f>VALIDACION_OCCIDENTE!N9</f>
        <v>1897905829.96</v>
      </c>
    </row>
    <row r="24" spans="3:18" x14ac:dyDescent="0.25">
      <c r="D24" s="699">
        <f>SUM(D20:D23)</f>
        <v>58447133168</v>
      </c>
      <c r="E24" s="141">
        <f t="shared" ref="E24:O24" si="5">SUM(E20:E23)</f>
        <v>27291523.07</v>
      </c>
      <c r="F24" s="141">
        <f>SUM(F20:F23)</f>
        <v>213105403.86000001</v>
      </c>
      <c r="G24" s="141">
        <f t="shared" si="5"/>
        <v>1987270</v>
      </c>
      <c r="H24" s="141">
        <f t="shared" si="5"/>
        <v>0</v>
      </c>
      <c r="I24" s="141">
        <f t="shared" si="5"/>
        <v>58689517364.929993</v>
      </c>
      <c r="J24" s="141">
        <f t="shared" si="5"/>
        <v>58210094820.5</v>
      </c>
      <c r="K24" s="141">
        <f t="shared" si="5"/>
        <v>132519620.13</v>
      </c>
      <c r="L24" s="141">
        <f t="shared" si="5"/>
        <v>281145852.79000002</v>
      </c>
      <c r="M24" s="141">
        <f t="shared" si="5"/>
        <v>0</v>
      </c>
      <c r="N24" s="141">
        <f t="shared" si="5"/>
        <v>65757071.509999998</v>
      </c>
      <c r="O24" s="141">
        <f t="shared" si="5"/>
        <v>58689517364.929993</v>
      </c>
    </row>
    <row r="25" spans="3:18" x14ac:dyDescent="0.25">
      <c r="D25" t="b">
        <f>D24=C9</f>
        <v>1</v>
      </c>
      <c r="E25" t="b">
        <f t="shared" ref="E25:O25" si="6">E24=D9</f>
        <v>1</v>
      </c>
      <c r="F25" t="b">
        <f>F24=E9</f>
        <v>1</v>
      </c>
      <c r="G25" t="b">
        <f t="shared" si="6"/>
        <v>1</v>
      </c>
      <c r="H25" t="b">
        <f t="shared" si="6"/>
        <v>1</v>
      </c>
      <c r="I25" t="b">
        <f t="shared" si="6"/>
        <v>1</v>
      </c>
      <c r="J25" t="b">
        <f>J24=I9</f>
        <v>1</v>
      </c>
      <c r="K25" t="b">
        <f t="shared" si="6"/>
        <v>1</v>
      </c>
      <c r="L25" t="b">
        <f t="shared" si="6"/>
        <v>1</v>
      </c>
      <c r="M25" t="b">
        <f t="shared" si="6"/>
        <v>1</v>
      </c>
      <c r="N25" t="b">
        <f t="shared" si="6"/>
        <v>1</v>
      </c>
      <c r="O25" t="b">
        <f t="shared" si="6"/>
        <v>1</v>
      </c>
    </row>
    <row r="27" spans="3:18" ht="13.5" thickBot="1" x14ac:dyDescent="0.35">
      <c r="D27" s="698" t="s">
        <v>271</v>
      </c>
    </row>
    <row r="28" spans="3:18" ht="57" customHeight="1" thickBot="1" x14ac:dyDescent="0.3">
      <c r="D28" s="11" t="s">
        <v>4</v>
      </c>
      <c r="E28" s="12" t="s">
        <v>7</v>
      </c>
      <c r="F28" s="12" t="s">
        <v>275</v>
      </c>
      <c r="G28" s="12" t="s">
        <v>190</v>
      </c>
      <c r="I28" s="12" t="s">
        <v>38</v>
      </c>
      <c r="J28" s="85" t="s">
        <v>273</v>
      </c>
      <c r="K28" s="65" t="s">
        <v>47</v>
      </c>
      <c r="L28" s="373" t="s">
        <v>56</v>
      </c>
      <c r="M28" s="73" t="s">
        <v>274</v>
      </c>
      <c r="N28" s="73" t="s">
        <v>171</v>
      </c>
      <c r="O28" s="28" t="s">
        <v>129</v>
      </c>
      <c r="P28" s="12" t="s">
        <v>190</v>
      </c>
      <c r="Q28" s="12" t="s">
        <v>272</v>
      </c>
    </row>
    <row r="29" spans="3:18" x14ac:dyDescent="0.25">
      <c r="C29" t="s">
        <v>202</v>
      </c>
      <c r="D29" s="689">
        <f>'REMUNERACION Reciprocidad EAAB'!D109</f>
        <v>57978564.890000001</v>
      </c>
      <c r="E29" s="689">
        <f>'REMUNERACION Reciprocidad EAAB'!N109</f>
        <v>0</v>
      </c>
      <c r="F29" s="689">
        <f>D29+E29</f>
        <v>57978564.890000001</v>
      </c>
      <c r="G29" s="700">
        <f>D20-F29</f>
        <v>-13392704.890000001</v>
      </c>
      <c r="H29" s="689"/>
      <c r="I29" s="689">
        <f>'REMUNERACION Reciprocidad EAAB'!D131</f>
        <v>23750820</v>
      </c>
      <c r="J29" s="689"/>
      <c r="K29" s="689">
        <f>'REMUNERACION Reciprocidad EAAB'!G131</f>
        <v>0</v>
      </c>
      <c r="L29" s="689">
        <f>'REMUNERACION Reciprocidad EAAB'!H131</f>
        <v>37627673.609999999</v>
      </c>
      <c r="M29" s="689">
        <f>'REMUNERACION Reciprocidad EAAB'!I131</f>
        <v>0</v>
      </c>
      <c r="N29" s="689">
        <f>+'REMUNERACION Reciprocidad EAAB'!J131</f>
        <v>-484148.72</v>
      </c>
      <c r="O29" s="689">
        <f>'REMUNERACION Reciprocidad EAAB'!I147</f>
        <v>0</v>
      </c>
      <c r="P29" s="700">
        <f>I29+J29-K29-L29-M29-N29-O29</f>
        <v>-13392704.889999999</v>
      </c>
      <c r="Q29" s="701">
        <f>G29-P29</f>
        <v>0</v>
      </c>
      <c r="R29" s="141"/>
    </row>
    <row r="30" spans="3:18" x14ac:dyDescent="0.25">
      <c r="C30" s="167" t="s">
        <v>155</v>
      </c>
      <c r="D30" s="689">
        <f>REMUNERACION_ENEL!D109</f>
        <v>56263766053.809998</v>
      </c>
      <c r="E30" s="689">
        <f>REMUNERACION_ENEL!N109</f>
        <v>86245635.939999998</v>
      </c>
      <c r="F30" s="689">
        <f>D30+E30</f>
        <v>56350011689.75</v>
      </c>
      <c r="G30" s="702">
        <f>D21-F30</f>
        <v>66906972.25</v>
      </c>
      <c r="H30" s="689"/>
      <c r="I30" s="689">
        <f>REMUNERACION_ENEL!D131</f>
        <v>192969109</v>
      </c>
      <c r="J30" s="689"/>
      <c r="K30" s="689">
        <f>REMUNERACION_ENEL!G131</f>
        <v>3564150</v>
      </c>
      <c r="L30" s="689">
        <f>REMUNERACION_ENEL!H131</f>
        <v>157391263.36000001</v>
      </c>
      <c r="M30" s="689">
        <f>REMUNERACION_ENEL!I131</f>
        <v>0</v>
      </c>
      <c r="N30" s="689">
        <f>REMUNERACION_ENEL!J131</f>
        <v>-36880546.609999999</v>
      </c>
      <c r="O30" s="689">
        <f>REMUNERACION_ENEL!I147</f>
        <v>1987270</v>
      </c>
      <c r="P30" s="700">
        <f>I30+J30-K30-L30-M30-N30-O30</f>
        <v>66906972.249999985</v>
      </c>
      <c r="Q30" s="701">
        <f>G30-P30</f>
        <v>0</v>
      </c>
      <c r="R30" s="141"/>
    </row>
    <row r="31" spans="3:18" x14ac:dyDescent="0.25">
      <c r="C31" s="747" t="s">
        <v>326</v>
      </c>
      <c r="D31" s="689">
        <f>REMUNERACION_ENERBIT!D109</f>
        <v>126372775.04000001</v>
      </c>
      <c r="E31" s="689">
        <f>REMUNERACION_ENERBIT!N109</f>
        <v>139.96</v>
      </c>
      <c r="F31" s="689">
        <f>D31+E31</f>
        <v>126372915</v>
      </c>
      <c r="G31" s="702">
        <f>D22-F31</f>
        <v>3163741</v>
      </c>
      <c r="H31" s="689"/>
      <c r="I31" s="689">
        <f>REMUNERACION_ENERBIT!D131</f>
        <v>3163741</v>
      </c>
      <c r="J31" s="689"/>
      <c r="K31" s="689">
        <f>REMUNERACION_ENERBIT!G132</f>
        <v>0</v>
      </c>
      <c r="L31" s="689">
        <f>REMUNERACION_ENERBIT!H132</f>
        <v>0</v>
      </c>
      <c r="M31" s="689">
        <f>REMUNERACION_ENERBIT!I132</f>
        <v>0</v>
      </c>
      <c r="N31" s="689">
        <f>REMUNERACION_ENERBIT!J132</f>
        <v>0</v>
      </c>
      <c r="O31" s="689">
        <f>REMUNERACION_ENERBIT!K132</f>
        <v>0</v>
      </c>
      <c r="P31" s="700">
        <f t="shared" ref="P31:P32" si="7">I31+J31-K31-L31-M31-N31-O31</f>
        <v>3163741</v>
      </c>
      <c r="Q31" s="701"/>
      <c r="R31" s="141"/>
    </row>
    <row r="32" spans="3:18" x14ac:dyDescent="0.25">
      <c r="C32" s="212" t="s">
        <v>119</v>
      </c>
      <c r="D32" s="689">
        <f>'REMUNERACION_OCCIDENTE_ Directa'!D109</f>
        <v>1761977426.76</v>
      </c>
      <c r="E32" s="689">
        <f>'REMUNERACION_OCCIDENTE_ Directa'!N109</f>
        <v>46273844.229999997</v>
      </c>
      <c r="F32" s="689">
        <f t="shared" ref="F32" si="8">D32+E32</f>
        <v>1808251270.99</v>
      </c>
      <c r="G32" s="702">
        <f>D23-F32</f>
        <v>47840719.00999999</v>
      </c>
      <c r="H32" s="689"/>
      <c r="I32" s="689">
        <f>'REMUNERACION_OCCIDENTE_ Directa'!D131</f>
        <v>61262182.789999999</v>
      </c>
      <c r="J32" s="689">
        <f>'CONSOLIDADO_TOTAL RECAUDO'!E131</f>
        <v>0</v>
      </c>
      <c r="K32" s="689">
        <f>'REMUNERACION_OCCIDENTE_ Directa'!G131</f>
        <v>23727373.07</v>
      </c>
      <c r="L32" s="689">
        <f>'REMUNERACION_OCCIDENTE_ Directa'!H131</f>
        <v>18086466.890000001</v>
      </c>
      <c r="M32" s="689">
        <f>'REMUNERACION_OCCIDENTE_ Directa'!I131</f>
        <v>0</v>
      </c>
      <c r="N32" s="689">
        <f>'REMUNERACION_OCCIDENTE_ Directa'!J131</f>
        <v>-28392376.18</v>
      </c>
      <c r="O32" s="689">
        <f>'REMUNERACION_OCCIDENTE_ Directa'!I147</f>
        <v>0</v>
      </c>
      <c r="P32" s="700">
        <f t="shared" si="7"/>
        <v>47840719.009999998</v>
      </c>
      <c r="Q32" s="701">
        <f>G32-P32</f>
        <v>0</v>
      </c>
      <c r="R32" s="141"/>
    </row>
    <row r="33" spans="4:17" x14ac:dyDescent="0.25">
      <c r="D33" s="689">
        <f>SUM(D29:D32)</f>
        <v>58210094820.5</v>
      </c>
      <c r="E33" s="689">
        <f>SUM(E29:E32)</f>
        <v>132519620.13</v>
      </c>
      <c r="F33" s="703">
        <f t="shared" ref="F33" si="9">SUM(F29:F32)</f>
        <v>58342614440.629997</v>
      </c>
      <c r="G33" s="704">
        <f>D24-F33</f>
        <v>104518727.37000275</v>
      </c>
      <c r="H33" s="689"/>
      <c r="I33" s="689">
        <f>SUM(I29:I32)</f>
        <v>281145852.79000002</v>
      </c>
      <c r="J33" s="689">
        <f>SUM(J29:J32)</f>
        <v>0</v>
      </c>
      <c r="K33" s="689">
        <f>SUM(K29:K32)</f>
        <v>27291523.07</v>
      </c>
      <c r="L33" s="689">
        <f t="shared" ref="L33:N33" si="10">SUM(L29:L32)</f>
        <v>213105403.86000001</v>
      </c>
      <c r="M33" s="689">
        <f t="shared" si="10"/>
        <v>0</v>
      </c>
      <c r="N33" s="689">
        <f t="shared" si="10"/>
        <v>-65757071.509999998</v>
      </c>
      <c r="O33" s="689">
        <f>SUM(O29:O32)</f>
        <v>1987270</v>
      </c>
      <c r="P33" s="705">
        <f>SUM(P29:P32)</f>
        <v>104518727.36999997</v>
      </c>
      <c r="Q33" s="701">
        <f>SUM(Q29:Q32)</f>
        <v>0</v>
      </c>
    </row>
    <row r="34" spans="4:17" x14ac:dyDescent="0.25">
      <c r="D34" s="689" t="b">
        <f>D33='CONSOLIDADO_TOTAL RECAUDO'!D109</f>
        <v>1</v>
      </c>
      <c r="E34" s="689" t="b">
        <f>E33='CONSOLIDADO_TOTAL RECAUDO'!N109</f>
        <v>1</v>
      </c>
      <c r="F34" s="689" t="b">
        <f>F33='CONSOLIDADO_TOTAL RECAUDO'!D109+'CONSOLIDADO_TOTAL RECAUDO'!N109</f>
        <v>1</v>
      </c>
      <c r="G34" s="689"/>
      <c r="H34" s="689"/>
      <c r="I34" s="689"/>
      <c r="J34" s="689"/>
      <c r="K34" s="689"/>
      <c r="L34" s="689"/>
      <c r="M34" s="689"/>
      <c r="N34" s="689"/>
      <c r="O34" s="689"/>
    </row>
    <row r="36" spans="4:17" x14ac:dyDescent="0.25">
      <c r="P36" s="141"/>
    </row>
    <row r="37" spans="4:17" x14ac:dyDescent="0.25">
      <c r="P37" s="594"/>
    </row>
    <row r="38" spans="4:17" x14ac:dyDescent="0.25">
      <c r="P38" s="141"/>
    </row>
  </sheetData>
  <conditionalFormatting sqref="C15">
    <cfRule type="cellIs" dxfId="67" priority="1" operator="equal">
      <formula>FALSE</formula>
    </cfRule>
    <cfRule type="cellIs" dxfId="66" priority="2" operator="equal">
      <formula>TRUE</formula>
    </cfRule>
    <cfRule type="cellIs" dxfId="65" priority="4" operator="notEqual">
      <formula>TRUE</formula>
    </cfRule>
  </conditionalFormatting>
  <conditionalFormatting sqref="P3:P9">
    <cfRule type="cellIs" dxfId="64" priority="3" operator="notEqual">
      <formula>TRUE</formula>
    </cfRule>
  </conditionalFormatting>
  <pageMargins left="0.7" right="0.7" top="0.75" bottom="0.75" header="0.3" footer="0.3"/>
  <pageSetup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tabColor rgb="FF00FF00"/>
    <pageSetUpPr fitToPage="1"/>
  </sheetPr>
  <dimension ref="A1:AI52"/>
  <sheetViews>
    <sheetView zoomScaleNormal="100" workbookViewId="0"/>
  </sheetViews>
  <sheetFormatPr baseColWidth="10" defaultColWidth="11.453125" defaultRowHeight="11.5" x14ac:dyDescent="0.25"/>
  <cols>
    <col min="1" max="1" width="3" style="1" customWidth="1"/>
    <col min="2" max="2" width="4.453125" style="1" bestFit="1" customWidth="1"/>
    <col min="3" max="3" width="36.7265625" style="1" customWidth="1"/>
    <col min="4" max="4" width="14.7265625" style="1" bestFit="1" customWidth="1"/>
    <col min="5" max="5" width="15.453125" style="1" bestFit="1" customWidth="1"/>
    <col min="6" max="7" width="14.7265625" style="1" customWidth="1"/>
    <col min="8" max="8" width="16.26953125" style="1" customWidth="1"/>
    <col min="9" max="9" width="20.26953125" style="1" bestFit="1" customWidth="1"/>
    <col min="10" max="10" width="15.54296875" style="1" customWidth="1"/>
    <col min="11" max="11" width="17.54296875" style="1" customWidth="1"/>
    <col min="12" max="12" width="16.54296875" style="1" customWidth="1"/>
    <col min="13" max="13" width="19.7265625" style="1" customWidth="1"/>
    <col min="14" max="14" width="15.26953125" style="1" customWidth="1"/>
    <col min="15" max="15" width="16.7265625" style="1" customWidth="1"/>
    <col min="16" max="16" width="3.7265625" style="1" customWidth="1"/>
    <col min="17" max="17" width="2.7265625" style="1" customWidth="1"/>
    <col min="18" max="18" width="4.54296875" style="1" customWidth="1"/>
    <col min="19" max="19" width="11.26953125" style="1" customWidth="1"/>
    <col min="20" max="20" width="39.453125" style="1" customWidth="1"/>
    <col min="21" max="21" width="19.26953125" style="1" customWidth="1"/>
    <col min="22" max="22" width="17.7265625" style="1" customWidth="1"/>
    <col min="23" max="23" width="16.453125" style="1" customWidth="1"/>
    <col min="24" max="24" width="17.26953125" style="1" customWidth="1"/>
    <col min="25" max="25" width="15.7265625" style="1" customWidth="1"/>
    <col min="26" max="26" width="16" style="1" customWidth="1"/>
    <col min="27" max="27" width="15" style="1" customWidth="1"/>
    <col min="28" max="29" width="16.7265625" style="1" customWidth="1"/>
    <col min="30" max="31" width="15.453125" style="1" customWidth="1"/>
    <col min="32" max="32" width="16.26953125" style="1" customWidth="1"/>
    <col min="33" max="33" width="11.26953125" style="1" customWidth="1"/>
    <col min="34" max="34" width="12" style="1" bestFit="1" customWidth="1"/>
    <col min="35" max="35" width="3.453125" style="1" customWidth="1"/>
    <col min="36" max="16384" width="11.453125" style="1"/>
  </cols>
  <sheetData>
    <row r="1" spans="2:35" ht="12" thickBot="1" x14ac:dyDescent="0.3">
      <c r="Q1" s="4"/>
      <c r="AI1" s="4"/>
    </row>
    <row r="2" spans="2:35" x14ac:dyDescent="0.25">
      <c r="B2" s="592"/>
      <c r="C2" s="3" t="s">
        <v>1</v>
      </c>
      <c r="D2" s="6" t="s">
        <v>1</v>
      </c>
      <c r="E2" s="3"/>
      <c r="F2" s="3"/>
      <c r="G2" s="3"/>
      <c r="H2" s="3" t="s">
        <v>1</v>
      </c>
      <c r="I2" s="3"/>
      <c r="J2" s="3"/>
      <c r="K2" s="3"/>
      <c r="L2" s="3"/>
      <c r="M2" s="3"/>
      <c r="N2" s="3"/>
      <c r="O2" s="7"/>
      <c r="P2" s="2"/>
      <c r="Q2" s="4"/>
      <c r="S2" s="5"/>
      <c r="T2" s="3" t="s">
        <v>1</v>
      </c>
      <c r="U2" s="6" t="s">
        <v>1</v>
      </c>
      <c r="V2" s="3"/>
      <c r="W2" s="3"/>
      <c r="X2" s="3" t="s">
        <v>1</v>
      </c>
      <c r="Y2" s="3"/>
      <c r="Z2" s="3"/>
      <c r="AA2" s="3"/>
      <c r="AB2" s="3"/>
      <c r="AC2" s="3"/>
      <c r="AD2" s="3"/>
      <c r="AE2" s="3"/>
      <c r="AF2" s="7"/>
      <c r="AG2" s="2"/>
      <c r="AI2" s="4"/>
    </row>
    <row r="3" spans="2:35" ht="14" x14ac:dyDescent="0.3">
      <c r="B3" s="8"/>
      <c r="F3" s="26" t="s">
        <v>8</v>
      </c>
      <c r="G3" s="26"/>
      <c r="I3" s="26" t="s">
        <v>16</v>
      </c>
      <c r="J3" s="25"/>
      <c r="M3" s="2" t="s">
        <v>15</v>
      </c>
      <c r="N3" s="50">
        <f>'CONSOLIDADO_TOTAL RECAUDO'!N98</f>
        <v>2026071</v>
      </c>
      <c r="O3" s="10"/>
      <c r="P3" s="2"/>
      <c r="Q3" s="4"/>
      <c r="S3" s="8"/>
      <c r="U3" s="26" t="s">
        <v>8</v>
      </c>
      <c r="W3" s="26" t="s">
        <v>16</v>
      </c>
      <c r="X3" s="25"/>
      <c r="Y3" s="2"/>
      <c r="AA3" s="2" t="s">
        <v>15</v>
      </c>
      <c r="AD3" s="84">
        <f>N3</f>
        <v>2026071</v>
      </c>
      <c r="AE3" s="84"/>
      <c r="AF3" s="48"/>
      <c r="AG3" s="2"/>
      <c r="AI3" s="4"/>
    </row>
    <row r="4" spans="2:35" ht="15.5" x14ac:dyDescent="0.35">
      <c r="B4" s="8"/>
      <c r="F4" s="36" t="s">
        <v>29</v>
      </c>
      <c r="G4" s="36"/>
      <c r="O4" s="10"/>
      <c r="P4" s="2"/>
      <c r="Q4" s="4"/>
      <c r="S4" s="8"/>
      <c r="T4" s="26" t="s">
        <v>1</v>
      </c>
      <c r="U4" s="36" t="s">
        <v>29</v>
      </c>
      <c r="Y4" s="2" t="s">
        <v>1</v>
      </c>
      <c r="AA4" s="50" t="s">
        <v>1</v>
      </c>
      <c r="AB4" s="2"/>
      <c r="AC4" s="2"/>
      <c r="AD4" s="2"/>
      <c r="AE4" s="2"/>
      <c r="AF4" s="10" t="s">
        <v>1</v>
      </c>
      <c r="AG4" s="2"/>
      <c r="AI4" s="4"/>
    </row>
    <row r="5" spans="2:35" ht="14" x14ac:dyDescent="0.3">
      <c r="B5" s="8"/>
      <c r="F5" s="2" t="s">
        <v>30</v>
      </c>
      <c r="G5" s="2"/>
      <c r="M5" s="2" t="s">
        <v>1</v>
      </c>
      <c r="O5" s="10"/>
      <c r="P5" s="2"/>
      <c r="Q5" s="4"/>
      <c r="S5" s="8"/>
      <c r="T5" s="49" t="s">
        <v>1</v>
      </c>
      <c r="U5" s="2" t="s">
        <v>30</v>
      </c>
      <c r="AF5" s="44"/>
      <c r="AG5" s="2"/>
      <c r="AI5" s="4"/>
    </row>
    <row r="6" spans="2:35" ht="15.5" x14ac:dyDescent="0.35">
      <c r="B6" s="8"/>
      <c r="C6" s="591" t="s">
        <v>17</v>
      </c>
      <c r="D6" s="9">
        <f>'CONSOLIDADO_TOTAL RECAUDO'!D101</f>
        <v>46220</v>
      </c>
      <c r="F6" s="58" t="str">
        <f>'CONSOLIDADO_TOTAL RECAUDO'!F101</f>
        <v>REPORTE CONSOLIDADO TOTAL DE RECAUDO</v>
      </c>
      <c r="G6" s="58"/>
      <c r="H6" s="59"/>
      <c r="I6" s="60"/>
      <c r="J6" s="59"/>
      <c r="O6" s="10"/>
      <c r="P6" s="2"/>
      <c r="Q6" s="4"/>
      <c r="S6" s="8"/>
      <c r="T6" s="41" t="s">
        <v>1</v>
      </c>
      <c r="U6" s="58" t="str">
        <f>'CONSOLIDADO_TOTAL RECAUDO'!U101</f>
        <v>REPORTE DETALLADO SUBBOLSA RBL DISCRIMINADO POR ACTIVIDADES</v>
      </c>
      <c r="V6" s="59"/>
      <c r="W6" s="60"/>
      <c r="X6" s="59"/>
      <c r="Y6" s="2"/>
      <c r="AF6" s="48"/>
      <c r="AG6" s="2"/>
      <c r="AI6" s="4"/>
    </row>
    <row r="7" spans="2:35" ht="12" thickBot="1" x14ac:dyDescent="0.3">
      <c r="B7" s="95"/>
      <c r="C7" s="593" t="s">
        <v>0</v>
      </c>
      <c r="D7" s="549">
        <f>'CONSOLIDADO_TOTAL RECAUDO'!D102</f>
        <v>0.58333333333333337</v>
      </c>
      <c r="E7" s="45"/>
      <c r="F7" s="548" t="s">
        <v>27</v>
      </c>
      <c r="G7" s="550">
        <f>'CONSOLIDADO_TOTAL RECAUDO'!G102</f>
        <v>46204</v>
      </c>
      <c r="H7" s="45"/>
      <c r="I7" s="45"/>
      <c r="J7" s="548" t="s">
        <v>28</v>
      </c>
      <c r="K7" s="550">
        <f>'CONSOLIDADO_TOTAL RECAUDO'!K102</f>
        <v>46218</v>
      </c>
      <c r="L7" s="45"/>
      <c r="M7" s="45"/>
      <c r="N7" s="45"/>
      <c r="O7" s="551"/>
      <c r="P7" s="2"/>
      <c r="Q7" s="4"/>
      <c r="S7" s="8"/>
      <c r="U7" s="1" t="str">
        <f>F7</f>
        <v>Fecha Desde:</v>
      </c>
      <c r="V7" s="9">
        <f>G7</f>
        <v>46204</v>
      </c>
      <c r="W7" s="1" t="s">
        <v>1</v>
      </c>
      <c r="X7" s="1" t="str">
        <f>J7</f>
        <v>Feha Hasta:</v>
      </c>
      <c r="Y7" s="9">
        <f>K7</f>
        <v>46218</v>
      </c>
      <c r="Z7" s="1" t="s">
        <v>1</v>
      </c>
      <c r="AF7" s="48"/>
      <c r="AG7" s="2"/>
      <c r="AI7" s="4"/>
    </row>
    <row r="8" spans="2:35" ht="69.5" thickBot="1" x14ac:dyDescent="0.3">
      <c r="B8" s="11" t="s">
        <v>3</v>
      </c>
      <c r="C8" s="27" t="s">
        <v>9</v>
      </c>
      <c r="D8" s="11" t="s">
        <v>4</v>
      </c>
      <c r="E8" s="12" t="s">
        <v>5</v>
      </c>
      <c r="F8" s="12" t="s">
        <v>6</v>
      </c>
      <c r="G8" s="271" t="s">
        <v>159</v>
      </c>
      <c r="H8" s="12" t="s">
        <v>18</v>
      </c>
      <c r="I8" s="12" t="s">
        <v>24</v>
      </c>
      <c r="J8" s="73" t="s">
        <v>19</v>
      </c>
      <c r="K8" s="29" t="s">
        <v>20</v>
      </c>
      <c r="L8" s="28" t="s">
        <v>21</v>
      </c>
      <c r="M8" s="39" t="s">
        <v>22</v>
      </c>
      <c r="N8" s="12" t="s">
        <v>7</v>
      </c>
      <c r="O8" s="39" t="s">
        <v>23</v>
      </c>
      <c r="P8" s="13"/>
      <c r="Q8" s="4"/>
      <c r="S8" s="11" t="s">
        <v>3</v>
      </c>
      <c r="T8" s="27" t="s">
        <v>9</v>
      </c>
      <c r="U8" s="80" t="s">
        <v>39</v>
      </c>
      <c r="V8" s="51" t="s">
        <v>40</v>
      </c>
      <c r="W8" s="51" t="s">
        <v>41</v>
      </c>
      <c r="X8" s="51" t="s">
        <v>42</v>
      </c>
      <c r="Y8" s="81" t="s">
        <v>43</v>
      </c>
      <c r="Z8" s="85" t="s">
        <v>21</v>
      </c>
      <c r="AA8" s="65" t="s">
        <v>46</v>
      </c>
      <c r="AB8" s="65" t="s">
        <v>7</v>
      </c>
      <c r="AC8" s="65" t="s">
        <v>167</v>
      </c>
      <c r="AD8" s="65" t="s">
        <v>105</v>
      </c>
      <c r="AE8" s="65" t="s">
        <v>104</v>
      </c>
      <c r="AF8" s="39" t="s">
        <v>23</v>
      </c>
      <c r="AG8" s="13"/>
      <c r="AI8" s="4"/>
    </row>
    <row r="9" spans="2:35" x14ac:dyDescent="0.25">
      <c r="B9" s="14">
        <v>1</v>
      </c>
      <c r="C9" s="61" t="s">
        <v>10</v>
      </c>
      <c r="D9" s="66">
        <f>'CONSOLIDADO_TOTAL RECAUDO'!D104</f>
        <v>16758167584.6</v>
      </c>
      <c r="E9" s="66">
        <f>'CONSOLIDADO_TOTAL RECAUDO'!E104</f>
        <v>988160721.55999982</v>
      </c>
      <c r="F9" s="66">
        <f>'CONSOLIDADO_TOTAL RECAUDO'!F104</f>
        <v>555411897.57000005</v>
      </c>
      <c r="G9" s="66">
        <f>'CONSOLIDADO_TOTAL RECAUDO'!G104</f>
        <v>292236839.79999995</v>
      </c>
      <c r="H9" s="66">
        <f>'CONSOLIDADO_TOTAL RECAUDO'!H104</f>
        <v>4880357965.2200003</v>
      </c>
      <c r="I9" s="66">
        <f>'CONSOLIDADO_TOTAL RECAUDO'!I104</f>
        <v>169199343.41999999</v>
      </c>
      <c r="J9" s="66">
        <f>'CONSOLIDADO_TOTAL RECAUDO'!J104</f>
        <v>2032363678.8399997</v>
      </c>
      <c r="K9" s="30">
        <f>D9-E9-F9-G9-H9-I9-J9</f>
        <v>7840437138.1900005</v>
      </c>
      <c r="L9" s="66">
        <f>'CONSOLIDADO_TOTAL RECAUDO'!L104</f>
        <v>189185987</v>
      </c>
      <c r="M9" s="30">
        <f>K9-L9</f>
        <v>7651251151.1900005</v>
      </c>
      <c r="N9" s="66">
        <f>'CONSOLIDADO_TOTAL RECAUDO'!N104</f>
        <v>18251000.939999998</v>
      </c>
      <c r="O9" s="30">
        <f>M9+N9</f>
        <v>7669502152.1300001</v>
      </c>
      <c r="Q9" s="4"/>
      <c r="S9" s="14">
        <v>1</v>
      </c>
      <c r="T9" s="61" t="s">
        <v>10</v>
      </c>
      <c r="U9" s="66">
        <f>'CONSOLIDADO_TOTAL RECAUDO'!U104</f>
        <v>1487625255.76</v>
      </c>
      <c r="V9" s="66">
        <f>'CONSOLIDADO_TOTAL RECAUDO'!V104</f>
        <v>1438826389.73</v>
      </c>
      <c r="W9" s="66">
        <f>'CONSOLIDADO_TOTAL RECAUDO'!W104</f>
        <v>6807621660.1599998</v>
      </c>
      <c r="X9" s="66">
        <f>'CONSOLIDADO_TOTAL RECAUDO'!X104</f>
        <v>2690145852.9800005</v>
      </c>
      <c r="Y9" s="66">
        <f>'CONSOLIDADO_TOTAL RECAUDO'!Y104</f>
        <v>276081628.58999997</v>
      </c>
      <c r="Z9" s="66">
        <f>'CONSOLIDADO_TOTAL RECAUDO'!Z104</f>
        <v>-189185987</v>
      </c>
      <c r="AA9" s="66">
        <f>'CONSOLIDADO_TOTAL RECAUDO'!AA104</f>
        <v>40996.930000000008</v>
      </c>
      <c r="AB9" s="66">
        <f>'CONSOLIDADO_TOTAL RECAUDO'!AB104</f>
        <v>18251000.939999998</v>
      </c>
      <c r="AC9" s="66">
        <f>'CONSOLIDADO_TOTAL RECAUDO'!AC104</f>
        <v>279.27</v>
      </c>
      <c r="AD9" s="66">
        <f>'CONSOLIDADO_TOTAL RECAUDO'!AD104</f>
        <v>-4859904925.2299995</v>
      </c>
      <c r="AE9" s="66">
        <f>'CONSOLIDADO_TOTAL RECAUDO'!AE104</f>
        <v>-2827541246.3899999</v>
      </c>
      <c r="AF9" s="69">
        <f>SUM(U9:AD9)</f>
        <v>7669502152.130003</v>
      </c>
      <c r="AG9" s="71">
        <f>AF9-O9</f>
        <v>0</v>
      </c>
      <c r="AH9" s="1" t="b">
        <f>INT(AG9)=0</f>
        <v>1</v>
      </c>
      <c r="AI9" s="4"/>
    </row>
    <row r="10" spans="2:35" x14ac:dyDescent="0.25">
      <c r="B10" s="16">
        <v>2</v>
      </c>
      <c r="C10" s="62" t="s">
        <v>11</v>
      </c>
      <c r="D10" s="66">
        <f>'CONSOLIDADO_TOTAL RECAUDO'!D105</f>
        <v>12227292052.730001</v>
      </c>
      <c r="E10" s="66">
        <f>'CONSOLIDADO_TOTAL RECAUDO'!E105</f>
        <v>1022509821.0499998</v>
      </c>
      <c r="F10" s="66">
        <f>'CONSOLIDADO_TOTAL RECAUDO'!F105</f>
        <v>566681379.41999996</v>
      </c>
      <c r="G10" s="66">
        <f>'CONSOLIDADO_TOTAL RECAUDO'!G105</f>
        <v>294336272.56</v>
      </c>
      <c r="H10" s="66">
        <f>'CONSOLIDADO_TOTAL RECAUDO'!H105</f>
        <v>3920443030.5299997</v>
      </c>
      <c r="I10" s="66">
        <f>'CONSOLIDADO_TOTAL RECAUDO'!I105</f>
        <v>148791798.07000002</v>
      </c>
      <c r="J10" s="66">
        <f>'CONSOLIDADO_TOTAL RECAUDO'!J105</f>
        <v>-5011515653.5899992</v>
      </c>
      <c r="K10" s="31">
        <f t="shared" ref="K10:K13" si="0">D10-E10-F10-G10-H10-I10-J10</f>
        <v>11286045404.690002</v>
      </c>
      <c r="L10" s="66">
        <f>'CONSOLIDADO_TOTAL RECAUDO'!L105</f>
        <v>266580255</v>
      </c>
      <c r="M10" s="31">
        <f>K10-L10</f>
        <v>11019465149.690002</v>
      </c>
      <c r="N10" s="66">
        <f>'CONSOLIDADO_TOTAL RECAUDO'!N105</f>
        <v>31737181.809999999</v>
      </c>
      <c r="O10" s="31">
        <f t="shared" ref="O10:O13" si="1">M10+N10</f>
        <v>11051202331.500002</v>
      </c>
      <c r="Q10" s="4"/>
      <c r="S10" s="16">
        <v>2</v>
      </c>
      <c r="T10" s="62" t="s">
        <v>11</v>
      </c>
      <c r="U10" s="66">
        <f>'CONSOLIDADO_TOTAL RECAUDO'!U105</f>
        <v>1309435017.3799999</v>
      </c>
      <c r="V10" s="66">
        <f>'CONSOLIDADO_TOTAL RECAUDO'!V105</f>
        <v>1311565791.7399998</v>
      </c>
      <c r="W10" s="66">
        <f>'CONSOLIDADO_TOTAL RECAUDO'!W105</f>
        <v>6106223771.8200006</v>
      </c>
      <c r="X10" s="66">
        <f>'CONSOLIDADO_TOTAL RECAUDO'!X105</f>
        <v>1997333516.72</v>
      </c>
      <c r="Y10" s="66">
        <f>'CONSOLIDADO_TOTAL RECAUDO'!Y105</f>
        <v>243030438.47999999</v>
      </c>
      <c r="Z10" s="66">
        <f>'CONSOLIDADO_TOTAL RECAUDO'!Z105</f>
        <v>-266580255</v>
      </c>
      <c r="AA10" s="66">
        <f>'CONSOLIDADO_TOTAL RECAUDO'!AA105</f>
        <v>-15758.28</v>
      </c>
      <c r="AB10" s="66">
        <f>'CONSOLIDADO_TOTAL RECAUDO'!AB105</f>
        <v>31737181.809999999</v>
      </c>
      <c r="AC10" s="66">
        <f>'CONSOLIDADO_TOTAL RECAUDO'!AC105</f>
        <v>-108.84</v>
      </c>
      <c r="AD10" s="66">
        <f>'CONSOLIDADO_TOTAL RECAUDO'!AD105</f>
        <v>318472735.66999912</v>
      </c>
      <c r="AE10" s="66">
        <f>'CONSOLIDADO_TOTAL RECAUDO'!AE105</f>
        <v>-4693042917.9200001</v>
      </c>
      <c r="AF10" s="70">
        <f>SUM(U10:AD10)</f>
        <v>11051202331.499996</v>
      </c>
      <c r="AG10" s="72">
        <f>AF10-O10</f>
        <v>0</v>
      </c>
      <c r="AH10" s="1" t="b">
        <f t="shared" ref="AH10:AH14" si="2">INT(AG10)=0</f>
        <v>1</v>
      </c>
      <c r="AI10" s="4"/>
    </row>
    <row r="11" spans="2:35" x14ac:dyDescent="0.25">
      <c r="B11" s="16">
        <v>3</v>
      </c>
      <c r="C11" s="62" t="s">
        <v>12</v>
      </c>
      <c r="D11" s="66">
        <f>'CONSOLIDADO_TOTAL RECAUDO'!D106</f>
        <v>10127195598.750002</v>
      </c>
      <c r="E11" s="66">
        <f>'CONSOLIDADO_TOTAL RECAUDO'!E106</f>
        <v>683351448.84000015</v>
      </c>
      <c r="F11" s="66">
        <f>'CONSOLIDADO_TOTAL RECAUDO'!F106</f>
        <v>385271019.53000009</v>
      </c>
      <c r="G11" s="66">
        <f>'CONSOLIDADO_TOTAL RECAUDO'!G106</f>
        <v>202303825.59</v>
      </c>
      <c r="H11" s="66">
        <f>'CONSOLIDADO_TOTAL RECAUDO'!H106</f>
        <v>2648824914.9899998</v>
      </c>
      <c r="I11" s="66">
        <f>'CONSOLIDADO_TOTAL RECAUDO'!I106</f>
        <v>99138796.160000011</v>
      </c>
      <c r="J11" s="66">
        <f>'CONSOLIDADO_TOTAL RECAUDO'!J106</f>
        <v>-1196822411.3100002</v>
      </c>
      <c r="K11" s="31">
        <f t="shared" si="0"/>
        <v>7305128004.9500017</v>
      </c>
      <c r="L11" s="66">
        <f>'CONSOLIDADO_TOTAL RECAUDO'!L106</f>
        <v>154788535</v>
      </c>
      <c r="M11" s="31">
        <f>K11-L11</f>
        <v>7150339469.9500017</v>
      </c>
      <c r="N11" s="66">
        <f>'CONSOLIDADO_TOTAL RECAUDO'!N106</f>
        <v>32320230.18</v>
      </c>
      <c r="O11" s="31">
        <f t="shared" si="1"/>
        <v>7182659700.130002</v>
      </c>
      <c r="Q11" s="4"/>
      <c r="S11" s="16">
        <v>3</v>
      </c>
      <c r="T11" s="62" t="s">
        <v>12</v>
      </c>
      <c r="U11" s="66">
        <f>'CONSOLIDADO_TOTAL RECAUDO'!U106</f>
        <v>870759491.20000005</v>
      </c>
      <c r="V11" s="66">
        <f>'CONSOLIDADO_TOTAL RECAUDO'!V106</f>
        <v>854526399.6099999</v>
      </c>
      <c r="W11" s="66">
        <f>'CONSOLIDADO_TOTAL RECAUDO'!W106</f>
        <v>4040692001.8099999</v>
      </c>
      <c r="X11" s="66">
        <f>'CONSOLIDADO_TOTAL RECAUDO'!X106</f>
        <v>1586798974.2700002</v>
      </c>
      <c r="Y11" s="66">
        <f>'CONSOLIDADO_TOTAL RECAUDO'!Y106</f>
        <v>161842788.88999999</v>
      </c>
      <c r="Z11" s="66">
        <f>'CONSOLIDADO_TOTAL RECAUDO'!Z106</f>
        <v>-154788535</v>
      </c>
      <c r="AA11" s="66">
        <f>'CONSOLIDADO_TOTAL RECAUDO'!AA106</f>
        <v>80568.780000000013</v>
      </c>
      <c r="AB11" s="66">
        <f>'CONSOLIDADO_TOTAL RECAUDO'!AB106</f>
        <v>32320230.18</v>
      </c>
      <c r="AC11" s="66">
        <f>'CONSOLIDADO_TOTAL RECAUDO'!AC106</f>
        <v>2.67</v>
      </c>
      <c r="AD11" s="66">
        <f>'CONSOLIDADO_TOTAL RECAUDO'!AD106</f>
        <v>-209572222.27999997</v>
      </c>
      <c r="AE11" s="66">
        <f>'CONSOLIDADO_TOTAL RECAUDO'!AE106</f>
        <v>-1406394633.5900002</v>
      </c>
      <c r="AF11" s="70">
        <f>SUM(U11:AD11)</f>
        <v>7182659700.1300011</v>
      </c>
      <c r="AG11" s="72">
        <f>AF11-O11</f>
        <v>0</v>
      </c>
      <c r="AH11" s="1" t="b">
        <f t="shared" si="2"/>
        <v>1</v>
      </c>
      <c r="AI11" s="4"/>
    </row>
    <row r="12" spans="2:35" x14ac:dyDescent="0.25">
      <c r="B12" s="16">
        <v>4</v>
      </c>
      <c r="C12" s="62" t="s">
        <v>13</v>
      </c>
      <c r="D12" s="66">
        <f>'CONSOLIDADO_TOTAL RECAUDO'!D107</f>
        <v>10553776375.590002</v>
      </c>
      <c r="E12" s="66">
        <f>'CONSOLIDADO_TOTAL RECAUDO'!E107</f>
        <v>641608152.66000009</v>
      </c>
      <c r="F12" s="66">
        <f>'CONSOLIDADO_TOTAL RECAUDO'!F107</f>
        <v>359218634.58999997</v>
      </c>
      <c r="G12" s="66">
        <f>'CONSOLIDADO_TOTAL RECAUDO'!G107</f>
        <v>188422220.86000001</v>
      </c>
      <c r="H12" s="66">
        <f>'CONSOLIDADO_TOTAL RECAUDO'!H107</f>
        <v>2357497428.0400004</v>
      </c>
      <c r="I12" s="66">
        <f>'CONSOLIDADO_TOTAL RECAUDO'!I107</f>
        <v>91014665.030000001</v>
      </c>
      <c r="J12" s="66">
        <f>'CONSOLIDADO_TOTAL RECAUDO'!J107</f>
        <v>35955816.039999962</v>
      </c>
      <c r="K12" s="31">
        <f t="shared" si="0"/>
        <v>6880059458.3700008</v>
      </c>
      <c r="L12" s="66">
        <f>'CONSOLIDADO_TOTAL RECAUDO'!L107</f>
        <v>120391083</v>
      </c>
      <c r="M12" s="31">
        <f>K12-L12</f>
        <v>6759668375.3700008</v>
      </c>
      <c r="N12" s="66">
        <f>'CONSOLIDADO_TOTAL RECAUDO'!N107</f>
        <v>22968513.57</v>
      </c>
      <c r="O12" s="31">
        <f t="shared" si="1"/>
        <v>6782636888.9400005</v>
      </c>
      <c r="Q12" s="4"/>
      <c r="S12" s="16">
        <v>4</v>
      </c>
      <c r="T12" s="62" t="s">
        <v>13</v>
      </c>
      <c r="U12" s="66">
        <f>'CONSOLIDADO_TOTAL RECAUDO'!U107</f>
        <v>797893067.47000003</v>
      </c>
      <c r="V12" s="66">
        <f>'CONSOLIDADO_TOTAL RECAUDO'!V107</f>
        <v>788665130.21000004</v>
      </c>
      <c r="W12" s="66">
        <f>'CONSOLIDADO_TOTAL RECAUDO'!W107</f>
        <v>4058126441.7899995</v>
      </c>
      <c r="X12" s="66">
        <f>'CONSOLIDADO_TOTAL RECAUDO'!X107</f>
        <v>1696956588.3999999</v>
      </c>
      <c r="Y12" s="66">
        <f>'CONSOLIDADO_TOTAL RECAUDO'!Y107</f>
        <v>148960039.34000003</v>
      </c>
      <c r="Z12" s="66">
        <f>'CONSOLIDADO_TOTAL RECAUDO'!Z107</f>
        <v>-120391083</v>
      </c>
      <c r="AA12" s="66">
        <f>'CONSOLIDADO_TOTAL RECAUDO'!AA107</f>
        <v>-160388.64000000001</v>
      </c>
      <c r="AB12" s="66">
        <f>'CONSOLIDADO_TOTAL RECAUDO'!AB107</f>
        <v>22968513.57</v>
      </c>
      <c r="AC12" s="66">
        <f>'CONSOLIDADO_TOTAL RECAUDO'!AC107</f>
        <v>-48.830000000000005</v>
      </c>
      <c r="AD12" s="66">
        <f>'CONSOLIDADO_TOTAL RECAUDO'!AD107</f>
        <v>-610381371.36999989</v>
      </c>
      <c r="AE12" s="66">
        <f>'CONSOLIDADO_TOTAL RECAUDO'!AE107</f>
        <v>-574425555.32999992</v>
      </c>
      <c r="AF12" s="70">
        <f>SUM(U12:AD12)</f>
        <v>6782636888.9399986</v>
      </c>
      <c r="AG12" s="72">
        <f>AF12-O12</f>
        <v>0</v>
      </c>
      <c r="AH12" s="1" t="b">
        <f t="shared" si="2"/>
        <v>1</v>
      </c>
      <c r="AI12" s="4"/>
    </row>
    <row r="13" spans="2:35" ht="12" thickBot="1" x14ac:dyDescent="0.3">
      <c r="B13" s="19">
        <v>5</v>
      </c>
      <c r="C13" s="63" t="s">
        <v>14</v>
      </c>
      <c r="D13" s="66">
        <f>'CONSOLIDADO_TOTAL RECAUDO'!D108</f>
        <v>8543663208.8299999</v>
      </c>
      <c r="E13" s="66">
        <f>'CONSOLIDADO_TOTAL RECAUDO'!E108</f>
        <v>498629121.49000001</v>
      </c>
      <c r="F13" s="66">
        <f>'CONSOLIDADO_TOTAL RECAUDO'!F108</f>
        <v>280164623.65000004</v>
      </c>
      <c r="G13" s="66">
        <f>'CONSOLIDADO_TOTAL RECAUDO'!G108</f>
        <v>144388148.44999999</v>
      </c>
      <c r="H13" s="66">
        <f>'CONSOLIDADO_TOTAL RECAUDO'!H108</f>
        <v>1825147100.73</v>
      </c>
      <c r="I13" s="66">
        <f>'CONSOLIDADO_TOTAL RECAUDO'!I108</f>
        <v>70674343.479999989</v>
      </c>
      <c r="J13" s="66">
        <f>'CONSOLIDADO_TOTAL RECAUDO'!J108</f>
        <v>-1210425628.3100002</v>
      </c>
      <c r="K13" s="31">
        <f t="shared" si="0"/>
        <v>6935085499.3400011</v>
      </c>
      <c r="L13" s="66">
        <f>'CONSOLIDADO_TOTAL RECAUDO'!L108</f>
        <v>128990445</v>
      </c>
      <c r="M13" s="40">
        <f>K13-L13</f>
        <v>6806095054.3400011</v>
      </c>
      <c r="N13" s="66">
        <f>'CONSOLIDADO_TOTAL RECAUDO'!N108</f>
        <v>27242693.629999999</v>
      </c>
      <c r="O13" s="40">
        <f t="shared" si="1"/>
        <v>6833337747.9700012</v>
      </c>
      <c r="Q13" s="4"/>
      <c r="S13" s="19">
        <v>5</v>
      </c>
      <c r="T13" s="63" t="s">
        <v>14</v>
      </c>
      <c r="U13" s="66">
        <f>'CONSOLIDADO_TOTAL RECAUDO'!U108</f>
        <v>621050088.80999994</v>
      </c>
      <c r="V13" s="66">
        <f>'CONSOLIDADO_TOTAL RECAUDO'!V108</f>
        <v>606049441.98000002</v>
      </c>
      <c r="W13" s="66">
        <f>'CONSOLIDADO_TOTAL RECAUDO'!W108</f>
        <v>3118159750.7200003</v>
      </c>
      <c r="X13" s="66">
        <f>'CONSOLIDADO_TOTAL RECAUDO'!X108</f>
        <v>1451607785.6600001</v>
      </c>
      <c r="Y13" s="66">
        <f>'CONSOLIDADO_TOTAL RECAUDO'!Y108</f>
        <v>115299099.08000001</v>
      </c>
      <c r="Z13" s="66">
        <f>'CONSOLIDADO_TOTAL RECAUDO'!Z108</f>
        <v>-128990445</v>
      </c>
      <c r="AA13" s="66">
        <f>'CONSOLIDADO_TOTAL RECAUDO'!AA108</f>
        <v>-78703.73</v>
      </c>
      <c r="AB13" s="66">
        <f>'CONSOLIDADO_TOTAL RECAUDO'!AB108</f>
        <v>27242693.629999999</v>
      </c>
      <c r="AC13" s="66">
        <f>'CONSOLIDADO_TOTAL RECAUDO'!AC108</f>
        <v>-103.69</v>
      </c>
      <c r="AD13" s="66">
        <f>'CONSOLIDADO_TOTAL RECAUDO'!AD108</f>
        <v>1022998140.5100002</v>
      </c>
      <c r="AE13" s="66">
        <f>'CONSOLIDADO_TOTAL RECAUDO'!AE108</f>
        <v>-187427487.79999998</v>
      </c>
      <c r="AF13" s="70">
        <f>SUM(U13:AD13)</f>
        <v>6833337747.9700012</v>
      </c>
      <c r="AG13" s="72">
        <f>AF13-O13</f>
        <v>0</v>
      </c>
      <c r="AH13" s="1" t="b">
        <f t="shared" si="2"/>
        <v>1</v>
      </c>
      <c r="AI13" s="4"/>
    </row>
    <row r="14" spans="2:35" ht="13.5" thickBot="1" x14ac:dyDescent="0.35">
      <c r="B14" s="21"/>
      <c r="C14" s="22" t="s">
        <v>2</v>
      </c>
      <c r="D14" s="43">
        <f t="shared" ref="D14:O14" si="3">SUM(D9:D13)</f>
        <v>58210094820.500008</v>
      </c>
      <c r="E14" s="43">
        <f t="shared" si="3"/>
        <v>3834259265.5999994</v>
      </c>
      <c r="F14" s="43">
        <f t="shared" si="3"/>
        <v>2146747554.76</v>
      </c>
      <c r="G14" s="43">
        <f t="shared" si="3"/>
        <v>1121687307.26</v>
      </c>
      <c r="H14" s="43">
        <f t="shared" si="3"/>
        <v>15632270439.51</v>
      </c>
      <c r="I14" s="43">
        <f t="shared" si="3"/>
        <v>578818946.16000009</v>
      </c>
      <c r="J14" s="43">
        <f t="shared" si="3"/>
        <v>-5350444198.3299999</v>
      </c>
      <c r="K14" s="32">
        <f t="shared" si="3"/>
        <v>40246755505.540009</v>
      </c>
      <c r="L14" s="23">
        <f t="shared" si="3"/>
        <v>859936305</v>
      </c>
      <c r="M14" s="76">
        <f t="shared" si="3"/>
        <v>39386819200.540009</v>
      </c>
      <c r="N14" s="23">
        <f t="shared" si="3"/>
        <v>132519620.13</v>
      </c>
      <c r="O14" s="76">
        <f t="shared" si="3"/>
        <v>39519338820.670006</v>
      </c>
      <c r="P14" s="2"/>
      <c r="Q14" s="4"/>
      <c r="S14" s="21"/>
      <c r="T14" s="22" t="s">
        <v>2</v>
      </c>
      <c r="U14" s="43">
        <f>SUM(U9:U13)</f>
        <v>5086762920.6200008</v>
      </c>
      <c r="V14" s="43">
        <f t="shared" ref="V14:AG14" si="4">SUM(V9:V13)</f>
        <v>4999633153.2700005</v>
      </c>
      <c r="W14" s="43">
        <f t="shared" si="4"/>
        <v>24130823626.299999</v>
      </c>
      <c r="X14" s="43">
        <f t="shared" si="4"/>
        <v>9422842718.0300007</v>
      </c>
      <c r="Y14" s="43">
        <f t="shared" si="4"/>
        <v>945213994.38</v>
      </c>
      <c r="Z14" s="43">
        <f t="shared" si="4"/>
        <v>-859936305</v>
      </c>
      <c r="AA14" s="43">
        <f t="shared" si="4"/>
        <v>-133284.94</v>
      </c>
      <c r="AB14" s="43">
        <f t="shared" si="4"/>
        <v>132519620.13</v>
      </c>
      <c r="AC14" s="43">
        <f t="shared" si="4"/>
        <v>20.579999999999956</v>
      </c>
      <c r="AD14" s="43">
        <f t="shared" ref="AD14" si="5">SUM(AD9:AD13)</f>
        <v>-4338387642.6999998</v>
      </c>
      <c r="AE14" s="43">
        <f>SUM(AE9:AE13)</f>
        <v>-9688831841.0299988</v>
      </c>
      <c r="AF14" s="68">
        <f t="shared" si="4"/>
        <v>39519338820.669998</v>
      </c>
      <c r="AG14" s="43">
        <f t="shared" si="4"/>
        <v>0</v>
      </c>
      <c r="AH14" s="1" t="b">
        <f t="shared" si="2"/>
        <v>1</v>
      </c>
      <c r="AI14" s="4"/>
    </row>
    <row r="15" spans="2:35" ht="12" thickBot="1" x14ac:dyDescent="0.3">
      <c r="B15" s="2"/>
      <c r="C15" s="2"/>
      <c r="D15" s="24"/>
      <c r="E15" s="24"/>
      <c r="F15" s="24"/>
      <c r="G15" s="24"/>
      <c r="H15" s="24"/>
      <c r="I15" s="24"/>
      <c r="K15" s="24"/>
      <c r="L15" s="24"/>
      <c r="M15" s="24"/>
      <c r="N15" s="24"/>
      <c r="O15" s="24"/>
      <c r="Q15" s="4"/>
      <c r="S15" s="2"/>
      <c r="T15" s="2"/>
      <c r="U15" s="24"/>
      <c r="V15" s="24"/>
      <c r="W15" s="24"/>
      <c r="X15" s="24"/>
      <c r="Y15" s="24"/>
      <c r="AF15" s="24"/>
      <c r="AI15" s="4"/>
    </row>
    <row r="16" spans="2:35" ht="12" thickBot="1" x14ac:dyDescent="0.3">
      <c r="B16" s="2"/>
      <c r="C16" s="2"/>
      <c r="D16" s="24" t="s">
        <v>1</v>
      </c>
      <c r="E16" s="24"/>
      <c r="F16" s="24"/>
      <c r="G16" s="24"/>
      <c r="H16" s="24"/>
      <c r="I16" s="24"/>
      <c r="K16" s="24"/>
      <c r="L16" s="24"/>
      <c r="M16" s="24"/>
      <c r="N16" s="24"/>
      <c r="O16" s="24"/>
      <c r="Q16" s="4"/>
      <c r="Y16" s="86">
        <f>SUM(U14:Y14)</f>
        <v>44585276412.599998</v>
      </c>
      <c r="AA16" s="1" t="s">
        <v>1</v>
      </c>
      <c r="AB16" s="1" t="s">
        <v>1</v>
      </c>
      <c r="AD16" s="1" t="s">
        <v>1</v>
      </c>
      <c r="AF16" s="1" t="s">
        <v>1</v>
      </c>
      <c r="AI16" s="4"/>
    </row>
    <row r="17" spans="1:35" ht="64.5" customHeight="1" thickBot="1" x14ac:dyDescent="0.3">
      <c r="B17" s="2"/>
      <c r="C17" s="2"/>
      <c r="D17" s="24" t="s">
        <v>1</v>
      </c>
      <c r="E17" s="33"/>
      <c r="F17" s="33"/>
      <c r="G17" s="33"/>
      <c r="H17" s="33"/>
      <c r="I17" s="24"/>
      <c r="K17" s="24"/>
      <c r="L17" s="24"/>
      <c r="M17" s="24"/>
      <c r="N17" s="24"/>
      <c r="O17" s="24"/>
      <c r="Q17" s="4"/>
      <c r="U17" s="33"/>
      <c r="V17" s="33"/>
      <c r="W17" s="33"/>
      <c r="X17" s="33"/>
      <c r="AI17" s="4"/>
    </row>
    <row r="18" spans="1:35" x14ac:dyDescent="0.25">
      <c r="B18" s="2"/>
      <c r="C18" s="2"/>
      <c r="D18" s="24" t="s">
        <v>1</v>
      </c>
      <c r="E18" s="24" t="s">
        <v>1</v>
      </c>
      <c r="F18" s="24" t="s">
        <v>25</v>
      </c>
      <c r="G18" s="24"/>
      <c r="H18" s="24"/>
      <c r="I18" s="24"/>
      <c r="K18" s="24"/>
      <c r="L18" s="24"/>
      <c r="M18" s="24"/>
      <c r="N18" s="24"/>
      <c r="O18" s="24"/>
      <c r="Q18" s="4"/>
      <c r="U18" s="24" t="s">
        <v>1</v>
      </c>
      <c r="V18" s="24" t="s">
        <v>25</v>
      </c>
      <c r="W18" s="24"/>
      <c r="X18" s="24"/>
      <c r="AI18" s="4"/>
    </row>
    <row r="19" spans="1:35" x14ac:dyDescent="0.25">
      <c r="A19" s="52"/>
      <c r="B19" s="53"/>
      <c r="C19" s="53"/>
      <c r="D19" s="54"/>
      <c r="E19" s="54"/>
      <c r="F19" s="54"/>
      <c r="G19" s="54"/>
      <c r="H19" s="54"/>
      <c r="I19" s="54"/>
      <c r="J19" s="52"/>
      <c r="K19" s="54"/>
      <c r="L19" s="54"/>
      <c r="M19" s="54"/>
      <c r="N19" s="54"/>
      <c r="O19" s="54"/>
      <c r="P19" s="52"/>
      <c r="Q19" s="52"/>
      <c r="R19" s="52"/>
      <c r="S19" s="52"/>
      <c r="T19" s="52"/>
      <c r="U19" s="52"/>
      <c r="V19" s="52"/>
      <c r="W19" s="52"/>
      <c r="X19" s="52"/>
      <c r="Y19" s="52"/>
      <c r="Z19" s="52"/>
      <c r="AA19" s="52"/>
      <c r="AB19" s="52"/>
      <c r="AC19" s="52"/>
      <c r="AD19" s="52"/>
      <c r="AE19" s="52"/>
      <c r="AF19" s="52"/>
      <c r="AG19" s="52"/>
      <c r="AH19" s="52"/>
      <c r="AI19" s="52"/>
    </row>
    <row r="20" spans="1:35" ht="12" thickBot="1" x14ac:dyDescent="0.3">
      <c r="Q20" s="4"/>
    </row>
    <row r="21" spans="1:35" x14ac:dyDescent="0.25">
      <c r="B21" s="5"/>
      <c r="C21" s="3" t="s">
        <v>1</v>
      </c>
      <c r="D21" s="6" t="s">
        <v>1</v>
      </c>
      <c r="E21" s="3"/>
      <c r="F21" s="3"/>
      <c r="G21" s="3"/>
      <c r="H21" s="3" t="s">
        <v>1</v>
      </c>
      <c r="I21" s="3"/>
      <c r="J21" s="3"/>
      <c r="K21" s="3"/>
      <c r="L21" s="3"/>
      <c r="M21" s="3"/>
      <c r="N21" s="3"/>
      <c r="O21" s="7"/>
      <c r="P21" s="2"/>
      <c r="Q21" s="35"/>
    </row>
    <row r="22" spans="1:35" ht="14" x14ac:dyDescent="0.3">
      <c r="B22" s="8"/>
      <c r="C22" s="2"/>
      <c r="D22" s="9"/>
      <c r="F22" s="26" t="s">
        <v>8</v>
      </c>
      <c r="G22" s="26"/>
      <c r="I22" s="26" t="s">
        <v>16</v>
      </c>
      <c r="J22" s="25"/>
      <c r="M22" s="2" t="s">
        <v>15</v>
      </c>
      <c r="N22" s="50">
        <f>'CONSOLIDADO_TOTAL RECAUDO'!M117</f>
        <v>2026071</v>
      </c>
      <c r="O22" s="10"/>
      <c r="P22" s="2"/>
      <c r="Q22" s="4"/>
    </row>
    <row r="23" spans="1:35" ht="15.5" x14ac:dyDescent="0.35">
      <c r="B23" s="8"/>
      <c r="C23" s="2"/>
      <c r="D23" s="57"/>
      <c r="F23" s="36" t="s">
        <v>29</v>
      </c>
      <c r="G23" s="36"/>
      <c r="O23" s="10"/>
      <c r="P23" s="2"/>
      <c r="Q23" s="4"/>
    </row>
    <row r="24" spans="1:35" x14ac:dyDescent="0.25">
      <c r="B24" s="8"/>
      <c r="F24" s="2" t="s">
        <v>30</v>
      </c>
      <c r="G24" s="2"/>
      <c r="M24" s="2" t="s">
        <v>1</v>
      </c>
      <c r="O24" s="10"/>
      <c r="P24" s="2"/>
      <c r="Q24" s="4"/>
    </row>
    <row r="25" spans="1:35" x14ac:dyDescent="0.25">
      <c r="B25" s="8"/>
      <c r="I25" s="2"/>
      <c r="J25" s="2"/>
      <c r="O25" s="10"/>
      <c r="P25" s="2"/>
      <c r="Q25" s="4"/>
    </row>
    <row r="26" spans="1:35" ht="15.5" x14ac:dyDescent="0.35">
      <c r="B26" s="8"/>
      <c r="F26" s="41" t="s">
        <v>37</v>
      </c>
      <c r="G26" s="41"/>
      <c r="H26" s="2"/>
      <c r="J26" s="2"/>
      <c r="O26" s="10"/>
      <c r="P26" s="2"/>
      <c r="Q26" s="4"/>
    </row>
    <row r="27" spans="1:35" x14ac:dyDescent="0.25">
      <c r="B27" s="8"/>
      <c r="F27" s="2" t="s">
        <v>27</v>
      </c>
      <c r="G27" s="2"/>
      <c r="H27" s="9">
        <f>'CONSOLIDADO_TOTAL RECAUDO'!G122</f>
        <v>46204</v>
      </c>
      <c r="J27" s="2" t="s">
        <v>28</v>
      </c>
      <c r="K27" s="9">
        <f>'CONSOLIDADO_TOTAL RECAUDO'!K122</f>
        <v>46218</v>
      </c>
      <c r="O27" s="10"/>
      <c r="P27" s="2"/>
      <c r="Q27" s="4"/>
    </row>
    <row r="28" spans="1:35" ht="12" thickBot="1" x14ac:dyDescent="0.3">
      <c r="B28" s="8"/>
      <c r="C28" s="2" t="s">
        <v>1</v>
      </c>
      <c r="D28" s="2" t="s">
        <v>1</v>
      </c>
      <c r="J28" s="1" t="s">
        <v>1</v>
      </c>
      <c r="O28" s="44"/>
      <c r="P28" s="2"/>
      <c r="Q28" s="4"/>
    </row>
    <row r="29" spans="1:35" ht="46.5" thickBot="1" x14ac:dyDescent="0.3">
      <c r="B29" s="11" t="s">
        <v>3</v>
      </c>
      <c r="C29" s="12" t="s">
        <v>9</v>
      </c>
      <c r="D29" s="12" t="s">
        <v>38</v>
      </c>
      <c r="E29" s="12" t="s">
        <v>48</v>
      </c>
      <c r="G29" s="104" t="s">
        <v>47</v>
      </c>
      <c r="H29" s="105" t="s">
        <v>56</v>
      </c>
      <c r="I29" s="147" t="s">
        <v>130</v>
      </c>
      <c r="J29" s="147" t="s">
        <v>171</v>
      </c>
      <c r="K29" s="73" t="s">
        <v>143</v>
      </c>
      <c r="L29" s="73" t="s">
        <v>144</v>
      </c>
      <c r="O29" s="44"/>
      <c r="P29" s="13"/>
      <c r="Q29" s="4"/>
    </row>
    <row r="30" spans="1:35" x14ac:dyDescent="0.25">
      <c r="B30" s="108">
        <v>1</v>
      </c>
      <c r="C30" s="109" t="s">
        <v>10</v>
      </c>
      <c r="D30" s="110">
        <f>'CONSOLIDADO_TOTAL RECAUDO'!D125</f>
        <v>62753036.189999998</v>
      </c>
      <c r="E30" s="111">
        <f>'CONSOLIDADO_TOTAL RECAUDO'!E125</f>
        <v>0</v>
      </c>
      <c r="G30" s="140">
        <f>'CONSOLIDADO_TOTAL RECAUDO'!G125</f>
        <v>11673020</v>
      </c>
      <c r="H30" s="110">
        <f>'CONSOLIDADO_TOTAL RECAUDO'!H125</f>
        <v>54273647.379999995</v>
      </c>
      <c r="I30" s="111">
        <f>'CONSOLIDADO_TOTAL RECAUDO'!I125</f>
        <v>0</v>
      </c>
      <c r="J30" s="111">
        <f>'CONSOLIDADO_TOTAL RECAUDO'!J125</f>
        <v>-12054255.65</v>
      </c>
      <c r="K30" s="111">
        <f>'CONSOLIDADO_TOTAL RECAUDO'!K125</f>
        <v>1944280</v>
      </c>
      <c r="L30" s="111">
        <f>'CONSOLIDADO_TOTAL RECAUDO'!L125</f>
        <v>8965804.3499999996</v>
      </c>
      <c r="O30" s="44"/>
      <c r="Q30" s="4"/>
    </row>
    <row r="31" spans="1:35" x14ac:dyDescent="0.25">
      <c r="B31" s="16">
        <v>2</v>
      </c>
      <c r="C31" s="17" t="s">
        <v>11</v>
      </c>
      <c r="D31" s="15">
        <f>'CONSOLIDADO_TOTAL RECAUDO'!D126</f>
        <v>95260124</v>
      </c>
      <c r="E31" s="74">
        <f>'CONSOLIDADO_TOTAL RECAUDO'!E126</f>
        <v>0</v>
      </c>
      <c r="G31" s="82">
        <f>'CONSOLIDADO_TOTAL RECAUDO'!G126</f>
        <v>0</v>
      </c>
      <c r="H31" s="18">
        <f>'CONSOLIDADO_TOTAL RECAUDO'!H126</f>
        <v>79400801.25999999</v>
      </c>
      <c r="I31" s="83">
        <f>'CONSOLIDADO_TOTAL RECAUDO'!I126</f>
        <v>0</v>
      </c>
      <c r="J31" s="83">
        <f>'CONSOLIDADO_TOTAL RECAUDO'!J126</f>
        <v>-9889189.7200000007</v>
      </c>
      <c r="K31" s="83">
        <f>'CONSOLIDADO_TOTAL RECAUDO'!K126</f>
        <v>0</v>
      </c>
      <c r="L31" s="83">
        <f>'CONSOLIDADO_TOTAL RECAUDO'!L126</f>
        <v>649106.28</v>
      </c>
      <c r="O31" s="44"/>
      <c r="Q31" s="4"/>
    </row>
    <row r="32" spans="1:35" x14ac:dyDescent="0.25">
      <c r="B32" s="16">
        <v>3</v>
      </c>
      <c r="C32" s="17" t="s">
        <v>12</v>
      </c>
      <c r="D32" s="15">
        <f>'CONSOLIDADO_TOTAL RECAUDO'!D127</f>
        <v>23429781</v>
      </c>
      <c r="E32" s="74">
        <f>'CONSOLIDADO_TOTAL RECAUDO'!E127</f>
        <v>0</v>
      </c>
      <c r="G32" s="82">
        <f>'CONSOLIDADO_TOTAL RECAUDO'!G127</f>
        <v>10198723.07</v>
      </c>
      <c r="H32" s="18">
        <f>'CONSOLIDADO_TOTAL RECAUDO'!H127</f>
        <v>31111803.75</v>
      </c>
      <c r="I32" s="83">
        <f>'CONSOLIDADO_TOTAL RECAUDO'!I127</f>
        <v>0</v>
      </c>
      <c r="J32" s="83">
        <f>'CONSOLIDADO_TOTAL RECAUDO'!J127</f>
        <v>-16103442.890000001</v>
      </c>
      <c r="K32" s="83">
        <f>'CONSOLIDADO_TOTAL RECAUDO'!K127</f>
        <v>426786.93</v>
      </c>
      <c r="L32" s="83">
        <f>'CONSOLIDADO_TOTAL RECAUDO'!L127</f>
        <v>10201649.109999999</v>
      </c>
      <c r="O32" s="44"/>
      <c r="Q32" s="4"/>
    </row>
    <row r="33" spans="1:20" x14ac:dyDescent="0.25">
      <c r="B33" s="16">
        <v>4</v>
      </c>
      <c r="C33" s="17" t="s">
        <v>13</v>
      </c>
      <c r="D33" s="15">
        <f>'CONSOLIDADO_TOTAL RECAUDO'!D128</f>
        <v>55699060.600000001</v>
      </c>
      <c r="E33" s="74">
        <f>'CONSOLIDADO_TOTAL RECAUDO'!E128</f>
        <v>0</v>
      </c>
      <c r="G33" s="82">
        <f>'CONSOLIDADO_TOTAL RECAUDO'!G128</f>
        <v>5419780</v>
      </c>
      <c r="H33" s="18">
        <f>'CONSOLIDADO_TOTAL RECAUDO'!H128</f>
        <v>17236000.330000002</v>
      </c>
      <c r="I33" s="83">
        <f>'CONSOLIDADO_TOTAL RECAUDO'!I128</f>
        <v>0</v>
      </c>
      <c r="J33" s="83">
        <f>'CONSOLIDADO_TOTAL RECAUDO'!J128</f>
        <v>-21288908.57</v>
      </c>
      <c r="K33" s="83">
        <f>'CONSOLIDADO_TOTAL RECAUDO'!K128</f>
        <v>12360680</v>
      </c>
      <c r="L33" s="83">
        <f>'CONSOLIDADO_TOTAL RECAUDO'!L128</f>
        <v>489671.43000000005</v>
      </c>
      <c r="O33" s="44"/>
      <c r="Q33" s="4"/>
    </row>
    <row r="34" spans="1:20" x14ac:dyDescent="0.25">
      <c r="B34" s="133">
        <v>5</v>
      </c>
      <c r="C34" s="138" t="s">
        <v>14</v>
      </c>
      <c r="D34" s="135">
        <f>'CONSOLIDADO_TOTAL RECAUDO'!D129</f>
        <v>44003851</v>
      </c>
      <c r="E34" s="139">
        <f>'CONSOLIDADO_TOTAL RECAUDO'!E129</f>
        <v>0</v>
      </c>
      <c r="G34" s="82">
        <f>'CONSOLIDADO_TOTAL RECAUDO'!G129</f>
        <v>0</v>
      </c>
      <c r="H34" s="18">
        <f>'CONSOLIDADO_TOTAL RECAUDO'!H129</f>
        <v>31083151.140000001</v>
      </c>
      <c r="I34" s="83">
        <f>'CONSOLIDADO_TOTAL RECAUDO'!I129</f>
        <v>0</v>
      </c>
      <c r="J34" s="83">
        <f>'CONSOLIDADO_TOTAL RECAUDO'!J129</f>
        <v>-6421274.6799999997</v>
      </c>
      <c r="K34" s="83">
        <f>'CONSOLIDADO_TOTAL RECAUDO'!K129</f>
        <v>314490</v>
      </c>
      <c r="L34" s="83">
        <f>'CONSOLIDADO_TOTAL RECAUDO'!L129</f>
        <v>750593.32</v>
      </c>
      <c r="O34" s="44"/>
      <c r="Q34" s="4"/>
    </row>
    <row r="35" spans="1:20" ht="12" thickBot="1" x14ac:dyDescent="0.3">
      <c r="B35" s="19" t="s">
        <v>89</v>
      </c>
      <c r="C35" s="20" t="s">
        <v>113</v>
      </c>
      <c r="D35" s="78"/>
      <c r="E35" s="79">
        <f>'CONSOLIDADO_TOTAL RECAUDO'!E130</f>
        <v>0</v>
      </c>
      <c r="G35" s="77"/>
      <c r="H35" s="78"/>
      <c r="I35" s="79"/>
      <c r="J35" s="79"/>
      <c r="K35" s="79"/>
      <c r="L35" s="79"/>
      <c r="O35" s="44"/>
      <c r="Q35" s="4"/>
    </row>
    <row r="36" spans="1:20" ht="12" thickBot="1" x14ac:dyDescent="0.3">
      <c r="B36" s="95"/>
      <c r="C36" s="106" t="s">
        <v>2</v>
      </c>
      <c r="D36" s="107">
        <f t="shared" ref="D36" si="6">SUM(D30:D34)</f>
        <v>281145852.78999996</v>
      </c>
      <c r="E36" s="107">
        <f>'CONSOLIDADO_TOTAL RECAUDO'!E131</f>
        <v>0</v>
      </c>
      <c r="F36" s="45"/>
      <c r="G36" s="107">
        <f t="shared" ref="G36" si="7">SUM(G30:G34)</f>
        <v>27291523.07</v>
      </c>
      <c r="H36" s="107">
        <f t="shared" ref="H36:L36" si="8">SUM(H30:H34)</f>
        <v>213105403.86000001</v>
      </c>
      <c r="I36" s="107">
        <f t="shared" si="8"/>
        <v>0</v>
      </c>
      <c r="J36" s="107">
        <f t="shared" ref="J36" si="9">SUM(J30:J34)</f>
        <v>-65757071.510000005</v>
      </c>
      <c r="K36" s="107">
        <f t="shared" si="8"/>
        <v>15046236.93</v>
      </c>
      <c r="L36" s="107">
        <f t="shared" si="8"/>
        <v>21056824.489999998</v>
      </c>
      <c r="M36" s="45"/>
      <c r="N36" s="45"/>
      <c r="O36" s="46"/>
      <c r="P36" s="2"/>
      <c r="Q36" s="4"/>
    </row>
    <row r="37" spans="1:20" x14ac:dyDescent="0.25">
      <c r="B37" s="2"/>
      <c r="C37" s="2"/>
      <c r="D37" s="24"/>
      <c r="Q37" s="4"/>
    </row>
    <row r="38" spans="1:20" x14ac:dyDescent="0.25">
      <c r="B38" s="2"/>
      <c r="C38" s="2"/>
      <c r="D38" s="24"/>
      <c r="L38" s="1" t="s">
        <v>1</v>
      </c>
      <c r="Q38" s="4"/>
    </row>
    <row r="39" spans="1:20" ht="64.5" customHeight="1" thickBot="1" x14ac:dyDescent="0.3">
      <c r="B39" s="2"/>
      <c r="C39" s="2"/>
      <c r="D39" s="24"/>
      <c r="E39" s="33"/>
      <c r="F39" s="33"/>
      <c r="G39" s="33"/>
      <c r="H39" s="33"/>
      <c r="I39" s="24"/>
      <c r="K39" s="24"/>
      <c r="L39" s="24" t="s">
        <v>1</v>
      </c>
      <c r="M39" s="24" t="s">
        <v>1</v>
      </c>
      <c r="N39" s="24"/>
      <c r="O39" s="24"/>
      <c r="Q39" s="4"/>
    </row>
    <row r="40" spans="1:20" x14ac:dyDescent="0.25">
      <c r="B40" s="2"/>
      <c r="C40" s="2"/>
      <c r="D40" s="24"/>
      <c r="E40" s="24" t="s">
        <v>1</v>
      </c>
      <c r="F40" s="42" t="s">
        <v>36</v>
      </c>
      <c r="G40" s="42"/>
      <c r="H40" s="42"/>
      <c r="I40" s="24"/>
      <c r="K40" s="24"/>
      <c r="L40" s="24"/>
      <c r="M40" s="24"/>
      <c r="N40" s="24"/>
      <c r="O40" s="24"/>
      <c r="Q40" s="4"/>
    </row>
    <row r="41" spans="1:20" x14ac:dyDescent="0.25">
      <c r="A41" s="52"/>
      <c r="B41" s="53"/>
      <c r="C41" s="53"/>
      <c r="D41" s="54"/>
      <c r="E41" s="54"/>
      <c r="F41" s="54"/>
      <c r="G41" s="54"/>
      <c r="H41" s="54"/>
      <c r="I41" s="54"/>
      <c r="J41" s="52"/>
      <c r="K41" s="54"/>
      <c r="L41" s="54"/>
      <c r="M41" s="54"/>
      <c r="N41" s="54"/>
      <c r="O41" s="54"/>
      <c r="P41" s="52"/>
      <c r="Q41" s="4"/>
    </row>
    <row r="42" spans="1:20" x14ac:dyDescent="0.25">
      <c r="N42" s="24"/>
      <c r="O42" s="24"/>
      <c r="Q42" s="24"/>
      <c r="T42" s="24"/>
    </row>
    <row r="43" spans="1:20" x14ac:dyDescent="0.25">
      <c r="N43" s="24"/>
      <c r="O43" s="24"/>
      <c r="Q43" s="24"/>
      <c r="T43" s="24"/>
    </row>
    <row r="44" spans="1:20" x14ac:dyDescent="0.25">
      <c r="D44" s="270" t="b">
        <f>D14='CONSOLIDADO_TOTAL RECAUDO'!D109</f>
        <v>1</v>
      </c>
      <c r="E44" s="270" t="b">
        <f>E14='CONSOLIDADO_TOTAL RECAUDO'!E109</f>
        <v>1</v>
      </c>
      <c r="F44" s="270" t="b">
        <f>F14='CONSOLIDADO_TOTAL RECAUDO'!F109</f>
        <v>1</v>
      </c>
      <c r="G44" s="270" t="b">
        <f>G14='CONSOLIDADO_TOTAL RECAUDO'!G109</f>
        <v>1</v>
      </c>
      <c r="H44" s="270" t="b">
        <f>H14='CONSOLIDADO_TOTAL RECAUDO'!H109</f>
        <v>1</v>
      </c>
      <c r="I44" s="270" t="b">
        <f>I14='CONSOLIDADO_TOTAL RECAUDO'!I109</f>
        <v>1</v>
      </c>
      <c r="J44" s="270" t="b">
        <f>J14='CONSOLIDADO_TOTAL RECAUDO'!J109</f>
        <v>1</v>
      </c>
      <c r="K44" s="270" t="b">
        <f>K14='CONSOLIDADO_TOTAL RECAUDO'!K109</f>
        <v>1</v>
      </c>
      <c r="L44" s="270" t="b">
        <f>L14='CONSOLIDADO_TOTAL RECAUDO'!L109</f>
        <v>1</v>
      </c>
      <c r="M44" s="270" t="b">
        <f>M14='CONSOLIDADO_TOTAL RECAUDO'!M109</f>
        <v>1</v>
      </c>
      <c r="N44" s="270" t="b">
        <f>N14='CONSOLIDADO_TOTAL RECAUDO'!N109</f>
        <v>1</v>
      </c>
      <c r="O44" s="270" t="b">
        <f>O14='CONSOLIDADO_TOTAL RECAUDO'!O109</f>
        <v>1</v>
      </c>
      <c r="Q44" s="24"/>
      <c r="T44" s="24"/>
    </row>
    <row r="45" spans="1:20" x14ac:dyDescent="0.25">
      <c r="D45" s="270" t="b">
        <f>D36='CONSOLIDADO_TOTAL RECAUDO'!D131</f>
        <v>1</v>
      </c>
      <c r="E45" s="270" t="b">
        <f>E36='CONSOLIDADO_TOTAL RECAUDO'!E131</f>
        <v>1</v>
      </c>
      <c r="F45" s="270" t="b">
        <f>F36='CONSOLIDADO_TOTAL RECAUDO'!F131</f>
        <v>1</v>
      </c>
      <c r="G45" s="270" t="b">
        <f>G36='CONSOLIDADO_TOTAL RECAUDO'!G131</f>
        <v>1</v>
      </c>
      <c r="H45" s="270" t="b">
        <f>H36='CONSOLIDADO_TOTAL RECAUDO'!H131</f>
        <v>1</v>
      </c>
      <c r="I45" s="270" t="b">
        <f>I36='CONSOLIDADO_TOTAL RECAUDO'!I131</f>
        <v>1</v>
      </c>
      <c r="J45" s="270" t="b">
        <f>K36='CONSOLIDADO_TOTAL RECAUDO'!K131</f>
        <v>1</v>
      </c>
      <c r="K45" s="270" t="b">
        <f>K36='CONSOLIDADO_TOTAL RECAUDO'!K131</f>
        <v>1</v>
      </c>
      <c r="L45" s="270" t="b">
        <f>L36='CONSOLIDADO_TOTAL RECAUDO'!L131</f>
        <v>1</v>
      </c>
      <c r="M45" s="270" t="b">
        <f>M36='CONSOLIDADO_TOTAL RECAUDO'!M131</f>
        <v>1</v>
      </c>
      <c r="N45" s="270" t="b">
        <f>N36='CONSOLIDADO_TOTAL RECAUDO'!N131</f>
        <v>1</v>
      </c>
      <c r="O45" s="270" t="b">
        <f>O36='CONSOLIDADO_TOTAL RECAUDO'!O131</f>
        <v>1</v>
      </c>
      <c r="Q45" s="24"/>
      <c r="T45" s="24"/>
    </row>
    <row r="46" spans="1:20" x14ac:dyDescent="0.25">
      <c r="N46" s="24"/>
      <c r="O46" s="24"/>
      <c r="Q46" s="24"/>
      <c r="T46" s="24"/>
    </row>
    <row r="47" spans="1:20" x14ac:dyDescent="0.25">
      <c r="N47" s="24"/>
      <c r="O47" s="24"/>
      <c r="Q47" s="24"/>
      <c r="T47" s="24"/>
    </row>
    <row r="48" spans="1:20" x14ac:dyDescent="0.25">
      <c r="N48" s="24"/>
      <c r="O48" s="24"/>
      <c r="Q48" s="24"/>
      <c r="T48" s="24"/>
    </row>
    <row r="49" spans="14:20" x14ac:dyDescent="0.25">
      <c r="N49" s="24"/>
      <c r="O49" s="24"/>
      <c r="Q49" s="24"/>
      <c r="T49" s="24"/>
    </row>
    <row r="50" spans="14:20" x14ac:dyDescent="0.25">
      <c r="N50" s="24"/>
      <c r="O50" s="24"/>
      <c r="Q50" s="24"/>
      <c r="T50" s="24"/>
    </row>
    <row r="51" spans="14:20" x14ac:dyDescent="0.25">
      <c r="Q51" s="24"/>
      <c r="T51" s="24"/>
    </row>
    <row r="52" spans="14:20" x14ac:dyDescent="0.25">
      <c r="Q52" s="24"/>
    </row>
  </sheetData>
  <conditionalFormatting sqref="AH9:AH14">
    <cfRule type="cellIs" dxfId="63" priority="1" operator="notEqual">
      <formula>TRUE</formula>
    </cfRule>
  </conditionalFormatting>
  <printOptions horizontalCentered="1" verticalCentered="1"/>
  <pageMargins left="0.55118110236220474" right="0.74803149606299213" top="0.59055118110236227" bottom="0.78740157480314965" header="0" footer="0"/>
  <pageSetup scale="24" orientation="landscape" r:id="rId1"/>
  <headerFooter alignWithMargins="0"/>
  <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tabColor rgb="FF00B0F0"/>
    <pageSetUpPr fitToPage="1"/>
  </sheetPr>
  <dimension ref="A1:AJ166"/>
  <sheetViews>
    <sheetView topLeftCell="A95" zoomScaleNormal="100" workbookViewId="0">
      <selection activeCell="A95" sqref="A95"/>
    </sheetView>
  </sheetViews>
  <sheetFormatPr baseColWidth="10" defaultColWidth="11.453125" defaultRowHeight="11.5" x14ac:dyDescent="0.25"/>
  <cols>
    <col min="1" max="1" width="3" style="1" customWidth="1"/>
    <col min="2" max="2" width="4.453125" style="1" bestFit="1" customWidth="1"/>
    <col min="3" max="3" width="36.7265625" style="1" customWidth="1"/>
    <col min="4" max="4" width="15.26953125" style="1" customWidth="1"/>
    <col min="5" max="5" width="16" style="1" customWidth="1"/>
    <col min="6" max="7" width="14.7265625" style="1" customWidth="1"/>
    <col min="8" max="9" width="16" style="1" customWidth="1"/>
    <col min="10" max="10" width="15.54296875" style="1" customWidth="1"/>
    <col min="11" max="11" width="17.54296875" style="1" customWidth="1"/>
    <col min="12" max="12" width="17.7265625" style="1" customWidth="1"/>
    <col min="13" max="13" width="18.7265625" style="1" customWidth="1"/>
    <col min="14" max="14" width="15.26953125" style="1" customWidth="1"/>
    <col min="15" max="15" width="16.7265625" style="1" customWidth="1"/>
    <col min="16" max="16" width="3.7265625" style="1" customWidth="1"/>
    <col min="17" max="17" width="2.7265625" style="1" customWidth="1"/>
    <col min="18" max="18" width="4.54296875" style="1" customWidth="1"/>
    <col min="19" max="19" width="11.26953125" style="1" customWidth="1"/>
    <col min="20" max="20" width="37.54296875" style="1" bestFit="1" customWidth="1"/>
    <col min="21" max="21" width="19.26953125" style="1" customWidth="1"/>
    <col min="22" max="22" width="17.7265625" style="1" customWidth="1"/>
    <col min="23" max="23" width="16.453125" style="1" customWidth="1"/>
    <col min="24" max="24" width="17.26953125" style="1" customWidth="1"/>
    <col min="25" max="25" width="15.7265625" style="1" customWidth="1"/>
    <col min="26" max="26" width="16" style="1" customWidth="1"/>
    <col min="27" max="27" width="15" style="1" customWidth="1"/>
    <col min="28" max="29" width="16.7265625" style="1" customWidth="1"/>
    <col min="30" max="31" width="15.453125" style="1" customWidth="1"/>
    <col min="32" max="32" width="16.26953125" style="1" customWidth="1"/>
    <col min="33" max="33" width="18.26953125" style="1" customWidth="1"/>
    <col min="34" max="34" width="13.7265625" style="1" customWidth="1"/>
    <col min="35" max="35" width="3.453125" style="1" customWidth="1"/>
    <col min="36" max="36" width="13.7265625" style="1" bestFit="1" customWidth="1"/>
    <col min="37" max="16384" width="11.453125" style="1"/>
  </cols>
  <sheetData>
    <row r="1" spans="1:35" ht="12" thickBot="1" x14ac:dyDescent="0.3">
      <c r="A1" s="241"/>
      <c r="Q1" s="4"/>
      <c r="AI1" s="4"/>
    </row>
    <row r="2" spans="1:35" x14ac:dyDescent="0.25">
      <c r="B2" s="5"/>
      <c r="C2" s="3" t="s">
        <v>1</v>
      </c>
      <c r="D2" s="6" t="s">
        <v>1</v>
      </c>
      <c r="E2" s="3"/>
      <c r="F2" s="3"/>
      <c r="G2" s="3"/>
      <c r="H2" s="3" t="s">
        <v>1</v>
      </c>
      <c r="I2" s="3"/>
      <c r="J2" s="3"/>
      <c r="K2" s="3"/>
      <c r="L2" s="3"/>
      <c r="M2" s="3"/>
      <c r="N2" s="3"/>
      <c r="O2" s="7"/>
      <c r="P2" s="2"/>
      <c r="Q2" s="4"/>
      <c r="S2" s="5"/>
      <c r="T2" s="3" t="s">
        <v>1</v>
      </c>
      <c r="U2" s="6" t="s">
        <v>1</v>
      </c>
      <c r="V2" s="3"/>
      <c r="W2" s="3"/>
      <c r="X2" s="3" t="s">
        <v>1</v>
      </c>
      <c r="Y2" s="3"/>
      <c r="Z2" s="3"/>
      <c r="AA2" s="3"/>
      <c r="AB2" s="3"/>
      <c r="AC2" s="3"/>
      <c r="AD2" s="3"/>
      <c r="AE2" s="3"/>
      <c r="AF2" s="7"/>
      <c r="AG2" s="2"/>
      <c r="AI2" s="4"/>
    </row>
    <row r="3" spans="1:35" ht="14" x14ac:dyDescent="0.3">
      <c r="B3" s="8"/>
      <c r="F3" s="26" t="s">
        <v>8</v>
      </c>
      <c r="G3" s="26"/>
      <c r="I3" s="26" t="s">
        <v>16</v>
      </c>
      <c r="J3" s="25"/>
      <c r="M3" s="2" t="s">
        <v>15</v>
      </c>
      <c r="N3" s="50">
        <f>'CONSOLIDADO_TOTAL RECAUDO'!N3</f>
        <v>2026071</v>
      </c>
      <c r="O3" s="10"/>
      <c r="P3" s="2"/>
      <c r="Q3" s="4"/>
      <c r="S3" s="8"/>
      <c r="U3" s="26" t="s">
        <v>8</v>
      </c>
      <c r="W3" s="26" t="s">
        <v>16</v>
      </c>
      <c r="X3" s="25"/>
      <c r="Y3" s="2"/>
      <c r="AA3" s="2" t="s">
        <v>15</v>
      </c>
      <c r="AD3" s="84">
        <f>N3</f>
        <v>2026071</v>
      </c>
      <c r="AE3" s="84"/>
      <c r="AF3" s="48"/>
      <c r="AG3" s="2"/>
      <c r="AI3" s="4"/>
    </row>
    <row r="4" spans="1:35" ht="15.5" x14ac:dyDescent="0.35">
      <c r="B4" s="8"/>
      <c r="F4" s="36" t="s">
        <v>29</v>
      </c>
      <c r="G4" s="36"/>
      <c r="O4" s="10"/>
      <c r="P4" s="2"/>
      <c r="Q4" s="4"/>
      <c r="S4" s="8"/>
      <c r="T4" s="26" t="s">
        <v>1</v>
      </c>
      <c r="U4" s="36" t="s">
        <v>29</v>
      </c>
      <c r="Y4" s="2" t="s">
        <v>1</v>
      </c>
      <c r="AA4" s="50" t="s">
        <v>1</v>
      </c>
      <c r="AB4" s="2"/>
      <c r="AC4" s="2"/>
      <c r="AD4" s="2"/>
      <c r="AE4" s="2"/>
      <c r="AF4" s="10" t="s">
        <v>1</v>
      </c>
      <c r="AG4" s="2"/>
      <c r="AI4" s="4"/>
    </row>
    <row r="5" spans="1:35" ht="14" x14ac:dyDescent="0.3">
      <c r="B5" s="8"/>
      <c r="F5" s="2" t="s">
        <v>30</v>
      </c>
      <c r="G5" s="2"/>
      <c r="M5" s="2" t="s">
        <v>1</v>
      </c>
      <c r="O5" s="10"/>
      <c r="P5" s="2"/>
      <c r="Q5" s="4"/>
      <c r="S5" s="8"/>
      <c r="T5" s="49" t="s">
        <v>1</v>
      </c>
      <c r="U5" s="2" t="s">
        <v>30</v>
      </c>
      <c r="AF5" s="44"/>
      <c r="AG5" s="2"/>
      <c r="AI5" s="4"/>
    </row>
    <row r="6" spans="1:35" ht="15.5" x14ac:dyDescent="0.35">
      <c r="B6" s="8"/>
      <c r="C6" s="591" t="s">
        <v>17</v>
      </c>
      <c r="D6" s="9">
        <f>'CONSOLIDADO_TOTAL RECAUDO'!D6</f>
        <v>46220</v>
      </c>
      <c r="F6" s="41" t="s">
        <v>26</v>
      </c>
      <c r="G6" s="41"/>
      <c r="H6" s="2"/>
      <c r="J6" s="2"/>
      <c r="O6" s="10"/>
      <c r="P6" s="2"/>
      <c r="Q6" s="4"/>
      <c r="S6" s="8"/>
      <c r="T6" s="41" t="s">
        <v>1</v>
      </c>
      <c r="U6" s="41" t="s">
        <v>26</v>
      </c>
      <c r="V6" s="2"/>
      <c r="X6" s="2"/>
      <c r="Y6" s="2"/>
      <c r="AF6" s="48"/>
      <c r="AG6" s="2"/>
      <c r="AI6" s="4"/>
    </row>
    <row r="7" spans="1:35" ht="12" thickBot="1" x14ac:dyDescent="0.3">
      <c r="B7" s="8"/>
      <c r="C7" s="591" t="s">
        <v>0</v>
      </c>
      <c r="D7" s="241">
        <f>'CONSOLIDADO_TOTAL RECAUDO'!D7</f>
        <v>0.58333333333333337</v>
      </c>
      <c r="F7" s="2" t="s">
        <v>27</v>
      </c>
      <c r="G7" s="9">
        <f>'CONSOLIDADO_TOTAL RECAUDO'!G7</f>
        <v>46204</v>
      </c>
      <c r="J7" s="2" t="s">
        <v>28</v>
      </c>
      <c r="K7" s="9">
        <f>'CONSOLIDADO_TOTAL RECAUDO'!K7</f>
        <v>46218</v>
      </c>
      <c r="O7" s="10"/>
      <c r="P7" s="2"/>
      <c r="Q7" s="4"/>
      <c r="S7" s="8"/>
      <c r="U7" s="1" t="str">
        <f>F7</f>
        <v>Fecha Desde:</v>
      </c>
      <c r="V7" s="9">
        <f>G7</f>
        <v>46204</v>
      </c>
      <c r="W7" s="1" t="s">
        <v>1</v>
      </c>
      <c r="X7" s="1" t="str">
        <f>J7</f>
        <v>Feha Hasta:</v>
      </c>
      <c r="Y7" s="9">
        <f>K7</f>
        <v>46218</v>
      </c>
      <c r="Z7" s="1" t="s">
        <v>1</v>
      </c>
      <c r="AF7" s="48"/>
      <c r="AG7" s="2"/>
      <c r="AI7" s="4"/>
    </row>
    <row r="8" spans="1:35" ht="72" customHeight="1" thickBot="1" x14ac:dyDescent="0.3">
      <c r="B8" s="11" t="s">
        <v>3</v>
      </c>
      <c r="C8" s="27" t="s">
        <v>9</v>
      </c>
      <c r="D8" s="11" t="s">
        <v>4</v>
      </c>
      <c r="E8" s="12" t="s">
        <v>5</v>
      </c>
      <c r="F8" s="27" t="s">
        <v>6</v>
      </c>
      <c r="G8" s="271" t="s">
        <v>159</v>
      </c>
      <c r="H8" s="27" t="s">
        <v>18</v>
      </c>
      <c r="I8" s="12" t="s">
        <v>24</v>
      </c>
      <c r="J8" s="73" t="s">
        <v>19</v>
      </c>
      <c r="K8" s="29" t="s">
        <v>20</v>
      </c>
      <c r="L8" s="28" t="s">
        <v>21</v>
      </c>
      <c r="M8" s="39" t="s">
        <v>22</v>
      </c>
      <c r="N8" s="12" t="s">
        <v>7</v>
      </c>
      <c r="O8" s="39" t="s">
        <v>23</v>
      </c>
      <c r="P8" s="13"/>
      <c r="Q8" s="4"/>
      <c r="S8" s="11" t="s">
        <v>3</v>
      </c>
      <c r="T8" s="27" t="s">
        <v>9</v>
      </c>
      <c r="U8" s="162" t="s">
        <v>39</v>
      </c>
      <c r="V8" s="163" t="s">
        <v>40</v>
      </c>
      <c r="W8" s="163" t="s">
        <v>41</v>
      </c>
      <c r="X8" s="163" t="s">
        <v>42</v>
      </c>
      <c r="Y8" s="164" t="s">
        <v>43</v>
      </c>
      <c r="Z8" s="85" t="s">
        <v>21</v>
      </c>
      <c r="AA8" s="65" t="s">
        <v>46</v>
      </c>
      <c r="AB8" s="65" t="s">
        <v>7</v>
      </c>
      <c r="AC8" s="85" t="s">
        <v>167</v>
      </c>
      <c r="AD8" s="121" t="s">
        <v>107</v>
      </c>
      <c r="AE8" s="121" t="s">
        <v>225</v>
      </c>
      <c r="AF8" s="39" t="s">
        <v>23</v>
      </c>
      <c r="AG8" s="13"/>
      <c r="AI8" s="4"/>
    </row>
    <row r="9" spans="1:35" s="308" customFormat="1" x14ac:dyDescent="0.25">
      <c r="B9" s="306">
        <v>1</v>
      </c>
      <c r="C9" s="307" t="s">
        <v>10</v>
      </c>
      <c r="D9" s="294">
        <f>'Reporte Componentes R1'!F51</f>
        <v>0</v>
      </c>
      <c r="E9" s="295">
        <f>'Reporte Componentes R1'!G51</f>
        <v>0</v>
      </c>
      <c r="F9" s="295">
        <f>'Reporte Componentes R1'!H51</f>
        <v>0</v>
      </c>
      <c r="G9" s="295">
        <f>'Reporte Componentes R1'!I51</f>
        <v>0</v>
      </c>
      <c r="H9" s="295">
        <f>'Reporte Componentes R1'!J51</f>
        <v>0</v>
      </c>
      <c r="I9" s="295">
        <f>'Reporte Componentes R1'!K51</f>
        <v>0</v>
      </c>
      <c r="J9" s="291">
        <v>0</v>
      </c>
      <c r="K9" s="296">
        <f>D9-E9-F9-G9-H9-I9-J9</f>
        <v>0</v>
      </c>
      <c r="L9" s="297">
        <v>0</v>
      </c>
      <c r="M9" s="296">
        <f>K9-L9</f>
        <v>0</v>
      </c>
      <c r="N9" s="297">
        <f>'Reporte Componentes R1'!L51</f>
        <v>0</v>
      </c>
      <c r="O9" s="296">
        <f>M9+N9</f>
        <v>0</v>
      </c>
      <c r="Q9" s="309"/>
      <c r="S9" s="306">
        <v>1</v>
      </c>
      <c r="T9" s="307" t="s">
        <v>10</v>
      </c>
      <c r="U9" s="310">
        <f>'Reporte Componentes R1'!M51</f>
        <v>0</v>
      </c>
      <c r="V9" s="311">
        <f>'Reporte Componentes R1'!N51</f>
        <v>0</v>
      </c>
      <c r="W9" s="311">
        <f>'Reporte Componentes R1'!O51</f>
        <v>0</v>
      </c>
      <c r="X9" s="311">
        <f>'Reporte Componentes R1'!P51</f>
        <v>0</v>
      </c>
      <c r="Y9" s="312">
        <f>'Reporte Componentes R1'!Q51</f>
        <v>0</v>
      </c>
      <c r="Z9" s="313">
        <f>L9*-1</f>
        <v>0</v>
      </c>
      <c r="AA9" s="314">
        <f>'Reporte Componentes R1'!R51+'Reporte Componentes R1'!V51+'Reporte Componentes R1'!U51</f>
        <v>0</v>
      </c>
      <c r="AB9" s="297">
        <f>N9</f>
        <v>0</v>
      </c>
      <c r="AC9" s="314">
        <f>'Reporte Componentes R1'!T51+'Reporte Componentes R1'!W51+'Reporte Componentes R1'!X51+'Reporte Componentes R1'!Y51+'Reporte Componentes R1'!Z51+'Reporte Componentes R1'!S51</f>
        <v>0</v>
      </c>
      <c r="AD9" s="294">
        <f>-J9+AE9</f>
        <v>0</v>
      </c>
      <c r="AE9" s="294">
        <f>'Reporte Componentes R1'!F52</f>
        <v>0</v>
      </c>
      <c r="AF9" s="316">
        <f>SUM(U9:AD9)</f>
        <v>0</v>
      </c>
      <c r="AG9" s="524">
        <f>(AF9-O9)</f>
        <v>0</v>
      </c>
      <c r="AH9" s="1" t="b">
        <f>INT(AG9)=0</f>
        <v>1</v>
      </c>
      <c r="AI9" s="309"/>
    </row>
    <row r="10" spans="1:35" s="308" customFormat="1" x14ac:dyDescent="0.25">
      <c r="B10" s="317">
        <v>2</v>
      </c>
      <c r="C10" s="318" t="s">
        <v>11</v>
      </c>
      <c r="D10" s="294">
        <f>'Reporte Componentes R1'!F181</f>
        <v>13570060</v>
      </c>
      <c r="E10" s="295">
        <f>'Reporte Componentes R1'!G181</f>
        <v>1145544.99</v>
      </c>
      <c r="F10" s="295">
        <f>'Reporte Componentes R1'!H181</f>
        <v>592527.72000000009</v>
      </c>
      <c r="G10" s="295">
        <f>'Reporte Componentes R1'!I181</f>
        <v>304565.26</v>
      </c>
      <c r="H10" s="295">
        <f>'Reporte Componentes R1'!J181</f>
        <v>4546050.9499999993</v>
      </c>
      <c r="I10" s="295">
        <f>'Reporte Componentes R1'!K181</f>
        <v>154986.16</v>
      </c>
      <c r="J10" s="291">
        <v>0</v>
      </c>
      <c r="K10" s="298">
        <f t="shared" ref="K10:K13" si="0">D10-E10-F10-G10-H10-I10-J10</f>
        <v>6826384.9199999999</v>
      </c>
      <c r="L10" s="297">
        <v>0</v>
      </c>
      <c r="M10" s="298">
        <f>K10-L10</f>
        <v>6826384.9199999999</v>
      </c>
      <c r="N10" s="297">
        <f>'Reporte Componentes R1'!L181</f>
        <v>0</v>
      </c>
      <c r="O10" s="298">
        <f t="shared" ref="O10:O12" si="1">M10+N10</f>
        <v>6826384.9199999999</v>
      </c>
      <c r="Q10" s="309"/>
      <c r="S10" s="317">
        <v>2</v>
      </c>
      <c r="T10" s="318" t="s">
        <v>11</v>
      </c>
      <c r="U10" s="319">
        <f>'Reporte Componentes R1'!M181</f>
        <v>1360418.25</v>
      </c>
      <c r="V10" s="320">
        <f>'Reporte Componentes R1'!N181</f>
        <v>1506645.9400000002</v>
      </c>
      <c r="W10" s="320">
        <f>'Reporte Componentes R1'!O181</f>
        <v>6800723.5800000001</v>
      </c>
      <c r="X10" s="320">
        <f>'Reporte Componentes R1'!P181</f>
        <v>2222376.09</v>
      </c>
      <c r="Y10" s="321">
        <f>'Reporte Componentes R1'!Q181</f>
        <v>252978.03</v>
      </c>
      <c r="Z10" s="322">
        <f>L10*-1</f>
        <v>0</v>
      </c>
      <c r="AA10" s="323">
        <f>'Reporte Componentes R1'!R181+'Reporte Componentes R1'!V181+'Reporte Componentes R1'!U181</f>
        <v>-54.21</v>
      </c>
      <c r="AB10" s="297">
        <f>N10</f>
        <v>0</v>
      </c>
      <c r="AC10" s="323">
        <f>'Reporte Componentes R1'!T181+'Reporte Componentes R1'!W181+'Reporte Componentes R1'!X181+'Reporte Componentes R1'!Y181+'Reporte Componentes R1'!Z181++'Reporte Componentes R1'!S181</f>
        <v>0</v>
      </c>
      <c r="AD10" s="294">
        <f t="shared" ref="AD10:AD13" si="2">-J10+AE10</f>
        <v>-5316702.76</v>
      </c>
      <c r="AE10" s="294">
        <f>'Reporte Componentes R1'!F182</f>
        <v>-5316702.76</v>
      </c>
      <c r="AF10" s="325">
        <f>SUM(U10:AD10)</f>
        <v>6826384.9199999981</v>
      </c>
      <c r="AG10" s="525">
        <f>(AF10-O10)</f>
        <v>-1.862645149230957E-9</v>
      </c>
      <c r="AH10" s="1" t="b">
        <f t="shared" ref="AH10:AH14" si="3">INT(AG10)=0</f>
        <v>0</v>
      </c>
      <c r="AI10" s="309"/>
    </row>
    <row r="11" spans="1:35" s="308" customFormat="1" x14ac:dyDescent="0.25">
      <c r="B11" s="317">
        <v>3</v>
      </c>
      <c r="C11" s="318" t="s">
        <v>12</v>
      </c>
      <c r="D11" s="294">
        <f>'Reporte Componentes R1'!F321</f>
        <v>0</v>
      </c>
      <c r="E11" s="295">
        <f>'Reporte Componentes R1'!G321</f>
        <v>0</v>
      </c>
      <c r="F11" s="295">
        <f>'Reporte Componentes R1'!H321</f>
        <v>0</v>
      </c>
      <c r="G11" s="295">
        <f>'Reporte Componentes R1'!I321</f>
        <v>0</v>
      </c>
      <c r="H11" s="295">
        <f>'Reporte Componentes R1'!J321</f>
        <v>0</v>
      </c>
      <c r="I11" s="295">
        <f>'Reporte Componentes R1'!K321</f>
        <v>0</v>
      </c>
      <c r="J11" s="291">
        <v>0</v>
      </c>
      <c r="K11" s="298">
        <f t="shared" si="0"/>
        <v>0</v>
      </c>
      <c r="L11" s="297">
        <v>0</v>
      </c>
      <c r="M11" s="298">
        <f>K11-L11</f>
        <v>0</v>
      </c>
      <c r="N11" s="297">
        <f>'Reporte Componentes R1'!L321</f>
        <v>0</v>
      </c>
      <c r="O11" s="298">
        <f t="shared" si="1"/>
        <v>0</v>
      </c>
      <c r="Q11" s="309"/>
      <c r="S11" s="317">
        <v>3</v>
      </c>
      <c r="T11" s="318" t="s">
        <v>12</v>
      </c>
      <c r="U11" s="319">
        <f>'Reporte Componentes R1'!M321</f>
        <v>0</v>
      </c>
      <c r="V11" s="320">
        <f>'Reporte Componentes R1'!N321</f>
        <v>0</v>
      </c>
      <c r="W11" s="320">
        <f>'Reporte Componentes R1'!O321</f>
        <v>0</v>
      </c>
      <c r="X11" s="320">
        <f>'Reporte Componentes R1'!P321</f>
        <v>0</v>
      </c>
      <c r="Y11" s="321">
        <f>'Reporte Componentes R1'!Q321</f>
        <v>0</v>
      </c>
      <c r="Z11" s="322">
        <f>L11*-1</f>
        <v>0</v>
      </c>
      <c r="AA11" s="323">
        <f>'Reporte Componentes R1'!R321+'Reporte Componentes R1'!V321+'Reporte Componentes R1'!U321</f>
        <v>0</v>
      </c>
      <c r="AB11" s="297">
        <f>N11</f>
        <v>0</v>
      </c>
      <c r="AC11" s="323">
        <f>'Reporte Componentes R1'!T321+'Reporte Componentes R1'!W321+'Reporte Componentes R1'!X321+'Reporte Componentes R1'!Y321+'Reporte Componentes R1'!Z321++'Reporte Componentes R1'!S321</f>
        <v>0</v>
      </c>
      <c r="AD11" s="294">
        <f t="shared" si="2"/>
        <v>0</v>
      </c>
      <c r="AE11" s="294">
        <f>'Reporte Componentes R1'!F322</f>
        <v>0</v>
      </c>
      <c r="AF11" s="325">
        <f t="shared" ref="AF11:AF13" si="4">SUM(U11:AD11)</f>
        <v>0</v>
      </c>
      <c r="AG11" s="525">
        <f>(AF11-O11)</f>
        <v>0</v>
      </c>
      <c r="AH11" s="1" t="b">
        <f t="shared" si="3"/>
        <v>1</v>
      </c>
      <c r="AI11" s="309"/>
    </row>
    <row r="12" spans="1:35" s="308" customFormat="1" x14ac:dyDescent="0.25">
      <c r="B12" s="317">
        <v>4</v>
      </c>
      <c r="C12" s="318" t="s">
        <v>13</v>
      </c>
      <c r="D12" s="294">
        <f>'Reporte Componentes R1'!F442</f>
        <v>7264980</v>
      </c>
      <c r="E12" s="295">
        <f>'Reporte Componentes R1'!G442</f>
        <v>564432.37</v>
      </c>
      <c r="F12" s="295">
        <f>'Reporte Componentes R1'!H442</f>
        <v>283500.11</v>
      </c>
      <c r="G12" s="295">
        <f>'Reporte Componentes R1'!I442</f>
        <v>141081.57999999999</v>
      </c>
      <c r="H12" s="295">
        <f>'Reporte Componentes R1'!J442</f>
        <v>1265190.43</v>
      </c>
      <c r="I12" s="295">
        <f>'Reporte Componentes R1'!K442</f>
        <v>44163.51</v>
      </c>
      <c r="J12" s="291">
        <v>0</v>
      </c>
      <c r="K12" s="298">
        <f t="shared" si="0"/>
        <v>4966612</v>
      </c>
      <c r="L12" s="297">
        <v>0</v>
      </c>
      <c r="M12" s="298">
        <f>K12-L12</f>
        <v>4966612</v>
      </c>
      <c r="N12" s="297">
        <f>'Reporte Componentes R1'!L442</f>
        <v>0</v>
      </c>
      <c r="O12" s="298">
        <f t="shared" si="1"/>
        <v>4966612</v>
      </c>
      <c r="Q12" s="309"/>
      <c r="S12" s="317">
        <v>4</v>
      </c>
      <c r="T12" s="318" t="s">
        <v>13</v>
      </c>
      <c r="U12" s="319">
        <f>'Reporte Componentes R1'!M442</f>
        <v>386419.05</v>
      </c>
      <c r="V12" s="320">
        <f>'Reporte Componentes R1'!N442</f>
        <v>431454.02</v>
      </c>
      <c r="W12" s="320">
        <f>'Reporte Componentes R1'!O442</f>
        <v>1924402.43</v>
      </c>
      <c r="X12" s="320">
        <f>'Reporte Componentes R1'!P442</f>
        <v>1486250.51</v>
      </c>
      <c r="Y12" s="321">
        <f>'Reporte Componentes R1'!Q442</f>
        <v>72103.31</v>
      </c>
      <c r="Z12" s="322">
        <f>L12*-1</f>
        <v>0</v>
      </c>
      <c r="AA12" s="323">
        <f>'Reporte Componentes R1'!R442+'Reporte Componentes R1'!V442+'Reporte Componentes R1'!U442</f>
        <v>-84.41</v>
      </c>
      <c r="AB12" s="297">
        <f>N12</f>
        <v>0</v>
      </c>
      <c r="AC12" s="323">
        <f>'Reporte Componentes R1'!T442+'Reporte Componentes R1'!W442+'Reporte Componentes R1'!X442+'Reporte Componentes R1'!Y442+'Reporte Componentes R1'!Z442++'Reporte Componentes R1'!S442</f>
        <v>0</v>
      </c>
      <c r="AD12" s="294">
        <f t="shared" si="2"/>
        <v>666067.09</v>
      </c>
      <c r="AE12" s="294">
        <f>'Reporte Componentes R1'!F443</f>
        <v>666067.09</v>
      </c>
      <c r="AF12" s="325">
        <f t="shared" si="4"/>
        <v>4966611.9999999991</v>
      </c>
      <c r="AG12" s="525">
        <f>(AF12-O12)</f>
        <v>-9.3132257461547852E-10</v>
      </c>
      <c r="AH12" s="1" t="b">
        <f t="shared" si="3"/>
        <v>0</v>
      </c>
      <c r="AI12" s="309"/>
    </row>
    <row r="13" spans="1:35" s="308" customFormat="1" ht="12" thickBot="1" x14ac:dyDescent="0.3">
      <c r="B13" s="327">
        <v>5</v>
      </c>
      <c r="C13" s="328" t="s">
        <v>14</v>
      </c>
      <c r="D13" s="299">
        <f>'Reporte Componentes R1'!F524</f>
        <v>0</v>
      </c>
      <c r="E13" s="300">
        <f>'Reporte Componentes R1'!G524</f>
        <v>0</v>
      </c>
      <c r="F13" s="300">
        <f>'Reporte Componentes R1'!H524</f>
        <v>0</v>
      </c>
      <c r="G13" s="300">
        <f>'Reporte Componentes R1'!I524</f>
        <v>0</v>
      </c>
      <c r="H13" s="300">
        <f>'Reporte Componentes R1'!J524</f>
        <v>0</v>
      </c>
      <c r="I13" s="300">
        <f>'Reporte Componentes R1'!K524</f>
        <v>0</v>
      </c>
      <c r="J13" s="292">
        <v>0</v>
      </c>
      <c r="K13" s="298">
        <f t="shared" si="0"/>
        <v>0</v>
      </c>
      <c r="L13" s="297">
        <v>0</v>
      </c>
      <c r="M13" s="301">
        <f>K13-L13</f>
        <v>0</v>
      </c>
      <c r="N13" s="302">
        <f>'Reporte Componentes R1'!L524</f>
        <v>0</v>
      </c>
      <c r="O13" s="301">
        <f>M13+N13</f>
        <v>0</v>
      </c>
      <c r="Q13" s="309"/>
      <c r="S13" s="327">
        <v>5</v>
      </c>
      <c r="T13" s="328" t="s">
        <v>14</v>
      </c>
      <c r="U13" s="299">
        <f>'Reporte Componentes R1'!M524</f>
        <v>0</v>
      </c>
      <c r="V13" s="300">
        <f>'Reporte Componentes R1'!N524</f>
        <v>0</v>
      </c>
      <c r="W13" s="300">
        <f>'Reporte Componentes R1'!O524</f>
        <v>0</v>
      </c>
      <c r="X13" s="300">
        <f>'Reporte Componentes R1'!P524</f>
        <v>0</v>
      </c>
      <c r="Y13" s="292">
        <f>'Reporte Componentes R1'!Q524</f>
        <v>0</v>
      </c>
      <c r="Z13" s="322">
        <f>L13*-1</f>
        <v>0</v>
      </c>
      <c r="AA13" s="323">
        <f>'Reporte Componentes R1'!R524+'Reporte Componentes R1'!V524+'Reporte Componentes R1'!U524</f>
        <v>0</v>
      </c>
      <c r="AB13" s="297">
        <f>N13</f>
        <v>0</v>
      </c>
      <c r="AC13" s="323">
        <f>'Reporte Componentes R1'!T524+'Reporte Componentes R1'!W524+'Reporte Componentes R1'!X524+'Reporte Componentes R1'!Y524+'Reporte Componentes R1'!Z524+'Reporte Componentes R1'!S524</f>
        <v>0</v>
      </c>
      <c r="AD13" s="294">
        <f t="shared" si="2"/>
        <v>0</v>
      </c>
      <c r="AE13" s="294">
        <f>'Reporte Componentes R1'!F525</f>
        <v>0</v>
      </c>
      <c r="AF13" s="325">
        <f t="shared" si="4"/>
        <v>0</v>
      </c>
      <c r="AG13" s="526">
        <f>(AF13-O13)</f>
        <v>0</v>
      </c>
      <c r="AH13" s="1" t="b">
        <f t="shared" si="3"/>
        <v>1</v>
      </c>
      <c r="AI13" s="309"/>
    </row>
    <row r="14" spans="1:35" s="308" customFormat="1" ht="13.5" thickBot="1" x14ac:dyDescent="0.35">
      <c r="B14" s="330"/>
      <c r="C14" s="331" t="s">
        <v>2</v>
      </c>
      <c r="D14" s="293">
        <f>SUM(D9:D13)</f>
        <v>20835040</v>
      </c>
      <c r="E14" s="293">
        <f t="shared" ref="E14:O14" si="5">SUM(E9:E13)</f>
        <v>1709977.3599999999</v>
      </c>
      <c r="F14" s="293">
        <f t="shared" si="5"/>
        <v>876027.83000000007</v>
      </c>
      <c r="G14" s="293">
        <f t="shared" si="5"/>
        <v>445646.83999999997</v>
      </c>
      <c r="H14" s="293">
        <f t="shared" si="5"/>
        <v>5811241.379999999</v>
      </c>
      <c r="I14" s="293">
        <f t="shared" si="5"/>
        <v>199149.67</v>
      </c>
      <c r="J14" s="293">
        <f t="shared" si="5"/>
        <v>0</v>
      </c>
      <c r="K14" s="303">
        <f t="shared" si="5"/>
        <v>11792996.92</v>
      </c>
      <c r="L14" s="304">
        <f>SUM(L9:L13)</f>
        <v>0</v>
      </c>
      <c r="M14" s="305">
        <f t="shared" si="5"/>
        <v>11792996.92</v>
      </c>
      <c r="N14" s="304">
        <f t="shared" si="5"/>
        <v>0</v>
      </c>
      <c r="O14" s="305">
        <f t="shared" si="5"/>
        <v>11792996.92</v>
      </c>
      <c r="P14" s="332"/>
      <c r="Q14" s="309"/>
      <c r="S14" s="330"/>
      <c r="T14" s="331" t="s">
        <v>2</v>
      </c>
      <c r="U14" s="333">
        <f>SUM(U9:U13)</f>
        <v>1746837.3</v>
      </c>
      <c r="V14" s="333">
        <f t="shared" ref="V14:AF14" si="6">SUM(V9:V13)</f>
        <v>1938099.9600000002</v>
      </c>
      <c r="W14" s="333">
        <f t="shared" si="6"/>
        <v>8725126.0099999998</v>
      </c>
      <c r="X14" s="333">
        <f t="shared" si="6"/>
        <v>3708626.5999999996</v>
      </c>
      <c r="Y14" s="333">
        <f t="shared" si="6"/>
        <v>325081.33999999997</v>
      </c>
      <c r="Z14" s="293">
        <f t="shared" si="6"/>
        <v>0</v>
      </c>
      <c r="AA14" s="293">
        <f t="shared" si="6"/>
        <v>-138.62</v>
      </c>
      <c r="AB14" s="293">
        <f t="shared" si="6"/>
        <v>0</v>
      </c>
      <c r="AC14" s="293">
        <f t="shared" si="6"/>
        <v>0</v>
      </c>
      <c r="AD14" s="293">
        <f>SUM(AD9:AD13)</f>
        <v>-4650635.67</v>
      </c>
      <c r="AE14" s="293">
        <f>SUM(AE9:AE13)</f>
        <v>-4650635.67</v>
      </c>
      <c r="AF14" s="334">
        <f t="shared" si="6"/>
        <v>11792996.919999998</v>
      </c>
      <c r="AG14" s="527">
        <f>SUM(AG9:AG13)</f>
        <v>-2.7939677238464355E-9</v>
      </c>
      <c r="AH14" s="1" t="b">
        <f t="shared" si="3"/>
        <v>0</v>
      </c>
      <c r="AI14" s="309"/>
    </row>
    <row r="15" spans="1:35" ht="12" thickBot="1" x14ac:dyDescent="0.3">
      <c r="B15" s="2"/>
      <c r="C15" s="2"/>
      <c r="D15" s="24"/>
      <c r="E15" s="24"/>
      <c r="F15" s="24"/>
      <c r="G15" s="24"/>
      <c r="H15" s="24"/>
      <c r="I15" s="24"/>
      <c r="K15" s="24"/>
      <c r="L15" s="24"/>
      <c r="M15" s="24"/>
      <c r="N15" s="24"/>
      <c r="O15" s="24"/>
      <c r="Q15" s="4"/>
      <c r="S15" s="2"/>
      <c r="T15" s="2"/>
      <c r="U15" s="24"/>
      <c r="V15" s="24"/>
      <c r="W15" s="24"/>
      <c r="X15" s="24"/>
      <c r="Y15" s="24"/>
      <c r="AF15" s="24"/>
      <c r="AI15" s="4"/>
    </row>
    <row r="16" spans="1:35" ht="12" thickBot="1" x14ac:dyDescent="0.3">
      <c r="B16" s="2"/>
      <c r="C16" s="2"/>
      <c r="D16" s="24"/>
      <c r="E16" s="24" t="s">
        <v>1</v>
      </c>
      <c r="F16" s="24" t="s">
        <v>1</v>
      </c>
      <c r="G16" s="24"/>
      <c r="H16" s="24" t="s">
        <v>1</v>
      </c>
      <c r="I16" s="24" t="s">
        <v>1</v>
      </c>
      <c r="K16" s="24"/>
      <c r="L16" s="24" t="s">
        <v>1</v>
      </c>
      <c r="M16" s="24"/>
      <c r="N16" s="24"/>
      <c r="O16" s="24"/>
      <c r="Q16" s="4"/>
      <c r="Y16" s="86">
        <f>SUM(U14:Y14)</f>
        <v>16443771.209999999</v>
      </c>
      <c r="AA16" s="1" t="s">
        <v>1</v>
      </c>
      <c r="AB16" s="1" t="s">
        <v>1</v>
      </c>
      <c r="AD16" s="1" t="s">
        <v>1</v>
      </c>
      <c r="AF16" s="1" t="s">
        <v>1</v>
      </c>
      <c r="AI16" s="4"/>
    </row>
    <row r="17" spans="1:35" ht="12" thickBot="1" x14ac:dyDescent="0.3">
      <c r="B17" s="2"/>
      <c r="C17" s="2"/>
      <c r="D17" s="24" t="s">
        <v>1</v>
      </c>
      <c r="E17" s="33"/>
      <c r="F17" s="33"/>
      <c r="G17" s="33"/>
      <c r="H17" s="33"/>
      <c r="I17" s="24" t="s">
        <v>1</v>
      </c>
      <c r="K17" s="24"/>
      <c r="L17" s="24" t="s">
        <v>1</v>
      </c>
      <c r="M17" s="24"/>
      <c r="N17" s="24"/>
      <c r="O17" s="24"/>
      <c r="Q17" s="4"/>
      <c r="AI17" s="4"/>
    </row>
    <row r="18" spans="1:35" x14ac:dyDescent="0.25">
      <c r="B18" s="2"/>
      <c r="C18" s="2"/>
      <c r="D18" s="24" t="s">
        <v>1</v>
      </c>
      <c r="E18" s="24" t="s">
        <v>1</v>
      </c>
      <c r="F18" s="24" t="s">
        <v>25</v>
      </c>
      <c r="G18" s="24"/>
      <c r="H18" s="24"/>
      <c r="I18" s="24"/>
      <c r="K18" s="24"/>
      <c r="L18" s="24"/>
      <c r="M18" s="24"/>
      <c r="N18" s="24"/>
      <c r="O18" s="24"/>
      <c r="Q18" s="4"/>
      <c r="AI18" s="4"/>
    </row>
    <row r="19" spans="1:35" x14ac:dyDescent="0.25">
      <c r="A19" s="4"/>
      <c r="B19" s="34"/>
      <c r="C19" s="34"/>
      <c r="D19" s="35"/>
      <c r="E19" s="35"/>
      <c r="F19" s="35"/>
      <c r="G19" s="35"/>
      <c r="H19" s="35"/>
      <c r="I19" s="35"/>
      <c r="J19" s="4"/>
      <c r="K19" s="35"/>
      <c r="L19" s="35"/>
      <c r="M19" s="35"/>
      <c r="N19" s="35"/>
      <c r="O19" s="35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</row>
    <row r="20" spans="1:35" ht="12" thickBot="1" x14ac:dyDescent="0.3">
      <c r="Q20" s="4"/>
      <c r="AI20" s="4"/>
    </row>
    <row r="21" spans="1:35" x14ac:dyDescent="0.25">
      <c r="B21" s="5"/>
      <c r="C21" s="3" t="s">
        <v>1</v>
      </c>
      <c r="D21" s="6" t="s">
        <v>1</v>
      </c>
      <c r="E21" s="3"/>
      <c r="F21" s="3"/>
      <c r="G21" s="3"/>
      <c r="H21" s="3" t="s">
        <v>1</v>
      </c>
      <c r="I21" s="3"/>
      <c r="J21" s="3"/>
      <c r="K21" s="3"/>
      <c r="L21" s="3"/>
      <c r="M21" s="3"/>
      <c r="N21" s="3"/>
      <c r="O21" s="7"/>
      <c r="P21" s="2"/>
      <c r="Q21" s="4"/>
      <c r="S21" s="5"/>
      <c r="T21" s="3" t="s">
        <v>1</v>
      </c>
      <c r="U21" s="6" t="s">
        <v>1</v>
      </c>
      <c r="V21" s="3"/>
      <c r="W21" s="3"/>
      <c r="X21" s="3" t="s">
        <v>1</v>
      </c>
      <c r="Y21" s="3"/>
      <c r="Z21" s="3"/>
      <c r="AA21" s="3"/>
      <c r="AB21" s="3"/>
      <c r="AC21" s="3"/>
      <c r="AD21" s="3"/>
      <c r="AE21" s="3"/>
      <c r="AF21" s="7"/>
      <c r="AG21" s="2"/>
      <c r="AI21" s="4"/>
    </row>
    <row r="22" spans="1:35" ht="14" x14ac:dyDescent="0.3">
      <c r="B22" s="8"/>
      <c r="F22" s="26" t="s">
        <v>8</v>
      </c>
      <c r="G22" s="26"/>
      <c r="I22" s="26" t="s">
        <v>16</v>
      </c>
      <c r="J22" s="25"/>
      <c r="M22" s="2" t="s">
        <v>15</v>
      </c>
      <c r="N22" s="50">
        <f>N3</f>
        <v>2026071</v>
      </c>
      <c r="O22" s="10"/>
      <c r="P22" s="2"/>
      <c r="Q22" s="4"/>
      <c r="S22" s="8"/>
      <c r="U22" s="26" t="s">
        <v>8</v>
      </c>
      <c r="W22" s="26" t="s">
        <v>16</v>
      </c>
      <c r="X22" s="25"/>
      <c r="Y22" s="2"/>
      <c r="AA22" s="2" t="s">
        <v>15</v>
      </c>
      <c r="AD22" s="84">
        <f>N22</f>
        <v>2026071</v>
      </c>
      <c r="AE22" s="84"/>
      <c r="AF22" s="48"/>
      <c r="AG22" s="2"/>
      <c r="AI22" s="4"/>
    </row>
    <row r="23" spans="1:35" ht="15.5" x14ac:dyDescent="0.35">
      <c r="B23" s="8"/>
      <c r="F23" s="36" t="s">
        <v>29</v>
      </c>
      <c r="G23" s="36"/>
      <c r="O23" s="10"/>
      <c r="P23" s="2"/>
      <c r="Q23" s="4"/>
      <c r="S23" s="8"/>
      <c r="T23" s="26" t="s">
        <v>1</v>
      </c>
      <c r="U23" s="36" t="s">
        <v>29</v>
      </c>
      <c r="Y23" s="2" t="s">
        <v>1</v>
      </c>
      <c r="AA23" s="50" t="s">
        <v>1</v>
      </c>
      <c r="AB23" s="2"/>
      <c r="AC23" s="2"/>
      <c r="AD23" s="2"/>
      <c r="AE23" s="2"/>
      <c r="AF23" s="10" t="s">
        <v>1</v>
      </c>
      <c r="AG23" s="2"/>
      <c r="AI23" s="4"/>
    </row>
    <row r="24" spans="1:35" ht="14" x14ac:dyDescent="0.3">
      <c r="B24" s="8"/>
      <c r="F24" s="2" t="s">
        <v>30</v>
      </c>
      <c r="G24" s="2"/>
      <c r="M24" s="2" t="s">
        <v>1</v>
      </c>
      <c r="O24" s="10"/>
      <c r="P24" s="2"/>
      <c r="Q24" s="4"/>
      <c r="S24" s="8"/>
      <c r="T24" s="49" t="s">
        <v>1</v>
      </c>
      <c r="U24" s="2" t="s">
        <v>30</v>
      </c>
      <c r="AF24" s="44"/>
      <c r="AG24" s="2"/>
      <c r="AI24" s="4"/>
    </row>
    <row r="25" spans="1:35" ht="15.5" x14ac:dyDescent="0.35">
      <c r="B25" s="8"/>
      <c r="C25" s="591" t="s">
        <v>17</v>
      </c>
      <c r="D25" s="9">
        <f>D6</f>
        <v>46220</v>
      </c>
      <c r="F25" s="41" t="s">
        <v>31</v>
      </c>
      <c r="G25" s="41"/>
      <c r="H25" s="2"/>
      <c r="J25" s="2"/>
      <c r="O25" s="10"/>
      <c r="P25" s="2"/>
      <c r="Q25" s="4"/>
      <c r="S25" s="8"/>
      <c r="T25" s="41" t="s">
        <v>1</v>
      </c>
      <c r="U25" s="41" t="s">
        <v>31</v>
      </c>
      <c r="V25" s="2"/>
      <c r="X25" s="2"/>
      <c r="Y25" s="2"/>
      <c r="AF25" s="48"/>
      <c r="AG25" s="2"/>
      <c r="AI25" s="4"/>
    </row>
    <row r="26" spans="1:35" ht="12" thickBot="1" x14ac:dyDescent="0.3">
      <c r="B26" s="8"/>
      <c r="C26" s="591" t="s">
        <v>0</v>
      </c>
      <c r="D26" s="241">
        <f>D7</f>
        <v>0.58333333333333337</v>
      </c>
      <c r="F26" s="2" t="s">
        <v>27</v>
      </c>
      <c r="G26" s="9">
        <f>G7</f>
        <v>46204</v>
      </c>
      <c r="J26" s="2" t="s">
        <v>28</v>
      </c>
      <c r="K26" s="9">
        <f>K7</f>
        <v>46218</v>
      </c>
      <c r="O26" s="10"/>
      <c r="P26" s="2"/>
      <c r="Q26" s="4"/>
      <c r="S26" s="8"/>
      <c r="U26" s="1" t="str">
        <f>F26</f>
        <v>Fecha Desde:</v>
      </c>
      <c r="V26" s="9">
        <f>G26</f>
        <v>46204</v>
      </c>
      <c r="W26" s="1" t="s">
        <v>1</v>
      </c>
      <c r="X26" s="1" t="str">
        <f>J26</f>
        <v>Feha Hasta:</v>
      </c>
      <c r="Y26" s="9">
        <f>K26</f>
        <v>46218</v>
      </c>
      <c r="Z26" s="1" t="s">
        <v>1</v>
      </c>
      <c r="AF26" s="48"/>
      <c r="AG26" s="2"/>
      <c r="AI26" s="4"/>
    </row>
    <row r="27" spans="1:35" ht="72" customHeight="1" thickBot="1" x14ac:dyDescent="0.3">
      <c r="B27" s="11" t="s">
        <v>3</v>
      </c>
      <c r="C27" s="27" t="s">
        <v>9</v>
      </c>
      <c r="D27" s="11" t="s">
        <v>4</v>
      </c>
      <c r="E27" s="12" t="s">
        <v>5</v>
      </c>
      <c r="F27" s="27" t="s">
        <v>6</v>
      </c>
      <c r="G27" s="271" t="s">
        <v>159</v>
      </c>
      <c r="H27" s="27" t="s">
        <v>18</v>
      </c>
      <c r="I27" s="12" t="s">
        <v>24</v>
      </c>
      <c r="J27" s="73" t="s">
        <v>19</v>
      </c>
      <c r="K27" s="29" t="s">
        <v>20</v>
      </c>
      <c r="L27" s="28" t="s">
        <v>21</v>
      </c>
      <c r="M27" s="39" t="s">
        <v>22</v>
      </c>
      <c r="N27" s="12" t="s">
        <v>7</v>
      </c>
      <c r="O27" s="39" t="s">
        <v>23</v>
      </c>
      <c r="P27" s="13"/>
      <c r="Q27" s="4"/>
      <c r="S27" s="11" t="s">
        <v>3</v>
      </c>
      <c r="T27" s="27" t="s">
        <v>9</v>
      </c>
      <c r="U27" s="162" t="s">
        <v>39</v>
      </c>
      <c r="V27" s="163" t="s">
        <v>40</v>
      </c>
      <c r="W27" s="163" t="s">
        <v>41</v>
      </c>
      <c r="X27" s="163" t="s">
        <v>42</v>
      </c>
      <c r="Y27" s="164" t="s">
        <v>43</v>
      </c>
      <c r="Z27" s="85" t="s">
        <v>21</v>
      </c>
      <c r="AA27" s="65" t="s">
        <v>46</v>
      </c>
      <c r="AB27" s="65" t="s">
        <v>7</v>
      </c>
      <c r="AC27" s="85" t="s">
        <v>167</v>
      </c>
      <c r="AD27" s="121" t="s">
        <v>107</v>
      </c>
      <c r="AE27" s="121" t="s">
        <v>225</v>
      </c>
      <c r="AF27" s="39" t="s">
        <v>23</v>
      </c>
      <c r="AG27" s="13"/>
      <c r="AI27" s="4"/>
    </row>
    <row r="28" spans="1:35" s="308" customFormat="1" x14ac:dyDescent="0.25">
      <c r="B28" s="306">
        <v>1</v>
      </c>
      <c r="C28" s="307" t="s">
        <v>10</v>
      </c>
      <c r="D28" s="294">
        <f>'Rem. Anticipos R2'!E44</f>
        <v>0</v>
      </c>
      <c r="E28" s="295">
        <f>'Rem. Anticipos R2'!F44</f>
        <v>0</v>
      </c>
      <c r="F28" s="295">
        <f>'Rem. Anticipos R2'!G44</f>
        <v>0</v>
      </c>
      <c r="G28" s="295">
        <f>'Rem. Anticipos R2'!H44</f>
        <v>0</v>
      </c>
      <c r="H28" s="295">
        <f>'Rem. Anticipos R2'!I44</f>
        <v>0</v>
      </c>
      <c r="I28" s="295">
        <f>'Rem. Anticipos R2'!J44</f>
        <v>0</v>
      </c>
      <c r="J28" s="291">
        <v>0</v>
      </c>
      <c r="K28" s="296">
        <f>D28-E28-F28-G28-H28-I28-J28</f>
        <v>0</v>
      </c>
      <c r="L28" s="297">
        <v>0</v>
      </c>
      <c r="M28" s="296">
        <f>K28-L28</f>
        <v>0</v>
      </c>
      <c r="N28" s="297">
        <f>'Rem. Anticipos R2'!K44</f>
        <v>0</v>
      </c>
      <c r="O28" s="296">
        <f>M28+N28</f>
        <v>0</v>
      </c>
      <c r="Q28" s="309"/>
      <c r="S28" s="306">
        <v>1</v>
      </c>
      <c r="T28" s="307" t="s">
        <v>10</v>
      </c>
      <c r="U28" s="310">
        <f>'Rem. Anticipos R2'!L44</f>
        <v>0</v>
      </c>
      <c r="V28" s="311">
        <f>'Rem. Anticipos R2'!M44</f>
        <v>0</v>
      </c>
      <c r="W28" s="311">
        <f>'Rem. Anticipos R2'!N44</f>
        <v>0</v>
      </c>
      <c r="X28" s="311">
        <f>'Rem. Anticipos R2'!O44</f>
        <v>0</v>
      </c>
      <c r="Y28" s="312">
        <f>'Rem. Anticipos R2'!P44</f>
        <v>0</v>
      </c>
      <c r="Z28" s="313">
        <f>L28*-1</f>
        <v>0</v>
      </c>
      <c r="AA28" s="314">
        <f>'Rem. Anticipos R2'!Q44</f>
        <v>0</v>
      </c>
      <c r="AB28" s="297">
        <f>N28</f>
        <v>0</v>
      </c>
      <c r="AC28" s="314">
        <f>'Rem. Anticipos R2'!R44</f>
        <v>0</v>
      </c>
      <c r="AD28" s="294">
        <f>-J28+AE28</f>
        <v>0</v>
      </c>
      <c r="AE28" s="294">
        <f>'Rem. Anticipos R2'!E45</f>
        <v>0</v>
      </c>
      <c r="AF28" s="316">
        <f>SUM(U28:AD28)</f>
        <v>0</v>
      </c>
      <c r="AG28" s="524">
        <f>(AF28-O28)</f>
        <v>0</v>
      </c>
      <c r="AH28" s="1" t="b">
        <f>INT(AG28)=0</f>
        <v>1</v>
      </c>
      <c r="AI28" s="309"/>
    </row>
    <row r="29" spans="1:35" s="308" customFormat="1" x14ac:dyDescent="0.25">
      <c r="B29" s="317">
        <v>2</v>
      </c>
      <c r="C29" s="318" t="s">
        <v>11</v>
      </c>
      <c r="D29" s="294">
        <f>'Rem. Anticipos R2'!E138</f>
        <v>32822845.349999998</v>
      </c>
      <c r="E29" s="295">
        <f>'Rem. Anticipos R2'!F138</f>
        <v>3012757.24</v>
      </c>
      <c r="F29" s="295">
        <f>'Rem. Anticipos R2'!G138</f>
        <v>1827628.4</v>
      </c>
      <c r="G29" s="295">
        <f>'Rem. Anticipos R2'!H138</f>
        <v>545798.29</v>
      </c>
      <c r="H29" s="295">
        <f>'Rem. Anticipos R2'!I138</f>
        <v>12926166.59</v>
      </c>
      <c r="I29" s="295">
        <f>'Rem. Anticipos R2'!J138</f>
        <v>452766.43</v>
      </c>
      <c r="J29" s="291">
        <v>0</v>
      </c>
      <c r="K29" s="298">
        <f t="shared" ref="K29:K31" si="7">D29-E29-F29-G29-H29-I29-J29</f>
        <v>14057728.400000002</v>
      </c>
      <c r="L29" s="297">
        <v>0</v>
      </c>
      <c r="M29" s="298">
        <f>K29-L29</f>
        <v>14057728.400000002</v>
      </c>
      <c r="N29" s="297">
        <f>'Rem. Anticipos R2'!K138</f>
        <v>0</v>
      </c>
      <c r="O29" s="298">
        <f t="shared" ref="O29:O32" si="8">M29+N29</f>
        <v>14057728.400000002</v>
      </c>
      <c r="Q29" s="309"/>
      <c r="S29" s="317">
        <v>2</v>
      </c>
      <c r="T29" s="318" t="s">
        <v>11</v>
      </c>
      <c r="U29" s="319">
        <f>'Rem. Anticipos R2'!L138</f>
        <v>4316065.09</v>
      </c>
      <c r="V29" s="320">
        <f>'Rem. Anticipos R2'!M138</f>
        <v>3724603.09</v>
      </c>
      <c r="W29" s="320">
        <f>'Rem. Anticipos R2'!N138</f>
        <v>15497553.24</v>
      </c>
      <c r="X29" s="320">
        <f>'Rem. Anticipos R2'!O138</f>
        <v>5976025.5099999998</v>
      </c>
      <c r="Y29" s="321">
        <f>'Rem. Anticipos R2'!P138</f>
        <v>482190.33</v>
      </c>
      <c r="Z29" s="322">
        <f>L29*-1</f>
        <v>0</v>
      </c>
      <c r="AA29" s="323">
        <f>'Rem. Anticipos R2'!Q138</f>
        <v>-61.56</v>
      </c>
      <c r="AB29" s="297">
        <f>N29</f>
        <v>0</v>
      </c>
      <c r="AC29" s="323">
        <f>'Rem. Anticipos R2'!R138</f>
        <v>0</v>
      </c>
      <c r="AD29" s="294">
        <f>-J29+AE29</f>
        <v>-15938647.300000001</v>
      </c>
      <c r="AE29" s="294">
        <f>'Rem. Anticipos R2'!E139</f>
        <v>-15938647.300000001</v>
      </c>
      <c r="AF29" s="325">
        <f>SUM(U29:AD29)</f>
        <v>14057728.399999999</v>
      </c>
      <c r="AG29" s="525">
        <f>(AF29-O29)</f>
        <v>-3.7252902984619141E-9</v>
      </c>
      <c r="AH29" s="1" t="b">
        <f t="shared" ref="AH29:AH33" si="9">INT(AG29)=0</f>
        <v>0</v>
      </c>
      <c r="AI29" s="309"/>
    </row>
    <row r="30" spans="1:35" s="308" customFormat="1" x14ac:dyDescent="0.25">
      <c r="B30" s="317">
        <v>3</v>
      </c>
      <c r="C30" s="318" t="s">
        <v>12</v>
      </c>
      <c r="D30" s="294">
        <f>'Rem. Anticipos R2'!E250</f>
        <v>0</v>
      </c>
      <c r="E30" s="295">
        <f>'Rem. Anticipos R2'!F250</f>
        <v>0</v>
      </c>
      <c r="F30" s="295">
        <f>'Rem. Anticipos R2'!G250</f>
        <v>0</v>
      </c>
      <c r="G30" s="295">
        <f>'Rem. Anticipos R2'!H250</f>
        <v>0</v>
      </c>
      <c r="H30" s="295">
        <f>'Rem. Anticipos R2'!I250</f>
        <v>0</v>
      </c>
      <c r="I30" s="295">
        <f>'Rem. Anticipos R2'!J250</f>
        <v>0</v>
      </c>
      <c r="J30" s="291">
        <v>0</v>
      </c>
      <c r="K30" s="298">
        <f t="shared" si="7"/>
        <v>0</v>
      </c>
      <c r="L30" s="297">
        <v>0</v>
      </c>
      <c r="M30" s="298">
        <f>K30-L30</f>
        <v>0</v>
      </c>
      <c r="N30" s="297">
        <f>'Rem. Anticipos R2'!K250</f>
        <v>0</v>
      </c>
      <c r="O30" s="298">
        <f t="shared" si="8"/>
        <v>0</v>
      </c>
      <c r="Q30" s="309"/>
      <c r="S30" s="317">
        <v>3</v>
      </c>
      <c r="T30" s="318" t="s">
        <v>12</v>
      </c>
      <c r="U30" s="319">
        <f>'Rem. Anticipos R2'!L250</f>
        <v>0</v>
      </c>
      <c r="V30" s="320">
        <f>'Rem. Anticipos R2'!M250</f>
        <v>0</v>
      </c>
      <c r="W30" s="320">
        <f>'Rem. Anticipos R2'!N250</f>
        <v>0</v>
      </c>
      <c r="X30" s="320">
        <f>'Rem. Anticipos R2'!O250</f>
        <v>0</v>
      </c>
      <c r="Y30" s="321">
        <f>'Rem. Anticipos R2'!P250</f>
        <v>0</v>
      </c>
      <c r="Z30" s="322">
        <f>L30*-1</f>
        <v>0</v>
      </c>
      <c r="AA30" s="323">
        <f>'Rem. Anticipos R2'!Q250</f>
        <v>0</v>
      </c>
      <c r="AB30" s="297">
        <f>N30</f>
        <v>0</v>
      </c>
      <c r="AC30" s="323">
        <f>'Rem. Anticipos R2'!R250</f>
        <v>0</v>
      </c>
      <c r="AD30" s="294">
        <f t="shared" ref="AD30:AD32" si="10">-J30+AE30</f>
        <v>0</v>
      </c>
      <c r="AE30" s="294">
        <f>'Rem. Anticipos R2'!E251</f>
        <v>0</v>
      </c>
      <c r="AF30" s="325">
        <f>SUM(U30:AD30)</f>
        <v>0</v>
      </c>
      <c r="AG30" s="525">
        <f t="shared" ref="AG30:AG31" si="11">(AF30-O30)</f>
        <v>0</v>
      </c>
      <c r="AH30" s="1" t="b">
        <f t="shared" si="9"/>
        <v>1</v>
      </c>
      <c r="AI30" s="309"/>
    </row>
    <row r="31" spans="1:35" s="308" customFormat="1" x14ac:dyDescent="0.25">
      <c r="B31" s="317">
        <v>4</v>
      </c>
      <c r="C31" s="318" t="s">
        <v>13</v>
      </c>
      <c r="D31" s="294">
        <f>'Rem. Anticipos R2'!E346</f>
        <v>4804828.2600000007</v>
      </c>
      <c r="E31" s="295">
        <f>'Rem. Anticipos R2'!F346</f>
        <v>329835.75</v>
      </c>
      <c r="F31" s="295">
        <f>'Rem. Anticipos R2'!G346</f>
        <v>195175.4</v>
      </c>
      <c r="G31" s="295">
        <f>'Rem. Anticipos R2'!H346</f>
        <v>65323.02</v>
      </c>
      <c r="H31" s="295">
        <f>'Rem. Anticipos R2'!I346</f>
        <v>1228237.28</v>
      </c>
      <c r="I31" s="295">
        <f>'Rem. Anticipos R2'!J346</f>
        <v>44312.65</v>
      </c>
      <c r="J31" s="291">
        <v>0</v>
      </c>
      <c r="K31" s="298">
        <f t="shared" si="7"/>
        <v>2941944.1600000006</v>
      </c>
      <c r="L31" s="297">
        <v>0</v>
      </c>
      <c r="M31" s="298">
        <f>K31-L31</f>
        <v>2941944.1600000006</v>
      </c>
      <c r="N31" s="297">
        <f>'Rem. Anticipos R2'!K346</f>
        <v>0</v>
      </c>
      <c r="O31" s="298">
        <f t="shared" si="8"/>
        <v>2941944.1600000006</v>
      </c>
      <c r="Q31" s="309"/>
      <c r="S31" s="317">
        <v>4</v>
      </c>
      <c r="T31" s="318" t="s">
        <v>13</v>
      </c>
      <c r="U31" s="319">
        <f>'Rem. Anticipos R2'!L346</f>
        <v>398296.17</v>
      </c>
      <c r="V31" s="320">
        <f>'Rem. Anticipos R2'!M346</f>
        <v>335558.26</v>
      </c>
      <c r="W31" s="320">
        <f>'Rem. Anticipos R2'!N346</f>
        <v>1462627.93</v>
      </c>
      <c r="X31" s="320">
        <f>'Rem. Anticipos R2'!O346</f>
        <v>825725.69</v>
      </c>
      <c r="Y31" s="321">
        <f>'Rem. Anticipos R2'!P346</f>
        <v>52252.05</v>
      </c>
      <c r="Z31" s="322">
        <f>L31*-1</f>
        <v>0</v>
      </c>
      <c r="AA31" s="323">
        <f>'Rem. Anticipos R2'!Q346</f>
        <v>7.87</v>
      </c>
      <c r="AB31" s="297">
        <f>N31</f>
        <v>0</v>
      </c>
      <c r="AC31" s="323">
        <f>'Rem. Anticipos R2'!R346</f>
        <v>0</v>
      </c>
      <c r="AD31" s="294">
        <f t="shared" si="10"/>
        <v>-132523.81</v>
      </c>
      <c r="AE31" s="294">
        <f>'Rem. Anticipos R2'!E347</f>
        <v>-132523.81</v>
      </c>
      <c r="AF31" s="325">
        <f>SUM(U31:AD31)</f>
        <v>2941944.1599999997</v>
      </c>
      <c r="AG31" s="525">
        <f t="shared" si="11"/>
        <v>-9.3132257461547852E-10</v>
      </c>
      <c r="AH31" s="1" t="b">
        <f t="shared" si="9"/>
        <v>0</v>
      </c>
      <c r="AI31" s="309"/>
    </row>
    <row r="32" spans="1:35" s="308" customFormat="1" ht="12" thickBot="1" x14ac:dyDescent="0.3">
      <c r="B32" s="327">
        <v>5</v>
      </c>
      <c r="C32" s="328" t="s">
        <v>14</v>
      </c>
      <c r="D32" s="299">
        <f>'Rem. Anticipos R2'!E416</f>
        <v>0</v>
      </c>
      <c r="E32" s="300">
        <f>'Rem. Anticipos R2'!F416</f>
        <v>0</v>
      </c>
      <c r="F32" s="300">
        <f>'Rem. Anticipos R2'!G416</f>
        <v>0</v>
      </c>
      <c r="G32" s="300">
        <f>'Rem. Anticipos R2'!H416</f>
        <v>0</v>
      </c>
      <c r="H32" s="300">
        <f>'Rem. Anticipos R2'!I416</f>
        <v>0</v>
      </c>
      <c r="I32" s="300">
        <f>'Rem. Anticipos R2'!J416</f>
        <v>0</v>
      </c>
      <c r="J32" s="292">
        <v>0</v>
      </c>
      <c r="K32" s="298">
        <f>D32-E32-F32-G32-H32-I32-J32</f>
        <v>0</v>
      </c>
      <c r="L32" s="297">
        <v>0</v>
      </c>
      <c r="M32" s="301">
        <f>K32-L32</f>
        <v>0</v>
      </c>
      <c r="N32" s="302">
        <f>'Rem. Anticipos R2'!K416</f>
        <v>0</v>
      </c>
      <c r="O32" s="301">
        <f t="shared" si="8"/>
        <v>0</v>
      </c>
      <c r="Q32" s="309"/>
      <c r="S32" s="327">
        <v>5</v>
      </c>
      <c r="T32" s="328" t="s">
        <v>14</v>
      </c>
      <c r="U32" s="299">
        <f>'Rem. Anticipos R2'!L416</f>
        <v>0</v>
      </c>
      <c r="V32" s="300">
        <f>'Rem. Anticipos R2'!M416</f>
        <v>0</v>
      </c>
      <c r="W32" s="300">
        <f>'Rem. Anticipos R2'!N416</f>
        <v>0</v>
      </c>
      <c r="X32" s="300">
        <f>'Rem. Anticipos R2'!O416</f>
        <v>0</v>
      </c>
      <c r="Y32" s="292">
        <f>'Rem. Anticipos R2'!P416</f>
        <v>0</v>
      </c>
      <c r="Z32" s="322">
        <f>L32*-1</f>
        <v>0</v>
      </c>
      <c r="AA32" s="323">
        <f>'Rem. Anticipos R2'!Q416</f>
        <v>0</v>
      </c>
      <c r="AB32" s="297">
        <f>N32</f>
        <v>0</v>
      </c>
      <c r="AC32" s="323">
        <f>'Rem. Anticipos R2'!R416</f>
        <v>0</v>
      </c>
      <c r="AD32" s="294">
        <f t="shared" si="10"/>
        <v>0</v>
      </c>
      <c r="AE32" s="294">
        <f>'Rem. Anticipos R2'!E417</f>
        <v>0</v>
      </c>
      <c r="AF32" s="325">
        <f>SUM(U32:AD32)</f>
        <v>0</v>
      </c>
      <c r="AG32" s="526">
        <f>(AF32-O32)</f>
        <v>0</v>
      </c>
      <c r="AH32" s="1" t="b">
        <f t="shared" si="9"/>
        <v>1</v>
      </c>
      <c r="AI32" s="309"/>
    </row>
    <row r="33" spans="1:35" s="308" customFormat="1" ht="13.5" thickBot="1" x14ac:dyDescent="0.35">
      <c r="B33" s="330"/>
      <c r="C33" s="331" t="s">
        <v>2</v>
      </c>
      <c r="D33" s="293">
        <f>SUM(D28:D32)</f>
        <v>37627673.609999999</v>
      </c>
      <c r="E33" s="293">
        <f>SUM(E28:E32)</f>
        <v>3342592.99</v>
      </c>
      <c r="F33" s="293">
        <f t="shared" ref="F33:O33" si="12">SUM(F28:F32)</f>
        <v>2022803.7999999998</v>
      </c>
      <c r="G33" s="293">
        <f t="shared" si="12"/>
        <v>611121.31000000006</v>
      </c>
      <c r="H33" s="293">
        <f t="shared" si="12"/>
        <v>14154403.869999999</v>
      </c>
      <c r="I33" s="293">
        <f t="shared" si="12"/>
        <v>497079.08</v>
      </c>
      <c r="J33" s="293">
        <f t="shared" si="12"/>
        <v>0</v>
      </c>
      <c r="K33" s="303">
        <f t="shared" si="12"/>
        <v>16999672.560000002</v>
      </c>
      <c r="L33" s="304">
        <f t="shared" si="12"/>
        <v>0</v>
      </c>
      <c r="M33" s="305">
        <f t="shared" si="12"/>
        <v>16999672.560000002</v>
      </c>
      <c r="N33" s="304">
        <f t="shared" si="12"/>
        <v>0</v>
      </c>
      <c r="O33" s="305">
        <f t="shared" si="12"/>
        <v>16999672.560000002</v>
      </c>
      <c r="P33" s="332"/>
      <c r="Q33" s="309"/>
      <c r="S33" s="330"/>
      <c r="T33" s="331" t="s">
        <v>2</v>
      </c>
      <c r="U33" s="333">
        <f>SUM(U28:U32)</f>
        <v>4714361.26</v>
      </c>
      <c r="V33" s="333">
        <f t="shared" ref="V33:AG33" si="13">SUM(V28:V32)</f>
        <v>4060161.3499999996</v>
      </c>
      <c r="W33" s="333">
        <f t="shared" si="13"/>
        <v>16960181.170000002</v>
      </c>
      <c r="X33" s="333">
        <f t="shared" si="13"/>
        <v>6801751.1999999993</v>
      </c>
      <c r="Y33" s="333">
        <f t="shared" si="13"/>
        <v>534442.38</v>
      </c>
      <c r="Z33" s="293">
        <f t="shared" si="13"/>
        <v>0</v>
      </c>
      <c r="AA33" s="293">
        <f t="shared" si="13"/>
        <v>-53.690000000000005</v>
      </c>
      <c r="AB33" s="293">
        <f t="shared" si="13"/>
        <v>0</v>
      </c>
      <c r="AC33" s="293">
        <f t="shared" ref="AC33" si="14">SUM(AC28:AC32)</f>
        <v>0</v>
      </c>
      <c r="AD33" s="293">
        <f>SUM(AD28:AD32)</f>
        <v>-16071171.110000001</v>
      </c>
      <c r="AE33" s="293">
        <f>SUM(AE28:AE32)</f>
        <v>-16071171.110000001</v>
      </c>
      <c r="AF33" s="334">
        <f t="shared" si="13"/>
        <v>16999672.559999999</v>
      </c>
      <c r="AG33" s="527">
        <f t="shared" si="13"/>
        <v>-4.6566128730773926E-9</v>
      </c>
      <c r="AH33" s="1" t="b">
        <f t="shared" si="9"/>
        <v>0</v>
      </c>
      <c r="AI33" s="309"/>
    </row>
    <row r="34" spans="1:35" ht="12" thickBot="1" x14ac:dyDescent="0.3">
      <c r="B34" s="2"/>
      <c r="C34" s="2"/>
      <c r="D34" s="24"/>
      <c r="E34" s="24"/>
      <c r="F34" s="24"/>
      <c r="G34" s="24"/>
      <c r="H34" s="24"/>
      <c r="I34" s="24"/>
      <c r="K34" s="24"/>
      <c r="L34" s="24"/>
      <c r="M34" s="24"/>
      <c r="N34" s="24"/>
      <c r="O34" s="24"/>
      <c r="Q34" s="4"/>
      <c r="S34" s="2"/>
      <c r="T34" s="2"/>
      <c r="U34" s="24"/>
      <c r="V34" s="24"/>
      <c r="W34" s="24"/>
      <c r="X34" s="24"/>
      <c r="Y34" s="24"/>
      <c r="AF34" s="24"/>
      <c r="AI34" s="4"/>
    </row>
    <row r="35" spans="1:35" ht="12" thickBot="1" x14ac:dyDescent="0.3">
      <c r="B35" s="2"/>
      <c r="C35" s="2"/>
      <c r="D35" s="24" t="s">
        <v>1</v>
      </c>
      <c r="E35" s="24"/>
      <c r="F35" s="24"/>
      <c r="G35" s="24"/>
      <c r="H35" s="24"/>
      <c r="I35" s="24"/>
      <c r="K35" s="24"/>
      <c r="L35" s="24"/>
      <c r="M35" s="24"/>
      <c r="N35" s="24"/>
      <c r="O35" s="24"/>
      <c r="Q35" s="4"/>
      <c r="Y35" s="86">
        <f>SUM(U33:Y33)</f>
        <v>33070897.359999999</v>
      </c>
      <c r="AA35" s="1" t="s">
        <v>1</v>
      </c>
      <c r="AB35" s="1" t="s">
        <v>1</v>
      </c>
      <c r="AD35" s="1" t="s">
        <v>1</v>
      </c>
      <c r="AF35" s="1" t="s">
        <v>1</v>
      </c>
      <c r="AI35" s="4"/>
    </row>
    <row r="36" spans="1:35" ht="12" thickBot="1" x14ac:dyDescent="0.3">
      <c r="B36" s="2"/>
      <c r="C36" s="2"/>
      <c r="D36" s="24" t="s">
        <v>1</v>
      </c>
      <c r="E36" s="33"/>
      <c r="F36" s="33"/>
      <c r="G36" s="33"/>
      <c r="H36" s="33"/>
      <c r="I36" s="24"/>
      <c r="K36" s="24"/>
      <c r="L36" s="24"/>
      <c r="M36" s="24"/>
      <c r="N36" s="24"/>
      <c r="O36" s="24"/>
      <c r="Q36" s="4"/>
      <c r="AI36" s="4"/>
    </row>
    <row r="37" spans="1:35" x14ac:dyDescent="0.25">
      <c r="B37" s="2"/>
      <c r="C37" s="2"/>
      <c r="D37" s="24" t="s">
        <v>1</v>
      </c>
      <c r="E37" s="24" t="s">
        <v>1</v>
      </c>
      <c r="F37" s="24" t="s">
        <v>25</v>
      </c>
      <c r="G37" s="24"/>
      <c r="H37" s="24"/>
      <c r="I37" s="24"/>
      <c r="K37" s="24"/>
      <c r="L37" s="24"/>
      <c r="M37" s="24"/>
      <c r="N37" s="24"/>
      <c r="O37" s="24"/>
      <c r="Q37" s="4"/>
      <c r="AI37" s="4"/>
    </row>
    <row r="38" spans="1:35" x14ac:dyDescent="0.25">
      <c r="A38" s="4"/>
      <c r="B38" s="34"/>
      <c r="C38" s="34"/>
      <c r="D38" s="35"/>
      <c r="E38" s="35"/>
      <c r="F38" s="35"/>
      <c r="G38" s="35"/>
      <c r="H38" s="35"/>
      <c r="I38" s="35"/>
      <c r="J38" s="4"/>
      <c r="K38" s="35"/>
      <c r="L38" s="35"/>
      <c r="M38" s="35"/>
      <c r="N38" s="35"/>
      <c r="O38" s="35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</row>
    <row r="39" spans="1:35" ht="12" thickBot="1" x14ac:dyDescent="0.3">
      <c r="Q39" s="4"/>
      <c r="AI39" s="4"/>
    </row>
    <row r="40" spans="1:35" x14ac:dyDescent="0.25">
      <c r="B40" s="5"/>
      <c r="C40" s="3" t="s">
        <v>1</v>
      </c>
      <c r="D40" s="6" t="s">
        <v>1</v>
      </c>
      <c r="E40" s="3"/>
      <c r="F40" s="3"/>
      <c r="G40" s="3"/>
      <c r="H40" s="3" t="s">
        <v>1</v>
      </c>
      <c r="I40" s="3"/>
      <c r="J40" s="3"/>
      <c r="K40" s="3"/>
      <c r="L40" s="3"/>
      <c r="M40" s="3"/>
      <c r="N40" s="3"/>
      <c r="O40" s="7"/>
      <c r="P40" s="2"/>
      <c r="Q40" s="4"/>
      <c r="S40" s="5"/>
      <c r="T40" s="3" t="s">
        <v>1</v>
      </c>
      <c r="U40" s="6" t="s">
        <v>1</v>
      </c>
      <c r="V40" s="3"/>
      <c r="W40" s="3"/>
      <c r="X40" s="3" t="s">
        <v>1</v>
      </c>
      <c r="Y40" s="3"/>
      <c r="Z40" s="3"/>
      <c r="AA40" s="3"/>
      <c r="AB40" s="3"/>
      <c r="AC40" s="3"/>
      <c r="AD40" s="3"/>
      <c r="AE40" s="3"/>
      <c r="AF40" s="7"/>
      <c r="AG40" s="2"/>
      <c r="AI40" s="4"/>
    </row>
    <row r="41" spans="1:35" ht="14" x14ac:dyDescent="0.3">
      <c r="B41" s="8"/>
      <c r="F41" s="26" t="s">
        <v>8</v>
      </c>
      <c r="G41" s="26"/>
      <c r="I41" s="26" t="s">
        <v>16</v>
      </c>
      <c r="J41" s="25"/>
      <c r="M41" s="2" t="s">
        <v>15</v>
      </c>
      <c r="N41" s="50">
        <f>N3</f>
        <v>2026071</v>
      </c>
      <c r="O41" s="10"/>
      <c r="P41" s="2"/>
      <c r="Q41" s="4"/>
      <c r="S41" s="8"/>
      <c r="U41" s="26" t="s">
        <v>8</v>
      </c>
      <c r="W41" s="26" t="s">
        <v>16</v>
      </c>
      <c r="X41" s="25"/>
      <c r="Y41" s="2"/>
      <c r="AA41" s="2" t="s">
        <v>15</v>
      </c>
      <c r="AD41" s="84">
        <f>N41</f>
        <v>2026071</v>
      </c>
      <c r="AE41" s="84"/>
      <c r="AF41" s="48"/>
      <c r="AG41" s="2"/>
      <c r="AI41" s="4"/>
    </row>
    <row r="42" spans="1:35" ht="15.5" x14ac:dyDescent="0.35">
      <c r="B42" s="8"/>
      <c r="F42" s="36" t="s">
        <v>29</v>
      </c>
      <c r="G42" s="36"/>
      <c r="O42" s="10"/>
      <c r="P42" s="2"/>
      <c r="Q42" s="4"/>
      <c r="S42" s="8"/>
      <c r="T42" s="26" t="s">
        <v>1</v>
      </c>
      <c r="U42" s="36" t="s">
        <v>29</v>
      </c>
      <c r="Y42" s="2" t="s">
        <v>1</v>
      </c>
      <c r="AA42" s="50" t="s">
        <v>1</v>
      </c>
      <c r="AB42" s="2"/>
      <c r="AC42" s="2"/>
      <c r="AD42" s="2"/>
      <c r="AE42" s="2"/>
      <c r="AF42" s="10" t="s">
        <v>1</v>
      </c>
      <c r="AG42" s="2"/>
      <c r="AI42" s="4"/>
    </row>
    <row r="43" spans="1:35" ht="14" x14ac:dyDescent="0.3">
      <c r="B43" s="8"/>
      <c r="F43" s="2" t="s">
        <v>30</v>
      </c>
      <c r="G43" s="2"/>
      <c r="M43" s="2" t="s">
        <v>1</v>
      </c>
      <c r="O43" s="10"/>
      <c r="P43" s="2"/>
      <c r="Q43" s="4"/>
      <c r="S43" s="8"/>
      <c r="T43" s="49" t="s">
        <v>1</v>
      </c>
      <c r="U43" s="2" t="s">
        <v>30</v>
      </c>
      <c r="AF43" s="44"/>
      <c r="AG43" s="2"/>
      <c r="AI43" s="4"/>
    </row>
    <row r="44" spans="1:35" ht="15.5" x14ac:dyDescent="0.35">
      <c r="B44" s="8"/>
      <c r="C44" s="591" t="s">
        <v>17</v>
      </c>
      <c r="D44" s="9">
        <f>D6</f>
        <v>46220</v>
      </c>
      <c r="F44" s="41" t="s">
        <v>32</v>
      </c>
      <c r="G44" s="41"/>
      <c r="H44" s="2"/>
      <c r="J44" s="2"/>
      <c r="O44" s="10"/>
      <c r="P44" s="2"/>
      <c r="Q44" s="4"/>
      <c r="S44" s="8"/>
      <c r="T44" s="41" t="s">
        <v>1</v>
      </c>
      <c r="U44" s="41" t="s">
        <v>32</v>
      </c>
      <c r="V44" s="2"/>
      <c r="X44" s="2"/>
      <c r="Y44" s="2"/>
      <c r="AF44" s="48"/>
      <c r="AG44" s="2"/>
      <c r="AI44" s="4"/>
    </row>
    <row r="45" spans="1:35" ht="12" thickBot="1" x14ac:dyDescent="0.3">
      <c r="B45" s="8"/>
      <c r="C45" s="591" t="s">
        <v>0</v>
      </c>
      <c r="D45" s="241">
        <f>D7</f>
        <v>0.58333333333333337</v>
      </c>
      <c r="F45" s="2" t="s">
        <v>27</v>
      </c>
      <c r="G45" s="9">
        <f>G7</f>
        <v>46204</v>
      </c>
      <c r="J45" s="2" t="s">
        <v>28</v>
      </c>
      <c r="K45" s="9">
        <f>K7</f>
        <v>46218</v>
      </c>
      <c r="O45" s="10"/>
      <c r="P45" s="2"/>
      <c r="Q45" s="4"/>
      <c r="S45" s="8"/>
      <c r="U45" s="1" t="str">
        <f>F45</f>
        <v>Fecha Desde:</v>
      </c>
      <c r="V45" s="9">
        <f>G45</f>
        <v>46204</v>
      </c>
      <c r="W45" s="1" t="s">
        <v>1</v>
      </c>
      <c r="X45" s="1" t="str">
        <f>J45</f>
        <v>Feha Hasta:</v>
      </c>
      <c r="Y45" s="9">
        <f>K45</f>
        <v>46218</v>
      </c>
      <c r="Z45" s="1" t="s">
        <v>1</v>
      </c>
      <c r="AF45" s="48"/>
      <c r="AG45" s="2"/>
      <c r="AI45" s="4"/>
    </row>
    <row r="46" spans="1:35" ht="72" customHeight="1" thickBot="1" x14ac:dyDescent="0.3">
      <c r="B46" s="11" t="s">
        <v>3</v>
      </c>
      <c r="C46" s="27" t="s">
        <v>9</v>
      </c>
      <c r="D46" s="11" t="s">
        <v>4</v>
      </c>
      <c r="E46" s="12" t="s">
        <v>5</v>
      </c>
      <c r="F46" s="27" t="s">
        <v>6</v>
      </c>
      <c r="G46" s="271" t="s">
        <v>159</v>
      </c>
      <c r="H46" s="27" t="s">
        <v>18</v>
      </c>
      <c r="I46" s="12" t="s">
        <v>24</v>
      </c>
      <c r="J46" s="73" t="s">
        <v>19</v>
      </c>
      <c r="K46" s="29" t="s">
        <v>20</v>
      </c>
      <c r="L46" s="28" t="s">
        <v>21</v>
      </c>
      <c r="M46" s="39" t="s">
        <v>22</v>
      </c>
      <c r="N46" s="12" t="s">
        <v>7</v>
      </c>
      <c r="O46" s="39" t="s">
        <v>23</v>
      </c>
      <c r="P46" s="13"/>
      <c r="Q46" s="4"/>
      <c r="S46" s="11" t="s">
        <v>3</v>
      </c>
      <c r="T46" s="27" t="s">
        <v>9</v>
      </c>
      <c r="U46" s="162" t="s">
        <v>39</v>
      </c>
      <c r="V46" s="163" t="s">
        <v>40</v>
      </c>
      <c r="W46" s="163" t="s">
        <v>41</v>
      </c>
      <c r="X46" s="163" t="s">
        <v>42</v>
      </c>
      <c r="Y46" s="164" t="s">
        <v>43</v>
      </c>
      <c r="Z46" s="85" t="s">
        <v>21</v>
      </c>
      <c r="AA46" s="65" t="s">
        <v>46</v>
      </c>
      <c r="AB46" s="65" t="s">
        <v>7</v>
      </c>
      <c r="AC46" s="85" t="s">
        <v>167</v>
      </c>
      <c r="AD46" s="121" t="s">
        <v>107</v>
      </c>
      <c r="AE46" s="121" t="s">
        <v>225</v>
      </c>
      <c r="AF46" s="39" t="s">
        <v>23</v>
      </c>
      <c r="AG46" s="13"/>
      <c r="AI46" s="4"/>
    </row>
    <row r="47" spans="1:35" s="308" customFormat="1" x14ac:dyDescent="0.25">
      <c r="B47" s="306">
        <v>1</v>
      </c>
      <c r="C47" s="307" t="s">
        <v>10</v>
      </c>
      <c r="D47" s="294">
        <f>'Reporte Componentes R1'!F53</f>
        <v>0</v>
      </c>
      <c r="E47" s="295">
        <f>'Reporte Componentes R1'!G53</f>
        <v>0</v>
      </c>
      <c r="F47" s="295">
        <f>'Reporte Componentes R1'!H53</f>
        <v>0</v>
      </c>
      <c r="G47" s="295">
        <f>'Reporte Componentes R1'!I53</f>
        <v>0</v>
      </c>
      <c r="H47" s="295">
        <f>'Reporte Componentes R1'!J53</f>
        <v>0</v>
      </c>
      <c r="I47" s="295">
        <f>'Reporte Componentes R1'!K53</f>
        <v>0</v>
      </c>
      <c r="J47" s="291">
        <v>0</v>
      </c>
      <c r="K47" s="296">
        <f>D47-E47-F47-G47-H47-I47-J47</f>
        <v>0</v>
      </c>
      <c r="L47" s="297">
        <v>0</v>
      </c>
      <c r="M47" s="296">
        <f>K47-L47</f>
        <v>0</v>
      </c>
      <c r="N47" s="297">
        <f>'Reporte Componentes R1'!L53</f>
        <v>0</v>
      </c>
      <c r="O47" s="296">
        <f>M47+N47</f>
        <v>0</v>
      </c>
      <c r="Q47" s="309"/>
      <c r="S47" s="306">
        <v>1</v>
      </c>
      <c r="T47" s="307" t="s">
        <v>10</v>
      </c>
      <c r="U47" s="310">
        <f>'Reporte Componentes R1'!M53</f>
        <v>0</v>
      </c>
      <c r="V47" s="311">
        <f>'Reporte Componentes R1'!N53</f>
        <v>0</v>
      </c>
      <c r="W47" s="311">
        <f>'Reporte Componentes R1'!O53</f>
        <v>0</v>
      </c>
      <c r="X47" s="311">
        <f>'Reporte Componentes R1'!P53</f>
        <v>0</v>
      </c>
      <c r="Y47" s="312">
        <f>'Reporte Componentes R1'!Q53</f>
        <v>0</v>
      </c>
      <c r="Z47" s="313">
        <f>-L47</f>
        <v>0</v>
      </c>
      <c r="AA47" s="314">
        <f>'Reporte Componentes R1'!R53+'Reporte Componentes R1'!V53+'Reporte Componentes R1'!U53</f>
        <v>0</v>
      </c>
      <c r="AB47" s="297">
        <f>N47</f>
        <v>0</v>
      </c>
      <c r="AC47" s="314">
        <f>'Reporte Componentes R1'!T53+'Reporte Componentes R1'!W53+'Reporte Componentes R1'!X53+'Reporte Componentes R1'!Y53+'Reporte Componentes R1'!Z53+'Reporte Componentes R1'!S53</f>
        <v>0</v>
      </c>
      <c r="AD47" s="294">
        <f>-J47+AE47</f>
        <v>0</v>
      </c>
      <c r="AE47" s="294">
        <f>'Reporte Componentes R1'!F54</f>
        <v>0</v>
      </c>
      <c r="AF47" s="316">
        <f>SUM(U47:AD47)</f>
        <v>0</v>
      </c>
      <c r="AG47" s="524">
        <f>(AF47-O47)</f>
        <v>0</v>
      </c>
      <c r="AH47" s="1" t="b">
        <f t="shared" ref="AH47:AH52" si="15">INT(AG47)=0</f>
        <v>1</v>
      </c>
      <c r="AI47" s="309"/>
    </row>
    <row r="48" spans="1:35" s="308" customFormat="1" x14ac:dyDescent="0.25">
      <c r="B48" s="317">
        <v>2</v>
      </c>
      <c r="C48" s="318" t="s">
        <v>11</v>
      </c>
      <c r="D48" s="294">
        <f>'Reporte Componentes R1'!F183</f>
        <v>0</v>
      </c>
      <c r="E48" s="295">
        <f>'Reporte Componentes R1'!G183</f>
        <v>0</v>
      </c>
      <c r="F48" s="295">
        <f>'Reporte Componentes R1'!H183</f>
        <v>0</v>
      </c>
      <c r="G48" s="295">
        <f>'Reporte Componentes R1'!I183</f>
        <v>0</v>
      </c>
      <c r="H48" s="295">
        <f>'Reporte Componentes R1'!J183</f>
        <v>0</v>
      </c>
      <c r="I48" s="295">
        <f>'Reporte Componentes R1'!K183</f>
        <v>0</v>
      </c>
      <c r="J48" s="291">
        <v>0</v>
      </c>
      <c r="K48" s="298">
        <f t="shared" ref="K48:K51" si="16">D48-E48-F48-G48-H48-I48-J48</f>
        <v>0</v>
      </c>
      <c r="L48" s="297">
        <v>0</v>
      </c>
      <c r="M48" s="298">
        <f>K48-L48</f>
        <v>0</v>
      </c>
      <c r="N48" s="297">
        <f>'Reporte Componentes R1'!L183</f>
        <v>0</v>
      </c>
      <c r="O48" s="298">
        <f t="shared" ref="O48:O51" si="17">M48+N48</f>
        <v>0</v>
      </c>
      <c r="Q48" s="309"/>
      <c r="S48" s="317">
        <v>2</v>
      </c>
      <c r="T48" s="318" t="s">
        <v>11</v>
      </c>
      <c r="U48" s="319">
        <f>'Reporte Componentes R1'!M183</f>
        <v>0</v>
      </c>
      <c r="V48" s="320">
        <f>'Reporte Componentes R1'!N183</f>
        <v>0</v>
      </c>
      <c r="W48" s="320">
        <f>'Reporte Componentes R1'!O183</f>
        <v>0</v>
      </c>
      <c r="X48" s="320">
        <f>'Reporte Componentes R1'!P183</f>
        <v>0</v>
      </c>
      <c r="Y48" s="321">
        <f>'Reporte Componentes R1'!Q183</f>
        <v>0</v>
      </c>
      <c r="Z48" s="322">
        <f>-L48</f>
        <v>0</v>
      </c>
      <c r="AA48" s="323">
        <f>'Reporte Componentes R1'!R183+'Reporte Componentes R1'!V183+'Reporte Componentes R1'!U183</f>
        <v>0</v>
      </c>
      <c r="AB48" s="297">
        <f>N48</f>
        <v>0</v>
      </c>
      <c r="AC48" s="323">
        <f>'Reporte Componentes R1'!T183+'Reporte Componentes R1'!W183+'Reporte Componentes R1'!X183+'Reporte Componentes R1'!Y183+'Reporte Componentes R1'!Z183+'Reporte Componentes R1'!S183</f>
        <v>0</v>
      </c>
      <c r="AD48" s="294">
        <f t="shared" ref="AD48:AD51" si="18">-J48+AE48</f>
        <v>0</v>
      </c>
      <c r="AE48" s="294">
        <f>'Reporte Componentes R1'!F184</f>
        <v>0</v>
      </c>
      <c r="AF48" s="325">
        <f>SUM(U48:AD48)</f>
        <v>0</v>
      </c>
      <c r="AG48" s="525">
        <f>(AF48-O48)</f>
        <v>0</v>
      </c>
      <c r="AH48" s="1" t="b">
        <f t="shared" si="15"/>
        <v>1</v>
      </c>
      <c r="AI48" s="309"/>
    </row>
    <row r="49" spans="1:35" s="308" customFormat="1" x14ac:dyDescent="0.25">
      <c r="B49" s="317">
        <v>3</v>
      </c>
      <c r="C49" s="318" t="s">
        <v>12</v>
      </c>
      <c r="D49" s="294">
        <f>'Reporte Componentes R1'!F323</f>
        <v>0</v>
      </c>
      <c r="E49" s="295">
        <f>'Reporte Componentes R1'!G323</f>
        <v>0</v>
      </c>
      <c r="F49" s="295">
        <f>'Reporte Componentes R1'!H323</f>
        <v>0</v>
      </c>
      <c r="G49" s="295">
        <f>'Reporte Componentes R1'!I323</f>
        <v>0</v>
      </c>
      <c r="H49" s="295">
        <f>'Reporte Componentes R1'!J323</f>
        <v>0</v>
      </c>
      <c r="I49" s="295">
        <f>'Reporte Componentes R1'!K323</f>
        <v>0</v>
      </c>
      <c r="J49" s="291">
        <v>0</v>
      </c>
      <c r="K49" s="298">
        <f t="shared" si="16"/>
        <v>0</v>
      </c>
      <c r="L49" s="297">
        <v>0</v>
      </c>
      <c r="M49" s="298">
        <f>K49-L49</f>
        <v>0</v>
      </c>
      <c r="N49" s="297">
        <f>'Reporte Componentes R1'!L323</f>
        <v>0</v>
      </c>
      <c r="O49" s="298">
        <f t="shared" si="17"/>
        <v>0</v>
      </c>
      <c r="Q49" s="309"/>
      <c r="S49" s="317">
        <v>3</v>
      </c>
      <c r="T49" s="318" t="s">
        <v>12</v>
      </c>
      <c r="U49" s="319">
        <f>'Reporte Componentes R1'!M323</f>
        <v>0</v>
      </c>
      <c r="V49" s="320">
        <f>'Reporte Componentes R1'!N323</f>
        <v>0</v>
      </c>
      <c r="W49" s="320">
        <f>'Reporte Componentes R1'!O323</f>
        <v>0</v>
      </c>
      <c r="X49" s="320">
        <f>'Reporte Componentes R1'!P323</f>
        <v>0</v>
      </c>
      <c r="Y49" s="321">
        <f>'Reporte Componentes R1'!Q323</f>
        <v>0</v>
      </c>
      <c r="Z49" s="322">
        <f>-L49</f>
        <v>0</v>
      </c>
      <c r="AA49" s="323">
        <f>'Reporte Componentes R1'!R323+'Reporte Componentes R1'!V323+'Reporte Componentes R1'!U323</f>
        <v>0</v>
      </c>
      <c r="AB49" s="297">
        <f>N49</f>
        <v>0</v>
      </c>
      <c r="AC49" s="323">
        <f>'Reporte Componentes R1'!T323+'Reporte Componentes R1'!W323+'Reporte Componentes R1'!X323+'Reporte Componentes R1'!Y323+'Reporte Componentes R1'!Z323+'Reporte Componentes R1'!S323</f>
        <v>0</v>
      </c>
      <c r="AD49" s="294">
        <f t="shared" si="18"/>
        <v>0</v>
      </c>
      <c r="AE49" s="294">
        <f>'Reporte Componentes R1'!F324</f>
        <v>0</v>
      </c>
      <c r="AF49" s="325">
        <f t="shared" ref="AF49:AF51" si="19">SUM(U49:AD49)</f>
        <v>0</v>
      </c>
      <c r="AG49" s="525">
        <f t="shared" ref="AG49:AG51" si="20">(AF49-O49)</f>
        <v>0</v>
      </c>
      <c r="AH49" s="1" t="b">
        <f t="shared" si="15"/>
        <v>1</v>
      </c>
      <c r="AI49" s="309"/>
    </row>
    <row r="50" spans="1:35" s="308" customFormat="1" x14ac:dyDescent="0.25">
      <c r="B50" s="317">
        <v>4</v>
      </c>
      <c r="C50" s="318" t="s">
        <v>13</v>
      </c>
      <c r="D50" s="294">
        <f>'Reporte Componentes R1'!F444</f>
        <v>0</v>
      </c>
      <c r="E50" s="295">
        <f>'Reporte Componentes R1'!G444</f>
        <v>0</v>
      </c>
      <c r="F50" s="295">
        <f>'Reporte Componentes R1'!H444</f>
        <v>0</v>
      </c>
      <c r="G50" s="295">
        <f>'Reporte Componentes R1'!I444</f>
        <v>0</v>
      </c>
      <c r="H50" s="295">
        <f>'Reporte Componentes R1'!J444</f>
        <v>0</v>
      </c>
      <c r="I50" s="295">
        <f>'Reporte Componentes R1'!K444</f>
        <v>0</v>
      </c>
      <c r="J50" s="291">
        <v>0</v>
      </c>
      <c r="K50" s="298">
        <f t="shared" si="16"/>
        <v>0</v>
      </c>
      <c r="L50" s="297">
        <v>0</v>
      </c>
      <c r="M50" s="298">
        <f>K50-L50</f>
        <v>0</v>
      </c>
      <c r="N50" s="297">
        <f>'Reporte Componentes R1'!L444</f>
        <v>0</v>
      </c>
      <c r="O50" s="298">
        <f t="shared" si="17"/>
        <v>0</v>
      </c>
      <c r="Q50" s="309"/>
      <c r="S50" s="317">
        <v>4</v>
      </c>
      <c r="T50" s="318" t="s">
        <v>13</v>
      </c>
      <c r="U50" s="319">
        <f>'Reporte Componentes R1'!M444</f>
        <v>0</v>
      </c>
      <c r="V50" s="320">
        <f>'Reporte Componentes R1'!N444</f>
        <v>0</v>
      </c>
      <c r="W50" s="320">
        <f>'Reporte Componentes R1'!O444</f>
        <v>0</v>
      </c>
      <c r="X50" s="320">
        <f>'Reporte Componentes R1'!P444</f>
        <v>0</v>
      </c>
      <c r="Y50" s="321">
        <f>'Reporte Componentes R1'!Q444</f>
        <v>0</v>
      </c>
      <c r="Z50" s="322">
        <f>-L50</f>
        <v>0</v>
      </c>
      <c r="AA50" s="323">
        <f>'Reporte Componentes R1'!R444+'Reporte Componentes R1'!V444+'Reporte Componentes R1'!U444</f>
        <v>0</v>
      </c>
      <c r="AB50" s="297">
        <f>N50</f>
        <v>0</v>
      </c>
      <c r="AC50" s="323">
        <f>'Reporte Componentes R1'!T444+'Reporte Componentes R1'!W444+'Reporte Componentes R1'!X444+'Reporte Componentes R1'!Y444+'Reporte Componentes R1'!Z444+'Reporte Componentes R1'!S444</f>
        <v>0</v>
      </c>
      <c r="AD50" s="294">
        <f t="shared" si="18"/>
        <v>0</v>
      </c>
      <c r="AE50" s="294">
        <f>'Reporte Componentes R1'!F445</f>
        <v>0</v>
      </c>
      <c r="AF50" s="325">
        <f t="shared" si="19"/>
        <v>0</v>
      </c>
      <c r="AG50" s="525">
        <f t="shared" si="20"/>
        <v>0</v>
      </c>
      <c r="AH50" s="1" t="b">
        <f t="shared" si="15"/>
        <v>1</v>
      </c>
      <c r="AI50" s="309"/>
    </row>
    <row r="51" spans="1:35" s="308" customFormat="1" ht="12" thickBot="1" x14ac:dyDescent="0.3">
      <c r="B51" s="327">
        <v>5</v>
      </c>
      <c r="C51" s="328" t="s">
        <v>14</v>
      </c>
      <c r="D51" s="299">
        <f>'Reporte Componentes R1'!F526</f>
        <v>0</v>
      </c>
      <c r="E51" s="300">
        <f>'Reporte Componentes R1'!G526</f>
        <v>0</v>
      </c>
      <c r="F51" s="300">
        <f>'Reporte Componentes R1'!H526</f>
        <v>0</v>
      </c>
      <c r="G51" s="300">
        <f>'Reporte Componentes R1'!I526</f>
        <v>0</v>
      </c>
      <c r="H51" s="300">
        <f>'Reporte Componentes R1'!J526</f>
        <v>0</v>
      </c>
      <c r="I51" s="300">
        <f>'Reporte Componentes R1'!K526</f>
        <v>0</v>
      </c>
      <c r="J51" s="292">
        <v>0</v>
      </c>
      <c r="K51" s="298">
        <f t="shared" si="16"/>
        <v>0</v>
      </c>
      <c r="L51" s="297">
        <v>0</v>
      </c>
      <c r="M51" s="301">
        <f>K51-L51</f>
        <v>0</v>
      </c>
      <c r="N51" s="302">
        <f>'Reporte Componentes R1'!L526</f>
        <v>0</v>
      </c>
      <c r="O51" s="301">
        <f t="shared" si="17"/>
        <v>0</v>
      </c>
      <c r="Q51" s="309"/>
      <c r="S51" s="327">
        <v>5</v>
      </c>
      <c r="T51" s="328" t="s">
        <v>14</v>
      </c>
      <c r="U51" s="299">
        <f>'Reporte Componentes R1'!M526</f>
        <v>0</v>
      </c>
      <c r="V51" s="300">
        <f>'Reporte Componentes R1'!N526</f>
        <v>0</v>
      </c>
      <c r="W51" s="300">
        <f>'Reporte Componentes R1'!O526</f>
        <v>0</v>
      </c>
      <c r="X51" s="300">
        <f>'Reporte Componentes R1'!P526</f>
        <v>0</v>
      </c>
      <c r="Y51" s="292">
        <f>'Reporte Componentes R1'!Q526</f>
        <v>0</v>
      </c>
      <c r="Z51" s="322">
        <f>-L51</f>
        <v>0</v>
      </c>
      <c r="AA51" s="323">
        <f>'Reporte Componentes R1'!R526+'Reporte Componentes R1'!V526+'Reporte Componentes R1'!U526</f>
        <v>0</v>
      </c>
      <c r="AB51" s="297">
        <f>N51</f>
        <v>0</v>
      </c>
      <c r="AC51" s="323">
        <f>'Reporte Componentes R1'!T526+'Reporte Componentes R1'!W526+'Reporte Componentes R1'!X526+'Reporte Componentes R1'!Y526+'Reporte Componentes R1'!Z526+'Reporte Componentes R1'!S526</f>
        <v>0</v>
      </c>
      <c r="AD51" s="294">
        <f t="shared" si="18"/>
        <v>0</v>
      </c>
      <c r="AE51" s="294">
        <f>'Reporte Componentes R1'!F527</f>
        <v>0</v>
      </c>
      <c r="AF51" s="325">
        <f t="shared" si="19"/>
        <v>0</v>
      </c>
      <c r="AG51" s="526">
        <f t="shared" si="20"/>
        <v>0</v>
      </c>
      <c r="AH51" s="1" t="b">
        <f t="shared" si="15"/>
        <v>1</v>
      </c>
      <c r="AI51" s="309"/>
    </row>
    <row r="52" spans="1:35" s="308" customFormat="1" ht="13.5" thickBot="1" x14ac:dyDescent="0.35">
      <c r="B52" s="330"/>
      <c r="C52" s="331" t="s">
        <v>2</v>
      </c>
      <c r="D52" s="293">
        <f t="shared" ref="D52:O52" si="21">SUM(D47:D51)</f>
        <v>0</v>
      </c>
      <c r="E52" s="293">
        <f t="shared" si="21"/>
        <v>0</v>
      </c>
      <c r="F52" s="293">
        <f t="shared" si="21"/>
        <v>0</v>
      </c>
      <c r="G52" s="293">
        <f t="shared" ref="G52" si="22">SUM(G47:G51)</f>
        <v>0</v>
      </c>
      <c r="H52" s="293">
        <f t="shared" si="21"/>
        <v>0</v>
      </c>
      <c r="I52" s="293">
        <f t="shared" si="21"/>
        <v>0</v>
      </c>
      <c r="J52" s="293">
        <f t="shared" si="21"/>
        <v>0</v>
      </c>
      <c r="K52" s="303">
        <f t="shared" si="21"/>
        <v>0</v>
      </c>
      <c r="L52" s="304">
        <f t="shared" si="21"/>
        <v>0</v>
      </c>
      <c r="M52" s="305">
        <f t="shared" si="21"/>
        <v>0</v>
      </c>
      <c r="N52" s="304">
        <f t="shared" si="21"/>
        <v>0</v>
      </c>
      <c r="O52" s="305">
        <f t="shared" si="21"/>
        <v>0</v>
      </c>
      <c r="P52" s="332"/>
      <c r="Q52" s="309"/>
      <c r="S52" s="330"/>
      <c r="T52" s="331" t="s">
        <v>2</v>
      </c>
      <c r="U52" s="333">
        <f>SUM(U47:U51)</f>
        <v>0</v>
      </c>
      <c r="V52" s="333">
        <f t="shared" ref="V52:AG52" si="23">SUM(V47:V51)</f>
        <v>0</v>
      </c>
      <c r="W52" s="333">
        <f t="shared" si="23"/>
        <v>0</v>
      </c>
      <c r="X52" s="333">
        <f t="shared" si="23"/>
        <v>0</v>
      </c>
      <c r="Y52" s="333">
        <f t="shared" si="23"/>
        <v>0</v>
      </c>
      <c r="Z52" s="293">
        <f t="shared" si="23"/>
        <v>0</v>
      </c>
      <c r="AA52" s="293">
        <f t="shared" si="23"/>
        <v>0</v>
      </c>
      <c r="AB52" s="293">
        <f t="shared" si="23"/>
        <v>0</v>
      </c>
      <c r="AC52" s="293">
        <f t="shared" si="23"/>
        <v>0</v>
      </c>
      <c r="AD52" s="293">
        <f>SUM(AD47:AD51)</f>
        <v>0</v>
      </c>
      <c r="AE52" s="293">
        <f>SUM(AE47:AE51)</f>
        <v>0</v>
      </c>
      <c r="AF52" s="334">
        <f t="shared" si="23"/>
        <v>0</v>
      </c>
      <c r="AG52" s="527">
        <f t="shared" si="23"/>
        <v>0</v>
      </c>
      <c r="AH52" s="1" t="b">
        <f t="shared" si="15"/>
        <v>1</v>
      </c>
      <c r="AI52" s="309"/>
    </row>
    <row r="53" spans="1:35" ht="12" thickBot="1" x14ac:dyDescent="0.3">
      <c r="B53" s="2"/>
      <c r="C53" s="2"/>
      <c r="D53" s="24"/>
      <c r="E53" s="24"/>
      <c r="F53" s="24"/>
      <c r="G53" s="24"/>
      <c r="H53" s="24"/>
      <c r="I53" s="24"/>
      <c r="K53" s="24"/>
      <c r="L53" s="24"/>
      <c r="M53" s="24"/>
      <c r="N53" s="24"/>
      <c r="O53" s="24"/>
      <c r="Q53" s="4"/>
      <c r="S53" s="2"/>
      <c r="T53" s="2"/>
      <c r="U53" s="24"/>
      <c r="V53" s="24"/>
      <c r="W53" s="24"/>
      <c r="X53" s="24"/>
      <c r="Y53" s="24"/>
      <c r="AF53" s="24"/>
      <c r="AI53" s="4"/>
    </row>
    <row r="54" spans="1:35" ht="12" thickBot="1" x14ac:dyDescent="0.3">
      <c r="B54" s="2"/>
      <c r="C54" s="2"/>
      <c r="D54" s="24" t="s">
        <v>1</v>
      </c>
      <c r="E54" s="24"/>
      <c r="F54" s="24"/>
      <c r="G54" s="24"/>
      <c r="H54" s="24"/>
      <c r="I54" s="24"/>
      <c r="K54" s="24"/>
      <c r="L54" s="24"/>
      <c r="M54" s="24"/>
      <c r="N54" s="24"/>
      <c r="O54" s="24"/>
      <c r="Q54" s="4"/>
      <c r="Y54" s="86">
        <f>SUM(U52:Y52)</f>
        <v>0</v>
      </c>
      <c r="AA54" s="1" t="s">
        <v>1</v>
      </c>
      <c r="AB54" s="1" t="s">
        <v>1</v>
      </c>
      <c r="AD54" s="1" t="s">
        <v>1</v>
      </c>
      <c r="AF54" s="1" t="s">
        <v>1</v>
      </c>
      <c r="AI54" s="4"/>
    </row>
    <row r="55" spans="1:35" ht="12" thickBot="1" x14ac:dyDescent="0.3">
      <c r="B55" s="2"/>
      <c r="C55" s="2"/>
      <c r="D55" s="24" t="s">
        <v>1</v>
      </c>
      <c r="E55" s="33"/>
      <c r="F55" s="33"/>
      <c r="G55" s="33"/>
      <c r="H55" s="33"/>
      <c r="I55" s="24"/>
      <c r="K55" s="24"/>
      <c r="L55" s="24"/>
      <c r="M55" s="24"/>
      <c r="N55" s="24"/>
      <c r="O55" s="24"/>
      <c r="Q55" s="4"/>
      <c r="AI55" s="4"/>
    </row>
    <row r="56" spans="1:35" x14ac:dyDescent="0.25">
      <c r="B56" s="2"/>
      <c r="C56" s="2"/>
      <c r="D56" s="24" t="s">
        <v>1</v>
      </c>
      <c r="E56" s="24" t="s">
        <v>1</v>
      </c>
      <c r="F56" s="24" t="s">
        <v>25</v>
      </c>
      <c r="G56" s="24"/>
      <c r="H56" s="24"/>
      <c r="I56" s="24"/>
      <c r="K56" s="24"/>
      <c r="L56" s="24"/>
      <c r="M56" s="24"/>
      <c r="N56" s="24"/>
      <c r="O56" s="24"/>
      <c r="Q56" s="4"/>
      <c r="AI56" s="4"/>
    </row>
    <row r="57" spans="1:35" x14ac:dyDescent="0.25">
      <c r="A57" s="4"/>
      <c r="B57" s="34"/>
      <c r="C57" s="34"/>
      <c r="D57" s="35"/>
      <c r="E57" s="35"/>
      <c r="F57" s="35"/>
      <c r="G57" s="35"/>
      <c r="H57" s="35"/>
      <c r="I57" s="35"/>
      <c r="J57" s="4"/>
      <c r="K57" s="35"/>
      <c r="L57" s="35"/>
      <c r="M57" s="35"/>
      <c r="N57" s="35"/>
      <c r="O57" s="35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</row>
    <row r="58" spans="1:35" ht="12" thickBot="1" x14ac:dyDescent="0.3">
      <c r="Q58" s="4"/>
      <c r="AI58" s="4"/>
    </row>
    <row r="59" spans="1:35" x14ac:dyDescent="0.25">
      <c r="B59" s="5"/>
      <c r="C59" s="3" t="s">
        <v>1</v>
      </c>
      <c r="D59" s="6" t="s">
        <v>1</v>
      </c>
      <c r="E59" s="3"/>
      <c r="F59" s="3"/>
      <c r="G59" s="3"/>
      <c r="H59" s="3" t="s">
        <v>1</v>
      </c>
      <c r="I59" s="3"/>
      <c r="J59" s="3"/>
      <c r="K59" s="3"/>
      <c r="L59" s="3"/>
      <c r="M59" s="3"/>
      <c r="N59" s="3"/>
      <c r="O59" s="7"/>
      <c r="P59" s="2"/>
      <c r="Q59" s="4"/>
      <c r="S59" s="5"/>
      <c r="T59" s="3" t="s">
        <v>1</v>
      </c>
      <c r="U59" s="6" t="s">
        <v>1</v>
      </c>
      <c r="V59" s="3"/>
      <c r="W59" s="3"/>
      <c r="X59" s="3" t="s">
        <v>1</v>
      </c>
      <c r="Y59" s="3"/>
      <c r="Z59" s="3"/>
      <c r="AA59" s="3"/>
      <c r="AB59" s="3"/>
      <c r="AC59" s="3"/>
      <c r="AD59" s="3"/>
      <c r="AE59" s="3"/>
      <c r="AF59" s="7"/>
      <c r="AG59" s="2"/>
      <c r="AI59" s="4"/>
    </row>
    <row r="60" spans="1:35" ht="14" x14ac:dyDescent="0.3">
      <c r="B60" s="8"/>
      <c r="F60" s="26" t="s">
        <v>8</v>
      </c>
      <c r="G60" s="26"/>
      <c r="I60" s="26" t="s">
        <v>16</v>
      </c>
      <c r="J60" s="25"/>
      <c r="M60" s="2" t="s">
        <v>15</v>
      </c>
      <c r="N60" s="50">
        <f>N3</f>
        <v>2026071</v>
      </c>
      <c r="O60" s="10"/>
      <c r="P60" s="2"/>
      <c r="Q60" s="4"/>
      <c r="S60" s="8"/>
      <c r="U60" s="26" t="s">
        <v>8</v>
      </c>
      <c r="W60" s="26" t="s">
        <v>16</v>
      </c>
      <c r="X60" s="25"/>
      <c r="Y60" s="2"/>
      <c r="AA60" s="2" t="s">
        <v>15</v>
      </c>
      <c r="AD60" s="84">
        <f>N60</f>
        <v>2026071</v>
      </c>
      <c r="AE60" s="84"/>
      <c r="AF60" s="48"/>
      <c r="AG60" s="2"/>
      <c r="AI60" s="4"/>
    </row>
    <row r="61" spans="1:35" ht="15.5" x14ac:dyDescent="0.35">
      <c r="B61" s="8"/>
      <c r="F61" s="36" t="s">
        <v>29</v>
      </c>
      <c r="G61" s="36"/>
      <c r="O61" s="10"/>
      <c r="P61" s="2"/>
      <c r="Q61" s="4"/>
      <c r="S61" s="8"/>
      <c r="T61" s="26" t="s">
        <v>1</v>
      </c>
      <c r="U61" s="36" t="s">
        <v>29</v>
      </c>
      <c r="Y61" s="2" t="s">
        <v>1</v>
      </c>
      <c r="AA61" s="50" t="s">
        <v>1</v>
      </c>
      <c r="AB61" s="2"/>
      <c r="AC61" s="2"/>
      <c r="AD61" s="2"/>
      <c r="AE61" s="2"/>
      <c r="AF61" s="10" t="s">
        <v>1</v>
      </c>
      <c r="AG61" s="2"/>
      <c r="AI61" s="4"/>
    </row>
    <row r="62" spans="1:35" ht="14" x14ac:dyDescent="0.3">
      <c r="B62" s="8"/>
      <c r="F62" s="2" t="s">
        <v>30</v>
      </c>
      <c r="G62" s="2"/>
      <c r="M62" s="2" t="s">
        <v>1</v>
      </c>
      <c r="O62" s="10"/>
      <c r="P62" s="2"/>
      <c r="Q62" s="4"/>
      <c r="S62" s="8"/>
      <c r="T62" s="49" t="s">
        <v>1</v>
      </c>
      <c r="U62" s="2" t="s">
        <v>30</v>
      </c>
      <c r="AF62" s="44"/>
      <c r="AG62" s="2"/>
      <c r="AI62" s="4"/>
    </row>
    <row r="63" spans="1:35" ht="15.5" x14ac:dyDescent="0.35">
      <c r="B63" s="8"/>
      <c r="C63" s="591" t="s">
        <v>17</v>
      </c>
      <c r="D63" s="9">
        <f>D6</f>
        <v>46220</v>
      </c>
      <c r="F63" s="41" t="s">
        <v>33</v>
      </c>
      <c r="G63" s="41"/>
      <c r="H63" s="2"/>
      <c r="J63" s="2"/>
      <c r="O63" s="10"/>
      <c r="P63" s="2"/>
      <c r="Q63" s="4"/>
      <c r="S63" s="8"/>
      <c r="T63" s="41" t="s">
        <v>1</v>
      </c>
      <c r="U63" s="41" t="s">
        <v>33</v>
      </c>
      <c r="V63" s="2"/>
      <c r="X63" s="2"/>
      <c r="Y63" s="2"/>
      <c r="AF63" s="48"/>
      <c r="AG63" s="2"/>
      <c r="AI63" s="4"/>
    </row>
    <row r="64" spans="1:35" ht="12" thickBot="1" x14ac:dyDescent="0.3">
      <c r="B64" s="8"/>
      <c r="C64" s="591" t="s">
        <v>0</v>
      </c>
      <c r="D64" s="241">
        <f>D7</f>
        <v>0.58333333333333337</v>
      </c>
      <c r="F64" s="2" t="s">
        <v>27</v>
      </c>
      <c r="G64" s="9">
        <f>G7</f>
        <v>46204</v>
      </c>
      <c r="J64" s="2" t="s">
        <v>28</v>
      </c>
      <c r="K64" s="9">
        <f>K7</f>
        <v>46218</v>
      </c>
      <c r="O64" s="10"/>
      <c r="P64" s="2"/>
      <c r="Q64" s="4"/>
      <c r="S64" s="8"/>
      <c r="U64" s="1" t="str">
        <f>F64</f>
        <v>Fecha Desde:</v>
      </c>
      <c r="V64" s="9">
        <f>G64</f>
        <v>46204</v>
      </c>
      <c r="W64" s="1" t="s">
        <v>1</v>
      </c>
      <c r="X64" s="1" t="str">
        <f>J64</f>
        <v>Feha Hasta:</v>
      </c>
      <c r="Y64" s="9">
        <f>K64</f>
        <v>46218</v>
      </c>
      <c r="Z64" s="1" t="s">
        <v>1</v>
      </c>
      <c r="AF64" s="48"/>
      <c r="AG64" s="2"/>
      <c r="AI64" s="4"/>
    </row>
    <row r="65" spans="1:35" ht="72" customHeight="1" thickBot="1" x14ac:dyDescent="0.3">
      <c r="B65" s="11" t="s">
        <v>3</v>
      </c>
      <c r="C65" s="27" t="s">
        <v>9</v>
      </c>
      <c r="D65" s="11" t="s">
        <v>4</v>
      </c>
      <c r="E65" s="12" t="s">
        <v>5</v>
      </c>
      <c r="F65" s="27" t="s">
        <v>6</v>
      </c>
      <c r="G65" s="271" t="s">
        <v>159</v>
      </c>
      <c r="H65" s="27" t="s">
        <v>18</v>
      </c>
      <c r="I65" s="12" t="s">
        <v>24</v>
      </c>
      <c r="J65" s="73" t="s">
        <v>19</v>
      </c>
      <c r="K65" s="29" t="s">
        <v>20</v>
      </c>
      <c r="L65" s="28" t="s">
        <v>21</v>
      </c>
      <c r="M65" s="39" t="s">
        <v>22</v>
      </c>
      <c r="N65" s="12" t="s">
        <v>7</v>
      </c>
      <c r="O65" s="39" t="s">
        <v>23</v>
      </c>
      <c r="P65" s="13"/>
      <c r="Q65" s="4"/>
      <c r="S65" s="11" t="s">
        <v>3</v>
      </c>
      <c r="T65" s="27" t="s">
        <v>9</v>
      </c>
      <c r="U65" s="162" t="s">
        <v>39</v>
      </c>
      <c r="V65" s="163" t="s">
        <v>40</v>
      </c>
      <c r="W65" s="163" t="s">
        <v>41</v>
      </c>
      <c r="X65" s="163" t="s">
        <v>42</v>
      </c>
      <c r="Y65" s="164" t="s">
        <v>43</v>
      </c>
      <c r="Z65" s="85" t="s">
        <v>21</v>
      </c>
      <c r="AA65" s="65" t="s">
        <v>46</v>
      </c>
      <c r="AB65" s="65" t="s">
        <v>7</v>
      </c>
      <c r="AC65" s="85" t="s">
        <v>167</v>
      </c>
      <c r="AD65" s="121" t="s">
        <v>107</v>
      </c>
      <c r="AE65" s="121" t="s">
        <v>225</v>
      </c>
      <c r="AF65" s="39" t="s">
        <v>23</v>
      </c>
      <c r="AG65" s="13"/>
      <c r="AI65" s="4"/>
    </row>
    <row r="66" spans="1:35" s="308" customFormat="1" x14ac:dyDescent="0.25">
      <c r="B66" s="306">
        <v>1</v>
      </c>
      <c r="C66" s="307" t="s">
        <v>10</v>
      </c>
      <c r="D66" s="294">
        <f>'Reversion Pagos R4'!D70</f>
        <v>0</v>
      </c>
      <c r="E66" s="295">
        <f>'Reversion Pagos R4'!E70</f>
        <v>0</v>
      </c>
      <c r="F66" s="295">
        <f>'Reversion Pagos R4'!F70</f>
        <v>0</v>
      </c>
      <c r="G66" s="295">
        <f>'Reversion Pagos R4'!G70</f>
        <v>0</v>
      </c>
      <c r="H66" s="295">
        <f>'Reversion Pagos R4'!H70</f>
        <v>0</v>
      </c>
      <c r="I66" s="295">
        <f>'Reversion Pagos R4'!I70</f>
        <v>0</v>
      </c>
      <c r="J66" s="291">
        <v>0</v>
      </c>
      <c r="K66" s="296">
        <f>D66-E66-F66-G66-H66-I66-J66</f>
        <v>0</v>
      </c>
      <c r="L66" s="297">
        <v>0</v>
      </c>
      <c r="M66" s="296">
        <f>K66-L66</f>
        <v>0</v>
      </c>
      <c r="N66" s="297">
        <f>'Reversion Pagos R4'!P70</f>
        <v>0</v>
      </c>
      <c r="O66" s="296">
        <f>M66+N66</f>
        <v>0</v>
      </c>
      <c r="Q66" s="309"/>
      <c r="S66" s="306">
        <v>1</v>
      </c>
      <c r="T66" s="307" t="s">
        <v>10</v>
      </c>
      <c r="U66" s="310">
        <f>'Reversion Pagos R4'!J70</f>
        <v>0</v>
      </c>
      <c r="V66" s="311">
        <f>'Reversion Pagos R4'!K70</f>
        <v>0</v>
      </c>
      <c r="W66" s="311">
        <f>'Reversion Pagos R4'!L70</f>
        <v>0</v>
      </c>
      <c r="X66" s="311">
        <f>'Reversion Pagos R4'!M70</f>
        <v>0</v>
      </c>
      <c r="Y66" s="312">
        <f>'Reversion Pagos R4'!N70</f>
        <v>0</v>
      </c>
      <c r="Z66" s="313">
        <f>-L66</f>
        <v>0</v>
      </c>
      <c r="AA66" s="323">
        <f>'Reversion Pagos R4'!O70</f>
        <v>0</v>
      </c>
      <c r="AB66" s="297">
        <f>N66</f>
        <v>0</v>
      </c>
      <c r="AC66" s="323">
        <f>+'Reversion Pagos R4'!Q70+'Reversion Pagos R4'!R70</f>
        <v>0</v>
      </c>
      <c r="AD66" s="294">
        <f>-J66+AE66</f>
        <v>0</v>
      </c>
      <c r="AE66" s="294">
        <f>'Reversion Pagos R4'!D71</f>
        <v>0</v>
      </c>
      <c r="AF66" s="316">
        <f>SUM(U66:AD66)</f>
        <v>0</v>
      </c>
      <c r="AG66" s="524">
        <f>(AF66-O66)</f>
        <v>0</v>
      </c>
      <c r="AH66" s="1" t="b">
        <f t="shared" ref="AH66:AH71" si="24">INT(AG66)=0</f>
        <v>1</v>
      </c>
      <c r="AI66" s="309"/>
    </row>
    <row r="67" spans="1:35" s="308" customFormat="1" x14ac:dyDescent="0.25">
      <c r="B67" s="317">
        <v>2</v>
      </c>
      <c r="C67" s="318" t="s">
        <v>11</v>
      </c>
      <c r="D67" s="294">
        <f>'Reversion Pagos R4'!D164</f>
        <v>-19778.72</v>
      </c>
      <c r="E67" s="295">
        <f>'Reversion Pagos R4'!E164</f>
        <v>-163.22999999999999</v>
      </c>
      <c r="F67" s="295">
        <f>'Reversion Pagos R4'!F164</f>
        <v>-92.16</v>
      </c>
      <c r="G67" s="295">
        <f>'Reversion Pagos R4'!G164</f>
        <v>-48.37</v>
      </c>
      <c r="H67" s="295">
        <f>'Reversion Pagos R4'!H164</f>
        <v>0</v>
      </c>
      <c r="I67" s="295">
        <f>'Reversion Pagos R4'!I164</f>
        <v>-374.65</v>
      </c>
      <c r="J67" s="291">
        <v>0</v>
      </c>
      <c r="K67" s="298">
        <f t="shared" ref="K67:K70" si="25">D67-E67-F67-G67-H67-I67-J67</f>
        <v>-19100.310000000001</v>
      </c>
      <c r="L67" s="297">
        <v>0</v>
      </c>
      <c r="M67" s="298">
        <f>K67-L67</f>
        <v>-19100.310000000001</v>
      </c>
      <c r="N67" s="297">
        <f>'Reversion Pagos R4'!P164</f>
        <v>0</v>
      </c>
      <c r="O67" s="298">
        <f t="shared" ref="O67:O70" si="26">M67+N67</f>
        <v>-19100.310000000001</v>
      </c>
      <c r="Q67" s="309"/>
      <c r="S67" s="317">
        <v>2</v>
      </c>
      <c r="T67" s="318" t="s">
        <v>11</v>
      </c>
      <c r="U67" s="319">
        <f>'Reversion Pagos R4'!J164</f>
        <v>-3286.39</v>
      </c>
      <c r="V67" s="320">
        <f>'Reversion Pagos R4'!K164</f>
        <v>-3205.2</v>
      </c>
      <c r="W67" s="320">
        <f>'Reversion Pagos R4'!L164</f>
        <v>-15163.76</v>
      </c>
      <c r="X67" s="320">
        <f>'Reversion Pagos R4'!M164</f>
        <v>-324.05</v>
      </c>
      <c r="Y67" s="321">
        <f>'Reversion Pagos R4'!N164</f>
        <v>-611.27</v>
      </c>
      <c r="Z67" s="322">
        <f t="shared" ref="Z67:Z70" si="27">-L67</f>
        <v>0</v>
      </c>
      <c r="AA67" s="323">
        <f>'Reversion Pagos R4'!O164</f>
        <v>0</v>
      </c>
      <c r="AB67" s="297">
        <f t="shared" ref="AB67:AB70" si="28">N67</f>
        <v>0</v>
      </c>
      <c r="AC67" s="323">
        <f>+'Reversion Pagos R4'!Q164+'Reversion Pagos R4'!R164</f>
        <v>0</v>
      </c>
      <c r="AD67" s="294">
        <f t="shared" ref="AD67:AD70" si="29">-J67+AE67</f>
        <v>3490.36</v>
      </c>
      <c r="AE67" s="294">
        <f>'Reversion Pagos R4'!D165</f>
        <v>3490.36</v>
      </c>
      <c r="AF67" s="325">
        <f>SUM(U67:AD67)</f>
        <v>-19100.309999999998</v>
      </c>
      <c r="AG67" s="525">
        <f>(AF67-O67)</f>
        <v>3.637978807091713E-12</v>
      </c>
      <c r="AH67" s="1" t="b">
        <f t="shared" si="24"/>
        <v>1</v>
      </c>
      <c r="AI67" s="309"/>
    </row>
    <row r="68" spans="1:35" s="308" customFormat="1" x14ac:dyDescent="0.25">
      <c r="B68" s="317">
        <v>3</v>
      </c>
      <c r="C68" s="318" t="s">
        <v>12</v>
      </c>
      <c r="D68" s="294">
        <f>'Reversion Pagos R4'!D201</f>
        <v>0</v>
      </c>
      <c r="E68" s="295">
        <f>'Reversion Pagos R4'!E201</f>
        <v>0</v>
      </c>
      <c r="F68" s="295">
        <f>'Reversion Pagos R4'!F201</f>
        <v>0</v>
      </c>
      <c r="G68" s="295">
        <f>'Reversion Pagos R4'!G201</f>
        <v>0</v>
      </c>
      <c r="H68" s="295">
        <f>'Reversion Pagos R4'!H201</f>
        <v>0</v>
      </c>
      <c r="I68" s="295">
        <f>'Reversion Pagos R4'!I201</f>
        <v>0</v>
      </c>
      <c r="J68" s="291">
        <v>0</v>
      </c>
      <c r="K68" s="298">
        <f t="shared" si="25"/>
        <v>0</v>
      </c>
      <c r="L68" s="297">
        <v>0</v>
      </c>
      <c r="M68" s="298">
        <f>K68-L68</f>
        <v>0</v>
      </c>
      <c r="N68" s="297">
        <f>'Reversion Pagos R4'!P201</f>
        <v>0</v>
      </c>
      <c r="O68" s="298">
        <f t="shared" si="26"/>
        <v>0</v>
      </c>
      <c r="Q68" s="309"/>
      <c r="S68" s="317">
        <v>3</v>
      </c>
      <c r="T68" s="318" t="s">
        <v>12</v>
      </c>
      <c r="U68" s="319">
        <f>'Reversion Pagos R4'!J201</f>
        <v>0</v>
      </c>
      <c r="V68" s="320">
        <f>'Reversion Pagos R4'!K201</f>
        <v>0</v>
      </c>
      <c r="W68" s="320">
        <f>'Reversion Pagos R4'!L201</f>
        <v>0</v>
      </c>
      <c r="X68" s="320">
        <f>'Reversion Pagos R4'!M201</f>
        <v>0</v>
      </c>
      <c r="Y68" s="321">
        <f>'Reversion Pagos R4'!N201</f>
        <v>0</v>
      </c>
      <c r="Z68" s="322">
        <f t="shared" si="27"/>
        <v>0</v>
      </c>
      <c r="AA68" s="323">
        <f>'Reversion Pagos R4'!O201</f>
        <v>0</v>
      </c>
      <c r="AB68" s="297">
        <f t="shared" si="28"/>
        <v>0</v>
      </c>
      <c r="AC68" s="323">
        <f>+'Reversion Pagos R4'!Q201+'Reversion Pagos R4'!R201</f>
        <v>0</v>
      </c>
      <c r="AD68" s="294">
        <f t="shared" si="29"/>
        <v>0</v>
      </c>
      <c r="AE68" s="294">
        <f>'Reversion Pagos R4'!D202</f>
        <v>0</v>
      </c>
      <c r="AF68" s="325">
        <f t="shared" ref="AF68:AF70" si="30">SUM(U68:AD68)</f>
        <v>0</v>
      </c>
      <c r="AG68" s="525">
        <f t="shared" ref="AG68:AG70" si="31">(AF68-O68)</f>
        <v>0</v>
      </c>
      <c r="AH68" s="1" t="b">
        <f t="shared" si="24"/>
        <v>1</v>
      </c>
      <c r="AI68" s="309"/>
    </row>
    <row r="69" spans="1:35" s="308" customFormat="1" x14ac:dyDescent="0.25">
      <c r="B69" s="317">
        <v>4</v>
      </c>
      <c r="C69" s="318" t="s">
        <v>13</v>
      </c>
      <c r="D69" s="294">
        <f>'Reversion Pagos R4'!D315</f>
        <v>-464370</v>
      </c>
      <c r="E69" s="295">
        <f>'Reversion Pagos R4'!E315</f>
        <v>-25760.42</v>
      </c>
      <c r="F69" s="295">
        <f>'Reversion Pagos R4'!F315</f>
        <v>-13611.05</v>
      </c>
      <c r="G69" s="295">
        <f>'Reversion Pagos R4'!G315</f>
        <v>-7923.11</v>
      </c>
      <c r="H69" s="295">
        <f>'Reversion Pagos R4'!H315</f>
        <v>-71086.67</v>
      </c>
      <c r="I69" s="295">
        <f>'Reversion Pagos R4'!I315</f>
        <v>-1946.53</v>
      </c>
      <c r="J69" s="291">
        <v>0</v>
      </c>
      <c r="K69" s="298">
        <f t="shared" si="25"/>
        <v>-344042.22000000003</v>
      </c>
      <c r="L69" s="297">
        <v>0</v>
      </c>
      <c r="M69" s="298">
        <f>K69-L69</f>
        <v>-344042.22000000003</v>
      </c>
      <c r="N69" s="297">
        <f>'Reversion Pagos R4'!P315</f>
        <v>0</v>
      </c>
      <c r="O69" s="298">
        <f t="shared" si="26"/>
        <v>-344042.22000000003</v>
      </c>
      <c r="Q69" s="309"/>
      <c r="S69" s="317">
        <v>4</v>
      </c>
      <c r="T69" s="318" t="s">
        <v>13</v>
      </c>
      <c r="U69" s="319">
        <f>'Reversion Pagos R4'!J315</f>
        <v>-17075.03</v>
      </c>
      <c r="V69" s="320">
        <f>'Reversion Pagos R4'!K315</f>
        <v>-22908.01</v>
      </c>
      <c r="W69" s="320">
        <f>'Reversion Pagos R4'!L315</f>
        <v>-135389.70000000001</v>
      </c>
      <c r="X69" s="320">
        <f>'Reversion Pagos R4'!M315</f>
        <v>-69019.990000000005</v>
      </c>
      <c r="Y69" s="321">
        <f>'Reversion Pagos R4'!N315</f>
        <v>-3175.94</v>
      </c>
      <c r="Z69" s="322">
        <f t="shared" si="27"/>
        <v>0</v>
      </c>
      <c r="AA69" s="323">
        <f>'Reversion Pagos R4'!O315</f>
        <v>7.76</v>
      </c>
      <c r="AB69" s="297">
        <f t="shared" si="28"/>
        <v>0</v>
      </c>
      <c r="AC69" s="323">
        <f>+'Reversion Pagos R4'!Q315+'Reversion Pagos R4'!R315</f>
        <v>0</v>
      </c>
      <c r="AD69" s="294">
        <f t="shared" si="29"/>
        <v>-96481.31</v>
      </c>
      <c r="AE69" s="294">
        <f>'Reversion Pagos R4'!D316</f>
        <v>-96481.31</v>
      </c>
      <c r="AF69" s="325">
        <f>SUM(U69:AD69)</f>
        <v>-344042.22</v>
      </c>
      <c r="AG69" s="525">
        <f>(AF69-O69)</f>
        <v>5.8207660913467407E-11</v>
      </c>
      <c r="AH69" s="1" t="b">
        <f t="shared" si="24"/>
        <v>1</v>
      </c>
      <c r="AI69" s="309"/>
    </row>
    <row r="70" spans="1:35" s="308" customFormat="1" ht="12" thickBot="1" x14ac:dyDescent="0.3">
      <c r="B70" s="327">
        <v>5</v>
      </c>
      <c r="C70" s="328" t="s">
        <v>14</v>
      </c>
      <c r="D70" s="299">
        <f>'Reversion Pagos R4'!D350</f>
        <v>0</v>
      </c>
      <c r="E70" s="300">
        <f>'Reversion Pagos R4'!E350</f>
        <v>0</v>
      </c>
      <c r="F70" s="300">
        <f>'Reversion Pagos R4'!F350</f>
        <v>0</v>
      </c>
      <c r="G70" s="300">
        <f>'Reversion Pagos R4'!G350</f>
        <v>0</v>
      </c>
      <c r="H70" s="300">
        <f>'Reversion Pagos R4'!H350</f>
        <v>0</v>
      </c>
      <c r="I70" s="300">
        <f>'Reversion Pagos R4'!I350</f>
        <v>0</v>
      </c>
      <c r="J70" s="292">
        <v>0</v>
      </c>
      <c r="K70" s="298">
        <f t="shared" si="25"/>
        <v>0</v>
      </c>
      <c r="L70" s="297">
        <v>0</v>
      </c>
      <c r="M70" s="301">
        <f>K70-L70</f>
        <v>0</v>
      </c>
      <c r="N70" s="297">
        <f>'Reversion Pagos R4'!P350</f>
        <v>0</v>
      </c>
      <c r="O70" s="301">
        <f t="shared" si="26"/>
        <v>0</v>
      </c>
      <c r="Q70" s="309"/>
      <c r="S70" s="327">
        <v>5</v>
      </c>
      <c r="T70" s="328" t="s">
        <v>14</v>
      </c>
      <c r="U70" s="299">
        <f>'Reversion Pagos R4'!J350</f>
        <v>0</v>
      </c>
      <c r="V70" s="300">
        <f>'Reversion Pagos R4'!K350</f>
        <v>0</v>
      </c>
      <c r="W70" s="300">
        <f>'Reversion Pagos R4'!L350</f>
        <v>0</v>
      </c>
      <c r="X70" s="300">
        <f>'Reversion Pagos R4'!M350</f>
        <v>0</v>
      </c>
      <c r="Y70" s="292">
        <f>'Reversion Pagos R4'!N350</f>
        <v>0</v>
      </c>
      <c r="Z70" s="322">
        <f t="shared" si="27"/>
        <v>0</v>
      </c>
      <c r="AA70" s="323">
        <f>'Reversion Pagos R4'!O350</f>
        <v>0</v>
      </c>
      <c r="AB70" s="297">
        <f t="shared" si="28"/>
        <v>0</v>
      </c>
      <c r="AC70" s="323">
        <f>+'Reversion Pagos R4'!Q350+'Reversion Pagos R4'!R350</f>
        <v>0</v>
      </c>
      <c r="AD70" s="294">
        <f t="shared" si="29"/>
        <v>0</v>
      </c>
      <c r="AE70" s="294">
        <f>'Reversion Pagos R4'!D351</f>
        <v>0</v>
      </c>
      <c r="AF70" s="325">
        <f t="shared" si="30"/>
        <v>0</v>
      </c>
      <c r="AG70" s="526">
        <f t="shared" si="31"/>
        <v>0</v>
      </c>
      <c r="AH70" s="1" t="b">
        <f t="shared" si="24"/>
        <v>1</v>
      </c>
      <c r="AI70" s="309"/>
    </row>
    <row r="71" spans="1:35" s="308" customFormat="1" ht="13.5" thickBot="1" x14ac:dyDescent="0.35">
      <c r="B71" s="330"/>
      <c r="C71" s="331" t="s">
        <v>2</v>
      </c>
      <c r="D71" s="293">
        <f t="shared" ref="D71:O71" si="32">SUM(D66:D70)</f>
        <v>-484148.72</v>
      </c>
      <c r="E71" s="293">
        <f t="shared" si="32"/>
        <v>-25923.649999999998</v>
      </c>
      <c r="F71" s="293">
        <f t="shared" si="32"/>
        <v>-13703.21</v>
      </c>
      <c r="G71" s="293">
        <f t="shared" si="32"/>
        <v>-7971.48</v>
      </c>
      <c r="H71" s="293">
        <f t="shared" si="32"/>
        <v>-71086.67</v>
      </c>
      <c r="I71" s="293">
        <f t="shared" si="32"/>
        <v>-2321.1799999999998</v>
      </c>
      <c r="J71" s="293">
        <f t="shared" si="32"/>
        <v>0</v>
      </c>
      <c r="K71" s="303">
        <f t="shared" si="32"/>
        <v>-363142.53</v>
      </c>
      <c r="L71" s="304">
        <f t="shared" si="32"/>
        <v>0</v>
      </c>
      <c r="M71" s="305">
        <f t="shared" si="32"/>
        <v>-363142.53</v>
      </c>
      <c r="N71" s="304">
        <f t="shared" si="32"/>
        <v>0</v>
      </c>
      <c r="O71" s="305">
        <f t="shared" si="32"/>
        <v>-363142.53</v>
      </c>
      <c r="P71" s="332"/>
      <c r="Q71" s="309"/>
      <c r="S71" s="330"/>
      <c r="T71" s="331" t="s">
        <v>2</v>
      </c>
      <c r="U71" s="333">
        <f>SUM(U66:U70)</f>
        <v>-20361.419999999998</v>
      </c>
      <c r="V71" s="333">
        <f t="shared" ref="V71:AG71" si="33">SUM(V66:V70)</f>
        <v>-26113.21</v>
      </c>
      <c r="W71" s="333">
        <f t="shared" si="33"/>
        <v>-150553.46000000002</v>
      </c>
      <c r="X71" s="333">
        <f t="shared" si="33"/>
        <v>-69344.040000000008</v>
      </c>
      <c r="Y71" s="333">
        <f t="shared" si="33"/>
        <v>-3787.21</v>
      </c>
      <c r="Z71" s="293">
        <f t="shared" si="33"/>
        <v>0</v>
      </c>
      <c r="AA71" s="293">
        <f>SUM(AA66:AA70)</f>
        <v>7.76</v>
      </c>
      <c r="AB71" s="293">
        <f t="shared" si="33"/>
        <v>0</v>
      </c>
      <c r="AC71" s="293">
        <f t="shared" ref="AC71" si="34">SUM(AC66:AC70)</f>
        <v>0</v>
      </c>
      <c r="AD71" s="293">
        <f>SUM(AD66:AD70)</f>
        <v>-92990.95</v>
      </c>
      <c r="AE71" s="293">
        <f>SUM(AE66:AE70)</f>
        <v>-92990.95</v>
      </c>
      <c r="AF71" s="334">
        <f t="shared" si="33"/>
        <v>-363142.52999999997</v>
      </c>
      <c r="AG71" s="527">
        <f t="shared" si="33"/>
        <v>6.184563972055912E-11</v>
      </c>
      <c r="AH71" s="1" t="b">
        <f t="shared" si="24"/>
        <v>1</v>
      </c>
      <c r="AI71" s="309"/>
    </row>
    <row r="72" spans="1:35" ht="12" thickBot="1" x14ac:dyDescent="0.3">
      <c r="B72" s="2"/>
      <c r="C72" s="2"/>
      <c r="D72" s="24"/>
      <c r="E72" s="24"/>
      <c r="F72" s="24"/>
      <c r="G72" s="24"/>
      <c r="H72" s="24"/>
      <c r="I72" s="24"/>
      <c r="K72" s="24"/>
      <c r="L72" s="24"/>
      <c r="M72" s="24"/>
      <c r="N72" s="24"/>
      <c r="O72" s="24"/>
      <c r="Q72" s="4"/>
      <c r="S72" s="2"/>
      <c r="T72" s="2"/>
      <c r="U72" s="24"/>
      <c r="V72" s="24"/>
      <c r="W72" s="24"/>
      <c r="X72" s="24"/>
      <c r="Y72" s="24"/>
      <c r="AF72" s="24"/>
      <c r="AI72" s="4"/>
    </row>
    <row r="73" spans="1:35" ht="12" thickBot="1" x14ac:dyDescent="0.3">
      <c r="B73" s="2"/>
      <c r="C73" s="2"/>
      <c r="D73" s="24" t="s">
        <v>1</v>
      </c>
      <c r="E73" s="24"/>
      <c r="F73" s="24"/>
      <c r="G73" s="24"/>
      <c r="H73" s="24"/>
      <c r="I73" s="24"/>
      <c r="K73" s="24"/>
      <c r="L73" s="24"/>
      <c r="M73" s="24"/>
      <c r="N73" s="24"/>
      <c r="O73" s="24"/>
      <c r="Q73" s="4"/>
      <c r="Y73" s="86">
        <f>SUM(U71:Y71)</f>
        <v>-270159.34000000003</v>
      </c>
      <c r="AA73" s="1" t="s">
        <v>1</v>
      </c>
      <c r="AB73" s="1" t="s">
        <v>1</v>
      </c>
      <c r="AD73" s="1" t="s">
        <v>1</v>
      </c>
      <c r="AF73" s="1" t="s">
        <v>1</v>
      </c>
      <c r="AI73" s="4"/>
    </row>
    <row r="74" spans="1:35" ht="12" thickBot="1" x14ac:dyDescent="0.3">
      <c r="B74" s="2"/>
      <c r="C74" s="2"/>
      <c r="D74" s="24" t="s">
        <v>1</v>
      </c>
      <c r="E74" s="33"/>
      <c r="F74" s="33"/>
      <c r="G74" s="33"/>
      <c r="H74" s="33"/>
      <c r="I74" s="24"/>
      <c r="K74" s="24"/>
      <c r="L74" s="24"/>
      <c r="M74" s="24"/>
      <c r="N74" s="24"/>
      <c r="O74" s="24"/>
      <c r="Q74" s="4"/>
      <c r="AI74" s="4"/>
    </row>
    <row r="75" spans="1:35" x14ac:dyDescent="0.25">
      <c r="B75" s="2"/>
      <c r="C75" s="2"/>
      <c r="D75" s="24" t="s">
        <v>1</v>
      </c>
      <c r="E75" s="24" t="s">
        <v>1</v>
      </c>
      <c r="F75" s="24" t="s">
        <v>25</v>
      </c>
      <c r="G75" s="24"/>
      <c r="H75" s="24"/>
      <c r="I75" s="24"/>
      <c r="K75" s="24"/>
      <c r="L75" s="24"/>
      <c r="M75" s="24"/>
      <c r="N75" s="24"/>
      <c r="O75" s="24"/>
      <c r="Q75" s="4"/>
      <c r="AI75" s="4"/>
    </row>
    <row r="76" spans="1:35" x14ac:dyDescent="0.25">
      <c r="A76" s="4"/>
      <c r="B76" s="34"/>
      <c r="C76" s="34"/>
      <c r="D76" s="35"/>
      <c r="E76" s="35"/>
      <c r="F76" s="35"/>
      <c r="G76" s="35"/>
      <c r="H76" s="35"/>
      <c r="I76" s="35"/>
      <c r="J76" s="4"/>
      <c r="K76" s="35"/>
      <c r="L76" s="35"/>
      <c r="M76" s="35"/>
      <c r="N76" s="35"/>
      <c r="O76" s="35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</row>
    <row r="77" spans="1:35" ht="12" thickBot="1" x14ac:dyDescent="0.3">
      <c r="Q77" s="4"/>
      <c r="AI77" s="4"/>
    </row>
    <row r="78" spans="1:35" x14ac:dyDescent="0.25">
      <c r="B78" s="5"/>
      <c r="C78" s="3" t="s">
        <v>1</v>
      </c>
      <c r="D78" s="6" t="s">
        <v>1</v>
      </c>
      <c r="E78" s="3"/>
      <c r="F78" s="3"/>
      <c r="G78" s="3"/>
      <c r="H78" s="3" t="s">
        <v>1</v>
      </c>
      <c r="I78" s="3"/>
      <c r="J78" s="3"/>
      <c r="K78" s="3"/>
      <c r="L78" s="3"/>
      <c r="M78" s="3"/>
      <c r="N78" s="3"/>
      <c r="O78" s="7"/>
      <c r="P78" s="2"/>
      <c r="Q78" s="4"/>
      <c r="S78" s="5"/>
      <c r="T78" s="3" t="s">
        <v>1</v>
      </c>
      <c r="U78" s="6" t="s">
        <v>1</v>
      </c>
      <c r="V78" s="3"/>
      <c r="W78" s="3"/>
      <c r="X78" s="3" t="s">
        <v>1</v>
      </c>
      <c r="Y78" s="3"/>
      <c r="Z78" s="3"/>
      <c r="AA78" s="3"/>
      <c r="AB78" s="3"/>
      <c r="AC78" s="3"/>
      <c r="AD78" s="3"/>
      <c r="AE78" s="3"/>
      <c r="AF78" s="7"/>
      <c r="AG78" s="2"/>
      <c r="AI78" s="4"/>
    </row>
    <row r="79" spans="1:35" ht="14" x14ac:dyDescent="0.3">
      <c r="B79" s="8"/>
      <c r="F79" s="26" t="s">
        <v>8</v>
      </c>
      <c r="G79" s="26"/>
      <c r="I79" s="26" t="s">
        <v>16</v>
      </c>
      <c r="J79" s="25"/>
      <c r="M79" s="2" t="s">
        <v>15</v>
      </c>
      <c r="N79" s="50">
        <f>N3</f>
        <v>2026071</v>
      </c>
      <c r="O79" s="10"/>
      <c r="P79" s="2"/>
      <c r="Q79" s="4"/>
      <c r="S79" s="8"/>
      <c r="U79" s="26" t="s">
        <v>8</v>
      </c>
      <c r="W79" s="26" t="s">
        <v>16</v>
      </c>
      <c r="X79" s="25"/>
      <c r="Y79" s="2"/>
      <c r="AA79" s="2" t="s">
        <v>15</v>
      </c>
      <c r="AD79" s="84">
        <f>N79</f>
        <v>2026071</v>
      </c>
      <c r="AE79" s="84"/>
      <c r="AF79" s="48"/>
      <c r="AG79" s="2"/>
      <c r="AI79" s="4"/>
    </row>
    <row r="80" spans="1:35" ht="15.5" x14ac:dyDescent="0.35">
      <c r="B80" s="8"/>
      <c r="F80" s="36" t="s">
        <v>29</v>
      </c>
      <c r="G80" s="36"/>
      <c r="O80" s="10"/>
      <c r="P80" s="2"/>
      <c r="Q80" s="4"/>
      <c r="S80" s="8"/>
      <c r="T80" s="26" t="s">
        <v>1</v>
      </c>
      <c r="U80" s="36" t="s">
        <v>29</v>
      </c>
      <c r="Y80" s="2" t="s">
        <v>1</v>
      </c>
      <c r="AA80" s="50" t="s">
        <v>1</v>
      </c>
      <c r="AB80" s="2"/>
      <c r="AC80" s="2"/>
      <c r="AD80" s="2"/>
      <c r="AE80" s="2"/>
      <c r="AF80" s="10" t="s">
        <v>1</v>
      </c>
      <c r="AG80" s="2"/>
      <c r="AI80" s="4"/>
    </row>
    <row r="81" spans="1:35" ht="14" x14ac:dyDescent="0.3">
      <c r="B81" s="8"/>
      <c r="F81" s="2" t="s">
        <v>30</v>
      </c>
      <c r="G81" s="2"/>
      <c r="M81" s="2" t="s">
        <v>1</v>
      </c>
      <c r="O81" s="10"/>
      <c r="P81" s="2"/>
      <c r="Q81" s="4"/>
      <c r="S81" s="8"/>
      <c r="T81" s="49" t="s">
        <v>1</v>
      </c>
      <c r="U81" s="2" t="s">
        <v>30</v>
      </c>
      <c r="AF81" s="44"/>
      <c r="AG81" s="2"/>
      <c r="AI81" s="4"/>
    </row>
    <row r="82" spans="1:35" ht="15.5" x14ac:dyDescent="0.35">
      <c r="B82" s="8"/>
      <c r="C82" s="591" t="s">
        <v>17</v>
      </c>
      <c r="D82" s="9">
        <f>D6</f>
        <v>46220</v>
      </c>
      <c r="F82" s="41" t="s">
        <v>126</v>
      </c>
      <c r="G82" s="41"/>
      <c r="H82" s="2"/>
      <c r="J82" s="2"/>
      <c r="O82" s="10"/>
      <c r="P82" s="2"/>
      <c r="Q82" s="4"/>
      <c r="S82" s="8"/>
      <c r="T82" s="41" t="s">
        <v>1</v>
      </c>
      <c r="U82" s="41" t="s">
        <v>34</v>
      </c>
      <c r="V82" s="2"/>
      <c r="X82" s="2"/>
      <c r="Y82" s="2"/>
      <c r="AF82" s="48"/>
      <c r="AG82" s="2"/>
      <c r="AI82" s="4"/>
    </row>
    <row r="83" spans="1:35" ht="12" thickBot="1" x14ac:dyDescent="0.3">
      <c r="B83" s="8"/>
      <c r="C83" s="591" t="s">
        <v>0</v>
      </c>
      <c r="D83" s="241">
        <f>D7</f>
        <v>0.58333333333333337</v>
      </c>
      <c r="F83" s="2" t="s">
        <v>27</v>
      </c>
      <c r="G83" s="9">
        <f>G7</f>
        <v>46204</v>
      </c>
      <c r="J83" s="2" t="s">
        <v>28</v>
      </c>
      <c r="K83" s="9">
        <f>K7</f>
        <v>46218</v>
      </c>
      <c r="O83" s="10"/>
      <c r="P83" s="2"/>
      <c r="Q83" s="4"/>
      <c r="S83" s="8"/>
      <c r="U83" s="1" t="str">
        <f>F83</f>
        <v>Fecha Desde:</v>
      </c>
      <c r="V83" s="9">
        <f>G83</f>
        <v>46204</v>
      </c>
      <c r="W83" s="1" t="s">
        <v>1</v>
      </c>
      <c r="X83" s="1" t="str">
        <f>J83</f>
        <v>Feha Hasta:</v>
      </c>
      <c r="Y83" s="9">
        <f>K83</f>
        <v>46218</v>
      </c>
      <c r="Z83" s="1" t="s">
        <v>1</v>
      </c>
      <c r="AF83" s="48"/>
      <c r="AG83" s="2"/>
      <c r="AI83" s="4"/>
    </row>
    <row r="84" spans="1:35" ht="72" customHeight="1" thickBot="1" x14ac:dyDescent="0.3">
      <c r="B84" s="11" t="s">
        <v>3</v>
      </c>
      <c r="C84" s="27" t="s">
        <v>9</v>
      </c>
      <c r="D84" s="11" t="s">
        <v>4</v>
      </c>
      <c r="E84" s="12" t="s">
        <v>5</v>
      </c>
      <c r="F84" s="27" t="s">
        <v>6</v>
      </c>
      <c r="G84" s="271" t="s">
        <v>159</v>
      </c>
      <c r="H84" s="27" t="s">
        <v>18</v>
      </c>
      <c r="I84" s="12" t="s">
        <v>24</v>
      </c>
      <c r="J84" s="73" t="s">
        <v>19</v>
      </c>
      <c r="K84" s="29" t="s">
        <v>20</v>
      </c>
      <c r="L84" s="28" t="s">
        <v>21</v>
      </c>
      <c r="M84" s="39" t="s">
        <v>22</v>
      </c>
      <c r="N84" s="12" t="s">
        <v>7</v>
      </c>
      <c r="O84" s="39" t="s">
        <v>23</v>
      </c>
      <c r="P84" s="13"/>
      <c r="Q84" s="4"/>
      <c r="S84" s="11" t="s">
        <v>3</v>
      </c>
      <c r="T84" s="27" t="s">
        <v>9</v>
      </c>
      <c r="U84" s="162" t="s">
        <v>39</v>
      </c>
      <c r="V84" s="163" t="s">
        <v>40</v>
      </c>
      <c r="W84" s="163" t="s">
        <v>41</v>
      </c>
      <c r="X84" s="163" t="s">
        <v>42</v>
      </c>
      <c r="Y84" s="164" t="s">
        <v>43</v>
      </c>
      <c r="Z84" s="85" t="s">
        <v>21</v>
      </c>
      <c r="AA84" s="65" t="s">
        <v>46</v>
      </c>
      <c r="AB84" s="65" t="s">
        <v>7</v>
      </c>
      <c r="AC84" s="85" t="s">
        <v>167</v>
      </c>
      <c r="AD84" s="121" t="s">
        <v>105</v>
      </c>
      <c r="AE84" s="121" t="s">
        <v>104</v>
      </c>
      <c r="AF84" s="39" t="s">
        <v>23</v>
      </c>
      <c r="AG84" s="13"/>
      <c r="AI84" s="4"/>
    </row>
    <row r="85" spans="1:35" s="308" customFormat="1" x14ac:dyDescent="0.25">
      <c r="B85" s="306">
        <v>1</v>
      </c>
      <c r="C85" s="307" t="s">
        <v>10</v>
      </c>
      <c r="D85" s="294">
        <v>0</v>
      </c>
      <c r="E85" s="295">
        <v>0</v>
      </c>
      <c r="F85" s="295">
        <v>0</v>
      </c>
      <c r="G85" s="295">
        <v>0</v>
      </c>
      <c r="H85" s="295">
        <v>0</v>
      </c>
      <c r="I85" s="295">
        <v>0</v>
      </c>
      <c r="J85" s="291">
        <f>'AJUSTES - SF-T'!J47</f>
        <v>0</v>
      </c>
      <c r="K85" s="296">
        <f>D85-E85-F85-G85-H85-I85-J85</f>
        <v>0</v>
      </c>
      <c r="L85" s="297">
        <v>0</v>
      </c>
      <c r="M85" s="296">
        <f>K85-L85</f>
        <v>0</v>
      </c>
      <c r="N85" s="297">
        <v>0</v>
      </c>
      <c r="O85" s="296">
        <f>M85+N85</f>
        <v>0</v>
      </c>
      <c r="Q85" s="309"/>
      <c r="S85" s="306">
        <v>1</v>
      </c>
      <c r="T85" s="307" t="s">
        <v>10</v>
      </c>
      <c r="U85" s="310">
        <v>0</v>
      </c>
      <c r="V85" s="311">
        <v>0</v>
      </c>
      <c r="W85" s="311">
        <v>0</v>
      </c>
      <c r="X85" s="311">
        <v>0</v>
      </c>
      <c r="Y85" s="312">
        <v>0</v>
      </c>
      <c r="Z85" s="313">
        <f>-L85</f>
        <v>0</v>
      </c>
      <c r="AA85" s="314">
        <v>0</v>
      </c>
      <c r="AB85" s="297">
        <f>N85</f>
        <v>0</v>
      </c>
      <c r="AC85" s="314">
        <v>0</v>
      </c>
      <c r="AD85" s="294">
        <f>-J85+AE85</f>
        <v>0</v>
      </c>
      <c r="AE85" s="294">
        <v>0</v>
      </c>
      <c r="AF85" s="316">
        <f>SUM(U85:AD85)</f>
        <v>0</v>
      </c>
      <c r="AG85" s="524">
        <f>AF85-O85</f>
        <v>0</v>
      </c>
      <c r="AH85" s="1" t="b">
        <f t="shared" ref="AH85:AH90" si="35">INT(AG85)=0</f>
        <v>1</v>
      </c>
      <c r="AI85" s="309"/>
    </row>
    <row r="86" spans="1:35" s="308" customFormat="1" x14ac:dyDescent="0.25">
      <c r="B86" s="317">
        <v>2</v>
      </c>
      <c r="C86" s="318" t="s">
        <v>11</v>
      </c>
      <c r="D86" s="294">
        <f>'AJUSTES - SF-T'!D48</f>
        <v>0</v>
      </c>
      <c r="E86" s="295">
        <f>'AJUSTES - SF-T'!E48</f>
        <v>0</v>
      </c>
      <c r="F86" s="295">
        <f>'AJUSTES - SF-T'!F48</f>
        <v>0</v>
      </c>
      <c r="G86" s="295">
        <f>'AJUSTES - SF-T'!G48</f>
        <v>0</v>
      </c>
      <c r="H86" s="295">
        <f>'AJUSTES - SF-T'!H48</f>
        <v>0</v>
      </c>
      <c r="I86" s="295">
        <f>'AJUSTES - SF-T'!I48</f>
        <v>0</v>
      </c>
      <c r="J86" s="291">
        <f>'AJUSTES - SF-T'!J48</f>
        <v>0</v>
      </c>
      <c r="K86" s="298">
        <f t="shared" ref="K86:K89" si="36">D86-E86-F86-G86-H86-I86-J86</f>
        <v>0</v>
      </c>
      <c r="L86" s="297">
        <v>0</v>
      </c>
      <c r="M86" s="298">
        <f>K86-L86</f>
        <v>0</v>
      </c>
      <c r="N86" s="297">
        <f>'AJUSTES - SF-T'!N48</f>
        <v>0</v>
      </c>
      <c r="O86" s="298">
        <f t="shared" ref="O86:O89" si="37">M86+N86</f>
        <v>0</v>
      </c>
      <c r="Q86" s="309"/>
      <c r="S86" s="317">
        <v>2</v>
      </c>
      <c r="T86" s="318" t="s">
        <v>11</v>
      </c>
      <c r="U86" s="319">
        <f>'AJUSTES - SF-T'!U48</f>
        <v>0</v>
      </c>
      <c r="V86" s="320">
        <f>'AJUSTES - SF-T'!V48</f>
        <v>0</v>
      </c>
      <c r="W86" s="320">
        <f>'AJUSTES - SF-T'!W48</f>
        <v>0</v>
      </c>
      <c r="X86" s="320">
        <f>'AJUSTES - SF-T'!X48</f>
        <v>0</v>
      </c>
      <c r="Y86" s="321">
        <f>'AJUSTES - SF-T'!Y48</f>
        <v>0</v>
      </c>
      <c r="Z86" s="322">
        <f>-L86</f>
        <v>0</v>
      </c>
      <c r="AA86" s="323">
        <f>'AJUSTES - SF-T'!AA48</f>
        <v>0</v>
      </c>
      <c r="AB86" s="297">
        <f>N86</f>
        <v>0</v>
      </c>
      <c r="AC86" s="323">
        <v>0</v>
      </c>
      <c r="AD86" s="294">
        <f t="shared" ref="AD86:AD88" si="38">-J86+AE86</f>
        <v>0</v>
      </c>
      <c r="AE86" s="294">
        <f>'AJUSTES - SF-T'!AD48</f>
        <v>0</v>
      </c>
      <c r="AF86" s="325">
        <f>SUM(U86:AD86)</f>
        <v>0</v>
      </c>
      <c r="AG86" s="525">
        <f>AF86-O86</f>
        <v>0</v>
      </c>
      <c r="AH86" s="1" t="b">
        <f t="shared" si="35"/>
        <v>1</v>
      </c>
      <c r="AI86" s="309"/>
    </row>
    <row r="87" spans="1:35" s="308" customFormat="1" x14ac:dyDescent="0.25">
      <c r="B87" s="317">
        <v>3</v>
      </c>
      <c r="C87" s="318" t="s">
        <v>12</v>
      </c>
      <c r="D87" s="294">
        <v>0</v>
      </c>
      <c r="E87" s="295">
        <v>0</v>
      </c>
      <c r="F87" s="295">
        <v>0</v>
      </c>
      <c r="G87" s="295">
        <v>0</v>
      </c>
      <c r="H87" s="295">
        <v>0</v>
      </c>
      <c r="I87" s="295">
        <v>0</v>
      </c>
      <c r="J87" s="291">
        <v>0</v>
      </c>
      <c r="K87" s="298">
        <f t="shared" si="36"/>
        <v>0</v>
      </c>
      <c r="L87" s="297">
        <v>0</v>
      </c>
      <c r="M87" s="298">
        <f>K87-L87</f>
        <v>0</v>
      </c>
      <c r="N87" s="297">
        <v>0</v>
      </c>
      <c r="O87" s="298">
        <f t="shared" si="37"/>
        <v>0</v>
      </c>
      <c r="Q87" s="309"/>
      <c r="S87" s="317">
        <v>3</v>
      </c>
      <c r="T87" s="318" t="s">
        <v>12</v>
      </c>
      <c r="U87" s="319">
        <v>0</v>
      </c>
      <c r="V87" s="320">
        <v>0</v>
      </c>
      <c r="W87" s="320">
        <v>0</v>
      </c>
      <c r="X87" s="320">
        <v>0</v>
      </c>
      <c r="Y87" s="321">
        <v>0</v>
      </c>
      <c r="Z87" s="322">
        <v>0</v>
      </c>
      <c r="AA87" s="323">
        <v>0</v>
      </c>
      <c r="AB87" s="297">
        <v>0</v>
      </c>
      <c r="AC87" s="323">
        <v>0</v>
      </c>
      <c r="AD87" s="294">
        <f t="shared" si="38"/>
        <v>0</v>
      </c>
      <c r="AE87" s="294">
        <v>0</v>
      </c>
      <c r="AF87" s="325">
        <f t="shared" ref="AF87:AF89" si="39">SUM(U87:AD87)</f>
        <v>0</v>
      </c>
      <c r="AG87" s="525">
        <f>AF87-O87</f>
        <v>0</v>
      </c>
      <c r="AH87" s="1" t="b">
        <f t="shared" si="35"/>
        <v>1</v>
      </c>
      <c r="AI87" s="309"/>
    </row>
    <row r="88" spans="1:35" s="308" customFormat="1" x14ac:dyDescent="0.25">
      <c r="B88" s="317">
        <v>4</v>
      </c>
      <c r="C88" s="318" t="s">
        <v>13</v>
      </c>
      <c r="D88" s="294">
        <f>'AJUSTES - SF-T'!D50</f>
        <v>0</v>
      </c>
      <c r="E88" s="295">
        <f>'AJUSTES - SF-T'!E50</f>
        <v>0</v>
      </c>
      <c r="F88" s="295">
        <f>'AJUSTES - SF-T'!F50</f>
        <v>0</v>
      </c>
      <c r="G88" s="295">
        <f>'AJUSTES - SF-T'!G50</f>
        <v>0</v>
      </c>
      <c r="H88" s="295">
        <f>'AJUSTES - SF-T'!H50</f>
        <v>0</v>
      </c>
      <c r="I88" s="295">
        <f>'AJUSTES - SF-T'!I50</f>
        <v>0</v>
      </c>
      <c r="J88" s="291">
        <f>'AJUSTES - SF-T'!J50</f>
        <v>0</v>
      </c>
      <c r="K88" s="298">
        <f t="shared" si="36"/>
        <v>0</v>
      </c>
      <c r="L88" s="297">
        <v>0</v>
      </c>
      <c r="M88" s="298">
        <f>K88-L88</f>
        <v>0</v>
      </c>
      <c r="N88" s="297">
        <f>'AJUSTES - SF-T'!N50</f>
        <v>0</v>
      </c>
      <c r="O88" s="298">
        <f t="shared" si="37"/>
        <v>0</v>
      </c>
      <c r="Q88" s="309"/>
      <c r="S88" s="317">
        <v>4</v>
      </c>
      <c r="T88" s="318" t="s">
        <v>13</v>
      </c>
      <c r="U88" s="319">
        <f>'AJUSTES - SF-T'!U50</f>
        <v>0</v>
      </c>
      <c r="V88" s="320">
        <f>'AJUSTES - SF-T'!V50</f>
        <v>0</v>
      </c>
      <c r="W88" s="320">
        <f>'AJUSTES - SF-T'!W50</f>
        <v>0</v>
      </c>
      <c r="X88" s="320">
        <f>'AJUSTES - SF-T'!X50</f>
        <v>0</v>
      </c>
      <c r="Y88" s="321">
        <f>'AJUSTES - SF-T'!Y50</f>
        <v>0</v>
      </c>
      <c r="Z88" s="322">
        <f>-L88</f>
        <v>0</v>
      </c>
      <c r="AA88" s="323">
        <f>'AJUSTES - SF-T'!AA50</f>
        <v>0</v>
      </c>
      <c r="AB88" s="297">
        <f>N88</f>
        <v>0</v>
      </c>
      <c r="AC88" s="323">
        <v>0</v>
      </c>
      <c r="AD88" s="294">
        <f t="shared" si="38"/>
        <v>0</v>
      </c>
      <c r="AE88" s="294">
        <f>'AJUSTES - SF-T'!AD50</f>
        <v>0</v>
      </c>
      <c r="AF88" s="325">
        <f t="shared" si="39"/>
        <v>0</v>
      </c>
      <c r="AG88" s="525">
        <f>AF88-O88</f>
        <v>0</v>
      </c>
      <c r="AH88" s="1" t="b">
        <f t="shared" si="35"/>
        <v>1</v>
      </c>
      <c r="AI88" s="309"/>
    </row>
    <row r="89" spans="1:35" s="308" customFormat="1" ht="12" thickBot="1" x14ac:dyDescent="0.3">
      <c r="B89" s="327">
        <v>5</v>
      </c>
      <c r="C89" s="328" t="s">
        <v>14</v>
      </c>
      <c r="D89" s="299">
        <v>0</v>
      </c>
      <c r="E89" s="300">
        <v>0</v>
      </c>
      <c r="F89" s="300">
        <v>0</v>
      </c>
      <c r="G89" s="300">
        <v>0</v>
      </c>
      <c r="H89" s="300">
        <v>0</v>
      </c>
      <c r="I89" s="300">
        <v>0</v>
      </c>
      <c r="J89" s="292">
        <v>0</v>
      </c>
      <c r="K89" s="298">
        <f t="shared" si="36"/>
        <v>0</v>
      </c>
      <c r="L89" s="297">
        <v>0</v>
      </c>
      <c r="M89" s="301">
        <f>K89-L89</f>
        <v>0</v>
      </c>
      <c r="N89" s="302">
        <v>0</v>
      </c>
      <c r="O89" s="301">
        <f t="shared" si="37"/>
        <v>0</v>
      </c>
      <c r="Q89" s="309"/>
      <c r="S89" s="327">
        <v>5</v>
      </c>
      <c r="T89" s="328" t="s">
        <v>14</v>
      </c>
      <c r="U89" s="299">
        <v>0</v>
      </c>
      <c r="V89" s="300">
        <v>0</v>
      </c>
      <c r="W89" s="300">
        <v>0</v>
      </c>
      <c r="X89" s="300">
        <v>0</v>
      </c>
      <c r="Y89" s="292">
        <v>0</v>
      </c>
      <c r="Z89" s="322">
        <v>0</v>
      </c>
      <c r="AA89" s="323">
        <v>0</v>
      </c>
      <c r="AB89" s="297">
        <v>0</v>
      </c>
      <c r="AC89" s="323">
        <v>0</v>
      </c>
      <c r="AD89" s="294">
        <v>0</v>
      </c>
      <c r="AE89" s="294">
        <v>0</v>
      </c>
      <c r="AF89" s="325">
        <f t="shared" si="39"/>
        <v>0</v>
      </c>
      <c r="AG89" s="526">
        <f>AF89-O89</f>
        <v>0</v>
      </c>
      <c r="AH89" s="1" t="b">
        <f t="shared" si="35"/>
        <v>1</v>
      </c>
      <c r="AI89" s="309"/>
    </row>
    <row r="90" spans="1:35" s="308" customFormat="1" ht="13.5" thickBot="1" x14ac:dyDescent="0.35">
      <c r="B90" s="330"/>
      <c r="C90" s="331" t="s">
        <v>2</v>
      </c>
      <c r="D90" s="293">
        <f t="shared" ref="D90:O90" si="40">SUM(D85:D89)</f>
        <v>0</v>
      </c>
      <c r="E90" s="293">
        <f t="shared" si="40"/>
        <v>0</v>
      </c>
      <c r="F90" s="293">
        <f t="shared" si="40"/>
        <v>0</v>
      </c>
      <c r="G90" s="293">
        <f t="shared" si="40"/>
        <v>0</v>
      </c>
      <c r="H90" s="293">
        <f t="shared" si="40"/>
        <v>0</v>
      </c>
      <c r="I90" s="293">
        <f t="shared" si="40"/>
        <v>0</v>
      </c>
      <c r="J90" s="293">
        <f t="shared" si="40"/>
        <v>0</v>
      </c>
      <c r="K90" s="303">
        <f t="shared" si="40"/>
        <v>0</v>
      </c>
      <c r="L90" s="304">
        <f t="shared" si="40"/>
        <v>0</v>
      </c>
      <c r="M90" s="305">
        <f t="shared" si="40"/>
        <v>0</v>
      </c>
      <c r="N90" s="304">
        <f t="shared" si="40"/>
        <v>0</v>
      </c>
      <c r="O90" s="305">
        <f t="shared" si="40"/>
        <v>0</v>
      </c>
      <c r="P90" s="332"/>
      <c r="Q90" s="309"/>
      <c r="S90" s="330"/>
      <c r="T90" s="331" t="s">
        <v>2</v>
      </c>
      <c r="U90" s="333">
        <f>SUM(U85:U89)</f>
        <v>0</v>
      </c>
      <c r="V90" s="333">
        <f t="shared" ref="V90:AG90" si="41">SUM(V85:V89)</f>
        <v>0</v>
      </c>
      <c r="W90" s="333">
        <f t="shared" si="41"/>
        <v>0</v>
      </c>
      <c r="X90" s="333">
        <f t="shared" si="41"/>
        <v>0</v>
      </c>
      <c r="Y90" s="333">
        <f t="shared" si="41"/>
        <v>0</v>
      </c>
      <c r="Z90" s="293">
        <f t="shared" si="41"/>
        <v>0</v>
      </c>
      <c r="AA90" s="293">
        <f t="shared" si="41"/>
        <v>0</v>
      </c>
      <c r="AB90" s="293">
        <f t="shared" si="41"/>
        <v>0</v>
      </c>
      <c r="AC90" s="293">
        <f t="shared" ref="AC90" si="42">SUM(AC85:AC89)</f>
        <v>0</v>
      </c>
      <c r="AD90" s="293">
        <f t="shared" si="41"/>
        <v>0</v>
      </c>
      <c r="AE90" s="293">
        <f t="shared" si="41"/>
        <v>0</v>
      </c>
      <c r="AF90" s="334">
        <f t="shared" si="41"/>
        <v>0</v>
      </c>
      <c r="AG90" s="527">
        <f t="shared" si="41"/>
        <v>0</v>
      </c>
      <c r="AH90" s="1" t="b">
        <f t="shared" si="35"/>
        <v>1</v>
      </c>
      <c r="AI90" s="309"/>
    </row>
    <row r="91" spans="1:35" ht="12" thickBot="1" x14ac:dyDescent="0.3">
      <c r="B91" s="2"/>
      <c r="C91" s="2"/>
      <c r="D91" s="24"/>
      <c r="E91" s="24"/>
      <c r="F91" s="24"/>
      <c r="G91" s="24"/>
      <c r="H91" s="24"/>
      <c r="I91" s="24"/>
      <c r="K91" s="24"/>
      <c r="L91" s="24"/>
      <c r="M91" s="24"/>
      <c r="N91" s="24"/>
      <c r="O91" s="24"/>
      <c r="Q91" s="4"/>
      <c r="S91" s="2"/>
      <c r="T91" s="2"/>
      <c r="U91" s="24"/>
      <c r="V91" s="24"/>
      <c r="W91" s="24"/>
      <c r="X91" s="24"/>
      <c r="Y91" s="24"/>
      <c r="AF91" s="24"/>
      <c r="AI91" s="4"/>
    </row>
    <row r="92" spans="1:35" ht="12" thickBot="1" x14ac:dyDescent="0.3">
      <c r="B92" s="2"/>
      <c r="C92" s="2"/>
      <c r="D92" s="24" t="s">
        <v>1</v>
      </c>
      <c r="E92" s="24"/>
      <c r="F92" s="24"/>
      <c r="G92" s="24"/>
      <c r="H92" s="24"/>
      <c r="I92" s="24"/>
      <c r="K92" s="24"/>
      <c r="L92" s="24"/>
      <c r="M92" s="24"/>
      <c r="N92" s="24"/>
      <c r="O92" s="24"/>
      <c r="Q92" s="4"/>
      <c r="Y92" s="86">
        <f>SUM(U90:Y90)</f>
        <v>0</v>
      </c>
      <c r="AA92" s="1" t="s">
        <v>1</v>
      </c>
      <c r="AB92" s="1" t="s">
        <v>1</v>
      </c>
      <c r="AD92" s="1" t="s">
        <v>1</v>
      </c>
      <c r="AF92" s="1" t="s">
        <v>1</v>
      </c>
      <c r="AI92" s="4"/>
    </row>
    <row r="93" spans="1:35" ht="12" thickBot="1" x14ac:dyDescent="0.3">
      <c r="B93" s="2"/>
      <c r="C93" s="2"/>
      <c r="D93" s="24" t="s">
        <v>1</v>
      </c>
      <c r="E93" s="33"/>
      <c r="F93" s="33"/>
      <c r="G93" s="33"/>
      <c r="H93" s="33"/>
      <c r="I93" s="24"/>
      <c r="K93" s="24"/>
      <c r="L93" s="24"/>
      <c r="M93" s="24"/>
      <c r="N93" s="24"/>
      <c r="O93" s="24"/>
      <c r="Q93" s="4"/>
      <c r="AI93" s="4"/>
    </row>
    <row r="94" spans="1:35" x14ac:dyDescent="0.25">
      <c r="B94" s="2"/>
      <c r="C94" s="2"/>
      <c r="D94" s="24" t="s">
        <v>1</v>
      </c>
      <c r="E94" s="24" t="s">
        <v>1</v>
      </c>
      <c r="F94" s="24" t="s">
        <v>25</v>
      </c>
      <c r="G94" s="24"/>
      <c r="H94" s="24"/>
      <c r="I94" s="24"/>
      <c r="K94" s="24"/>
      <c r="L94" s="24"/>
      <c r="M94" s="24"/>
      <c r="N94" s="24"/>
      <c r="O94" s="24"/>
      <c r="Q94" s="4"/>
      <c r="AI94" s="4"/>
    </row>
    <row r="95" spans="1:35" x14ac:dyDescent="0.25">
      <c r="A95" s="4"/>
      <c r="B95" s="34"/>
      <c r="C95" s="34"/>
      <c r="D95" s="35"/>
      <c r="E95" s="35"/>
      <c r="F95" s="35"/>
      <c r="G95" s="35"/>
      <c r="H95" s="35"/>
      <c r="I95" s="35"/>
      <c r="J95" s="4"/>
      <c r="K95" s="35"/>
      <c r="L95" s="35"/>
      <c r="M95" s="35"/>
      <c r="N95" s="35"/>
      <c r="O95" s="35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</row>
    <row r="96" spans="1:35" ht="12" thickBot="1" x14ac:dyDescent="0.3">
      <c r="Q96" s="4"/>
      <c r="AI96" s="4"/>
    </row>
    <row r="97" spans="2:36" x14ac:dyDescent="0.25">
      <c r="B97" s="5"/>
      <c r="C97" s="3" t="s">
        <v>1</v>
      </c>
      <c r="D97" s="6" t="s">
        <v>1</v>
      </c>
      <c r="E97" s="3"/>
      <c r="F97" s="3"/>
      <c r="G97" s="3"/>
      <c r="H97" s="3" t="s">
        <v>1</v>
      </c>
      <c r="I97" s="3"/>
      <c r="J97" s="3"/>
      <c r="K97" s="3"/>
      <c r="L97" s="3"/>
      <c r="M97" s="3"/>
      <c r="N97" s="3"/>
      <c r="O97" s="7"/>
      <c r="P97" s="2"/>
      <c r="Q97" s="4"/>
      <c r="S97" s="5"/>
      <c r="T97" s="3" t="s">
        <v>1</v>
      </c>
      <c r="U97" s="6" t="s">
        <v>1</v>
      </c>
      <c r="V97" s="3"/>
      <c r="W97" s="3"/>
      <c r="X97" s="3" t="s">
        <v>1</v>
      </c>
      <c r="Y97" s="3"/>
      <c r="Z97" s="3"/>
      <c r="AA97" s="3"/>
      <c r="AB97" s="3"/>
      <c r="AC97" s="3"/>
      <c r="AD97" s="3"/>
      <c r="AE97" s="3"/>
      <c r="AF97" s="7"/>
      <c r="AG97" s="2"/>
      <c r="AI97" s="4"/>
    </row>
    <row r="98" spans="2:36" ht="14" x14ac:dyDescent="0.3">
      <c r="B98" s="8"/>
      <c r="F98" s="26" t="s">
        <v>8</v>
      </c>
      <c r="G98" s="26"/>
      <c r="I98" s="26" t="s">
        <v>16</v>
      </c>
      <c r="J98" s="25"/>
      <c r="M98" s="2" t="s">
        <v>15</v>
      </c>
      <c r="N98" s="50">
        <f>N3</f>
        <v>2026071</v>
      </c>
      <c r="O98" s="10"/>
      <c r="P98" s="2"/>
      <c r="Q98" s="4"/>
      <c r="S98" s="8"/>
      <c r="U98" s="26" t="s">
        <v>8</v>
      </c>
      <c r="W98" s="26" t="s">
        <v>16</v>
      </c>
      <c r="X98" s="25"/>
      <c r="Y98" s="2"/>
      <c r="AA98" s="2" t="s">
        <v>15</v>
      </c>
      <c r="AD98" s="84">
        <f>N98</f>
        <v>2026071</v>
      </c>
      <c r="AE98" s="84"/>
      <c r="AF98" s="48"/>
      <c r="AG98" s="2"/>
      <c r="AI98" s="4"/>
    </row>
    <row r="99" spans="2:36" ht="15.5" x14ac:dyDescent="0.35">
      <c r="B99" s="8"/>
      <c r="F99" s="36" t="s">
        <v>29</v>
      </c>
      <c r="G99" s="36"/>
      <c r="O99" s="10"/>
      <c r="P99" s="2"/>
      <c r="Q99" s="4"/>
      <c r="S99" s="8"/>
      <c r="T99" s="26" t="s">
        <v>1</v>
      </c>
      <c r="U99" s="36" t="s">
        <v>29</v>
      </c>
      <c r="Y99" s="2" t="s">
        <v>1</v>
      </c>
      <c r="AA99" s="50" t="s">
        <v>1</v>
      </c>
      <c r="AB99" s="2"/>
      <c r="AC99" s="2"/>
      <c r="AD99" s="2"/>
      <c r="AE99" s="2"/>
      <c r="AF99" s="10" t="s">
        <v>1</v>
      </c>
      <c r="AG99" s="2"/>
      <c r="AI99" s="4"/>
    </row>
    <row r="100" spans="2:36" ht="14" x14ac:dyDescent="0.3">
      <c r="B100" s="8"/>
      <c r="F100" s="2" t="s">
        <v>30</v>
      </c>
      <c r="G100" s="2"/>
      <c r="L100" s="91"/>
      <c r="M100" s="2" t="s">
        <v>1</v>
      </c>
      <c r="O100" s="10"/>
      <c r="P100" s="2"/>
      <c r="Q100" s="4"/>
      <c r="S100" s="8"/>
      <c r="T100" s="49" t="s">
        <v>1</v>
      </c>
      <c r="U100" s="2" t="s">
        <v>30</v>
      </c>
      <c r="AF100" s="44"/>
      <c r="AG100" s="2"/>
      <c r="AI100" s="4"/>
    </row>
    <row r="101" spans="2:36" ht="15.5" x14ac:dyDescent="0.35">
      <c r="B101" s="8"/>
      <c r="C101" s="591" t="s">
        <v>17</v>
      </c>
      <c r="D101" s="9">
        <f>D6</f>
        <v>46220</v>
      </c>
      <c r="F101" s="58" t="s">
        <v>214</v>
      </c>
      <c r="G101" s="58"/>
      <c r="H101" s="59"/>
      <c r="I101" s="60"/>
      <c r="J101" s="59"/>
      <c r="L101" s="91"/>
      <c r="O101" s="10"/>
      <c r="P101" s="2"/>
      <c r="Q101" s="4"/>
      <c r="S101" s="8"/>
      <c r="T101" s="41" t="s">
        <v>1</v>
      </c>
      <c r="U101" s="58" t="s">
        <v>215</v>
      </c>
      <c r="V101" s="59"/>
      <c r="W101" s="60"/>
      <c r="X101" s="59"/>
      <c r="Y101" s="2"/>
      <c r="AF101" s="48"/>
      <c r="AG101" s="2"/>
      <c r="AI101" s="4"/>
    </row>
    <row r="102" spans="2:36" ht="18" thickBot="1" x14ac:dyDescent="0.5">
      <c r="B102" s="8"/>
      <c r="C102" s="591" t="s">
        <v>0</v>
      </c>
      <c r="D102" s="241">
        <f>D7</f>
        <v>0.58333333333333337</v>
      </c>
      <c r="F102" s="2" t="s">
        <v>27</v>
      </c>
      <c r="G102" s="9">
        <f>G7</f>
        <v>46204</v>
      </c>
      <c r="J102" s="2" t="s">
        <v>28</v>
      </c>
      <c r="K102" s="9">
        <f>K7</f>
        <v>46218</v>
      </c>
      <c r="L102" s="92"/>
      <c r="O102" s="10"/>
      <c r="P102" s="2"/>
      <c r="Q102" s="4"/>
      <c r="S102" s="8"/>
      <c r="U102" s="1" t="str">
        <f>F102</f>
        <v>Fecha Desde:</v>
      </c>
      <c r="V102" s="9">
        <f>G102</f>
        <v>46204</v>
      </c>
      <c r="W102" s="1" t="s">
        <v>1</v>
      </c>
      <c r="X102" s="1" t="str">
        <f>J102</f>
        <v>Feha Hasta:</v>
      </c>
      <c r="Y102" s="9">
        <f>K102</f>
        <v>46218</v>
      </c>
      <c r="Z102" s="1" t="s">
        <v>1</v>
      </c>
      <c r="AF102" s="48"/>
      <c r="AG102" s="2"/>
      <c r="AI102" s="4"/>
      <c r="AJ102" s="112" t="s">
        <v>1</v>
      </c>
    </row>
    <row r="103" spans="2:36" ht="72" customHeight="1" thickBot="1" x14ac:dyDescent="0.3">
      <c r="B103" s="11" t="s">
        <v>3</v>
      </c>
      <c r="C103" s="27" t="s">
        <v>9</v>
      </c>
      <c r="D103" s="11" t="s">
        <v>4</v>
      </c>
      <c r="E103" s="12" t="s">
        <v>5</v>
      </c>
      <c r="F103" s="27" t="s">
        <v>6</v>
      </c>
      <c r="G103" s="271" t="s">
        <v>159</v>
      </c>
      <c r="H103" s="27" t="s">
        <v>18</v>
      </c>
      <c r="I103" s="12" t="s">
        <v>24</v>
      </c>
      <c r="J103" s="73" t="s">
        <v>19</v>
      </c>
      <c r="K103" s="29" t="s">
        <v>20</v>
      </c>
      <c r="L103" s="28" t="s">
        <v>21</v>
      </c>
      <c r="M103" s="39" t="s">
        <v>22</v>
      </c>
      <c r="N103" s="12" t="s">
        <v>7</v>
      </c>
      <c r="O103" s="39" t="s">
        <v>23</v>
      </c>
      <c r="P103" s="13"/>
      <c r="Q103" s="4"/>
      <c r="S103" s="11" t="s">
        <v>3</v>
      </c>
      <c r="T103" s="27" t="s">
        <v>9</v>
      </c>
      <c r="U103" s="162" t="s">
        <v>39</v>
      </c>
      <c r="V103" s="163" t="s">
        <v>40</v>
      </c>
      <c r="W103" s="163" t="s">
        <v>41</v>
      </c>
      <c r="X103" s="163" t="s">
        <v>42</v>
      </c>
      <c r="Y103" s="164" t="s">
        <v>43</v>
      </c>
      <c r="Z103" s="85" t="s">
        <v>21</v>
      </c>
      <c r="AA103" s="65" t="s">
        <v>46</v>
      </c>
      <c r="AB103" s="65" t="s">
        <v>7</v>
      </c>
      <c r="AC103" s="85" t="s">
        <v>167</v>
      </c>
      <c r="AD103" s="121" t="s">
        <v>105</v>
      </c>
      <c r="AE103" s="121" t="s">
        <v>104</v>
      </c>
      <c r="AF103" s="39" t="s">
        <v>23</v>
      </c>
      <c r="AG103" s="13"/>
      <c r="AI103" s="4"/>
    </row>
    <row r="104" spans="2:36" s="308" customFormat="1" x14ac:dyDescent="0.25">
      <c r="B104" s="306">
        <v>1</v>
      </c>
      <c r="C104" s="307" t="s">
        <v>10</v>
      </c>
      <c r="D104" s="294">
        <f t="shared" ref="D104:J108" si="43">D9+D28+D47+D66+D85</f>
        <v>0</v>
      </c>
      <c r="E104" s="295">
        <f t="shared" si="43"/>
        <v>0</v>
      </c>
      <c r="F104" s="295">
        <f t="shared" si="43"/>
        <v>0</v>
      </c>
      <c r="G104" s="295">
        <f t="shared" si="43"/>
        <v>0</v>
      </c>
      <c r="H104" s="295">
        <f t="shared" si="43"/>
        <v>0</v>
      </c>
      <c r="I104" s="295">
        <f t="shared" si="43"/>
        <v>0</v>
      </c>
      <c r="J104" s="291">
        <f t="shared" si="43"/>
        <v>0</v>
      </c>
      <c r="K104" s="296">
        <f>D104-E104-F104-G104-H104-I104-J104</f>
        <v>0</v>
      </c>
      <c r="L104" s="297">
        <f>L9+L28+L47+L66+L85</f>
        <v>0</v>
      </c>
      <c r="M104" s="296">
        <f>K104-L104</f>
        <v>0</v>
      </c>
      <c r="N104" s="297">
        <f>N9+N28+N47+N66+N85</f>
        <v>0</v>
      </c>
      <c r="O104" s="296">
        <f>M104+N104</f>
        <v>0</v>
      </c>
      <c r="Q104" s="309"/>
      <c r="S104" s="306">
        <v>1</v>
      </c>
      <c r="T104" s="307" t="s">
        <v>10</v>
      </c>
      <c r="U104" s="310">
        <f t="shared" ref="U104:AC108" si="44">U9+U28+U47+U66+U85</f>
        <v>0</v>
      </c>
      <c r="V104" s="311">
        <f t="shared" si="44"/>
        <v>0</v>
      </c>
      <c r="W104" s="311">
        <f t="shared" si="44"/>
        <v>0</v>
      </c>
      <c r="X104" s="311">
        <f t="shared" si="44"/>
        <v>0</v>
      </c>
      <c r="Y104" s="312">
        <f t="shared" si="44"/>
        <v>0</v>
      </c>
      <c r="Z104" s="313">
        <f t="shared" si="44"/>
        <v>0</v>
      </c>
      <c r="AA104" s="314">
        <f t="shared" si="44"/>
        <v>0</v>
      </c>
      <c r="AB104" s="297">
        <f t="shared" si="44"/>
        <v>0</v>
      </c>
      <c r="AC104" s="314">
        <f t="shared" si="44"/>
        <v>0</v>
      </c>
      <c r="AD104" s="294">
        <f>-J104+AE104</f>
        <v>0</v>
      </c>
      <c r="AE104" s="294">
        <f>AE9+AE28+AE47+AE66+AE85</f>
        <v>0</v>
      </c>
      <c r="AF104" s="316">
        <f>SUM(U104:AD104)</f>
        <v>0</v>
      </c>
      <c r="AG104" s="524">
        <f>AF104-O104</f>
        <v>0</v>
      </c>
      <c r="AH104" s="1" t="b">
        <f t="shared" ref="AH104:AH109" si="45">INT(AG104)=0</f>
        <v>1</v>
      </c>
      <c r="AI104" s="309"/>
    </row>
    <row r="105" spans="2:36" s="308" customFormat="1" x14ac:dyDescent="0.25">
      <c r="B105" s="317">
        <v>2</v>
      </c>
      <c r="C105" s="318" t="s">
        <v>11</v>
      </c>
      <c r="D105" s="294">
        <f t="shared" si="43"/>
        <v>46373126.629999995</v>
      </c>
      <c r="E105" s="295">
        <f t="shared" si="43"/>
        <v>4158139.0000000005</v>
      </c>
      <c r="F105" s="295">
        <f t="shared" si="43"/>
        <v>2420063.96</v>
      </c>
      <c r="G105" s="295">
        <f t="shared" si="43"/>
        <v>850315.18</v>
      </c>
      <c r="H105" s="295">
        <f t="shared" si="43"/>
        <v>17472217.539999999</v>
      </c>
      <c r="I105" s="295">
        <f t="shared" si="43"/>
        <v>607377.93999999994</v>
      </c>
      <c r="J105" s="291">
        <f t="shared" si="43"/>
        <v>0</v>
      </c>
      <c r="K105" s="298">
        <f t="shared" ref="K105:K108" si="46">D105-E105-F105-G105-H105-I105-J105</f>
        <v>20865013.009999994</v>
      </c>
      <c r="L105" s="297">
        <f>L10+L29+L48+L67+L86</f>
        <v>0</v>
      </c>
      <c r="M105" s="298">
        <f>K105-L105</f>
        <v>20865013.009999994</v>
      </c>
      <c r="N105" s="297">
        <f>N10+N29+N48+N67+N86</f>
        <v>0</v>
      </c>
      <c r="O105" s="298">
        <f t="shared" ref="O105:O108" si="47">M105+N105</f>
        <v>20865013.009999994</v>
      </c>
      <c r="Q105" s="309"/>
      <c r="S105" s="317">
        <v>2</v>
      </c>
      <c r="T105" s="318" t="s">
        <v>11</v>
      </c>
      <c r="U105" s="319">
        <f t="shared" si="44"/>
        <v>5673196.9500000002</v>
      </c>
      <c r="V105" s="320">
        <f t="shared" si="44"/>
        <v>5228043.83</v>
      </c>
      <c r="W105" s="320">
        <f t="shared" si="44"/>
        <v>22283113.059999999</v>
      </c>
      <c r="X105" s="320">
        <f t="shared" si="44"/>
        <v>8198077.5499999998</v>
      </c>
      <c r="Y105" s="321">
        <f t="shared" si="44"/>
        <v>734557.09</v>
      </c>
      <c r="Z105" s="322">
        <f t="shared" si="44"/>
        <v>0</v>
      </c>
      <c r="AA105" s="323">
        <f t="shared" si="44"/>
        <v>-115.77000000000001</v>
      </c>
      <c r="AB105" s="297">
        <f t="shared" si="44"/>
        <v>0</v>
      </c>
      <c r="AC105" s="323">
        <f t="shared" si="44"/>
        <v>0</v>
      </c>
      <c r="AD105" s="294">
        <f t="shared" ref="AD105:AD107" si="48">-J105+AE105</f>
        <v>-21251859.700000003</v>
      </c>
      <c r="AE105" s="294">
        <f>AE10+AE29+AE48+AE67+AE86</f>
        <v>-21251859.700000003</v>
      </c>
      <c r="AF105" s="325">
        <f>SUM(U105:AD105)</f>
        <v>20865013.009999998</v>
      </c>
      <c r="AG105" s="525">
        <f>AF105-O105</f>
        <v>0</v>
      </c>
      <c r="AH105" s="1" t="b">
        <f t="shared" si="45"/>
        <v>1</v>
      </c>
      <c r="AI105" s="309"/>
    </row>
    <row r="106" spans="2:36" s="308" customFormat="1" x14ac:dyDescent="0.25">
      <c r="B106" s="317">
        <v>3</v>
      </c>
      <c r="C106" s="318" t="s">
        <v>12</v>
      </c>
      <c r="D106" s="294">
        <f t="shared" si="43"/>
        <v>0</v>
      </c>
      <c r="E106" s="295">
        <f t="shared" si="43"/>
        <v>0</v>
      </c>
      <c r="F106" s="295">
        <f t="shared" si="43"/>
        <v>0</v>
      </c>
      <c r="G106" s="295">
        <f t="shared" si="43"/>
        <v>0</v>
      </c>
      <c r="H106" s="295">
        <f t="shared" si="43"/>
        <v>0</v>
      </c>
      <c r="I106" s="295">
        <f t="shared" si="43"/>
        <v>0</v>
      </c>
      <c r="J106" s="291">
        <f t="shared" si="43"/>
        <v>0</v>
      </c>
      <c r="K106" s="298">
        <f t="shared" si="46"/>
        <v>0</v>
      </c>
      <c r="L106" s="297">
        <f>L11+L30+L49+L68+L87</f>
        <v>0</v>
      </c>
      <c r="M106" s="298">
        <f>K106-L106</f>
        <v>0</v>
      </c>
      <c r="N106" s="297">
        <f>N11+N30+N49+N68+N87</f>
        <v>0</v>
      </c>
      <c r="O106" s="298">
        <f t="shared" si="47"/>
        <v>0</v>
      </c>
      <c r="Q106" s="309"/>
      <c r="S106" s="317">
        <v>3</v>
      </c>
      <c r="T106" s="318" t="s">
        <v>12</v>
      </c>
      <c r="U106" s="319">
        <f t="shared" si="44"/>
        <v>0</v>
      </c>
      <c r="V106" s="320">
        <f t="shared" si="44"/>
        <v>0</v>
      </c>
      <c r="W106" s="320">
        <f t="shared" si="44"/>
        <v>0</v>
      </c>
      <c r="X106" s="320">
        <f t="shared" si="44"/>
        <v>0</v>
      </c>
      <c r="Y106" s="321">
        <f t="shared" si="44"/>
        <v>0</v>
      </c>
      <c r="Z106" s="322">
        <f t="shared" si="44"/>
        <v>0</v>
      </c>
      <c r="AA106" s="323">
        <f t="shared" si="44"/>
        <v>0</v>
      </c>
      <c r="AB106" s="297">
        <f t="shared" si="44"/>
        <v>0</v>
      </c>
      <c r="AC106" s="323">
        <f t="shared" si="44"/>
        <v>0</v>
      </c>
      <c r="AD106" s="294">
        <f t="shared" si="48"/>
        <v>0</v>
      </c>
      <c r="AE106" s="294">
        <f>AE11+AE30+AE49+AE68+AE87</f>
        <v>0</v>
      </c>
      <c r="AF106" s="325">
        <f>SUM(U106:AD106)</f>
        <v>0</v>
      </c>
      <c r="AG106" s="525">
        <f>AF106-O106</f>
        <v>0</v>
      </c>
      <c r="AH106" s="1" t="b">
        <f t="shared" si="45"/>
        <v>1</v>
      </c>
      <c r="AI106" s="309"/>
    </row>
    <row r="107" spans="2:36" s="308" customFormat="1" x14ac:dyDescent="0.25">
      <c r="B107" s="317">
        <v>4</v>
      </c>
      <c r="C107" s="318" t="s">
        <v>13</v>
      </c>
      <c r="D107" s="294">
        <f t="shared" si="43"/>
        <v>11605438.260000002</v>
      </c>
      <c r="E107" s="295">
        <f t="shared" si="43"/>
        <v>868507.7</v>
      </c>
      <c r="F107" s="295">
        <f t="shared" si="43"/>
        <v>465064.46</v>
      </c>
      <c r="G107" s="295">
        <f t="shared" si="43"/>
        <v>198481.49</v>
      </c>
      <c r="H107" s="295">
        <f t="shared" si="43"/>
        <v>2422341.04</v>
      </c>
      <c r="I107" s="295">
        <f t="shared" si="43"/>
        <v>86529.63</v>
      </c>
      <c r="J107" s="291">
        <f t="shared" si="43"/>
        <v>0</v>
      </c>
      <c r="K107" s="298">
        <f t="shared" si="46"/>
        <v>7564513.9400000013</v>
      </c>
      <c r="L107" s="297">
        <f>L12+L31+L50+L69+L88</f>
        <v>0</v>
      </c>
      <c r="M107" s="298">
        <f>K107-L107</f>
        <v>7564513.9400000013</v>
      </c>
      <c r="N107" s="297">
        <f>N12+N31+N50+N69+N88</f>
        <v>0</v>
      </c>
      <c r="O107" s="298">
        <f t="shared" si="47"/>
        <v>7564513.9400000013</v>
      </c>
      <c r="Q107" s="309"/>
      <c r="S107" s="317">
        <v>4</v>
      </c>
      <c r="T107" s="318" t="s">
        <v>13</v>
      </c>
      <c r="U107" s="319">
        <f t="shared" si="44"/>
        <v>767640.19</v>
      </c>
      <c r="V107" s="320">
        <f t="shared" si="44"/>
        <v>744104.27</v>
      </c>
      <c r="W107" s="320">
        <f t="shared" si="44"/>
        <v>3251640.6599999997</v>
      </c>
      <c r="X107" s="320">
        <f t="shared" si="44"/>
        <v>2242956.21</v>
      </c>
      <c r="Y107" s="321">
        <f t="shared" si="44"/>
        <v>121179.42</v>
      </c>
      <c r="Z107" s="322">
        <f t="shared" si="44"/>
        <v>0</v>
      </c>
      <c r="AA107" s="323">
        <f t="shared" si="44"/>
        <v>-68.779999999999987</v>
      </c>
      <c r="AB107" s="297">
        <f t="shared" si="44"/>
        <v>0</v>
      </c>
      <c r="AC107" s="323">
        <f t="shared" si="44"/>
        <v>0</v>
      </c>
      <c r="AD107" s="294">
        <f t="shared" si="48"/>
        <v>437061.97000000003</v>
      </c>
      <c r="AE107" s="294">
        <f>AE12+AE31+AE50+AE69+AE88</f>
        <v>437061.97000000003</v>
      </c>
      <c r="AF107" s="325">
        <f>SUM(U107:AD107)</f>
        <v>7564513.9399999985</v>
      </c>
      <c r="AG107" s="525">
        <f>AF107-O107</f>
        <v>0</v>
      </c>
      <c r="AH107" s="1" t="b">
        <f t="shared" si="45"/>
        <v>1</v>
      </c>
      <c r="AI107" s="309"/>
    </row>
    <row r="108" spans="2:36" s="308" customFormat="1" ht="12" thickBot="1" x14ac:dyDescent="0.3">
      <c r="B108" s="327">
        <v>5</v>
      </c>
      <c r="C108" s="328" t="s">
        <v>14</v>
      </c>
      <c r="D108" s="299">
        <f>D13+D32+D51+D70+D89</f>
        <v>0</v>
      </c>
      <c r="E108" s="300">
        <f t="shared" si="43"/>
        <v>0</v>
      </c>
      <c r="F108" s="300">
        <f t="shared" si="43"/>
        <v>0</v>
      </c>
      <c r="G108" s="300">
        <f t="shared" si="43"/>
        <v>0</v>
      </c>
      <c r="H108" s="300">
        <f t="shared" si="43"/>
        <v>0</v>
      </c>
      <c r="I108" s="300">
        <f t="shared" si="43"/>
        <v>0</v>
      </c>
      <c r="J108" s="292">
        <f t="shared" si="43"/>
        <v>0</v>
      </c>
      <c r="K108" s="298">
        <f t="shared" si="46"/>
        <v>0</v>
      </c>
      <c r="L108" s="297">
        <f>L13+L32+L51+L70+L89</f>
        <v>0</v>
      </c>
      <c r="M108" s="301">
        <f>K108-L108</f>
        <v>0</v>
      </c>
      <c r="N108" s="302">
        <f>N13+N32+N51+N70+N89</f>
        <v>0</v>
      </c>
      <c r="O108" s="301">
        <f t="shared" si="47"/>
        <v>0</v>
      </c>
      <c r="Q108" s="309"/>
      <c r="S108" s="327">
        <v>5</v>
      </c>
      <c r="T108" s="328" t="s">
        <v>14</v>
      </c>
      <c r="U108" s="299">
        <f t="shared" si="44"/>
        <v>0</v>
      </c>
      <c r="V108" s="300">
        <f t="shared" si="44"/>
        <v>0</v>
      </c>
      <c r="W108" s="300">
        <f t="shared" si="44"/>
        <v>0</v>
      </c>
      <c r="X108" s="300">
        <f t="shared" si="44"/>
        <v>0</v>
      </c>
      <c r="Y108" s="292">
        <f t="shared" si="44"/>
        <v>0</v>
      </c>
      <c r="Z108" s="322">
        <f t="shared" si="44"/>
        <v>0</v>
      </c>
      <c r="AA108" s="323">
        <f t="shared" si="44"/>
        <v>0</v>
      </c>
      <c r="AB108" s="297">
        <f t="shared" si="44"/>
        <v>0</v>
      </c>
      <c r="AC108" s="323">
        <f t="shared" si="44"/>
        <v>0</v>
      </c>
      <c r="AD108" s="294">
        <f>-J108+AE108</f>
        <v>0</v>
      </c>
      <c r="AE108" s="294">
        <f>AE13+AE32+AE51+AE70+AE89</f>
        <v>0</v>
      </c>
      <c r="AF108" s="325">
        <f>SUM(U108:AD108)</f>
        <v>0</v>
      </c>
      <c r="AG108" s="526">
        <f>AF108-O108</f>
        <v>0</v>
      </c>
      <c r="AH108" s="1" t="b">
        <f t="shared" si="45"/>
        <v>1</v>
      </c>
      <c r="AI108" s="309"/>
    </row>
    <row r="109" spans="2:36" s="308" customFormat="1" ht="13.5" thickBot="1" x14ac:dyDescent="0.35">
      <c r="B109" s="330"/>
      <c r="C109" s="331" t="s">
        <v>2</v>
      </c>
      <c r="D109" s="293">
        <f t="shared" ref="D109:O109" si="49">SUM(D104:D108)</f>
        <v>57978564.890000001</v>
      </c>
      <c r="E109" s="293">
        <f t="shared" si="49"/>
        <v>5026646.7</v>
      </c>
      <c r="F109" s="293">
        <f t="shared" si="49"/>
        <v>2885128.42</v>
      </c>
      <c r="G109" s="293">
        <f t="shared" si="49"/>
        <v>1048796.67</v>
      </c>
      <c r="H109" s="293">
        <f t="shared" si="49"/>
        <v>19894558.579999998</v>
      </c>
      <c r="I109" s="293">
        <f t="shared" si="49"/>
        <v>693907.57</v>
      </c>
      <c r="J109" s="293">
        <f t="shared" si="49"/>
        <v>0</v>
      </c>
      <c r="K109" s="303">
        <f t="shared" si="49"/>
        <v>28429526.949999996</v>
      </c>
      <c r="L109" s="304">
        <f t="shared" si="49"/>
        <v>0</v>
      </c>
      <c r="M109" s="305">
        <f t="shared" si="49"/>
        <v>28429526.949999996</v>
      </c>
      <c r="N109" s="304">
        <f t="shared" si="49"/>
        <v>0</v>
      </c>
      <c r="O109" s="305">
        <f t="shared" si="49"/>
        <v>28429526.949999996</v>
      </c>
      <c r="P109" s="332"/>
      <c r="Q109" s="309"/>
      <c r="S109" s="330"/>
      <c r="T109" s="331" t="s">
        <v>2</v>
      </c>
      <c r="U109" s="333">
        <f>SUM(U104:U108)</f>
        <v>6440837.1400000006</v>
      </c>
      <c r="V109" s="333">
        <f t="shared" ref="V109:AF109" si="50">SUM(V104:V108)</f>
        <v>5972148.0999999996</v>
      </c>
      <c r="W109" s="333">
        <f t="shared" si="50"/>
        <v>25534753.719999999</v>
      </c>
      <c r="X109" s="333">
        <f t="shared" si="50"/>
        <v>10441033.76</v>
      </c>
      <c r="Y109" s="333">
        <f t="shared" si="50"/>
        <v>855736.51</v>
      </c>
      <c r="Z109" s="293">
        <f t="shared" si="50"/>
        <v>0</v>
      </c>
      <c r="AA109" s="293">
        <f t="shared" si="50"/>
        <v>-184.55</v>
      </c>
      <c r="AB109" s="293">
        <f t="shared" si="50"/>
        <v>0</v>
      </c>
      <c r="AC109" s="293">
        <f t="shared" si="50"/>
        <v>0</v>
      </c>
      <c r="AD109" s="293">
        <f t="shared" si="50"/>
        <v>-20814797.730000004</v>
      </c>
      <c r="AE109" s="293">
        <f>SUM(AE104:AE108)</f>
        <v>-20814797.730000004</v>
      </c>
      <c r="AF109" s="334">
        <f t="shared" si="50"/>
        <v>28429526.949999996</v>
      </c>
      <c r="AG109" s="527">
        <f>SUM(AG104:AG108)</f>
        <v>0</v>
      </c>
      <c r="AH109" s="1" t="b">
        <f t="shared" si="45"/>
        <v>1</v>
      </c>
      <c r="AI109" s="309"/>
    </row>
    <row r="110" spans="2:36" ht="12" thickBot="1" x14ac:dyDescent="0.3">
      <c r="B110" s="2"/>
      <c r="C110" s="2"/>
      <c r="D110" s="165"/>
      <c r="E110" s="24"/>
      <c r="F110" s="24"/>
      <c r="G110" s="24"/>
      <c r="H110" s="24"/>
      <c r="I110" s="24"/>
      <c r="J110" s="165"/>
      <c r="K110" s="24"/>
      <c r="L110" s="24"/>
      <c r="M110" s="24"/>
      <c r="N110" s="24"/>
      <c r="O110" s="24"/>
      <c r="Q110" s="4"/>
      <c r="S110" s="2"/>
      <c r="T110" s="2"/>
      <c r="U110" s="24"/>
      <c r="V110" s="24"/>
      <c r="W110" s="24"/>
      <c r="X110" s="24"/>
      <c r="Y110" s="24"/>
      <c r="AF110" s="24"/>
      <c r="AI110" s="4"/>
    </row>
    <row r="111" spans="2:36" ht="12" thickBot="1" x14ac:dyDescent="0.3">
      <c r="B111" s="2"/>
      <c r="C111" s="2"/>
      <c r="D111" s="24"/>
      <c r="E111" s="24"/>
      <c r="F111" s="24"/>
      <c r="G111" s="24"/>
      <c r="H111" s="24"/>
      <c r="I111" s="24"/>
      <c r="J111" s="24"/>
      <c r="K111" s="24"/>
      <c r="L111" s="24"/>
      <c r="M111" s="24"/>
      <c r="N111" s="24"/>
      <c r="O111" s="24"/>
      <c r="Q111" s="4"/>
      <c r="Y111" s="86">
        <f>SUM(U109:Y109)</f>
        <v>49244509.229999997</v>
      </c>
      <c r="AA111" s="1" t="s">
        <v>1</v>
      </c>
      <c r="AB111" s="1" t="s">
        <v>1</v>
      </c>
      <c r="AC111" s="55"/>
      <c r="AD111" s="1" t="s">
        <v>1</v>
      </c>
      <c r="AF111" s="1" t="s">
        <v>1</v>
      </c>
      <c r="AI111" s="4"/>
    </row>
    <row r="112" spans="2:36" ht="12" thickBot="1" x14ac:dyDescent="0.3">
      <c r="B112" s="2"/>
      <c r="C112" s="2"/>
      <c r="D112" s="24" t="s">
        <v>1</v>
      </c>
      <c r="E112" s="33"/>
      <c r="F112" s="33"/>
      <c r="G112" s="33"/>
      <c r="H112" s="33"/>
      <c r="I112" s="24"/>
      <c r="K112" s="24"/>
      <c r="L112" s="24"/>
      <c r="M112" s="24"/>
      <c r="N112" s="24"/>
      <c r="O112" s="24"/>
      <c r="Q112" s="4"/>
      <c r="U112" s="33"/>
      <c r="V112" s="33"/>
      <c r="W112" s="33"/>
      <c r="X112" s="33"/>
      <c r="AC112" s="55"/>
      <c r="AI112" s="4"/>
    </row>
    <row r="113" spans="1:35" x14ac:dyDescent="0.25">
      <c r="B113" s="2"/>
      <c r="C113" s="2"/>
      <c r="D113" s="24" t="s">
        <v>1</v>
      </c>
      <c r="E113" s="24" t="s">
        <v>1</v>
      </c>
      <c r="F113" s="24" t="s">
        <v>25</v>
      </c>
      <c r="G113" s="24"/>
      <c r="H113" s="24"/>
      <c r="I113" s="24"/>
      <c r="K113" s="24"/>
      <c r="L113" s="24"/>
      <c r="M113" s="24"/>
      <c r="N113" s="24"/>
      <c r="O113" s="24"/>
      <c r="Q113" s="4"/>
      <c r="U113" s="24" t="s">
        <v>1</v>
      </c>
      <c r="V113" s="24" t="s">
        <v>25</v>
      </c>
      <c r="W113" s="24"/>
      <c r="X113" s="24"/>
      <c r="AI113" s="4"/>
    </row>
    <row r="114" spans="1:35" x14ac:dyDescent="0.25">
      <c r="A114" s="52"/>
      <c r="B114" s="53"/>
      <c r="C114" s="53"/>
      <c r="D114" s="54"/>
      <c r="E114" s="54"/>
      <c r="F114" s="54"/>
      <c r="G114" s="54"/>
      <c r="H114" s="54"/>
      <c r="I114" s="54"/>
      <c r="J114" s="52"/>
      <c r="K114" s="54"/>
      <c r="L114" s="54"/>
      <c r="M114" s="54"/>
      <c r="N114" s="54"/>
      <c r="O114" s="54"/>
      <c r="P114" s="52"/>
      <c r="Q114" s="52"/>
      <c r="R114" s="52"/>
      <c r="S114" s="52"/>
      <c r="T114" s="52"/>
      <c r="U114" s="52"/>
      <c r="V114" s="52"/>
      <c r="W114" s="52"/>
      <c r="X114" s="52"/>
      <c r="Y114" s="52"/>
      <c r="Z114" s="52"/>
      <c r="AA114" s="52"/>
      <c r="AB114" s="52"/>
      <c r="AC114" s="52"/>
      <c r="AD114" s="52"/>
      <c r="AE114" s="52"/>
      <c r="AF114" s="52"/>
      <c r="AG114" s="52"/>
      <c r="AH114" s="52"/>
      <c r="AI114" s="52"/>
    </row>
    <row r="115" spans="1:35" ht="12" thickBot="1" x14ac:dyDescent="0.3">
      <c r="Q115" s="4"/>
    </row>
    <row r="116" spans="1:35" x14ac:dyDescent="0.25">
      <c r="B116" s="5"/>
      <c r="C116" s="3" t="s">
        <v>1</v>
      </c>
      <c r="D116" s="6" t="s">
        <v>1</v>
      </c>
      <c r="E116" s="3"/>
      <c r="F116" s="3"/>
      <c r="G116" s="3"/>
      <c r="H116" s="3" t="s">
        <v>1</v>
      </c>
      <c r="I116" s="3"/>
      <c r="J116" s="3"/>
      <c r="K116" s="3"/>
      <c r="L116" s="3"/>
      <c r="M116" s="3"/>
      <c r="N116" s="3"/>
      <c r="O116" s="7"/>
      <c r="P116" s="2"/>
      <c r="Q116" s="35"/>
    </row>
    <row r="117" spans="1:35" ht="14" x14ac:dyDescent="0.3">
      <c r="B117" s="8"/>
      <c r="C117" s="2"/>
      <c r="D117" s="9"/>
      <c r="F117" s="26" t="s">
        <v>8</v>
      </c>
      <c r="G117" s="26"/>
      <c r="I117" s="26" t="s">
        <v>16</v>
      </c>
      <c r="J117" s="25"/>
      <c r="L117" s="2" t="s">
        <v>15</v>
      </c>
      <c r="M117" s="50">
        <f>N3</f>
        <v>2026071</v>
      </c>
      <c r="O117" s="10"/>
      <c r="P117" s="2"/>
      <c r="Q117" s="4"/>
    </row>
    <row r="118" spans="1:35" ht="15.5" x14ac:dyDescent="0.35">
      <c r="B118" s="8"/>
      <c r="C118" s="2"/>
      <c r="D118" s="57"/>
      <c r="F118" s="36" t="s">
        <v>29</v>
      </c>
      <c r="G118" s="36"/>
      <c r="O118" s="10"/>
      <c r="P118" s="2"/>
      <c r="Q118" s="4"/>
    </row>
    <row r="119" spans="1:35" x14ac:dyDescent="0.25">
      <c r="B119" s="8"/>
      <c r="F119" s="2" t="s">
        <v>30</v>
      </c>
      <c r="G119" s="2"/>
      <c r="M119" s="2" t="s">
        <v>1</v>
      </c>
      <c r="O119" s="10"/>
      <c r="P119" s="2"/>
      <c r="Q119" s="4"/>
    </row>
    <row r="120" spans="1:35" x14ac:dyDescent="0.25">
      <c r="B120" s="8"/>
      <c r="I120" s="2"/>
      <c r="J120" s="2"/>
      <c r="O120" s="10"/>
      <c r="P120" s="2"/>
      <c r="Q120" s="4"/>
    </row>
    <row r="121" spans="1:35" ht="15.5" x14ac:dyDescent="0.35">
      <c r="B121" s="8"/>
      <c r="F121" s="41" t="s">
        <v>37</v>
      </c>
      <c r="G121" s="41"/>
      <c r="H121" s="2"/>
      <c r="J121" s="2"/>
      <c r="O121" s="10"/>
      <c r="P121" s="2"/>
      <c r="Q121" s="4"/>
    </row>
    <row r="122" spans="1:35" x14ac:dyDescent="0.25">
      <c r="B122" s="8"/>
      <c r="F122" s="2" t="s">
        <v>27</v>
      </c>
      <c r="G122" s="9">
        <f>G7</f>
        <v>46204</v>
      </c>
      <c r="J122" s="2" t="s">
        <v>28</v>
      </c>
      <c r="K122" s="9">
        <f>K7</f>
        <v>46218</v>
      </c>
      <c r="O122" s="10"/>
      <c r="P122" s="2"/>
      <c r="Q122" s="4"/>
    </row>
    <row r="123" spans="1:35" ht="12" thickBot="1" x14ac:dyDescent="0.3">
      <c r="B123" s="8"/>
      <c r="C123" s="2" t="s">
        <v>1</v>
      </c>
      <c r="D123" s="2" t="s">
        <v>1</v>
      </c>
      <c r="J123" s="1" t="s">
        <v>1</v>
      </c>
      <c r="O123" s="44"/>
      <c r="P123" s="2"/>
      <c r="Q123" s="4"/>
    </row>
    <row r="124" spans="1:35" ht="46.5" thickBot="1" x14ac:dyDescent="0.3">
      <c r="B124" s="11" t="s">
        <v>3</v>
      </c>
      <c r="C124" s="12" t="s">
        <v>9</v>
      </c>
      <c r="D124" s="12" t="s">
        <v>38</v>
      </c>
      <c r="E124" s="73" t="s">
        <v>48</v>
      </c>
      <c r="G124" s="65" t="s">
        <v>47</v>
      </c>
      <c r="H124" s="373" t="s">
        <v>56</v>
      </c>
      <c r="I124" s="73" t="s">
        <v>130</v>
      </c>
      <c r="J124" s="73" t="s">
        <v>171</v>
      </c>
      <c r="K124" s="73" t="s">
        <v>143</v>
      </c>
      <c r="L124" s="73" t="s">
        <v>144</v>
      </c>
      <c r="O124" s="44"/>
      <c r="P124" s="13"/>
      <c r="Q124" s="4"/>
    </row>
    <row r="125" spans="1:35" x14ac:dyDescent="0.25">
      <c r="B125" s="108">
        <v>1</v>
      </c>
      <c r="C125" s="109" t="s">
        <v>10</v>
      </c>
      <c r="D125" s="110">
        <f>'ANTICIPOS USUARIOS'!F3</f>
        <v>0</v>
      </c>
      <c r="E125" s="111">
        <v>0</v>
      </c>
      <c r="G125" s="339">
        <f>D47+N47</f>
        <v>0</v>
      </c>
      <c r="H125" s="313">
        <f>D28+N28</f>
        <v>0</v>
      </c>
      <c r="I125" s="312">
        <f>D85+N85</f>
        <v>0</v>
      </c>
      <c r="J125" s="312">
        <f>D66+N66</f>
        <v>0</v>
      </c>
      <c r="K125" s="312">
        <f>'ANTICIPOS USUARIOS'!F12</f>
        <v>0</v>
      </c>
      <c r="L125" s="312">
        <f>-'ANTICIPOS USUARIOS'!F21</f>
        <v>0</v>
      </c>
      <c r="O125" s="44"/>
      <c r="Q125" s="4"/>
    </row>
    <row r="126" spans="1:35" x14ac:dyDescent="0.25">
      <c r="B126" s="16">
        <v>2</v>
      </c>
      <c r="C126" s="17" t="s">
        <v>11</v>
      </c>
      <c r="D126" s="15">
        <f>'ANTICIPOS USUARIOS'!F4</f>
        <v>15775490</v>
      </c>
      <c r="E126" s="74">
        <v>0</v>
      </c>
      <c r="G126" s="342">
        <f>D48+N48</f>
        <v>0</v>
      </c>
      <c r="H126" s="343">
        <f>D29+N29</f>
        <v>32822845.349999998</v>
      </c>
      <c r="I126" s="291">
        <f>D86+N86</f>
        <v>0</v>
      </c>
      <c r="J126" s="291">
        <f t="shared" ref="J126:J129" si="51">D67+N67</f>
        <v>-19778.72</v>
      </c>
      <c r="K126" s="291">
        <f>'ANTICIPOS USUARIOS'!F13</f>
        <v>0</v>
      </c>
      <c r="L126" s="291">
        <f>-'ANTICIPOS USUARIOS'!F22</f>
        <v>600714.28</v>
      </c>
      <c r="O126" s="44"/>
      <c r="Q126" s="4"/>
    </row>
    <row r="127" spans="1:35" x14ac:dyDescent="0.25">
      <c r="B127" s="16">
        <v>3</v>
      </c>
      <c r="C127" s="17" t="s">
        <v>12</v>
      </c>
      <c r="D127" s="15">
        <f>'ANTICIPOS USUARIOS'!F5</f>
        <v>0</v>
      </c>
      <c r="E127" s="74">
        <v>0</v>
      </c>
      <c r="G127" s="342">
        <f>D49+N49</f>
        <v>0</v>
      </c>
      <c r="H127" s="343">
        <f>D30+N30</f>
        <v>0</v>
      </c>
      <c r="I127" s="291">
        <f>D87+N87</f>
        <v>0</v>
      </c>
      <c r="J127" s="291">
        <f t="shared" si="51"/>
        <v>0</v>
      </c>
      <c r="K127" s="291">
        <f>'ANTICIPOS USUARIOS'!F14</f>
        <v>0</v>
      </c>
      <c r="L127" s="291">
        <f>-'ANTICIPOS USUARIOS'!F23</f>
        <v>0</v>
      </c>
      <c r="O127" s="44"/>
      <c r="Q127" s="4"/>
    </row>
    <row r="128" spans="1:35" x14ac:dyDescent="0.25">
      <c r="B128" s="16">
        <v>4</v>
      </c>
      <c r="C128" s="17" t="s">
        <v>13</v>
      </c>
      <c r="D128" s="15">
        <f>'ANTICIPOS USUARIOS'!F6</f>
        <v>7975330</v>
      </c>
      <c r="E128" s="74">
        <v>0</v>
      </c>
      <c r="G128" s="342">
        <f>D50+N50</f>
        <v>0</v>
      </c>
      <c r="H128" s="343">
        <f>D31+N31</f>
        <v>4804828.2600000007</v>
      </c>
      <c r="I128" s="291">
        <f>D88+N88</f>
        <v>0</v>
      </c>
      <c r="J128" s="291">
        <f t="shared" si="51"/>
        <v>-464370</v>
      </c>
      <c r="K128" s="291">
        <f>'ANTICIPOS USUARIOS'!F15</f>
        <v>464370</v>
      </c>
      <c r="L128" s="291">
        <f>-'ANTICIPOS USUARIOS'!F24</f>
        <v>0</v>
      </c>
      <c r="O128" s="44"/>
      <c r="Q128" s="4"/>
    </row>
    <row r="129" spans="1:18" x14ac:dyDescent="0.25">
      <c r="B129" s="133">
        <v>5</v>
      </c>
      <c r="C129" s="138" t="s">
        <v>14</v>
      </c>
      <c r="D129" s="15">
        <f>'ANTICIPOS USUARIOS'!F7</f>
        <v>0</v>
      </c>
      <c r="E129" s="139">
        <v>0</v>
      </c>
      <c r="G129" s="342">
        <f>D51+N51</f>
        <v>0</v>
      </c>
      <c r="H129" s="343">
        <f>D32+N32</f>
        <v>0</v>
      </c>
      <c r="I129" s="291">
        <f>D89+N89</f>
        <v>0</v>
      </c>
      <c r="J129" s="291">
        <f t="shared" si="51"/>
        <v>0</v>
      </c>
      <c r="K129" s="291">
        <f>'ANTICIPOS USUARIOS'!F16</f>
        <v>0</v>
      </c>
      <c r="L129" s="291">
        <f>-'ANTICIPOS USUARIOS'!F25</f>
        <v>0</v>
      </c>
      <c r="O129" s="44"/>
      <c r="Q129" s="4"/>
    </row>
    <row r="130" spans="1:18" ht="12" thickBot="1" x14ac:dyDescent="0.3">
      <c r="B130" s="19" t="s">
        <v>89</v>
      </c>
      <c r="C130" s="20" t="s">
        <v>113</v>
      </c>
      <c r="D130" s="78"/>
      <c r="E130" s="79">
        <f>'Recaudo EAAB Reciprocidad'!D26</f>
        <v>0</v>
      </c>
      <c r="G130" s="349"/>
      <c r="H130" s="350"/>
      <c r="I130" s="292"/>
      <c r="J130" s="292"/>
      <c r="K130" s="292"/>
      <c r="L130" s="292"/>
      <c r="O130" s="44"/>
      <c r="Q130" s="4"/>
    </row>
    <row r="131" spans="1:18" ht="12" thickBot="1" x14ac:dyDescent="0.3">
      <c r="B131" s="95"/>
      <c r="C131" s="106" t="s">
        <v>2</v>
      </c>
      <c r="D131" s="107">
        <f>SUM(D125:D130)</f>
        <v>23750820</v>
      </c>
      <c r="E131" s="107">
        <f>SUM(E125:E130)</f>
        <v>0</v>
      </c>
      <c r="F131" s="45"/>
      <c r="G131" s="353">
        <f t="shared" ref="G131" si="52">SUM(G125:G129)</f>
        <v>0</v>
      </c>
      <c r="H131" s="353">
        <f>SUM(H125:H130)</f>
        <v>37627673.609999999</v>
      </c>
      <c r="I131" s="353">
        <f>SUM(I125:I130)</f>
        <v>0</v>
      </c>
      <c r="J131" s="353">
        <f>SUM(J125:J130)</f>
        <v>-484148.72</v>
      </c>
      <c r="K131" s="353">
        <f>SUM(K125:K130)</f>
        <v>464370</v>
      </c>
      <c r="L131" s="353">
        <f>SUM(L125:L130)</f>
        <v>600714.28</v>
      </c>
      <c r="M131" s="45"/>
      <c r="N131" s="45"/>
      <c r="O131" s="46"/>
      <c r="P131" s="2"/>
      <c r="Q131" s="4"/>
    </row>
    <row r="132" spans="1:18" x14ac:dyDescent="0.25">
      <c r="B132" s="2"/>
      <c r="C132" s="2"/>
      <c r="D132" s="24"/>
      <c r="Q132" s="4"/>
    </row>
    <row r="133" spans="1:18" x14ac:dyDescent="0.25">
      <c r="B133" s="2"/>
      <c r="C133" s="2"/>
      <c r="D133" s="24"/>
      <c r="L133" s="1" t="s">
        <v>1</v>
      </c>
      <c r="Q133" s="4"/>
    </row>
    <row r="134" spans="1:18" ht="12" thickBot="1" x14ac:dyDescent="0.3">
      <c r="B134" s="2"/>
      <c r="C134" s="2"/>
      <c r="D134" s="24"/>
      <c r="E134" s="33"/>
      <c r="F134" s="33"/>
      <c r="G134" s="33"/>
      <c r="H134" s="33"/>
      <c r="I134" s="24"/>
      <c r="K134" s="24"/>
      <c r="L134" s="24" t="s">
        <v>1</v>
      </c>
      <c r="M134" s="24" t="s">
        <v>1</v>
      </c>
      <c r="N134" s="24"/>
      <c r="O134" s="24"/>
      <c r="Q134" s="4"/>
    </row>
    <row r="135" spans="1:18" x14ac:dyDescent="0.25">
      <c r="B135" s="2"/>
      <c r="C135" s="2"/>
      <c r="D135" s="24"/>
      <c r="E135" s="24" t="s">
        <v>1</v>
      </c>
      <c r="F135" s="42" t="s">
        <v>36</v>
      </c>
      <c r="G135" s="42"/>
      <c r="H135" s="42"/>
      <c r="I135" s="24"/>
      <c r="K135" s="24"/>
      <c r="L135" s="24"/>
      <c r="M135" s="24"/>
      <c r="N135" s="24"/>
      <c r="O135" s="24"/>
      <c r="Q135" s="4"/>
    </row>
    <row r="136" spans="1:18" x14ac:dyDescent="0.25">
      <c r="A136" s="52"/>
      <c r="B136" s="53"/>
      <c r="C136" s="53"/>
      <c r="D136" s="54"/>
      <c r="E136" s="54"/>
      <c r="F136" s="54"/>
      <c r="G136" s="54"/>
      <c r="H136" s="54"/>
      <c r="I136" s="54"/>
      <c r="J136" s="52"/>
      <c r="K136" s="54"/>
      <c r="L136" s="54"/>
      <c r="M136" s="54"/>
      <c r="N136" s="54"/>
      <c r="O136" s="54"/>
      <c r="P136" s="52"/>
      <c r="Q136" s="4"/>
    </row>
    <row r="137" spans="1:18" x14ac:dyDescent="0.25">
      <c r="B137" s="2"/>
      <c r="C137" s="2"/>
      <c r="D137" s="24"/>
      <c r="E137" s="24"/>
      <c r="F137" s="24"/>
      <c r="G137" s="24"/>
      <c r="H137" s="24"/>
      <c r="I137" s="24"/>
      <c r="K137" s="24"/>
      <c r="L137" s="24"/>
      <c r="M137" s="24"/>
      <c r="N137" s="24"/>
      <c r="O137" s="24"/>
      <c r="Q137" s="4"/>
    </row>
    <row r="138" spans="1:18" x14ac:dyDescent="0.25">
      <c r="B138" s="2"/>
      <c r="C138" s="59" t="s">
        <v>49</v>
      </c>
      <c r="D138" s="64"/>
      <c r="E138" s="24"/>
      <c r="F138" s="24"/>
      <c r="G138" s="24"/>
      <c r="H138" s="24"/>
      <c r="I138" s="24"/>
      <c r="K138" s="24"/>
      <c r="L138" s="24"/>
      <c r="M138" s="24"/>
      <c r="N138" s="24"/>
      <c r="O138" s="24"/>
      <c r="Q138" s="35"/>
    </row>
    <row r="139" spans="1:18" x14ac:dyDescent="0.25">
      <c r="B139" s="2"/>
      <c r="C139" s="2"/>
      <c r="D139" s="24"/>
      <c r="E139" s="24"/>
      <c r="F139" s="24"/>
      <c r="G139" s="24"/>
      <c r="H139" s="24"/>
      <c r="I139" s="24"/>
      <c r="K139" s="24"/>
      <c r="L139" s="24"/>
      <c r="M139" s="24"/>
      <c r="N139" s="24"/>
      <c r="O139" s="24"/>
      <c r="Q139" s="35"/>
    </row>
    <row r="140" spans="1:18" ht="18.75" customHeight="1" thickBot="1" x14ac:dyDescent="0.3">
      <c r="B140" s="2"/>
      <c r="C140" s="2"/>
      <c r="D140" s="24"/>
      <c r="E140" s="24"/>
      <c r="F140" s="24"/>
      <c r="G140" s="24"/>
      <c r="H140" s="24"/>
      <c r="J140" s="24"/>
      <c r="K140" s="24"/>
      <c r="M140" s="24"/>
      <c r="N140" s="24"/>
      <c r="O140" s="24"/>
      <c r="P140" s="24"/>
      <c r="Q140" s="35"/>
    </row>
    <row r="141" spans="1:18" ht="46.5" thickBot="1" x14ac:dyDescent="0.3">
      <c r="B141" s="104" t="s">
        <v>3</v>
      </c>
      <c r="C141" s="105" t="s">
        <v>9</v>
      </c>
      <c r="D141" s="105" t="s">
        <v>44</v>
      </c>
      <c r="E141" s="105" t="s">
        <v>45</v>
      </c>
      <c r="F141" s="105" t="s">
        <v>31</v>
      </c>
      <c r="G141" s="105" t="s">
        <v>91</v>
      </c>
      <c r="H141" s="105" t="s">
        <v>128</v>
      </c>
      <c r="I141" s="105" t="s">
        <v>127</v>
      </c>
      <c r="J141" s="105" t="s">
        <v>47</v>
      </c>
      <c r="K141" s="105" t="s">
        <v>51</v>
      </c>
      <c r="L141" s="1" t="s">
        <v>1</v>
      </c>
      <c r="M141" s="56"/>
      <c r="N141" s="56"/>
      <c r="O141" s="56"/>
      <c r="P141" s="24"/>
      <c r="Q141" s="35"/>
      <c r="R141" s="24"/>
    </row>
    <row r="142" spans="1:18" x14ac:dyDescent="0.25">
      <c r="B142" s="108">
        <v>1</v>
      </c>
      <c r="C142" s="109" t="s">
        <v>10</v>
      </c>
      <c r="D142" s="110">
        <f>D104+N104+D125+E125</f>
        <v>0</v>
      </c>
      <c r="E142" s="110">
        <f>'Recaudo EAAB Reciprocidad'!D21</f>
        <v>0</v>
      </c>
      <c r="F142" s="110">
        <f>D28+N28</f>
        <v>0</v>
      </c>
      <c r="G142" s="110">
        <f>D66+N66</f>
        <v>0</v>
      </c>
      <c r="H142" s="110">
        <f>D85+N85</f>
        <v>0</v>
      </c>
      <c r="I142" s="110">
        <v>0</v>
      </c>
      <c r="J142" s="110">
        <f t="shared" ref="J142:K146" si="53">G125</f>
        <v>0</v>
      </c>
      <c r="K142" s="111">
        <f t="shared" si="53"/>
        <v>0</v>
      </c>
      <c r="L142" s="590">
        <f>D142-E142-F142-G142-J142-H142-I142</f>
        <v>0</v>
      </c>
      <c r="M142" s="1" t="b">
        <f>INT(L142)=0</f>
        <v>1</v>
      </c>
      <c r="O142" s="55"/>
      <c r="P142" s="24"/>
      <c r="Q142" s="35"/>
      <c r="R142" s="24"/>
    </row>
    <row r="143" spans="1:18" x14ac:dyDescent="0.25">
      <c r="B143" s="16">
        <v>2</v>
      </c>
      <c r="C143" s="17" t="s">
        <v>11</v>
      </c>
      <c r="D143" s="18">
        <f>D105+N105+D126+E126</f>
        <v>62148616.629999995</v>
      </c>
      <c r="E143" s="18">
        <f>'Recaudo EAAB Reciprocidad'!D22</f>
        <v>29345550</v>
      </c>
      <c r="F143" s="18">
        <f>D29+N29</f>
        <v>32822845.349999998</v>
      </c>
      <c r="G143" s="18">
        <f>D67+N67</f>
        <v>-19778.72</v>
      </c>
      <c r="H143" s="18">
        <f>D86+N86</f>
        <v>0</v>
      </c>
      <c r="I143" s="18">
        <f>('REPORTE RECAUDO x BANCO'!E64)</f>
        <v>0</v>
      </c>
      <c r="J143" s="18">
        <f t="shared" si="53"/>
        <v>0</v>
      </c>
      <c r="K143" s="83">
        <f t="shared" si="53"/>
        <v>32822845.349999998</v>
      </c>
      <c r="L143" s="590">
        <f>D143-E143-F143-G143-J143-H143-I143</f>
        <v>-2.5320332497358322E-9</v>
      </c>
      <c r="M143" s="1" t="b">
        <f>INT(L143)=0</f>
        <v>0</v>
      </c>
      <c r="O143" s="130"/>
      <c r="P143" s="24"/>
      <c r="Q143" s="35"/>
      <c r="R143" s="24"/>
    </row>
    <row r="144" spans="1:18" x14ac:dyDescent="0.25">
      <c r="B144" s="16">
        <v>3</v>
      </c>
      <c r="C144" s="17" t="s">
        <v>12</v>
      </c>
      <c r="D144" s="18">
        <f>D106+N106+D127+E127</f>
        <v>0</v>
      </c>
      <c r="E144" s="18">
        <f>'Recaudo EAAB Reciprocidad'!D23</f>
        <v>0</v>
      </c>
      <c r="F144" s="18">
        <f>D30+N30</f>
        <v>0</v>
      </c>
      <c r="G144" s="18">
        <f>D68+N68</f>
        <v>0</v>
      </c>
      <c r="H144" s="18">
        <f>D87+N87</f>
        <v>0</v>
      </c>
      <c r="I144" s="18">
        <v>0</v>
      </c>
      <c r="J144" s="18">
        <f t="shared" si="53"/>
        <v>0</v>
      </c>
      <c r="K144" s="83">
        <f t="shared" si="53"/>
        <v>0</v>
      </c>
      <c r="L144" s="590">
        <f>D144-E144-F144-G144-J144-H144-I144</f>
        <v>0</v>
      </c>
      <c r="M144" s="1" t="b">
        <f t="shared" ref="M144:M147" si="54">INT(L144)=0</f>
        <v>1</v>
      </c>
      <c r="O144" s="55"/>
      <c r="P144" s="24"/>
      <c r="Q144" s="35"/>
      <c r="R144" s="24"/>
    </row>
    <row r="145" spans="1:20" x14ac:dyDescent="0.25">
      <c r="B145" s="16">
        <v>4</v>
      </c>
      <c r="C145" s="17" t="s">
        <v>13</v>
      </c>
      <c r="D145" s="18">
        <f>D107+N107+D128+E128</f>
        <v>19580768.260000002</v>
      </c>
      <c r="E145" s="18">
        <f>'Recaudo EAAB Reciprocidad'!D24</f>
        <v>15240310</v>
      </c>
      <c r="F145" s="18">
        <f>D31+N31</f>
        <v>4804828.2600000007</v>
      </c>
      <c r="G145" s="18">
        <f>D69+N69</f>
        <v>-464370</v>
      </c>
      <c r="H145" s="18">
        <f>D88+N88</f>
        <v>0</v>
      </c>
      <c r="I145" s="18">
        <f>('REPORTE RECAUDO x BANCO'!E69)</f>
        <v>0</v>
      </c>
      <c r="J145" s="18">
        <f t="shared" si="53"/>
        <v>0</v>
      </c>
      <c r="K145" s="83">
        <f t="shared" si="53"/>
        <v>4804828.2600000007</v>
      </c>
      <c r="L145" s="590">
        <f>D145-E145-F145-G145-J145-H145-I145</f>
        <v>9.3132257461547852E-10</v>
      </c>
      <c r="M145" s="1" t="b">
        <f t="shared" si="54"/>
        <v>1</v>
      </c>
      <c r="O145" s="96"/>
      <c r="P145" s="24"/>
      <c r="Q145" s="35"/>
      <c r="R145" s="24"/>
    </row>
    <row r="146" spans="1:20" ht="12" thickBot="1" x14ac:dyDescent="0.3">
      <c r="B146" s="133">
        <v>5</v>
      </c>
      <c r="C146" s="138" t="s">
        <v>14</v>
      </c>
      <c r="D146" s="134">
        <f>D108+N108+D129+E129</f>
        <v>0</v>
      </c>
      <c r="E146" s="18">
        <f>'Recaudo EAAB Reciprocidad'!D25</f>
        <v>0</v>
      </c>
      <c r="F146" s="134">
        <f>D32+N32</f>
        <v>0</v>
      </c>
      <c r="G146" s="134">
        <f>D70+N70</f>
        <v>0</v>
      </c>
      <c r="H146" s="134">
        <f>D89+N89</f>
        <v>0</v>
      </c>
      <c r="I146" s="134">
        <v>0</v>
      </c>
      <c r="J146" s="134">
        <f t="shared" si="53"/>
        <v>0</v>
      </c>
      <c r="K146" s="136">
        <f t="shared" si="53"/>
        <v>0</v>
      </c>
      <c r="L146" s="590">
        <f>D146-E146-F146-G146-J146-H146-I146</f>
        <v>0</v>
      </c>
      <c r="M146" s="1" t="b">
        <f t="shared" si="54"/>
        <v>1</v>
      </c>
      <c r="O146" s="55"/>
      <c r="P146" s="24"/>
      <c r="Q146" s="35"/>
      <c r="R146" s="24"/>
    </row>
    <row r="147" spans="1:20" ht="12" thickBot="1" x14ac:dyDescent="0.3">
      <c r="B147" s="21"/>
      <c r="C147" s="22" t="s">
        <v>2</v>
      </c>
      <c r="D147" s="47">
        <f>SUM(D142:D146)</f>
        <v>81729384.890000001</v>
      </c>
      <c r="E147" s="47">
        <f>SUM(E142:E146)</f>
        <v>44585860</v>
      </c>
      <c r="F147" s="47">
        <f t="shared" ref="F147:K147" si="55">SUM(F142:F146)</f>
        <v>37627673.609999999</v>
      </c>
      <c r="G147" s="47">
        <f t="shared" si="55"/>
        <v>-484148.72</v>
      </c>
      <c r="H147" s="47">
        <f t="shared" si="55"/>
        <v>0</v>
      </c>
      <c r="I147" s="47">
        <f t="shared" si="55"/>
        <v>0</v>
      </c>
      <c r="J147" s="47">
        <f t="shared" si="55"/>
        <v>0</v>
      </c>
      <c r="K147" s="47">
        <f t="shared" si="55"/>
        <v>37627673.609999999</v>
      </c>
      <c r="L147" s="590">
        <f>SUM(L142:L146)</f>
        <v>-1.6007106751203537E-9</v>
      </c>
      <c r="M147" s="1" t="b">
        <f t="shared" si="54"/>
        <v>0</v>
      </c>
      <c r="P147" s="24"/>
      <c r="Q147" s="35"/>
      <c r="R147" s="24"/>
    </row>
    <row r="148" spans="1:20" x14ac:dyDescent="0.25">
      <c r="B148" s="2"/>
      <c r="H148" s="55"/>
      <c r="L148" s="541"/>
      <c r="M148" s="24"/>
      <c r="N148" s="24"/>
      <c r="O148" s="24"/>
      <c r="P148" s="24"/>
      <c r="Q148" s="35"/>
    </row>
    <row r="149" spans="1:20" ht="21.75" customHeight="1" x14ac:dyDescent="0.25">
      <c r="B149" s="2"/>
      <c r="C149" s="2"/>
      <c r="D149" s="24"/>
      <c r="F149" s="24"/>
      <c r="G149" s="24"/>
      <c r="H149" s="24"/>
      <c r="I149" s="24"/>
      <c r="K149" s="24"/>
      <c r="L149" s="24"/>
      <c r="M149" s="24"/>
      <c r="N149" s="24"/>
      <c r="O149" s="24"/>
      <c r="Q149" s="35"/>
    </row>
    <row r="150" spans="1:20" x14ac:dyDescent="0.25">
      <c r="B150" s="2"/>
      <c r="C150" s="2"/>
      <c r="D150" s="24"/>
      <c r="E150" s="24"/>
      <c r="F150" s="24"/>
      <c r="G150" s="24"/>
      <c r="H150" s="24"/>
      <c r="I150" s="24"/>
      <c r="J150" s="55"/>
      <c r="K150" s="24"/>
      <c r="L150" s="24"/>
      <c r="M150" s="24"/>
      <c r="N150" s="24"/>
      <c r="O150" s="24"/>
      <c r="Q150" s="35"/>
      <c r="T150" s="24"/>
    </row>
    <row r="151" spans="1:20" x14ac:dyDescent="0.25">
      <c r="A151" s="52"/>
      <c r="B151" s="53"/>
      <c r="C151" s="53"/>
      <c r="D151" s="54"/>
      <c r="E151" s="54"/>
      <c r="F151" s="54"/>
      <c r="G151" s="54"/>
      <c r="H151" s="54"/>
      <c r="I151" s="54"/>
      <c r="J151" s="52"/>
      <c r="K151" s="54"/>
      <c r="L151" s="54"/>
      <c r="M151" s="54"/>
      <c r="N151" s="54"/>
      <c r="O151" s="54"/>
      <c r="P151" s="52"/>
      <c r="Q151" s="54"/>
      <c r="T151" s="24"/>
    </row>
    <row r="152" spans="1:20" x14ac:dyDescent="0.25">
      <c r="N152" s="24"/>
      <c r="O152" s="24"/>
      <c r="Q152" s="24"/>
      <c r="T152" s="24"/>
    </row>
    <row r="153" spans="1:20" x14ac:dyDescent="0.25">
      <c r="N153" s="24"/>
      <c r="O153" s="24"/>
      <c r="Q153" s="24"/>
      <c r="T153" s="24"/>
    </row>
    <row r="154" spans="1:20" x14ac:dyDescent="0.25">
      <c r="N154" s="24"/>
      <c r="O154" s="24"/>
      <c r="Q154" s="24"/>
      <c r="T154" s="24"/>
    </row>
    <row r="155" spans="1:20" x14ac:dyDescent="0.25">
      <c r="N155" s="24"/>
      <c r="O155" s="24"/>
      <c r="Q155" s="24"/>
      <c r="T155" s="24"/>
    </row>
    <row r="156" spans="1:20" x14ac:dyDescent="0.25">
      <c r="N156" s="24"/>
      <c r="O156" s="24"/>
      <c r="Q156" s="24"/>
      <c r="T156" s="24"/>
    </row>
    <row r="157" spans="1:20" x14ac:dyDescent="0.25">
      <c r="N157" s="24"/>
      <c r="O157" s="24"/>
      <c r="Q157" s="24"/>
      <c r="T157" s="24"/>
    </row>
    <row r="158" spans="1:20" x14ac:dyDescent="0.25">
      <c r="N158" s="24"/>
      <c r="O158" s="24"/>
      <c r="Q158" s="24"/>
      <c r="T158" s="24"/>
    </row>
    <row r="159" spans="1:20" x14ac:dyDescent="0.25">
      <c r="N159" s="24"/>
      <c r="O159" s="24"/>
      <c r="Q159" s="24"/>
      <c r="T159" s="24"/>
    </row>
    <row r="160" spans="1:20" x14ac:dyDescent="0.25">
      <c r="N160" s="24"/>
      <c r="O160" s="24"/>
      <c r="Q160" s="24"/>
      <c r="T160" s="24"/>
    </row>
    <row r="161" spans="14:20" x14ac:dyDescent="0.25">
      <c r="N161" s="24"/>
      <c r="O161" s="24"/>
      <c r="Q161" s="24"/>
      <c r="T161" s="24"/>
    </row>
    <row r="162" spans="14:20" x14ac:dyDescent="0.25">
      <c r="N162" s="24"/>
      <c r="O162" s="24"/>
      <c r="Q162" s="24"/>
      <c r="T162" s="24"/>
    </row>
    <row r="163" spans="14:20" x14ac:dyDescent="0.25">
      <c r="N163" s="24"/>
      <c r="O163" s="24"/>
      <c r="Q163" s="24"/>
      <c r="T163" s="24"/>
    </row>
    <row r="164" spans="14:20" x14ac:dyDescent="0.25">
      <c r="N164" s="24"/>
      <c r="O164" s="24"/>
      <c r="Q164" s="24"/>
      <c r="T164" s="24"/>
    </row>
    <row r="165" spans="14:20" x14ac:dyDescent="0.25">
      <c r="Q165" s="24"/>
      <c r="T165" s="24"/>
    </row>
    <row r="166" spans="14:20" x14ac:dyDescent="0.25">
      <c r="Q166" s="24"/>
    </row>
  </sheetData>
  <conditionalFormatting sqref="L142:L147">
    <cfRule type="expression" dxfId="62" priority="24">
      <formula>$L$142&lt;&gt;0</formula>
    </cfRule>
  </conditionalFormatting>
  <conditionalFormatting sqref="M142:M147">
    <cfRule type="cellIs" dxfId="61" priority="5" operator="notEqual">
      <formula>TRUE</formula>
    </cfRule>
  </conditionalFormatting>
  <conditionalFormatting sqref="AH9:AH14">
    <cfRule type="cellIs" dxfId="60" priority="11" operator="notEqual">
      <formula>TRUE</formula>
    </cfRule>
  </conditionalFormatting>
  <conditionalFormatting sqref="AH28:AH33">
    <cfRule type="cellIs" dxfId="59" priority="10" operator="notEqual">
      <formula>TRUE</formula>
    </cfRule>
  </conditionalFormatting>
  <conditionalFormatting sqref="AH47:AH52">
    <cfRule type="cellIs" dxfId="58" priority="4" operator="notEqual">
      <formula>TRUE</formula>
    </cfRule>
  </conditionalFormatting>
  <conditionalFormatting sqref="AH66:AH71">
    <cfRule type="cellIs" dxfId="57" priority="3" operator="notEqual">
      <formula>TRUE</formula>
    </cfRule>
  </conditionalFormatting>
  <conditionalFormatting sqref="AH85:AH90">
    <cfRule type="cellIs" dxfId="56" priority="2" operator="notEqual">
      <formula>TRUE</formula>
    </cfRule>
  </conditionalFormatting>
  <conditionalFormatting sqref="AH104:AH109">
    <cfRule type="cellIs" dxfId="55" priority="1" operator="notEqual">
      <formula>TRUE</formula>
    </cfRule>
  </conditionalFormatting>
  <printOptions horizontalCentered="1" verticalCentered="1"/>
  <pageMargins left="0.55118110236220474" right="0.55118110236220474" top="0.59055118110236227" bottom="0.59055118110236227" header="0" footer="0"/>
  <pageSetup scale="21" orientation="landscape" r:id="rId1"/>
  <headerFooter alignWithMargins="0"/>
  <ignoredErrors>
    <ignoredError sqref="K104:K109 M104:M109" formula="1"/>
  </ignoredErrors>
  <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tabColor rgb="FF00B0F0"/>
  </sheetPr>
  <dimension ref="B1:P16"/>
  <sheetViews>
    <sheetView zoomScale="90" zoomScaleNormal="90" workbookViewId="0">
      <selection activeCell="C15" sqref="C15"/>
    </sheetView>
  </sheetViews>
  <sheetFormatPr baseColWidth="10" defaultRowHeight="12.5" x14ac:dyDescent="0.25"/>
  <cols>
    <col min="1" max="1" width="3" customWidth="1"/>
    <col min="2" max="2" width="4.26953125" bestFit="1" customWidth="1"/>
    <col min="3" max="3" width="16.7265625" customWidth="1"/>
    <col min="4" max="4" width="14.26953125" customWidth="1"/>
    <col min="5" max="7" width="17.7265625" customWidth="1"/>
    <col min="8" max="8" width="18.26953125" customWidth="1"/>
    <col min="9" max="9" width="15.7265625" customWidth="1"/>
    <col min="10" max="10" width="16.453125" customWidth="1"/>
    <col min="11" max="11" width="15.7265625" customWidth="1"/>
    <col min="12" max="13" width="18.26953125" customWidth="1"/>
    <col min="14" max="14" width="15.7265625" customWidth="1"/>
    <col min="15" max="15" width="14.26953125" customWidth="1"/>
    <col min="16" max="16" width="14.453125" customWidth="1"/>
  </cols>
  <sheetData>
    <row r="1" spans="2:16" ht="13" thickBot="1" x14ac:dyDescent="0.3"/>
    <row r="2" spans="2:16" ht="35" thickBot="1" x14ac:dyDescent="0.3">
      <c r="B2" s="11" t="s">
        <v>3</v>
      </c>
      <c r="C2" s="28" t="s">
        <v>55</v>
      </c>
      <c r="D2" s="28" t="s">
        <v>50</v>
      </c>
      <c r="E2" s="28" t="s">
        <v>57</v>
      </c>
      <c r="F2" s="28" t="s">
        <v>129</v>
      </c>
      <c r="G2" s="28" t="s">
        <v>130</v>
      </c>
      <c r="H2" s="131" t="s">
        <v>52</v>
      </c>
      <c r="I2" s="12" t="s">
        <v>58</v>
      </c>
      <c r="J2" s="12" t="s">
        <v>59</v>
      </c>
      <c r="K2" s="12" t="s">
        <v>53</v>
      </c>
      <c r="L2" s="27" t="s">
        <v>60</v>
      </c>
      <c r="M2" s="65" t="s">
        <v>92</v>
      </c>
      <c r="N2" s="132" t="s">
        <v>54</v>
      </c>
    </row>
    <row r="3" spans="2:16" s="358" customFormat="1" x14ac:dyDescent="0.25">
      <c r="B3" s="306">
        <v>1</v>
      </c>
      <c r="C3" s="295">
        <f>'Recaudo EAAB Reciprocidad'!D21</f>
        <v>0</v>
      </c>
      <c r="D3" s="295">
        <f>'REMUNERACION Reciprocidad EAAB'!G125</f>
        <v>0</v>
      </c>
      <c r="E3" s="295">
        <f>'REMUNERACION Reciprocidad EAAB'!D28+'REMUNERACION Reciprocidad EAAB'!N28</f>
        <v>0</v>
      </c>
      <c r="F3" s="295">
        <f>'REMUNERACION Reciprocidad EAAB'!I142</f>
        <v>0</v>
      </c>
      <c r="G3" s="295">
        <f>'REMUNERACION Reciprocidad EAAB'!H142</f>
        <v>0</v>
      </c>
      <c r="H3" s="343">
        <f>SUM(C3:G3)</f>
        <v>0</v>
      </c>
      <c r="I3" s="294">
        <f>'REMUNERACION Reciprocidad EAAB'!D104</f>
        <v>0</v>
      </c>
      <c r="J3" s="295">
        <f>'REMUNERACION Reciprocidad EAAB'!N104</f>
        <v>0</v>
      </c>
      <c r="K3" s="295">
        <f>'REMUNERACION Reciprocidad EAAB'!D125</f>
        <v>0</v>
      </c>
      <c r="L3" s="356">
        <f>'REMUNERACION Reciprocidad EAAB'!E125</f>
        <v>0</v>
      </c>
      <c r="M3" s="295">
        <f>-'REMUNERACION Reciprocidad EAAB'!D66-'REMUNERACION Reciprocidad EAAB'!N66</f>
        <v>0</v>
      </c>
      <c r="N3" s="291">
        <f>SUM(I3:M3)</f>
        <v>0</v>
      </c>
      <c r="O3" s="357">
        <f t="shared" ref="O3:O8" si="0">H3-N3</f>
        <v>0</v>
      </c>
      <c r="P3" s="1" t="b">
        <f>INT(O3)=0</f>
        <v>1</v>
      </c>
    </row>
    <row r="4" spans="2:16" s="358" customFormat="1" x14ac:dyDescent="0.25">
      <c r="B4" s="317">
        <v>2</v>
      </c>
      <c r="C4" s="320">
        <f>'Recaudo EAAB Reciprocidad'!D22</f>
        <v>29345550</v>
      </c>
      <c r="D4" s="295">
        <f>'REMUNERACION Reciprocidad EAAB'!G126</f>
        <v>0</v>
      </c>
      <c r="E4" s="295">
        <f>'REMUNERACION Reciprocidad EAAB'!D29+'REMUNERACION Reciprocidad EAAB'!N29</f>
        <v>32822845.349999998</v>
      </c>
      <c r="F4" s="295">
        <f>'REMUNERACION Reciprocidad EAAB'!I143</f>
        <v>0</v>
      </c>
      <c r="G4" s="295">
        <f>'REMUNERACION Reciprocidad EAAB'!H143</f>
        <v>0</v>
      </c>
      <c r="H4" s="343">
        <f t="shared" ref="H4:H8" si="1">SUM(C4:G4)</f>
        <v>62168395.349999994</v>
      </c>
      <c r="I4" s="294">
        <f>'REMUNERACION Reciprocidad EAAB'!D105</f>
        <v>46373126.629999995</v>
      </c>
      <c r="J4" s="295">
        <f>'REMUNERACION Reciprocidad EAAB'!N105</f>
        <v>0</v>
      </c>
      <c r="K4" s="295">
        <f>'REMUNERACION Reciprocidad EAAB'!D126</f>
        <v>15775490</v>
      </c>
      <c r="L4" s="356">
        <f>'REMUNERACION Reciprocidad EAAB'!E126</f>
        <v>0</v>
      </c>
      <c r="M4" s="295">
        <f>-'REMUNERACION Reciprocidad EAAB'!D67-'REMUNERACION Reciprocidad EAAB'!N67</f>
        <v>19778.72</v>
      </c>
      <c r="N4" s="321">
        <f>SUM(I4:M4)</f>
        <v>62168395.349999994</v>
      </c>
      <c r="O4" s="357">
        <f t="shared" si="0"/>
        <v>0</v>
      </c>
      <c r="P4" s="1" t="b">
        <f t="shared" ref="P4:P9" si="2">INT(O4)=0</f>
        <v>1</v>
      </c>
    </row>
    <row r="5" spans="2:16" s="358" customFormat="1" x14ac:dyDescent="0.25">
      <c r="B5" s="317">
        <v>3</v>
      </c>
      <c r="C5" s="320">
        <f>'Recaudo EAAB Reciprocidad'!D23</f>
        <v>0</v>
      </c>
      <c r="D5" s="295">
        <f>'REMUNERACION Reciprocidad EAAB'!G127</f>
        <v>0</v>
      </c>
      <c r="E5" s="295">
        <f>'REMUNERACION Reciprocidad EAAB'!D30+'REMUNERACION Reciprocidad EAAB'!N30</f>
        <v>0</v>
      </c>
      <c r="F5" s="295">
        <f>'REMUNERACION Reciprocidad EAAB'!I144</f>
        <v>0</v>
      </c>
      <c r="G5" s="295">
        <f>'REMUNERACION Reciprocidad EAAB'!H144</f>
        <v>0</v>
      </c>
      <c r="H5" s="343">
        <f t="shared" si="1"/>
        <v>0</v>
      </c>
      <c r="I5" s="294">
        <f>'REMUNERACION Reciprocidad EAAB'!D106</f>
        <v>0</v>
      </c>
      <c r="J5" s="295">
        <f>'REMUNERACION Reciprocidad EAAB'!N106</f>
        <v>0</v>
      </c>
      <c r="K5" s="295">
        <f>'REMUNERACION Reciprocidad EAAB'!D127</f>
        <v>0</v>
      </c>
      <c r="L5" s="356">
        <f>'REMUNERACION Reciprocidad EAAB'!E127</f>
        <v>0</v>
      </c>
      <c r="M5" s="295">
        <f>-'REMUNERACION Reciprocidad EAAB'!D68-'REMUNERACION Reciprocidad EAAB'!N68</f>
        <v>0</v>
      </c>
      <c r="N5" s="321">
        <f>SUM(I5:M5)</f>
        <v>0</v>
      </c>
      <c r="O5" s="357">
        <f>H5-N5</f>
        <v>0</v>
      </c>
      <c r="P5" s="1" t="b">
        <f t="shared" si="2"/>
        <v>1</v>
      </c>
    </row>
    <row r="6" spans="2:16" s="358" customFormat="1" x14ac:dyDescent="0.25">
      <c r="B6" s="317">
        <v>4</v>
      </c>
      <c r="C6" s="320">
        <f>'Recaudo EAAB Reciprocidad'!D24</f>
        <v>15240310</v>
      </c>
      <c r="D6" s="295">
        <f>'REMUNERACION Reciprocidad EAAB'!G128</f>
        <v>0</v>
      </c>
      <c r="E6" s="295">
        <f>'REMUNERACION Reciprocidad EAAB'!D31+'REMUNERACION Reciprocidad EAAB'!N31</f>
        <v>4804828.2600000007</v>
      </c>
      <c r="F6" s="295">
        <f>'REMUNERACION Reciprocidad EAAB'!I145</f>
        <v>0</v>
      </c>
      <c r="G6" s="295">
        <f>'REMUNERACION Reciprocidad EAAB'!H145</f>
        <v>0</v>
      </c>
      <c r="H6" s="343">
        <f t="shared" si="1"/>
        <v>20045138.260000002</v>
      </c>
      <c r="I6" s="294">
        <f>'REMUNERACION Reciprocidad EAAB'!D107</f>
        <v>11605438.260000002</v>
      </c>
      <c r="J6" s="295">
        <f>'REMUNERACION Reciprocidad EAAB'!N107</f>
        <v>0</v>
      </c>
      <c r="K6" s="295">
        <f>'REMUNERACION Reciprocidad EAAB'!D128</f>
        <v>7975330</v>
      </c>
      <c r="L6" s="356">
        <f>'REMUNERACION Reciprocidad EAAB'!E128</f>
        <v>0</v>
      </c>
      <c r="M6" s="295">
        <f>-'REMUNERACION Reciprocidad EAAB'!D69-'REMUNERACION Reciprocidad EAAB'!N69</f>
        <v>464370</v>
      </c>
      <c r="N6" s="321">
        <f t="shared" ref="N6:N7" si="3">SUM(I6:M6)</f>
        <v>20045138.260000002</v>
      </c>
      <c r="O6" s="357">
        <f t="shared" si="0"/>
        <v>0</v>
      </c>
      <c r="P6" s="1" t="b">
        <f t="shared" si="2"/>
        <v>1</v>
      </c>
    </row>
    <row r="7" spans="2:16" s="358" customFormat="1" x14ac:dyDescent="0.25">
      <c r="B7" s="317">
        <v>5</v>
      </c>
      <c r="C7" s="320">
        <f>'Recaudo EAAB Reciprocidad'!D25</f>
        <v>0</v>
      </c>
      <c r="D7" s="295">
        <f>'REMUNERACION Reciprocidad EAAB'!G129</f>
        <v>0</v>
      </c>
      <c r="E7" s="295">
        <f>'REMUNERACION Reciprocidad EAAB'!D32+'REMUNERACION Reciprocidad EAAB'!N32</f>
        <v>0</v>
      </c>
      <c r="F7" s="295">
        <f>'REMUNERACION Reciprocidad EAAB'!I146</f>
        <v>0</v>
      </c>
      <c r="G7" s="295">
        <f>'REMUNERACION Reciprocidad EAAB'!H146</f>
        <v>0</v>
      </c>
      <c r="H7" s="343">
        <f t="shared" si="1"/>
        <v>0</v>
      </c>
      <c r="I7" s="294">
        <f>'REMUNERACION Reciprocidad EAAB'!D108</f>
        <v>0</v>
      </c>
      <c r="J7" s="295">
        <f>'REMUNERACION Reciprocidad EAAB'!N108</f>
        <v>0</v>
      </c>
      <c r="K7" s="295">
        <f>'REMUNERACION Reciprocidad EAAB'!D129</f>
        <v>0</v>
      </c>
      <c r="L7" s="356">
        <f>'REMUNERACION Reciprocidad EAAB'!E129</f>
        <v>0</v>
      </c>
      <c r="M7" s="295">
        <f>-'REMUNERACION Reciprocidad EAAB'!D70-'REMUNERACION Reciprocidad EAAB'!N70</f>
        <v>0</v>
      </c>
      <c r="N7" s="321">
        <f t="shared" si="3"/>
        <v>0</v>
      </c>
      <c r="O7" s="357">
        <f>H7-N7</f>
        <v>0</v>
      </c>
      <c r="P7" s="1" t="b">
        <f t="shared" si="2"/>
        <v>1</v>
      </c>
    </row>
    <row r="8" spans="2:16" s="358" customFormat="1" ht="13" thickBot="1" x14ac:dyDescent="0.3">
      <c r="B8" s="344" t="s">
        <v>89</v>
      </c>
      <c r="C8" s="320">
        <f>'Recaudo EAAB Reciprocidad'!D26</f>
        <v>0</v>
      </c>
      <c r="D8" s="359">
        <v>0</v>
      </c>
      <c r="E8" s="359">
        <v>0</v>
      </c>
      <c r="F8" s="359">
        <v>0</v>
      </c>
      <c r="G8" s="359">
        <v>0</v>
      </c>
      <c r="H8" s="343">
        <f t="shared" si="1"/>
        <v>0</v>
      </c>
      <c r="I8" s="360">
        <v>0</v>
      </c>
      <c r="J8" s="346">
        <v>0</v>
      </c>
      <c r="K8" s="346">
        <v>0</v>
      </c>
      <c r="L8" s="356">
        <f>'REMUNERACION Reciprocidad EAAB'!E130</f>
        <v>0</v>
      </c>
      <c r="M8" s="359">
        <v>0</v>
      </c>
      <c r="N8" s="361">
        <f>SUM(I8:L8)-M8</f>
        <v>0</v>
      </c>
      <c r="O8" s="357">
        <f t="shared" si="0"/>
        <v>0</v>
      </c>
      <c r="P8" s="1" t="b">
        <f t="shared" si="2"/>
        <v>1</v>
      </c>
    </row>
    <row r="9" spans="2:16" s="358" customFormat="1" ht="13" thickBot="1" x14ac:dyDescent="0.3">
      <c r="B9" s="330"/>
      <c r="C9" s="293">
        <f>SUM(C3:C8)</f>
        <v>44585860</v>
      </c>
      <c r="D9" s="293">
        <f t="shared" ref="D9:M9" si="4">SUM(D3:D8)</f>
        <v>0</v>
      </c>
      <c r="E9" s="293">
        <f>SUM(E3:E8)</f>
        <v>37627673.609999999</v>
      </c>
      <c r="F9" s="293">
        <f t="shared" si="4"/>
        <v>0</v>
      </c>
      <c r="G9" s="293">
        <f t="shared" si="4"/>
        <v>0</v>
      </c>
      <c r="H9" s="293">
        <f t="shared" si="4"/>
        <v>82213533.609999999</v>
      </c>
      <c r="I9" s="293">
        <f t="shared" si="4"/>
        <v>57978564.890000001</v>
      </c>
      <c r="J9" s="293">
        <f t="shared" si="4"/>
        <v>0</v>
      </c>
      <c r="K9" s="293">
        <f t="shared" si="4"/>
        <v>23750820</v>
      </c>
      <c r="L9" s="293">
        <f t="shared" si="4"/>
        <v>0</v>
      </c>
      <c r="M9" s="293">
        <f t="shared" si="4"/>
        <v>484148.72</v>
      </c>
      <c r="N9" s="293">
        <f>SUM(N3:N8)</f>
        <v>82213533.609999999</v>
      </c>
      <c r="O9" s="362">
        <f>SUM(O3:O8)</f>
        <v>0</v>
      </c>
      <c r="P9" s="1" t="b">
        <f t="shared" si="2"/>
        <v>1</v>
      </c>
    </row>
    <row r="11" spans="2:16" ht="13" x14ac:dyDescent="0.3">
      <c r="B11" s="102" t="s">
        <v>89</v>
      </c>
      <c r="C11" s="103" t="s">
        <v>90</v>
      </c>
      <c r="M11" s="141"/>
      <c r="O11" s="137"/>
    </row>
    <row r="12" spans="2:16" x14ac:dyDescent="0.25">
      <c r="C12" s="143"/>
    </row>
    <row r="13" spans="2:16" x14ac:dyDescent="0.25">
      <c r="B13" s="142"/>
      <c r="C13" s="143" t="s">
        <v>1</v>
      </c>
    </row>
    <row r="14" spans="2:16" x14ac:dyDescent="0.25">
      <c r="C14" s="245">
        <f>'Valida - Control Recaudo'!D9</f>
        <v>44585860</v>
      </c>
    </row>
    <row r="15" spans="2:16" x14ac:dyDescent="0.25">
      <c r="C15" s="249" t="b">
        <f>C14=C9</f>
        <v>1</v>
      </c>
    </row>
    <row r="16" spans="2:16" x14ac:dyDescent="0.25">
      <c r="C16" s="212" t="s">
        <v>1</v>
      </c>
    </row>
  </sheetData>
  <conditionalFormatting sqref="C15">
    <cfRule type="cellIs" dxfId="54" priority="4" operator="notEqual">
      <formula>TRUE</formula>
    </cfRule>
  </conditionalFormatting>
  <conditionalFormatting sqref="P3:P9">
    <cfRule type="cellIs" dxfId="53" priority="2" operator="notEqual">
      <formula>TRUE</formula>
    </cfRule>
  </conditionalFormatting>
  <pageMargins left="0.7" right="0.7" top="0.75" bottom="0.75" header="0.3" footer="0.3"/>
  <pageSetup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tabColor rgb="FF00B0F0"/>
    <pageSetUpPr fitToPage="1"/>
  </sheetPr>
  <dimension ref="A1:AI52"/>
  <sheetViews>
    <sheetView zoomScaleNormal="100" workbookViewId="0"/>
  </sheetViews>
  <sheetFormatPr baseColWidth="10" defaultColWidth="11.453125" defaultRowHeight="11.5" x14ac:dyDescent="0.25"/>
  <cols>
    <col min="1" max="1" width="3" style="1" customWidth="1"/>
    <col min="2" max="2" width="4.453125" style="1" bestFit="1" customWidth="1"/>
    <col min="3" max="3" width="36.7265625" style="1" customWidth="1"/>
    <col min="4" max="4" width="15.26953125" style="1" customWidth="1"/>
    <col min="5" max="5" width="16" style="1" customWidth="1"/>
    <col min="6" max="7" width="14.7265625" style="1" customWidth="1"/>
    <col min="8" max="8" width="16.26953125" style="1" customWidth="1"/>
    <col min="9" max="9" width="20.26953125" style="1" bestFit="1" customWidth="1"/>
    <col min="10" max="10" width="15.54296875" style="1" customWidth="1"/>
    <col min="11" max="11" width="17.54296875" style="1" customWidth="1"/>
    <col min="12" max="12" width="16.54296875" style="1" customWidth="1"/>
    <col min="13" max="13" width="19.7265625" style="1" customWidth="1"/>
    <col min="14" max="14" width="15.26953125" style="1" customWidth="1"/>
    <col min="15" max="15" width="16.7265625" style="1" customWidth="1"/>
    <col min="16" max="16" width="3.7265625" style="1" customWidth="1"/>
    <col min="17" max="17" width="2.7265625" style="1" customWidth="1"/>
    <col min="18" max="18" width="4.54296875" style="1" customWidth="1"/>
    <col min="19" max="19" width="11.26953125" style="1" customWidth="1"/>
    <col min="20" max="20" width="39.453125" style="1" customWidth="1"/>
    <col min="21" max="21" width="19.26953125" style="1" customWidth="1"/>
    <col min="22" max="22" width="17.7265625" style="1" customWidth="1"/>
    <col min="23" max="23" width="16.453125" style="1" customWidth="1"/>
    <col min="24" max="24" width="17.26953125" style="1" customWidth="1"/>
    <col min="25" max="25" width="15.7265625" style="1" customWidth="1"/>
    <col min="26" max="26" width="16" style="1" customWidth="1"/>
    <col min="27" max="27" width="15" style="1" customWidth="1"/>
    <col min="28" max="29" width="16.7265625" style="1" customWidth="1"/>
    <col min="30" max="31" width="15.453125" style="1" customWidth="1"/>
    <col min="32" max="32" width="16.26953125" style="1" customWidth="1"/>
    <col min="33" max="33" width="9.7265625" style="1" customWidth="1"/>
    <col min="34" max="34" width="13.7265625" style="1" customWidth="1"/>
    <col min="35" max="35" width="3.453125" style="1" customWidth="1"/>
    <col min="36" max="16384" width="11.453125" style="1"/>
  </cols>
  <sheetData>
    <row r="1" spans="2:35" ht="12" thickBot="1" x14ac:dyDescent="0.3">
      <c r="Q1" s="4"/>
      <c r="AI1" s="4"/>
    </row>
    <row r="2" spans="2:35" x14ac:dyDescent="0.25">
      <c r="B2" s="5"/>
      <c r="C2" s="3" t="s">
        <v>1</v>
      </c>
      <c r="D2" s="6" t="s">
        <v>1</v>
      </c>
      <c r="E2" s="3"/>
      <c r="F2" s="3"/>
      <c r="G2" s="3"/>
      <c r="H2" s="3" t="s">
        <v>1</v>
      </c>
      <c r="I2" s="3"/>
      <c r="J2" s="3"/>
      <c r="K2" s="3"/>
      <c r="L2" s="3"/>
      <c r="M2" s="3"/>
      <c r="N2" s="3"/>
      <c r="O2" s="7"/>
      <c r="P2" s="2"/>
      <c r="Q2" s="4"/>
      <c r="S2" s="5"/>
      <c r="T2" s="3" t="s">
        <v>1</v>
      </c>
      <c r="U2" s="6" t="s">
        <v>1</v>
      </c>
      <c r="V2" s="3"/>
      <c r="W2" s="3"/>
      <c r="X2" s="3" t="s">
        <v>1</v>
      </c>
      <c r="Y2" s="3"/>
      <c r="Z2" s="3"/>
      <c r="AA2" s="3"/>
      <c r="AB2" s="3"/>
      <c r="AC2" s="3"/>
      <c r="AD2" s="3"/>
      <c r="AE2" s="3"/>
      <c r="AF2" s="7"/>
      <c r="AG2" s="2"/>
      <c r="AI2" s="4"/>
    </row>
    <row r="3" spans="2:35" ht="14" x14ac:dyDescent="0.3">
      <c r="B3" s="8"/>
      <c r="F3" s="26" t="s">
        <v>8</v>
      </c>
      <c r="G3" s="26"/>
      <c r="I3" s="26" t="s">
        <v>16</v>
      </c>
      <c r="J3" s="25"/>
      <c r="M3" s="2" t="s">
        <v>15</v>
      </c>
      <c r="N3" s="50">
        <f>'REMUNERACION Reciprocidad EAAB'!N98</f>
        <v>2026071</v>
      </c>
      <c r="O3" s="10"/>
      <c r="P3" s="2"/>
      <c r="Q3" s="4"/>
      <c r="S3" s="8"/>
      <c r="U3" s="26" t="s">
        <v>8</v>
      </c>
      <c r="W3" s="26" t="s">
        <v>16</v>
      </c>
      <c r="X3" s="25"/>
      <c r="Y3" s="2"/>
      <c r="AA3" s="2" t="s">
        <v>15</v>
      </c>
      <c r="AD3" s="84">
        <f>N3</f>
        <v>2026071</v>
      </c>
      <c r="AE3" s="84"/>
      <c r="AF3" s="48"/>
      <c r="AG3" s="2"/>
      <c r="AI3" s="4"/>
    </row>
    <row r="4" spans="2:35" ht="15.5" x14ac:dyDescent="0.35">
      <c r="B4" s="8"/>
      <c r="F4" s="36" t="s">
        <v>29</v>
      </c>
      <c r="G4" s="36"/>
      <c r="O4" s="10"/>
      <c r="P4" s="2"/>
      <c r="Q4" s="4"/>
      <c r="S4" s="8"/>
      <c r="T4" s="26" t="s">
        <v>1</v>
      </c>
      <c r="U4" s="36" t="s">
        <v>29</v>
      </c>
      <c r="Y4" s="2" t="s">
        <v>1</v>
      </c>
      <c r="AA4" s="50" t="s">
        <v>1</v>
      </c>
      <c r="AB4" s="2"/>
      <c r="AC4" s="2"/>
      <c r="AD4" s="2"/>
      <c r="AE4" s="2"/>
      <c r="AF4" s="10" t="s">
        <v>1</v>
      </c>
      <c r="AG4" s="2"/>
      <c r="AI4" s="4"/>
    </row>
    <row r="5" spans="2:35" ht="14" x14ac:dyDescent="0.3">
      <c r="B5" s="8"/>
      <c r="F5" s="2" t="s">
        <v>30</v>
      </c>
      <c r="G5" s="2"/>
      <c r="M5" s="2" t="s">
        <v>1</v>
      </c>
      <c r="O5" s="10"/>
      <c r="P5" s="2"/>
      <c r="Q5" s="4"/>
      <c r="S5" s="8"/>
      <c r="T5" s="49" t="s">
        <v>1</v>
      </c>
      <c r="U5" s="2" t="s">
        <v>30</v>
      </c>
      <c r="AF5" s="44"/>
      <c r="AG5" s="2"/>
      <c r="AI5" s="4"/>
    </row>
    <row r="6" spans="2:35" ht="15.5" x14ac:dyDescent="0.35">
      <c r="B6" s="8"/>
      <c r="C6" s="591" t="s">
        <v>17</v>
      </c>
      <c r="D6" s="9">
        <f>'REMUNERACION Reciprocidad EAAB'!D101</f>
        <v>46220</v>
      </c>
      <c r="F6" s="58" t="str">
        <f>'REMUNERACION Reciprocidad EAAB'!F101</f>
        <v>REPORTE CONSOLIDADO TOTAL DE RECAUDO // RECIPROCIDAD - EAAB</v>
      </c>
      <c r="G6" s="58"/>
      <c r="H6" s="59"/>
      <c r="I6" s="60"/>
      <c r="J6" s="59"/>
      <c r="O6" s="10"/>
      <c r="P6" s="2"/>
      <c r="Q6" s="4"/>
      <c r="S6" s="8"/>
      <c r="T6" s="41" t="s">
        <v>1</v>
      </c>
      <c r="U6" s="58" t="str">
        <f>'REMUNERACION Reciprocidad EAAB'!U101</f>
        <v>REPORTE DETALLADO SUBBOLSA RBL DISCRIMINADO POR ACTIVIDADES // RECIPROCIDAD - EAAB</v>
      </c>
      <c r="V6" s="59"/>
      <c r="W6" s="60"/>
      <c r="X6" s="59"/>
      <c r="Y6" s="2"/>
      <c r="AF6" s="48"/>
      <c r="AG6" s="2"/>
      <c r="AI6" s="4"/>
    </row>
    <row r="7" spans="2:35" ht="12" thickBot="1" x14ac:dyDescent="0.3">
      <c r="B7" s="8"/>
      <c r="C7" s="591" t="s">
        <v>0</v>
      </c>
      <c r="D7" s="241">
        <f>'REMUNERACION Reciprocidad EAAB'!D102</f>
        <v>0.58333333333333337</v>
      </c>
      <c r="F7" s="2" t="s">
        <v>27</v>
      </c>
      <c r="G7" s="9">
        <f>'REMUNERACION Reciprocidad EAAB'!G102</f>
        <v>46204</v>
      </c>
      <c r="J7" s="2" t="s">
        <v>28</v>
      </c>
      <c r="K7" s="9">
        <f>'REMUNERACION Reciprocidad EAAB'!K102</f>
        <v>46218</v>
      </c>
      <c r="O7" s="10"/>
      <c r="P7" s="2"/>
      <c r="Q7" s="4"/>
      <c r="S7" s="8"/>
      <c r="U7" s="1" t="str">
        <f>F7</f>
        <v>Fecha Desde:</v>
      </c>
      <c r="V7" s="9">
        <f>G7</f>
        <v>46204</v>
      </c>
      <c r="W7" s="1" t="s">
        <v>1</v>
      </c>
      <c r="X7" s="1" t="str">
        <f>J7</f>
        <v>Feha Hasta:</v>
      </c>
      <c r="Y7" s="9">
        <f>K7</f>
        <v>46218</v>
      </c>
      <c r="Z7" s="1" t="s">
        <v>1</v>
      </c>
      <c r="AF7" s="48"/>
      <c r="AG7" s="2"/>
      <c r="AI7" s="4"/>
    </row>
    <row r="8" spans="2:35" ht="69.5" thickBot="1" x14ac:dyDescent="0.3">
      <c r="B8" s="11" t="s">
        <v>3</v>
      </c>
      <c r="C8" s="27" t="s">
        <v>9</v>
      </c>
      <c r="D8" s="11" t="s">
        <v>4</v>
      </c>
      <c r="E8" s="12" t="s">
        <v>5</v>
      </c>
      <c r="F8" s="12" t="s">
        <v>6</v>
      </c>
      <c r="G8" s="27" t="s">
        <v>159</v>
      </c>
      <c r="H8" s="12" t="s">
        <v>18</v>
      </c>
      <c r="I8" s="12" t="s">
        <v>24</v>
      </c>
      <c r="J8" s="73" t="s">
        <v>19</v>
      </c>
      <c r="K8" s="29" t="s">
        <v>20</v>
      </c>
      <c r="L8" s="28" t="s">
        <v>21</v>
      </c>
      <c r="M8" s="39" t="s">
        <v>22</v>
      </c>
      <c r="N8" s="12" t="s">
        <v>7</v>
      </c>
      <c r="O8" s="39" t="s">
        <v>23</v>
      </c>
      <c r="P8" s="13"/>
      <c r="Q8" s="4"/>
      <c r="S8" s="11" t="s">
        <v>3</v>
      </c>
      <c r="T8" s="27" t="s">
        <v>9</v>
      </c>
      <c r="U8" s="80" t="s">
        <v>39</v>
      </c>
      <c r="V8" s="51" t="s">
        <v>40</v>
      </c>
      <c r="W8" s="51" t="s">
        <v>41</v>
      </c>
      <c r="X8" s="51" t="s">
        <v>42</v>
      </c>
      <c r="Y8" s="81" t="s">
        <v>43</v>
      </c>
      <c r="Z8" s="85" t="s">
        <v>21</v>
      </c>
      <c r="AA8" s="65" t="s">
        <v>46</v>
      </c>
      <c r="AB8" s="65" t="s">
        <v>7</v>
      </c>
      <c r="AC8" s="85" t="s">
        <v>167</v>
      </c>
      <c r="AD8" s="27" t="s">
        <v>105</v>
      </c>
      <c r="AE8" s="27" t="s">
        <v>104</v>
      </c>
      <c r="AF8" s="39" t="s">
        <v>23</v>
      </c>
      <c r="AG8" s="13"/>
      <c r="AI8" s="4"/>
    </row>
    <row r="9" spans="2:35" x14ac:dyDescent="0.25">
      <c r="B9" s="14">
        <v>1</v>
      </c>
      <c r="C9" s="61" t="s">
        <v>10</v>
      </c>
      <c r="D9" s="66">
        <f>'REMUNERACION Reciprocidad EAAB'!D104</f>
        <v>0</v>
      </c>
      <c r="E9" s="66">
        <f>'REMUNERACION Reciprocidad EAAB'!E104</f>
        <v>0</v>
      </c>
      <c r="F9" s="66">
        <f>'REMUNERACION Reciprocidad EAAB'!F104</f>
        <v>0</v>
      </c>
      <c r="G9" s="66">
        <f>'REMUNERACION Reciprocidad EAAB'!G104</f>
        <v>0</v>
      </c>
      <c r="H9" s="66">
        <f>'REMUNERACION Reciprocidad EAAB'!H104</f>
        <v>0</v>
      </c>
      <c r="I9" s="66">
        <f>'REMUNERACION Reciprocidad EAAB'!I104</f>
        <v>0</v>
      </c>
      <c r="J9" s="66">
        <f>'REMUNERACION Reciprocidad EAAB'!J104</f>
        <v>0</v>
      </c>
      <c r="K9" s="30">
        <f>D9-E9-F9-G9-H9-I9-J9</f>
        <v>0</v>
      </c>
      <c r="L9" s="66">
        <f>'REMUNERACION Reciprocidad EAAB'!L104</f>
        <v>0</v>
      </c>
      <c r="M9" s="30">
        <f>K9-L9</f>
        <v>0</v>
      </c>
      <c r="N9" s="66">
        <f>'REMUNERACION Reciprocidad EAAB'!N104</f>
        <v>0</v>
      </c>
      <c r="O9" s="30">
        <f>M9+N9</f>
        <v>0</v>
      </c>
      <c r="Q9" s="4"/>
      <c r="S9" s="14">
        <v>1</v>
      </c>
      <c r="T9" s="61" t="s">
        <v>10</v>
      </c>
      <c r="U9" s="66">
        <f>'REMUNERACION Reciprocidad EAAB'!U104</f>
        <v>0</v>
      </c>
      <c r="V9" s="66">
        <f>'REMUNERACION Reciprocidad EAAB'!V104</f>
        <v>0</v>
      </c>
      <c r="W9" s="66">
        <f>'REMUNERACION Reciprocidad EAAB'!W104</f>
        <v>0</v>
      </c>
      <c r="X9" s="66">
        <f>'REMUNERACION Reciprocidad EAAB'!X104</f>
        <v>0</v>
      </c>
      <c r="Y9" s="66">
        <f>'REMUNERACION Reciprocidad EAAB'!Y104</f>
        <v>0</v>
      </c>
      <c r="Z9" s="66">
        <f>'REMUNERACION Reciprocidad EAAB'!Z104</f>
        <v>0</v>
      </c>
      <c r="AA9" s="66">
        <f>'REMUNERACION Reciprocidad EAAB'!AA104</f>
        <v>0</v>
      </c>
      <c r="AB9" s="66">
        <f>'REMUNERACION Reciprocidad EAAB'!AB104</f>
        <v>0</v>
      </c>
      <c r="AC9" s="66">
        <f>'REMUNERACION Reciprocidad EAAB'!AC104</f>
        <v>0</v>
      </c>
      <c r="AD9" s="66">
        <f>'REMUNERACION Reciprocidad EAAB'!AD104</f>
        <v>0</v>
      </c>
      <c r="AE9" s="66">
        <f>'REMUNERACION Reciprocidad EAAB'!AE104</f>
        <v>0</v>
      </c>
      <c r="AF9" s="69">
        <f>SUM(U9:AD9)</f>
        <v>0</v>
      </c>
      <c r="AG9" s="71">
        <f>AF9-O9</f>
        <v>0</v>
      </c>
      <c r="AH9" s="1" t="b">
        <f>INT(AG9)=0</f>
        <v>1</v>
      </c>
      <c r="AI9" s="4"/>
    </row>
    <row r="10" spans="2:35" x14ac:dyDescent="0.25">
      <c r="B10" s="16">
        <v>2</v>
      </c>
      <c r="C10" s="62" t="s">
        <v>11</v>
      </c>
      <c r="D10" s="66">
        <f>'REMUNERACION Reciprocidad EAAB'!D105</f>
        <v>46373126.629999995</v>
      </c>
      <c r="E10" s="66">
        <f>'REMUNERACION Reciprocidad EAAB'!E105</f>
        <v>4158139.0000000005</v>
      </c>
      <c r="F10" s="66">
        <f>'REMUNERACION Reciprocidad EAAB'!F105</f>
        <v>2420063.96</v>
      </c>
      <c r="G10" s="66">
        <f>'REMUNERACION Reciprocidad EAAB'!G105</f>
        <v>850315.18</v>
      </c>
      <c r="H10" s="66">
        <f>'REMUNERACION Reciprocidad EAAB'!H105</f>
        <v>17472217.539999999</v>
      </c>
      <c r="I10" s="66">
        <f>'REMUNERACION Reciprocidad EAAB'!I105</f>
        <v>607377.93999999994</v>
      </c>
      <c r="J10" s="66">
        <f>'REMUNERACION Reciprocidad EAAB'!J105</f>
        <v>0</v>
      </c>
      <c r="K10" s="31">
        <f t="shared" ref="K10:K13" si="0">D10-E10-F10-G10-H10-I10-J10</f>
        <v>20865013.009999994</v>
      </c>
      <c r="L10" s="66">
        <f>'REMUNERACION Reciprocidad EAAB'!L105</f>
        <v>0</v>
      </c>
      <c r="M10" s="31">
        <f>K10-L10</f>
        <v>20865013.009999994</v>
      </c>
      <c r="N10" s="66">
        <f>'REMUNERACION Reciprocidad EAAB'!N105</f>
        <v>0</v>
      </c>
      <c r="O10" s="31">
        <f t="shared" ref="O10:O13" si="1">M10+N10</f>
        <v>20865013.009999994</v>
      </c>
      <c r="Q10" s="4"/>
      <c r="S10" s="16">
        <v>2</v>
      </c>
      <c r="T10" s="62" t="s">
        <v>11</v>
      </c>
      <c r="U10" s="66">
        <f>'REMUNERACION Reciprocidad EAAB'!U105</f>
        <v>5673196.9500000002</v>
      </c>
      <c r="V10" s="66">
        <f>'REMUNERACION Reciprocidad EAAB'!V105</f>
        <v>5228043.83</v>
      </c>
      <c r="W10" s="66">
        <f>'REMUNERACION Reciprocidad EAAB'!W105</f>
        <v>22283113.059999999</v>
      </c>
      <c r="X10" s="66">
        <f>'REMUNERACION Reciprocidad EAAB'!X105</f>
        <v>8198077.5499999998</v>
      </c>
      <c r="Y10" s="66">
        <f>'REMUNERACION Reciprocidad EAAB'!Y105</f>
        <v>734557.09</v>
      </c>
      <c r="Z10" s="66">
        <f>'REMUNERACION Reciprocidad EAAB'!Z105</f>
        <v>0</v>
      </c>
      <c r="AA10" s="66">
        <f>'REMUNERACION Reciprocidad EAAB'!AA105</f>
        <v>-115.77000000000001</v>
      </c>
      <c r="AB10" s="66">
        <f>'REMUNERACION Reciprocidad EAAB'!AB105</f>
        <v>0</v>
      </c>
      <c r="AC10" s="66">
        <f>'REMUNERACION Reciprocidad EAAB'!AC105</f>
        <v>0</v>
      </c>
      <c r="AD10" s="66">
        <f>'REMUNERACION Reciprocidad EAAB'!AD105</f>
        <v>-21251859.700000003</v>
      </c>
      <c r="AE10" s="66">
        <f>'REMUNERACION Reciprocidad EAAB'!AE105</f>
        <v>-21251859.700000003</v>
      </c>
      <c r="AF10" s="70">
        <f>SUM(U10:AD10)</f>
        <v>20865013.009999998</v>
      </c>
      <c r="AG10" s="72">
        <f>AF10-O10</f>
        <v>0</v>
      </c>
      <c r="AH10" s="1" t="b">
        <f t="shared" ref="AH10:AH14" si="2">INT(AG10)=0</f>
        <v>1</v>
      </c>
      <c r="AI10" s="4"/>
    </row>
    <row r="11" spans="2:35" x14ac:dyDescent="0.25">
      <c r="B11" s="16">
        <v>3</v>
      </c>
      <c r="C11" s="62" t="s">
        <v>12</v>
      </c>
      <c r="D11" s="66">
        <f>'REMUNERACION Reciprocidad EAAB'!D106</f>
        <v>0</v>
      </c>
      <c r="E11" s="66">
        <f>'REMUNERACION Reciprocidad EAAB'!E106</f>
        <v>0</v>
      </c>
      <c r="F11" s="66">
        <f>'REMUNERACION Reciprocidad EAAB'!F106</f>
        <v>0</v>
      </c>
      <c r="G11" s="66">
        <f>'REMUNERACION Reciprocidad EAAB'!G106</f>
        <v>0</v>
      </c>
      <c r="H11" s="66">
        <f>'REMUNERACION Reciprocidad EAAB'!H106</f>
        <v>0</v>
      </c>
      <c r="I11" s="66">
        <f>'REMUNERACION Reciprocidad EAAB'!I106</f>
        <v>0</v>
      </c>
      <c r="J11" s="66">
        <f>'REMUNERACION Reciprocidad EAAB'!J106</f>
        <v>0</v>
      </c>
      <c r="K11" s="31">
        <f t="shared" si="0"/>
        <v>0</v>
      </c>
      <c r="L11" s="66">
        <f>'REMUNERACION Reciprocidad EAAB'!L106</f>
        <v>0</v>
      </c>
      <c r="M11" s="31">
        <f>K11-L11</f>
        <v>0</v>
      </c>
      <c r="N11" s="66">
        <f>'REMUNERACION Reciprocidad EAAB'!N106</f>
        <v>0</v>
      </c>
      <c r="O11" s="31">
        <f t="shared" si="1"/>
        <v>0</v>
      </c>
      <c r="Q11" s="4"/>
      <c r="S11" s="16">
        <v>3</v>
      </c>
      <c r="T11" s="62" t="s">
        <v>12</v>
      </c>
      <c r="U11" s="66">
        <f>'REMUNERACION Reciprocidad EAAB'!U106</f>
        <v>0</v>
      </c>
      <c r="V11" s="66">
        <f>'REMUNERACION Reciprocidad EAAB'!V106</f>
        <v>0</v>
      </c>
      <c r="W11" s="66">
        <f>'REMUNERACION Reciprocidad EAAB'!W106</f>
        <v>0</v>
      </c>
      <c r="X11" s="66">
        <f>'REMUNERACION Reciprocidad EAAB'!X106</f>
        <v>0</v>
      </c>
      <c r="Y11" s="66">
        <f>'REMUNERACION Reciprocidad EAAB'!Y106</f>
        <v>0</v>
      </c>
      <c r="Z11" s="66">
        <f>'REMUNERACION Reciprocidad EAAB'!Z106</f>
        <v>0</v>
      </c>
      <c r="AA11" s="66">
        <f>'REMUNERACION Reciprocidad EAAB'!AA106</f>
        <v>0</v>
      </c>
      <c r="AB11" s="66">
        <f>'REMUNERACION Reciprocidad EAAB'!AB106</f>
        <v>0</v>
      </c>
      <c r="AC11" s="66">
        <f>'REMUNERACION Reciprocidad EAAB'!AC106</f>
        <v>0</v>
      </c>
      <c r="AD11" s="66">
        <f>'REMUNERACION Reciprocidad EAAB'!AD106</f>
        <v>0</v>
      </c>
      <c r="AE11" s="66">
        <f>'REMUNERACION Reciprocidad EAAB'!AE106</f>
        <v>0</v>
      </c>
      <c r="AF11" s="70">
        <f>SUM(U11:AD11)</f>
        <v>0</v>
      </c>
      <c r="AG11" s="72">
        <f>AF11-O11</f>
        <v>0</v>
      </c>
      <c r="AH11" s="1" t="b">
        <f t="shared" si="2"/>
        <v>1</v>
      </c>
      <c r="AI11" s="4"/>
    </row>
    <row r="12" spans="2:35" x14ac:dyDescent="0.25">
      <c r="B12" s="16">
        <v>4</v>
      </c>
      <c r="C12" s="62" t="s">
        <v>13</v>
      </c>
      <c r="D12" s="66">
        <f>'REMUNERACION Reciprocidad EAAB'!D107</f>
        <v>11605438.260000002</v>
      </c>
      <c r="E12" s="66">
        <f>'REMUNERACION Reciprocidad EAAB'!E107</f>
        <v>868507.7</v>
      </c>
      <c r="F12" s="66">
        <f>'REMUNERACION Reciprocidad EAAB'!F107</f>
        <v>465064.46</v>
      </c>
      <c r="G12" s="66">
        <f>'REMUNERACION Reciprocidad EAAB'!G107</f>
        <v>198481.49</v>
      </c>
      <c r="H12" s="66">
        <f>'REMUNERACION Reciprocidad EAAB'!H107</f>
        <v>2422341.04</v>
      </c>
      <c r="I12" s="66">
        <f>'REMUNERACION Reciprocidad EAAB'!I107</f>
        <v>86529.63</v>
      </c>
      <c r="J12" s="66">
        <f>'REMUNERACION Reciprocidad EAAB'!J107</f>
        <v>0</v>
      </c>
      <c r="K12" s="31">
        <f t="shared" si="0"/>
        <v>7564513.9400000013</v>
      </c>
      <c r="L12" s="66">
        <f>'REMUNERACION Reciprocidad EAAB'!L107</f>
        <v>0</v>
      </c>
      <c r="M12" s="31">
        <f>K12-L12</f>
        <v>7564513.9400000013</v>
      </c>
      <c r="N12" s="66">
        <f>'REMUNERACION Reciprocidad EAAB'!N107</f>
        <v>0</v>
      </c>
      <c r="O12" s="31">
        <f t="shared" si="1"/>
        <v>7564513.9400000013</v>
      </c>
      <c r="Q12" s="4"/>
      <c r="S12" s="16">
        <v>4</v>
      </c>
      <c r="T12" s="62" t="s">
        <v>13</v>
      </c>
      <c r="U12" s="66">
        <f>'REMUNERACION Reciprocidad EAAB'!U107</f>
        <v>767640.19</v>
      </c>
      <c r="V12" s="66">
        <f>'REMUNERACION Reciprocidad EAAB'!V107</f>
        <v>744104.27</v>
      </c>
      <c r="W12" s="66">
        <f>'REMUNERACION Reciprocidad EAAB'!W107</f>
        <v>3251640.6599999997</v>
      </c>
      <c r="X12" s="66">
        <f>'REMUNERACION Reciprocidad EAAB'!X107</f>
        <v>2242956.21</v>
      </c>
      <c r="Y12" s="66">
        <f>'REMUNERACION Reciprocidad EAAB'!Y107</f>
        <v>121179.42</v>
      </c>
      <c r="Z12" s="66">
        <f>'REMUNERACION Reciprocidad EAAB'!Z107</f>
        <v>0</v>
      </c>
      <c r="AA12" s="66">
        <f>'REMUNERACION Reciprocidad EAAB'!AA107</f>
        <v>-68.779999999999987</v>
      </c>
      <c r="AB12" s="66">
        <f>'REMUNERACION Reciprocidad EAAB'!AB107</f>
        <v>0</v>
      </c>
      <c r="AC12" s="66">
        <f>'REMUNERACION Reciprocidad EAAB'!AC107</f>
        <v>0</v>
      </c>
      <c r="AD12" s="66">
        <f>'REMUNERACION Reciprocidad EAAB'!AD107</f>
        <v>437061.97000000003</v>
      </c>
      <c r="AE12" s="66">
        <f>'REMUNERACION Reciprocidad EAAB'!AE107</f>
        <v>437061.97000000003</v>
      </c>
      <c r="AF12" s="70">
        <f>SUM(U12:AD12)</f>
        <v>7564513.9399999985</v>
      </c>
      <c r="AG12" s="72">
        <f>AF12-O12</f>
        <v>0</v>
      </c>
      <c r="AH12" s="1" t="b">
        <f t="shared" si="2"/>
        <v>1</v>
      </c>
      <c r="AI12" s="4"/>
    </row>
    <row r="13" spans="2:35" ht="12" thickBot="1" x14ac:dyDescent="0.3">
      <c r="B13" s="19">
        <v>5</v>
      </c>
      <c r="C13" s="63" t="s">
        <v>14</v>
      </c>
      <c r="D13" s="66">
        <f>'REMUNERACION Reciprocidad EAAB'!D108</f>
        <v>0</v>
      </c>
      <c r="E13" s="66">
        <f>'REMUNERACION Reciprocidad EAAB'!E108</f>
        <v>0</v>
      </c>
      <c r="F13" s="66">
        <f>'REMUNERACION Reciprocidad EAAB'!F108</f>
        <v>0</v>
      </c>
      <c r="G13" s="66">
        <f>'REMUNERACION Reciprocidad EAAB'!G108</f>
        <v>0</v>
      </c>
      <c r="H13" s="66">
        <f>'REMUNERACION Reciprocidad EAAB'!H108</f>
        <v>0</v>
      </c>
      <c r="I13" s="66">
        <f>'REMUNERACION Reciprocidad EAAB'!I108</f>
        <v>0</v>
      </c>
      <c r="J13" s="66">
        <f>'REMUNERACION Reciprocidad EAAB'!J108</f>
        <v>0</v>
      </c>
      <c r="K13" s="31">
        <f t="shared" si="0"/>
        <v>0</v>
      </c>
      <c r="L13" s="66">
        <f>'REMUNERACION Reciprocidad EAAB'!L108</f>
        <v>0</v>
      </c>
      <c r="M13" s="40">
        <f>K13-L13</f>
        <v>0</v>
      </c>
      <c r="N13" s="66">
        <f>'REMUNERACION Reciprocidad EAAB'!N108</f>
        <v>0</v>
      </c>
      <c r="O13" s="40">
        <f t="shared" si="1"/>
        <v>0</v>
      </c>
      <c r="Q13" s="4"/>
      <c r="S13" s="19">
        <v>5</v>
      </c>
      <c r="T13" s="63" t="s">
        <v>14</v>
      </c>
      <c r="U13" s="66">
        <f>'REMUNERACION Reciprocidad EAAB'!U108</f>
        <v>0</v>
      </c>
      <c r="V13" s="66">
        <f>'REMUNERACION Reciprocidad EAAB'!V108</f>
        <v>0</v>
      </c>
      <c r="W13" s="66">
        <f>'REMUNERACION Reciprocidad EAAB'!W108</f>
        <v>0</v>
      </c>
      <c r="X13" s="66">
        <f>'REMUNERACION Reciprocidad EAAB'!X108</f>
        <v>0</v>
      </c>
      <c r="Y13" s="66">
        <f>'REMUNERACION Reciprocidad EAAB'!Y108</f>
        <v>0</v>
      </c>
      <c r="Z13" s="66">
        <f>'REMUNERACION Reciprocidad EAAB'!Z108</f>
        <v>0</v>
      </c>
      <c r="AA13" s="66">
        <f>'REMUNERACION Reciprocidad EAAB'!AA108</f>
        <v>0</v>
      </c>
      <c r="AB13" s="66">
        <f>'REMUNERACION Reciprocidad EAAB'!AB108</f>
        <v>0</v>
      </c>
      <c r="AC13" s="66">
        <f>'REMUNERACION Reciprocidad EAAB'!AC108</f>
        <v>0</v>
      </c>
      <c r="AD13" s="66">
        <f>'REMUNERACION Reciprocidad EAAB'!AD108</f>
        <v>0</v>
      </c>
      <c r="AE13" s="66">
        <f>'REMUNERACION Reciprocidad EAAB'!AE108</f>
        <v>0</v>
      </c>
      <c r="AF13" s="70">
        <f>SUM(U13:AD13)</f>
        <v>0</v>
      </c>
      <c r="AG13" s="72">
        <f>AF13-O13</f>
        <v>0</v>
      </c>
      <c r="AH13" s="1" t="b">
        <f t="shared" si="2"/>
        <v>1</v>
      </c>
      <c r="AI13" s="4"/>
    </row>
    <row r="14" spans="2:35" ht="13.5" thickBot="1" x14ac:dyDescent="0.35">
      <c r="B14" s="21"/>
      <c r="C14" s="22" t="s">
        <v>2</v>
      </c>
      <c r="D14" s="43">
        <f t="shared" ref="D14:O14" si="3">SUM(D9:D13)</f>
        <v>57978564.890000001</v>
      </c>
      <c r="E14" s="43">
        <f t="shared" si="3"/>
        <v>5026646.7</v>
      </c>
      <c r="F14" s="43">
        <f t="shared" si="3"/>
        <v>2885128.42</v>
      </c>
      <c r="G14" s="43">
        <f t="shared" si="3"/>
        <v>1048796.67</v>
      </c>
      <c r="H14" s="43">
        <f t="shared" si="3"/>
        <v>19894558.579999998</v>
      </c>
      <c r="I14" s="43">
        <f t="shared" si="3"/>
        <v>693907.57</v>
      </c>
      <c r="J14" s="43">
        <f t="shared" si="3"/>
        <v>0</v>
      </c>
      <c r="K14" s="32">
        <f t="shared" si="3"/>
        <v>28429526.949999996</v>
      </c>
      <c r="L14" s="23">
        <f t="shared" si="3"/>
        <v>0</v>
      </c>
      <c r="M14" s="76">
        <f t="shared" si="3"/>
        <v>28429526.949999996</v>
      </c>
      <c r="N14" s="23">
        <f t="shared" si="3"/>
        <v>0</v>
      </c>
      <c r="O14" s="76">
        <f t="shared" si="3"/>
        <v>28429526.949999996</v>
      </c>
      <c r="P14" s="2"/>
      <c r="Q14" s="4"/>
      <c r="S14" s="21"/>
      <c r="T14" s="22" t="s">
        <v>2</v>
      </c>
      <c r="U14" s="43">
        <f>SUM(U9:U13)</f>
        <v>6440837.1400000006</v>
      </c>
      <c r="V14" s="43">
        <f t="shared" ref="V14:AG14" si="4">SUM(V9:V13)</f>
        <v>5972148.0999999996</v>
      </c>
      <c r="W14" s="43">
        <f t="shared" si="4"/>
        <v>25534753.719999999</v>
      </c>
      <c r="X14" s="43">
        <f t="shared" si="4"/>
        <v>10441033.76</v>
      </c>
      <c r="Y14" s="43">
        <f t="shared" si="4"/>
        <v>855736.51</v>
      </c>
      <c r="Z14" s="43">
        <f t="shared" si="4"/>
        <v>0</v>
      </c>
      <c r="AA14" s="43">
        <f t="shared" si="4"/>
        <v>-184.55</v>
      </c>
      <c r="AB14" s="43">
        <f t="shared" si="4"/>
        <v>0</v>
      </c>
      <c r="AC14" s="43">
        <f t="shared" si="4"/>
        <v>0</v>
      </c>
      <c r="AD14" s="43">
        <f t="shared" si="4"/>
        <v>-20814797.730000004</v>
      </c>
      <c r="AE14" s="43">
        <f>SUM(AE9:AE13)</f>
        <v>-20814797.730000004</v>
      </c>
      <c r="AF14" s="68">
        <f t="shared" si="4"/>
        <v>28429526.949999996</v>
      </c>
      <c r="AG14" s="43">
        <f t="shared" si="4"/>
        <v>0</v>
      </c>
      <c r="AH14" s="1" t="b">
        <f t="shared" si="2"/>
        <v>1</v>
      </c>
      <c r="AI14" s="4"/>
    </row>
    <row r="15" spans="2:35" ht="12" thickBot="1" x14ac:dyDescent="0.3">
      <c r="B15" s="2"/>
      <c r="C15" s="2"/>
      <c r="D15" s="24"/>
      <c r="E15" s="24"/>
      <c r="F15" s="24"/>
      <c r="G15" s="24"/>
      <c r="H15" s="24"/>
      <c r="I15" s="24"/>
      <c r="K15" s="24"/>
      <c r="L15" s="24"/>
      <c r="M15" s="24"/>
      <c r="N15" s="24"/>
      <c r="O15" s="24"/>
      <c r="Q15" s="4"/>
      <c r="S15" s="2"/>
      <c r="T15" s="2"/>
      <c r="U15" s="24"/>
      <c r="V15" s="24"/>
      <c r="W15" s="24"/>
      <c r="X15" s="24"/>
      <c r="Y15" s="24"/>
      <c r="AF15" s="24"/>
      <c r="AI15" s="4"/>
    </row>
    <row r="16" spans="2:35" ht="12" thickBot="1" x14ac:dyDescent="0.3">
      <c r="B16" s="2"/>
      <c r="C16" s="2"/>
      <c r="D16" s="24" t="s">
        <v>1</v>
      </c>
      <c r="E16" s="24"/>
      <c r="F16" s="24"/>
      <c r="G16" s="24"/>
      <c r="H16" s="24"/>
      <c r="I16" s="24"/>
      <c r="K16" s="24"/>
      <c r="L16" s="24"/>
      <c r="M16" s="24"/>
      <c r="N16" s="24"/>
      <c r="O16" s="24"/>
      <c r="Q16" s="4"/>
      <c r="Y16" s="86">
        <f>SUM(U14:Y14)</f>
        <v>49244509.229999997</v>
      </c>
      <c r="AA16" s="1" t="s">
        <v>1</v>
      </c>
      <c r="AB16" s="1" t="s">
        <v>1</v>
      </c>
      <c r="AD16" s="1" t="s">
        <v>1</v>
      </c>
      <c r="AF16" s="1" t="s">
        <v>1</v>
      </c>
      <c r="AI16" s="4"/>
    </row>
    <row r="17" spans="1:35" ht="64.5" customHeight="1" thickBot="1" x14ac:dyDescent="0.3">
      <c r="B17" s="2"/>
      <c r="C17" s="2"/>
      <c r="D17" s="24" t="s">
        <v>1</v>
      </c>
      <c r="E17" s="33"/>
      <c r="F17" s="33"/>
      <c r="G17" s="33"/>
      <c r="H17" s="33"/>
      <c r="I17" s="24"/>
      <c r="K17" s="24"/>
      <c r="L17" s="24"/>
      <c r="M17" s="24"/>
      <c r="N17" s="24"/>
      <c r="O17" s="24"/>
      <c r="Q17" s="4"/>
      <c r="U17" s="33"/>
      <c r="V17" s="33"/>
      <c r="W17" s="33"/>
      <c r="X17" s="33"/>
      <c r="AI17" s="4"/>
    </row>
    <row r="18" spans="1:35" x14ac:dyDescent="0.25">
      <c r="B18" s="2"/>
      <c r="C18" s="2"/>
      <c r="D18" s="24" t="s">
        <v>1</v>
      </c>
      <c r="E18" s="24" t="s">
        <v>1</v>
      </c>
      <c r="F18" s="24" t="s">
        <v>25</v>
      </c>
      <c r="G18" s="24"/>
      <c r="H18" s="24"/>
      <c r="I18" s="24"/>
      <c r="K18" s="24"/>
      <c r="L18" s="24"/>
      <c r="M18" s="24"/>
      <c r="N18" s="24"/>
      <c r="O18" s="24"/>
      <c r="Q18" s="4"/>
      <c r="U18" s="24" t="s">
        <v>1</v>
      </c>
      <c r="V18" s="24" t="s">
        <v>25</v>
      </c>
      <c r="W18" s="24"/>
      <c r="X18" s="24"/>
      <c r="AI18" s="4"/>
    </row>
    <row r="19" spans="1:35" x14ac:dyDescent="0.25">
      <c r="A19" s="52"/>
      <c r="B19" s="53"/>
      <c r="C19" s="53"/>
      <c r="D19" s="54"/>
      <c r="E19" s="54"/>
      <c r="F19" s="54"/>
      <c r="G19" s="54"/>
      <c r="H19" s="54"/>
      <c r="I19" s="54"/>
      <c r="J19" s="52"/>
      <c r="K19" s="54"/>
      <c r="L19" s="54"/>
      <c r="M19" s="54"/>
      <c r="N19" s="54"/>
      <c r="O19" s="54"/>
      <c r="P19" s="52"/>
      <c r="Q19" s="52"/>
      <c r="R19" s="52"/>
      <c r="S19" s="52"/>
      <c r="T19" s="52"/>
      <c r="U19" s="52"/>
      <c r="V19" s="52"/>
      <c r="W19" s="52"/>
      <c r="X19" s="52"/>
      <c r="Y19" s="52"/>
      <c r="Z19" s="52"/>
      <c r="AA19" s="52"/>
      <c r="AB19" s="52"/>
      <c r="AC19" s="52"/>
      <c r="AD19" s="52"/>
      <c r="AE19" s="52"/>
      <c r="AF19" s="52"/>
      <c r="AG19" s="52"/>
      <c r="AH19" s="52"/>
      <c r="AI19" s="52"/>
    </row>
    <row r="20" spans="1:35" ht="12" thickBot="1" x14ac:dyDescent="0.3">
      <c r="Q20" s="4"/>
    </row>
    <row r="21" spans="1:35" x14ac:dyDescent="0.25">
      <c r="B21" s="5"/>
      <c r="C21" s="3" t="s">
        <v>1</v>
      </c>
      <c r="D21" s="6" t="s">
        <v>1</v>
      </c>
      <c r="E21" s="3"/>
      <c r="F21" s="3"/>
      <c r="G21" s="3"/>
      <c r="H21" s="3" t="s">
        <v>1</v>
      </c>
      <c r="I21" s="3"/>
      <c r="J21" s="3"/>
      <c r="K21" s="3"/>
      <c r="L21" s="3"/>
      <c r="M21" s="3"/>
      <c r="N21" s="3"/>
      <c r="O21" s="7"/>
      <c r="P21" s="2"/>
      <c r="Q21" s="35"/>
    </row>
    <row r="22" spans="1:35" ht="14" x14ac:dyDescent="0.3">
      <c r="B22" s="8"/>
      <c r="C22" s="2"/>
      <c r="D22" s="9"/>
      <c r="F22" s="26" t="s">
        <v>8</v>
      </c>
      <c r="G22" s="26"/>
      <c r="I22" s="26" t="s">
        <v>16</v>
      </c>
      <c r="J22" s="25"/>
      <c r="M22" s="2" t="s">
        <v>15</v>
      </c>
      <c r="N22" s="50">
        <f>'REMUNERACION Reciprocidad EAAB'!M117</f>
        <v>2026071</v>
      </c>
      <c r="O22" s="10"/>
      <c r="P22" s="2"/>
      <c r="Q22" s="4"/>
    </row>
    <row r="23" spans="1:35" ht="15.5" x14ac:dyDescent="0.35">
      <c r="B23" s="8"/>
      <c r="C23" s="2"/>
      <c r="D23" s="57"/>
      <c r="F23" s="36" t="s">
        <v>29</v>
      </c>
      <c r="G23" s="36"/>
      <c r="O23" s="10"/>
      <c r="P23" s="2"/>
      <c r="Q23" s="4"/>
    </row>
    <row r="24" spans="1:35" x14ac:dyDescent="0.25">
      <c r="B24" s="8"/>
      <c r="F24" s="2" t="s">
        <v>30</v>
      </c>
      <c r="G24" s="2"/>
      <c r="M24" s="2" t="s">
        <v>1</v>
      </c>
      <c r="O24" s="10"/>
      <c r="P24" s="2"/>
      <c r="Q24" s="4"/>
    </row>
    <row r="25" spans="1:35" x14ac:dyDescent="0.25">
      <c r="B25" s="8"/>
      <c r="I25" s="2"/>
      <c r="J25" s="2"/>
      <c r="O25" s="10"/>
      <c r="P25" s="2"/>
      <c r="Q25" s="4"/>
    </row>
    <row r="26" spans="1:35" ht="15.5" x14ac:dyDescent="0.35">
      <c r="B26" s="8"/>
      <c r="F26" s="41" t="s">
        <v>37</v>
      </c>
      <c r="G26" s="41"/>
      <c r="H26" s="2"/>
      <c r="J26" s="2"/>
      <c r="O26" s="10"/>
      <c r="P26" s="2"/>
      <c r="Q26" s="4"/>
    </row>
    <row r="27" spans="1:35" x14ac:dyDescent="0.25">
      <c r="B27" s="8"/>
      <c r="F27" s="2" t="s">
        <v>27</v>
      </c>
      <c r="G27" s="2"/>
      <c r="H27" s="9">
        <f>'REMUNERACION Reciprocidad EAAB'!G122</f>
        <v>46204</v>
      </c>
      <c r="J27" s="2" t="s">
        <v>28</v>
      </c>
      <c r="K27" s="9">
        <f>'REMUNERACION Reciprocidad EAAB'!K122</f>
        <v>46218</v>
      </c>
      <c r="O27" s="10"/>
      <c r="P27" s="2"/>
      <c r="Q27" s="4"/>
    </row>
    <row r="28" spans="1:35" ht="12" thickBot="1" x14ac:dyDescent="0.3">
      <c r="B28" s="8"/>
      <c r="C28" s="2" t="s">
        <v>1</v>
      </c>
      <c r="D28" s="2" t="s">
        <v>1</v>
      </c>
      <c r="J28" s="1" t="s">
        <v>1</v>
      </c>
      <c r="O28" s="44"/>
      <c r="P28" s="2"/>
      <c r="Q28" s="4"/>
    </row>
    <row r="29" spans="1:35" ht="46.5" thickBot="1" x14ac:dyDescent="0.3">
      <c r="B29" s="11" t="s">
        <v>3</v>
      </c>
      <c r="C29" s="12" t="s">
        <v>9</v>
      </c>
      <c r="D29" s="12" t="s">
        <v>38</v>
      </c>
      <c r="E29" s="12" t="s">
        <v>48</v>
      </c>
      <c r="G29" s="65" t="s">
        <v>47</v>
      </c>
      <c r="H29" s="373" t="s">
        <v>56</v>
      </c>
      <c r="I29" s="73" t="s">
        <v>130</v>
      </c>
      <c r="J29" s="73" t="s">
        <v>171</v>
      </c>
      <c r="K29" s="73" t="s">
        <v>143</v>
      </c>
      <c r="L29" s="73" t="s">
        <v>144</v>
      </c>
      <c r="O29" s="44"/>
      <c r="P29" s="13"/>
      <c r="Q29" s="4"/>
    </row>
    <row r="30" spans="1:35" x14ac:dyDescent="0.25">
      <c r="B30" s="108">
        <v>1</v>
      </c>
      <c r="C30" s="109" t="s">
        <v>10</v>
      </c>
      <c r="D30" s="110">
        <f>'REMUNERACION Reciprocidad EAAB'!D125</f>
        <v>0</v>
      </c>
      <c r="E30" s="111">
        <f>'REMUNERACION Reciprocidad EAAB'!E125</f>
        <v>0</v>
      </c>
      <c r="G30" s="339">
        <f>'REMUNERACION Reciprocidad EAAB'!G125</f>
        <v>0</v>
      </c>
      <c r="H30" s="313">
        <f>'REMUNERACION Reciprocidad EAAB'!H125</f>
        <v>0</v>
      </c>
      <c r="I30" s="312">
        <f>'REMUNERACION Reciprocidad EAAB'!I125</f>
        <v>0</v>
      </c>
      <c r="J30" s="312">
        <f>'REMUNERACION Reciprocidad EAAB'!J125</f>
        <v>0</v>
      </c>
      <c r="K30" s="312">
        <f>'REMUNERACION Reciprocidad EAAB'!K125</f>
        <v>0</v>
      </c>
      <c r="L30" s="312">
        <f>'REMUNERACION Reciprocidad EAAB'!L125</f>
        <v>0</v>
      </c>
      <c r="O30" s="44"/>
      <c r="Q30" s="4"/>
    </row>
    <row r="31" spans="1:35" x14ac:dyDescent="0.25">
      <c r="B31" s="16">
        <v>2</v>
      </c>
      <c r="C31" s="17" t="s">
        <v>11</v>
      </c>
      <c r="D31" s="15">
        <f>'REMUNERACION Reciprocidad EAAB'!D126</f>
        <v>15775490</v>
      </c>
      <c r="E31" s="74">
        <f>'REMUNERACION Reciprocidad EAAB'!E126</f>
        <v>0</v>
      </c>
      <c r="G31" s="342">
        <f>'REMUNERACION Reciprocidad EAAB'!G126</f>
        <v>0</v>
      </c>
      <c r="H31" s="343">
        <f>'REMUNERACION Reciprocidad EAAB'!H126</f>
        <v>32822845.349999998</v>
      </c>
      <c r="I31" s="291">
        <f>'REMUNERACION Reciprocidad EAAB'!I126</f>
        <v>0</v>
      </c>
      <c r="J31" s="291">
        <f>'REMUNERACION Reciprocidad EAAB'!J126</f>
        <v>-19778.72</v>
      </c>
      <c r="K31" s="291">
        <f>'REMUNERACION Reciprocidad EAAB'!K126</f>
        <v>0</v>
      </c>
      <c r="L31" s="291">
        <f>'REMUNERACION Reciprocidad EAAB'!L126</f>
        <v>600714.28</v>
      </c>
      <c r="O31" s="44"/>
      <c r="Q31" s="4"/>
    </row>
    <row r="32" spans="1:35" x14ac:dyDescent="0.25">
      <c r="B32" s="16">
        <v>3</v>
      </c>
      <c r="C32" s="17" t="s">
        <v>12</v>
      </c>
      <c r="D32" s="15">
        <f>'REMUNERACION Reciprocidad EAAB'!D127</f>
        <v>0</v>
      </c>
      <c r="E32" s="74">
        <f>'REMUNERACION Reciprocidad EAAB'!E127</f>
        <v>0</v>
      </c>
      <c r="G32" s="342">
        <f>'REMUNERACION Reciprocidad EAAB'!G127</f>
        <v>0</v>
      </c>
      <c r="H32" s="343">
        <f>'REMUNERACION Reciprocidad EAAB'!H127</f>
        <v>0</v>
      </c>
      <c r="I32" s="291">
        <f>'REMUNERACION Reciprocidad EAAB'!I127</f>
        <v>0</v>
      </c>
      <c r="J32" s="291">
        <f>'REMUNERACION Reciprocidad EAAB'!J127</f>
        <v>0</v>
      </c>
      <c r="K32" s="291">
        <f>'REMUNERACION Reciprocidad EAAB'!K127</f>
        <v>0</v>
      </c>
      <c r="L32" s="291">
        <f>'REMUNERACION Reciprocidad EAAB'!L127</f>
        <v>0</v>
      </c>
      <c r="O32" s="44"/>
      <c r="Q32" s="4"/>
    </row>
    <row r="33" spans="1:20" x14ac:dyDescent="0.25">
      <c r="B33" s="16">
        <v>4</v>
      </c>
      <c r="C33" s="17" t="s">
        <v>13</v>
      </c>
      <c r="D33" s="15">
        <f>'REMUNERACION Reciprocidad EAAB'!D128</f>
        <v>7975330</v>
      </c>
      <c r="E33" s="74">
        <f>'REMUNERACION Reciprocidad EAAB'!E128</f>
        <v>0</v>
      </c>
      <c r="G33" s="342">
        <f>'REMUNERACION Reciprocidad EAAB'!G128</f>
        <v>0</v>
      </c>
      <c r="H33" s="343">
        <f>'REMUNERACION Reciprocidad EAAB'!H128</f>
        <v>4804828.2600000007</v>
      </c>
      <c r="I33" s="291">
        <f>'REMUNERACION Reciprocidad EAAB'!I128</f>
        <v>0</v>
      </c>
      <c r="J33" s="291">
        <f>'REMUNERACION Reciprocidad EAAB'!J128</f>
        <v>-464370</v>
      </c>
      <c r="K33" s="291">
        <f>'REMUNERACION Reciprocidad EAAB'!K128</f>
        <v>464370</v>
      </c>
      <c r="L33" s="291">
        <f>'REMUNERACION Reciprocidad EAAB'!L128</f>
        <v>0</v>
      </c>
      <c r="O33" s="44"/>
      <c r="Q33" s="4"/>
    </row>
    <row r="34" spans="1:20" x14ac:dyDescent="0.25">
      <c r="B34" s="133">
        <v>5</v>
      </c>
      <c r="C34" s="138" t="s">
        <v>14</v>
      </c>
      <c r="D34" s="135">
        <f>'REMUNERACION Reciprocidad EAAB'!D129</f>
        <v>0</v>
      </c>
      <c r="E34" s="139">
        <f>'REMUNERACION Reciprocidad EAAB'!E129</f>
        <v>0</v>
      </c>
      <c r="G34" s="342">
        <f>'REMUNERACION Reciprocidad EAAB'!G129</f>
        <v>0</v>
      </c>
      <c r="H34" s="343">
        <f>'REMUNERACION Reciprocidad EAAB'!H129</f>
        <v>0</v>
      </c>
      <c r="I34" s="291">
        <f>'REMUNERACION Reciprocidad EAAB'!I129</f>
        <v>0</v>
      </c>
      <c r="J34" s="291">
        <f>'REMUNERACION Reciprocidad EAAB'!J129</f>
        <v>0</v>
      </c>
      <c r="K34" s="291">
        <f>'REMUNERACION Reciprocidad EAAB'!K129</f>
        <v>0</v>
      </c>
      <c r="L34" s="291">
        <f>'REMUNERACION Reciprocidad EAAB'!L129</f>
        <v>0</v>
      </c>
      <c r="O34" s="44"/>
      <c r="Q34" s="4"/>
    </row>
    <row r="35" spans="1:20" ht="12" thickBot="1" x14ac:dyDescent="0.3">
      <c r="B35" s="19" t="s">
        <v>89</v>
      </c>
      <c r="C35" s="20" t="s">
        <v>113</v>
      </c>
      <c r="D35" s="78"/>
      <c r="E35" s="79">
        <f>'REMUNERACION Reciprocidad EAAB'!E130</f>
        <v>0</v>
      </c>
      <c r="G35" s="349"/>
      <c r="H35" s="350"/>
      <c r="I35" s="292"/>
      <c r="J35" s="292"/>
      <c r="K35" s="292"/>
      <c r="L35" s="292"/>
      <c r="O35" s="44"/>
      <c r="Q35" s="4"/>
    </row>
    <row r="36" spans="1:20" ht="12" thickBot="1" x14ac:dyDescent="0.3">
      <c r="B36" s="95"/>
      <c r="C36" s="106" t="s">
        <v>2</v>
      </c>
      <c r="D36" s="107">
        <f>SUM(D30:D34)</f>
        <v>23750820</v>
      </c>
      <c r="E36" s="107">
        <f>'REMUNERACION Reciprocidad EAAB'!E131</f>
        <v>0</v>
      </c>
      <c r="F36" s="45"/>
      <c r="G36" s="353">
        <f t="shared" ref="G36:L36" si="5">SUM(G30:G34)</f>
        <v>0</v>
      </c>
      <c r="H36" s="353">
        <f t="shared" si="5"/>
        <v>37627673.609999999</v>
      </c>
      <c r="I36" s="353">
        <f t="shared" si="5"/>
        <v>0</v>
      </c>
      <c r="J36" s="353">
        <f t="shared" si="5"/>
        <v>-484148.72</v>
      </c>
      <c r="K36" s="353">
        <f t="shared" si="5"/>
        <v>464370</v>
      </c>
      <c r="L36" s="353">
        <f t="shared" si="5"/>
        <v>600714.28</v>
      </c>
      <c r="M36" s="45"/>
      <c r="N36" s="45"/>
      <c r="O36" s="46"/>
      <c r="P36" s="2"/>
      <c r="Q36" s="4"/>
    </row>
    <row r="37" spans="1:20" x14ac:dyDescent="0.25">
      <c r="B37" s="2"/>
      <c r="C37" s="2"/>
      <c r="D37" s="24"/>
      <c r="Q37" s="4"/>
    </row>
    <row r="38" spans="1:20" x14ac:dyDescent="0.25">
      <c r="B38" s="2"/>
      <c r="C38" s="2"/>
      <c r="D38" s="24"/>
      <c r="L38" s="1" t="s">
        <v>1</v>
      </c>
      <c r="Q38" s="4"/>
    </row>
    <row r="39" spans="1:20" ht="64.5" customHeight="1" thickBot="1" x14ac:dyDescent="0.3">
      <c r="B39" s="2"/>
      <c r="C39" s="2"/>
      <c r="D39" s="24"/>
      <c r="E39" s="33"/>
      <c r="F39" s="33"/>
      <c r="G39" s="33"/>
      <c r="H39" s="33"/>
      <c r="I39" s="24"/>
      <c r="K39" s="24"/>
      <c r="L39" s="24" t="s">
        <v>1</v>
      </c>
      <c r="M39" s="24" t="s">
        <v>1</v>
      </c>
      <c r="N39" s="24"/>
      <c r="O39" s="24"/>
      <c r="Q39" s="4"/>
    </row>
    <row r="40" spans="1:20" x14ac:dyDescent="0.25">
      <c r="B40" s="2"/>
      <c r="C40" s="2"/>
      <c r="D40" s="24"/>
      <c r="E40" s="24" t="s">
        <v>1</v>
      </c>
      <c r="F40" s="42" t="s">
        <v>36</v>
      </c>
      <c r="G40" s="42"/>
      <c r="H40" s="42"/>
      <c r="I40" s="24"/>
      <c r="K40" s="24"/>
      <c r="L40" s="24"/>
      <c r="M40" s="24"/>
      <c r="N40" s="24"/>
      <c r="O40" s="24"/>
      <c r="Q40" s="4"/>
    </row>
    <row r="41" spans="1:20" x14ac:dyDescent="0.25">
      <c r="A41" s="52"/>
      <c r="B41" s="53"/>
      <c r="C41" s="53"/>
      <c r="D41" s="54"/>
      <c r="E41" s="54"/>
      <c r="F41" s="54"/>
      <c r="G41" s="54"/>
      <c r="H41" s="54"/>
      <c r="I41" s="54"/>
      <c r="J41" s="52"/>
      <c r="K41" s="54"/>
      <c r="L41" s="54"/>
      <c r="M41" s="54"/>
      <c r="N41" s="54"/>
      <c r="O41" s="54"/>
      <c r="P41" s="52"/>
      <c r="Q41" s="4"/>
    </row>
    <row r="42" spans="1:20" x14ac:dyDescent="0.25">
      <c r="N42" s="24"/>
      <c r="O42" s="24"/>
      <c r="Q42" s="24"/>
      <c r="T42" s="24"/>
    </row>
    <row r="43" spans="1:20" x14ac:dyDescent="0.25">
      <c r="N43" s="24"/>
      <c r="O43" s="24"/>
      <c r="Q43" s="24"/>
      <c r="T43" s="24"/>
    </row>
    <row r="44" spans="1:20" x14ac:dyDescent="0.25">
      <c r="D44" s="270" t="b">
        <f>D14='REMUNERACION Reciprocidad EAAB'!D109</f>
        <v>1</v>
      </c>
      <c r="E44" s="270" t="b">
        <f>E14='REMUNERACION Reciprocidad EAAB'!E109</f>
        <v>1</v>
      </c>
      <c r="F44" s="270" t="b">
        <f>F14='REMUNERACION Reciprocidad EAAB'!F109</f>
        <v>1</v>
      </c>
      <c r="G44" s="270" t="b">
        <f>G14='REMUNERACION Reciprocidad EAAB'!G109</f>
        <v>1</v>
      </c>
      <c r="H44" s="270" t="b">
        <f>H14='REMUNERACION Reciprocidad EAAB'!H109</f>
        <v>1</v>
      </c>
      <c r="I44" s="270" t="b">
        <f>I14='REMUNERACION Reciprocidad EAAB'!I109</f>
        <v>1</v>
      </c>
      <c r="J44" s="270" t="b">
        <f>J14='REMUNERACION Reciprocidad EAAB'!J109</f>
        <v>1</v>
      </c>
      <c r="K44" s="270" t="b">
        <f>K14='REMUNERACION Reciprocidad EAAB'!K109</f>
        <v>1</v>
      </c>
      <c r="L44" s="270" t="b">
        <f>L14='REMUNERACION Reciprocidad EAAB'!L109</f>
        <v>1</v>
      </c>
      <c r="M44" s="270" t="b">
        <f>M14='REMUNERACION Reciprocidad EAAB'!M109</f>
        <v>1</v>
      </c>
      <c r="N44" s="270" t="b">
        <f>N14='REMUNERACION Reciprocidad EAAB'!N109</f>
        <v>1</v>
      </c>
      <c r="O44" s="270" t="b">
        <f>O14='REMUNERACION Reciprocidad EAAB'!O109</f>
        <v>1</v>
      </c>
      <c r="Q44" s="24"/>
      <c r="T44" s="24"/>
    </row>
    <row r="45" spans="1:20" x14ac:dyDescent="0.25">
      <c r="D45" s="270" t="b">
        <f>D36='REMUNERACION Reciprocidad EAAB'!D131</f>
        <v>1</v>
      </c>
      <c r="E45" s="270" t="b">
        <f>E36='REMUNERACION Reciprocidad EAAB'!E131</f>
        <v>1</v>
      </c>
      <c r="F45" s="270" t="b">
        <f>F36='REMUNERACION Reciprocidad EAAB'!F131</f>
        <v>1</v>
      </c>
      <c r="G45" s="270" t="b">
        <f>G36='REMUNERACION Reciprocidad EAAB'!G131</f>
        <v>1</v>
      </c>
      <c r="H45" s="270" t="b">
        <f>H36='REMUNERACION Reciprocidad EAAB'!H131</f>
        <v>1</v>
      </c>
      <c r="I45" s="270" t="b">
        <f>I36='REMUNERACION Reciprocidad EAAB'!I131</f>
        <v>1</v>
      </c>
      <c r="J45" s="270" t="b">
        <f>J36='REMUNERACION Reciprocidad EAAB'!J131</f>
        <v>1</v>
      </c>
      <c r="K45" s="270" t="b">
        <f>K36='REMUNERACION Reciprocidad EAAB'!K131</f>
        <v>1</v>
      </c>
      <c r="L45" s="270" t="b">
        <f>L36='REMUNERACION Reciprocidad EAAB'!L131</f>
        <v>1</v>
      </c>
      <c r="M45" s="270" t="b">
        <f>M36='REMUNERACION Reciprocidad EAAB'!M131</f>
        <v>1</v>
      </c>
      <c r="N45" s="270" t="b">
        <f>N36='REMUNERACION Reciprocidad EAAB'!N131</f>
        <v>1</v>
      </c>
      <c r="O45" s="270" t="b">
        <f>O36='REMUNERACION Reciprocidad EAAB'!O131</f>
        <v>1</v>
      </c>
      <c r="Q45" s="24"/>
      <c r="T45" s="24"/>
    </row>
    <row r="46" spans="1:20" x14ac:dyDescent="0.25">
      <c r="N46" s="24"/>
      <c r="O46" s="24"/>
      <c r="Q46" s="24"/>
      <c r="T46" s="24"/>
    </row>
    <row r="47" spans="1:20" x14ac:dyDescent="0.25">
      <c r="N47" s="24"/>
      <c r="O47" s="24"/>
      <c r="Q47" s="24"/>
      <c r="T47" s="24"/>
    </row>
    <row r="48" spans="1:20" x14ac:dyDescent="0.25">
      <c r="N48" s="24"/>
      <c r="O48" s="24"/>
      <c r="Q48" s="24"/>
      <c r="T48" s="24"/>
    </row>
    <row r="49" spans="14:20" x14ac:dyDescent="0.25">
      <c r="N49" s="24"/>
      <c r="O49" s="24"/>
      <c r="Q49" s="24"/>
      <c r="T49" s="24"/>
    </row>
    <row r="50" spans="14:20" x14ac:dyDescent="0.25">
      <c r="N50" s="24"/>
      <c r="O50" s="24"/>
      <c r="Q50" s="24"/>
      <c r="T50" s="24"/>
    </row>
    <row r="51" spans="14:20" x14ac:dyDescent="0.25">
      <c r="Q51" s="24"/>
      <c r="T51" s="24"/>
    </row>
    <row r="52" spans="14:20" x14ac:dyDescent="0.25">
      <c r="Q52" s="24"/>
    </row>
  </sheetData>
  <conditionalFormatting sqref="AH9:AH14">
    <cfRule type="cellIs" dxfId="52" priority="1" operator="notEqual">
      <formula>TRUE</formula>
    </cfRule>
  </conditionalFormatting>
  <printOptions horizontalCentered="1" verticalCentered="1"/>
  <pageMargins left="0.55118110236220474" right="0.74803149606299213" top="0.59055118110236227" bottom="0.78740157480314965" header="0" footer="0"/>
  <pageSetup scale="24" orientation="landscape" r:id="rId1"/>
  <headerFooter alignWithMargins="0"/>
  <drawing r:id="rId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tabColor rgb="FFFF0000"/>
    <pageSetUpPr fitToPage="1"/>
  </sheetPr>
  <dimension ref="A1:AJ156"/>
  <sheetViews>
    <sheetView topLeftCell="A95" zoomScaleNormal="100" workbookViewId="0">
      <selection activeCell="A95" sqref="A95"/>
    </sheetView>
  </sheetViews>
  <sheetFormatPr baseColWidth="10" defaultColWidth="11.453125" defaultRowHeight="11.5" x14ac:dyDescent="0.25"/>
  <cols>
    <col min="1" max="1" width="3" style="1" customWidth="1"/>
    <col min="2" max="2" width="4.453125" style="1" bestFit="1" customWidth="1"/>
    <col min="3" max="3" width="36.7265625" style="1" customWidth="1"/>
    <col min="4" max="4" width="15.26953125" style="1" customWidth="1"/>
    <col min="5" max="5" width="16" style="1" customWidth="1"/>
    <col min="6" max="7" width="14.7265625" style="1" customWidth="1"/>
    <col min="8" max="9" width="16" style="1" customWidth="1"/>
    <col min="10" max="10" width="15.54296875" style="1" customWidth="1"/>
    <col min="11" max="11" width="17.54296875" style="1" customWidth="1"/>
    <col min="12" max="12" width="19.7265625" style="1" bestFit="1" customWidth="1"/>
    <col min="13" max="13" width="21" style="1" bestFit="1" customWidth="1"/>
    <col min="14" max="14" width="15.26953125" style="1" customWidth="1"/>
    <col min="15" max="15" width="16.7265625" style="1" customWidth="1"/>
    <col min="16" max="16" width="3.7265625" style="1" customWidth="1"/>
    <col min="17" max="17" width="2.7265625" style="1" customWidth="1"/>
    <col min="18" max="18" width="4.54296875" style="1" customWidth="1"/>
    <col min="19" max="19" width="11.26953125" style="1" customWidth="1"/>
    <col min="20" max="20" width="37.54296875" style="1" bestFit="1" customWidth="1"/>
    <col min="21" max="21" width="19.26953125" style="1" customWidth="1"/>
    <col min="22" max="22" width="17.7265625" style="1" customWidth="1"/>
    <col min="23" max="23" width="16.453125" style="1" customWidth="1"/>
    <col min="24" max="24" width="17.26953125" style="1" customWidth="1"/>
    <col min="25" max="25" width="15.7265625" style="1" customWidth="1"/>
    <col min="26" max="26" width="16" style="1" customWidth="1"/>
    <col min="27" max="27" width="15" style="1" customWidth="1"/>
    <col min="28" max="29" width="16.7265625" style="1" customWidth="1"/>
    <col min="30" max="31" width="15.453125" style="1" customWidth="1"/>
    <col min="32" max="32" width="16.26953125" style="1" customWidth="1"/>
    <col min="33" max="33" width="18.26953125" style="1" customWidth="1"/>
    <col min="34" max="34" width="13.7265625" style="1" customWidth="1"/>
    <col min="35" max="35" width="3.453125" style="1" customWidth="1"/>
    <col min="36" max="36" width="13.7265625" style="1" bestFit="1" customWidth="1"/>
    <col min="37" max="16384" width="11.453125" style="1"/>
  </cols>
  <sheetData>
    <row r="1" spans="1:35" ht="12" thickBot="1" x14ac:dyDescent="0.3">
      <c r="A1" s="241"/>
      <c r="Q1" s="4"/>
      <c r="AI1" s="4"/>
    </row>
    <row r="2" spans="1:35" x14ac:dyDescent="0.25">
      <c r="B2" s="5"/>
      <c r="C2" s="3" t="s">
        <v>1</v>
      </c>
      <c r="D2" s="6" t="s">
        <v>1</v>
      </c>
      <c r="E2" s="3"/>
      <c r="F2" s="3"/>
      <c r="G2" s="3"/>
      <c r="H2" s="3" t="s">
        <v>1</v>
      </c>
      <c r="I2" s="3"/>
      <c r="J2" s="3"/>
      <c r="K2" s="3"/>
      <c r="L2" s="3"/>
      <c r="M2" s="3"/>
      <c r="N2" s="3"/>
      <c r="O2" s="7"/>
      <c r="P2" s="2"/>
      <c r="Q2" s="4"/>
      <c r="S2" s="5"/>
      <c r="T2" s="3" t="s">
        <v>1</v>
      </c>
      <c r="U2" s="6" t="s">
        <v>1</v>
      </c>
      <c r="V2" s="3"/>
      <c r="W2" s="3"/>
      <c r="X2" s="3" t="s">
        <v>1</v>
      </c>
      <c r="Y2" s="3"/>
      <c r="Z2" s="3"/>
      <c r="AA2" s="3"/>
      <c r="AB2" s="3"/>
      <c r="AC2" s="3"/>
      <c r="AD2" s="3"/>
      <c r="AE2" s="3"/>
      <c r="AF2" s="7"/>
      <c r="AG2" s="2"/>
      <c r="AI2" s="4"/>
    </row>
    <row r="3" spans="1:35" ht="14" x14ac:dyDescent="0.3">
      <c r="B3" s="8"/>
      <c r="F3" s="26" t="s">
        <v>8</v>
      </c>
      <c r="G3" s="26"/>
      <c r="I3" s="26" t="s">
        <v>16</v>
      </c>
      <c r="J3" s="25"/>
      <c r="M3" s="2" t="s">
        <v>15</v>
      </c>
      <c r="N3" s="50">
        <f>'CONSOLIDADO_TOTAL RECAUDO'!N3</f>
        <v>2026071</v>
      </c>
      <c r="O3" s="10"/>
      <c r="P3" s="2"/>
      <c r="Q3" s="4"/>
      <c r="S3" s="8"/>
      <c r="U3" s="26" t="s">
        <v>8</v>
      </c>
      <c r="W3" s="26" t="s">
        <v>16</v>
      </c>
      <c r="X3" s="25"/>
      <c r="Y3" s="2"/>
      <c r="AA3" s="2" t="s">
        <v>15</v>
      </c>
      <c r="AD3" s="84">
        <f>N3</f>
        <v>2026071</v>
      </c>
      <c r="AE3" s="84"/>
      <c r="AF3" s="48"/>
      <c r="AG3" s="2"/>
      <c r="AI3" s="4"/>
    </row>
    <row r="4" spans="1:35" ht="15.5" x14ac:dyDescent="0.35">
      <c r="B4" s="8"/>
      <c r="F4" s="36" t="s">
        <v>29</v>
      </c>
      <c r="G4" s="36"/>
      <c r="O4" s="10"/>
      <c r="P4" s="2"/>
      <c r="Q4" s="4"/>
      <c r="S4" s="8"/>
      <c r="T4" s="26" t="s">
        <v>1</v>
      </c>
      <c r="U4" s="36" t="s">
        <v>29</v>
      </c>
      <c r="Y4" s="2" t="s">
        <v>1</v>
      </c>
      <c r="AA4" s="50" t="s">
        <v>1</v>
      </c>
      <c r="AB4" s="2"/>
      <c r="AC4" s="2"/>
      <c r="AD4" s="2"/>
      <c r="AE4" s="2"/>
      <c r="AF4" s="10" t="s">
        <v>1</v>
      </c>
      <c r="AG4" s="2"/>
      <c r="AI4" s="4"/>
    </row>
    <row r="5" spans="1:35" ht="14" x14ac:dyDescent="0.3">
      <c r="B5" s="8"/>
      <c r="F5" s="2" t="s">
        <v>30</v>
      </c>
      <c r="G5" s="2"/>
      <c r="M5" s="2" t="s">
        <v>1</v>
      </c>
      <c r="O5" s="10"/>
      <c r="P5" s="2"/>
      <c r="Q5" s="4"/>
      <c r="S5" s="8"/>
      <c r="T5" s="49" t="s">
        <v>1</v>
      </c>
      <c r="U5" s="2" t="s">
        <v>30</v>
      </c>
      <c r="AF5" s="44"/>
      <c r="AG5" s="2"/>
      <c r="AI5" s="4"/>
    </row>
    <row r="6" spans="1:35" ht="15.5" x14ac:dyDescent="0.35">
      <c r="B6" s="8"/>
      <c r="C6" s="591" t="s">
        <v>17</v>
      </c>
      <c r="D6" s="9">
        <f>'CONSOLIDADO_TOTAL RECAUDO'!D6</f>
        <v>46220</v>
      </c>
      <c r="F6" s="41" t="s">
        <v>26</v>
      </c>
      <c r="G6" s="41"/>
      <c r="H6" s="2"/>
      <c r="J6" s="2"/>
      <c r="O6" s="10"/>
      <c r="P6" s="2"/>
      <c r="Q6" s="4"/>
      <c r="S6" s="8"/>
      <c r="T6" s="41" t="s">
        <v>1</v>
      </c>
      <c r="U6" s="41" t="s">
        <v>26</v>
      </c>
      <c r="V6" s="2"/>
      <c r="X6" s="2"/>
      <c r="Y6" s="2"/>
      <c r="AF6" s="48"/>
      <c r="AG6" s="2"/>
      <c r="AI6" s="4"/>
    </row>
    <row r="7" spans="1:35" ht="12" thickBot="1" x14ac:dyDescent="0.3">
      <c r="B7" s="8"/>
      <c r="C7" s="591" t="s">
        <v>0</v>
      </c>
      <c r="D7" s="241">
        <f>'CONSOLIDADO_TOTAL RECAUDO'!D7</f>
        <v>0.58333333333333337</v>
      </c>
      <c r="F7" s="2" t="s">
        <v>27</v>
      </c>
      <c r="G7" s="9">
        <f>'CONSOLIDADO_TOTAL RECAUDO'!G7</f>
        <v>46204</v>
      </c>
      <c r="J7" s="2" t="s">
        <v>28</v>
      </c>
      <c r="K7" s="9">
        <f>'CONSOLIDADO_TOTAL RECAUDO'!K7</f>
        <v>46218</v>
      </c>
      <c r="O7" s="10"/>
      <c r="P7" s="2"/>
      <c r="Q7" s="4"/>
      <c r="S7" s="8"/>
      <c r="U7" s="1" t="str">
        <f>F7</f>
        <v>Fecha Desde:</v>
      </c>
      <c r="V7" s="9">
        <f>G7</f>
        <v>46204</v>
      </c>
      <c r="W7" s="1" t="s">
        <v>1</v>
      </c>
      <c r="X7" s="1" t="str">
        <f>J7</f>
        <v>Feha Hasta:</v>
      </c>
      <c r="Y7" s="9">
        <f>K7</f>
        <v>46218</v>
      </c>
      <c r="Z7" s="1" t="s">
        <v>1</v>
      </c>
      <c r="AF7" s="48"/>
      <c r="AG7" s="2"/>
      <c r="AI7" s="4"/>
    </row>
    <row r="8" spans="1:35" ht="72" customHeight="1" thickBot="1" x14ac:dyDescent="0.3">
      <c r="B8" s="11" t="s">
        <v>3</v>
      </c>
      <c r="C8" s="27" t="s">
        <v>9</v>
      </c>
      <c r="D8" s="11" t="s">
        <v>4</v>
      </c>
      <c r="E8" s="12" t="s">
        <v>5</v>
      </c>
      <c r="F8" s="27" t="s">
        <v>6</v>
      </c>
      <c r="G8" s="27" t="s">
        <v>159</v>
      </c>
      <c r="H8" s="27" t="s">
        <v>18</v>
      </c>
      <c r="I8" s="12" t="s">
        <v>24</v>
      </c>
      <c r="J8" s="73" t="s">
        <v>19</v>
      </c>
      <c r="K8" s="29" t="s">
        <v>20</v>
      </c>
      <c r="L8" s="28" t="s">
        <v>21</v>
      </c>
      <c r="M8" s="39" t="s">
        <v>22</v>
      </c>
      <c r="N8" s="12" t="s">
        <v>7</v>
      </c>
      <c r="O8" s="39" t="s">
        <v>23</v>
      </c>
      <c r="P8" s="13"/>
      <c r="Q8" s="4"/>
      <c r="S8" s="11" t="s">
        <v>3</v>
      </c>
      <c r="T8" s="27" t="s">
        <v>9</v>
      </c>
      <c r="U8" s="162" t="s">
        <v>39</v>
      </c>
      <c r="V8" s="163" t="s">
        <v>40</v>
      </c>
      <c r="W8" s="163" t="s">
        <v>41</v>
      </c>
      <c r="X8" s="163" t="s">
        <v>42</v>
      </c>
      <c r="Y8" s="164" t="s">
        <v>43</v>
      </c>
      <c r="Z8" s="85" t="s">
        <v>21</v>
      </c>
      <c r="AA8" s="65" t="s">
        <v>46</v>
      </c>
      <c r="AB8" s="65" t="s">
        <v>7</v>
      </c>
      <c r="AC8" s="85" t="s">
        <v>167</v>
      </c>
      <c r="AD8" s="121" t="s">
        <v>107</v>
      </c>
      <c r="AE8" s="121" t="s">
        <v>225</v>
      </c>
      <c r="AF8" s="39" t="s">
        <v>23</v>
      </c>
      <c r="AG8" s="13"/>
      <c r="AI8" s="4"/>
    </row>
    <row r="9" spans="1:35" s="308" customFormat="1" x14ac:dyDescent="0.25">
      <c r="B9" s="306">
        <v>1</v>
      </c>
      <c r="C9" s="307" t="s">
        <v>10</v>
      </c>
      <c r="D9" s="294">
        <f>'Reporte Componentes R1'!F56</f>
        <v>16180195504.290001</v>
      </c>
      <c r="E9" s="295">
        <f>'Reporte Componentes R1'!G56</f>
        <v>913524692.07000005</v>
      </c>
      <c r="F9" s="295">
        <f>'Reporte Componentes R1'!H56</f>
        <v>515393979.16000003</v>
      </c>
      <c r="G9" s="295">
        <f>'Reporte Componentes R1'!I56</f>
        <v>270606838.76999998</v>
      </c>
      <c r="H9" s="295">
        <f>'Reporte Componentes R1'!J56</f>
        <v>4835251560.6599998</v>
      </c>
      <c r="I9" s="295">
        <f>'Reporte Componentes R1'!K56</f>
        <v>167786486.38999999</v>
      </c>
      <c r="J9" s="295">
        <f>'CONSOLIDADO_TOTAL RECAUDO'!J9</f>
        <v>2032363678.8399997</v>
      </c>
      <c r="K9" s="296">
        <f>D9-E9-F9-G9-H9-I9-J9</f>
        <v>7445268268.4000015</v>
      </c>
      <c r="L9" s="297">
        <f>'CONSOLIDADO_TOTAL RECAUDO'!L9</f>
        <v>189185987</v>
      </c>
      <c r="M9" s="296">
        <f>K9-L9</f>
        <v>7256082281.4000015</v>
      </c>
      <c r="N9" s="297">
        <f>'Reporte Componentes R1'!L56</f>
        <v>14321944.710000001</v>
      </c>
      <c r="O9" s="296">
        <f>M9+N9</f>
        <v>7270404226.1100016</v>
      </c>
      <c r="Q9" s="309"/>
      <c r="S9" s="306">
        <v>1</v>
      </c>
      <c r="T9" s="307" t="s">
        <v>10</v>
      </c>
      <c r="U9" s="310">
        <f>'Reporte Componentes R1'!M56</f>
        <v>1472673844.1800001</v>
      </c>
      <c r="V9" s="311">
        <f>'Reporte Componentes R1'!N56</f>
        <v>1422711691</v>
      </c>
      <c r="W9" s="311">
        <f>'Reporte Componentes R1'!O56</f>
        <v>6732649551.4499998</v>
      </c>
      <c r="X9" s="311">
        <f>'Reporte Componentes R1'!P56</f>
        <v>2485582185.0700002</v>
      </c>
      <c r="Y9" s="312">
        <f>'Reporte Componentes R1'!Q56</f>
        <v>273775393.13999999</v>
      </c>
      <c r="Z9" s="313">
        <f>L9*-1</f>
        <v>-189185987</v>
      </c>
      <c r="AA9" s="314">
        <f>'Reporte Componentes R1'!R56+'Reporte Componentes R1'!V56+'Reporte Componentes R1'!U56</f>
        <v>-33911.519999999997</v>
      </c>
      <c r="AB9" s="297">
        <f>N9</f>
        <v>14321944.710000001</v>
      </c>
      <c r="AC9" s="314">
        <f>'Reporte Componentes R1'!T56+'Reporte Componentes R1'!W56+'Reporte Componentes R1'!X56+'Reporte Componentes R1'!Y56+'Reporte Componentes R1'!Z56+'Reporte Componentes R1'!S56</f>
        <v>279.22000000000003</v>
      </c>
      <c r="AD9" s="294">
        <f>-J9+AE9</f>
        <v>-4942090764.1399994</v>
      </c>
      <c r="AE9" s="294">
        <f>'Reporte Componentes R1'!F57</f>
        <v>-2909727085.3000002</v>
      </c>
      <c r="AF9" s="316">
        <f>SUM(U9:AD9)</f>
        <v>7270404226.1099987</v>
      </c>
      <c r="AG9" s="314">
        <f>(AF9-O9)</f>
        <v>-2.86102294921875E-6</v>
      </c>
      <c r="AH9" s="1" t="b">
        <f>INT(AG9)=0</f>
        <v>0</v>
      </c>
      <c r="AI9" s="309"/>
    </row>
    <row r="10" spans="1:35" s="308" customFormat="1" x14ac:dyDescent="0.25">
      <c r="B10" s="317">
        <v>2</v>
      </c>
      <c r="C10" s="318" t="s">
        <v>11</v>
      </c>
      <c r="D10" s="294">
        <f>'Reporte Componentes R1'!F186</f>
        <v>11762458070.289999</v>
      </c>
      <c r="E10" s="295">
        <f>'Reporte Componentes R1'!G186</f>
        <v>964370454.65999997</v>
      </c>
      <c r="F10" s="295">
        <f>'Reporte Componentes R1'!H186</f>
        <v>534398956.72000003</v>
      </c>
      <c r="G10" s="295">
        <f>'Reporte Componentes R1'!I186</f>
        <v>278036749.99000001</v>
      </c>
      <c r="H10" s="295">
        <f>'Reporte Componentes R1'!J186</f>
        <v>3824032655.46</v>
      </c>
      <c r="I10" s="295">
        <f>'Reporte Componentes R1'!K186</f>
        <v>145826089.80000001</v>
      </c>
      <c r="J10" s="295">
        <f>'CONSOLIDADO_TOTAL RECAUDO'!J10</f>
        <v>-5011515653.5899992</v>
      </c>
      <c r="K10" s="298">
        <f t="shared" ref="K10:K13" si="0">D10-E10-F10-G10-H10-I10-J10</f>
        <v>11027308817.25</v>
      </c>
      <c r="L10" s="297">
        <f>'CONSOLIDADO_TOTAL RECAUDO'!L10</f>
        <v>266580255</v>
      </c>
      <c r="M10" s="298">
        <f>K10-L10</f>
        <v>10760728562.25</v>
      </c>
      <c r="N10" s="297">
        <f>'Reporte Componentes R1'!L186</f>
        <v>23317118.710000001</v>
      </c>
      <c r="O10" s="298">
        <f t="shared" ref="O10:O12" si="1">M10+N10</f>
        <v>10784045680.959999</v>
      </c>
      <c r="Q10" s="309"/>
      <c r="S10" s="317">
        <v>2</v>
      </c>
      <c r="T10" s="318" t="s">
        <v>11</v>
      </c>
      <c r="U10" s="319">
        <f>'Reporte Componentes R1'!M186</f>
        <v>1281846099.53</v>
      </c>
      <c r="V10" s="320">
        <f>'Reporte Componentes R1'!N186</f>
        <v>1280506187.8</v>
      </c>
      <c r="W10" s="320">
        <f>'Reporte Componentes R1'!O186</f>
        <v>5969521696.5500002</v>
      </c>
      <c r="X10" s="320">
        <f>'Reporte Componentes R1'!P186</f>
        <v>1881604373.4200001</v>
      </c>
      <c r="Y10" s="321">
        <f>'Reporte Componentes R1'!Q186</f>
        <v>238587300.53</v>
      </c>
      <c r="Z10" s="322">
        <f>L10*-1</f>
        <v>-266580255</v>
      </c>
      <c r="AA10" s="323">
        <f>'Reporte Componentes R1'!R186+'Reporte Componentes R1'!V186+'Reporte Componentes R1'!U186</f>
        <v>-14792.68</v>
      </c>
      <c r="AB10" s="297">
        <f>N10</f>
        <v>23317118.710000001</v>
      </c>
      <c r="AC10" s="323">
        <f>'Reporte Componentes R1'!T186+'Reporte Componentes R1'!W186+'Reporte Componentes R1'!X186+'Reporte Componentes R1'!Y186+'Reporte Componentes R1'!Z186+'Reporte Componentes R1'!S186</f>
        <v>-121.11999999999999</v>
      </c>
      <c r="AD10" s="294">
        <f t="shared" ref="AD10:AD13" si="2">-J10+AE10</f>
        <v>375258073.21999931</v>
      </c>
      <c r="AE10" s="294">
        <f>'Reporte Componentes R1'!F187</f>
        <v>-4636257580.3699999</v>
      </c>
      <c r="AF10" s="325">
        <f>SUM(U10:AD10)</f>
        <v>10784045680.959997</v>
      </c>
      <c r="AG10" s="326">
        <f>(AF10-O10)</f>
        <v>-1.9073486328125E-6</v>
      </c>
      <c r="AH10" s="1" t="b">
        <f t="shared" ref="AH10:AH14" si="3">INT(AG10)=0</f>
        <v>0</v>
      </c>
      <c r="AI10" s="309"/>
    </row>
    <row r="11" spans="1:35" s="308" customFormat="1" x14ac:dyDescent="0.25">
      <c r="B11" s="317">
        <v>3</v>
      </c>
      <c r="C11" s="318" t="s">
        <v>12</v>
      </c>
      <c r="D11" s="294">
        <f>'Reporte Componentes R1'!F326</f>
        <v>9648710791.6800003</v>
      </c>
      <c r="E11" s="295">
        <f>'Reporte Componentes R1'!G326</f>
        <v>624933763.19999993</v>
      </c>
      <c r="F11" s="295">
        <f>'Reporte Componentes R1'!H326</f>
        <v>352441300.25</v>
      </c>
      <c r="G11" s="295">
        <f>'Reporte Componentes R1'!I326</f>
        <v>185164230.08000001</v>
      </c>
      <c r="H11" s="295">
        <f>'Reporte Componentes R1'!J326</f>
        <v>2627144859.52</v>
      </c>
      <c r="I11" s="295">
        <f>'Reporte Componentes R1'!K326</f>
        <v>98359343.650000006</v>
      </c>
      <c r="J11" s="295">
        <f>'CONSOLIDADO_TOTAL RECAUDO'!J11</f>
        <v>-1196822411.3100002</v>
      </c>
      <c r="K11" s="298">
        <f t="shared" si="0"/>
        <v>6957489706.29</v>
      </c>
      <c r="L11" s="297">
        <f>'CONSOLIDADO_TOTAL RECAUDO'!L11</f>
        <v>154788535</v>
      </c>
      <c r="M11" s="298">
        <f>K11-L11</f>
        <v>6802701171.29</v>
      </c>
      <c r="N11" s="297">
        <f>'Reporte Componentes R1'!L326</f>
        <v>15466157.32</v>
      </c>
      <c r="O11" s="298">
        <f t="shared" si="1"/>
        <v>6818167328.6099997</v>
      </c>
      <c r="Q11" s="309"/>
      <c r="S11" s="317">
        <v>3</v>
      </c>
      <c r="T11" s="318" t="s">
        <v>12</v>
      </c>
      <c r="U11" s="319">
        <f>'Reporte Componentes R1'!M326</f>
        <v>863571949.81000006</v>
      </c>
      <c r="V11" s="320">
        <f>'Reporte Componentes R1'!N326</f>
        <v>846482735.46000004</v>
      </c>
      <c r="W11" s="320">
        <f>'Reporte Componentes R1'!O326</f>
        <v>4003713940.8600001</v>
      </c>
      <c r="X11" s="320">
        <f>'Reporte Componentes R1'!P326</f>
        <v>1450991149.51</v>
      </c>
      <c r="Y11" s="321">
        <f>'Reporte Componentes R1'!Q326</f>
        <v>160635104.64999998</v>
      </c>
      <c r="Z11" s="322">
        <f>L11*-1</f>
        <v>-154788535</v>
      </c>
      <c r="AA11" s="323">
        <f>'Reporte Componentes R1'!R326+'Reporte Componentes R1'!V326+'Reporte Componentes R1'!U326</f>
        <v>81285.34</v>
      </c>
      <c r="AB11" s="297">
        <f>N11</f>
        <v>15466157.32</v>
      </c>
      <c r="AC11" s="323">
        <f>'Reporte Componentes R1'!T326+'Reporte Componentes R1'!W326+'Reporte Componentes R1'!X326+'Reporte Componentes R1'!Y326+'Reporte Componentes R1'!Z326+'Reporte Componentes R1'!S326</f>
        <v>1.7</v>
      </c>
      <c r="AD11" s="294">
        <f t="shared" si="2"/>
        <v>-367986461.03999972</v>
      </c>
      <c r="AE11" s="294">
        <f>'Reporte Componentes R1'!F327</f>
        <v>-1564808872.3499999</v>
      </c>
      <c r="AF11" s="325">
        <f t="shared" ref="AF11:AF13" si="4">SUM(U11:AD11)</f>
        <v>6818167328.6099997</v>
      </c>
      <c r="AG11" s="326">
        <f>(AF11-O11)</f>
        <v>0</v>
      </c>
      <c r="AH11" s="1" t="b">
        <f t="shared" si="3"/>
        <v>1</v>
      </c>
      <c r="AI11" s="309"/>
    </row>
    <row r="12" spans="1:35" s="308" customFormat="1" x14ac:dyDescent="0.25">
      <c r="B12" s="317">
        <v>4</v>
      </c>
      <c r="C12" s="318" t="s">
        <v>13</v>
      </c>
      <c r="D12" s="294">
        <f>'Reporte Componentes R1'!F447</f>
        <v>10318956340.32</v>
      </c>
      <c r="E12" s="295">
        <f>'Reporte Componentes R1'!G447</f>
        <v>622503500.54999995</v>
      </c>
      <c r="F12" s="295">
        <f>'Reporte Componentes R1'!H447</f>
        <v>349297990.46999997</v>
      </c>
      <c r="G12" s="295">
        <f>'Reporte Componentes R1'!I447</f>
        <v>183609992.43000001</v>
      </c>
      <c r="H12" s="295">
        <f>'Reporte Componentes R1'!J447</f>
        <v>2321199313.6700001</v>
      </c>
      <c r="I12" s="295">
        <f>'Reporte Componentes R1'!K447</f>
        <v>89682480.890000001</v>
      </c>
      <c r="J12" s="295">
        <f>'CONSOLIDADO_TOTAL RECAUDO'!J12</f>
        <v>35955816.039999962</v>
      </c>
      <c r="K12" s="298">
        <f t="shared" si="0"/>
        <v>6716707246.2700005</v>
      </c>
      <c r="L12" s="297">
        <f>'CONSOLIDADO_TOTAL RECAUDO'!L12</f>
        <v>120391083</v>
      </c>
      <c r="M12" s="298">
        <f>K12-L12</f>
        <v>6596316163.2700005</v>
      </c>
      <c r="N12" s="297">
        <f>'Reporte Componentes R1'!L447</f>
        <v>21942346.68</v>
      </c>
      <c r="O12" s="298">
        <f t="shared" si="1"/>
        <v>6618258509.9500008</v>
      </c>
      <c r="Q12" s="309"/>
      <c r="S12" s="317">
        <v>4</v>
      </c>
      <c r="T12" s="318" t="s">
        <v>13</v>
      </c>
      <c r="U12" s="319">
        <f>'Reporte Componentes R1'!M447</f>
        <v>785978902.61000001</v>
      </c>
      <c r="V12" s="320">
        <f>'Reporte Componentes R1'!N447</f>
        <v>775137442.83000004</v>
      </c>
      <c r="W12" s="320">
        <f>'Reporte Componentes R1'!O447</f>
        <v>3986514658.0699997</v>
      </c>
      <c r="X12" s="320">
        <f>'Reporte Componentes R1'!P447</f>
        <v>1647056821.95</v>
      </c>
      <c r="Y12" s="321">
        <f>'Reporte Componentes R1'!Q447</f>
        <v>146817758.47999999</v>
      </c>
      <c r="Z12" s="322">
        <f>L12*-1</f>
        <v>-120391083</v>
      </c>
      <c r="AA12" s="323">
        <f>'Reporte Componentes R1'!R447+'Reporte Componentes R1'!V447+'Reporte Componentes R1'!U447</f>
        <v>-160739.04999999999</v>
      </c>
      <c r="AB12" s="297">
        <f>N12</f>
        <v>21942346.68</v>
      </c>
      <c r="AC12" s="323">
        <f>'Reporte Componentes R1'!T447+'Reporte Componentes R1'!W447+'Reporte Componentes R1'!X447+'Reporte Componentes R1'!Y447+'Reporte Componentes R1'!Z447+'Reporte Componentes R1'!S447</f>
        <v>-50.490000000000009</v>
      </c>
      <c r="AD12" s="294">
        <f t="shared" si="2"/>
        <v>-624637548.13</v>
      </c>
      <c r="AE12" s="294">
        <f>'Reporte Componentes R1'!F448</f>
        <v>-588681732.09000003</v>
      </c>
      <c r="AF12" s="325">
        <f t="shared" si="4"/>
        <v>6618258509.9499998</v>
      </c>
      <c r="AG12" s="326">
        <f>(AF12-O12)</f>
        <v>-9.5367431640625E-7</v>
      </c>
      <c r="AH12" s="1" t="b">
        <f t="shared" si="3"/>
        <v>0</v>
      </c>
      <c r="AI12" s="309"/>
    </row>
    <row r="13" spans="1:35" s="308" customFormat="1" ht="12" thickBot="1" x14ac:dyDescent="0.3">
      <c r="B13" s="327">
        <v>5</v>
      </c>
      <c r="C13" s="328" t="s">
        <v>14</v>
      </c>
      <c r="D13" s="299">
        <f>'Reporte Componentes R1'!F529</f>
        <v>8229736739.0900002</v>
      </c>
      <c r="E13" s="300">
        <f>'Reporte Componentes R1'!G529</f>
        <v>473844126.55000001</v>
      </c>
      <c r="F13" s="300">
        <f>'Reporte Componentes R1'!H529</f>
        <v>266544325.38000003</v>
      </c>
      <c r="G13" s="300">
        <f>'Reporte Componentes R1'!I529</f>
        <v>137255284.78</v>
      </c>
      <c r="H13" s="300">
        <f>'Reporte Componentes R1'!J529</f>
        <v>1778321272.0699999</v>
      </c>
      <c r="I13" s="300">
        <f>'Reporte Componentes R1'!K529</f>
        <v>68793777.159999996</v>
      </c>
      <c r="J13" s="300">
        <f>'CONSOLIDADO_TOTAL RECAUDO'!J13</f>
        <v>-1210425628.3100002</v>
      </c>
      <c r="K13" s="298">
        <f t="shared" si="0"/>
        <v>6715403581.460001</v>
      </c>
      <c r="L13" s="297">
        <f>'CONSOLIDADO_TOTAL RECAUDO'!L13</f>
        <v>128990445</v>
      </c>
      <c r="M13" s="301">
        <f>K13-L13</f>
        <v>6586413136.460001</v>
      </c>
      <c r="N13" s="302">
        <f>'Reporte Componentes R1'!L529</f>
        <v>10831809.91</v>
      </c>
      <c r="O13" s="301">
        <f>M13+N13</f>
        <v>6597244946.3700008</v>
      </c>
      <c r="Q13" s="309"/>
      <c r="S13" s="327">
        <v>5</v>
      </c>
      <c r="T13" s="328" t="s">
        <v>14</v>
      </c>
      <c r="U13" s="299">
        <f>'Reporte Componentes R1'!M529</f>
        <v>603948308.87</v>
      </c>
      <c r="V13" s="300">
        <f>'Reporte Componentes R1'!N529</f>
        <v>589087042.65999997</v>
      </c>
      <c r="W13" s="300">
        <f>'Reporte Componentes R1'!O529</f>
        <v>3030450176.0800004</v>
      </c>
      <c r="X13" s="300">
        <f>'Reporte Componentes R1'!P529</f>
        <v>1378583907.3200002</v>
      </c>
      <c r="Y13" s="292">
        <f>'Reporte Componentes R1'!Q529</f>
        <v>112257550.95999999</v>
      </c>
      <c r="Z13" s="322">
        <f>L13*-1</f>
        <v>-128990445</v>
      </c>
      <c r="AA13" s="323">
        <f>'Reporte Componentes R1'!R529+'Reporte Componentes R1'!V529+'Reporte Componentes R1'!U529</f>
        <v>-80371.41</v>
      </c>
      <c r="AB13" s="297">
        <f>N13</f>
        <v>10831809.91</v>
      </c>
      <c r="AC13" s="323">
        <f>'Reporte Componentes R1'!T529+'Reporte Componentes R1'!W529+'Reporte Componentes R1'!X529+'Reporte Componentes R1'!Y529+'Reporte Componentes R1'!Z529+'Reporte Componentes R1'!S529</f>
        <v>-37.239999999999995</v>
      </c>
      <c r="AD13" s="294">
        <f t="shared" si="2"/>
        <v>1001157004.2200001</v>
      </c>
      <c r="AE13" s="294">
        <f>'Reporte Componentes R1'!F530</f>
        <v>-209268624.09</v>
      </c>
      <c r="AF13" s="325">
        <f t="shared" si="4"/>
        <v>6597244946.3700008</v>
      </c>
      <c r="AG13" s="329">
        <f>(AF13-O13)</f>
        <v>0</v>
      </c>
      <c r="AH13" s="1" t="b">
        <f t="shared" si="3"/>
        <v>1</v>
      </c>
      <c r="AI13" s="309"/>
    </row>
    <row r="14" spans="1:35" s="308" customFormat="1" ht="13.5" thickBot="1" x14ac:dyDescent="0.35">
      <c r="B14" s="330"/>
      <c r="C14" s="331" t="s">
        <v>2</v>
      </c>
      <c r="D14" s="293">
        <f>SUM(D9:D13)</f>
        <v>56140057445.669998</v>
      </c>
      <c r="E14" s="293">
        <f t="shared" ref="E14:O14" si="5">SUM(E9:E13)</f>
        <v>3599176537.0299997</v>
      </c>
      <c r="F14" s="293">
        <f t="shared" si="5"/>
        <v>2018076551.9800003</v>
      </c>
      <c r="G14" s="293">
        <f t="shared" si="5"/>
        <v>1054673096.05</v>
      </c>
      <c r="H14" s="293">
        <f t="shared" si="5"/>
        <v>15385949661.379999</v>
      </c>
      <c r="I14" s="293">
        <f t="shared" si="5"/>
        <v>570448177.88999999</v>
      </c>
      <c r="J14" s="293">
        <f t="shared" si="5"/>
        <v>-5350444198.3299999</v>
      </c>
      <c r="K14" s="303">
        <f t="shared" si="5"/>
        <v>38862177619.670006</v>
      </c>
      <c r="L14" s="304">
        <f>SUM(L9:L13)</f>
        <v>859936305</v>
      </c>
      <c r="M14" s="305">
        <f t="shared" si="5"/>
        <v>38002241314.670006</v>
      </c>
      <c r="N14" s="304">
        <f t="shared" si="5"/>
        <v>85879377.329999998</v>
      </c>
      <c r="O14" s="305">
        <f t="shared" si="5"/>
        <v>38088120692</v>
      </c>
      <c r="P14" s="332"/>
      <c r="Q14" s="309"/>
      <c r="S14" s="330"/>
      <c r="T14" s="331" t="s">
        <v>2</v>
      </c>
      <c r="U14" s="333">
        <f>SUM(U9:U13)</f>
        <v>5008019105</v>
      </c>
      <c r="V14" s="333">
        <f t="shared" ref="V14:AF14" si="6">SUM(V9:V13)</f>
        <v>4913925099.75</v>
      </c>
      <c r="W14" s="333">
        <f t="shared" si="6"/>
        <v>23722850023.010002</v>
      </c>
      <c r="X14" s="333">
        <f t="shared" si="6"/>
        <v>8843818437.2700005</v>
      </c>
      <c r="Y14" s="333">
        <f t="shared" si="6"/>
        <v>932073107.75999999</v>
      </c>
      <c r="Z14" s="293">
        <f t="shared" si="6"/>
        <v>-859936305</v>
      </c>
      <c r="AA14" s="293">
        <f t="shared" si="6"/>
        <v>-208529.32</v>
      </c>
      <c r="AB14" s="293">
        <f t="shared" si="6"/>
        <v>85879377.329999998</v>
      </c>
      <c r="AC14" s="293">
        <f t="shared" si="6"/>
        <v>72.070000000000007</v>
      </c>
      <c r="AD14" s="293">
        <f>SUM(AD9:AD13)</f>
        <v>-4558299695.8699999</v>
      </c>
      <c r="AE14" s="293">
        <f>SUM(AE9:AE13)</f>
        <v>-9908743894.2000008</v>
      </c>
      <c r="AF14" s="334">
        <f t="shared" si="6"/>
        <v>38088120692</v>
      </c>
      <c r="AG14" s="335">
        <f>SUM(AG9:AG13)</f>
        <v>-5.7220458984375E-6</v>
      </c>
      <c r="AH14" s="1" t="b">
        <f t="shared" si="3"/>
        <v>0</v>
      </c>
      <c r="AI14" s="309"/>
    </row>
    <row r="15" spans="1:35" ht="12" thickBot="1" x14ac:dyDescent="0.3">
      <c r="B15" s="2"/>
      <c r="C15" s="2"/>
      <c r="D15" s="24"/>
      <c r="E15" s="24"/>
      <c r="F15" s="24"/>
      <c r="G15" s="24"/>
      <c r="H15" s="24"/>
      <c r="I15" s="24"/>
      <c r="K15" s="24"/>
      <c r="L15" s="24"/>
      <c r="M15" s="24"/>
      <c r="N15" s="24"/>
      <c r="O15" s="24"/>
      <c r="Q15" s="4"/>
      <c r="S15" s="2"/>
      <c r="T15" s="2"/>
      <c r="U15" s="24"/>
      <c r="V15" s="24"/>
      <c r="W15" s="24"/>
      <c r="X15" s="24"/>
      <c r="Y15" s="24"/>
      <c r="AF15" s="24"/>
      <c r="AI15" s="4"/>
    </row>
    <row r="16" spans="1:35" ht="12" thickBot="1" x14ac:dyDescent="0.3">
      <c r="B16" s="2"/>
      <c r="C16" s="2"/>
      <c r="D16" s="24"/>
      <c r="E16" s="24" t="s">
        <v>1</v>
      </c>
      <c r="F16" s="24" t="s">
        <v>1</v>
      </c>
      <c r="G16" s="24"/>
      <c r="H16" s="24" t="s">
        <v>1</v>
      </c>
      <c r="I16" s="24" t="s">
        <v>1</v>
      </c>
      <c r="K16" s="24"/>
      <c r="L16" s="24" t="s">
        <v>1</v>
      </c>
      <c r="M16" s="24"/>
      <c r="N16" s="24"/>
      <c r="O16" s="24"/>
      <c r="Q16" s="4"/>
      <c r="Y16" s="86">
        <f>SUM(U14:Y14)</f>
        <v>43420685772.790001</v>
      </c>
      <c r="AA16" s="1" t="s">
        <v>1</v>
      </c>
      <c r="AB16" s="1" t="s">
        <v>1</v>
      </c>
      <c r="AD16" s="1" t="s">
        <v>1</v>
      </c>
      <c r="AF16" s="1" t="s">
        <v>1</v>
      </c>
      <c r="AI16" s="4"/>
    </row>
    <row r="17" spans="1:35" ht="12" thickBot="1" x14ac:dyDescent="0.3">
      <c r="B17" s="2"/>
      <c r="C17" s="2"/>
      <c r="D17" s="24" t="s">
        <v>1</v>
      </c>
      <c r="E17" s="33"/>
      <c r="F17" s="33"/>
      <c r="G17" s="33"/>
      <c r="H17" s="33"/>
      <c r="I17" s="24" t="s">
        <v>1</v>
      </c>
      <c r="K17" s="24"/>
      <c r="L17" s="24" t="s">
        <v>1</v>
      </c>
      <c r="M17" s="24"/>
      <c r="N17" s="24"/>
      <c r="O17" s="24"/>
      <c r="Q17" s="4"/>
      <c r="AI17" s="4"/>
    </row>
    <row r="18" spans="1:35" x14ac:dyDescent="0.25">
      <c r="B18" s="2"/>
      <c r="C18" s="2"/>
      <c r="D18" s="24" t="s">
        <v>1</v>
      </c>
      <c r="E18" s="24" t="s">
        <v>1</v>
      </c>
      <c r="F18" s="24" t="s">
        <v>25</v>
      </c>
      <c r="G18" s="24"/>
      <c r="H18" s="24"/>
      <c r="I18" s="241"/>
      <c r="K18" s="24"/>
      <c r="L18" s="24"/>
      <c r="M18" s="24"/>
      <c r="N18" s="24"/>
      <c r="O18" s="24"/>
      <c r="Q18" s="4"/>
      <c r="AI18" s="4"/>
    </row>
    <row r="19" spans="1:35" x14ac:dyDescent="0.25">
      <c r="A19" s="4"/>
      <c r="B19" s="34"/>
      <c r="C19" s="34"/>
      <c r="D19" s="35"/>
      <c r="E19" s="35"/>
      <c r="F19" s="35"/>
      <c r="G19" s="35"/>
      <c r="H19" s="35"/>
      <c r="I19" s="35"/>
      <c r="J19" s="4"/>
      <c r="K19" s="35"/>
      <c r="L19" s="35"/>
      <c r="M19" s="35"/>
      <c r="N19" s="35"/>
      <c r="O19" s="35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</row>
    <row r="20" spans="1:35" ht="12" thickBot="1" x14ac:dyDescent="0.3">
      <c r="Q20" s="4"/>
      <c r="AI20" s="4"/>
    </row>
    <row r="21" spans="1:35" x14ac:dyDescent="0.25">
      <c r="B21" s="5"/>
      <c r="C21" s="3" t="s">
        <v>1</v>
      </c>
      <c r="D21" s="6" t="s">
        <v>1</v>
      </c>
      <c r="E21" s="3"/>
      <c r="F21" s="3"/>
      <c r="G21" s="3"/>
      <c r="H21" s="3" t="s">
        <v>1</v>
      </c>
      <c r="I21" s="3"/>
      <c r="J21" s="3"/>
      <c r="K21" s="3"/>
      <c r="L21" s="3"/>
      <c r="M21" s="3"/>
      <c r="N21" s="3"/>
      <c r="O21" s="7"/>
      <c r="P21" s="2"/>
      <c r="Q21" s="4"/>
      <c r="S21" s="5"/>
      <c r="T21" s="3" t="s">
        <v>1</v>
      </c>
      <c r="U21" s="6" t="s">
        <v>1</v>
      </c>
      <c r="V21" s="3"/>
      <c r="W21" s="3"/>
      <c r="X21" s="3" t="s">
        <v>1</v>
      </c>
      <c r="Y21" s="3"/>
      <c r="Z21" s="3"/>
      <c r="AA21" s="3"/>
      <c r="AB21" s="3"/>
      <c r="AC21" s="3"/>
      <c r="AD21" s="3"/>
      <c r="AE21" s="3"/>
      <c r="AF21" s="7"/>
      <c r="AG21" s="2"/>
      <c r="AI21" s="4"/>
    </row>
    <row r="22" spans="1:35" ht="14" x14ac:dyDescent="0.3">
      <c r="B22" s="8"/>
      <c r="F22" s="26" t="s">
        <v>8</v>
      </c>
      <c r="G22" s="26"/>
      <c r="I22" s="26" t="s">
        <v>16</v>
      </c>
      <c r="J22" s="25"/>
      <c r="M22" s="2" t="s">
        <v>15</v>
      </c>
      <c r="N22" s="50">
        <f>N3</f>
        <v>2026071</v>
      </c>
      <c r="O22" s="10"/>
      <c r="P22" s="2"/>
      <c r="Q22" s="4"/>
      <c r="S22" s="8"/>
      <c r="U22" s="26" t="s">
        <v>8</v>
      </c>
      <c r="W22" s="26" t="s">
        <v>16</v>
      </c>
      <c r="X22" s="25"/>
      <c r="Y22" s="2"/>
      <c r="AA22" s="2" t="s">
        <v>15</v>
      </c>
      <c r="AD22" s="84">
        <f>N22</f>
        <v>2026071</v>
      </c>
      <c r="AE22" s="84"/>
      <c r="AF22" s="48"/>
      <c r="AG22" s="2"/>
      <c r="AI22" s="4"/>
    </row>
    <row r="23" spans="1:35" ht="15.5" x14ac:dyDescent="0.35">
      <c r="B23" s="8"/>
      <c r="F23" s="36" t="s">
        <v>29</v>
      </c>
      <c r="G23" s="36"/>
      <c r="O23" s="10"/>
      <c r="P23" s="2"/>
      <c r="Q23" s="4"/>
      <c r="S23" s="8"/>
      <c r="T23" s="26" t="s">
        <v>1</v>
      </c>
      <c r="U23" s="36" t="s">
        <v>29</v>
      </c>
      <c r="Y23" s="2" t="s">
        <v>1</v>
      </c>
      <c r="AA23" s="50" t="s">
        <v>1</v>
      </c>
      <c r="AB23" s="2"/>
      <c r="AC23" s="2"/>
      <c r="AD23" s="2"/>
      <c r="AE23" s="2"/>
      <c r="AF23" s="10" t="s">
        <v>1</v>
      </c>
      <c r="AG23" s="2"/>
      <c r="AI23" s="4"/>
    </row>
    <row r="24" spans="1:35" ht="14" x14ac:dyDescent="0.3">
      <c r="B24" s="8"/>
      <c r="F24" s="2" t="s">
        <v>30</v>
      </c>
      <c r="G24" s="2"/>
      <c r="M24" s="2" t="s">
        <v>1</v>
      </c>
      <c r="O24" s="10"/>
      <c r="P24" s="2"/>
      <c r="Q24" s="4"/>
      <c r="S24" s="8"/>
      <c r="T24" s="49" t="s">
        <v>1</v>
      </c>
      <c r="U24" s="2" t="s">
        <v>30</v>
      </c>
      <c r="AF24" s="44"/>
      <c r="AG24" s="2"/>
      <c r="AI24" s="4"/>
    </row>
    <row r="25" spans="1:35" ht="15.5" x14ac:dyDescent="0.35">
      <c r="B25" s="8"/>
      <c r="C25" s="591" t="s">
        <v>17</v>
      </c>
      <c r="D25" s="9">
        <f>D6</f>
        <v>46220</v>
      </c>
      <c r="F25" s="41" t="s">
        <v>31</v>
      </c>
      <c r="G25" s="41"/>
      <c r="H25" s="2"/>
      <c r="J25" s="2"/>
      <c r="O25" s="10"/>
      <c r="P25" s="2"/>
      <c r="Q25" s="4"/>
      <c r="S25" s="8"/>
      <c r="T25" s="41" t="s">
        <v>1</v>
      </c>
      <c r="U25" s="41" t="s">
        <v>31</v>
      </c>
      <c r="V25" s="2"/>
      <c r="X25" s="2"/>
      <c r="Y25" s="2"/>
      <c r="AF25" s="48"/>
      <c r="AG25" s="2"/>
      <c r="AI25" s="4"/>
    </row>
    <row r="26" spans="1:35" ht="12" thickBot="1" x14ac:dyDescent="0.3">
      <c r="B26" s="8"/>
      <c r="C26" s="591" t="s">
        <v>0</v>
      </c>
      <c r="D26" s="241">
        <f>D7</f>
        <v>0.58333333333333337</v>
      </c>
      <c r="F26" s="2" t="s">
        <v>27</v>
      </c>
      <c r="G26" s="9">
        <f>G7</f>
        <v>46204</v>
      </c>
      <c r="J26" s="2" t="s">
        <v>28</v>
      </c>
      <c r="K26" s="9">
        <f>K7</f>
        <v>46218</v>
      </c>
      <c r="O26" s="10"/>
      <c r="P26" s="2"/>
      <c r="Q26" s="4"/>
      <c r="S26" s="8"/>
      <c r="U26" s="1" t="str">
        <f>F26</f>
        <v>Fecha Desde:</v>
      </c>
      <c r="V26" s="9">
        <f>G26</f>
        <v>46204</v>
      </c>
      <c r="W26" s="1" t="s">
        <v>1</v>
      </c>
      <c r="X26" s="1" t="str">
        <f>J26</f>
        <v>Feha Hasta:</v>
      </c>
      <c r="Y26" s="9">
        <f>K26</f>
        <v>46218</v>
      </c>
      <c r="Z26" s="1" t="s">
        <v>1</v>
      </c>
      <c r="AF26" s="48"/>
      <c r="AG26" s="2"/>
      <c r="AI26" s="4"/>
    </row>
    <row r="27" spans="1:35" ht="72" customHeight="1" thickBot="1" x14ac:dyDescent="0.3">
      <c r="B27" s="11" t="s">
        <v>3</v>
      </c>
      <c r="C27" s="27" t="s">
        <v>9</v>
      </c>
      <c r="D27" s="11" t="s">
        <v>4</v>
      </c>
      <c r="E27" s="12" t="s">
        <v>5</v>
      </c>
      <c r="F27" s="27" t="s">
        <v>6</v>
      </c>
      <c r="G27" s="27" t="s">
        <v>159</v>
      </c>
      <c r="H27" s="27" t="s">
        <v>18</v>
      </c>
      <c r="I27" s="12" t="s">
        <v>24</v>
      </c>
      <c r="J27" s="73" t="s">
        <v>19</v>
      </c>
      <c r="K27" s="29" t="s">
        <v>20</v>
      </c>
      <c r="L27" s="28" t="s">
        <v>21</v>
      </c>
      <c r="M27" s="39" t="s">
        <v>22</v>
      </c>
      <c r="N27" s="12" t="s">
        <v>7</v>
      </c>
      <c r="O27" s="39" t="s">
        <v>23</v>
      </c>
      <c r="P27" s="13"/>
      <c r="Q27" s="4"/>
      <c r="S27" s="11" t="s">
        <v>3</v>
      </c>
      <c r="T27" s="27" t="s">
        <v>9</v>
      </c>
      <c r="U27" s="162" t="s">
        <v>39</v>
      </c>
      <c r="V27" s="163" t="s">
        <v>40</v>
      </c>
      <c r="W27" s="163" t="s">
        <v>41</v>
      </c>
      <c r="X27" s="163" t="s">
        <v>42</v>
      </c>
      <c r="Y27" s="164" t="s">
        <v>43</v>
      </c>
      <c r="Z27" s="85" t="s">
        <v>21</v>
      </c>
      <c r="AA27" s="65" t="s">
        <v>46</v>
      </c>
      <c r="AB27" s="65" t="s">
        <v>7</v>
      </c>
      <c r="AC27" s="85" t="s">
        <v>167</v>
      </c>
      <c r="AD27" s="121" t="s">
        <v>107</v>
      </c>
      <c r="AE27" s="121" t="s">
        <v>225</v>
      </c>
      <c r="AF27" s="39" t="s">
        <v>23</v>
      </c>
      <c r="AG27" s="13"/>
      <c r="AI27" s="4"/>
    </row>
    <row r="28" spans="1:35" s="308" customFormat="1" ht="12" thickBot="1" x14ac:dyDescent="0.3">
      <c r="B28" s="306">
        <v>1</v>
      </c>
      <c r="C28" s="307" t="s">
        <v>10</v>
      </c>
      <c r="D28" s="294">
        <f>'Rem. Anticipos R2'!E47</f>
        <v>51905326.660000004</v>
      </c>
      <c r="E28" s="295">
        <f>'Rem. Anticipos R2'!F47</f>
        <v>3006221.3</v>
      </c>
      <c r="F28" s="295">
        <f>'Rem. Anticipos R2'!G47</f>
        <v>1639860.25</v>
      </c>
      <c r="G28" s="295">
        <f>'Rem. Anticipos R2'!H47</f>
        <v>850380.86</v>
      </c>
      <c r="H28" s="295">
        <f>'Rem. Anticipos R2'!I47</f>
        <v>9435501.3100000005</v>
      </c>
      <c r="I28" s="295">
        <f>'Rem. Anticipos R2'!J47</f>
        <v>259683.96</v>
      </c>
      <c r="J28" s="292">
        <v>0</v>
      </c>
      <c r="K28" s="296">
        <f>D28-E28-F28-G28-H28-I28-J28</f>
        <v>36713678.980000004</v>
      </c>
      <c r="L28" s="297">
        <v>0</v>
      </c>
      <c r="M28" s="296">
        <f>K28-L28</f>
        <v>36713678.980000004</v>
      </c>
      <c r="N28" s="297">
        <f>'Rem. Anticipos R2'!K47</f>
        <v>57261.7</v>
      </c>
      <c r="O28" s="296">
        <f>M28+N28</f>
        <v>36770940.680000007</v>
      </c>
      <c r="Q28" s="309"/>
      <c r="S28" s="306">
        <v>1</v>
      </c>
      <c r="T28" s="307" t="s">
        <v>10</v>
      </c>
      <c r="U28" s="310">
        <f>'Rem. Anticipos R2'!L47</f>
        <v>4788034.3600000003</v>
      </c>
      <c r="V28" s="311">
        <f>'Rem. Anticipos R2'!M47</f>
        <v>4258792.88</v>
      </c>
      <c r="W28" s="311">
        <f>'Rem. Anticipos R2'!N47</f>
        <v>19822071.059999999</v>
      </c>
      <c r="X28" s="311">
        <f>'Rem. Anticipos R2'!O47</f>
        <v>8236781.7400000002</v>
      </c>
      <c r="Y28" s="312">
        <f>'Rem. Anticipos R2'!P47</f>
        <v>424320.58</v>
      </c>
      <c r="Z28" s="313">
        <f>L28*-1</f>
        <v>0</v>
      </c>
      <c r="AA28" s="314">
        <f>'Rem. Anticipos R2'!Q47</f>
        <v>74725.27</v>
      </c>
      <c r="AB28" s="297">
        <f>N28</f>
        <v>57261.7</v>
      </c>
      <c r="AC28" s="314">
        <f>'Rem. Anticipos R2'!R47</f>
        <v>0</v>
      </c>
      <c r="AD28" s="294">
        <f>-J28+AE28</f>
        <v>-891046.91</v>
      </c>
      <c r="AE28" s="294">
        <f>'Rem. Anticipos R2'!E48</f>
        <v>-891046.91</v>
      </c>
      <c r="AF28" s="316">
        <f>SUM(U28:AD28)</f>
        <v>36770940.680000007</v>
      </c>
      <c r="AG28" s="314">
        <f>(AF28-O28)</f>
        <v>0</v>
      </c>
      <c r="AH28" s="1" t="b">
        <f>INT(AG28)=0</f>
        <v>1</v>
      </c>
      <c r="AI28" s="309"/>
    </row>
    <row r="29" spans="1:35" s="308" customFormat="1" x14ac:dyDescent="0.25">
      <c r="B29" s="317">
        <v>2</v>
      </c>
      <c r="C29" s="318" t="s">
        <v>11</v>
      </c>
      <c r="D29" s="294">
        <f>'Rem. Anticipos R2'!E141</f>
        <v>34136584.159999996</v>
      </c>
      <c r="E29" s="295">
        <f>'Rem. Anticipos R2'!F141</f>
        <v>3280087.07</v>
      </c>
      <c r="F29" s="295">
        <f>'Rem. Anticipos R2'!G141</f>
        <v>1835856.04</v>
      </c>
      <c r="G29" s="295">
        <f>'Rem. Anticipos R2'!H141</f>
        <v>673309.09</v>
      </c>
      <c r="H29" s="295">
        <f>'Rem. Anticipos R2'!I141</f>
        <v>12224584.789999999</v>
      </c>
      <c r="I29" s="295">
        <f>'Rem. Anticipos R2'!J141</f>
        <v>442559.68</v>
      </c>
      <c r="J29" s="291">
        <v>0</v>
      </c>
      <c r="K29" s="298">
        <f t="shared" ref="K29:K31" si="7">D29-E29-F29-G29-H29-I29-J29</f>
        <v>15680187.489999998</v>
      </c>
      <c r="L29" s="297">
        <v>0</v>
      </c>
      <c r="M29" s="298">
        <f>K29-L29</f>
        <v>15680187.489999998</v>
      </c>
      <c r="N29" s="297">
        <f>'Rem. Anticipos R2'!K141</f>
        <v>0</v>
      </c>
      <c r="O29" s="298">
        <f t="shared" ref="O29:O32" si="8">M29+N29</f>
        <v>15680187.489999998</v>
      </c>
      <c r="Q29" s="309"/>
      <c r="S29" s="317">
        <v>2</v>
      </c>
      <c r="T29" s="318" t="s">
        <v>11</v>
      </c>
      <c r="U29" s="319">
        <f>'Rem. Anticipos R2'!L141</f>
        <v>4730465.07</v>
      </c>
      <c r="V29" s="320">
        <f>'Rem. Anticipos R2'!M141</f>
        <v>3749793.9</v>
      </c>
      <c r="W29" s="320">
        <f>'Rem. Anticipos R2'!N141</f>
        <v>16085107.93</v>
      </c>
      <c r="X29" s="320">
        <f>'Rem. Anticipos R2'!O141</f>
        <v>6716221.5999999996</v>
      </c>
      <c r="Y29" s="321">
        <f>'Rem. Anticipos R2'!P141</f>
        <v>579587.68000000005</v>
      </c>
      <c r="Z29" s="322">
        <f>L29*-1</f>
        <v>0</v>
      </c>
      <c r="AA29" s="323">
        <f>'Rem. Anticipos R2'!Q141</f>
        <v>142.44999999999999</v>
      </c>
      <c r="AB29" s="297">
        <f>N29</f>
        <v>0</v>
      </c>
      <c r="AC29" s="323">
        <f>'Rem. Anticipos R2'!R141</f>
        <v>0</v>
      </c>
      <c r="AD29" s="294">
        <f>-J29+AE29</f>
        <v>-16181131.140000001</v>
      </c>
      <c r="AE29" s="294">
        <f>'Rem. Anticipos R2'!E142</f>
        <v>-16181131.140000001</v>
      </c>
      <c r="AF29" s="325">
        <f>SUM(U29:AD29)</f>
        <v>15680187.489999998</v>
      </c>
      <c r="AG29" s="326">
        <f>(AF29-O29)</f>
        <v>0</v>
      </c>
      <c r="AH29" s="1" t="b">
        <f t="shared" ref="AH29:AH33" si="9">INT(AG29)=0</f>
        <v>1</v>
      </c>
      <c r="AI29" s="309"/>
    </row>
    <row r="30" spans="1:35" s="308" customFormat="1" x14ac:dyDescent="0.25">
      <c r="B30" s="317">
        <v>3</v>
      </c>
      <c r="C30" s="318" t="s">
        <v>12</v>
      </c>
      <c r="D30" s="294">
        <f>'Rem. Anticipos R2'!E253</f>
        <v>30434743.300000001</v>
      </c>
      <c r="E30" s="295">
        <f>'Rem. Anticipos R2'!F253</f>
        <v>2030282.44</v>
      </c>
      <c r="F30" s="295">
        <f>'Rem. Anticipos R2'!G253</f>
        <v>1168929.1000000001</v>
      </c>
      <c r="G30" s="295">
        <f>'Rem. Anticipos R2'!H253</f>
        <v>494017.66</v>
      </c>
      <c r="H30" s="295">
        <f>'Rem. Anticipos R2'!I253</f>
        <v>6734200.1200000001</v>
      </c>
      <c r="I30" s="295">
        <f>'Rem. Anticipos R2'!J253</f>
        <v>259111.09</v>
      </c>
      <c r="J30" s="291">
        <v>0</v>
      </c>
      <c r="K30" s="298">
        <f t="shared" si="7"/>
        <v>19748202.889999997</v>
      </c>
      <c r="L30" s="297">
        <v>0</v>
      </c>
      <c r="M30" s="298">
        <f>K30-L30</f>
        <v>19748202.889999997</v>
      </c>
      <c r="N30" s="297">
        <f>'Rem. Anticipos R2'!K253</f>
        <v>0</v>
      </c>
      <c r="O30" s="298">
        <f t="shared" si="8"/>
        <v>19748202.889999997</v>
      </c>
      <c r="Q30" s="309"/>
      <c r="S30" s="317">
        <v>3</v>
      </c>
      <c r="T30" s="318" t="s">
        <v>12</v>
      </c>
      <c r="U30" s="319">
        <f>'Rem. Anticipos R2'!L253</f>
        <v>2636653.13</v>
      </c>
      <c r="V30" s="320">
        <f>'Rem. Anticipos R2'!M253</f>
        <v>2267296.17</v>
      </c>
      <c r="W30" s="320">
        <f>'Rem. Anticipos R2'!N253</f>
        <v>10309012.48</v>
      </c>
      <c r="X30" s="320">
        <f>'Rem. Anticipos R2'!O253</f>
        <v>4860234.55</v>
      </c>
      <c r="Y30" s="321">
        <f>'Rem. Anticipos R2'!P253</f>
        <v>356485.83</v>
      </c>
      <c r="Z30" s="322">
        <f>L30*-1</f>
        <v>0</v>
      </c>
      <c r="AA30" s="323">
        <f>'Rem. Anticipos R2'!Q253</f>
        <v>336.7</v>
      </c>
      <c r="AB30" s="297">
        <f>N30</f>
        <v>0</v>
      </c>
      <c r="AC30" s="323">
        <f>'Rem. Anticipos R2'!R253</f>
        <v>0</v>
      </c>
      <c r="AD30" s="294">
        <f t="shared" ref="AD30:AD32" si="10">-J30+AE30</f>
        <v>-681815.97</v>
      </c>
      <c r="AE30" s="294">
        <f>'Rem. Anticipos R2'!E254</f>
        <v>-681815.97</v>
      </c>
      <c r="AF30" s="325">
        <f>SUM(U30:AD30)</f>
        <v>19748202.890000001</v>
      </c>
      <c r="AG30" s="326">
        <f t="shared" ref="AG30:AG31" si="11">(AF30-O30)</f>
        <v>3.7252902984619141E-9</v>
      </c>
      <c r="AH30" s="1" t="b">
        <f t="shared" si="9"/>
        <v>1</v>
      </c>
      <c r="AI30" s="309"/>
    </row>
    <row r="31" spans="1:35" s="308" customFormat="1" x14ac:dyDescent="0.25">
      <c r="B31" s="317">
        <v>4</v>
      </c>
      <c r="C31" s="318" t="s">
        <v>13</v>
      </c>
      <c r="D31" s="294">
        <f>'Rem. Anticipos R2'!E349</f>
        <v>10429855.41</v>
      </c>
      <c r="E31" s="295">
        <f>'Rem. Anticipos R2'!F349</f>
        <v>690733.36</v>
      </c>
      <c r="F31" s="295">
        <f>'Rem. Anticipos R2'!G349</f>
        <v>399647.15</v>
      </c>
      <c r="G31" s="295">
        <f>'Rem. Anticipos R2'!H349</f>
        <v>177943.87</v>
      </c>
      <c r="H31" s="295">
        <f>'Rem. Anticipos R2'!I349</f>
        <v>1963025.81</v>
      </c>
      <c r="I31" s="295">
        <f>'Rem. Anticipos R2'!J349</f>
        <v>83994.1</v>
      </c>
      <c r="J31" s="291">
        <v>0</v>
      </c>
      <c r="K31" s="298">
        <f t="shared" si="7"/>
        <v>7114511.120000001</v>
      </c>
      <c r="L31" s="297">
        <v>0</v>
      </c>
      <c r="M31" s="298">
        <f>K31-L31</f>
        <v>7114511.120000001</v>
      </c>
      <c r="N31" s="297">
        <f>'Rem. Anticipos R2'!K349</f>
        <v>0</v>
      </c>
      <c r="O31" s="298">
        <f t="shared" si="8"/>
        <v>7114511.120000001</v>
      </c>
      <c r="Q31" s="309"/>
      <c r="S31" s="317">
        <v>4</v>
      </c>
      <c r="T31" s="318" t="s">
        <v>13</v>
      </c>
      <c r="U31" s="319">
        <f>'Rem. Anticipos R2'!L349</f>
        <v>866554.23</v>
      </c>
      <c r="V31" s="320">
        <f>'Rem. Anticipos R2'!M349</f>
        <v>740608.98</v>
      </c>
      <c r="W31" s="320">
        <f>'Rem. Anticipos R2'!N349</f>
        <v>3686739.05</v>
      </c>
      <c r="X31" s="320">
        <f>'Rem. Anticipos R2'!O349</f>
        <v>1961307.89</v>
      </c>
      <c r="Y31" s="321">
        <f>'Rem. Anticipos R2'!P349</f>
        <v>119292.69</v>
      </c>
      <c r="Z31" s="322">
        <f>L31*-1</f>
        <v>0</v>
      </c>
      <c r="AA31" s="323">
        <f>'Rem. Anticipos R2'!Q349</f>
        <v>142.31</v>
      </c>
      <c r="AB31" s="297">
        <f>N31</f>
        <v>0</v>
      </c>
      <c r="AC31" s="323">
        <f>'Rem. Anticipos R2'!R349</f>
        <v>0</v>
      </c>
      <c r="AD31" s="294">
        <f t="shared" si="10"/>
        <v>-260134.03</v>
      </c>
      <c r="AE31" s="294">
        <f>'Rem. Anticipos R2'!E350</f>
        <v>-260134.03</v>
      </c>
      <c r="AF31" s="325">
        <f>SUM(U31:AD31)</f>
        <v>7114511.1199999992</v>
      </c>
      <c r="AG31" s="326">
        <f t="shared" si="11"/>
        <v>-1.862645149230957E-9</v>
      </c>
      <c r="AH31" s="1" t="b">
        <f t="shared" si="9"/>
        <v>0</v>
      </c>
      <c r="AI31" s="309"/>
    </row>
    <row r="32" spans="1:35" s="308" customFormat="1" ht="12" thickBot="1" x14ac:dyDescent="0.3">
      <c r="B32" s="327">
        <v>5</v>
      </c>
      <c r="C32" s="328" t="s">
        <v>14</v>
      </c>
      <c r="D32" s="299">
        <f>'Rem. Anticipos R2'!E419</f>
        <v>30118495.220000003</v>
      </c>
      <c r="E32" s="300">
        <f>'Rem. Anticipos R2'!F419</f>
        <v>2106172.1800000002</v>
      </c>
      <c r="F32" s="300">
        <f>'Rem. Anticipos R2'!G419</f>
        <v>1197632.3600000001</v>
      </c>
      <c r="G32" s="300">
        <f>'Rem. Anticipos R2'!H419</f>
        <v>519161.9</v>
      </c>
      <c r="H32" s="300">
        <f>'Rem. Anticipos R2'!I419</f>
        <v>6899533.04</v>
      </c>
      <c r="I32" s="300">
        <f>'Rem. Anticipos R2'!J419</f>
        <v>232492.75</v>
      </c>
      <c r="J32" s="292">
        <v>0</v>
      </c>
      <c r="K32" s="298">
        <f>D32-E32-F32-G32-H32-I32-J32</f>
        <v>19163502.990000006</v>
      </c>
      <c r="L32" s="297">
        <v>0</v>
      </c>
      <c r="M32" s="301">
        <f>K32-L32</f>
        <v>19163502.990000006</v>
      </c>
      <c r="N32" s="302">
        <f>'Rem. Anticipos R2'!K419</f>
        <v>308996.90999999997</v>
      </c>
      <c r="O32" s="301">
        <f t="shared" si="8"/>
        <v>19472499.900000006</v>
      </c>
      <c r="Q32" s="309"/>
      <c r="S32" s="327">
        <v>5</v>
      </c>
      <c r="T32" s="328" t="s">
        <v>14</v>
      </c>
      <c r="U32" s="299">
        <f>'Rem. Anticipos R2'!L419</f>
        <v>2705093.98</v>
      </c>
      <c r="V32" s="300">
        <f>'Rem. Anticipos R2'!M419</f>
        <v>2114304.02</v>
      </c>
      <c r="W32" s="300">
        <f>'Rem. Anticipos R2'!N419</f>
        <v>10325418.550000001</v>
      </c>
      <c r="X32" s="300">
        <f>'Rem. Anticipos R2'!O419</f>
        <v>6446972.6799999997</v>
      </c>
      <c r="Y32" s="292">
        <f>'Rem. Anticipos R2'!P419</f>
        <v>334803.59999999998</v>
      </c>
      <c r="Z32" s="322">
        <f>L32*-1</f>
        <v>0</v>
      </c>
      <c r="AA32" s="323">
        <f>'Rem. Anticipos R2'!Q419</f>
        <v>-347.44</v>
      </c>
      <c r="AB32" s="297">
        <f>N32</f>
        <v>308996.90999999997</v>
      </c>
      <c r="AC32" s="323">
        <f>'Rem. Anticipos R2'!R419</f>
        <v>0</v>
      </c>
      <c r="AD32" s="294">
        <f t="shared" si="10"/>
        <v>-2762742.4</v>
      </c>
      <c r="AE32" s="294">
        <f>'Rem. Anticipos R2'!E420</f>
        <v>-2762742.4</v>
      </c>
      <c r="AF32" s="325">
        <f>SUM(U32:AD32)</f>
        <v>19472499.900000002</v>
      </c>
      <c r="AG32" s="329">
        <f>(AF32-O32)</f>
        <v>-3.7252902984619141E-9</v>
      </c>
      <c r="AH32" s="1" t="b">
        <f t="shared" si="9"/>
        <v>0</v>
      </c>
      <c r="AI32" s="309"/>
    </row>
    <row r="33" spans="1:35" s="308" customFormat="1" ht="13.5" thickBot="1" x14ac:dyDescent="0.35">
      <c r="B33" s="330"/>
      <c r="C33" s="331" t="s">
        <v>2</v>
      </c>
      <c r="D33" s="293">
        <f>SUM(D28:D32)</f>
        <v>157025004.75</v>
      </c>
      <c r="E33" s="293">
        <f>SUM(E28:E32)</f>
        <v>11113496.349999998</v>
      </c>
      <c r="F33" s="293">
        <f t="shared" ref="F33:O33" si="12">SUM(F28:F32)</f>
        <v>6241924.9000000013</v>
      </c>
      <c r="G33" s="293">
        <f t="shared" si="12"/>
        <v>2714813.38</v>
      </c>
      <c r="H33" s="293">
        <f t="shared" si="12"/>
        <v>37256845.07</v>
      </c>
      <c r="I33" s="293">
        <f t="shared" si="12"/>
        <v>1277841.58</v>
      </c>
      <c r="J33" s="293">
        <f t="shared" si="12"/>
        <v>0</v>
      </c>
      <c r="K33" s="303">
        <f t="shared" si="12"/>
        <v>98420083.470000014</v>
      </c>
      <c r="L33" s="304">
        <f t="shared" si="12"/>
        <v>0</v>
      </c>
      <c r="M33" s="305">
        <f t="shared" si="12"/>
        <v>98420083.470000014</v>
      </c>
      <c r="N33" s="304">
        <f t="shared" si="12"/>
        <v>366258.61</v>
      </c>
      <c r="O33" s="305">
        <f t="shared" si="12"/>
        <v>98786342.080000013</v>
      </c>
      <c r="P33" s="332"/>
      <c r="Q33" s="309"/>
      <c r="S33" s="330"/>
      <c r="T33" s="331" t="s">
        <v>2</v>
      </c>
      <c r="U33" s="333">
        <f>SUM(U28:U32)</f>
        <v>15726800.77</v>
      </c>
      <c r="V33" s="333">
        <f t="shared" ref="V33:AG33" si="13">SUM(V28:V32)</f>
        <v>13130795.949999999</v>
      </c>
      <c r="W33" s="333">
        <f t="shared" si="13"/>
        <v>60228349.069999993</v>
      </c>
      <c r="X33" s="333">
        <f t="shared" si="13"/>
        <v>28221518.460000001</v>
      </c>
      <c r="Y33" s="333">
        <f t="shared" si="13"/>
        <v>1814490.38</v>
      </c>
      <c r="Z33" s="293">
        <f t="shared" si="13"/>
        <v>0</v>
      </c>
      <c r="AA33" s="293">
        <f t="shared" si="13"/>
        <v>74999.289999999994</v>
      </c>
      <c r="AB33" s="293">
        <f t="shared" si="13"/>
        <v>366258.61</v>
      </c>
      <c r="AC33" s="293">
        <f t="shared" ref="AC33" si="14">SUM(AC28:AC32)</f>
        <v>0</v>
      </c>
      <c r="AD33" s="293">
        <f>SUM(AD28:AD32)</f>
        <v>-20776870.449999999</v>
      </c>
      <c r="AE33" s="293">
        <f>SUM(AE28:AE32)</f>
        <v>-20776870.449999999</v>
      </c>
      <c r="AF33" s="334">
        <f t="shared" si="13"/>
        <v>98786342.080000013</v>
      </c>
      <c r="AG33" s="335">
        <f t="shared" si="13"/>
        <v>-1.862645149230957E-9</v>
      </c>
      <c r="AH33" s="1" t="b">
        <f t="shared" si="9"/>
        <v>0</v>
      </c>
      <c r="AI33" s="309"/>
    </row>
    <row r="34" spans="1:35" ht="12" thickBot="1" x14ac:dyDescent="0.3">
      <c r="B34" s="2"/>
      <c r="C34" s="2"/>
      <c r="D34" s="24"/>
      <c r="E34" s="24"/>
      <c r="F34" s="24"/>
      <c r="G34" s="24"/>
      <c r="H34" s="24"/>
      <c r="I34" s="24"/>
      <c r="K34" s="24"/>
      <c r="L34" s="24"/>
      <c r="M34" s="24"/>
      <c r="N34" s="24"/>
      <c r="O34" s="24"/>
      <c r="Q34" s="4"/>
      <c r="S34" s="2"/>
      <c r="T34" s="2"/>
      <c r="U34" s="24"/>
      <c r="V34" s="24"/>
      <c r="W34" s="24"/>
      <c r="X34" s="24"/>
      <c r="Y34" s="24"/>
      <c r="AF34" s="24"/>
      <c r="AI34" s="4"/>
    </row>
    <row r="35" spans="1:35" ht="12" thickBot="1" x14ac:dyDescent="0.3">
      <c r="B35" s="2"/>
      <c r="C35" s="2"/>
      <c r="D35" s="24" t="s">
        <v>1</v>
      </c>
      <c r="E35" s="24"/>
      <c r="F35" s="24"/>
      <c r="G35" s="24"/>
      <c r="H35" s="24"/>
      <c r="I35" s="24"/>
      <c r="K35" s="24"/>
      <c r="L35" s="24"/>
      <c r="M35" s="24"/>
      <c r="N35" s="24"/>
      <c r="O35" s="24"/>
      <c r="Q35" s="4"/>
      <c r="Y35" s="86">
        <f>SUM(U33:Y33)</f>
        <v>119121954.63</v>
      </c>
      <c r="AD35" s="1" t="s">
        <v>1</v>
      </c>
      <c r="AF35" s="1" t="s">
        <v>1</v>
      </c>
      <c r="AI35" s="4"/>
    </row>
    <row r="36" spans="1:35" ht="12" thickBot="1" x14ac:dyDescent="0.3">
      <c r="B36" s="2"/>
      <c r="C36" s="2"/>
      <c r="D36" s="24" t="s">
        <v>1</v>
      </c>
      <c r="E36" s="33"/>
      <c r="F36" s="33"/>
      <c r="G36" s="33"/>
      <c r="H36" s="33"/>
      <c r="I36" s="24"/>
      <c r="K36" s="24"/>
      <c r="L36" s="24"/>
      <c r="M36" s="24"/>
      <c r="N36" s="24"/>
      <c r="O36" s="24"/>
      <c r="Q36" s="4"/>
      <c r="AI36" s="4"/>
    </row>
    <row r="37" spans="1:35" x14ac:dyDescent="0.25">
      <c r="B37" s="2"/>
      <c r="C37" s="2"/>
      <c r="D37" s="24" t="s">
        <v>1</v>
      </c>
      <c r="E37" s="24" t="s">
        <v>1</v>
      </c>
      <c r="F37" s="24" t="s">
        <v>25</v>
      </c>
      <c r="G37" s="24"/>
      <c r="H37" s="24"/>
      <c r="I37" s="24"/>
      <c r="K37" s="24"/>
      <c r="L37" s="24"/>
      <c r="M37" s="24"/>
      <c r="N37" s="24"/>
      <c r="O37" s="24"/>
      <c r="Q37" s="4"/>
      <c r="AI37" s="4"/>
    </row>
    <row r="38" spans="1:35" x14ac:dyDescent="0.25">
      <c r="A38" s="4"/>
      <c r="B38" s="34"/>
      <c r="C38" s="34"/>
      <c r="D38" s="35"/>
      <c r="E38" s="35"/>
      <c r="F38" s="35"/>
      <c r="G38" s="35"/>
      <c r="H38" s="35"/>
      <c r="I38" s="35"/>
      <c r="J38" s="4"/>
      <c r="K38" s="35"/>
      <c r="L38" s="35"/>
      <c r="M38" s="35"/>
      <c r="N38" s="35"/>
      <c r="O38" s="35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</row>
    <row r="39" spans="1:35" ht="12" thickBot="1" x14ac:dyDescent="0.3">
      <c r="Q39" s="4"/>
      <c r="AI39" s="4"/>
    </row>
    <row r="40" spans="1:35" x14ac:dyDescent="0.25">
      <c r="B40" s="5"/>
      <c r="C40" s="3" t="s">
        <v>1</v>
      </c>
      <c r="D40" s="6" t="s">
        <v>1</v>
      </c>
      <c r="E40" s="3"/>
      <c r="F40" s="3"/>
      <c r="G40" s="3"/>
      <c r="H40" s="3" t="s">
        <v>1</v>
      </c>
      <c r="I40" s="3"/>
      <c r="J40" s="3"/>
      <c r="K40" s="3"/>
      <c r="L40" s="3"/>
      <c r="M40" s="3"/>
      <c r="N40" s="3"/>
      <c r="O40" s="7"/>
      <c r="P40" s="2"/>
      <c r="Q40" s="4"/>
      <c r="S40" s="5"/>
      <c r="T40" s="3" t="s">
        <v>1</v>
      </c>
      <c r="U40" s="6" t="s">
        <v>1</v>
      </c>
      <c r="V40" s="3"/>
      <c r="W40" s="3"/>
      <c r="X40" s="3" t="s">
        <v>1</v>
      </c>
      <c r="Y40" s="3"/>
      <c r="Z40" s="3"/>
      <c r="AA40" s="3"/>
      <c r="AB40" s="3"/>
      <c r="AC40" s="3"/>
      <c r="AD40" s="3"/>
      <c r="AE40" s="3"/>
      <c r="AF40" s="7"/>
      <c r="AG40" s="2"/>
      <c r="AI40" s="4"/>
    </row>
    <row r="41" spans="1:35" ht="14" x14ac:dyDescent="0.3">
      <c r="B41" s="8"/>
      <c r="F41" s="26" t="s">
        <v>8</v>
      </c>
      <c r="G41" s="26"/>
      <c r="I41" s="26" t="s">
        <v>16</v>
      </c>
      <c r="J41" s="25"/>
      <c r="M41" s="2" t="s">
        <v>15</v>
      </c>
      <c r="N41" s="50">
        <f>N3</f>
        <v>2026071</v>
      </c>
      <c r="O41" s="10"/>
      <c r="P41" s="2"/>
      <c r="Q41" s="4"/>
      <c r="S41" s="8"/>
      <c r="U41" s="26" t="s">
        <v>8</v>
      </c>
      <c r="W41" s="26" t="s">
        <v>16</v>
      </c>
      <c r="X41" s="25"/>
      <c r="Y41" s="2"/>
      <c r="AA41" s="2" t="s">
        <v>15</v>
      </c>
      <c r="AD41" s="84">
        <f>N41</f>
        <v>2026071</v>
      </c>
      <c r="AE41" s="84"/>
      <c r="AF41" s="48"/>
      <c r="AG41" s="2"/>
      <c r="AI41" s="4"/>
    </row>
    <row r="42" spans="1:35" ht="15.5" x14ac:dyDescent="0.35">
      <c r="B42" s="8"/>
      <c r="F42" s="36" t="s">
        <v>29</v>
      </c>
      <c r="G42" s="36"/>
      <c r="O42" s="10"/>
      <c r="P42" s="2"/>
      <c r="Q42" s="4"/>
      <c r="S42" s="8"/>
      <c r="T42" s="26" t="s">
        <v>1</v>
      </c>
      <c r="U42" s="36" t="s">
        <v>29</v>
      </c>
      <c r="Y42" s="2" t="s">
        <v>1</v>
      </c>
      <c r="AA42" s="50" t="s">
        <v>1</v>
      </c>
      <c r="AB42" s="2"/>
      <c r="AC42" s="2"/>
      <c r="AD42" s="2"/>
      <c r="AE42" s="2"/>
      <c r="AF42" s="10" t="s">
        <v>1</v>
      </c>
      <c r="AG42" s="2"/>
      <c r="AI42" s="4"/>
    </row>
    <row r="43" spans="1:35" ht="14" x14ac:dyDescent="0.3">
      <c r="B43" s="8"/>
      <c r="F43" s="2" t="s">
        <v>30</v>
      </c>
      <c r="G43" s="2"/>
      <c r="M43" s="2" t="s">
        <v>1</v>
      </c>
      <c r="O43" s="10"/>
      <c r="P43" s="2"/>
      <c r="Q43" s="4"/>
      <c r="S43" s="8"/>
      <c r="T43" s="49" t="s">
        <v>1</v>
      </c>
      <c r="U43" s="2" t="s">
        <v>30</v>
      </c>
      <c r="AF43" s="44"/>
      <c r="AG43" s="2"/>
      <c r="AI43" s="4"/>
    </row>
    <row r="44" spans="1:35" ht="15.5" x14ac:dyDescent="0.35">
      <c r="B44" s="8"/>
      <c r="C44" s="591" t="s">
        <v>17</v>
      </c>
      <c r="D44" s="9">
        <f>D6</f>
        <v>46220</v>
      </c>
      <c r="F44" s="41" t="s">
        <v>32</v>
      </c>
      <c r="G44" s="41"/>
      <c r="H44" s="2"/>
      <c r="J44" s="2"/>
      <c r="O44" s="10"/>
      <c r="P44" s="2"/>
      <c r="Q44" s="4"/>
      <c r="S44" s="8"/>
      <c r="T44" s="41" t="s">
        <v>1</v>
      </c>
      <c r="U44" s="41" t="s">
        <v>32</v>
      </c>
      <c r="V44" s="2"/>
      <c r="X44" s="2"/>
      <c r="Y44" s="2"/>
      <c r="AF44" s="48"/>
      <c r="AG44" s="2"/>
      <c r="AI44" s="4"/>
    </row>
    <row r="45" spans="1:35" ht="12" thickBot="1" x14ac:dyDescent="0.3">
      <c r="B45" s="8"/>
      <c r="C45" s="591" t="s">
        <v>0</v>
      </c>
      <c r="D45" s="241">
        <f>D7</f>
        <v>0.58333333333333337</v>
      </c>
      <c r="F45" s="2" t="s">
        <v>27</v>
      </c>
      <c r="G45" s="9">
        <f>G7</f>
        <v>46204</v>
      </c>
      <c r="J45" s="2" t="s">
        <v>28</v>
      </c>
      <c r="K45" s="9">
        <f>K7</f>
        <v>46218</v>
      </c>
      <c r="O45" s="10"/>
      <c r="P45" s="2"/>
      <c r="Q45" s="4"/>
      <c r="S45" s="8"/>
      <c r="U45" s="1" t="str">
        <f>F45</f>
        <v>Fecha Desde:</v>
      </c>
      <c r="V45" s="9">
        <f>G45</f>
        <v>46204</v>
      </c>
      <c r="W45" s="1" t="s">
        <v>1</v>
      </c>
      <c r="X45" s="1" t="str">
        <f>J45</f>
        <v>Feha Hasta:</v>
      </c>
      <c r="Y45" s="9">
        <f>K45</f>
        <v>46218</v>
      </c>
      <c r="Z45" s="1" t="s">
        <v>1</v>
      </c>
      <c r="AF45" s="48"/>
      <c r="AG45" s="2"/>
      <c r="AI45" s="4"/>
    </row>
    <row r="46" spans="1:35" ht="72" customHeight="1" thickBot="1" x14ac:dyDescent="0.3">
      <c r="B46" s="11" t="s">
        <v>3</v>
      </c>
      <c r="C46" s="27" t="s">
        <v>9</v>
      </c>
      <c r="D46" s="11" t="s">
        <v>4</v>
      </c>
      <c r="E46" s="12" t="s">
        <v>5</v>
      </c>
      <c r="F46" s="27" t="s">
        <v>6</v>
      </c>
      <c r="G46" s="27" t="s">
        <v>159</v>
      </c>
      <c r="H46" s="27" t="s">
        <v>18</v>
      </c>
      <c r="I46" s="12" t="s">
        <v>24</v>
      </c>
      <c r="J46" s="73" t="s">
        <v>19</v>
      </c>
      <c r="K46" s="29" t="s">
        <v>20</v>
      </c>
      <c r="L46" s="28" t="s">
        <v>21</v>
      </c>
      <c r="M46" s="39" t="s">
        <v>22</v>
      </c>
      <c r="N46" s="12" t="s">
        <v>7</v>
      </c>
      <c r="O46" s="39" t="s">
        <v>23</v>
      </c>
      <c r="P46" s="13"/>
      <c r="Q46" s="4"/>
      <c r="S46" s="11" t="s">
        <v>3</v>
      </c>
      <c r="T46" s="27" t="s">
        <v>9</v>
      </c>
      <c r="U46" s="162" t="s">
        <v>39</v>
      </c>
      <c r="V46" s="163" t="s">
        <v>40</v>
      </c>
      <c r="W46" s="163" t="s">
        <v>41</v>
      </c>
      <c r="X46" s="163" t="s">
        <v>42</v>
      </c>
      <c r="Y46" s="164" t="s">
        <v>43</v>
      </c>
      <c r="Z46" s="85" t="s">
        <v>21</v>
      </c>
      <c r="AA46" s="65" t="s">
        <v>46</v>
      </c>
      <c r="AB46" s="65" t="s">
        <v>7</v>
      </c>
      <c r="AC46" s="85" t="s">
        <v>167</v>
      </c>
      <c r="AD46" s="121" t="s">
        <v>107</v>
      </c>
      <c r="AE46" s="121" t="s">
        <v>225</v>
      </c>
      <c r="AF46" s="39" t="s">
        <v>23</v>
      </c>
      <c r="AG46" s="13"/>
      <c r="AI46" s="4"/>
    </row>
    <row r="47" spans="1:35" s="308" customFormat="1" ht="12" thickBot="1" x14ac:dyDescent="0.3">
      <c r="B47" s="306">
        <v>1</v>
      </c>
      <c r="C47" s="307" t="s">
        <v>10</v>
      </c>
      <c r="D47" s="294">
        <f>'Reporte Componentes R1'!F58</f>
        <v>0</v>
      </c>
      <c r="E47" s="295">
        <f>'Reporte Componentes R1'!G58</f>
        <v>0</v>
      </c>
      <c r="F47" s="295">
        <f>'Reporte Componentes R1'!H58</f>
        <v>0</v>
      </c>
      <c r="G47" s="295">
        <f>'Reporte Componentes R1'!I58</f>
        <v>0</v>
      </c>
      <c r="H47" s="295">
        <f>'Reporte Componentes R1'!J58</f>
        <v>0</v>
      </c>
      <c r="I47" s="295">
        <f>'Reporte Componentes R1'!K58</f>
        <v>0</v>
      </c>
      <c r="J47" s="292">
        <v>0</v>
      </c>
      <c r="K47" s="296">
        <f>D47-E47-F47-G47-H47-I47-J47</f>
        <v>0</v>
      </c>
      <c r="L47" s="297">
        <v>0</v>
      </c>
      <c r="M47" s="296">
        <f>K47-L47</f>
        <v>0</v>
      </c>
      <c r="N47" s="297">
        <f>'Reporte Componentes R1'!L58</f>
        <v>0</v>
      </c>
      <c r="O47" s="296">
        <f>M47+N47</f>
        <v>0</v>
      </c>
      <c r="Q47" s="309"/>
      <c r="S47" s="306">
        <v>1</v>
      </c>
      <c r="T47" s="307" t="s">
        <v>10</v>
      </c>
      <c r="U47" s="310">
        <f>'Reporte Componentes R1'!M58</f>
        <v>0</v>
      </c>
      <c r="V47" s="311">
        <f>'Reporte Componentes R1'!N58</f>
        <v>0</v>
      </c>
      <c r="W47" s="311">
        <f>'Reporte Componentes R1'!O58</f>
        <v>0</v>
      </c>
      <c r="X47" s="311">
        <f>'Reporte Componentes R1'!P58</f>
        <v>0</v>
      </c>
      <c r="Y47" s="312">
        <f>'Reporte Componentes R1'!Q58</f>
        <v>0</v>
      </c>
      <c r="Z47" s="313">
        <f>-L47</f>
        <v>0</v>
      </c>
      <c r="AA47" s="323">
        <f>'Reporte Componentes R1'!R58+'Reporte Componentes R1'!V58+'Reporte Componentes R1'!U58</f>
        <v>0</v>
      </c>
      <c r="AB47" s="297">
        <f>N47</f>
        <v>0</v>
      </c>
      <c r="AC47" s="314">
        <f>'Reporte Componentes R1'!T58+'Reporte Componentes R1'!W58+'Reporte Componentes R1'!X58+'Reporte Componentes R1'!Y58+'Reporte Componentes R1'!Z58+'Reporte Componentes R1'!S58</f>
        <v>0</v>
      </c>
      <c r="AD47" s="294">
        <f>-J47+AE47</f>
        <v>0</v>
      </c>
      <c r="AE47" s="294">
        <f>'Reporte Componentes R1'!F59</f>
        <v>0</v>
      </c>
      <c r="AF47" s="316">
        <f>SUM(U47:AD47)</f>
        <v>0</v>
      </c>
      <c r="AG47" s="314">
        <f>(AF47-O47)</f>
        <v>0</v>
      </c>
      <c r="AH47" s="1" t="b">
        <f>INT(AG47)=0</f>
        <v>1</v>
      </c>
      <c r="AI47" s="309"/>
    </row>
    <row r="48" spans="1:35" s="308" customFormat="1" x14ac:dyDescent="0.25">
      <c r="B48" s="317">
        <v>2</v>
      </c>
      <c r="C48" s="318" t="s">
        <v>11</v>
      </c>
      <c r="D48" s="294">
        <f>'Reporte Componentes R1'!F188</f>
        <v>0</v>
      </c>
      <c r="E48" s="295">
        <f>'Reporte Componentes R1'!G188</f>
        <v>0</v>
      </c>
      <c r="F48" s="295">
        <f>'Reporte Componentes R1'!H188</f>
        <v>0</v>
      </c>
      <c r="G48" s="295">
        <f>'Reporte Componentes R1'!I188</f>
        <v>0</v>
      </c>
      <c r="H48" s="295">
        <f>'Reporte Componentes R1'!J188</f>
        <v>0</v>
      </c>
      <c r="I48" s="295">
        <f>'Reporte Componentes R1'!K188</f>
        <v>0</v>
      </c>
      <c r="J48" s="291">
        <v>0</v>
      </c>
      <c r="K48" s="298">
        <f t="shared" ref="K48:K51" si="15">D48-E48-F48-G48-H48-I48-J48</f>
        <v>0</v>
      </c>
      <c r="L48" s="297">
        <v>0</v>
      </c>
      <c r="M48" s="298">
        <f>K48-L48</f>
        <v>0</v>
      </c>
      <c r="N48" s="297">
        <f>'Reporte Componentes R1'!L188</f>
        <v>0</v>
      </c>
      <c r="O48" s="298">
        <f t="shared" ref="O48:O51" si="16">M48+N48</f>
        <v>0</v>
      </c>
      <c r="Q48" s="309"/>
      <c r="S48" s="317">
        <v>2</v>
      </c>
      <c r="T48" s="318" t="s">
        <v>11</v>
      </c>
      <c r="U48" s="319">
        <f>'Reporte Componentes R1'!M188</f>
        <v>0</v>
      </c>
      <c r="V48" s="320">
        <f>'Reporte Componentes R1'!N188</f>
        <v>0</v>
      </c>
      <c r="W48" s="320">
        <f>'Reporte Componentes R1'!O188</f>
        <v>0</v>
      </c>
      <c r="X48" s="320">
        <f>'Reporte Componentes R1'!P188</f>
        <v>0</v>
      </c>
      <c r="Y48" s="321">
        <f>'Reporte Componentes R1'!Q188</f>
        <v>0</v>
      </c>
      <c r="Z48" s="322">
        <f>-L48</f>
        <v>0</v>
      </c>
      <c r="AA48" s="323">
        <f>'Reporte Componentes R1'!R188+'Reporte Componentes R1'!V188+'Reporte Componentes R1'!U188</f>
        <v>0</v>
      </c>
      <c r="AB48" s="297">
        <f>N48</f>
        <v>0</v>
      </c>
      <c r="AC48" s="323">
        <f>'Reporte Componentes R1'!T188+'Reporte Componentes R1'!W188+'Reporte Componentes R1'!X188+'Reporte Componentes R1'!Y188+'Reporte Componentes R1'!Z188+'Reporte Componentes R1'!S188</f>
        <v>0</v>
      </c>
      <c r="AD48" s="294">
        <f t="shared" ref="AD48:AD51" si="17">-J48+AE48</f>
        <v>0</v>
      </c>
      <c r="AE48" s="294">
        <f>'Reporte Componentes R1'!F189</f>
        <v>0</v>
      </c>
      <c r="AF48" s="325">
        <f>SUM(U48:AD48)</f>
        <v>0</v>
      </c>
      <c r="AG48" s="326">
        <f>(AF48-O48)</f>
        <v>0</v>
      </c>
      <c r="AH48" s="1" t="b">
        <f t="shared" ref="AH48:AH52" si="18">INT(AG48)=0</f>
        <v>1</v>
      </c>
      <c r="AI48" s="309"/>
    </row>
    <row r="49" spans="1:35" s="308" customFormat="1" x14ac:dyDescent="0.25">
      <c r="B49" s="317">
        <v>3</v>
      </c>
      <c r="C49" s="318" t="s">
        <v>12</v>
      </c>
      <c r="D49" s="294">
        <f>'Reporte Componentes R1'!F328</f>
        <v>0</v>
      </c>
      <c r="E49" s="295">
        <f>'Reporte Componentes R1'!G328</f>
        <v>0</v>
      </c>
      <c r="F49" s="295">
        <f>'Reporte Componentes R1'!H328</f>
        <v>0</v>
      </c>
      <c r="G49" s="295">
        <f>'Reporte Componentes R1'!I328</f>
        <v>0</v>
      </c>
      <c r="H49" s="295">
        <f>'Reporte Componentes R1'!J328</f>
        <v>0</v>
      </c>
      <c r="I49" s="295">
        <f>'Reporte Componentes R1'!K328</f>
        <v>0</v>
      </c>
      <c r="J49" s="291">
        <v>0</v>
      </c>
      <c r="K49" s="298">
        <f t="shared" si="15"/>
        <v>0</v>
      </c>
      <c r="L49" s="297">
        <v>0</v>
      </c>
      <c r="M49" s="298">
        <f>K49-L49</f>
        <v>0</v>
      </c>
      <c r="N49" s="297">
        <f>'Reporte Componentes R1'!L328</f>
        <v>0</v>
      </c>
      <c r="O49" s="298">
        <f t="shared" si="16"/>
        <v>0</v>
      </c>
      <c r="Q49" s="309"/>
      <c r="S49" s="317">
        <v>3</v>
      </c>
      <c r="T49" s="318" t="s">
        <v>12</v>
      </c>
      <c r="U49" s="319">
        <f>'Reporte Componentes R1'!M328</f>
        <v>0</v>
      </c>
      <c r="V49" s="320">
        <f>'Reporte Componentes R1'!N328</f>
        <v>0</v>
      </c>
      <c r="W49" s="320">
        <f>'Reporte Componentes R1'!O328</f>
        <v>0</v>
      </c>
      <c r="X49" s="320">
        <f>'Reporte Componentes R1'!P328</f>
        <v>0</v>
      </c>
      <c r="Y49" s="321">
        <f>'Reporte Componentes R1'!Q328</f>
        <v>0</v>
      </c>
      <c r="Z49" s="322">
        <f>-L49</f>
        <v>0</v>
      </c>
      <c r="AA49" s="323">
        <f>'Reporte Componentes R1'!R328+'Reporte Componentes R1'!V328+'Reporte Componentes R1'!U328</f>
        <v>0</v>
      </c>
      <c r="AB49" s="297">
        <f>N49</f>
        <v>0</v>
      </c>
      <c r="AC49" s="323">
        <f>'Reporte Componentes R1'!T328+'Reporte Componentes R1'!W328+'Reporte Componentes R1'!X328+'Reporte Componentes R1'!Y328+'Reporte Componentes R1'!Z328+'Reporte Componentes R1'!S328</f>
        <v>0</v>
      </c>
      <c r="AD49" s="294">
        <f t="shared" si="17"/>
        <v>0</v>
      </c>
      <c r="AE49" s="294">
        <f>'Reporte Componentes R1'!F329</f>
        <v>0</v>
      </c>
      <c r="AF49" s="325">
        <f t="shared" ref="AF49:AF51" si="19">SUM(U49:AD49)</f>
        <v>0</v>
      </c>
      <c r="AG49" s="326">
        <f t="shared" ref="AG49:AG51" si="20">(AF49-O49)</f>
        <v>0</v>
      </c>
      <c r="AH49" s="1" t="b">
        <f t="shared" si="18"/>
        <v>1</v>
      </c>
      <c r="AI49" s="309"/>
    </row>
    <row r="50" spans="1:35" s="308" customFormat="1" x14ac:dyDescent="0.25">
      <c r="B50" s="317">
        <v>4</v>
      </c>
      <c r="C50" s="318" t="s">
        <v>13</v>
      </c>
      <c r="D50" s="294">
        <f>'Reporte Componentes R1'!F449</f>
        <v>3564150</v>
      </c>
      <c r="E50" s="295">
        <f>'Reporte Componentes R1'!G449</f>
        <v>188960.79</v>
      </c>
      <c r="F50" s="295">
        <f>'Reporte Componentes R1'!H449</f>
        <v>102531.53</v>
      </c>
      <c r="G50" s="295">
        <f>'Reporte Componentes R1'!I449</f>
        <v>54475.27</v>
      </c>
      <c r="H50" s="295">
        <f>'Reporte Componentes R1'!J449</f>
        <v>719073.57</v>
      </c>
      <c r="I50" s="295">
        <f>'Reporte Componentes R1'!K449</f>
        <v>26512.54</v>
      </c>
      <c r="J50" s="291">
        <v>0</v>
      </c>
      <c r="K50" s="298">
        <f t="shared" si="15"/>
        <v>2472596.3000000003</v>
      </c>
      <c r="L50" s="297">
        <v>0</v>
      </c>
      <c r="M50" s="298">
        <f>K50-L50</f>
        <v>2472596.3000000003</v>
      </c>
      <c r="N50" s="297">
        <f>'Reporte Componentes R1'!L449</f>
        <v>0</v>
      </c>
      <c r="O50" s="298">
        <f t="shared" si="16"/>
        <v>2472596.3000000003</v>
      </c>
      <c r="Q50" s="309"/>
      <c r="S50" s="317">
        <v>4</v>
      </c>
      <c r="T50" s="318" t="s">
        <v>13</v>
      </c>
      <c r="U50" s="319">
        <f>'Reporte Componentes R1'!M449</f>
        <v>232567.66</v>
      </c>
      <c r="V50" s="320">
        <f>'Reporte Componentes R1'!N449</f>
        <v>235933.53</v>
      </c>
      <c r="W50" s="320">
        <f>'Reporte Componentes R1'!O449</f>
        <v>1461667.91</v>
      </c>
      <c r="X50" s="320">
        <f>'Reporte Componentes R1'!P449</f>
        <v>510527.11</v>
      </c>
      <c r="Y50" s="321">
        <f>'Reporte Componentes R1'!Q449</f>
        <v>44146.57</v>
      </c>
      <c r="Z50" s="322">
        <f>-L50</f>
        <v>0</v>
      </c>
      <c r="AA50" s="323">
        <f>'Reporte Componentes R1'!R449+'Reporte Componentes R1'!V449+'Reporte Componentes R1'!U449</f>
        <v>2.46</v>
      </c>
      <c r="AB50" s="297">
        <f>N50</f>
        <v>0</v>
      </c>
      <c r="AC50" s="323">
        <f>'Reporte Componentes R1'!T449+'Reporte Componentes R1'!W449+'Reporte Componentes R1'!X449+'Reporte Componentes R1'!Y449+'Reporte Componentes R1'!Z449+'Reporte Componentes R1'!S449</f>
        <v>0</v>
      </c>
      <c r="AD50" s="294">
        <f t="shared" si="17"/>
        <v>-12248.94</v>
      </c>
      <c r="AE50" s="294">
        <f>'Reporte Componentes R1'!F450</f>
        <v>-12248.94</v>
      </c>
      <c r="AF50" s="325">
        <f t="shared" si="19"/>
        <v>2472596.2999999998</v>
      </c>
      <c r="AG50" s="326">
        <f t="shared" si="20"/>
        <v>-4.6566128730773926E-10</v>
      </c>
      <c r="AH50" s="1" t="b">
        <f t="shared" si="18"/>
        <v>0</v>
      </c>
      <c r="AI50" s="309"/>
    </row>
    <row r="51" spans="1:35" s="308" customFormat="1" ht="12" thickBot="1" x14ac:dyDescent="0.3">
      <c r="B51" s="327">
        <v>5</v>
      </c>
      <c r="C51" s="328" t="s">
        <v>14</v>
      </c>
      <c r="D51" s="299">
        <f>'Reporte Componentes R1'!F531</f>
        <v>0</v>
      </c>
      <c r="E51" s="300">
        <f>'Reporte Componentes R1'!G531</f>
        <v>0</v>
      </c>
      <c r="F51" s="300">
        <f>'Reporte Componentes R1'!H531</f>
        <v>0</v>
      </c>
      <c r="G51" s="300">
        <f>'Reporte Componentes R1'!I531</f>
        <v>0</v>
      </c>
      <c r="H51" s="300">
        <f>'Reporte Componentes R1'!J531</f>
        <v>0</v>
      </c>
      <c r="I51" s="300">
        <f>'Reporte Componentes R1'!K531</f>
        <v>0</v>
      </c>
      <c r="J51" s="292">
        <v>0</v>
      </c>
      <c r="K51" s="298">
        <f t="shared" si="15"/>
        <v>0</v>
      </c>
      <c r="L51" s="297">
        <v>0</v>
      </c>
      <c r="M51" s="301">
        <f>K51-L51</f>
        <v>0</v>
      </c>
      <c r="N51" s="302">
        <f>'Reporte Componentes R1'!L531</f>
        <v>0</v>
      </c>
      <c r="O51" s="301">
        <f t="shared" si="16"/>
        <v>0</v>
      </c>
      <c r="Q51" s="309"/>
      <c r="S51" s="327">
        <v>5</v>
      </c>
      <c r="T51" s="328" t="s">
        <v>14</v>
      </c>
      <c r="U51" s="299">
        <f>'Reporte Componentes R1'!M531</f>
        <v>0</v>
      </c>
      <c r="V51" s="300">
        <f>'Reporte Componentes R1'!N531</f>
        <v>0</v>
      </c>
      <c r="W51" s="300">
        <f>'Reporte Componentes R1'!O531</f>
        <v>0</v>
      </c>
      <c r="X51" s="300">
        <f>'Reporte Componentes R1'!P531</f>
        <v>0</v>
      </c>
      <c r="Y51" s="292">
        <f>'Reporte Componentes R1'!Q531</f>
        <v>0</v>
      </c>
      <c r="Z51" s="322">
        <f>-L51</f>
        <v>0</v>
      </c>
      <c r="AA51" s="323">
        <f>'Reporte Componentes R1'!R531+'Reporte Componentes R1'!V531+'Reporte Componentes R1'!U531</f>
        <v>0</v>
      </c>
      <c r="AB51" s="297">
        <f>N51</f>
        <v>0</v>
      </c>
      <c r="AC51" s="323">
        <f>'Reporte Componentes R1'!T531+'Reporte Componentes R1'!W531+'Reporte Componentes R1'!X531+'Reporte Componentes R1'!Y531+'Reporte Componentes R1'!Z531+'Reporte Componentes R1'!S531</f>
        <v>0</v>
      </c>
      <c r="AD51" s="294">
        <f t="shared" si="17"/>
        <v>0</v>
      </c>
      <c r="AE51" s="294">
        <f>'Reporte Componentes R1'!F532</f>
        <v>0</v>
      </c>
      <c r="AF51" s="325">
        <f t="shared" si="19"/>
        <v>0</v>
      </c>
      <c r="AG51" s="329">
        <f t="shared" si="20"/>
        <v>0</v>
      </c>
      <c r="AH51" s="1" t="b">
        <f t="shared" si="18"/>
        <v>1</v>
      </c>
      <c r="AI51" s="309"/>
    </row>
    <row r="52" spans="1:35" s="308" customFormat="1" ht="13.5" thickBot="1" x14ac:dyDescent="0.35">
      <c r="B52" s="330"/>
      <c r="C52" s="331" t="s">
        <v>2</v>
      </c>
      <c r="D52" s="293">
        <f t="shared" ref="D52:O52" si="21">SUM(D47:D51)</f>
        <v>3564150</v>
      </c>
      <c r="E52" s="293">
        <f t="shared" si="21"/>
        <v>188960.79</v>
      </c>
      <c r="F52" s="293">
        <f t="shared" si="21"/>
        <v>102531.53</v>
      </c>
      <c r="G52" s="293">
        <f t="shared" ref="G52" si="22">SUM(G47:G51)</f>
        <v>54475.27</v>
      </c>
      <c r="H52" s="293">
        <f t="shared" si="21"/>
        <v>719073.57</v>
      </c>
      <c r="I52" s="293">
        <f t="shared" si="21"/>
        <v>26512.54</v>
      </c>
      <c r="J52" s="293">
        <f t="shared" si="21"/>
        <v>0</v>
      </c>
      <c r="K52" s="303">
        <f t="shared" si="21"/>
        <v>2472596.3000000003</v>
      </c>
      <c r="L52" s="304">
        <f t="shared" si="21"/>
        <v>0</v>
      </c>
      <c r="M52" s="305">
        <f t="shared" si="21"/>
        <v>2472596.3000000003</v>
      </c>
      <c r="N52" s="304">
        <f t="shared" si="21"/>
        <v>0</v>
      </c>
      <c r="O52" s="305">
        <f t="shared" si="21"/>
        <v>2472596.3000000003</v>
      </c>
      <c r="P52" s="332"/>
      <c r="Q52" s="309"/>
      <c r="S52" s="330"/>
      <c r="T52" s="331" t="s">
        <v>2</v>
      </c>
      <c r="U52" s="333">
        <f>SUM(U47:U51)</f>
        <v>232567.66</v>
      </c>
      <c r="V52" s="333">
        <f t="shared" ref="V52:AG52" si="23">SUM(V47:V51)</f>
        <v>235933.53</v>
      </c>
      <c r="W52" s="333">
        <f t="shared" si="23"/>
        <v>1461667.91</v>
      </c>
      <c r="X52" s="333">
        <f t="shared" si="23"/>
        <v>510527.11</v>
      </c>
      <c r="Y52" s="333">
        <f t="shared" si="23"/>
        <v>44146.57</v>
      </c>
      <c r="Z52" s="293">
        <f t="shared" si="23"/>
        <v>0</v>
      </c>
      <c r="AA52" s="293">
        <f t="shared" si="23"/>
        <v>2.46</v>
      </c>
      <c r="AB52" s="293">
        <f t="shared" si="23"/>
        <v>0</v>
      </c>
      <c r="AC52" s="293">
        <f t="shared" si="23"/>
        <v>0</v>
      </c>
      <c r="AD52" s="293">
        <f>SUM(AD47:AD51)</f>
        <v>-12248.94</v>
      </c>
      <c r="AE52" s="293">
        <f>SUM(AE47:AE51)</f>
        <v>-12248.94</v>
      </c>
      <c r="AF52" s="334">
        <f t="shared" si="23"/>
        <v>2472596.2999999998</v>
      </c>
      <c r="AG52" s="335">
        <f t="shared" si="23"/>
        <v>-4.6566128730773926E-10</v>
      </c>
      <c r="AH52" s="1" t="b">
        <f t="shared" si="18"/>
        <v>0</v>
      </c>
      <c r="AI52" s="309"/>
    </row>
    <row r="53" spans="1:35" ht="12" thickBot="1" x14ac:dyDescent="0.3">
      <c r="B53" s="2"/>
      <c r="C53" s="2"/>
      <c r="D53" s="24"/>
      <c r="E53" s="24"/>
      <c r="F53" s="24"/>
      <c r="G53" s="24"/>
      <c r="H53" s="24"/>
      <c r="I53" s="24"/>
      <c r="K53" s="24"/>
      <c r="L53" s="24"/>
      <c r="M53" s="24"/>
      <c r="N53" s="24"/>
      <c r="O53" s="24"/>
      <c r="Q53" s="4"/>
      <c r="S53" s="2"/>
      <c r="T53" s="2"/>
      <c r="U53" s="24"/>
      <c r="V53" s="24"/>
      <c r="W53" s="24"/>
      <c r="X53" s="24"/>
      <c r="Y53" s="24"/>
      <c r="AF53" s="24"/>
      <c r="AI53" s="4"/>
    </row>
    <row r="54" spans="1:35" ht="12" thickBot="1" x14ac:dyDescent="0.3">
      <c r="B54" s="2"/>
      <c r="C54" s="2"/>
      <c r="D54" s="24" t="s">
        <v>1</v>
      </c>
      <c r="E54" s="24"/>
      <c r="F54" s="24"/>
      <c r="G54" s="24"/>
      <c r="H54" s="24"/>
      <c r="I54" s="24"/>
      <c r="K54" s="24"/>
      <c r="L54" s="24"/>
      <c r="M54" s="24"/>
      <c r="N54" s="24"/>
      <c r="O54" s="24"/>
      <c r="Q54" s="4"/>
      <c r="Y54" s="86">
        <f>SUM(U52:Y52)</f>
        <v>2484842.7799999998</v>
      </c>
      <c r="AA54" s="1" t="s">
        <v>1</v>
      </c>
      <c r="AB54" s="1" t="s">
        <v>1</v>
      </c>
      <c r="AD54" s="1" t="s">
        <v>1</v>
      </c>
      <c r="AF54" s="1" t="s">
        <v>1</v>
      </c>
      <c r="AI54" s="4"/>
    </row>
    <row r="55" spans="1:35" ht="12" thickBot="1" x14ac:dyDescent="0.3">
      <c r="B55" s="2"/>
      <c r="C55" s="2"/>
      <c r="D55" s="24" t="s">
        <v>1</v>
      </c>
      <c r="E55" s="33"/>
      <c r="F55" s="33"/>
      <c r="G55" s="33"/>
      <c r="H55" s="33"/>
      <c r="I55" s="24"/>
      <c r="K55" s="24"/>
      <c r="L55" s="24"/>
      <c r="M55" s="24"/>
      <c r="N55" s="24"/>
      <c r="O55" s="24"/>
      <c r="Q55" s="4"/>
      <c r="AI55" s="4"/>
    </row>
    <row r="56" spans="1:35" x14ac:dyDescent="0.25">
      <c r="B56" s="2"/>
      <c r="C56" s="2"/>
      <c r="D56" s="24" t="s">
        <v>1</v>
      </c>
      <c r="E56" s="24" t="s">
        <v>1</v>
      </c>
      <c r="F56" s="24" t="s">
        <v>25</v>
      </c>
      <c r="G56" s="24"/>
      <c r="H56" s="24"/>
      <c r="I56" s="24"/>
      <c r="K56" s="24"/>
      <c r="L56" s="24"/>
      <c r="M56" s="24"/>
      <c r="N56" s="24"/>
      <c r="O56" s="24"/>
      <c r="Q56" s="4"/>
      <c r="AI56" s="4"/>
    </row>
    <row r="57" spans="1:35" x14ac:dyDescent="0.25">
      <c r="A57" s="4"/>
      <c r="B57" s="34"/>
      <c r="C57" s="34"/>
      <c r="D57" s="35"/>
      <c r="E57" s="35"/>
      <c r="F57" s="35"/>
      <c r="G57" s="35"/>
      <c r="H57" s="35"/>
      <c r="I57" s="35"/>
      <c r="J57" s="4"/>
      <c r="K57" s="35"/>
      <c r="L57" s="35"/>
      <c r="M57" s="35"/>
      <c r="N57" s="35"/>
      <c r="O57" s="35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</row>
    <row r="58" spans="1:35" ht="12" thickBot="1" x14ac:dyDescent="0.3">
      <c r="Q58" s="4"/>
      <c r="AI58" s="4"/>
    </row>
    <row r="59" spans="1:35" x14ac:dyDescent="0.25">
      <c r="B59" s="5"/>
      <c r="C59" s="3" t="s">
        <v>1</v>
      </c>
      <c r="D59" s="6" t="s">
        <v>1</v>
      </c>
      <c r="E59" s="3"/>
      <c r="F59" s="3"/>
      <c r="G59" s="3"/>
      <c r="H59" s="3" t="s">
        <v>1</v>
      </c>
      <c r="I59" s="3"/>
      <c r="J59" s="3"/>
      <c r="K59" s="3"/>
      <c r="L59" s="3"/>
      <c r="M59" s="3"/>
      <c r="N59" s="3"/>
      <c r="O59" s="7"/>
      <c r="P59" s="2"/>
      <c r="Q59" s="4"/>
      <c r="S59" s="5"/>
      <c r="T59" s="3" t="s">
        <v>1</v>
      </c>
      <c r="U59" s="6" t="s">
        <v>1</v>
      </c>
      <c r="V59" s="3"/>
      <c r="W59" s="3"/>
      <c r="X59" s="3" t="s">
        <v>1</v>
      </c>
      <c r="Y59" s="3"/>
      <c r="Z59" s="3"/>
      <c r="AA59" s="3"/>
      <c r="AB59" s="3"/>
      <c r="AC59" s="3"/>
      <c r="AD59" s="3"/>
      <c r="AE59" s="3"/>
      <c r="AF59" s="7"/>
      <c r="AG59" s="2"/>
      <c r="AI59" s="4"/>
    </row>
    <row r="60" spans="1:35" ht="14" x14ac:dyDescent="0.3">
      <c r="B60" s="8"/>
      <c r="F60" s="26" t="s">
        <v>8</v>
      </c>
      <c r="G60" s="26"/>
      <c r="I60" s="26" t="s">
        <v>16</v>
      </c>
      <c r="J60" s="25"/>
      <c r="M60" s="2" t="s">
        <v>15</v>
      </c>
      <c r="N60" s="50">
        <f>N3</f>
        <v>2026071</v>
      </c>
      <c r="O60" s="10"/>
      <c r="P60" s="2"/>
      <c r="Q60" s="4"/>
      <c r="S60" s="8"/>
      <c r="U60" s="26" t="s">
        <v>8</v>
      </c>
      <c r="W60" s="26" t="s">
        <v>16</v>
      </c>
      <c r="X60" s="25"/>
      <c r="Y60" s="2"/>
      <c r="AA60" s="2" t="s">
        <v>15</v>
      </c>
      <c r="AD60" s="84">
        <f>N60</f>
        <v>2026071</v>
      </c>
      <c r="AE60" s="84"/>
      <c r="AF60" s="48"/>
      <c r="AG60" s="2"/>
      <c r="AI60" s="4"/>
    </row>
    <row r="61" spans="1:35" ht="15.5" x14ac:dyDescent="0.35">
      <c r="B61" s="8"/>
      <c r="F61" s="36" t="s">
        <v>29</v>
      </c>
      <c r="G61" s="36"/>
      <c r="O61" s="10"/>
      <c r="P61" s="2"/>
      <c r="Q61" s="4"/>
      <c r="S61" s="8"/>
      <c r="T61" s="26" t="s">
        <v>1</v>
      </c>
      <c r="U61" s="36" t="s">
        <v>29</v>
      </c>
      <c r="Y61" s="2" t="s">
        <v>1</v>
      </c>
      <c r="AA61" s="50" t="s">
        <v>1</v>
      </c>
      <c r="AB61" s="2"/>
      <c r="AC61" s="2"/>
      <c r="AD61" s="2"/>
      <c r="AE61" s="2"/>
      <c r="AF61" s="10" t="s">
        <v>1</v>
      </c>
      <c r="AG61" s="2"/>
      <c r="AI61" s="4"/>
    </row>
    <row r="62" spans="1:35" ht="14" x14ac:dyDescent="0.3">
      <c r="B62" s="8"/>
      <c r="F62" s="2" t="s">
        <v>30</v>
      </c>
      <c r="G62" s="2"/>
      <c r="M62" s="2" t="s">
        <v>1</v>
      </c>
      <c r="O62" s="10"/>
      <c r="P62" s="2"/>
      <c r="Q62" s="4"/>
      <c r="S62" s="8"/>
      <c r="T62" s="49" t="s">
        <v>1</v>
      </c>
      <c r="U62" s="2" t="s">
        <v>30</v>
      </c>
      <c r="AF62" s="44"/>
      <c r="AG62" s="2"/>
      <c r="AI62" s="4"/>
    </row>
    <row r="63" spans="1:35" ht="15.5" x14ac:dyDescent="0.35">
      <c r="B63" s="8"/>
      <c r="C63" s="591" t="s">
        <v>17</v>
      </c>
      <c r="D63" s="9">
        <f>D6</f>
        <v>46220</v>
      </c>
      <c r="F63" s="41" t="s">
        <v>33</v>
      </c>
      <c r="G63" s="41"/>
      <c r="H63" s="2"/>
      <c r="J63" s="2"/>
      <c r="O63" s="10"/>
      <c r="P63" s="2"/>
      <c r="Q63" s="4"/>
      <c r="S63" s="8"/>
      <c r="T63" s="41" t="s">
        <v>1</v>
      </c>
      <c r="U63" s="41" t="s">
        <v>33</v>
      </c>
      <c r="V63" s="2"/>
      <c r="X63" s="2"/>
      <c r="Y63" s="2"/>
      <c r="AF63" s="48"/>
      <c r="AG63" s="2"/>
      <c r="AI63" s="4"/>
    </row>
    <row r="64" spans="1:35" ht="12" thickBot="1" x14ac:dyDescent="0.3">
      <c r="B64" s="8"/>
      <c r="C64" s="591" t="s">
        <v>0</v>
      </c>
      <c r="D64" s="241">
        <f>D7</f>
        <v>0.58333333333333337</v>
      </c>
      <c r="F64" s="2" t="s">
        <v>27</v>
      </c>
      <c r="G64" s="9">
        <f>G7</f>
        <v>46204</v>
      </c>
      <c r="J64" s="2" t="s">
        <v>28</v>
      </c>
      <c r="K64" s="9">
        <f>K7</f>
        <v>46218</v>
      </c>
      <c r="O64" s="10"/>
      <c r="P64" s="2"/>
      <c r="Q64" s="4"/>
      <c r="S64" s="8"/>
      <c r="U64" s="1" t="str">
        <f>F64</f>
        <v>Fecha Desde:</v>
      </c>
      <c r="V64" s="9">
        <f>G64</f>
        <v>46204</v>
      </c>
      <c r="W64" s="1" t="s">
        <v>1</v>
      </c>
      <c r="X64" s="1" t="str">
        <f>J64</f>
        <v>Feha Hasta:</v>
      </c>
      <c r="Y64" s="9">
        <f>K64</f>
        <v>46218</v>
      </c>
      <c r="Z64" s="1" t="s">
        <v>1</v>
      </c>
      <c r="AF64" s="48"/>
      <c r="AG64" s="2"/>
      <c r="AI64" s="4"/>
    </row>
    <row r="65" spans="1:35" ht="72" customHeight="1" thickBot="1" x14ac:dyDescent="0.3">
      <c r="B65" s="11" t="s">
        <v>3</v>
      </c>
      <c r="C65" s="27" t="s">
        <v>9</v>
      </c>
      <c r="D65" s="11" t="s">
        <v>4</v>
      </c>
      <c r="E65" s="12" t="s">
        <v>5</v>
      </c>
      <c r="F65" s="27" t="s">
        <v>6</v>
      </c>
      <c r="G65" s="27" t="s">
        <v>159</v>
      </c>
      <c r="H65" s="27" t="s">
        <v>18</v>
      </c>
      <c r="I65" s="12" t="s">
        <v>24</v>
      </c>
      <c r="J65" s="73" t="s">
        <v>19</v>
      </c>
      <c r="K65" s="29" t="s">
        <v>20</v>
      </c>
      <c r="L65" s="28" t="s">
        <v>21</v>
      </c>
      <c r="M65" s="39" t="s">
        <v>22</v>
      </c>
      <c r="N65" s="12" t="s">
        <v>7</v>
      </c>
      <c r="O65" s="39" t="s">
        <v>23</v>
      </c>
      <c r="P65" s="13"/>
      <c r="Q65" s="4"/>
      <c r="S65" s="11" t="s">
        <v>3</v>
      </c>
      <c r="T65" s="27" t="s">
        <v>9</v>
      </c>
      <c r="U65" s="162" t="s">
        <v>39</v>
      </c>
      <c r="V65" s="163" t="s">
        <v>40</v>
      </c>
      <c r="W65" s="163" t="s">
        <v>41</v>
      </c>
      <c r="X65" s="163" t="s">
        <v>42</v>
      </c>
      <c r="Y65" s="164" t="s">
        <v>43</v>
      </c>
      <c r="Z65" s="85" t="s">
        <v>21</v>
      </c>
      <c r="AA65" s="65" t="s">
        <v>46</v>
      </c>
      <c r="AB65" s="65" t="s">
        <v>7</v>
      </c>
      <c r="AC65" s="85" t="s">
        <v>167</v>
      </c>
      <c r="AD65" s="121" t="s">
        <v>107</v>
      </c>
      <c r="AE65" s="121" t="s">
        <v>225</v>
      </c>
      <c r="AF65" s="39" t="s">
        <v>23</v>
      </c>
      <c r="AG65" s="13"/>
      <c r="AI65" s="4"/>
    </row>
    <row r="66" spans="1:35" s="308" customFormat="1" x14ac:dyDescent="0.25">
      <c r="B66" s="306">
        <v>1</v>
      </c>
      <c r="C66" s="307" t="s">
        <v>10</v>
      </c>
      <c r="D66" s="294">
        <f>'Reversion Pagos R4'!D73</f>
        <v>0</v>
      </c>
      <c r="E66" s="295">
        <f>'Reversion Pagos R4'!E73</f>
        <v>0</v>
      </c>
      <c r="F66" s="295">
        <f>'Reversion Pagos R4'!F73</f>
        <v>0</v>
      </c>
      <c r="G66" s="295">
        <f>'Reversion Pagos R4'!G73</f>
        <v>0</v>
      </c>
      <c r="H66" s="295">
        <f>'Reversion Pagos R4'!H73</f>
        <v>0</v>
      </c>
      <c r="I66" s="295">
        <f>'Reversion Pagos R4'!I73</f>
        <v>0</v>
      </c>
      <c r="J66" s="312">
        <v>0</v>
      </c>
      <c r="K66" s="296">
        <f>D66-E66-F66-G66-H66-I66-J66</f>
        <v>0</v>
      </c>
      <c r="L66" s="297">
        <v>0</v>
      </c>
      <c r="M66" s="296">
        <f>K66-L66</f>
        <v>0</v>
      </c>
      <c r="N66" s="297">
        <f>'Reversion Pagos R4'!P73</f>
        <v>0</v>
      </c>
      <c r="O66" s="296">
        <f>M66+N66</f>
        <v>0</v>
      </c>
      <c r="Q66" s="309"/>
      <c r="S66" s="306">
        <v>1</v>
      </c>
      <c r="T66" s="307" t="s">
        <v>10</v>
      </c>
      <c r="U66" s="310">
        <f>'Reversion Pagos R4'!J73</f>
        <v>0</v>
      </c>
      <c r="V66" s="311">
        <f>'Reversion Pagos R4'!K73</f>
        <v>0</v>
      </c>
      <c r="W66" s="311">
        <f>'Reversion Pagos R4'!L73</f>
        <v>0</v>
      </c>
      <c r="X66" s="311">
        <f>'Reversion Pagos R4'!M73</f>
        <v>0</v>
      </c>
      <c r="Y66" s="312">
        <f>'Reversion Pagos R4'!N73</f>
        <v>0</v>
      </c>
      <c r="Z66" s="313">
        <f>-L66</f>
        <v>0</v>
      </c>
      <c r="AA66" s="314">
        <f>+'Reversion Pagos R4'!O73</f>
        <v>0</v>
      </c>
      <c r="AB66" s="297">
        <f>N66</f>
        <v>0</v>
      </c>
      <c r="AC66" s="314">
        <f>+'Reversion Pagos R4'!Q73+'Reversion Pagos R4'!R73</f>
        <v>0</v>
      </c>
      <c r="AD66" s="294">
        <f>-J66+AE66</f>
        <v>0</v>
      </c>
      <c r="AE66" s="294">
        <f>'Reversion Pagos R4'!D74</f>
        <v>0</v>
      </c>
      <c r="AF66" s="316">
        <f>SUM(U66:AD66)</f>
        <v>0</v>
      </c>
      <c r="AG66" s="314">
        <f>(AF66-O66)</f>
        <v>0</v>
      </c>
      <c r="AH66" s="1" t="b">
        <f>INT(AG66)=0</f>
        <v>1</v>
      </c>
      <c r="AI66" s="309"/>
    </row>
    <row r="67" spans="1:35" s="308" customFormat="1" x14ac:dyDescent="0.25">
      <c r="B67" s="317">
        <v>2</v>
      </c>
      <c r="C67" s="318" t="s">
        <v>11</v>
      </c>
      <c r="D67" s="294">
        <f>'Reversion Pagos R4'!D167</f>
        <v>-9869411</v>
      </c>
      <c r="E67" s="295">
        <f>'Reversion Pagos R4'!E167</f>
        <v>-687230.27</v>
      </c>
      <c r="F67" s="295">
        <f>'Reversion Pagos R4'!F167</f>
        <v>-387125.05</v>
      </c>
      <c r="G67" s="295">
        <f>'Reversion Pagos R4'!G167</f>
        <v>-203929.83</v>
      </c>
      <c r="H67" s="295">
        <f>'Reversion Pagos R4'!H167</f>
        <v>-3023755.1</v>
      </c>
      <c r="I67" s="295">
        <f>'Reversion Pagos R4'!I167</f>
        <v>-115835.86</v>
      </c>
      <c r="J67" s="291">
        <v>0</v>
      </c>
      <c r="K67" s="298">
        <f t="shared" ref="K67:K70" si="24">D67-E67-F67-G67-H67-I67-J67</f>
        <v>-5451534.8899999997</v>
      </c>
      <c r="L67" s="297">
        <v>0</v>
      </c>
      <c r="M67" s="298">
        <f>K67-L67</f>
        <v>-5451534.8899999997</v>
      </c>
      <c r="N67" s="297">
        <f>'Reversion Pagos R4'!P167</f>
        <v>0</v>
      </c>
      <c r="O67" s="298">
        <f t="shared" ref="O67:O70" si="25">M67+N67</f>
        <v>-5451534.8899999997</v>
      </c>
      <c r="Q67" s="309"/>
      <c r="S67" s="317">
        <v>2</v>
      </c>
      <c r="T67" s="318" t="s">
        <v>11</v>
      </c>
      <c r="U67" s="319">
        <f>'Reversion Pagos R4'!J167</f>
        <v>-1006534.8</v>
      </c>
      <c r="V67" s="320">
        <f>'Reversion Pagos R4'!K167</f>
        <v>-986650.95</v>
      </c>
      <c r="W67" s="320">
        <f>'Reversion Pagos R4'!L167</f>
        <v>-4586840.47</v>
      </c>
      <c r="X67" s="320">
        <f>'Reversion Pagos R4'!M167</f>
        <v>-1352212.89</v>
      </c>
      <c r="Y67" s="321">
        <f>'Reversion Pagos R4'!N167</f>
        <v>-188358.93</v>
      </c>
      <c r="Z67" s="322">
        <f t="shared" ref="Z67:Z70" si="26">-L67</f>
        <v>0</v>
      </c>
      <c r="AA67" s="323">
        <f>'Reversion Pagos R4'!O167</f>
        <v>7.55</v>
      </c>
      <c r="AB67" s="297">
        <f t="shared" ref="AB67:AB70" si="27">N67</f>
        <v>0</v>
      </c>
      <c r="AC67" s="323">
        <f>'Reversion Pagos R4'!Q167+'Reversion Pagos R4'!R167</f>
        <v>0</v>
      </c>
      <c r="AD67" s="294">
        <f t="shared" ref="AD67:AD70" si="28">-J67+AE67</f>
        <v>2669055.6</v>
      </c>
      <c r="AE67" s="294">
        <f>'Reversion Pagos R4'!D168</f>
        <v>2669055.6</v>
      </c>
      <c r="AF67" s="325">
        <f>SUM(U67:AD67)</f>
        <v>-5451534.8899999987</v>
      </c>
      <c r="AG67" s="326">
        <f>(AF67-O67)</f>
        <v>9.3132257461547852E-10</v>
      </c>
      <c r="AH67" s="1" t="b">
        <f t="shared" ref="AH67:AH71" si="29">INT(AG67)=0</f>
        <v>1</v>
      </c>
      <c r="AI67" s="309"/>
    </row>
    <row r="68" spans="1:35" s="308" customFormat="1" x14ac:dyDescent="0.25">
      <c r="B68" s="317">
        <v>3</v>
      </c>
      <c r="C68" s="318" t="s">
        <v>12</v>
      </c>
      <c r="D68" s="294">
        <f>'Reversion Pagos R4'!D204</f>
        <v>-5571961</v>
      </c>
      <c r="E68" s="295">
        <f>'Reversion Pagos R4'!E204</f>
        <v>-350428.99</v>
      </c>
      <c r="F68" s="295">
        <f>'Reversion Pagos R4'!F204</f>
        <v>-197477.24</v>
      </c>
      <c r="G68" s="295">
        <f>'Reversion Pagos R4'!G204</f>
        <v>-104261.79</v>
      </c>
      <c r="H68" s="295">
        <f>'Reversion Pagos R4'!H204</f>
        <v>-1435814.45</v>
      </c>
      <c r="I68" s="295">
        <f>'Reversion Pagos R4'!I204</f>
        <v>-54388.98</v>
      </c>
      <c r="J68" s="291">
        <v>0</v>
      </c>
      <c r="K68" s="298">
        <f t="shared" si="24"/>
        <v>-3429589.5499999993</v>
      </c>
      <c r="L68" s="297">
        <v>0</v>
      </c>
      <c r="M68" s="298">
        <f>K68-L68</f>
        <v>-3429589.5499999993</v>
      </c>
      <c r="N68" s="297">
        <f>'Reversion Pagos R4'!P204</f>
        <v>0</v>
      </c>
      <c r="O68" s="298">
        <f t="shared" si="25"/>
        <v>-3429589.5499999993</v>
      </c>
      <c r="Q68" s="309"/>
      <c r="S68" s="317">
        <v>3</v>
      </c>
      <c r="T68" s="318" t="s">
        <v>12</v>
      </c>
      <c r="U68" s="319">
        <f>'Reversion Pagos R4'!J204</f>
        <v>-477099.34</v>
      </c>
      <c r="V68" s="320">
        <f>'Reversion Pagos R4'!K204</f>
        <v>-466757.57</v>
      </c>
      <c r="W68" s="320">
        <f>'Reversion Pagos R4'!L204</f>
        <v>-2169210.39</v>
      </c>
      <c r="X68" s="320">
        <f>'Reversion Pagos R4'!M204</f>
        <v>-810275.09</v>
      </c>
      <c r="Y68" s="321">
        <f>'Reversion Pagos R4'!N204</f>
        <v>-88740.58</v>
      </c>
      <c r="Z68" s="322">
        <f t="shared" si="26"/>
        <v>0</v>
      </c>
      <c r="AA68" s="323">
        <f>'Reversion Pagos R4'!O204</f>
        <v>-71.069999999999993</v>
      </c>
      <c r="AB68" s="297">
        <f t="shared" si="27"/>
        <v>0</v>
      </c>
      <c r="AC68" s="323">
        <f>'Reversion Pagos R4'!Q204+'Reversion Pagos R4'!R204</f>
        <v>0</v>
      </c>
      <c r="AD68" s="294">
        <f t="shared" si="28"/>
        <v>582564.49</v>
      </c>
      <c r="AE68" s="294">
        <f>'Reversion Pagos R4'!D205</f>
        <v>582564.49</v>
      </c>
      <c r="AF68" s="325">
        <f t="shared" ref="AF68:AF70" si="30">SUM(U68:AD68)</f>
        <v>-3429589.55</v>
      </c>
      <c r="AG68" s="326">
        <f t="shared" ref="AG68:AG70" si="31">(AF68-O68)</f>
        <v>-4.6566128730773926E-10</v>
      </c>
      <c r="AH68" s="1" t="b">
        <f t="shared" si="29"/>
        <v>0</v>
      </c>
      <c r="AI68" s="309"/>
    </row>
    <row r="69" spans="1:35" s="308" customFormat="1" x14ac:dyDescent="0.25">
      <c r="B69" s="317">
        <v>4</v>
      </c>
      <c r="C69" s="318" t="s">
        <v>13</v>
      </c>
      <c r="D69" s="294">
        <f>'Reversion Pagos R4'!D318</f>
        <v>-15968186.609999999</v>
      </c>
      <c r="E69" s="295">
        <f>'Reversion Pagos R4'!E318</f>
        <v>-1015229.1</v>
      </c>
      <c r="F69" s="295">
        <f>'Reversion Pagos R4'!F318</f>
        <v>-561150.68999999994</v>
      </c>
      <c r="G69" s="295">
        <f>'Reversion Pagos R4'!G318</f>
        <v>-290114.83</v>
      </c>
      <c r="H69" s="295">
        <f>'Reversion Pagos R4'!H318</f>
        <v>-3325427.6</v>
      </c>
      <c r="I69" s="295">
        <f>'Reversion Pagos R4'!I318</f>
        <v>-121772.32</v>
      </c>
      <c r="J69" s="291">
        <v>0</v>
      </c>
      <c r="K69" s="298">
        <f t="shared" si="24"/>
        <v>-10654492.07</v>
      </c>
      <c r="L69" s="297">
        <v>0</v>
      </c>
      <c r="M69" s="298">
        <f>K69-L69</f>
        <v>-10654492.07</v>
      </c>
      <c r="N69" s="297">
        <f>'Reversion Pagos R4'!P318</f>
        <v>0</v>
      </c>
      <c r="O69" s="298">
        <f t="shared" si="25"/>
        <v>-10654492.07</v>
      </c>
      <c r="Q69" s="309"/>
      <c r="S69" s="317">
        <v>4</v>
      </c>
      <c r="T69" s="318" t="s">
        <v>13</v>
      </c>
      <c r="U69" s="319">
        <f>'Reversion Pagos R4'!J318</f>
        <v>-1067801.1299999999</v>
      </c>
      <c r="V69" s="320">
        <f>'Reversion Pagos R4'!K318</f>
        <v>-1063241.1000000001</v>
      </c>
      <c r="W69" s="320">
        <f>'Reversion Pagos R4'!L318</f>
        <v>-5252102.9000000004</v>
      </c>
      <c r="X69" s="320">
        <f>'Reversion Pagos R4'!M318</f>
        <v>-2720279.73</v>
      </c>
      <c r="Y69" s="321">
        <f>'Reversion Pagos R4'!N318</f>
        <v>-198033.34</v>
      </c>
      <c r="Z69" s="322">
        <f t="shared" si="26"/>
        <v>0</v>
      </c>
      <c r="AA69" s="323">
        <f>'Reversion Pagos R4'!O318</f>
        <v>131.22999999999999</v>
      </c>
      <c r="AB69" s="297">
        <f t="shared" si="27"/>
        <v>0</v>
      </c>
      <c r="AC69" s="323">
        <f>'Reversion Pagos R4'!Q318+'Reversion Pagos R4'!R318</f>
        <v>1.27</v>
      </c>
      <c r="AD69" s="294">
        <f t="shared" si="28"/>
        <v>-353166.37</v>
      </c>
      <c r="AE69" s="294">
        <f>'Reversion Pagos R4'!D319</f>
        <v>-353166.37</v>
      </c>
      <c r="AF69" s="325">
        <f>SUM(U69:AD69)</f>
        <v>-10654492.07</v>
      </c>
      <c r="AG69" s="326">
        <f>(AF69-O69)</f>
        <v>0</v>
      </c>
      <c r="AH69" s="1" t="b">
        <f t="shared" si="29"/>
        <v>1</v>
      </c>
      <c r="AI69" s="309"/>
    </row>
    <row r="70" spans="1:35" s="308" customFormat="1" ht="12" thickBot="1" x14ac:dyDescent="0.3">
      <c r="B70" s="327">
        <v>5</v>
      </c>
      <c r="C70" s="328" t="s">
        <v>14</v>
      </c>
      <c r="D70" s="299">
        <f>'Reversion Pagos R4'!D353</f>
        <v>-5470988</v>
      </c>
      <c r="E70" s="300">
        <f>'Reversion Pagos R4'!E353</f>
        <v>-323252.62</v>
      </c>
      <c r="F70" s="300">
        <f>'Reversion Pagos R4'!F353</f>
        <v>-180222.54</v>
      </c>
      <c r="G70" s="300">
        <f>'Reversion Pagos R4'!G353</f>
        <v>-95279.09</v>
      </c>
      <c r="H70" s="300">
        <f>'Reversion Pagos R4'!H353</f>
        <v>-1198439.8799999999</v>
      </c>
      <c r="I70" s="300">
        <f>'Reversion Pagos R4'!I353</f>
        <v>-45626.95</v>
      </c>
      <c r="J70" s="292">
        <v>0</v>
      </c>
      <c r="K70" s="298">
        <f t="shared" si="24"/>
        <v>-3628166.92</v>
      </c>
      <c r="L70" s="297">
        <v>0</v>
      </c>
      <c r="M70" s="301">
        <f>K70-L70</f>
        <v>-3628166.92</v>
      </c>
      <c r="N70" s="297">
        <f>'Reversion Pagos R4'!P353</f>
        <v>0</v>
      </c>
      <c r="O70" s="301">
        <f t="shared" si="25"/>
        <v>-3628166.92</v>
      </c>
      <c r="Q70" s="309"/>
      <c r="S70" s="327">
        <v>5</v>
      </c>
      <c r="T70" s="328" t="s">
        <v>14</v>
      </c>
      <c r="U70" s="299">
        <f>'Reversion Pagos R4'!J353</f>
        <v>-400234.38</v>
      </c>
      <c r="V70" s="300">
        <f>'Reversion Pagos R4'!K353</f>
        <v>-390251.18</v>
      </c>
      <c r="W70" s="300">
        <f>'Reversion Pagos R4'!L353</f>
        <v>-1997828.71</v>
      </c>
      <c r="X70" s="300">
        <f>'Reversion Pagos R4'!M353</f>
        <v>-944756.39</v>
      </c>
      <c r="Y70" s="292">
        <f>'Reversion Pagos R4'!N353</f>
        <v>-74443.88</v>
      </c>
      <c r="Z70" s="322">
        <f t="shared" si="26"/>
        <v>0</v>
      </c>
      <c r="AA70" s="323">
        <f>'Reversion Pagos R4'!O353</f>
        <v>44.84</v>
      </c>
      <c r="AB70" s="297">
        <f t="shared" si="27"/>
        <v>0</v>
      </c>
      <c r="AC70" s="323">
        <f>'Reversion Pagos R4'!Q353+'Reversion Pagos R4'!R353</f>
        <v>0</v>
      </c>
      <c r="AD70" s="294">
        <f t="shared" si="28"/>
        <v>179302.78</v>
      </c>
      <c r="AE70" s="294">
        <f>'Reversion Pagos R4'!D354</f>
        <v>179302.78</v>
      </c>
      <c r="AF70" s="325">
        <f t="shared" si="30"/>
        <v>-3628166.9200000004</v>
      </c>
      <c r="AG70" s="329">
        <f t="shared" si="31"/>
        <v>-4.6566128730773926E-10</v>
      </c>
      <c r="AH70" s="1" t="b">
        <f t="shared" si="29"/>
        <v>0</v>
      </c>
      <c r="AI70" s="309"/>
    </row>
    <row r="71" spans="1:35" s="308" customFormat="1" ht="13.5" thickBot="1" x14ac:dyDescent="0.35">
      <c r="B71" s="330"/>
      <c r="C71" s="331" t="s">
        <v>2</v>
      </c>
      <c r="D71" s="293">
        <f t="shared" ref="D71:O71" si="32">SUM(D66:D70)</f>
        <v>-36880546.609999999</v>
      </c>
      <c r="E71" s="293">
        <f t="shared" si="32"/>
        <v>-2376140.98</v>
      </c>
      <c r="F71" s="293">
        <f t="shared" si="32"/>
        <v>-1325975.52</v>
      </c>
      <c r="G71" s="293">
        <f t="shared" si="32"/>
        <v>-693585.53999999992</v>
      </c>
      <c r="H71" s="293">
        <f t="shared" si="32"/>
        <v>-8983437.0300000012</v>
      </c>
      <c r="I71" s="293">
        <f t="shared" si="32"/>
        <v>-337624.11000000004</v>
      </c>
      <c r="J71" s="293">
        <f t="shared" si="32"/>
        <v>0</v>
      </c>
      <c r="K71" s="303">
        <f t="shared" si="32"/>
        <v>-23163783.43</v>
      </c>
      <c r="L71" s="304">
        <f t="shared" si="32"/>
        <v>0</v>
      </c>
      <c r="M71" s="305">
        <f t="shared" si="32"/>
        <v>-23163783.43</v>
      </c>
      <c r="N71" s="304">
        <f t="shared" si="32"/>
        <v>0</v>
      </c>
      <c r="O71" s="305">
        <f t="shared" si="32"/>
        <v>-23163783.43</v>
      </c>
      <c r="P71" s="332"/>
      <c r="Q71" s="309"/>
      <c r="S71" s="330"/>
      <c r="T71" s="331" t="s">
        <v>2</v>
      </c>
      <c r="U71" s="333">
        <f>SUM(U66:U70)</f>
        <v>-2951669.65</v>
      </c>
      <c r="V71" s="333">
        <f t="shared" ref="V71:AG71" si="33">SUM(V66:V70)</f>
        <v>-2906900.8000000003</v>
      </c>
      <c r="W71" s="333">
        <f t="shared" si="33"/>
        <v>-14005982.469999999</v>
      </c>
      <c r="X71" s="333">
        <f t="shared" si="33"/>
        <v>-5827524.0999999996</v>
      </c>
      <c r="Y71" s="333">
        <f t="shared" si="33"/>
        <v>-549576.73</v>
      </c>
      <c r="Z71" s="293">
        <f t="shared" si="33"/>
        <v>0</v>
      </c>
      <c r="AA71" s="293">
        <f>SUM(AA66:AA70)</f>
        <v>112.55</v>
      </c>
      <c r="AB71" s="293">
        <f t="shared" si="33"/>
        <v>0</v>
      </c>
      <c r="AC71" s="293">
        <f t="shared" ref="AC71" si="34">SUM(AC66:AC70)</f>
        <v>1.27</v>
      </c>
      <c r="AD71" s="293">
        <f>SUM(AD66:AD70)</f>
        <v>3077756.4999999995</v>
      </c>
      <c r="AE71" s="293">
        <f>SUM(AE66:AE70)</f>
        <v>3077756.4999999995</v>
      </c>
      <c r="AF71" s="334">
        <f t="shared" si="33"/>
        <v>-23163783.43</v>
      </c>
      <c r="AG71" s="335">
        <f t="shared" si="33"/>
        <v>0</v>
      </c>
      <c r="AH71" s="1" t="b">
        <f t="shared" si="29"/>
        <v>1</v>
      </c>
      <c r="AI71" s="309"/>
    </row>
    <row r="72" spans="1:35" ht="12" thickBot="1" x14ac:dyDescent="0.3">
      <c r="B72" s="2"/>
      <c r="C72" s="2"/>
      <c r="D72" s="24"/>
      <c r="E72" s="24"/>
      <c r="F72" s="24"/>
      <c r="G72" s="24"/>
      <c r="H72" s="24"/>
      <c r="I72" s="24"/>
      <c r="K72" s="24"/>
      <c r="L72" s="24"/>
      <c r="M72" s="24"/>
      <c r="N72" s="24"/>
      <c r="O72" s="24"/>
      <c r="Q72" s="4"/>
      <c r="S72" s="2"/>
      <c r="T72" s="2"/>
      <c r="U72" s="24"/>
      <c r="V72" s="24"/>
      <c r="W72" s="24"/>
      <c r="X72" s="24"/>
      <c r="Y72" s="24"/>
      <c r="AF72" s="24"/>
      <c r="AI72" s="4"/>
    </row>
    <row r="73" spans="1:35" ht="12" thickBot="1" x14ac:dyDescent="0.3">
      <c r="B73" s="2"/>
      <c r="C73" s="2"/>
      <c r="D73" s="24" t="s">
        <v>1</v>
      </c>
      <c r="E73" s="24"/>
      <c r="F73" s="24"/>
      <c r="G73" s="24"/>
      <c r="H73" s="24"/>
      <c r="I73" s="24"/>
      <c r="K73" s="24"/>
      <c r="L73" s="24"/>
      <c r="M73" s="24"/>
      <c r="N73" s="24"/>
      <c r="O73" s="24"/>
      <c r="Q73" s="4"/>
      <c r="Y73" s="86">
        <f>SUM(U71:Y71)</f>
        <v>-26241653.749999996</v>
      </c>
      <c r="AA73" s="1" t="s">
        <v>1</v>
      </c>
      <c r="AB73" s="1" t="s">
        <v>1</v>
      </c>
      <c r="AD73" s="1" t="s">
        <v>1</v>
      </c>
      <c r="AF73" s="1" t="s">
        <v>1</v>
      </c>
      <c r="AI73" s="4"/>
    </row>
    <row r="74" spans="1:35" ht="12" thickBot="1" x14ac:dyDescent="0.3">
      <c r="B74" s="2"/>
      <c r="C74" s="2"/>
      <c r="D74" s="24" t="s">
        <v>1</v>
      </c>
      <c r="E74" s="33"/>
      <c r="F74" s="33"/>
      <c r="G74" s="33"/>
      <c r="H74" s="33"/>
      <c r="I74" s="24"/>
      <c r="K74" s="24"/>
      <c r="L74" s="24"/>
      <c r="M74" s="24"/>
      <c r="N74" s="24"/>
      <c r="O74" s="24"/>
      <c r="Q74" s="4"/>
      <c r="AI74" s="4"/>
    </row>
    <row r="75" spans="1:35" x14ac:dyDescent="0.25">
      <c r="B75" s="2"/>
      <c r="C75" s="2"/>
      <c r="D75" s="24" t="s">
        <v>1</v>
      </c>
      <c r="E75" s="24" t="s">
        <v>1</v>
      </c>
      <c r="F75" s="24" t="s">
        <v>25</v>
      </c>
      <c r="G75" s="24"/>
      <c r="H75" s="24"/>
      <c r="I75" s="24"/>
      <c r="K75" s="24"/>
      <c r="L75" s="24"/>
      <c r="M75" s="24"/>
      <c r="N75" s="24"/>
      <c r="O75" s="24"/>
      <c r="Q75" s="4"/>
      <c r="AI75" s="4"/>
    </row>
    <row r="76" spans="1:35" x14ac:dyDescent="0.25">
      <c r="A76" s="4"/>
      <c r="B76" s="34"/>
      <c r="C76" s="34"/>
      <c r="D76" s="35"/>
      <c r="E76" s="35"/>
      <c r="F76" s="35"/>
      <c r="G76" s="35"/>
      <c r="H76" s="35"/>
      <c r="I76" s="35"/>
      <c r="J76" s="4"/>
      <c r="K76" s="35"/>
      <c r="L76" s="35"/>
      <c r="M76" s="35"/>
      <c r="N76" s="35"/>
      <c r="O76" s="35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</row>
    <row r="77" spans="1:35" ht="12" thickBot="1" x14ac:dyDescent="0.3">
      <c r="Q77" s="4"/>
      <c r="AI77" s="4"/>
    </row>
    <row r="78" spans="1:35" x14ac:dyDescent="0.25">
      <c r="B78" s="5"/>
      <c r="C78" s="3" t="s">
        <v>1</v>
      </c>
      <c r="D78" s="6" t="s">
        <v>1</v>
      </c>
      <c r="E78" s="3"/>
      <c r="F78" s="3"/>
      <c r="G78" s="3"/>
      <c r="H78" s="3" t="s">
        <v>1</v>
      </c>
      <c r="I78" s="3"/>
      <c r="J78" s="3"/>
      <c r="K78" s="3"/>
      <c r="L78" s="3"/>
      <c r="M78" s="3"/>
      <c r="N78" s="3"/>
      <c r="O78" s="7"/>
      <c r="P78" s="2"/>
      <c r="Q78" s="4"/>
      <c r="S78" s="5"/>
      <c r="T78" s="3" t="s">
        <v>1</v>
      </c>
      <c r="U78" s="6" t="s">
        <v>1</v>
      </c>
      <c r="V78" s="3"/>
      <c r="W78" s="3"/>
      <c r="X78" s="3" t="s">
        <v>1</v>
      </c>
      <c r="Y78" s="3"/>
      <c r="Z78" s="3"/>
      <c r="AA78" s="3"/>
      <c r="AB78" s="3"/>
      <c r="AC78" s="3"/>
      <c r="AD78" s="3"/>
      <c r="AE78" s="3"/>
      <c r="AF78" s="7"/>
      <c r="AG78" s="2"/>
      <c r="AI78" s="4"/>
    </row>
    <row r="79" spans="1:35" ht="14" x14ac:dyDescent="0.3">
      <c r="B79" s="8"/>
      <c r="F79" s="26" t="s">
        <v>8</v>
      </c>
      <c r="G79" s="26"/>
      <c r="I79" s="26" t="s">
        <v>16</v>
      </c>
      <c r="J79" s="25"/>
      <c r="M79" s="2" t="s">
        <v>15</v>
      </c>
      <c r="N79" s="50">
        <f>N3</f>
        <v>2026071</v>
      </c>
      <c r="O79" s="10"/>
      <c r="P79" s="2"/>
      <c r="Q79" s="4"/>
      <c r="S79" s="8"/>
      <c r="U79" s="26" t="s">
        <v>8</v>
      </c>
      <c r="W79" s="26" t="s">
        <v>16</v>
      </c>
      <c r="X79" s="25"/>
      <c r="Y79" s="2"/>
      <c r="AA79" s="2" t="s">
        <v>15</v>
      </c>
      <c r="AD79" s="84">
        <f>N79</f>
        <v>2026071</v>
      </c>
      <c r="AE79" s="84"/>
      <c r="AF79" s="48"/>
      <c r="AG79" s="2"/>
      <c r="AI79" s="4"/>
    </row>
    <row r="80" spans="1:35" ht="15.5" x14ac:dyDescent="0.35">
      <c r="B80" s="8"/>
      <c r="F80" s="36" t="s">
        <v>29</v>
      </c>
      <c r="G80" s="36"/>
      <c r="O80" s="10"/>
      <c r="P80" s="2"/>
      <c r="Q80" s="4"/>
      <c r="S80" s="8"/>
      <c r="T80" s="26" t="s">
        <v>1</v>
      </c>
      <c r="U80" s="36" t="s">
        <v>29</v>
      </c>
      <c r="Y80" s="2" t="s">
        <v>1</v>
      </c>
      <c r="AA80" s="50" t="s">
        <v>1</v>
      </c>
      <c r="AB80" s="2"/>
      <c r="AC80" s="2"/>
      <c r="AD80" s="2"/>
      <c r="AE80" s="2"/>
      <c r="AF80" s="10" t="s">
        <v>1</v>
      </c>
      <c r="AG80" s="2"/>
      <c r="AI80" s="4"/>
    </row>
    <row r="81" spans="1:35" ht="14" x14ac:dyDescent="0.3">
      <c r="B81" s="8"/>
      <c r="F81" s="2" t="s">
        <v>30</v>
      </c>
      <c r="G81" s="2"/>
      <c r="M81" s="2" t="s">
        <v>1</v>
      </c>
      <c r="O81" s="10"/>
      <c r="P81" s="2"/>
      <c r="Q81" s="4"/>
      <c r="S81" s="8"/>
      <c r="T81" s="49" t="s">
        <v>1</v>
      </c>
      <c r="U81" s="2" t="s">
        <v>30</v>
      </c>
      <c r="AF81" s="44"/>
      <c r="AG81" s="2"/>
      <c r="AI81" s="4"/>
    </row>
    <row r="82" spans="1:35" ht="15.5" x14ac:dyDescent="0.35">
      <c r="B82" s="8"/>
      <c r="C82" s="591" t="s">
        <v>17</v>
      </c>
      <c r="D82" s="9">
        <f>D6</f>
        <v>46220</v>
      </c>
      <c r="F82" s="41" t="s">
        <v>126</v>
      </c>
      <c r="G82" s="41"/>
      <c r="H82" s="2"/>
      <c r="J82" s="2"/>
      <c r="O82" s="10"/>
      <c r="P82" s="2"/>
      <c r="Q82" s="4"/>
      <c r="S82" s="8"/>
      <c r="T82" s="41" t="s">
        <v>1</v>
      </c>
      <c r="U82" s="41" t="s">
        <v>34</v>
      </c>
      <c r="V82" s="2"/>
      <c r="X82" s="2"/>
      <c r="Y82" s="2"/>
      <c r="AF82" s="48"/>
      <c r="AG82" s="2"/>
      <c r="AI82" s="4"/>
    </row>
    <row r="83" spans="1:35" ht="12" thickBot="1" x14ac:dyDescent="0.3">
      <c r="B83" s="8"/>
      <c r="C83" s="591" t="s">
        <v>0</v>
      </c>
      <c r="D83" s="241">
        <f>D7</f>
        <v>0.58333333333333337</v>
      </c>
      <c r="F83" s="2" t="s">
        <v>27</v>
      </c>
      <c r="G83" s="9">
        <f>G7</f>
        <v>46204</v>
      </c>
      <c r="J83" s="2" t="s">
        <v>28</v>
      </c>
      <c r="K83" s="9">
        <f>K7</f>
        <v>46218</v>
      </c>
      <c r="O83" s="10"/>
      <c r="P83" s="2"/>
      <c r="Q83" s="4"/>
      <c r="S83" s="8"/>
      <c r="U83" s="1" t="str">
        <f>F83</f>
        <v>Fecha Desde:</v>
      </c>
      <c r="V83" s="9">
        <f>G83</f>
        <v>46204</v>
      </c>
      <c r="W83" s="1" t="s">
        <v>1</v>
      </c>
      <c r="X83" s="1" t="str">
        <f>J83</f>
        <v>Feha Hasta:</v>
      </c>
      <c r="Y83" s="9">
        <f>K83</f>
        <v>46218</v>
      </c>
      <c r="Z83" s="1" t="s">
        <v>1</v>
      </c>
      <c r="AF83" s="48"/>
      <c r="AG83" s="2"/>
      <c r="AI83" s="4"/>
    </row>
    <row r="84" spans="1:35" ht="72" customHeight="1" thickBot="1" x14ac:dyDescent="0.3">
      <c r="B84" s="11" t="s">
        <v>3</v>
      </c>
      <c r="C84" s="27" t="s">
        <v>9</v>
      </c>
      <c r="D84" s="11" t="s">
        <v>4</v>
      </c>
      <c r="E84" s="12" t="s">
        <v>5</v>
      </c>
      <c r="F84" s="27" t="s">
        <v>6</v>
      </c>
      <c r="G84" s="27" t="s">
        <v>159</v>
      </c>
      <c r="H84" s="27" t="s">
        <v>18</v>
      </c>
      <c r="I84" s="12" t="s">
        <v>24</v>
      </c>
      <c r="J84" s="73" t="s">
        <v>19</v>
      </c>
      <c r="K84" s="29" t="s">
        <v>20</v>
      </c>
      <c r="L84" s="85" t="s">
        <v>21</v>
      </c>
      <c r="M84" s="29" t="s">
        <v>22</v>
      </c>
      <c r="N84" s="65" t="s">
        <v>7</v>
      </c>
      <c r="O84" s="29" t="s">
        <v>23</v>
      </c>
      <c r="P84" s="13"/>
      <c r="Q84" s="4"/>
      <c r="S84" s="11" t="s">
        <v>3</v>
      </c>
      <c r="T84" s="27" t="s">
        <v>9</v>
      </c>
      <c r="U84" s="39" t="s">
        <v>39</v>
      </c>
      <c r="V84" s="39" t="s">
        <v>40</v>
      </c>
      <c r="W84" s="39" t="s">
        <v>41</v>
      </c>
      <c r="X84" s="39" t="s">
        <v>42</v>
      </c>
      <c r="Y84" s="39" t="s">
        <v>43</v>
      </c>
      <c r="Z84" s="65" t="s">
        <v>21</v>
      </c>
      <c r="AA84" s="85" t="s">
        <v>46</v>
      </c>
      <c r="AB84" s="65" t="s">
        <v>7</v>
      </c>
      <c r="AC84" s="85" t="s">
        <v>167</v>
      </c>
      <c r="AD84" s="567" t="s">
        <v>105</v>
      </c>
      <c r="AE84" s="566" t="s">
        <v>104</v>
      </c>
      <c r="AF84" s="39" t="s">
        <v>23</v>
      </c>
      <c r="AG84" s="13"/>
      <c r="AI84" s="4"/>
    </row>
    <row r="85" spans="1:35" s="308" customFormat="1" x14ac:dyDescent="0.25">
      <c r="B85" s="306">
        <v>1</v>
      </c>
      <c r="C85" s="307" t="s">
        <v>10</v>
      </c>
      <c r="D85" s="294">
        <f>'AJUSTES - SF-T'!D47</f>
        <v>0</v>
      </c>
      <c r="E85" s="295">
        <f>'AJUSTES - SF-T'!E47</f>
        <v>0</v>
      </c>
      <c r="F85" s="295">
        <f>'AJUSTES - SF-T'!F47</f>
        <v>0</v>
      </c>
      <c r="G85" s="295">
        <f>'AJUSTES - SF-T'!G47</f>
        <v>0</v>
      </c>
      <c r="H85" s="295">
        <f>'AJUSTES - SF-T'!H47</f>
        <v>0</v>
      </c>
      <c r="I85" s="295">
        <f>'AJUSTES - SF-T'!I47</f>
        <v>0</v>
      </c>
      <c r="J85" s="295">
        <f>'AJUSTES - SF-T'!J47</f>
        <v>0</v>
      </c>
      <c r="K85" s="295">
        <f>D85-E85-F85-G85-H85-I85-J85</f>
        <v>0</v>
      </c>
      <c r="L85" s="297">
        <v>0</v>
      </c>
      <c r="M85" s="324">
        <f>K85-L85</f>
        <v>0</v>
      </c>
      <c r="N85" s="324">
        <f>'AJUSTES - SF-T'!N47</f>
        <v>0</v>
      </c>
      <c r="O85" s="324">
        <f>M85+N85</f>
        <v>0</v>
      </c>
      <c r="Q85" s="309"/>
      <c r="S85" s="306">
        <v>1</v>
      </c>
      <c r="T85" s="307" t="s">
        <v>10</v>
      </c>
      <c r="U85" s="315">
        <f>'AJUSTES - SF-T'!U47</f>
        <v>0</v>
      </c>
      <c r="V85" s="315">
        <f>'AJUSTES - SF-T'!V47</f>
        <v>0</v>
      </c>
      <c r="W85" s="315">
        <f>'AJUSTES - SF-T'!W47</f>
        <v>0</v>
      </c>
      <c r="X85" s="315">
        <f>'AJUSTES - SF-T'!X47</f>
        <v>0</v>
      </c>
      <c r="Y85" s="315">
        <f>'AJUSTES - SF-T'!Y47</f>
        <v>0</v>
      </c>
      <c r="Z85" s="315">
        <f>'AJUSTES - SF-T'!Z47</f>
        <v>0</v>
      </c>
      <c r="AA85" s="314">
        <v>0</v>
      </c>
      <c r="AB85" s="315">
        <f>'AJUSTES - SF-T'!AB47</f>
        <v>0</v>
      </c>
      <c r="AC85" s="564">
        <f>'AJUSTES - SF-T'!AA47</f>
        <v>0</v>
      </c>
      <c r="AD85" s="324">
        <f>'AJUSTES - SF-T'!AC47</f>
        <v>0</v>
      </c>
      <c r="AE85" s="297">
        <f>'AJUSTES - SF-T'!AD47</f>
        <v>0</v>
      </c>
      <c r="AF85" s="366">
        <f>SUM(U85:AD85)</f>
        <v>0</v>
      </c>
      <c r="AG85" s="562">
        <f>AF85-O85</f>
        <v>0</v>
      </c>
      <c r="AH85" s="1" t="b">
        <f>INT(AG85)=0</f>
        <v>1</v>
      </c>
      <c r="AI85" s="309"/>
    </row>
    <row r="86" spans="1:35" s="308" customFormat="1" x14ac:dyDescent="0.25">
      <c r="B86" s="317">
        <v>2</v>
      </c>
      <c r="C86" s="318" t="s">
        <v>11</v>
      </c>
      <c r="D86" s="294">
        <v>0</v>
      </c>
      <c r="E86" s="295">
        <v>0</v>
      </c>
      <c r="F86" s="295">
        <v>0</v>
      </c>
      <c r="G86" s="295">
        <v>0</v>
      </c>
      <c r="H86" s="295">
        <v>0</v>
      </c>
      <c r="I86" s="295">
        <v>0</v>
      </c>
      <c r="J86" s="295">
        <v>0</v>
      </c>
      <c r="K86" s="295">
        <f t="shared" ref="K86:K89" si="35">D86-E86-F86-G86-H86-I86-J86</f>
        <v>0</v>
      </c>
      <c r="L86" s="297">
        <v>0</v>
      </c>
      <c r="M86" s="324">
        <f>K86-L86</f>
        <v>0</v>
      </c>
      <c r="N86" s="324">
        <v>0</v>
      </c>
      <c r="O86" s="324">
        <f t="shared" ref="O86:O89" si="36">M86+N86</f>
        <v>0</v>
      </c>
      <c r="Q86" s="309"/>
      <c r="S86" s="317">
        <v>2</v>
      </c>
      <c r="T86" s="318" t="s">
        <v>11</v>
      </c>
      <c r="U86" s="323">
        <v>0</v>
      </c>
      <c r="V86" s="323">
        <v>0</v>
      </c>
      <c r="W86" s="323">
        <v>0</v>
      </c>
      <c r="X86" s="323">
        <v>0</v>
      </c>
      <c r="Y86" s="323">
        <v>0</v>
      </c>
      <c r="Z86" s="323">
        <f>-L86</f>
        <v>0</v>
      </c>
      <c r="AA86" s="323">
        <v>0</v>
      </c>
      <c r="AB86" s="323">
        <f>N86</f>
        <v>0</v>
      </c>
      <c r="AC86" s="302">
        <v>0</v>
      </c>
      <c r="AD86" s="323">
        <f t="shared" ref="AD86:AD88" si="37">-J86+AE86</f>
        <v>0</v>
      </c>
      <c r="AE86" s="302">
        <v>0</v>
      </c>
      <c r="AF86" s="368">
        <f>SUM(U86:AD86)</f>
        <v>0</v>
      </c>
      <c r="AG86" s="563">
        <f>AF86-O86</f>
        <v>0</v>
      </c>
      <c r="AH86" s="1" t="b">
        <f t="shared" ref="AH86:AH90" si="38">INT(AG86)=0</f>
        <v>1</v>
      </c>
      <c r="AI86" s="309"/>
    </row>
    <row r="87" spans="1:35" s="308" customFormat="1" x14ac:dyDescent="0.25">
      <c r="B87" s="317">
        <v>3</v>
      </c>
      <c r="C87" s="318" t="s">
        <v>12</v>
      </c>
      <c r="D87" s="294">
        <f>'AJUSTES - SF-T'!D49</f>
        <v>0</v>
      </c>
      <c r="E87" s="295">
        <f>'AJUSTES - SF-T'!E49</f>
        <v>0</v>
      </c>
      <c r="F87" s="295">
        <f>'AJUSTES - SF-T'!F49</f>
        <v>0</v>
      </c>
      <c r="G87" s="295">
        <f>'AJUSTES - SF-T'!G49</f>
        <v>0</v>
      </c>
      <c r="H87" s="295">
        <f>'AJUSTES - SF-T'!H49</f>
        <v>0</v>
      </c>
      <c r="I87" s="295">
        <f>'AJUSTES - SF-T'!I49</f>
        <v>0</v>
      </c>
      <c r="J87" s="295">
        <f>'AJUSTES - SF-T'!J49</f>
        <v>0</v>
      </c>
      <c r="K87" s="295">
        <f>D87-E87-F87-G87-H87-I87-J87</f>
        <v>0</v>
      </c>
      <c r="L87" s="297">
        <v>0</v>
      </c>
      <c r="M87" s="324">
        <f>K87-L87</f>
        <v>0</v>
      </c>
      <c r="N87" s="324">
        <f>'AJUSTES - SF-T'!N49</f>
        <v>0</v>
      </c>
      <c r="O87" s="324">
        <f>M87+N87</f>
        <v>0</v>
      </c>
      <c r="Q87" s="309"/>
      <c r="S87" s="317">
        <v>3</v>
      </c>
      <c r="T87" s="318" t="s">
        <v>12</v>
      </c>
      <c r="U87" s="323">
        <f>'AJUSTES - SF-T'!U49</f>
        <v>0</v>
      </c>
      <c r="V87" s="323">
        <f>'AJUSTES - SF-T'!V49</f>
        <v>0</v>
      </c>
      <c r="W87" s="323">
        <f>'AJUSTES - SF-T'!W49</f>
        <v>0</v>
      </c>
      <c r="X87" s="323">
        <f>'AJUSTES - SF-T'!X49</f>
        <v>0</v>
      </c>
      <c r="Y87" s="323">
        <f>'AJUSTES - SF-T'!Y49</f>
        <v>0</v>
      </c>
      <c r="Z87" s="323">
        <f>'AJUSTES - SF-T'!Z49</f>
        <v>0</v>
      </c>
      <c r="AA87" s="323">
        <f>'AJUSTES - SF-T'!AA49</f>
        <v>0</v>
      </c>
      <c r="AB87" s="323">
        <f>'AJUSTES - SF-T'!AB49</f>
        <v>0</v>
      </c>
      <c r="AC87" s="302">
        <v>0</v>
      </c>
      <c r="AD87" s="323">
        <f>'AJUSTES - SF-T'!AC49</f>
        <v>0</v>
      </c>
      <c r="AE87" s="302">
        <f>'AJUSTES - SF-T'!AD49</f>
        <v>0</v>
      </c>
      <c r="AF87" s="368">
        <f>SUM(U87:AD87)</f>
        <v>0</v>
      </c>
      <c r="AG87" s="563">
        <f>AF87-O87</f>
        <v>0</v>
      </c>
      <c r="AH87" s="1" t="b">
        <f t="shared" si="38"/>
        <v>1</v>
      </c>
      <c r="AI87" s="309"/>
    </row>
    <row r="88" spans="1:35" s="308" customFormat="1" x14ac:dyDescent="0.25">
      <c r="B88" s="317">
        <v>4</v>
      </c>
      <c r="C88" s="318" t="s">
        <v>13</v>
      </c>
      <c r="D88" s="294">
        <v>0</v>
      </c>
      <c r="E88" s="295">
        <v>0</v>
      </c>
      <c r="F88" s="295">
        <v>0</v>
      </c>
      <c r="G88" s="295">
        <v>0</v>
      </c>
      <c r="H88" s="295">
        <v>0</v>
      </c>
      <c r="I88" s="295">
        <v>0</v>
      </c>
      <c r="J88" s="295">
        <v>0</v>
      </c>
      <c r="K88" s="295">
        <f t="shared" si="35"/>
        <v>0</v>
      </c>
      <c r="L88" s="297">
        <v>0</v>
      </c>
      <c r="M88" s="324">
        <f>K88-L88</f>
        <v>0</v>
      </c>
      <c r="N88" s="324">
        <v>0</v>
      </c>
      <c r="O88" s="324">
        <f t="shared" si="36"/>
        <v>0</v>
      </c>
      <c r="Q88" s="309"/>
      <c r="S88" s="317">
        <v>4</v>
      </c>
      <c r="T88" s="318" t="s">
        <v>13</v>
      </c>
      <c r="U88" s="323">
        <v>0</v>
      </c>
      <c r="V88" s="323">
        <v>0</v>
      </c>
      <c r="W88" s="323">
        <v>0</v>
      </c>
      <c r="X88" s="323">
        <v>0</v>
      </c>
      <c r="Y88" s="323">
        <v>0</v>
      </c>
      <c r="Z88" s="323">
        <f>-L88</f>
        <v>0</v>
      </c>
      <c r="AA88" s="323">
        <v>0</v>
      </c>
      <c r="AB88" s="323">
        <f>N88</f>
        <v>0</v>
      </c>
      <c r="AC88" s="302">
        <v>0</v>
      </c>
      <c r="AD88" s="323">
        <f t="shared" si="37"/>
        <v>0</v>
      </c>
      <c r="AE88" s="302">
        <v>0</v>
      </c>
      <c r="AF88" s="368">
        <f t="shared" ref="AF88:AF89" si="39">SUM(U88:AD88)</f>
        <v>0</v>
      </c>
      <c r="AG88" s="563">
        <f>AF88-O88</f>
        <v>0</v>
      </c>
      <c r="AH88" s="1" t="b">
        <f t="shared" si="38"/>
        <v>1</v>
      </c>
      <c r="AI88" s="309"/>
    </row>
    <row r="89" spans="1:35" s="308" customFormat="1" ht="12" thickBot="1" x14ac:dyDescent="0.3">
      <c r="B89" s="327">
        <v>5</v>
      </c>
      <c r="C89" s="328" t="s">
        <v>14</v>
      </c>
      <c r="D89" s="299">
        <f>'AJUSTES - SF-T'!D51</f>
        <v>0</v>
      </c>
      <c r="E89" s="300">
        <f>'AJUSTES - SF-T'!E51</f>
        <v>0</v>
      </c>
      <c r="F89" s="300">
        <f>'AJUSTES - SF-T'!F51</f>
        <v>0</v>
      </c>
      <c r="G89" s="300">
        <f>'AJUSTES - SF-T'!G51</f>
        <v>0</v>
      </c>
      <c r="H89" s="300">
        <f>'AJUSTES - SF-T'!H51</f>
        <v>0</v>
      </c>
      <c r="I89" s="300">
        <f>'AJUSTES - SF-T'!I51</f>
        <v>0</v>
      </c>
      <c r="J89" s="300">
        <f>'AJUSTES - SF-T'!J51</f>
        <v>0</v>
      </c>
      <c r="K89" s="300">
        <f t="shared" si="35"/>
        <v>0</v>
      </c>
      <c r="L89" s="297">
        <v>0</v>
      </c>
      <c r="M89" s="349">
        <f>K89-L89</f>
        <v>0</v>
      </c>
      <c r="N89" s="349">
        <f>'AJUSTES - SF-T'!N51</f>
        <v>0</v>
      </c>
      <c r="O89" s="349">
        <f t="shared" si="36"/>
        <v>0</v>
      </c>
      <c r="Q89" s="309"/>
      <c r="S89" s="327">
        <v>5</v>
      </c>
      <c r="T89" s="328" t="s">
        <v>14</v>
      </c>
      <c r="U89" s="349">
        <f>'AJUSTES - SF-T'!U51</f>
        <v>0</v>
      </c>
      <c r="V89" s="349">
        <f>'AJUSTES - SF-T'!V51</f>
        <v>0</v>
      </c>
      <c r="W89" s="349">
        <f>'AJUSTES - SF-T'!W51</f>
        <v>0</v>
      </c>
      <c r="X89" s="349">
        <f>'AJUSTES - SF-T'!X51</f>
        <v>0</v>
      </c>
      <c r="Y89" s="349">
        <f>'AJUSTES - SF-T'!Y51</f>
        <v>0</v>
      </c>
      <c r="Z89" s="349">
        <f>'AJUSTES - SF-T'!Z51</f>
        <v>0</v>
      </c>
      <c r="AA89" s="323">
        <f>'AJUSTES - SF-T'!AA51</f>
        <v>0</v>
      </c>
      <c r="AB89" s="565">
        <f>'AJUSTES - SF-T'!AB51</f>
        <v>0</v>
      </c>
      <c r="AC89" s="601">
        <v>0</v>
      </c>
      <c r="AD89" s="565">
        <f>'AJUSTES - SF-T'!AC51</f>
        <v>0</v>
      </c>
      <c r="AE89" s="297">
        <f>'AJUSTES - SF-T'!AD51</f>
        <v>0</v>
      </c>
      <c r="AF89" s="569">
        <f t="shared" si="39"/>
        <v>0</v>
      </c>
      <c r="AG89" s="568">
        <f>AF89-O89</f>
        <v>0</v>
      </c>
      <c r="AH89" s="1" t="b">
        <f t="shared" si="38"/>
        <v>1</v>
      </c>
      <c r="AI89" s="309"/>
    </row>
    <row r="90" spans="1:35" s="308" customFormat="1" ht="13.5" thickBot="1" x14ac:dyDescent="0.35">
      <c r="B90" s="330"/>
      <c r="C90" s="331" t="s">
        <v>2</v>
      </c>
      <c r="D90" s="293">
        <f t="shared" ref="D90:O90" si="40">SUM(D85:D89)</f>
        <v>0</v>
      </c>
      <c r="E90" s="293">
        <f t="shared" si="40"/>
        <v>0</v>
      </c>
      <c r="F90" s="293">
        <f t="shared" si="40"/>
        <v>0</v>
      </c>
      <c r="G90" s="293">
        <f t="shared" si="40"/>
        <v>0</v>
      </c>
      <c r="H90" s="293">
        <f t="shared" si="40"/>
        <v>0</v>
      </c>
      <c r="I90" s="293">
        <f t="shared" si="40"/>
        <v>0</v>
      </c>
      <c r="J90" s="293">
        <f t="shared" si="40"/>
        <v>0</v>
      </c>
      <c r="K90" s="303">
        <f t="shared" si="40"/>
        <v>0</v>
      </c>
      <c r="L90" s="304">
        <f t="shared" si="40"/>
        <v>0</v>
      </c>
      <c r="M90" s="305">
        <f t="shared" si="40"/>
        <v>0</v>
      </c>
      <c r="N90" s="304">
        <f t="shared" si="40"/>
        <v>0</v>
      </c>
      <c r="O90" s="305">
        <f t="shared" si="40"/>
        <v>0</v>
      </c>
      <c r="P90" s="332"/>
      <c r="Q90" s="309"/>
      <c r="S90" s="330"/>
      <c r="T90" s="560" t="s">
        <v>2</v>
      </c>
      <c r="U90" s="333">
        <f>SUM(U85:U89)</f>
        <v>0</v>
      </c>
      <c r="V90" s="333">
        <f t="shared" ref="V90:AG90" si="41">SUM(V85:V89)</f>
        <v>0</v>
      </c>
      <c r="W90" s="561">
        <f t="shared" si="41"/>
        <v>0</v>
      </c>
      <c r="X90" s="333">
        <f t="shared" si="41"/>
        <v>0</v>
      </c>
      <c r="Y90" s="333">
        <f t="shared" si="41"/>
        <v>0</v>
      </c>
      <c r="Z90" s="293">
        <f t="shared" si="41"/>
        <v>0</v>
      </c>
      <c r="AA90" s="293">
        <f t="shared" si="41"/>
        <v>0</v>
      </c>
      <c r="AB90" s="293">
        <f t="shared" si="41"/>
        <v>0</v>
      </c>
      <c r="AC90" s="293">
        <f t="shared" ref="AC90" si="42">SUM(AC85:AC89)</f>
        <v>0</v>
      </c>
      <c r="AD90" s="293">
        <f t="shared" si="41"/>
        <v>0</v>
      </c>
      <c r="AE90" s="293">
        <f t="shared" si="41"/>
        <v>0</v>
      </c>
      <c r="AF90" s="334">
        <f t="shared" si="41"/>
        <v>0</v>
      </c>
      <c r="AG90" s="335">
        <f t="shared" si="41"/>
        <v>0</v>
      </c>
      <c r="AH90" s="1" t="b">
        <f t="shared" si="38"/>
        <v>1</v>
      </c>
      <c r="AI90" s="309"/>
    </row>
    <row r="91" spans="1:35" ht="12" thickBot="1" x14ac:dyDescent="0.3">
      <c r="B91" s="2"/>
      <c r="C91" s="2"/>
      <c r="D91" s="24"/>
      <c r="E91" s="24"/>
      <c r="F91" s="24"/>
      <c r="G91" s="24"/>
      <c r="H91" s="24"/>
      <c r="I91" s="24"/>
      <c r="K91" s="24"/>
      <c r="L91" s="24"/>
      <c r="M91" s="24"/>
      <c r="N91" s="24"/>
      <c r="O91" s="24"/>
      <c r="Q91" s="4"/>
      <c r="S91" s="2"/>
      <c r="T91" s="2"/>
      <c r="U91" s="24"/>
      <c r="V91" s="24"/>
      <c r="W91" s="24"/>
      <c r="X91" s="24"/>
      <c r="Y91" s="24"/>
      <c r="AF91" s="24"/>
      <c r="AI91" s="4"/>
    </row>
    <row r="92" spans="1:35" ht="12" thickBot="1" x14ac:dyDescent="0.3">
      <c r="B92" s="2"/>
      <c r="C92" s="2"/>
      <c r="D92" s="24" t="s">
        <v>1</v>
      </c>
      <c r="E92" s="24"/>
      <c r="F92" s="24"/>
      <c r="G92" s="24"/>
      <c r="H92" s="24"/>
      <c r="I92" s="24"/>
      <c r="K92" s="24"/>
      <c r="L92" s="24"/>
      <c r="M92" s="24"/>
      <c r="N92" s="24"/>
      <c r="O92" s="24"/>
      <c r="Q92" s="4"/>
      <c r="Y92" s="86">
        <f>SUM(U90:Y90)</f>
        <v>0</v>
      </c>
      <c r="AA92" s="1" t="s">
        <v>1</v>
      </c>
      <c r="AB92" s="1" t="s">
        <v>1</v>
      </c>
      <c r="AD92" s="1" t="s">
        <v>1</v>
      </c>
      <c r="AF92" s="1" t="s">
        <v>1</v>
      </c>
      <c r="AI92" s="4"/>
    </row>
    <row r="93" spans="1:35" ht="12" thickBot="1" x14ac:dyDescent="0.3">
      <c r="B93" s="2"/>
      <c r="C93" s="2"/>
      <c r="D93" s="24" t="s">
        <v>1</v>
      </c>
      <c r="E93" s="33"/>
      <c r="F93" s="33"/>
      <c r="G93" s="33"/>
      <c r="H93" s="33"/>
      <c r="I93" s="24"/>
      <c r="K93" s="24"/>
      <c r="L93" s="24"/>
      <c r="M93" s="24"/>
      <c r="N93" s="24"/>
      <c r="O93" s="24"/>
      <c r="Q93" s="4"/>
      <c r="AI93" s="4"/>
    </row>
    <row r="94" spans="1:35" x14ac:dyDescent="0.25">
      <c r="B94" s="2"/>
      <c r="C94" s="2"/>
      <c r="D94" s="24" t="s">
        <v>1</v>
      </c>
      <c r="E94" s="24" t="s">
        <v>1</v>
      </c>
      <c r="F94" s="24" t="s">
        <v>25</v>
      </c>
      <c r="G94" s="24"/>
      <c r="H94" s="24"/>
      <c r="I94" s="24"/>
      <c r="K94" s="24"/>
      <c r="L94" s="24"/>
      <c r="M94" s="24"/>
      <c r="N94" s="24"/>
      <c r="O94" s="24"/>
      <c r="Q94" s="4"/>
      <c r="AI94" s="4"/>
    </row>
    <row r="95" spans="1:35" x14ac:dyDescent="0.25">
      <c r="A95" s="4"/>
      <c r="B95" s="34"/>
      <c r="C95" s="34"/>
      <c r="D95" s="35"/>
      <c r="E95" s="35"/>
      <c r="F95" s="35"/>
      <c r="G95" s="35"/>
      <c r="H95" s="35"/>
      <c r="I95" s="35"/>
      <c r="J95" s="4"/>
      <c r="K95" s="35"/>
      <c r="L95" s="35"/>
      <c r="M95" s="35"/>
      <c r="N95" s="35"/>
      <c r="O95" s="35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</row>
    <row r="96" spans="1:35" ht="12" thickBot="1" x14ac:dyDescent="0.3">
      <c r="Q96" s="4"/>
      <c r="AI96" s="4"/>
    </row>
    <row r="97" spans="2:36" x14ac:dyDescent="0.25">
      <c r="B97" s="5"/>
      <c r="C97" s="3" t="s">
        <v>1</v>
      </c>
      <c r="D97" s="6" t="s">
        <v>1</v>
      </c>
      <c r="E97" s="3"/>
      <c r="F97" s="3"/>
      <c r="G97" s="3"/>
      <c r="H97" s="3" t="s">
        <v>1</v>
      </c>
      <c r="I97" s="3"/>
      <c r="J97" s="3"/>
      <c r="K97" s="3"/>
      <c r="L97" s="3"/>
      <c r="M97" s="3"/>
      <c r="N97" s="3"/>
      <c r="O97" s="7"/>
      <c r="P97" s="2"/>
      <c r="Q97" s="4"/>
      <c r="S97" s="5"/>
      <c r="T97" s="3" t="s">
        <v>1</v>
      </c>
      <c r="U97" s="6" t="s">
        <v>1</v>
      </c>
      <c r="V97" s="3"/>
      <c r="W97" s="3"/>
      <c r="X97" s="3" t="s">
        <v>1</v>
      </c>
      <c r="Y97" s="3"/>
      <c r="Z97" s="3"/>
      <c r="AA97" s="3"/>
      <c r="AB97" s="3"/>
      <c r="AC97" s="3"/>
      <c r="AD97" s="3"/>
      <c r="AE97" s="3"/>
      <c r="AF97" s="7"/>
      <c r="AG97" s="2"/>
      <c r="AI97" s="4"/>
    </row>
    <row r="98" spans="2:36" ht="14" x14ac:dyDescent="0.3">
      <c r="B98" s="8"/>
      <c r="F98" s="26" t="s">
        <v>8</v>
      </c>
      <c r="G98" s="26"/>
      <c r="I98" s="26" t="s">
        <v>16</v>
      </c>
      <c r="J98" s="25"/>
      <c r="M98" s="2" t="s">
        <v>15</v>
      </c>
      <c r="N98" s="50">
        <f>N3</f>
        <v>2026071</v>
      </c>
      <c r="O98" s="10"/>
      <c r="P98" s="2"/>
      <c r="Q98" s="4"/>
      <c r="S98" s="8"/>
      <c r="U98" s="26" t="s">
        <v>8</v>
      </c>
      <c r="W98" s="26" t="s">
        <v>16</v>
      </c>
      <c r="X98" s="25"/>
      <c r="Y98" s="2"/>
      <c r="AA98" s="2" t="s">
        <v>15</v>
      </c>
      <c r="AD98" s="84">
        <f>N98</f>
        <v>2026071</v>
      </c>
      <c r="AE98" s="84"/>
      <c r="AF98" s="48"/>
      <c r="AG98" s="2"/>
      <c r="AI98" s="4"/>
    </row>
    <row r="99" spans="2:36" ht="15.5" x14ac:dyDescent="0.35">
      <c r="B99" s="8"/>
      <c r="F99" s="36" t="s">
        <v>29</v>
      </c>
      <c r="G99" s="36"/>
      <c r="O99" s="10"/>
      <c r="P99" s="2"/>
      <c r="Q99" s="4"/>
      <c r="S99" s="8"/>
      <c r="T99" s="26" t="s">
        <v>1</v>
      </c>
      <c r="U99" s="36" t="s">
        <v>29</v>
      </c>
      <c r="Y99" s="2" t="s">
        <v>1</v>
      </c>
      <c r="AA99" s="50" t="s">
        <v>1</v>
      </c>
      <c r="AB99" s="2"/>
      <c r="AC99" s="2"/>
      <c r="AD99" s="2"/>
      <c r="AE99" s="2"/>
      <c r="AF99" s="10" t="s">
        <v>1</v>
      </c>
      <c r="AG99" s="2"/>
      <c r="AI99" s="4"/>
    </row>
    <row r="100" spans="2:36" ht="14" x14ac:dyDescent="0.3">
      <c r="B100" s="8"/>
      <c r="F100" s="2" t="s">
        <v>30</v>
      </c>
      <c r="G100" s="2"/>
      <c r="L100" s="91"/>
      <c r="M100" s="2" t="s">
        <v>1</v>
      </c>
      <c r="O100" s="10"/>
      <c r="P100" s="2"/>
      <c r="Q100" s="4"/>
      <c r="S100" s="8"/>
      <c r="T100" s="49" t="s">
        <v>1</v>
      </c>
      <c r="U100" s="2" t="s">
        <v>30</v>
      </c>
      <c r="AF100" s="44"/>
      <c r="AG100" s="2"/>
      <c r="AI100" s="4"/>
    </row>
    <row r="101" spans="2:36" ht="15.5" x14ac:dyDescent="0.35">
      <c r="B101" s="8"/>
      <c r="C101" s="591" t="s">
        <v>17</v>
      </c>
      <c r="D101" s="9">
        <f>D6</f>
        <v>46220</v>
      </c>
      <c r="F101" s="58" t="s">
        <v>216</v>
      </c>
      <c r="G101" s="58"/>
      <c r="H101" s="59"/>
      <c r="I101" s="60"/>
      <c r="J101" s="59"/>
      <c r="L101" s="91"/>
      <c r="O101" s="10"/>
      <c r="P101" s="2"/>
      <c r="Q101" s="4"/>
      <c r="S101" s="8"/>
      <c r="T101" s="41" t="s">
        <v>1</v>
      </c>
      <c r="U101" s="58" t="s">
        <v>217</v>
      </c>
      <c r="V101" s="59"/>
      <c r="W101" s="60"/>
      <c r="X101" s="59"/>
      <c r="Y101" s="2"/>
      <c r="AF101" s="48"/>
      <c r="AG101" s="2"/>
      <c r="AI101" s="4"/>
    </row>
    <row r="102" spans="2:36" ht="18" thickBot="1" x14ac:dyDescent="0.5">
      <c r="B102" s="8"/>
      <c r="C102" s="591" t="s">
        <v>0</v>
      </c>
      <c r="D102" s="241">
        <f>D7</f>
        <v>0.58333333333333337</v>
      </c>
      <c r="F102" s="2" t="s">
        <v>27</v>
      </c>
      <c r="G102" s="9">
        <f>G7</f>
        <v>46204</v>
      </c>
      <c r="J102" s="2" t="s">
        <v>28</v>
      </c>
      <c r="K102" s="9">
        <f>K7</f>
        <v>46218</v>
      </c>
      <c r="L102" s="92"/>
      <c r="O102" s="10"/>
      <c r="P102" s="2"/>
      <c r="Q102" s="4"/>
      <c r="S102" s="8"/>
      <c r="U102" s="1" t="str">
        <f>F102</f>
        <v>Fecha Desde:</v>
      </c>
      <c r="V102" s="9">
        <f>G102</f>
        <v>46204</v>
      </c>
      <c r="W102" s="1" t="s">
        <v>1</v>
      </c>
      <c r="X102" s="1" t="str">
        <f>J102</f>
        <v>Feha Hasta:</v>
      </c>
      <c r="Y102" s="9">
        <f>K102</f>
        <v>46218</v>
      </c>
      <c r="Z102" s="1" t="s">
        <v>1</v>
      </c>
      <c r="AF102" s="48"/>
      <c r="AG102" s="2"/>
      <c r="AI102" s="4"/>
      <c r="AJ102" s="112" t="s">
        <v>1</v>
      </c>
    </row>
    <row r="103" spans="2:36" ht="72" customHeight="1" thickBot="1" x14ac:dyDescent="0.3">
      <c r="B103" s="11" t="s">
        <v>3</v>
      </c>
      <c r="C103" s="27" t="s">
        <v>9</v>
      </c>
      <c r="D103" s="11" t="s">
        <v>4</v>
      </c>
      <c r="E103" s="12" t="s">
        <v>5</v>
      </c>
      <c r="F103" s="27" t="s">
        <v>6</v>
      </c>
      <c r="G103" s="27" t="s">
        <v>159</v>
      </c>
      <c r="H103" s="27" t="s">
        <v>18</v>
      </c>
      <c r="I103" s="12" t="s">
        <v>24</v>
      </c>
      <c r="J103" s="73" t="s">
        <v>19</v>
      </c>
      <c r="K103" s="29" t="s">
        <v>20</v>
      </c>
      <c r="L103" s="28" t="s">
        <v>21</v>
      </c>
      <c r="M103" s="39" t="s">
        <v>22</v>
      </c>
      <c r="N103" s="12" t="s">
        <v>7</v>
      </c>
      <c r="O103" s="39" t="s">
        <v>23</v>
      </c>
      <c r="P103" s="13"/>
      <c r="Q103" s="4"/>
      <c r="S103" s="11" t="s">
        <v>3</v>
      </c>
      <c r="T103" s="27" t="s">
        <v>9</v>
      </c>
      <c r="U103" s="162" t="s">
        <v>39</v>
      </c>
      <c r="V103" s="163" t="s">
        <v>40</v>
      </c>
      <c r="W103" s="163" t="s">
        <v>41</v>
      </c>
      <c r="X103" s="163" t="s">
        <v>42</v>
      </c>
      <c r="Y103" s="164" t="s">
        <v>43</v>
      </c>
      <c r="Z103" s="85" t="s">
        <v>21</v>
      </c>
      <c r="AA103" s="65" t="s">
        <v>46</v>
      </c>
      <c r="AB103" s="65" t="s">
        <v>7</v>
      </c>
      <c r="AC103" s="85" t="s">
        <v>167</v>
      </c>
      <c r="AD103" s="121" t="s">
        <v>105</v>
      </c>
      <c r="AE103" s="121" t="s">
        <v>104</v>
      </c>
      <c r="AF103" s="39" t="s">
        <v>23</v>
      </c>
      <c r="AG103" s="13"/>
      <c r="AI103" s="4"/>
    </row>
    <row r="104" spans="2:36" s="308" customFormat="1" x14ac:dyDescent="0.25">
      <c r="B104" s="306">
        <v>1</v>
      </c>
      <c r="C104" s="307" t="s">
        <v>10</v>
      </c>
      <c r="D104" s="294">
        <f t="shared" ref="D104:J108" si="43">D9+D28+D47+D66+D85</f>
        <v>16232100830.950001</v>
      </c>
      <c r="E104" s="295">
        <f t="shared" si="43"/>
        <v>916530913.37</v>
      </c>
      <c r="F104" s="295">
        <f t="shared" si="43"/>
        <v>517033839.41000003</v>
      </c>
      <c r="G104" s="295">
        <f t="shared" si="43"/>
        <v>271457219.63</v>
      </c>
      <c r="H104" s="295">
        <f t="shared" si="43"/>
        <v>4844687061.9700003</v>
      </c>
      <c r="I104" s="295">
        <f t="shared" si="43"/>
        <v>168046170.34999999</v>
      </c>
      <c r="J104" s="295">
        <f t="shared" si="43"/>
        <v>2032363678.8399997</v>
      </c>
      <c r="K104" s="296">
        <f>D104-E104-F104-G104-H104-I104-J104</f>
        <v>7481981947.3799992</v>
      </c>
      <c r="L104" s="297">
        <f>L9+L28+L47+L66+L85</f>
        <v>189185987</v>
      </c>
      <c r="M104" s="296">
        <f>K104-L104</f>
        <v>7292795960.3799992</v>
      </c>
      <c r="N104" s="297">
        <f>N9+N28+N47+N66+N85</f>
        <v>14379206.41</v>
      </c>
      <c r="O104" s="296">
        <f>M104+N104</f>
        <v>7307175166.789999</v>
      </c>
      <c r="Q104" s="309"/>
      <c r="S104" s="306">
        <v>1</v>
      </c>
      <c r="T104" s="307" t="s">
        <v>10</v>
      </c>
      <c r="U104" s="310">
        <f t="shared" ref="U104:AB108" si="44">U9+U28+U47+U66+U85</f>
        <v>1477461878.54</v>
      </c>
      <c r="V104" s="311">
        <f t="shared" si="44"/>
        <v>1426970483.8800001</v>
      </c>
      <c r="W104" s="311">
        <f t="shared" si="44"/>
        <v>6752471622.5100002</v>
      </c>
      <c r="X104" s="311">
        <f t="shared" si="44"/>
        <v>2493818966.8099999</v>
      </c>
      <c r="Y104" s="312">
        <f t="shared" si="44"/>
        <v>274199713.71999997</v>
      </c>
      <c r="Z104" s="313">
        <f t="shared" si="44"/>
        <v>-189185987</v>
      </c>
      <c r="AA104" s="314">
        <f>AA9+AA28+AA47+AA66+AA85</f>
        <v>40813.750000000007</v>
      </c>
      <c r="AB104" s="297">
        <f>AB9+AB28+AB47+AB66+AB85</f>
        <v>14379206.41</v>
      </c>
      <c r="AC104" s="314">
        <f>AC9+AC28+AC47+AC66+AC85</f>
        <v>279.22000000000003</v>
      </c>
      <c r="AD104" s="294">
        <f>-J104+AE104</f>
        <v>-4942981811.0499992</v>
      </c>
      <c r="AE104" s="294">
        <f>AE9+AE28+AE47+AE66+AE85</f>
        <v>-2910618132.21</v>
      </c>
      <c r="AF104" s="316">
        <f>SUM(U104:AD104)</f>
        <v>7307175166.789999</v>
      </c>
      <c r="AG104" s="314">
        <f>AF104-O104</f>
        <v>0</v>
      </c>
      <c r="AH104" s="1" t="b">
        <f>INT(AG104)=0</f>
        <v>1</v>
      </c>
      <c r="AI104" s="309"/>
    </row>
    <row r="105" spans="2:36" s="308" customFormat="1" x14ac:dyDescent="0.25">
      <c r="B105" s="317">
        <v>2</v>
      </c>
      <c r="C105" s="318" t="s">
        <v>11</v>
      </c>
      <c r="D105" s="294">
        <f t="shared" si="43"/>
        <v>11786725243.449999</v>
      </c>
      <c r="E105" s="295">
        <f t="shared" si="43"/>
        <v>966963311.46000004</v>
      </c>
      <c r="F105" s="295">
        <f t="shared" si="43"/>
        <v>535847687.71000004</v>
      </c>
      <c r="G105" s="295">
        <f t="shared" si="43"/>
        <v>278506129.25</v>
      </c>
      <c r="H105" s="295">
        <f t="shared" si="43"/>
        <v>3833233485.1500001</v>
      </c>
      <c r="I105" s="295">
        <f t="shared" si="43"/>
        <v>146152813.62</v>
      </c>
      <c r="J105" s="295">
        <f t="shared" si="43"/>
        <v>-5011515653.5899992</v>
      </c>
      <c r="K105" s="298">
        <f t="shared" ref="K105:K108" si="45">D105-E105-F105-G105-H105-I105-J105</f>
        <v>11037537469.849998</v>
      </c>
      <c r="L105" s="297">
        <f>L10+L29+L48+L67+L86</f>
        <v>266580255</v>
      </c>
      <c r="M105" s="298">
        <f>K105-L105</f>
        <v>10770957214.849998</v>
      </c>
      <c r="N105" s="297">
        <f>N10+N29+N48+N67+N86</f>
        <v>23317118.710000001</v>
      </c>
      <c r="O105" s="298">
        <f t="shared" ref="O105:O108" si="46">M105+N105</f>
        <v>10794274333.559998</v>
      </c>
      <c r="Q105" s="309"/>
      <c r="S105" s="317">
        <v>2</v>
      </c>
      <c r="T105" s="318" t="s">
        <v>11</v>
      </c>
      <c r="U105" s="319">
        <f t="shared" si="44"/>
        <v>1285570029.8</v>
      </c>
      <c r="V105" s="320">
        <f t="shared" si="44"/>
        <v>1283269330.75</v>
      </c>
      <c r="W105" s="320">
        <f t="shared" si="44"/>
        <v>5981019964.0100002</v>
      </c>
      <c r="X105" s="320">
        <f t="shared" si="44"/>
        <v>1886968382.1299999</v>
      </c>
      <c r="Y105" s="321">
        <f t="shared" si="44"/>
        <v>238978529.28</v>
      </c>
      <c r="Z105" s="322">
        <f t="shared" si="44"/>
        <v>-266580255</v>
      </c>
      <c r="AA105" s="323">
        <f t="shared" si="44"/>
        <v>-14642.68</v>
      </c>
      <c r="AB105" s="297">
        <f t="shared" si="44"/>
        <v>23317118.710000001</v>
      </c>
      <c r="AC105" s="323">
        <f t="shared" ref="AC105" si="47">AC10+AC29+AC48+AC67+AC86</f>
        <v>-121.11999999999999</v>
      </c>
      <c r="AD105" s="294">
        <f t="shared" ref="AD105" si="48">-J105+AE105</f>
        <v>361745997.67999935</v>
      </c>
      <c r="AE105" s="294">
        <f>AE10+AE29+AE48+AE67+AE86</f>
        <v>-4649769655.9099998</v>
      </c>
      <c r="AF105" s="325">
        <f>SUM(U105:AD105)</f>
        <v>10794274333.559998</v>
      </c>
      <c r="AG105" s="326">
        <f>AF105-O105</f>
        <v>0</v>
      </c>
      <c r="AH105" s="1" t="b">
        <f t="shared" ref="AH105:AH109" si="49">INT(AG105)=0</f>
        <v>1</v>
      </c>
      <c r="AI105" s="309"/>
    </row>
    <row r="106" spans="2:36" s="308" customFormat="1" x14ac:dyDescent="0.25">
      <c r="B106" s="317">
        <v>3</v>
      </c>
      <c r="C106" s="318" t="s">
        <v>12</v>
      </c>
      <c r="D106" s="294">
        <f t="shared" si="43"/>
        <v>9673573573.9799995</v>
      </c>
      <c r="E106" s="295">
        <f t="shared" si="43"/>
        <v>626613616.64999998</v>
      </c>
      <c r="F106" s="295">
        <f t="shared" si="43"/>
        <v>353412752.11000001</v>
      </c>
      <c r="G106" s="295">
        <f t="shared" si="43"/>
        <v>185553985.95000002</v>
      </c>
      <c r="H106" s="295">
        <f t="shared" si="43"/>
        <v>2632443245.1900001</v>
      </c>
      <c r="I106" s="295">
        <f t="shared" si="43"/>
        <v>98564065.760000005</v>
      </c>
      <c r="J106" s="295">
        <f t="shared" si="43"/>
        <v>-1196822411.3100002</v>
      </c>
      <c r="K106" s="298">
        <f t="shared" si="45"/>
        <v>6973808319.6300001</v>
      </c>
      <c r="L106" s="297">
        <f>L11+L30+L49+L68+L87</f>
        <v>154788535</v>
      </c>
      <c r="M106" s="298">
        <f>K106-L106</f>
        <v>6819019784.6300001</v>
      </c>
      <c r="N106" s="297">
        <f>N11+N30+N49+N68+N87</f>
        <v>15466157.32</v>
      </c>
      <c r="O106" s="298">
        <f t="shared" si="46"/>
        <v>6834485941.9499998</v>
      </c>
      <c r="Q106" s="309"/>
      <c r="S106" s="317">
        <v>3</v>
      </c>
      <c r="T106" s="318" t="s">
        <v>12</v>
      </c>
      <c r="U106" s="319">
        <f t="shared" si="44"/>
        <v>865731503.60000002</v>
      </c>
      <c r="V106" s="320">
        <f t="shared" si="44"/>
        <v>848283274.05999994</v>
      </c>
      <c r="W106" s="320">
        <f t="shared" si="44"/>
        <v>4011853742.9500003</v>
      </c>
      <c r="X106" s="320">
        <f t="shared" si="44"/>
        <v>1455041108.97</v>
      </c>
      <c r="Y106" s="321">
        <f t="shared" si="44"/>
        <v>160902849.89999998</v>
      </c>
      <c r="Z106" s="322">
        <f t="shared" si="44"/>
        <v>-154788535</v>
      </c>
      <c r="AA106" s="323">
        <f t="shared" si="44"/>
        <v>81550.969999999987</v>
      </c>
      <c r="AB106" s="297">
        <f t="shared" si="44"/>
        <v>15466157.32</v>
      </c>
      <c r="AC106" s="323">
        <f t="shared" ref="AC106" si="50">AC11+AC30+AC49+AC68+AC87</f>
        <v>1.7</v>
      </c>
      <c r="AD106" s="294">
        <f>-J106+AE106</f>
        <v>-368085712.51999974</v>
      </c>
      <c r="AE106" s="294">
        <f>AE11+AE30+AE49+AE68+AE87</f>
        <v>-1564908123.8299999</v>
      </c>
      <c r="AF106" s="325">
        <f>SUM(U106:AD106)</f>
        <v>6834485941.9500008</v>
      </c>
      <c r="AG106" s="326">
        <f>AF106-O106</f>
        <v>0</v>
      </c>
      <c r="AH106" s="1" t="b">
        <f t="shared" si="49"/>
        <v>1</v>
      </c>
      <c r="AI106" s="309"/>
    </row>
    <row r="107" spans="2:36" s="308" customFormat="1" x14ac:dyDescent="0.25">
      <c r="B107" s="317">
        <v>4</v>
      </c>
      <c r="C107" s="318" t="s">
        <v>13</v>
      </c>
      <c r="D107" s="294">
        <f t="shared" si="43"/>
        <v>10316982159.119999</v>
      </c>
      <c r="E107" s="295">
        <f t="shared" si="43"/>
        <v>622367965.5999999</v>
      </c>
      <c r="F107" s="295">
        <f t="shared" si="43"/>
        <v>349239018.45999992</v>
      </c>
      <c r="G107" s="295">
        <f t="shared" si="43"/>
        <v>183552296.74000001</v>
      </c>
      <c r="H107" s="295">
        <f t="shared" si="43"/>
        <v>2320555985.4500003</v>
      </c>
      <c r="I107" s="295">
        <f t="shared" si="43"/>
        <v>89671215.210000008</v>
      </c>
      <c r="J107" s="295">
        <f t="shared" si="43"/>
        <v>35955816.039999962</v>
      </c>
      <c r="K107" s="298">
        <f t="shared" si="45"/>
        <v>6715639861.6199989</v>
      </c>
      <c r="L107" s="297">
        <f>L12+L31+L50+L69+L88</f>
        <v>120391083</v>
      </c>
      <c r="M107" s="298">
        <f>K107-L107</f>
        <v>6595248778.6199989</v>
      </c>
      <c r="N107" s="297">
        <f>N12+N31+N50+N69+N88</f>
        <v>21942346.68</v>
      </c>
      <c r="O107" s="298">
        <f>M107+N107</f>
        <v>6617191125.2999992</v>
      </c>
      <c r="Q107" s="309"/>
      <c r="S107" s="317">
        <v>4</v>
      </c>
      <c r="T107" s="318" t="s">
        <v>13</v>
      </c>
      <c r="U107" s="319">
        <f t="shared" si="44"/>
        <v>786010223.37</v>
      </c>
      <c r="V107" s="320">
        <f t="shared" si="44"/>
        <v>775050744.24000001</v>
      </c>
      <c r="W107" s="320">
        <f t="shared" si="44"/>
        <v>3986410962.1299996</v>
      </c>
      <c r="X107" s="320">
        <f t="shared" si="44"/>
        <v>1646808377.22</v>
      </c>
      <c r="Y107" s="321">
        <f t="shared" si="44"/>
        <v>146783164.39999998</v>
      </c>
      <c r="Z107" s="322">
        <f t="shared" si="44"/>
        <v>-120391083</v>
      </c>
      <c r="AA107" s="323">
        <f t="shared" si="44"/>
        <v>-160463.04999999999</v>
      </c>
      <c r="AB107" s="297">
        <f t="shared" si="44"/>
        <v>21942346.68</v>
      </c>
      <c r="AC107" s="323">
        <f t="shared" ref="AC107" si="51">AC12+AC31+AC50+AC69+AC88</f>
        <v>-49.220000000000006</v>
      </c>
      <c r="AD107" s="294">
        <f>-J107+AE107</f>
        <v>-625263097.47000003</v>
      </c>
      <c r="AE107" s="294">
        <f>AE12+AE31+AE50+AE69+AE88</f>
        <v>-589307281.43000007</v>
      </c>
      <c r="AF107" s="325">
        <f>SUM(U107:AD107)</f>
        <v>6617191125.2999992</v>
      </c>
      <c r="AG107" s="326">
        <f>AF117-O117</f>
        <v>0</v>
      </c>
      <c r="AH107" s="1" t="b">
        <f t="shared" si="49"/>
        <v>1</v>
      </c>
      <c r="AI107" s="309"/>
    </row>
    <row r="108" spans="2:36" s="308" customFormat="1" ht="12" thickBot="1" x14ac:dyDescent="0.3">
      <c r="B108" s="327">
        <v>5</v>
      </c>
      <c r="C108" s="328" t="s">
        <v>14</v>
      </c>
      <c r="D108" s="299">
        <f>D13+D32+D51+D70+D89</f>
        <v>8254384246.3100004</v>
      </c>
      <c r="E108" s="300">
        <f t="shared" si="43"/>
        <v>475627046.11000001</v>
      </c>
      <c r="F108" s="300">
        <f t="shared" si="43"/>
        <v>267561735.20000005</v>
      </c>
      <c r="G108" s="300">
        <f t="shared" si="43"/>
        <v>137679167.59</v>
      </c>
      <c r="H108" s="300">
        <f t="shared" si="43"/>
        <v>1784022365.2299998</v>
      </c>
      <c r="I108" s="300">
        <f t="shared" si="43"/>
        <v>68980642.959999993</v>
      </c>
      <c r="J108" s="300">
        <f t="shared" si="43"/>
        <v>-1210425628.3100002</v>
      </c>
      <c r="K108" s="298">
        <f t="shared" si="45"/>
        <v>6730938917.5300016</v>
      </c>
      <c r="L108" s="297">
        <f>L13+L32+L51+L70+L89</f>
        <v>128990445</v>
      </c>
      <c r="M108" s="301">
        <f>K108-L108</f>
        <v>6601948472.5300016</v>
      </c>
      <c r="N108" s="302">
        <f>N13+N32+N51+N70+N89</f>
        <v>11140806.82</v>
      </c>
      <c r="O108" s="301">
        <f t="shared" si="46"/>
        <v>6613089279.3500013</v>
      </c>
      <c r="Q108" s="309"/>
      <c r="S108" s="327">
        <v>5</v>
      </c>
      <c r="T108" s="328" t="s">
        <v>14</v>
      </c>
      <c r="U108" s="299">
        <f t="shared" si="44"/>
        <v>606253168.47000003</v>
      </c>
      <c r="V108" s="300">
        <f t="shared" si="44"/>
        <v>590811095.5</v>
      </c>
      <c r="W108" s="300">
        <f t="shared" si="44"/>
        <v>3038777765.9200006</v>
      </c>
      <c r="X108" s="300">
        <f t="shared" si="44"/>
        <v>1384086123.6100001</v>
      </c>
      <c r="Y108" s="292">
        <f t="shared" si="44"/>
        <v>112517910.67999999</v>
      </c>
      <c r="Z108" s="322">
        <f t="shared" si="44"/>
        <v>-128990445</v>
      </c>
      <c r="AA108" s="323">
        <f t="shared" si="44"/>
        <v>-80674.010000000009</v>
      </c>
      <c r="AB108" s="297">
        <f t="shared" si="44"/>
        <v>11140806.82</v>
      </c>
      <c r="AC108" s="323">
        <f t="shared" ref="AC108" si="52">AC13+AC32+AC51+AC70+AC89</f>
        <v>-37.239999999999995</v>
      </c>
      <c r="AD108" s="294">
        <f>-J108+AE108</f>
        <v>998573564.60000014</v>
      </c>
      <c r="AE108" s="294">
        <f>AE13+AE32+AE51+AE70+AE89</f>
        <v>-211852063.71000001</v>
      </c>
      <c r="AF108" s="325">
        <f>SUM(U108:AD108)</f>
        <v>6613089279.3500004</v>
      </c>
      <c r="AG108" s="329">
        <f>AF108-O108</f>
        <v>0</v>
      </c>
      <c r="AH108" s="1" t="b">
        <f t="shared" si="49"/>
        <v>1</v>
      </c>
      <c r="AI108" s="309"/>
    </row>
    <row r="109" spans="2:36" s="308" customFormat="1" ht="13.5" thickBot="1" x14ac:dyDescent="0.35">
      <c r="B109" s="330"/>
      <c r="C109" s="331" t="s">
        <v>2</v>
      </c>
      <c r="D109" s="293">
        <f t="shared" ref="D109:O109" si="53">SUM(D104:D108)</f>
        <v>56263766053.809998</v>
      </c>
      <c r="E109" s="293">
        <f t="shared" si="53"/>
        <v>3608102853.1900001</v>
      </c>
      <c r="F109" s="293">
        <f t="shared" si="53"/>
        <v>2023095032.8900001</v>
      </c>
      <c r="G109" s="293">
        <f t="shared" si="53"/>
        <v>1056748799.1600001</v>
      </c>
      <c r="H109" s="293">
        <f t="shared" si="53"/>
        <v>15414942142.990002</v>
      </c>
      <c r="I109" s="293">
        <f t="shared" si="53"/>
        <v>571414907.9000001</v>
      </c>
      <c r="J109" s="293">
        <f t="shared" si="53"/>
        <v>-5350444198.3299999</v>
      </c>
      <c r="K109" s="303">
        <f t="shared" si="53"/>
        <v>38939906516.009995</v>
      </c>
      <c r="L109" s="304">
        <f t="shared" si="53"/>
        <v>859936305</v>
      </c>
      <c r="M109" s="305">
        <f t="shared" si="53"/>
        <v>38079970211.009995</v>
      </c>
      <c r="N109" s="304">
        <f t="shared" si="53"/>
        <v>86245635.939999998</v>
      </c>
      <c r="O109" s="305">
        <f t="shared" si="53"/>
        <v>38166215846.949997</v>
      </c>
      <c r="P109" s="332"/>
      <c r="Q109" s="309"/>
      <c r="S109" s="330"/>
      <c r="T109" s="331" t="s">
        <v>2</v>
      </c>
      <c r="U109" s="333">
        <f>SUM(U104:U108)</f>
        <v>5021026803.7800007</v>
      </c>
      <c r="V109" s="333">
        <f t="shared" ref="V109:AF109" si="54">SUM(V104:V108)</f>
        <v>4924384928.4300003</v>
      </c>
      <c r="W109" s="333">
        <f t="shared" si="54"/>
        <v>23770534057.520004</v>
      </c>
      <c r="X109" s="333">
        <f t="shared" si="54"/>
        <v>8866722958.7399998</v>
      </c>
      <c r="Y109" s="333">
        <f t="shared" si="54"/>
        <v>933382167.9799999</v>
      </c>
      <c r="Z109" s="293">
        <f t="shared" si="54"/>
        <v>-859936305</v>
      </c>
      <c r="AA109" s="293">
        <f t="shared" si="54"/>
        <v>-133415.02000000002</v>
      </c>
      <c r="AB109" s="293">
        <f t="shared" si="54"/>
        <v>86245635.939999998</v>
      </c>
      <c r="AC109" s="293">
        <f t="shared" si="54"/>
        <v>73.340000000000018</v>
      </c>
      <c r="AD109" s="293">
        <f>SUM(AD104:AD108)</f>
        <v>-4576011058.7599993</v>
      </c>
      <c r="AE109" s="293">
        <f>SUM(AE104:AE108)</f>
        <v>-9926455257.0900002</v>
      </c>
      <c r="AF109" s="334">
        <f t="shared" si="54"/>
        <v>38166215846.949997</v>
      </c>
      <c r="AG109" s="335">
        <f>SUM(AG104:AG108)</f>
        <v>0</v>
      </c>
      <c r="AH109" s="1" t="b">
        <f t="shared" si="49"/>
        <v>1</v>
      </c>
      <c r="AI109" s="309"/>
    </row>
    <row r="110" spans="2:36" ht="12" thickBot="1" x14ac:dyDescent="0.3">
      <c r="B110" s="2"/>
      <c r="C110" s="2"/>
      <c r="D110" s="165"/>
      <c r="E110" s="24"/>
      <c r="F110" s="24"/>
      <c r="G110" s="24"/>
      <c r="H110" s="24"/>
      <c r="I110" s="24"/>
      <c r="J110" s="165"/>
      <c r="K110" s="24"/>
      <c r="L110" s="24"/>
      <c r="M110" s="24"/>
      <c r="N110" s="24"/>
      <c r="O110" s="24"/>
      <c r="Q110" s="4"/>
      <c r="S110" s="2"/>
      <c r="T110" s="2"/>
      <c r="U110" s="24"/>
      <c r="V110" s="24"/>
      <c r="W110" s="24"/>
      <c r="X110" s="24"/>
      <c r="Y110" s="24"/>
      <c r="AF110" s="24"/>
      <c r="AI110" s="4"/>
    </row>
    <row r="111" spans="2:36" ht="12" thickBot="1" x14ac:dyDescent="0.3">
      <c r="B111" s="2"/>
      <c r="C111" s="2"/>
      <c r="D111" s="24"/>
      <c r="E111" s="24"/>
      <c r="F111" s="24"/>
      <c r="G111" s="24"/>
      <c r="H111" s="24"/>
      <c r="I111" s="24"/>
      <c r="J111" s="24"/>
      <c r="K111" s="24"/>
      <c r="L111" s="24"/>
      <c r="M111" s="24"/>
      <c r="N111" s="24"/>
      <c r="O111" s="24"/>
      <c r="Q111" s="4"/>
      <c r="Y111" s="86">
        <f>SUM(U109:Y109)</f>
        <v>43516050916.450005</v>
      </c>
      <c r="AD111" s="1" t="s">
        <v>1</v>
      </c>
      <c r="AF111" s="1" t="s">
        <v>1</v>
      </c>
      <c r="AI111" s="4"/>
    </row>
    <row r="112" spans="2:36" ht="12" thickBot="1" x14ac:dyDescent="0.3">
      <c r="B112" s="2"/>
      <c r="C112" s="2"/>
      <c r="D112" s="24" t="s">
        <v>1</v>
      </c>
      <c r="E112" s="33"/>
      <c r="F112" s="33"/>
      <c r="G112" s="33"/>
      <c r="H112" s="33"/>
      <c r="I112" s="24"/>
      <c r="K112" s="24"/>
      <c r="L112" s="24"/>
      <c r="M112" s="24"/>
      <c r="N112" s="24"/>
      <c r="O112" s="24"/>
      <c r="Q112" s="4"/>
      <c r="U112" s="33"/>
      <c r="V112" s="33"/>
      <c r="W112" s="33"/>
      <c r="X112" s="33"/>
      <c r="AA112" s="308"/>
      <c r="AB112" s="308"/>
      <c r="AC112" s="308"/>
      <c r="AI112" s="4"/>
    </row>
    <row r="113" spans="1:35" x14ac:dyDescent="0.25">
      <c r="B113" s="2"/>
      <c r="C113" s="2"/>
      <c r="D113" s="24" t="s">
        <v>1</v>
      </c>
      <c r="E113" s="24" t="s">
        <v>1</v>
      </c>
      <c r="F113" s="24" t="s">
        <v>25</v>
      </c>
      <c r="G113" s="24"/>
      <c r="H113" s="24"/>
      <c r="I113" s="24"/>
      <c r="K113" s="24"/>
      <c r="L113" s="24"/>
      <c r="M113" s="24"/>
      <c r="N113" s="24"/>
      <c r="O113" s="24"/>
      <c r="Q113" s="4"/>
      <c r="U113" s="24" t="s">
        <v>1</v>
      </c>
      <c r="V113" s="24" t="s">
        <v>25</v>
      </c>
      <c r="W113" s="24"/>
      <c r="X113" s="24"/>
      <c r="AI113" s="4"/>
    </row>
    <row r="114" spans="1:35" x14ac:dyDescent="0.25">
      <c r="A114" s="52"/>
      <c r="B114" s="53"/>
      <c r="C114" s="53"/>
      <c r="D114" s="54"/>
      <c r="E114" s="54"/>
      <c r="F114" s="54"/>
      <c r="G114" s="54"/>
      <c r="H114" s="54"/>
      <c r="I114" s="54"/>
      <c r="J114" s="52"/>
      <c r="K114" s="54"/>
      <c r="L114" s="54"/>
      <c r="M114" s="54"/>
      <c r="N114" s="54"/>
      <c r="O114" s="54"/>
      <c r="P114" s="52"/>
      <c r="Q114" s="52"/>
      <c r="R114" s="52"/>
      <c r="S114" s="52"/>
      <c r="T114" s="52"/>
      <c r="U114" s="52"/>
      <c r="V114" s="52"/>
      <c r="W114" s="52"/>
      <c r="X114" s="52"/>
      <c r="Y114" s="52"/>
      <c r="Z114" s="52"/>
      <c r="AA114" s="52"/>
      <c r="AB114" s="52"/>
      <c r="AC114" s="52"/>
      <c r="AD114" s="52"/>
      <c r="AE114" s="52"/>
      <c r="AF114" s="52"/>
      <c r="AG114" s="52"/>
      <c r="AH114" s="52"/>
      <c r="AI114" s="52"/>
    </row>
    <row r="115" spans="1:35" ht="12" thickBot="1" x14ac:dyDescent="0.3">
      <c r="Q115" s="4"/>
    </row>
    <row r="116" spans="1:35" x14ac:dyDescent="0.25">
      <c r="B116" s="5"/>
      <c r="C116" s="3" t="s">
        <v>1</v>
      </c>
      <c r="D116" s="6" t="s">
        <v>1</v>
      </c>
      <c r="E116" s="3"/>
      <c r="F116" s="3"/>
      <c r="G116" s="3"/>
      <c r="H116" s="3" t="s">
        <v>1</v>
      </c>
      <c r="I116" s="3"/>
      <c r="J116" s="3"/>
      <c r="K116" s="3"/>
      <c r="L116" s="3"/>
      <c r="M116" s="3"/>
      <c r="N116" s="3"/>
      <c r="O116" s="7"/>
      <c r="P116" s="2"/>
      <c r="Q116" s="35"/>
    </row>
    <row r="117" spans="1:35" ht="14" x14ac:dyDescent="0.3">
      <c r="B117" s="8"/>
      <c r="C117" s="2"/>
      <c r="D117" s="9"/>
      <c r="F117" s="26" t="s">
        <v>8</v>
      </c>
      <c r="G117" s="26"/>
      <c r="I117" s="26" t="s">
        <v>16</v>
      </c>
      <c r="J117" s="25"/>
      <c r="L117" s="2" t="s">
        <v>15</v>
      </c>
      <c r="M117" s="50">
        <f>N3</f>
        <v>2026071</v>
      </c>
      <c r="O117" s="10"/>
      <c r="P117" s="2"/>
      <c r="Q117" s="4"/>
    </row>
    <row r="118" spans="1:35" ht="15.5" x14ac:dyDescent="0.35">
      <c r="B118" s="8"/>
      <c r="C118" s="2"/>
      <c r="D118" s="57"/>
      <c r="F118" s="36" t="s">
        <v>29</v>
      </c>
      <c r="G118" s="36"/>
      <c r="O118" s="10"/>
      <c r="P118" s="2"/>
      <c r="Q118" s="4"/>
    </row>
    <row r="119" spans="1:35" x14ac:dyDescent="0.25">
      <c r="B119" s="8"/>
      <c r="F119" s="2" t="s">
        <v>30</v>
      </c>
      <c r="G119" s="2"/>
      <c r="M119" s="2" t="s">
        <v>1</v>
      </c>
      <c r="O119" s="10"/>
      <c r="P119" s="2"/>
      <c r="Q119" s="4"/>
    </row>
    <row r="120" spans="1:35" x14ac:dyDescent="0.25">
      <c r="B120" s="8"/>
      <c r="I120" s="2"/>
      <c r="J120" s="2"/>
      <c r="O120" s="10"/>
      <c r="P120" s="2"/>
      <c r="Q120" s="4"/>
    </row>
    <row r="121" spans="1:35" ht="15.5" x14ac:dyDescent="0.35">
      <c r="B121" s="8"/>
      <c r="F121" s="41" t="s">
        <v>37</v>
      </c>
      <c r="G121" s="41"/>
      <c r="H121" s="2"/>
      <c r="J121" s="2"/>
      <c r="O121" s="10"/>
      <c r="P121" s="2"/>
      <c r="Q121" s="4"/>
    </row>
    <row r="122" spans="1:35" x14ac:dyDescent="0.25">
      <c r="B122" s="8"/>
      <c r="F122" s="2" t="s">
        <v>27</v>
      </c>
      <c r="G122" s="9">
        <f>G7</f>
        <v>46204</v>
      </c>
      <c r="J122" s="2" t="s">
        <v>28</v>
      </c>
      <c r="K122" s="9">
        <f>K7</f>
        <v>46218</v>
      </c>
      <c r="O122" s="10"/>
      <c r="P122" s="2"/>
      <c r="Q122" s="4"/>
    </row>
    <row r="123" spans="1:35" ht="12" thickBot="1" x14ac:dyDescent="0.3">
      <c r="B123" s="8"/>
      <c r="C123" s="2" t="s">
        <v>1</v>
      </c>
      <c r="D123" s="2" t="s">
        <v>1</v>
      </c>
      <c r="J123" s="1" t="s">
        <v>1</v>
      </c>
      <c r="O123" s="44"/>
      <c r="P123" s="2"/>
      <c r="Q123" s="4"/>
    </row>
    <row r="124" spans="1:35" ht="46.5" thickBot="1" x14ac:dyDescent="0.3">
      <c r="B124" s="11" t="s">
        <v>3</v>
      </c>
      <c r="C124" s="12" t="s">
        <v>9</v>
      </c>
      <c r="D124" s="12" t="s">
        <v>38</v>
      </c>
      <c r="E124" s="73" t="s">
        <v>48</v>
      </c>
      <c r="G124" s="104" t="s">
        <v>47</v>
      </c>
      <c r="H124" s="73" t="s">
        <v>56</v>
      </c>
      <c r="I124" s="73" t="s">
        <v>130</v>
      </c>
      <c r="J124" s="73" t="s">
        <v>171</v>
      </c>
      <c r="K124" s="73" t="s">
        <v>143</v>
      </c>
      <c r="L124" s="73" t="s">
        <v>144</v>
      </c>
      <c r="O124" s="44"/>
      <c r="P124" s="13"/>
      <c r="Q124" s="4"/>
    </row>
    <row r="125" spans="1:35" x14ac:dyDescent="0.25">
      <c r="B125" s="108">
        <v>1</v>
      </c>
      <c r="C125" s="109" t="s">
        <v>10</v>
      </c>
      <c r="D125" s="110">
        <f>'ANTICIPOS USUARIOS'!I3</f>
        <v>50286069</v>
      </c>
      <c r="E125" s="111">
        <v>0</v>
      </c>
      <c r="G125" s="339">
        <f>D47+N47</f>
        <v>0</v>
      </c>
      <c r="H125" s="313">
        <f>D28+N28</f>
        <v>51962588.360000007</v>
      </c>
      <c r="I125" s="312">
        <f>D85+N85</f>
        <v>0</v>
      </c>
      <c r="J125" s="312">
        <f>D66+N66</f>
        <v>0</v>
      </c>
      <c r="K125" s="312">
        <f>'ANTICIPOS USUARIOS'!I12</f>
        <v>0</v>
      </c>
      <c r="L125" s="312">
        <f>-'ANTICIPOS USUARIOS'!I21</f>
        <v>0</v>
      </c>
      <c r="O125" s="44"/>
      <c r="Q125" s="4"/>
    </row>
    <row r="126" spans="1:35" x14ac:dyDescent="0.25">
      <c r="B126" s="16">
        <v>2</v>
      </c>
      <c r="C126" s="17" t="s">
        <v>11</v>
      </c>
      <c r="D126" s="15">
        <f>'ANTICIPOS USUARIOS'!I4</f>
        <v>47435723</v>
      </c>
      <c r="E126" s="74">
        <v>0</v>
      </c>
      <c r="G126" s="342">
        <f>D48+N48</f>
        <v>0</v>
      </c>
      <c r="H126" s="343">
        <f>D29+N29</f>
        <v>34136584.159999996</v>
      </c>
      <c r="I126" s="291">
        <f>D86+N86</f>
        <v>0</v>
      </c>
      <c r="J126" s="291">
        <f t="shared" ref="J126:J129" si="55">D67+N67</f>
        <v>-9869411</v>
      </c>
      <c r="K126" s="291">
        <f>'ANTICIPOS USUARIOS'!I13</f>
        <v>0</v>
      </c>
      <c r="L126" s="291">
        <f>-'ANTICIPOS USUARIOS'!I22</f>
        <v>48392</v>
      </c>
      <c r="O126" s="44"/>
      <c r="Q126" s="4"/>
    </row>
    <row r="127" spans="1:35" x14ac:dyDescent="0.25">
      <c r="B127" s="16">
        <v>3</v>
      </c>
      <c r="C127" s="17" t="s">
        <v>12</v>
      </c>
      <c r="D127" s="15">
        <f>'ANTICIPOS USUARIOS'!I5</f>
        <v>21042512</v>
      </c>
      <c r="E127" s="74">
        <v>0</v>
      </c>
      <c r="G127" s="342">
        <f>D49+N49</f>
        <v>0</v>
      </c>
      <c r="H127" s="343">
        <f>D30+N30</f>
        <v>30434743.300000001</v>
      </c>
      <c r="I127" s="291">
        <f>D87+N87</f>
        <v>0</v>
      </c>
      <c r="J127" s="291">
        <f t="shared" si="55"/>
        <v>-5571961</v>
      </c>
      <c r="K127" s="291">
        <f>'ANTICIPOS USUARIOS'!I14</f>
        <v>0</v>
      </c>
      <c r="L127" s="291">
        <f>-'ANTICIPOS USUARIOS'!I23</f>
        <v>55841</v>
      </c>
      <c r="O127" s="44"/>
      <c r="Q127" s="4"/>
    </row>
    <row r="128" spans="1:35" x14ac:dyDescent="0.25">
      <c r="B128" s="16">
        <v>4</v>
      </c>
      <c r="C128" s="17" t="s">
        <v>13</v>
      </c>
      <c r="D128" s="15">
        <f>'ANTICIPOS USUARIOS'!I6</f>
        <v>35795695</v>
      </c>
      <c r="E128" s="74">
        <v>0</v>
      </c>
      <c r="G128" s="342">
        <f>D50+N50</f>
        <v>3564150</v>
      </c>
      <c r="H128" s="343">
        <f>D31+N31</f>
        <v>10429855.41</v>
      </c>
      <c r="I128" s="291">
        <f>D88+N88</f>
        <v>0</v>
      </c>
      <c r="J128" s="291">
        <f t="shared" si="55"/>
        <v>-15968186.609999999</v>
      </c>
      <c r="K128" s="291">
        <f>'ANTICIPOS USUARIOS'!I15</f>
        <v>9173160</v>
      </c>
      <c r="L128" s="291">
        <f>-'ANTICIPOS USUARIOS'!I24</f>
        <v>244523.39</v>
      </c>
      <c r="O128" s="44"/>
      <c r="Q128" s="4"/>
    </row>
    <row r="129" spans="1:18" x14ac:dyDescent="0.25">
      <c r="B129" s="133">
        <v>5</v>
      </c>
      <c r="C129" s="138" t="s">
        <v>14</v>
      </c>
      <c r="D129" s="15">
        <f>'ANTICIPOS USUARIOS'!I7</f>
        <v>38409110</v>
      </c>
      <c r="E129" s="139">
        <v>0</v>
      </c>
      <c r="G129" s="342">
        <f>D51+N51</f>
        <v>0</v>
      </c>
      <c r="H129" s="343">
        <f>D32+N32</f>
        <v>30427492.130000003</v>
      </c>
      <c r="I129" s="291">
        <f>D89+N89</f>
        <v>0</v>
      </c>
      <c r="J129" s="291">
        <f t="shared" si="55"/>
        <v>-5470988</v>
      </c>
      <c r="K129" s="291">
        <f>'ANTICIPOS USUARIOS'!I16</f>
        <v>0</v>
      </c>
      <c r="L129" s="291">
        <f>-'ANTICIPOS USUARIOS'!I25</f>
        <v>0</v>
      </c>
      <c r="O129" s="44"/>
      <c r="Q129" s="4"/>
    </row>
    <row r="130" spans="1:18" ht="12" thickBot="1" x14ac:dyDescent="0.3">
      <c r="B130" s="19" t="s">
        <v>89</v>
      </c>
      <c r="C130" s="20" t="s">
        <v>113</v>
      </c>
      <c r="D130" s="78"/>
      <c r="E130" s="79">
        <f>'Recaudo ENEL'!D26</f>
        <v>0</v>
      </c>
      <c r="G130" s="349"/>
      <c r="H130" s="350"/>
      <c r="I130" s="292"/>
      <c r="J130" s="292"/>
      <c r="K130" s="292"/>
      <c r="L130" s="292"/>
      <c r="O130" s="44"/>
      <c r="Q130" s="4"/>
    </row>
    <row r="131" spans="1:18" ht="12" thickBot="1" x14ac:dyDescent="0.3">
      <c r="B131" s="95"/>
      <c r="C131" s="106" t="s">
        <v>2</v>
      </c>
      <c r="D131" s="107">
        <f>SUM(D125:D130)</f>
        <v>192969109</v>
      </c>
      <c r="E131" s="107">
        <f>SUM(E125:E130)</f>
        <v>0</v>
      </c>
      <c r="F131" s="45"/>
      <c r="G131" s="353">
        <f t="shared" ref="G131" si="56">SUM(G125:G129)</f>
        <v>3564150</v>
      </c>
      <c r="H131" s="353">
        <f>SUM(H125:H130)</f>
        <v>157391263.36000001</v>
      </c>
      <c r="I131" s="353">
        <f>SUM(I125:I130)</f>
        <v>0</v>
      </c>
      <c r="J131" s="353">
        <f>SUM(J125:J130)</f>
        <v>-36880546.609999999</v>
      </c>
      <c r="K131" s="353">
        <f>SUM(K125:K130)</f>
        <v>9173160</v>
      </c>
      <c r="L131" s="353">
        <f>SUM(L125:L130)</f>
        <v>348756.39</v>
      </c>
      <c r="M131" s="45"/>
      <c r="N131" s="45"/>
      <c r="O131" s="46"/>
      <c r="P131" s="2"/>
      <c r="Q131" s="4"/>
    </row>
    <row r="132" spans="1:18" x14ac:dyDescent="0.25">
      <c r="B132" s="2"/>
      <c r="C132" s="2"/>
      <c r="D132" s="24"/>
      <c r="Q132" s="4"/>
    </row>
    <row r="133" spans="1:18" x14ac:dyDescent="0.25">
      <c r="B133" s="2"/>
      <c r="C133" s="2"/>
      <c r="D133" s="24"/>
      <c r="L133" s="1" t="s">
        <v>1</v>
      </c>
      <c r="Q133" s="4"/>
    </row>
    <row r="134" spans="1:18" ht="12" thickBot="1" x14ac:dyDescent="0.3">
      <c r="B134" s="2"/>
      <c r="C134" s="2"/>
      <c r="D134" s="24"/>
      <c r="E134" s="33"/>
      <c r="F134" s="33"/>
      <c r="G134" s="33"/>
      <c r="H134" s="33"/>
      <c r="I134" s="24"/>
      <c r="K134" s="24"/>
      <c r="L134" s="24" t="s">
        <v>1</v>
      </c>
      <c r="M134" s="24" t="s">
        <v>1</v>
      </c>
      <c r="N134" s="24"/>
      <c r="O134" s="24"/>
      <c r="Q134" s="4"/>
    </row>
    <row r="135" spans="1:18" x14ac:dyDescent="0.25">
      <c r="B135" s="2"/>
      <c r="C135" s="2"/>
      <c r="D135" s="24"/>
      <c r="E135" s="24" t="s">
        <v>1</v>
      </c>
      <c r="F135" s="42" t="s">
        <v>36</v>
      </c>
      <c r="G135" s="42"/>
      <c r="H135" s="42"/>
      <c r="I135" s="24"/>
      <c r="K135" s="24"/>
      <c r="L135" s="24"/>
      <c r="M135" s="24"/>
      <c r="N135" s="24"/>
      <c r="O135" s="24"/>
      <c r="Q135" s="4"/>
    </row>
    <row r="136" spans="1:18" x14ac:dyDescent="0.25">
      <c r="A136" s="52"/>
      <c r="B136" s="53"/>
      <c r="C136" s="53"/>
      <c r="D136" s="54"/>
      <c r="E136" s="54"/>
      <c r="F136" s="54"/>
      <c r="G136" s="54"/>
      <c r="H136" s="54"/>
      <c r="I136" s="54"/>
      <c r="J136" s="52"/>
      <c r="K136" s="54"/>
      <c r="L136" s="54"/>
      <c r="M136" s="54"/>
      <c r="N136" s="54"/>
      <c r="O136" s="54"/>
      <c r="P136" s="52"/>
      <c r="Q136" s="4"/>
    </row>
    <row r="137" spans="1:18" x14ac:dyDescent="0.25">
      <c r="B137" s="2"/>
      <c r="C137" s="2"/>
      <c r="D137" s="24"/>
      <c r="E137" s="24"/>
      <c r="F137" s="24"/>
      <c r="G137" s="24"/>
      <c r="H137" s="24"/>
      <c r="I137" s="24"/>
      <c r="K137" s="24"/>
      <c r="L137" s="24"/>
      <c r="M137" s="24"/>
      <c r="N137" s="24"/>
      <c r="O137" s="24"/>
      <c r="Q137" s="4"/>
    </row>
    <row r="138" spans="1:18" x14ac:dyDescent="0.25">
      <c r="B138" s="2"/>
      <c r="C138" s="59" t="s">
        <v>49</v>
      </c>
      <c r="D138" s="64"/>
      <c r="E138" s="24"/>
      <c r="F138" s="24"/>
      <c r="G138" s="24"/>
      <c r="H138" s="24"/>
      <c r="I138" s="24"/>
      <c r="K138" s="24"/>
      <c r="L138" s="24"/>
      <c r="M138" s="24"/>
      <c r="N138" s="24"/>
      <c r="O138" s="24"/>
      <c r="Q138" s="35"/>
    </row>
    <row r="139" spans="1:18" x14ac:dyDescent="0.25">
      <c r="B139" s="2"/>
      <c r="C139" s="2"/>
      <c r="D139" s="24"/>
      <c r="E139" s="24"/>
      <c r="F139" s="24"/>
      <c r="G139" s="24"/>
      <c r="H139" s="24"/>
      <c r="I139" s="24"/>
      <c r="K139" s="24"/>
      <c r="L139" s="24"/>
      <c r="M139" s="24"/>
      <c r="N139" s="24"/>
      <c r="O139" s="24"/>
      <c r="Q139" s="35"/>
    </row>
    <row r="140" spans="1:18" ht="18.75" customHeight="1" thickBot="1" x14ac:dyDescent="0.3">
      <c r="B140" s="2"/>
      <c r="C140" s="2"/>
      <c r="D140" s="24"/>
      <c r="E140" s="24"/>
      <c r="F140" s="24"/>
      <c r="G140" s="24"/>
      <c r="H140" s="24"/>
      <c r="J140" s="24"/>
      <c r="K140" s="24"/>
      <c r="M140" s="24"/>
      <c r="N140" s="24"/>
      <c r="O140" s="24"/>
      <c r="P140" s="24"/>
      <c r="Q140" s="35"/>
    </row>
    <row r="141" spans="1:18" ht="46.5" thickBot="1" x14ac:dyDescent="0.3">
      <c r="B141" s="104" t="s">
        <v>3</v>
      </c>
      <c r="C141" s="105" t="s">
        <v>9</v>
      </c>
      <c r="D141" s="105" t="s">
        <v>44</v>
      </c>
      <c r="E141" s="105" t="s">
        <v>45</v>
      </c>
      <c r="F141" s="105" t="s">
        <v>31</v>
      </c>
      <c r="G141" s="105" t="s">
        <v>91</v>
      </c>
      <c r="H141" s="105" t="s">
        <v>128</v>
      </c>
      <c r="I141" s="105" t="s">
        <v>127</v>
      </c>
      <c r="J141" s="105" t="s">
        <v>47</v>
      </c>
      <c r="K141" s="105" t="s">
        <v>51</v>
      </c>
      <c r="L141" s="1" t="s">
        <v>1</v>
      </c>
      <c r="M141" s="56"/>
      <c r="N141" s="56"/>
      <c r="O141" s="56"/>
      <c r="P141" s="24"/>
      <c r="Q141" s="35"/>
      <c r="R141" s="24"/>
    </row>
    <row r="142" spans="1:18" x14ac:dyDescent="0.25">
      <c r="B142" s="108">
        <v>1</v>
      </c>
      <c r="C142" s="109" t="s">
        <v>10</v>
      </c>
      <c r="D142" s="110">
        <f>D104+N104+D125+E125</f>
        <v>16296766106.360001</v>
      </c>
      <c r="E142" s="110">
        <f>'Recaudo ENEL'!D21</f>
        <v>16244803518</v>
      </c>
      <c r="F142" s="110">
        <f>D28+N28</f>
        <v>51962588.360000007</v>
      </c>
      <c r="G142" s="110">
        <f>D66+N66</f>
        <v>0</v>
      </c>
      <c r="H142" s="110">
        <f>D85+N85</f>
        <v>0</v>
      </c>
      <c r="I142" s="110">
        <f>('REPORTE RECAUDO x BANCO'!E62)</f>
        <v>0</v>
      </c>
      <c r="J142" s="110">
        <f t="shared" ref="J142:K146" si="57">G125</f>
        <v>0</v>
      </c>
      <c r="K142" s="111">
        <f t="shared" si="57"/>
        <v>51962588.360000007</v>
      </c>
      <c r="L142" s="528">
        <f>D142-E142-F142-G142-J142-H142-I142</f>
        <v>6.0349702835083008E-7</v>
      </c>
      <c r="M142" s="1" t="b">
        <f>INT(L142)=0</f>
        <v>1</v>
      </c>
      <c r="O142" s="55"/>
      <c r="P142" s="24"/>
      <c r="Q142" s="35"/>
      <c r="R142" s="24"/>
    </row>
    <row r="143" spans="1:18" x14ac:dyDescent="0.25">
      <c r="B143" s="16">
        <v>2</v>
      </c>
      <c r="C143" s="17" t="s">
        <v>11</v>
      </c>
      <c r="D143" s="18">
        <f>D105+N105+D126+E126</f>
        <v>11857478085.159998</v>
      </c>
      <c r="E143" s="18">
        <f>'Recaudo ENEL'!D22</f>
        <v>11832813662</v>
      </c>
      <c r="F143" s="18">
        <f>D29+N29</f>
        <v>34136584.159999996</v>
      </c>
      <c r="G143" s="18">
        <f>D67+N67</f>
        <v>-9869411</v>
      </c>
      <c r="H143" s="18">
        <f>D86+N86</f>
        <v>0</v>
      </c>
      <c r="I143" s="18">
        <f>('REPORTE RECAUDO x BANCO'!E65)</f>
        <v>397250</v>
      </c>
      <c r="J143" s="18">
        <f t="shared" si="57"/>
        <v>0</v>
      </c>
      <c r="K143" s="83">
        <f t="shared" si="57"/>
        <v>34136584.159999996</v>
      </c>
      <c r="L143" s="528">
        <f>D143-E143-F143-G143-J143-H143-I143</f>
        <v>-2.0563602447509766E-6</v>
      </c>
      <c r="M143" s="1" t="b">
        <f t="shared" ref="M143:M147" si="58">INT(L143)=0</f>
        <v>0</v>
      </c>
      <c r="O143" s="130"/>
      <c r="P143" s="24"/>
      <c r="Q143" s="35"/>
      <c r="R143" s="24"/>
    </row>
    <row r="144" spans="1:18" x14ac:dyDescent="0.25">
      <c r="B144" s="16">
        <v>3</v>
      </c>
      <c r="C144" s="17" t="s">
        <v>12</v>
      </c>
      <c r="D144" s="18">
        <f>D106+N106+D127+E127</f>
        <v>9710082243.2999992</v>
      </c>
      <c r="E144" s="18">
        <f>'Recaudo ENEL'!D23</f>
        <v>9684971351</v>
      </c>
      <c r="F144" s="18">
        <f>D30+N30</f>
        <v>30434743.300000001</v>
      </c>
      <c r="G144" s="18">
        <f>D68+N68</f>
        <v>-5571961</v>
      </c>
      <c r="H144" s="18">
        <f>D87+N87</f>
        <v>0</v>
      </c>
      <c r="I144" s="18">
        <f>('REPORTE RECAUDO x BANCO'!E67)</f>
        <v>248110</v>
      </c>
      <c r="J144" s="18">
        <f t="shared" si="57"/>
        <v>0</v>
      </c>
      <c r="K144" s="83">
        <f t="shared" si="57"/>
        <v>30434743.300000001</v>
      </c>
      <c r="L144" s="528">
        <f>D144-E144-F144-G144-J144-H144-I144</f>
        <v>-7.6368451118469238E-7</v>
      </c>
      <c r="M144" s="1" t="b">
        <f t="shared" si="58"/>
        <v>0</v>
      </c>
      <c r="O144" s="55"/>
      <c r="P144" s="24"/>
      <c r="Q144" s="35"/>
      <c r="R144" s="24"/>
    </row>
    <row r="145" spans="1:20" x14ac:dyDescent="0.25">
      <c r="B145" s="16">
        <v>4</v>
      </c>
      <c r="C145" s="17" t="s">
        <v>13</v>
      </c>
      <c r="D145" s="18">
        <f>D107+N107+D128+E128</f>
        <v>10374720200.799999</v>
      </c>
      <c r="E145" s="18">
        <f>'Recaudo ENEL'!D24</f>
        <v>10376117592</v>
      </c>
      <c r="F145" s="18">
        <f>D31+N31</f>
        <v>10429855.41</v>
      </c>
      <c r="G145" s="18">
        <f>D69+N69</f>
        <v>-15968186.609999999</v>
      </c>
      <c r="H145" s="18">
        <f>D88+N88</f>
        <v>0</v>
      </c>
      <c r="I145" s="18">
        <f>('REPORTE RECAUDO x BANCO'!E70)</f>
        <v>576790</v>
      </c>
      <c r="J145" s="18">
        <f t="shared" si="57"/>
        <v>3564150</v>
      </c>
      <c r="K145" s="83">
        <f t="shared" si="57"/>
        <v>10429855.41</v>
      </c>
      <c r="L145" s="528">
        <f>D145-E145-F145-G145-J145-H145-I145</f>
        <v>-7.6368451118469238E-7</v>
      </c>
      <c r="M145" s="1" t="b">
        <f t="shared" si="58"/>
        <v>0</v>
      </c>
      <c r="O145" s="96"/>
      <c r="P145" s="24"/>
      <c r="Q145" s="35"/>
      <c r="R145" s="24"/>
    </row>
    <row r="146" spans="1:20" ht="12" thickBot="1" x14ac:dyDescent="0.3">
      <c r="B146" s="133">
        <v>5</v>
      </c>
      <c r="C146" s="138" t="s">
        <v>14</v>
      </c>
      <c r="D146" s="134">
        <f>D108+N108+D129+E129</f>
        <v>8303934163.1300001</v>
      </c>
      <c r="E146" s="18">
        <f>'Recaudo ENEL'!D25</f>
        <v>8278212539</v>
      </c>
      <c r="F146" s="134">
        <f>D32+N32</f>
        <v>30427492.130000003</v>
      </c>
      <c r="G146" s="134">
        <f>D70+N70</f>
        <v>-5470988</v>
      </c>
      <c r="H146" s="134">
        <f>D89+N89</f>
        <v>0</v>
      </c>
      <c r="I146" s="134">
        <f>('REPORTE RECAUDO x BANCO'!E72)</f>
        <v>765120</v>
      </c>
      <c r="J146" s="134">
        <f t="shared" si="57"/>
        <v>0</v>
      </c>
      <c r="K146" s="136">
        <f t="shared" si="57"/>
        <v>30427492.130000003</v>
      </c>
      <c r="L146" s="528">
        <f>D146-E146-F146-G146-J146-H146-I146</f>
        <v>1.1175870895385742E-7</v>
      </c>
      <c r="M146" s="1" t="b">
        <f t="shared" si="58"/>
        <v>1</v>
      </c>
      <c r="O146" s="55"/>
      <c r="P146" s="24"/>
      <c r="Q146" s="35"/>
      <c r="R146" s="24"/>
    </row>
    <row r="147" spans="1:20" ht="12" thickBot="1" x14ac:dyDescent="0.3">
      <c r="B147" s="21"/>
      <c r="C147" s="22" t="s">
        <v>2</v>
      </c>
      <c r="D147" s="47">
        <f>SUM(D142:D146)</f>
        <v>56542980798.749992</v>
      </c>
      <c r="E147" s="47">
        <f>SUM(E142:E146)</f>
        <v>56416918662</v>
      </c>
      <c r="F147" s="47">
        <f t="shared" ref="F147:K147" si="59">SUM(F142:F146)</f>
        <v>157391263.36000001</v>
      </c>
      <c r="G147" s="47">
        <f t="shared" si="59"/>
        <v>-36880546.609999999</v>
      </c>
      <c r="H147" s="47">
        <f t="shared" si="59"/>
        <v>0</v>
      </c>
      <c r="I147" s="47">
        <f t="shared" si="59"/>
        <v>1987270</v>
      </c>
      <c r="J147" s="47">
        <f t="shared" si="59"/>
        <v>3564150</v>
      </c>
      <c r="K147" s="47">
        <f t="shared" si="59"/>
        <v>157391263.36000001</v>
      </c>
      <c r="L147" s="528">
        <f>SUM(L142:L146)</f>
        <v>-2.8684735298156738E-6</v>
      </c>
      <c r="M147" s="1" t="b">
        <f t="shared" si="58"/>
        <v>0</v>
      </c>
      <c r="P147" s="24"/>
      <c r="Q147" s="35"/>
      <c r="R147" s="24"/>
    </row>
    <row r="148" spans="1:20" x14ac:dyDescent="0.25">
      <c r="B148" s="2"/>
      <c r="H148" s="55"/>
      <c r="L148" s="24"/>
      <c r="M148" s="24"/>
      <c r="N148" s="24"/>
      <c r="O148" s="24"/>
      <c r="P148" s="24"/>
      <c r="Q148" s="35"/>
    </row>
    <row r="149" spans="1:20" ht="21.75" customHeight="1" x14ac:dyDescent="0.25">
      <c r="B149" s="2"/>
      <c r="C149" s="2"/>
      <c r="D149" s="24"/>
      <c r="F149" s="24"/>
      <c r="G149" s="24"/>
      <c r="H149" s="24"/>
      <c r="I149" s="24"/>
      <c r="K149" s="24"/>
      <c r="L149" s="24"/>
      <c r="M149" s="24"/>
      <c r="N149" s="24"/>
      <c r="O149" s="24"/>
      <c r="Q149" s="35"/>
    </row>
    <row r="150" spans="1:20" x14ac:dyDescent="0.25">
      <c r="B150" s="2"/>
      <c r="C150" s="2"/>
      <c r="D150" s="24"/>
      <c r="E150" s="24"/>
      <c r="F150" s="24"/>
      <c r="G150" s="24"/>
      <c r="H150" s="24"/>
      <c r="I150" s="24"/>
      <c r="J150" s="55"/>
      <c r="K150" s="24"/>
      <c r="L150" s="24"/>
      <c r="M150" s="24"/>
      <c r="N150" s="24"/>
      <c r="O150" s="24"/>
      <c r="Q150" s="35"/>
    </row>
    <row r="151" spans="1:20" x14ac:dyDescent="0.25">
      <c r="A151" s="52"/>
      <c r="B151" s="53"/>
      <c r="C151" s="53"/>
      <c r="D151" s="54"/>
      <c r="E151" s="54"/>
      <c r="F151" s="54"/>
      <c r="G151" s="54"/>
      <c r="H151" s="54"/>
      <c r="I151" s="54"/>
      <c r="J151" s="52"/>
      <c r="K151" s="54"/>
      <c r="L151" s="54"/>
      <c r="M151" s="54"/>
      <c r="N151" s="54"/>
      <c r="O151" s="54"/>
      <c r="P151" s="52"/>
      <c r="Q151" s="54"/>
      <c r="T151" s="24"/>
    </row>
    <row r="152" spans="1:20" x14ac:dyDescent="0.25">
      <c r="N152" s="24"/>
      <c r="O152" s="24"/>
      <c r="Q152" s="24"/>
      <c r="T152" s="24"/>
    </row>
    <row r="153" spans="1:20" x14ac:dyDescent="0.25">
      <c r="E153" s="652"/>
      <c r="N153" s="24"/>
      <c r="O153" s="24"/>
      <c r="Q153" s="24"/>
      <c r="T153" s="24"/>
    </row>
    <row r="154" spans="1:20" x14ac:dyDescent="0.25">
      <c r="N154" s="24"/>
      <c r="O154" s="24"/>
      <c r="Q154" s="24"/>
      <c r="T154" s="24"/>
    </row>
    <row r="155" spans="1:20" x14ac:dyDescent="0.25">
      <c r="Q155" s="24"/>
      <c r="T155" s="24"/>
    </row>
    <row r="156" spans="1:20" x14ac:dyDescent="0.25">
      <c r="Q156" s="24"/>
    </row>
  </sheetData>
  <conditionalFormatting sqref="L142:L147">
    <cfRule type="expression" dxfId="51" priority="18">
      <formula>$L$142&lt;&gt;0</formula>
    </cfRule>
  </conditionalFormatting>
  <conditionalFormatting sqref="M142:M147">
    <cfRule type="cellIs" dxfId="50" priority="1" operator="notEqual">
      <formula>TRUE</formula>
    </cfRule>
  </conditionalFormatting>
  <conditionalFormatting sqref="AH9:AH14">
    <cfRule type="cellIs" dxfId="49" priority="7" operator="notEqual">
      <formula>TRUE</formula>
    </cfRule>
  </conditionalFormatting>
  <conditionalFormatting sqref="AH28:AH33">
    <cfRule type="cellIs" dxfId="48" priority="6" operator="notEqual">
      <formula>TRUE</formula>
    </cfRule>
  </conditionalFormatting>
  <conditionalFormatting sqref="AH47:AH52">
    <cfRule type="cellIs" dxfId="47" priority="5" operator="notEqual">
      <formula>TRUE</formula>
    </cfRule>
  </conditionalFormatting>
  <conditionalFormatting sqref="AH66:AH71">
    <cfRule type="cellIs" dxfId="46" priority="4" operator="notEqual">
      <formula>TRUE</formula>
    </cfRule>
  </conditionalFormatting>
  <conditionalFormatting sqref="AH85:AH90">
    <cfRule type="cellIs" dxfId="45" priority="3" operator="notEqual">
      <formula>TRUE</formula>
    </cfRule>
  </conditionalFormatting>
  <conditionalFormatting sqref="AH104:AH109">
    <cfRule type="cellIs" dxfId="44" priority="2" operator="notEqual">
      <formula>TRUE</formula>
    </cfRule>
  </conditionalFormatting>
  <printOptions horizontalCentered="1" verticalCentered="1"/>
  <pageMargins left="0.55118110236220474" right="0.74803149606299213" top="0.98425196850393704" bottom="0.78740157480314965" header="0" footer="0"/>
  <pageSetup scale="19" orientation="landscape" r:id="rId1"/>
  <headerFooter alignWithMargins="0"/>
  <ignoredErrors>
    <ignoredError sqref="AD104:AD105" formula="1"/>
  </ignoredErrors>
  <drawing r:id="rId2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tabColor rgb="FFFF0000"/>
  </sheetPr>
  <dimension ref="B1:P16"/>
  <sheetViews>
    <sheetView zoomScale="90" zoomScaleNormal="90" workbookViewId="0">
      <selection activeCell="J8" sqref="J8"/>
    </sheetView>
  </sheetViews>
  <sheetFormatPr baseColWidth="10" defaultRowHeight="12.5" x14ac:dyDescent="0.25"/>
  <cols>
    <col min="1" max="1" width="3" customWidth="1"/>
    <col min="2" max="2" width="4.26953125" bestFit="1" customWidth="1"/>
    <col min="3" max="3" width="16.7265625" customWidth="1"/>
    <col min="4" max="4" width="14.26953125" customWidth="1"/>
    <col min="5" max="7" width="17.7265625" customWidth="1"/>
    <col min="8" max="8" width="18.26953125" customWidth="1"/>
    <col min="9" max="9" width="15.7265625" customWidth="1"/>
    <col min="10" max="10" width="16.453125" customWidth="1"/>
    <col min="11" max="11" width="15.7265625" customWidth="1"/>
    <col min="12" max="13" width="18.26953125" customWidth="1"/>
    <col min="14" max="14" width="15.7265625" customWidth="1"/>
    <col min="15" max="15" width="14.26953125" customWidth="1"/>
    <col min="16" max="16" width="14.453125" customWidth="1"/>
  </cols>
  <sheetData>
    <row r="1" spans="2:16" ht="13" thickBot="1" x14ac:dyDescent="0.3"/>
    <row r="2" spans="2:16" ht="35" thickBot="1" x14ac:dyDescent="0.3">
      <c r="B2" s="11" t="s">
        <v>3</v>
      </c>
      <c r="C2" s="28" t="s">
        <v>55</v>
      </c>
      <c r="D2" s="28" t="s">
        <v>50</v>
      </c>
      <c r="E2" s="28" t="s">
        <v>57</v>
      </c>
      <c r="F2" s="28" t="s">
        <v>129</v>
      </c>
      <c r="G2" s="28" t="s">
        <v>130</v>
      </c>
      <c r="H2" s="131" t="s">
        <v>52</v>
      </c>
      <c r="I2" s="12" t="s">
        <v>58</v>
      </c>
      <c r="J2" s="12" t="s">
        <v>59</v>
      </c>
      <c r="K2" s="12" t="s">
        <v>53</v>
      </c>
      <c r="L2" s="27" t="s">
        <v>60</v>
      </c>
      <c r="M2" s="65" t="s">
        <v>92</v>
      </c>
      <c r="N2" s="132" t="s">
        <v>54</v>
      </c>
    </row>
    <row r="3" spans="2:16" s="358" customFormat="1" x14ac:dyDescent="0.25">
      <c r="B3" s="306">
        <v>1</v>
      </c>
      <c r="C3" s="295">
        <f>'Recaudo ENEL'!D21</f>
        <v>16244803518</v>
      </c>
      <c r="D3" s="295">
        <f>REMUNERACION_ENEL!G125</f>
        <v>0</v>
      </c>
      <c r="E3" s="295">
        <f>REMUNERACION_ENEL!D28+REMUNERACION_ENEL!N28</f>
        <v>51962588.360000007</v>
      </c>
      <c r="F3" s="295">
        <f>REMUNERACION_ENEL!I142</f>
        <v>0</v>
      </c>
      <c r="G3" s="295">
        <f>REMUNERACION_ENEL!H142</f>
        <v>0</v>
      </c>
      <c r="H3" s="343">
        <f>SUM(C3:G3)</f>
        <v>16296766106.360001</v>
      </c>
      <c r="I3" s="294">
        <f>REMUNERACION_ENEL!D104</f>
        <v>16232100830.950001</v>
      </c>
      <c r="J3" s="295">
        <f>REMUNERACION_ENEL!N104</f>
        <v>14379206.41</v>
      </c>
      <c r="K3" s="295">
        <f>REMUNERACION_ENEL!D125</f>
        <v>50286069</v>
      </c>
      <c r="L3" s="356">
        <f>REMUNERACION_ENEL!E125</f>
        <v>0</v>
      </c>
      <c r="M3" s="295">
        <f>-REMUNERACION_ENEL!D66-REMUNERACION_ENEL!N66</f>
        <v>0</v>
      </c>
      <c r="N3" s="291">
        <f>SUM(I3:M3)</f>
        <v>16296766106.360001</v>
      </c>
      <c r="O3" s="357">
        <f t="shared" ref="O3:O8" si="0">H3-N3</f>
        <v>0</v>
      </c>
      <c r="P3" s="1" t="b">
        <f>INT(O3)=0</f>
        <v>1</v>
      </c>
    </row>
    <row r="4" spans="2:16" s="358" customFormat="1" x14ac:dyDescent="0.25">
      <c r="B4" s="317">
        <v>2</v>
      </c>
      <c r="C4" s="320">
        <f>'Recaudo ENEL'!D22</f>
        <v>11832813662</v>
      </c>
      <c r="D4" s="295">
        <f>REMUNERACION_ENEL!G126</f>
        <v>0</v>
      </c>
      <c r="E4" s="295">
        <f>REMUNERACION_ENEL!D29+REMUNERACION_ENEL!N29</f>
        <v>34136584.159999996</v>
      </c>
      <c r="F4" s="295">
        <f>REMUNERACION_ENEL!I143</f>
        <v>397250</v>
      </c>
      <c r="G4" s="295">
        <f>REMUNERACION_ENEL!H143</f>
        <v>0</v>
      </c>
      <c r="H4" s="343">
        <f t="shared" ref="H4:H8" si="1">SUM(C4:G4)</f>
        <v>11867347496.16</v>
      </c>
      <c r="I4" s="294">
        <f>REMUNERACION_ENEL!D105</f>
        <v>11786725243.449999</v>
      </c>
      <c r="J4" s="295">
        <f>REMUNERACION_ENEL!N105</f>
        <v>23317118.710000001</v>
      </c>
      <c r="K4" s="295">
        <f>REMUNERACION_ENEL!D126</f>
        <v>47435723</v>
      </c>
      <c r="L4" s="356">
        <f>REMUNERACION_ENEL!E126</f>
        <v>0</v>
      </c>
      <c r="M4" s="295">
        <f>-REMUNERACION_ENEL!D67-REMUNERACION_ENEL!N67</f>
        <v>9869411</v>
      </c>
      <c r="N4" s="321">
        <f>SUM(I4:M4)</f>
        <v>11867347496.159998</v>
      </c>
      <c r="O4" s="357">
        <f t="shared" si="0"/>
        <v>0</v>
      </c>
      <c r="P4" s="1" t="b">
        <f t="shared" ref="P4:P9" si="2">INT(O4)=0</f>
        <v>1</v>
      </c>
    </row>
    <row r="5" spans="2:16" s="358" customFormat="1" x14ac:dyDescent="0.25">
      <c r="B5" s="317">
        <v>3</v>
      </c>
      <c r="C5" s="320">
        <f>'Recaudo ENEL'!D23</f>
        <v>9684971351</v>
      </c>
      <c r="D5" s="295">
        <f>REMUNERACION_ENEL!G127</f>
        <v>0</v>
      </c>
      <c r="E5" s="295">
        <f>REMUNERACION_ENEL!D30+REMUNERACION_ENEL!N30</f>
        <v>30434743.300000001</v>
      </c>
      <c r="F5" s="295">
        <f>REMUNERACION_ENEL!I144</f>
        <v>248110</v>
      </c>
      <c r="G5" s="295">
        <f>REMUNERACION_ENEL!H144</f>
        <v>0</v>
      </c>
      <c r="H5" s="343">
        <f t="shared" si="1"/>
        <v>9715654204.2999992</v>
      </c>
      <c r="I5" s="294">
        <f>REMUNERACION_ENEL!D106</f>
        <v>9673573573.9799995</v>
      </c>
      <c r="J5" s="295">
        <f>REMUNERACION_ENEL!N106</f>
        <v>15466157.32</v>
      </c>
      <c r="K5" s="295">
        <f>REMUNERACION_ENEL!D127</f>
        <v>21042512</v>
      </c>
      <c r="L5" s="356">
        <f>REMUNERACION_ENEL!E127</f>
        <v>0</v>
      </c>
      <c r="M5" s="295">
        <f>-REMUNERACION_ENEL!D68-REMUNERACION_ENEL!N68</f>
        <v>5571961</v>
      </c>
      <c r="N5" s="321">
        <f>SUM(I5:M5)</f>
        <v>9715654204.2999992</v>
      </c>
      <c r="O5" s="357">
        <f>H5-N5</f>
        <v>0</v>
      </c>
      <c r="P5" s="1" t="b">
        <f t="shared" si="2"/>
        <v>1</v>
      </c>
    </row>
    <row r="6" spans="2:16" s="358" customFormat="1" x14ac:dyDescent="0.25">
      <c r="B6" s="317">
        <v>4</v>
      </c>
      <c r="C6" s="320">
        <f>'Recaudo ENEL'!D24</f>
        <v>10376117592</v>
      </c>
      <c r="D6" s="295">
        <f>REMUNERACION_ENEL!G128</f>
        <v>3564150</v>
      </c>
      <c r="E6" s="295">
        <f>REMUNERACION_ENEL!D31+REMUNERACION_ENEL!N31</f>
        <v>10429855.41</v>
      </c>
      <c r="F6" s="295">
        <f>REMUNERACION_ENEL!I145</f>
        <v>576790</v>
      </c>
      <c r="G6" s="295">
        <f>REMUNERACION_ENEL!H145</f>
        <v>0</v>
      </c>
      <c r="H6" s="343">
        <f t="shared" si="1"/>
        <v>10390688387.41</v>
      </c>
      <c r="I6" s="294">
        <f>REMUNERACION_ENEL!D107</f>
        <v>10316982159.119999</v>
      </c>
      <c r="J6" s="295">
        <f>REMUNERACION_ENEL!N107</f>
        <v>21942346.68</v>
      </c>
      <c r="K6" s="295">
        <f>REMUNERACION_ENEL!D128</f>
        <v>35795695</v>
      </c>
      <c r="L6" s="356">
        <f>REMUNERACION_ENEL!E128</f>
        <v>0</v>
      </c>
      <c r="M6" s="295">
        <f>-REMUNERACION_ENEL!D69-REMUNERACION_ENEL!N69</f>
        <v>15968186.609999999</v>
      </c>
      <c r="N6" s="321">
        <f t="shared" ref="N6:N7" si="3">SUM(I6:M6)</f>
        <v>10390688387.41</v>
      </c>
      <c r="O6" s="357">
        <f t="shared" si="0"/>
        <v>0</v>
      </c>
      <c r="P6" s="1" t="b">
        <f t="shared" si="2"/>
        <v>1</v>
      </c>
    </row>
    <row r="7" spans="2:16" s="358" customFormat="1" x14ac:dyDescent="0.25">
      <c r="B7" s="317">
        <v>5</v>
      </c>
      <c r="C7" s="320">
        <f>'Recaudo ENEL'!D25</f>
        <v>8278212539</v>
      </c>
      <c r="D7" s="295">
        <f>REMUNERACION_ENEL!G129</f>
        <v>0</v>
      </c>
      <c r="E7" s="295">
        <f>REMUNERACION_ENEL!D32+REMUNERACION_ENEL!N32</f>
        <v>30427492.130000003</v>
      </c>
      <c r="F7" s="295">
        <f>REMUNERACION_ENEL!I146</f>
        <v>765120</v>
      </c>
      <c r="G7" s="295">
        <f>REMUNERACION_ENEL!H146</f>
        <v>0</v>
      </c>
      <c r="H7" s="343">
        <f t="shared" si="1"/>
        <v>8309405151.1300001</v>
      </c>
      <c r="I7" s="294">
        <f>REMUNERACION_ENEL!D108</f>
        <v>8254384246.3100004</v>
      </c>
      <c r="J7" s="295">
        <f>REMUNERACION_ENEL!N108</f>
        <v>11140806.82</v>
      </c>
      <c r="K7" s="295">
        <f>REMUNERACION_ENEL!D129</f>
        <v>38409110</v>
      </c>
      <c r="L7" s="356">
        <f>REMUNERACION_ENEL!E129</f>
        <v>0</v>
      </c>
      <c r="M7" s="295">
        <f>-REMUNERACION_ENEL!D70-REMUNERACION_ENEL!N70</f>
        <v>5470988</v>
      </c>
      <c r="N7" s="321">
        <f t="shared" si="3"/>
        <v>8309405151.1300001</v>
      </c>
      <c r="O7" s="357">
        <f>H7-N7</f>
        <v>0</v>
      </c>
      <c r="P7" s="1" t="b">
        <f t="shared" si="2"/>
        <v>1</v>
      </c>
    </row>
    <row r="8" spans="2:16" s="358" customFormat="1" ht="13" thickBot="1" x14ac:dyDescent="0.3">
      <c r="B8" s="344" t="s">
        <v>89</v>
      </c>
      <c r="C8" s="320">
        <f>'Recaudo ENEL'!D26</f>
        <v>0</v>
      </c>
      <c r="D8" s="359">
        <v>0</v>
      </c>
      <c r="E8" s="359">
        <v>0</v>
      </c>
      <c r="F8" s="359">
        <v>0</v>
      </c>
      <c r="G8" s="359">
        <v>0</v>
      </c>
      <c r="H8" s="343">
        <f t="shared" si="1"/>
        <v>0</v>
      </c>
      <c r="I8" s="360">
        <v>0</v>
      </c>
      <c r="J8" s="346">
        <v>0</v>
      </c>
      <c r="K8" s="346">
        <v>0</v>
      </c>
      <c r="L8" s="356">
        <f>REMUNERACION_ENEL!E130</f>
        <v>0</v>
      </c>
      <c r="M8" s="359">
        <v>0</v>
      </c>
      <c r="N8" s="361">
        <f>SUM(I8:L8)-M8</f>
        <v>0</v>
      </c>
      <c r="O8" s="357">
        <f t="shared" si="0"/>
        <v>0</v>
      </c>
      <c r="P8" s="1" t="b">
        <f t="shared" si="2"/>
        <v>1</v>
      </c>
    </row>
    <row r="9" spans="2:16" s="358" customFormat="1" ht="13" thickBot="1" x14ac:dyDescent="0.3">
      <c r="B9" s="330"/>
      <c r="C9" s="293">
        <f>SUM(C3:C8)</f>
        <v>56416918662</v>
      </c>
      <c r="D9" s="293">
        <f t="shared" ref="D9:M9" si="4">SUM(D3:D8)</f>
        <v>3564150</v>
      </c>
      <c r="E9" s="293">
        <f t="shared" si="4"/>
        <v>157391263.36000001</v>
      </c>
      <c r="F9" s="293">
        <f t="shared" si="4"/>
        <v>1987270</v>
      </c>
      <c r="G9" s="293">
        <f t="shared" si="4"/>
        <v>0</v>
      </c>
      <c r="H9" s="293">
        <f t="shared" si="4"/>
        <v>56579861345.359993</v>
      </c>
      <c r="I9" s="293">
        <f t="shared" si="4"/>
        <v>56263766053.809998</v>
      </c>
      <c r="J9" s="293">
        <f t="shared" si="4"/>
        <v>86245635.939999998</v>
      </c>
      <c r="K9" s="293">
        <f t="shared" si="4"/>
        <v>192969109</v>
      </c>
      <c r="L9" s="293">
        <f t="shared" si="4"/>
        <v>0</v>
      </c>
      <c r="M9" s="293">
        <f t="shared" si="4"/>
        <v>36880546.609999999</v>
      </c>
      <c r="N9" s="293">
        <f>SUM(N3:N8)</f>
        <v>56579861345.359993</v>
      </c>
      <c r="O9" s="362">
        <f>SUM(O3:O8)</f>
        <v>0</v>
      </c>
      <c r="P9" s="1" t="b">
        <f t="shared" si="2"/>
        <v>1</v>
      </c>
    </row>
    <row r="11" spans="2:16" ht="13" x14ac:dyDescent="0.3">
      <c r="B11" s="102" t="s">
        <v>89</v>
      </c>
      <c r="C11" s="103" t="s">
        <v>90</v>
      </c>
      <c r="M11" s="141"/>
      <c r="O11" s="137"/>
    </row>
    <row r="12" spans="2:16" x14ac:dyDescent="0.25">
      <c r="C12" s="143"/>
    </row>
    <row r="13" spans="2:16" x14ac:dyDescent="0.25">
      <c r="B13" s="142"/>
      <c r="C13" s="143" t="s">
        <v>1</v>
      </c>
    </row>
    <row r="14" spans="2:16" x14ac:dyDescent="0.25">
      <c r="C14" s="245">
        <f>'Valida - Control Recaudo'!D7</f>
        <v>56416918662</v>
      </c>
    </row>
    <row r="15" spans="2:16" x14ac:dyDescent="0.25">
      <c r="C15" s="249" t="b">
        <f>C14=C9</f>
        <v>1</v>
      </c>
    </row>
    <row r="16" spans="2:16" x14ac:dyDescent="0.25">
      <c r="C16" s="212" t="s">
        <v>1</v>
      </c>
    </row>
  </sheetData>
  <conditionalFormatting sqref="C15">
    <cfRule type="cellIs" dxfId="43" priority="4" operator="notEqual">
      <formula>TRUE</formula>
    </cfRule>
  </conditionalFormatting>
  <conditionalFormatting sqref="P3:P9">
    <cfRule type="cellIs" dxfId="42" priority="2" operator="notEqual">
      <formula>TRUE</formula>
    </cfRule>
  </conditionalFormatting>
  <pageMargins left="0.7" right="0.7" top="0.75" bottom="0.75" header="0.3" footer="0.3"/>
  <pageSetup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tabColor rgb="FFFF0000"/>
    <pageSetUpPr fitToPage="1"/>
  </sheetPr>
  <dimension ref="A1:AI52"/>
  <sheetViews>
    <sheetView zoomScaleNormal="100" workbookViewId="0"/>
  </sheetViews>
  <sheetFormatPr baseColWidth="10" defaultColWidth="11.453125" defaultRowHeight="11.5" x14ac:dyDescent="0.25"/>
  <cols>
    <col min="1" max="1" width="3" style="1" customWidth="1"/>
    <col min="2" max="2" width="4.453125" style="1" bestFit="1" customWidth="1"/>
    <col min="3" max="3" width="36.7265625" style="1" customWidth="1"/>
    <col min="4" max="4" width="15.26953125" style="1" customWidth="1"/>
    <col min="5" max="5" width="16" style="1" customWidth="1"/>
    <col min="6" max="7" width="14.7265625" style="1" customWidth="1"/>
    <col min="8" max="8" width="16.26953125" style="1" customWidth="1"/>
    <col min="9" max="9" width="20.26953125" style="1" bestFit="1" customWidth="1"/>
    <col min="10" max="10" width="15.54296875" style="1" customWidth="1"/>
    <col min="11" max="11" width="17.54296875" style="1" customWidth="1"/>
    <col min="12" max="12" width="16.54296875" style="1" customWidth="1"/>
    <col min="13" max="13" width="19.7265625" style="1" customWidth="1"/>
    <col min="14" max="14" width="15.26953125" style="1" customWidth="1"/>
    <col min="15" max="15" width="16.7265625" style="1" customWidth="1"/>
    <col min="16" max="16" width="3.7265625" style="1" customWidth="1"/>
    <col min="17" max="17" width="2.7265625" style="1" customWidth="1"/>
    <col min="18" max="18" width="4.54296875" style="1" customWidth="1"/>
    <col min="19" max="19" width="11.26953125" style="1" customWidth="1"/>
    <col min="20" max="20" width="39.453125" style="1" customWidth="1"/>
    <col min="21" max="21" width="19.26953125" style="1" customWidth="1"/>
    <col min="22" max="22" width="17.7265625" style="1" customWidth="1"/>
    <col min="23" max="23" width="16.453125" style="1" customWidth="1"/>
    <col min="24" max="24" width="17.26953125" style="1" customWidth="1"/>
    <col min="25" max="25" width="15.7265625" style="1" customWidth="1"/>
    <col min="26" max="26" width="16" style="1" customWidth="1"/>
    <col min="27" max="27" width="15" style="1" customWidth="1"/>
    <col min="28" max="29" width="16.7265625" style="1" customWidth="1"/>
    <col min="30" max="31" width="15.453125" style="1" customWidth="1"/>
    <col min="32" max="32" width="16.26953125" style="1" customWidth="1"/>
    <col min="33" max="33" width="18.26953125" style="1" customWidth="1"/>
    <col min="34" max="34" width="13.7265625" style="1" customWidth="1"/>
    <col min="35" max="35" width="3.453125" style="1" customWidth="1"/>
    <col min="36" max="16384" width="11.453125" style="1"/>
  </cols>
  <sheetData>
    <row r="1" spans="2:35" ht="12" thickBot="1" x14ac:dyDescent="0.3">
      <c r="Q1" s="4"/>
      <c r="AI1" s="4"/>
    </row>
    <row r="2" spans="2:35" x14ac:dyDescent="0.25">
      <c r="B2" s="5"/>
      <c r="C2" s="3" t="s">
        <v>1</v>
      </c>
      <c r="D2" s="6" t="s">
        <v>1</v>
      </c>
      <c r="E2" s="3"/>
      <c r="F2" s="3"/>
      <c r="G2" s="3"/>
      <c r="H2" s="3" t="s">
        <v>1</v>
      </c>
      <c r="I2" s="3"/>
      <c r="J2" s="3"/>
      <c r="K2" s="3"/>
      <c r="L2" s="3"/>
      <c r="M2" s="3"/>
      <c r="N2" s="3"/>
      <c r="O2" s="7"/>
      <c r="P2" s="2"/>
      <c r="Q2" s="4"/>
      <c r="S2" s="5"/>
      <c r="T2" s="3" t="s">
        <v>1</v>
      </c>
      <c r="U2" s="6" t="s">
        <v>1</v>
      </c>
      <c r="V2" s="3"/>
      <c r="W2" s="3"/>
      <c r="X2" s="3" t="s">
        <v>1</v>
      </c>
      <c r="Y2" s="3"/>
      <c r="Z2" s="3"/>
      <c r="AA2" s="3"/>
      <c r="AB2" s="3"/>
      <c r="AC2" s="3"/>
      <c r="AD2" s="3"/>
      <c r="AE2" s="3"/>
      <c r="AF2" s="7"/>
      <c r="AG2" s="2"/>
      <c r="AI2" s="4"/>
    </row>
    <row r="3" spans="2:35" ht="14" x14ac:dyDescent="0.3">
      <c r="B3" s="8"/>
      <c r="F3" s="26" t="s">
        <v>8</v>
      </c>
      <c r="G3" s="26"/>
      <c r="I3" s="26" t="s">
        <v>16</v>
      </c>
      <c r="J3" s="25"/>
      <c r="M3" s="2" t="s">
        <v>15</v>
      </c>
      <c r="N3" s="50">
        <f>REMUNERACION_ENEL!N98</f>
        <v>2026071</v>
      </c>
      <c r="O3" s="10"/>
      <c r="P3" s="2"/>
      <c r="Q3" s="4"/>
      <c r="S3" s="8"/>
      <c r="U3" s="26" t="s">
        <v>8</v>
      </c>
      <c r="W3" s="26" t="s">
        <v>16</v>
      </c>
      <c r="X3" s="25"/>
      <c r="Y3" s="2"/>
      <c r="AA3" s="2" t="s">
        <v>15</v>
      </c>
      <c r="AD3" s="84">
        <f>N3</f>
        <v>2026071</v>
      </c>
      <c r="AE3" s="84"/>
      <c r="AF3" s="48"/>
      <c r="AG3" s="2"/>
      <c r="AI3" s="4"/>
    </row>
    <row r="4" spans="2:35" ht="15.5" x14ac:dyDescent="0.35">
      <c r="B4" s="8"/>
      <c r="F4" s="36" t="s">
        <v>29</v>
      </c>
      <c r="G4" s="36"/>
      <c r="O4" s="10"/>
      <c r="P4" s="2"/>
      <c r="Q4" s="4"/>
      <c r="S4" s="8"/>
      <c r="T4" s="26" t="s">
        <v>1</v>
      </c>
      <c r="U4" s="36" t="s">
        <v>29</v>
      </c>
      <c r="Y4" s="2" t="s">
        <v>1</v>
      </c>
      <c r="AA4" s="50" t="s">
        <v>1</v>
      </c>
      <c r="AB4" s="2"/>
      <c r="AC4" s="2"/>
      <c r="AD4" s="2"/>
      <c r="AE4" s="2"/>
      <c r="AF4" s="10" t="s">
        <v>1</v>
      </c>
      <c r="AG4" s="2"/>
      <c r="AI4" s="4"/>
    </row>
    <row r="5" spans="2:35" ht="14" x14ac:dyDescent="0.3">
      <c r="B5" s="8"/>
      <c r="F5" s="2" t="s">
        <v>30</v>
      </c>
      <c r="G5" s="2"/>
      <c r="M5" s="2" t="s">
        <v>1</v>
      </c>
      <c r="O5" s="10"/>
      <c r="P5" s="2"/>
      <c r="Q5" s="4"/>
      <c r="S5" s="8"/>
      <c r="T5" s="49" t="s">
        <v>1</v>
      </c>
      <c r="U5" s="2" t="s">
        <v>30</v>
      </c>
      <c r="AF5" s="44"/>
      <c r="AG5" s="2"/>
      <c r="AI5" s="4"/>
    </row>
    <row r="6" spans="2:35" ht="15.5" x14ac:dyDescent="0.35">
      <c r="B6" s="8"/>
      <c r="C6" s="591" t="s">
        <v>17</v>
      </c>
      <c r="D6" s="9">
        <f>REMUNERACION_ENEL!D101</f>
        <v>46220</v>
      </c>
      <c r="F6" s="58" t="str">
        <f>REMUNERACION_ENEL!F101</f>
        <v>REPORTE CONSOLIDADO TOTAL DE RECAUDO  // ENEL</v>
      </c>
      <c r="G6" s="58"/>
      <c r="H6" s="59"/>
      <c r="I6" s="60"/>
      <c r="J6" s="59"/>
      <c r="O6" s="10"/>
      <c r="P6" s="2"/>
      <c r="Q6" s="4"/>
      <c r="S6" s="8"/>
      <c r="T6" s="41" t="s">
        <v>1</v>
      </c>
      <c r="U6" s="58" t="str">
        <f>REMUNERACION_ENEL!U101</f>
        <v>REPORTE DETALLADO SUBBOLSA RBL DISCRIMINADO POR ACTIVIDADES // ENEL</v>
      </c>
      <c r="V6" s="59"/>
      <c r="W6" s="60"/>
      <c r="X6" s="59"/>
      <c r="Y6" s="2"/>
      <c r="AF6" s="48"/>
      <c r="AG6" s="2"/>
      <c r="AI6" s="4"/>
    </row>
    <row r="7" spans="2:35" ht="12" thickBot="1" x14ac:dyDescent="0.3">
      <c r="B7" s="8"/>
      <c r="C7" s="591" t="s">
        <v>0</v>
      </c>
      <c r="D7" s="241">
        <f>REMUNERACION_ENEL!D102</f>
        <v>0.58333333333333337</v>
      </c>
      <c r="F7" s="2" t="s">
        <v>27</v>
      </c>
      <c r="G7" s="9">
        <f>REMUNERACION_ENEL!G102</f>
        <v>46204</v>
      </c>
      <c r="J7" s="2" t="s">
        <v>28</v>
      </c>
      <c r="K7" s="9">
        <f>REMUNERACION_ENEL!K102</f>
        <v>46218</v>
      </c>
      <c r="O7" s="10"/>
      <c r="P7" s="2"/>
      <c r="Q7" s="4"/>
      <c r="S7" s="8"/>
      <c r="U7" s="1" t="str">
        <f>F7</f>
        <v>Fecha Desde:</v>
      </c>
      <c r="V7" s="9">
        <f>G7</f>
        <v>46204</v>
      </c>
      <c r="W7" s="1" t="s">
        <v>1</v>
      </c>
      <c r="X7" s="1" t="str">
        <f>J7</f>
        <v>Feha Hasta:</v>
      </c>
      <c r="Y7" s="9">
        <f>K7</f>
        <v>46218</v>
      </c>
      <c r="Z7" s="1" t="s">
        <v>1</v>
      </c>
      <c r="AF7" s="48"/>
      <c r="AG7" s="2"/>
      <c r="AI7" s="4"/>
    </row>
    <row r="8" spans="2:35" ht="69.5" thickBot="1" x14ac:dyDescent="0.3">
      <c r="B8" s="11" t="s">
        <v>3</v>
      </c>
      <c r="C8" s="27" t="s">
        <v>9</v>
      </c>
      <c r="D8" s="11" t="s">
        <v>4</v>
      </c>
      <c r="E8" s="12" t="s">
        <v>5</v>
      </c>
      <c r="F8" s="12" t="s">
        <v>6</v>
      </c>
      <c r="G8" s="272" t="s">
        <v>159</v>
      </c>
      <c r="H8" s="12" t="s">
        <v>18</v>
      </c>
      <c r="I8" s="12" t="s">
        <v>24</v>
      </c>
      <c r="J8" s="73" t="s">
        <v>19</v>
      </c>
      <c r="K8" s="29" t="s">
        <v>20</v>
      </c>
      <c r="L8" s="28" t="s">
        <v>21</v>
      </c>
      <c r="M8" s="39" t="s">
        <v>22</v>
      </c>
      <c r="N8" s="12" t="s">
        <v>7</v>
      </c>
      <c r="O8" s="39" t="s">
        <v>23</v>
      </c>
      <c r="P8" s="13"/>
      <c r="Q8" s="4"/>
      <c r="S8" s="11" t="s">
        <v>3</v>
      </c>
      <c r="T8" s="27" t="s">
        <v>9</v>
      </c>
      <c r="U8" s="80" t="s">
        <v>39</v>
      </c>
      <c r="V8" s="51" t="s">
        <v>40</v>
      </c>
      <c r="W8" s="51" t="s">
        <v>41</v>
      </c>
      <c r="X8" s="51" t="s">
        <v>42</v>
      </c>
      <c r="Y8" s="81" t="s">
        <v>43</v>
      </c>
      <c r="Z8" s="85" t="s">
        <v>21</v>
      </c>
      <c r="AA8" s="65" t="s">
        <v>46</v>
      </c>
      <c r="AB8" s="65" t="s">
        <v>7</v>
      </c>
      <c r="AC8" s="85" t="s">
        <v>167</v>
      </c>
      <c r="AD8" s="27" t="s">
        <v>105</v>
      </c>
      <c r="AE8" s="27" t="s">
        <v>104</v>
      </c>
      <c r="AF8" s="39" t="s">
        <v>23</v>
      </c>
      <c r="AG8" s="13"/>
      <c r="AI8" s="4"/>
    </row>
    <row r="9" spans="2:35" x14ac:dyDescent="0.25">
      <c r="B9" s="14">
        <v>1</v>
      </c>
      <c r="C9" s="61" t="s">
        <v>10</v>
      </c>
      <c r="D9" s="66">
        <f>REMUNERACION_ENEL!D104</f>
        <v>16232100830.950001</v>
      </c>
      <c r="E9" s="66">
        <f>REMUNERACION_ENEL!E104</f>
        <v>916530913.37</v>
      </c>
      <c r="F9" s="66">
        <f>REMUNERACION_ENEL!F104</f>
        <v>517033839.41000003</v>
      </c>
      <c r="G9" s="66">
        <f>REMUNERACION_ENEL!G104</f>
        <v>271457219.63</v>
      </c>
      <c r="H9" s="66">
        <f>REMUNERACION_ENEL!H104</f>
        <v>4844687061.9700003</v>
      </c>
      <c r="I9" s="66">
        <f>REMUNERACION_ENEL!I104</f>
        <v>168046170.34999999</v>
      </c>
      <c r="J9" s="66">
        <f>REMUNERACION_ENEL!J104</f>
        <v>2032363678.8399997</v>
      </c>
      <c r="K9" s="30">
        <f>D9-E9-F9-G9-H9-I9-J9</f>
        <v>7481981947.3799992</v>
      </c>
      <c r="L9" s="66">
        <f>REMUNERACION_ENEL!L104</f>
        <v>189185987</v>
      </c>
      <c r="M9" s="30">
        <f>K9-L9</f>
        <v>7292795960.3799992</v>
      </c>
      <c r="N9" s="66">
        <f>REMUNERACION_ENEL!N104</f>
        <v>14379206.41</v>
      </c>
      <c r="O9" s="30">
        <f>M9+N9</f>
        <v>7307175166.789999</v>
      </c>
      <c r="Q9" s="4"/>
      <c r="S9" s="14">
        <v>1</v>
      </c>
      <c r="T9" s="61" t="s">
        <v>10</v>
      </c>
      <c r="U9" s="66">
        <f>REMUNERACION_ENEL!U104</f>
        <v>1477461878.54</v>
      </c>
      <c r="V9" s="66">
        <f>REMUNERACION_ENEL!V104</f>
        <v>1426970483.8800001</v>
      </c>
      <c r="W9" s="66">
        <f>REMUNERACION_ENEL!W104</f>
        <v>6752471622.5100002</v>
      </c>
      <c r="X9" s="66">
        <f>REMUNERACION_ENEL!X104</f>
        <v>2493818966.8099999</v>
      </c>
      <c r="Y9" s="66">
        <f>REMUNERACION_ENEL!Y104</f>
        <v>274199713.71999997</v>
      </c>
      <c r="Z9" s="66">
        <f>REMUNERACION_ENEL!Z104</f>
        <v>-189185987</v>
      </c>
      <c r="AA9" s="66">
        <f>REMUNERACION_ENEL!AA104</f>
        <v>40813.750000000007</v>
      </c>
      <c r="AB9" s="66">
        <f>REMUNERACION_ENEL!AB104</f>
        <v>14379206.41</v>
      </c>
      <c r="AC9" s="66">
        <f>REMUNERACION_ENEL!AC104</f>
        <v>279.22000000000003</v>
      </c>
      <c r="AD9" s="66">
        <f>REMUNERACION_ENEL!AD104</f>
        <v>-4942981811.0499992</v>
      </c>
      <c r="AE9" s="66">
        <f>REMUNERACION_ENEL!AE104</f>
        <v>-2910618132.21</v>
      </c>
      <c r="AF9" s="69">
        <f>SUM(U9:AD9)</f>
        <v>7307175166.789999</v>
      </c>
      <c r="AG9" s="71">
        <f>AF9-O9</f>
        <v>0</v>
      </c>
      <c r="AH9" s="1" t="b">
        <f>INT(AG9)=0</f>
        <v>1</v>
      </c>
      <c r="AI9" s="4"/>
    </row>
    <row r="10" spans="2:35" x14ac:dyDescent="0.25">
      <c r="B10" s="16">
        <v>2</v>
      </c>
      <c r="C10" s="62" t="s">
        <v>11</v>
      </c>
      <c r="D10" s="66">
        <f>REMUNERACION_ENEL!D105</f>
        <v>11786725243.449999</v>
      </c>
      <c r="E10" s="66">
        <f>REMUNERACION_ENEL!E105</f>
        <v>966963311.46000004</v>
      </c>
      <c r="F10" s="66">
        <f>REMUNERACION_ENEL!F105</f>
        <v>535847687.71000004</v>
      </c>
      <c r="G10" s="66">
        <f>REMUNERACION_ENEL!G105</f>
        <v>278506129.25</v>
      </c>
      <c r="H10" s="66">
        <f>REMUNERACION_ENEL!H105</f>
        <v>3833233485.1500001</v>
      </c>
      <c r="I10" s="66">
        <f>REMUNERACION_ENEL!I105</f>
        <v>146152813.62</v>
      </c>
      <c r="J10" s="66">
        <f>REMUNERACION_ENEL!J105</f>
        <v>-5011515653.5899992</v>
      </c>
      <c r="K10" s="31">
        <f t="shared" ref="K10:K13" si="0">D10-E10-F10-G10-H10-I10-J10</f>
        <v>11037537469.849998</v>
      </c>
      <c r="L10" s="66">
        <f>REMUNERACION_ENEL!L105</f>
        <v>266580255</v>
      </c>
      <c r="M10" s="31">
        <f>K10-L10</f>
        <v>10770957214.849998</v>
      </c>
      <c r="N10" s="66">
        <f>REMUNERACION_ENEL!N105</f>
        <v>23317118.710000001</v>
      </c>
      <c r="O10" s="31">
        <f t="shared" ref="O10:O13" si="1">M10+N10</f>
        <v>10794274333.559998</v>
      </c>
      <c r="Q10" s="4"/>
      <c r="S10" s="16">
        <v>2</v>
      </c>
      <c r="T10" s="62" t="s">
        <v>11</v>
      </c>
      <c r="U10" s="66">
        <f>REMUNERACION_ENEL!U105</f>
        <v>1285570029.8</v>
      </c>
      <c r="V10" s="66">
        <f>REMUNERACION_ENEL!V105</f>
        <v>1283269330.75</v>
      </c>
      <c r="W10" s="66">
        <f>REMUNERACION_ENEL!W105</f>
        <v>5981019964.0100002</v>
      </c>
      <c r="X10" s="66">
        <f>REMUNERACION_ENEL!X105</f>
        <v>1886968382.1299999</v>
      </c>
      <c r="Y10" s="66">
        <f>REMUNERACION_ENEL!Y105</f>
        <v>238978529.28</v>
      </c>
      <c r="Z10" s="66">
        <f>REMUNERACION_ENEL!Z105</f>
        <v>-266580255</v>
      </c>
      <c r="AA10" s="66">
        <f>REMUNERACION_ENEL!AA105</f>
        <v>-14642.68</v>
      </c>
      <c r="AB10" s="66">
        <f>REMUNERACION_ENEL!AB105</f>
        <v>23317118.710000001</v>
      </c>
      <c r="AC10" s="66">
        <f>REMUNERACION_ENEL!AC105</f>
        <v>-121.11999999999999</v>
      </c>
      <c r="AD10" s="66">
        <f>REMUNERACION_ENEL!AD105</f>
        <v>361745997.67999935</v>
      </c>
      <c r="AE10" s="66">
        <f>REMUNERACION_ENEL!AE105</f>
        <v>-4649769655.9099998</v>
      </c>
      <c r="AF10" s="70">
        <f>SUM(U10:AD10)</f>
        <v>10794274333.559998</v>
      </c>
      <c r="AG10" s="72">
        <f>AF10-O10</f>
        <v>0</v>
      </c>
      <c r="AH10" s="1" t="b">
        <f t="shared" ref="AH10:AH14" si="2">INT(AG10)=0</f>
        <v>1</v>
      </c>
      <c r="AI10" s="4"/>
    </row>
    <row r="11" spans="2:35" x14ac:dyDescent="0.25">
      <c r="B11" s="16">
        <v>3</v>
      </c>
      <c r="C11" s="62" t="s">
        <v>12</v>
      </c>
      <c r="D11" s="66">
        <f>REMUNERACION_ENEL!D106</f>
        <v>9673573573.9799995</v>
      </c>
      <c r="E11" s="66">
        <f>REMUNERACION_ENEL!E106</f>
        <v>626613616.64999998</v>
      </c>
      <c r="F11" s="66">
        <f>REMUNERACION_ENEL!F106</f>
        <v>353412752.11000001</v>
      </c>
      <c r="G11" s="66">
        <f>REMUNERACION_ENEL!G106</f>
        <v>185553985.95000002</v>
      </c>
      <c r="H11" s="66">
        <f>REMUNERACION_ENEL!H106</f>
        <v>2632443245.1900001</v>
      </c>
      <c r="I11" s="66">
        <f>REMUNERACION_ENEL!I106</f>
        <v>98564065.760000005</v>
      </c>
      <c r="J11" s="66">
        <f>REMUNERACION_ENEL!J106</f>
        <v>-1196822411.3100002</v>
      </c>
      <c r="K11" s="31">
        <f t="shared" si="0"/>
        <v>6973808319.6300001</v>
      </c>
      <c r="L11" s="66">
        <f>REMUNERACION_ENEL!L106</f>
        <v>154788535</v>
      </c>
      <c r="M11" s="31">
        <f>K11-L11</f>
        <v>6819019784.6300001</v>
      </c>
      <c r="N11" s="66">
        <f>REMUNERACION_ENEL!N106</f>
        <v>15466157.32</v>
      </c>
      <c r="O11" s="31">
        <f t="shared" si="1"/>
        <v>6834485941.9499998</v>
      </c>
      <c r="Q11" s="4"/>
      <c r="S11" s="16">
        <v>3</v>
      </c>
      <c r="T11" s="62" t="s">
        <v>12</v>
      </c>
      <c r="U11" s="66">
        <f>REMUNERACION_ENEL!U106</f>
        <v>865731503.60000002</v>
      </c>
      <c r="V11" s="66">
        <f>REMUNERACION_ENEL!V106</f>
        <v>848283274.05999994</v>
      </c>
      <c r="W11" s="66">
        <f>REMUNERACION_ENEL!W106</f>
        <v>4011853742.9500003</v>
      </c>
      <c r="X11" s="66">
        <f>REMUNERACION_ENEL!X106</f>
        <v>1455041108.97</v>
      </c>
      <c r="Y11" s="66">
        <f>REMUNERACION_ENEL!Y106</f>
        <v>160902849.89999998</v>
      </c>
      <c r="Z11" s="66">
        <f>REMUNERACION_ENEL!Z106</f>
        <v>-154788535</v>
      </c>
      <c r="AA11" s="66">
        <f>REMUNERACION_ENEL!AA106</f>
        <v>81550.969999999987</v>
      </c>
      <c r="AB11" s="66">
        <f>REMUNERACION_ENEL!AB106</f>
        <v>15466157.32</v>
      </c>
      <c r="AC11" s="66">
        <f>REMUNERACION_ENEL!AC106</f>
        <v>1.7</v>
      </c>
      <c r="AD11" s="66">
        <f>REMUNERACION_ENEL!AD106</f>
        <v>-368085712.51999974</v>
      </c>
      <c r="AE11" s="66">
        <f>REMUNERACION_ENEL!AE106</f>
        <v>-1564908123.8299999</v>
      </c>
      <c r="AF11" s="70">
        <f>SUM(U11:AD11)</f>
        <v>6834485941.9500008</v>
      </c>
      <c r="AG11" s="72">
        <f>AF11-O11</f>
        <v>0</v>
      </c>
      <c r="AH11" s="1" t="b">
        <f t="shared" si="2"/>
        <v>1</v>
      </c>
      <c r="AI11" s="4"/>
    </row>
    <row r="12" spans="2:35" x14ac:dyDescent="0.25">
      <c r="B12" s="16">
        <v>4</v>
      </c>
      <c r="C12" s="62" t="s">
        <v>13</v>
      </c>
      <c r="D12" s="66">
        <f>REMUNERACION_ENEL!D107</f>
        <v>10316982159.119999</v>
      </c>
      <c r="E12" s="66">
        <f>REMUNERACION_ENEL!E107</f>
        <v>622367965.5999999</v>
      </c>
      <c r="F12" s="66">
        <f>REMUNERACION_ENEL!F107</f>
        <v>349239018.45999992</v>
      </c>
      <c r="G12" s="66">
        <f>REMUNERACION_ENEL!G107</f>
        <v>183552296.74000001</v>
      </c>
      <c r="H12" s="66">
        <f>REMUNERACION_ENEL!H107</f>
        <v>2320555985.4500003</v>
      </c>
      <c r="I12" s="66">
        <f>REMUNERACION_ENEL!I107</f>
        <v>89671215.210000008</v>
      </c>
      <c r="J12" s="66">
        <f>REMUNERACION_ENEL!J107</f>
        <v>35955816.039999962</v>
      </c>
      <c r="K12" s="31">
        <f t="shared" si="0"/>
        <v>6715639861.6199989</v>
      </c>
      <c r="L12" s="66">
        <f>REMUNERACION_ENEL!L107</f>
        <v>120391083</v>
      </c>
      <c r="M12" s="31">
        <f>K12-L12</f>
        <v>6595248778.6199989</v>
      </c>
      <c r="N12" s="66">
        <f>REMUNERACION_ENEL!N107</f>
        <v>21942346.68</v>
      </c>
      <c r="O12" s="31">
        <f t="shared" si="1"/>
        <v>6617191125.2999992</v>
      </c>
      <c r="Q12" s="4"/>
      <c r="S12" s="16">
        <v>4</v>
      </c>
      <c r="T12" s="62" t="s">
        <v>13</v>
      </c>
      <c r="U12" s="66">
        <f>REMUNERACION_ENEL!U107</f>
        <v>786010223.37</v>
      </c>
      <c r="V12" s="66">
        <f>REMUNERACION_ENEL!V107</f>
        <v>775050744.24000001</v>
      </c>
      <c r="W12" s="66">
        <f>REMUNERACION_ENEL!W107</f>
        <v>3986410962.1299996</v>
      </c>
      <c r="X12" s="66">
        <f>REMUNERACION_ENEL!X107</f>
        <v>1646808377.22</v>
      </c>
      <c r="Y12" s="66">
        <f>REMUNERACION_ENEL!Y107</f>
        <v>146783164.39999998</v>
      </c>
      <c r="Z12" s="66">
        <f>REMUNERACION_ENEL!Z107</f>
        <v>-120391083</v>
      </c>
      <c r="AA12" s="66">
        <f>REMUNERACION_ENEL!AA107</f>
        <v>-160463.04999999999</v>
      </c>
      <c r="AB12" s="66">
        <f>REMUNERACION_ENEL!AB107</f>
        <v>21942346.68</v>
      </c>
      <c r="AC12" s="66">
        <f>REMUNERACION_ENEL!AC107</f>
        <v>-49.220000000000006</v>
      </c>
      <c r="AD12" s="66">
        <f>REMUNERACION_ENEL!AD107</f>
        <v>-625263097.47000003</v>
      </c>
      <c r="AE12" s="66">
        <f>REMUNERACION_ENEL!AE107</f>
        <v>-589307281.43000007</v>
      </c>
      <c r="AF12" s="70">
        <f>SUM(U12:AD12)</f>
        <v>6617191125.2999992</v>
      </c>
      <c r="AG12" s="72">
        <f>AF12-O12</f>
        <v>0</v>
      </c>
      <c r="AH12" s="1" t="b">
        <f t="shared" si="2"/>
        <v>1</v>
      </c>
      <c r="AI12" s="4"/>
    </row>
    <row r="13" spans="2:35" ht="12" thickBot="1" x14ac:dyDescent="0.3">
      <c r="B13" s="19">
        <v>5</v>
      </c>
      <c r="C13" s="63" t="s">
        <v>14</v>
      </c>
      <c r="D13" s="66">
        <f>REMUNERACION_ENEL!D108</f>
        <v>8254384246.3100004</v>
      </c>
      <c r="E13" s="66">
        <f>REMUNERACION_ENEL!E108</f>
        <v>475627046.11000001</v>
      </c>
      <c r="F13" s="66">
        <f>REMUNERACION_ENEL!F108</f>
        <v>267561735.20000005</v>
      </c>
      <c r="G13" s="66">
        <f>REMUNERACION_ENEL!G108</f>
        <v>137679167.59</v>
      </c>
      <c r="H13" s="66">
        <f>REMUNERACION_ENEL!H108</f>
        <v>1784022365.2299998</v>
      </c>
      <c r="I13" s="66">
        <f>REMUNERACION_ENEL!I108</f>
        <v>68980642.959999993</v>
      </c>
      <c r="J13" s="66">
        <f>REMUNERACION_ENEL!J108</f>
        <v>-1210425628.3100002</v>
      </c>
      <c r="K13" s="31">
        <f t="shared" si="0"/>
        <v>6730938917.5300016</v>
      </c>
      <c r="L13" s="66">
        <f>REMUNERACION_ENEL!L108</f>
        <v>128990445</v>
      </c>
      <c r="M13" s="40">
        <f>K13-L13</f>
        <v>6601948472.5300016</v>
      </c>
      <c r="N13" s="66">
        <f>REMUNERACION_ENEL!N108</f>
        <v>11140806.82</v>
      </c>
      <c r="O13" s="40">
        <f t="shared" si="1"/>
        <v>6613089279.3500013</v>
      </c>
      <c r="Q13" s="4"/>
      <c r="S13" s="19">
        <v>5</v>
      </c>
      <c r="T13" s="63" t="s">
        <v>14</v>
      </c>
      <c r="U13" s="66">
        <f>REMUNERACION_ENEL!U108</f>
        <v>606253168.47000003</v>
      </c>
      <c r="V13" s="66">
        <f>REMUNERACION_ENEL!V108</f>
        <v>590811095.5</v>
      </c>
      <c r="W13" s="66">
        <f>REMUNERACION_ENEL!W108</f>
        <v>3038777765.9200006</v>
      </c>
      <c r="X13" s="66">
        <f>REMUNERACION_ENEL!X108</f>
        <v>1384086123.6100001</v>
      </c>
      <c r="Y13" s="66">
        <f>REMUNERACION_ENEL!Y108</f>
        <v>112517910.67999999</v>
      </c>
      <c r="Z13" s="66">
        <f>REMUNERACION_ENEL!Z108</f>
        <v>-128990445</v>
      </c>
      <c r="AA13" s="66">
        <f>REMUNERACION_ENEL!AA108</f>
        <v>-80674.010000000009</v>
      </c>
      <c r="AB13" s="66">
        <f>REMUNERACION_ENEL!AB108</f>
        <v>11140806.82</v>
      </c>
      <c r="AC13" s="66">
        <f>REMUNERACION_ENEL!AC108</f>
        <v>-37.239999999999995</v>
      </c>
      <c r="AD13" s="66">
        <f>REMUNERACION_ENEL!AD108</f>
        <v>998573564.60000014</v>
      </c>
      <c r="AE13" s="66">
        <f>REMUNERACION_ENEL!AE108</f>
        <v>-211852063.71000001</v>
      </c>
      <c r="AF13" s="70">
        <f>SUM(U13:AD13)</f>
        <v>6613089279.3500004</v>
      </c>
      <c r="AG13" s="72">
        <f>AF13-O13</f>
        <v>0</v>
      </c>
      <c r="AH13" s="1" t="b">
        <f t="shared" si="2"/>
        <v>1</v>
      </c>
      <c r="AI13" s="4"/>
    </row>
    <row r="14" spans="2:35" ht="13.5" thickBot="1" x14ac:dyDescent="0.35">
      <c r="B14" s="21"/>
      <c r="C14" s="22" t="s">
        <v>2</v>
      </c>
      <c r="D14" s="43">
        <f t="shared" ref="D14:O14" si="3">SUM(D9:D13)</f>
        <v>56263766053.809998</v>
      </c>
      <c r="E14" s="43">
        <f t="shared" si="3"/>
        <v>3608102853.1900001</v>
      </c>
      <c r="F14" s="43">
        <f t="shared" si="3"/>
        <v>2023095032.8900001</v>
      </c>
      <c r="G14" s="43">
        <f t="shared" si="3"/>
        <v>1056748799.1600001</v>
      </c>
      <c r="H14" s="43">
        <f t="shared" si="3"/>
        <v>15414942142.990002</v>
      </c>
      <c r="I14" s="43">
        <f t="shared" si="3"/>
        <v>571414907.9000001</v>
      </c>
      <c r="J14" s="43">
        <f t="shared" si="3"/>
        <v>-5350444198.3299999</v>
      </c>
      <c r="K14" s="32">
        <f t="shared" si="3"/>
        <v>38939906516.009995</v>
      </c>
      <c r="L14" s="23">
        <f t="shared" si="3"/>
        <v>859936305</v>
      </c>
      <c r="M14" s="76">
        <f t="shared" si="3"/>
        <v>38079970211.009995</v>
      </c>
      <c r="N14" s="23">
        <f t="shared" si="3"/>
        <v>86245635.939999998</v>
      </c>
      <c r="O14" s="76">
        <f t="shared" si="3"/>
        <v>38166215846.949997</v>
      </c>
      <c r="P14" s="2"/>
      <c r="Q14" s="4"/>
      <c r="S14" s="21"/>
      <c r="T14" s="22" t="s">
        <v>2</v>
      </c>
      <c r="U14" s="43">
        <f>SUM(U9:U13)</f>
        <v>5021026803.7800007</v>
      </c>
      <c r="V14" s="43">
        <f t="shared" ref="V14:AG14" si="4">SUM(V9:V13)</f>
        <v>4924384928.4300003</v>
      </c>
      <c r="W14" s="43">
        <f t="shared" si="4"/>
        <v>23770534057.520004</v>
      </c>
      <c r="X14" s="43">
        <f t="shared" si="4"/>
        <v>8866722958.7399998</v>
      </c>
      <c r="Y14" s="43">
        <f t="shared" si="4"/>
        <v>933382167.9799999</v>
      </c>
      <c r="Z14" s="43">
        <f t="shared" si="4"/>
        <v>-859936305</v>
      </c>
      <c r="AA14" s="43">
        <f t="shared" si="4"/>
        <v>-133415.02000000002</v>
      </c>
      <c r="AB14" s="43">
        <f t="shared" si="4"/>
        <v>86245635.939999998</v>
      </c>
      <c r="AC14" s="43">
        <f t="shared" si="4"/>
        <v>73.340000000000018</v>
      </c>
      <c r="AD14" s="43">
        <f t="shared" si="4"/>
        <v>-4576011058.7599993</v>
      </c>
      <c r="AE14" s="43">
        <f>SUM(AE9:AE13)</f>
        <v>-9926455257.0900002</v>
      </c>
      <c r="AF14" s="68">
        <f t="shared" si="4"/>
        <v>38166215846.949997</v>
      </c>
      <c r="AG14" s="43">
        <f t="shared" si="4"/>
        <v>0</v>
      </c>
      <c r="AH14" s="1" t="b">
        <f t="shared" si="2"/>
        <v>1</v>
      </c>
      <c r="AI14" s="4"/>
    </row>
    <row r="15" spans="2:35" ht="12" thickBot="1" x14ac:dyDescent="0.3">
      <c r="B15" s="2"/>
      <c r="C15" s="2"/>
      <c r="D15" s="24"/>
      <c r="E15" s="24"/>
      <c r="F15" s="24"/>
      <c r="G15" s="24"/>
      <c r="H15" s="24"/>
      <c r="I15" s="24"/>
      <c r="K15" s="24"/>
      <c r="L15" s="24"/>
      <c r="M15" s="24"/>
      <c r="N15" s="24"/>
      <c r="O15" s="24"/>
      <c r="Q15" s="4"/>
      <c r="S15" s="2"/>
      <c r="T15" s="2"/>
      <c r="U15" s="24"/>
      <c r="V15" s="24"/>
      <c r="W15" s="24"/>
      <c r="X15" s="24"/>
      <c r="Y15" s="24"/>
      <c r="AF15" s="24"/>
      <c r="AI15" s="4"/>
    </row>
    <row r="16" spans="2:35" ht="12" thickBot="1" x14ac:dyDescent="0.3">
      <c r="B16" s="2"/>
      <c r="C16" s="2"/>
      <c r="D16" s="24" t="s">
        <v>1</v>
      </c>
      <c r="E16" s="24"/>
      <c r="F16" s="24"/>
      <c r="G16" s="24"/>
      <c r="H16" s="24"/>
      <c r="I16" s="24"/>
      <c r="K16" s="24"/>
      <c r="L16" s="24"/>
      <c r="M16" s="24"/>
      <c r="N16" s="24"/>
      <c r="O16" s="24"/>
      <c r="Q16" s="4"/>
      <c r="Y16" s="86">
        <f>SUM(U14:Y14)</f>
        <v>43516050916.450005</v>
      </c>
      <c r="AA16" s="1" t="s">
        <v>1</v>
      </c>
      <c r="AB16" s="1" t="s">
        <v>1</v>
      </c>
      <c r="AD16" s="1" t="s">
        <v>1</v>
      </c>
      <c r="AF16" s="1" t="s">
        <v>1</v>
      </c>
      <c r="AI16" s="4"/>
    </row>
    <row r="17" spans="1:35" ht="64.5" customHeight="1" thickBot="1" x14ac:dyDescent="0.3">
      <c r="B17" s="2"/>
      <c r="C17" s="2"/>
      <c r="D17" s="24" t="s">
        <v>1</v>
      </c>
      <c r="E17" s="33"/>
      <c r="F17" s="33"/>
      <c r="G17" s="33"/>
      <c r="H17" s="33"/>
      <c r="I17" s="24"/>
      <c r="K17" s="24"/>
      <c r="L17" s="24"/>
      <c r="M17" s="24"/>
      <c r="N17" s="24"/>
      <c r="O17" s="24"/>
      <c r="Q17" s="4"/>
      <c r="U17" s="33"/>
      <c r="V17" s="33"/>
      <c r="W17" s="33"/>
      <c r="X17" s="33"/>
      <c r="AI17" s="4"/>
    </row>
    <row r="18" spans="1:35" x14ac:dyDescent="0.25">
      <c r="B18" s="2"/>
      <c r="C18" s="2"/>
      <c r="D18" s="24" t="s">
        <v>1</v>
      </c>
      <c r="E18" s="24" t="s">
        <v>1</v>
      </c>
      <c r="F18" s="24" t="s">
        <v>25</v>
      </c>
      <c r="G18" s="24"/>
      <c r="H18" s="24"/>
      <c r="I18" s="24"/>
      <c r="K18" s="24"/>
      <c r="L18" s="24"/>
      <c r="M18" s="24"/>
      <c r="N18" s="24"/>
      <c r="O18" s="24"/>
      <c r="Q18" s="4"/>
      <c r="U18" s="24" t="s">
        <v>1</v>
      </c>
      <c r="V18" s="24" t="s">
        <v>25</v>
      </c>
      <c r="W18" s="24"/>
      <c r="X18" s="24"/>
      <c r="AI18" s="4"/>
    </row>
    <row r="19" spans="1:35" x14ac:dyDescent="0.25">
      <c r="A19" s="52"/>
      <c r="B19" s="53"/>
      <c r="C19" s="53"/>
      <c r="D19" s="54"/>
      <c r="E19" s="54"/>
      <c r="F19" s="54"/>
      <c r="G19" s="54"/>
      <c r="H19" s="54"/>
      <c r="I19" s="54"/>
      <c r="J19" s="52"/>
      <c r="K19" s="54"/>
      <c r="L19" s="54"/>
      <c r="M19" s="54"/>
      <c r="N19" s="54"/>
      <c r="O19" s="54"/>
      <c r="P19" s="52"/>
      <c r="Q19" s="52"/>
      <c r="R19" s="52"/>
      <c r="S19" s="52"/>
      <c r="T19" s="52"/>
      <c r="U19" s="52"/>
      <c r="V19" s="52"/>
      <c r="W19" s="52"/>
      <c r="X19" s="52"/>
      <c r="Y19" s="52"/>
      <c r="Z19" s="52"/>
      <c r="AA19" s="52"/>
      <c r="AB19" s="52"/>
      <c r="AC19" s="52"/>
      <c r="AD19" s="52"/>
      <c r="AE19" s="52"/>
      <c r="AF19" s="52"/>
      <c r="AG19" s="52"/>
      <c r="AH19" s="52"/>
      <c r="AI19" s="52"/>
    </row>
    <row r="20" spans="1:35" ht="12" thickBot="1" x14ac:dyDescent="0.3">
      <c r="Q20" s="4"/>
    </row>
    <row r="21" spans="1:35" x14ac:dyDescent="0.25">
      <c r="B21" s="5"/>
      <c r="C21" s="3" t="s">
        <v>1</v>
      </c>
      <c r="D21" s="6" t="s">
        <v>1</v>
      </c>
      <c r="E21" s="3"/>
      <c r="F21" s="3"/>
      <c r="G21" s="3"/>
      <c r="H21" s="3" t="s">
        <v>1</v>
      </c>
      <c r="I21" s="3"/>
      <c r="J21" s="3"/>
      <c r="K21" s="3"/>
      <c r="L21" s="3"/>
      <c r="M21" s="3"/>
      <c r="N21" s="3"/>
      <c r="O21" s="7"/>
      <c r="P21" s="2"/>
      <c r="Q21" s="35"/>
    </row>
    <row r="22" spans="1:35" ht="14" x14ac:dyDescent="0.3">
      <c r="B22" s="8"/>
      <c r="C22" s="2"/>
      <c r="D22" s="9"/>
      <c r="F22" s="26" t="s">
        <v>8</v>
      </c>
      <c r="G22" s="26"/>
      <c r="I22" s="26" t="s">
        <v>16</v>
      </c>
      <c r="J22" s="25"/>
      <c r="M22" s="2" t="s">
        <v>15</v>
      </c>
      <c r="N22" s="50">
        <f>REMUNERACION_ENEL!M117</f>
        <v>2026071</v>
      </c>
      <c r="O22" s="10"/>
      <c r="P22" s="2"/>
      <c r="Q22" s="4"/>
    </row>
    <row r="23" spans="1:35" ht="15.5" x14ac:dyDescent="0.35">
      <c r="B23" s="8"/>
      <c r="C23" s="2"/>
      <c r="D23" s="57"/>
      <c r="F23" s="36" t="s">
        <v>29</v>
      </c>
      <c r="G23" s="36"/>
      <c r="O23" s="10"/>
      <c r="P23" s="2"/>
      <c r="Q23" s="4"/>
    </row>
    <row r="24" spans="1:35" x14ac:dyDescent="0.25">
      <c r="B24" s="8"/>
      <c r="F24" s="2" t="s">
        <v>30</v>
      </c>
      <c r="G24" s="2"/>
      <c r="M24" s="2" t="s">
        <v>1</v>
      </c>
      <c r="O24" s="10"/>
      <c r="P24" s="2"/>
      <c r="Q24" s="4"/>
    </row>
    <row r="25" spans="1:35" x14ac:dyDescent="0.25">
      <c r="B25" s="8"/>
      <c r="I25" s="2"/>
      <c r="J25" s="2"/>
      <c r="O25" s="10"/>
      <c r="P25" s="2"/>
      <c r="Q25" s="4"/>
    </row>
    <row r="26" spans="1:35" ht="15.5" x14ac:dyDescent="0.35">
      <c r="B26" s="8"/>
      <c r="F26" s="41" t="s">
        <v>37</v>
      </c>
      <c r="G26" s="41"/>
      <c r="H26" s="2"/>
      <c r="J26" s="2"/>
      <c r="O26" s="10"/>
      <c r="P26" s="2"/>
      <c r="Q26" s="4"/>
    </row>
    <row r="27" spans="1:35" x14ac:dyDescent="0.25">
      <c r="B27" s="8"/>
      <c r="F27" s="2" t="s">
        <v>27</v>
      </c>
      <c r="G27" s="2"/>
      <c r="H27" s="9">
        <f>REMUNERACION_ENEL!G122</f>
        <v>46204</v>
      </c>
      <c r="J27" s="2" t="s">
        <v>28</v>
      </c>
      <c r="K27" s="9">
        <f>REMUNERACION_ENEL!K122</f>
        <v>46218</v>
      </c>
      <c r="O27" s="10"/>
      <c r="P27" s="2"/>
      <c r="Q27" s="4"/>
    </row>
    <row r="28" spans="1:35" ht="12" thickBot="1" x14ac:dyDescent="0.3">
      <c r="B28" s="8"/>
      <c r="C28" s="2" t="s">
        <v>1</v>
      </c>
      <c r="D28" s="2" t="s">
        <v>1</v>
      </c>
      <c r="J28" s="1" t="s">
        <v>1</v>
      </c>
      <c r="O28" s="44"/>
      <c r="P28" s="2"/>
      <c r="Q28" s="4"/>
    </row>
    <row r="29" spans="1:35" ht="46.5" thickBot="1" x14ac:dyDescent="0.3">
      <c r="B29" s="11" t="s">
        <v>3</v>
      </c>
      <c r="C29" s="12" t="s">
        <v>9</v>
      </c>
      <c r="D29" s="12" t="s">
        <v>38</v>
      </c>
      <c r="E29" s="12" t="s">
        <v>48</v>
      </c>
      <c r="G29" s="104" t="s">
        <v>47</v>
      </c>
      <c r="H29" s="73" t="s">
        <v>56</v>
      </c>
      <c r="I29" s="73" t="s">
        <v>130</v>
      </c>
      <c r="J29" s="73" t="s">
        <v>171</v>
      </c>
      <c r="K29" s="73" t="s">
        <v>143</v>
      </c>
      <c r="L29" s="73" t="s">
        <v>144</v>
      </c>
      <c r="O29" s="44"/>
      <c r="P29" s="13"/>
      <c r="Q29" s="4"/>
    </row>
    <row r="30" spans="1:35" x14ac:dyDescent="0.25">
      <c r="B30" s="108">
        <v>1</v>
      </c>
      <c r="C30" s="109" t="s">
        <v>10</v>
      </c>
      <c r="D30" s="110">
        <f>REMUNERACION_ENEL!D125</f>
        <v>50286069</v>
      </c>
      <c r="E30" s="111">
        <f>REMUNERACION_ENEL!E125</f>
        <v>0</v>
      </c>
      <c r="G30" s="339">
        <f>REMUNERACION_ENEL!G125</f>
        <v>0</v>
      </c>
      <c r="H30" s="313">
        <f>REMUNERACION_ENEL!H125</f>
        <v>51962588.360000007</v>
      </c>
      <c r="I30" s="312">
        <f>REMUNERACION_ENEL!I125</f>
        <v>0</v>
      </c>
      <c r="J30" s="312">
        <f>REMUNERACION_ENEL!J125</f>
        <v>0</v>
      </c>
      <c r="K30" s="312">
        <f>REMUNERACION_ENEL!K125</f>
        <v>0</v>
      </c>
      <c r="L30" s="312">
        <f>REMUNERACION_ENEL!L125</f>
        <v>0</v>
      </c>
      <c r="O30" s="44"/>
      <c r="Q30" s="4"/>
    </row>
    <row r="31" spans="1:35" x14ac:dyDescent="0.25">
      <c r="B31" s="16">
        <v>2</v>
      </c>
      <c r="C31" s="17" t="s">
        <v>11</v>
      </c>
      <c r="D31" s="15">
        <f>REMUNERACION_ENEL!D126</f>
        <v>47435723</v>
      </c>
      <c r="E31" s="74">
        <f>REMUNERACION_ENEL!E126</f>
        <v>0</v>
      </c>
      <c r="G31" s="342">
        <f>REMUNERACION_ENEL!G126</f>
        <v>0</v>
      </c>
      <c r="H31" s="343">
        <f>REMUNERACION_ENEL!H126</f>
        <v>34136584.159999996</v>
      </c>
      <c r="I31" s="291">
        <f>REMUNERACION_ENEL!I126</f>
        <v>0</v>
      </c>
      <c r="J31" s="291">
        <f>REMUNERACION_ENEL!J126</f>
        <v>-9869411</v>
      </c>
      <c r="K31" s="291">
        <f>REMUNERACION_ENEL!K126</f>
        <v>0</v>
      </c>
      <c r="L31" s="291">
        <f>REMUNERACION_ENEL!L126</f>
        <v>48392</v>
      </c>
      <c r="O31" s="44"/>
      <c r="Q31" s="4"/>
    </row>
    <row r="32" spans="1:35" x14ac:dyDescent="0.25">
      <c r="B32" s="16">
        <v>3</v>
      </c>
      <c r="C32" s="17" t="s">
        <v>12</v>
      </c>
      <c r="D32" s="15">
        <f>REMUNERACION_ENEL!D127</f>
        <v>21042512</v>
      </c>
      <c r="E32" s="74">
        <f>REMUNERACION_ENEL!E127</f>
        <v>0</v>
      </c>
      <c r="G32" s="342">
        <f>REMUNERACION_ENEL!G127</f>
        <v>0</v>
      </c>
      <c r="H32" s="343">
        <f>REMUNERACION_ENEL!H127</f>
        <v>30434743.300000001</v>
      </c>
      <c r="I32" s="291">
        <f>REMUNERACION_ENEL!I127</f>
        <v>0</v>
      </c>
      <c r="J32" s="291">
        <f>REMUNERACION_ENEL!J127</f>
        <v>-5571961</v>
      </c>
      <c r="K32" s="291">
        <f>REMUNERACION_ENEL!K127</f>
        <v>0</v>
      </c>
      <c r="L32" s="291">
        <f>REMUNERACION_ENEL!L127</f>
        <v>55841</v>
      </c>
      <c r="O32" s="44"/>
      <c r="Q32" s="4"/>
    </row>
    <row r="33" spans="1:20" x14ac:dyDescent="0.25">
      <c r="B33" s="16">
        <v>4</v>
      </c>
      <c r="C33" s="17" t="s">
        <v>13</v>
      </c>
      <c r="D33" s="15">
        <f>REMUNERACION_ENEL!D128</f>
        <v>35795695</v>
      </c>
      <c r="E33" s="74">
        <f>REMUNERACION_ENEL!E128</f>
        <v>0</v>
      </c>
      <c r="G33" s="342">
        <f>REMUNERACION_ENEL!G128</f>
        <v>3564150</v>
      </c>
      <c r="H33" s="343">
        <f>REMUNERACION_ENEL!H128</f>
        <v>10429855.41</v>
      </c>
      <c r="I33" s="291">
        <f>REMUNERACION_ENEL!I128</f>
        <v>0</v>
      </c>
      <c r="J33" s="291">
        <f>REMUNERACION_ENEL!J128</f>
        <v>-15968186.609999999</v>
      </c>
      <c r="K33" s="291">
        <f>REMUNERACION_ENEL!K128</f>
        <v>9173160</v>
      </c>
      <c r="L33" s="291">
        <f>REMUNERACION_ENEL!L128</f>
        <v>244523.39</v>
      </c>
      <c r="O33" s="44"/>
      <c r="Q33" s="4"/>
    </row>
    <row r="34" spans="1:20" x14ac:dyDescent="0.25">
      <c r="B34" s="133">
        <v>5</v>
      </c>
      <c r="C34" s="138" t="s">
        <v>14</v>
      </c>
      <c r="D34" s="135">
        <f>REMUNERACION_ENEL!D129</f>
        <v>38409110</v>
      </c>
      <c r="E34" s="139">
        <f>REMUNERACION_ENEL!E129</f>
        <v>0</v>
      </c>
      <c r="G34" s="342">
        <f>REMUNERACION_ENEL!G129</f>
        <v>0</v>
      </c>
      <c r="H34" s="343">
        <f>REMUNERACION_ENEL!H129</f>
        <v>30427492.130000003</v>
      </c>
      <c r="I34" s="291">
        <f>REMUNERACION_ENEL!I129</f>
        <v>0</v>
      </c>
      <c r="J34" s="291">
        <f>REMUNERACION_ENEL!J129</f>
        <v>-5470988</v>
      </c>
      <c r="K34" s="291">
        <f>REMUNERACION_ENEL!K129</f>
        <v>0</v>
      </c>
      <c r="L34" s="291">
        <f>REMUNERACION_ENEL!L129</f>
        <v>0</v>
      </c>
      <c r="O34" s="44"/>
      <c r="Q34" s="4"/>
    </row>
    <row r="35" spans="1:20" ht="12" thickBot="1" x14ac:dyDescent="0.3">
      <c r="B35" s="19" t="s">
        <v>89</v>
      </c>
      <c r="C35" s="20" t="s">
        <v>113</v>
      </c>
      <c r="D35" s="78"/>
      <c r="E35" s="79">
        <f>REMUNERACION_ENEL!E130</f>
        <v>0</v>
      </c>
      <c r="G35" s="349"/>
      <c r="H35" s="350"/>
      <c r="I35" s="292"/>
      <c r="J35" s="292"/>
      <c r="K35" s="292"/>
      <c r="L35" s="292"/>
      <c r="O35" s="44"/>
      <c r="Q35" s="4"/>
    </row>
    <row r="36" spans="1:20" ht="12" thickBot="1" x14ac:dyDescent="0.3">
      <c r="B36" s="95"/>
      <c r="C36" s="106" t="s">
        <v>2</v>
      </c>
      <c r="D36" s="107">
        <f t="shared" ref="D36" si="5">SUM(D30:D34)</f>
        <v>192969109</v>
      </c>
      <c r="E36" s="107">
        <f>REMUNERACION_ENEL!E131</f>
        <v>0</v>
      </c>
      <c r="F36" s="45"/>
      <c r="G36" s="353">
        <f t="shared" ref="G36:L36" si="6">SUM(G30:G34)</f>
        <v>3564150</v>
      </c>
      <c r="H36" s="353">
        <f t="shared" si="6"/>
        <v>157391263.36000001</v>
      </c>
      <c r="I36" s="353">
        <f t="shared" si="6"/>
        <v>0</v>
      </c>
      <c r="J36" s="353">
        <f t="shared" si="6"/>
        <v>-36880546.609999999</v>
      </c>
      <c r="K36" s="353">
        <f t="shared" si="6"/>
        <v>9173160</v>
      </c>
      <c r="L36" s="353">
        <f t="shared" si="6"/>
        <v>348756.39</v>
      </c>
      <c r="M36" s="45"/>
      <c r="N36" s="45"/>
      <c r="O36" s="46"/>
      <c r="P36" s="2"/>
      <c r="Q36" s="4"/>
    </row>
    <row r="37" spans="1:20" x14ac:dyDescent="0.25">
      <c r="B37" s="2"/>
      <c r="C37" s="2"/>
      <c r="D37" s="24"/>
      <c r="Q37" s="4"/>
    </row>
    <row r="38" spans="1:20" x14ac:dyDescent="0.25">
      <c r="B38" s="2"/>
      <c r="C38" s="2"/>
      <c r="D38" s="24"/>
      <c r="L38" s="1" t="s">
        <v>1</v>
      </c>
      <c r="Q38" s="4"/>
    </row>
    <row r="39" spans="1:20" ht="64.5" customHeight="1" thickBot="1" x14ac:dyDescent="0.3">
      <c r="B39" s="2"/>
      <c r="C39" s="2"/>
      <c r="D39" s="24"/>
      <c r="E39" s="33"/>
      <c r="F39" s="33"/>
      <c r="G39" s="33"/>
      <c r="H39" s="33"/>
      <c r="I39" s="24"/>
      <c r="K39" s="24"/>
      <c r="L39" s="24" t="s">
        <v>1</v>
      </c>
      <c r="M39" s="24" t="s">
        <v>1</v>
      </c>
      <c r="N39" s="24"/>
      <c r="O39" s="24"/>
      <c r="Q39" s="4"/>
    </row>
    <row r="40" spans="1:20" x14ac:dyDescent="0.25">
      <c r="B40" s="2"/>
      <c r="C40" s="2"/>
      <c r="D40" s="24"/>
      <c r="E40" s="24" t="s">
        <v>1</v>
      </c>
      <c r="F40" s="42" t="s">
        <v>36</v>
      </c>
      <c r="G40" s="42"/>
      <c r="H40" s="42"/>
      <c r="I40" s="24"/>
      <c r="K40" s="24"/>
      <c r="L40" s="24"/>
      <c r="M40" s="24"/>
      <c r="N40" s="24"/>
      <c r="O40" s="24"/>
      <c r="Q40" s="4"/>
    </row>
    <row r="41" spans="1:20" x14ac:dyDescent="0.25">
      <c r="A41" s="52"/>
      <c r="B41" s="53"/>
      <c r="C41" s="53"/>
      <c r="D41" s="54"/>
      <c r="E41" s="54"/>
      <c r="F41" s="54"/>
      <c r="G41" s="54"/>
      <c r="H41" s="54"/>
      <c r="I41" s="54"/>
      <c r="J41" s="52"/>
      <c r="K41" s="54"/>
      <c r="L41" s="54"/>
      <c r="M41" s="54"/>
      <c r="N41" s="54"/>
      <c r="O41" s="54"/>
      <c r="P41" s="52"/>
      <c r="Q41" s="4"/>
    </row>
    <row r="42" spans="1:20" x14ac:dyDescent="0.25">
      <c r="N42" s="24"/>
      <c r="O42" s="24"/>
      <c r="Q42" s="24"/>
      <c r="T42" s="24"/>
    </row>
    <row r="43" spans="1:20" x14ac:dyDescent="0.25">
      <c r="N43" s="24"/>
      <c r="O43" s="24"/>
      <c r="Q43" s="24"/>
      <c r="T43" s="24"/>
    </row>
    <row r="44" spans="1:20" x14ac:dyDescent="0.25">
      <c r="N44" s="24"/>
      <c r="O44" s="24"/>
      <c r="Q44" s="24"/>
      <c r="T44" s="24"/>
    </row>
    <row r="45" spans="1:20" x14ac:dyDescent="0.25">
      <c r="D45" s="270" t="b">
        <f>D14=REMUNERACION_ENEL!D109</f>
        <v>1</v>
      </c>
      <c r="E45" s="270" t="b">
        <f>E14=REMUNERACION_ENEL!E109</f>
        <v>1</v>
      </c>
      <c r="F45" s="270" t="b">
        <f>F14=REMUNERACION_ENEL!F109</f>
        <v>1</v>
      </c>
      <c r="G45" s="270" t="b">
        <f>G14=REMUNERACION_ENEL!G109</f>
        <v>1</v>
      </c>
      <c r="H45" s="270" t="b">
        <f>H14=REMUNERACION_ENEL!H109</f>
        <v>1</v>
      </c>
      <c r="I45" s="270" t="b">
        <f>I14=REMUNERACION_ENEL!I109</f>
        <v>1</v>
      </c>
      <c r="J45" s="270" t="b">
        <f>J14=REMUNERACION_ENEL!J109</f>
        <v>1</v>
      </c>
      <c r="K45" s="270" t="b">
        <f>K14=REMUNERACION_ENEL!K109</f>
        <v>1</v>
      </c>
      <c r="L45" s="270" t="b">
        <f>L14=REMUNERACION_ENEL!L109</f>
        <v>1</v>
      </c>
      <c r="M45" s="270" t="b">
        <f>M14=REMUNERACION_ENEL!M109</f>
        <v>1</v>
      </c>
      <c r="N45" s="270" t="b">
        <f>N14=REMUNERACION_ENEL!N109</f>
        <v>1</v>
      </c>
      <c r="O45" s="270" t="b">
        <f>O14=REMUNERACION_ENEL!O109</f>
        <v>1</v>
      </c>
      <c r="Q45" s="24"/>
      <c r="T45" s="24"/>
    </row>
    <row r="46" spans="1:20" x14ac:dyDescent="0.25">
      <c r="D46" s="270" t="b">
        <f>D36=REMUNERACION_ENEL!D131</f>
        <v>1</v>
      </c>
      <c r="E46" s="270" t="b">
        <f>E36=REMUNERACION_ENEL!E131</f>
        <v>1</v>
      </c>
      <c r="F46" s="270" t="b">
        <f>F36=REMUNERACION_ENEL!F131</f>
        <v>1</v>
      </c>
      <c r="G46" s="270" t="b">
        <f>G36=REMUNERACION_ENEL!G131</f>
        <v>1</v>
      </c>
      <c r="H46" s="270" t="b">
        <f>H36=REMUNERACION_ENEL!H131</f>
        <v>1</v>
      </c>
      <c r="I46" s="270" t="b">
        <f>I36=REMUNERACION_ENEL!I131</f>
        <v>1</v>
      </c>
      <c r="J46" s="270" t="b">
        <f>J36=REMUNERACION_ENEL!J131</f>
        <v>1</v>
      </c>
      <c r="K46" s="270" t="b">
        <f>K36=REMUNERACION_ENEL!K131</f>
        <v>1</v>
      </c>
      <c r="L46" s="270" t="b">
        <f>L36=REMUNERACION_ENEL!L131</f>
        <v>1</v>
      </c>
      <c r="M46" s="270" t="b">
        <f>M36=REMUNERACION_ENEL!M131</f>
        <v>1</v>
      </c>
      <c r="N46" s="270" t="b">
        <f>N36=REMUNERACION_ENEL!N131</f>
        <v>1</v>
      </c>
      <c r="O46" s="270" t="b">
        <f>O36=REMUNERACION_ENEL!O131</f>
        <v>1</v>
      </c>
      <c r="Q46" s="24"/>
      <c r="T46" s="24"/>
    </row>
    <row r="47" spans="1:20" x14ac:dyDescent="0.25">
      <c r="N47" s="24"/>
      <c r="O47" s="24"/>
      <c r="Q47" s="24"/>
      <c r="T47" s="24"/>
    </row>
    <row r="48" spans="1:20" x14ac:dyDescent="0.25">
      <c r="N48" s="24"/>
      <c r="O48" s="24"/>
      <c r="Q48" s="24"/>
      <c r="T48" s="24"/>
    </row>
    <row r="49" spans="14:20" x14ac:dyDescent="0.25">
      <c r="N49" s="24"/>
      <c r="O49" s="24"/>
      <c r="Q49" s="24"/>
      <c r="T49" s="24"/>
    </row>
    <row r="50" spans="14:20" x14ac:dyDescent="0.25">
      <c r="N50" s="24"/>
      <c r="O50" s="24"/>
      <c r="Q50" s="24"/>
      <c r="T50" s="24"/>
    </row>
    <row r="51" spans="14:20" x14ac:dyDescent="0.25">
      <c r="Q51" s="24"/>
      <c r="T51" s="24"/>
    </row>
    <row r="52" spans="14:20" x14ac:dyDescent="0.25">
      <c r="Q52" s="24"/>
    </row>
  </sheetData>
  <conditionalFormatting sqref="AH9:AH14">
    <cfRule type="cellIs" dxfId="41" priority="1" operator="notEqual">
      <formula>TRUE</formula>
    </cfRule>
  </conditionalFormatting>
  <printOptions horizontalCentered="1" verticalCentered="1"/>
  <pageMargins left="0.55118110236220474" right="0.74803149606299213" top="0.59055118110236227" bottom="0.78740157480314965" header="0" footer="0"/>
  <pageSetup scale="24" orientation="landscape" r:id="rId1"/>
  <headerFooter alignWithMargins="0"/>
  <drawing r:id="rId2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936364-1631-4835-94DA-6C268605A859}">
  <sheetPr>
    <tabColor theme="8" tint="0.59999389629810485"/>
    <pageSetUpPr fitToPage="1"/>
  </sheetPr>
  <dimension ref="A1:AJ156"/>
  <sheetViews>
    <sheetView topLeftCell="A96" zoomScaleNormal="100" workbookViewId="0"/>
  </sheetViews>
  <sheetFormatPr baseColWidth="10" defaultColWidth="11.453125" defaultRowHeight="11.5" x14ac:dyDescent="0.25"/>
  <cols>
    <col min="1" max="1" width="3" style="1" customWidth="1"/>
    <col min="2" max="2" width="4.453125" style="1" bestFit="1" customWidth="1"/>
    <col min="3" max="3" width="36.7265625" style="1" customWidth="1"/>
    <col min="4" max="4" width="15.26953125" style="1" customWidth="1"/>
    <col min="5" max="5" width="16" style="1" customWidth="1"/>
    <col min="6" max="7" width="14.7265625" style="1" customWidth="1"/>
    <col min="8" max="9" width="16" style="1" customWidth="1"/>
    <col min="10" max="10" width="15.54296875" style="1" customWidth="1"/>
    <col min="11" max="11" width="17.54296875" style="1" customWidth="1"/>
    <col min="12" max="12" width="19.7265625" style="1" bestFit="1" customWidth="1"/>
    <col min="13" max="13" width="21" style="1" bestFit="1" customWidth="1"/>
    <col min="14" max="14" width="15.26953125" style="1" customWidth="1"/>
    <col min="15" max="15" width="16.7265625" style="1" customWidth="1"/>
    <col min="16" max="16" width="3.7265625" style="1" customWidth="1"/>
    <col min="17" max="17" width="2.7265625" style="1" customWidth="1"/>
    <col min="18" max="18" width="4.54296875" style="1" customWidth="1"/>
    <col min="19" max="19" width="11.26953125" style="1" customWidth="1"/>
    <col min="20" max="20" width="37.54296875" style="1" bestFit="1" customWidth="1"/>
    <col min="21" max="21" width="19.26953125" style="1" customWidth="1"/>
    <col min="22" max="22" width="17.7265625" style="1" customWidth="1"/>
    <col min="23" max="23" width="16.453125" style="1" customWidth="1"/>
    <col min="24" max="24" width="17.26953125" style="1" customWidth="1"/>
    <col min="25" max="25" width="15.7265625" style="1" customWidth="1"/>
    <col min="26" max="26" width="16" style="1" customWidth="1"/>
    <col min="27" max="27" width="15" style="1" customWidth="1"/>
    <col min="28" max="29" width="16.7265625" style="1" customWidth="1"/>
    <col min="30" max="31" width="15.453125" style="1" customWidth="1"/>
    <col min="32" max="32" width="16.26953125" style="1" customWidth="1"/>
    <col min="33" max="33" width="18.26953125" style="1" customWidth="1"/>
    <col min="34" max="34" width="13.7265625" style="1" customWidth="1"/>
    <col min="35" max="35" width="3.453125" style="1" customWidth="1"/>
    <col min="36" max="36" width="13.7265625" style="1" bestFit="1" customWidth="1"/>
    <col min="37" max="16384" width="11.453125" style="1"/>
  </cols>
  <sheetData>
    <row r="1" spans="1:35" ht="12" thickBot="1" x14ac:dyDescent="0.3">
      <c r="A1" s="241"/>
      <c r="Q1" s="4"/>
      <c r="AI1" s="4"/>
    </row>
    <row r="2" spans="1:35" x14ac:dyDescent="0.25">
      <c r="B2" s="5"/>
      <c r="C2" s="3" t="s">
        <v>1</v>
      </c>
      <c r="D2" s="6" t="s">
        <v>1</v>
      </c>
      <c r="E2" s="3"/>
      <c r="F2" s="3"/>
      <c r="G2" s="3"/>
      <c r="H2" s="3" t="s">
        <v>1</v>
      </c>
      <c r="I2" s="3"/>
      <c r="J2" s="3"/>
      <c r="K2" s="3"/>
      <c r="L2" s="3"/>
      <c r="M2" s="3"/>
      <c r="N2" s="3"/>
      <c r="O2" s="7"/>
      <c r="P2" s="2"/>
      <c r="Q2" s="4"/>
      <c r="S2" s="5"/>
      <c r="T2" s="3" t="s">
        <v>1</v>
      </c>
      <c r="U2" s="6" t="s">
        <v>1</v>
      </c>
      <c r="V2" s="3"/>
      <c r="W2" s="3"/>
      <c r="X2" s="3" t="s">
        <v>1</v>
      </c>
      <c r="Y2" s="3"/>
      <c r="Z2" s="3"/>
      <c r="AA2" s="3"/>
      <c r="AB2" s="3"/>
      <c r="AC2" s="3"/>
      <c r="AD2" s="3"/>
      <c r="AE2" s="3"/>
      <c r="AF2" s="7"/>
      <c r="AG2" s="2"/>
      <c r="AI2" s="4"/>
    </row>
    <row r="3" spans="1:35" ht="14" x14ac:dyDescent="0.3">
      <c r="B3" s="8"/>
      <c r="F3" s="26" t="s">
        <v>8</v>
      </c>
      <c r="G3" s="26"/>
      <c r="I3" s="26" t="s">
        <v>16</v>
      </c>
      <c r="J3" s="25"/>
      <c r="M3" s="2" t="s">
        <v>15</v>
      </c>
      <c r="N3" s="50">
        <f>'CONSOLIDADO_TOTAL RECAUDO'!N3</f>
        <v>2026071</v>
      </c>
      <c r="O3" s="10"/>
      <c r="P3" s="2"/>
      <c r="Q3" s="4"/>
      <c r="S3" s="8"/>
      <c r="U3" s="26" t="s">
        <v>8</v>
      </c>
      <c r="W3" s="26" t="s">
        <v>16</v>
      </c>
      <c r="X3" s="25"/>
      <c r="Y3" s="2"/>
      <c r="AA3" s="2" t="s">
        <v>15</v>
      </c>
      <c r="AD3" s="84">
        <f>N3</f>
        <v>2026071</v>
      </c>
      <c r="AE3" s="84"/>
      <c r="AF3" s="48"/>
      <c r="AG3" s="2"/>
      <c r="AI3" s="4"/>
    </row>
    <row r="4" spans="1:35" ht="15.5" x14ac:dyDescent="0.35">
      <c r="B4" s="8"/>
      <c r="F4" s="36" t="s">
        <v>29</v>
      </c>
      <c r="G4" s="36"/>
      <c r="O4" s="10"/>
      <c r="P4" s="2"/>
      <c r="Q4" s="4"/>
      <c r="S4" s="8"/>
      <c r="T4" s="26" t="s">
        <v>1</v>
      </c>
      <c r="U4" s="36" t="s">
        <v>29</v>
      </c>
      <c r="Y4" s="2" t="s">
        <v>1</v>
      </c>
      <c r="AA4" s="50" t="s">
        <v>1</v>
      </c>
      <c r="AB4" s="2"/>
      <c r="AC4" s="2"/>
      <c r="AD4" s="2"/>
      <c r="AE4" s="2"/>
      <c r="AF4" s="10" t="s">
        <v>1</v>
      </c>
      <c r="AG4" s="2"/>
      <c r="AI4" s="4"/>
    </row>
    <row r="5" spans="1:35" ht="14" x14ac:dyDescent="0.3">
      <c r="B5" s="8"/>
      <c r="F5" s="2" t="s">
        <v>30</v>
      </c>
      <c r="G5" s="2"/>
      <c r="M5" s="2" t="s">
        <v>1</v>
      </c>
      <c r="O5" s="10"/>
      <c r="P5" s="2"/>
      <c r="Q5" s="4"/>
      <c r="S5" s="8"/>
      <c r="T5" s="49" t="s">
        <v>1</v>
      </c>
      <c r="U5" s="2" t="s">
        <v>30</v>
      </c>
      <c r="AF5" s="44"/>
      <c r="AG5" s="2"/>
      <c r="AI5" s="4"/>
    </row>
    <row r="6" spans="1:35" ht="15.5" x14ac:dyDescent="0.35">
      <c r="B6" s="8"/>
      <c r="C6" s="591" t="s">
        <v>17</v>
      </c>
      <c r="D6" s="9">
        <f>'CONSOLIDADO_TOTAL RECAUDO'!D6</f>
        <v>46220</v>
      </c>
      <c r="F6" s="41" t="s">
        <v>26</v>
      </c>
      <c r="G6" s="41"/>
      <c r="H6" s="2"/>
      <c r="J6" s="2"/>
      <c r="O6" s="10"/>
      <c r="P6" s="2"/>
      <c r="Q6" s="4"/>
      <c r="S6" s="8"/>
      <c r="T6" s="41" t="s">
        <v>1</v>
      </c>
      <c r="U6" s="41" t="s">
        <v>26</v>
      </c>
      <c r="V6" s="2"/>
      <c r="X6" s="2"/>
      <c r="Y6" s="2"/>
      <c r="AF6" s="48"/>
      <c r="AG6" s="2"/>
      <c r="AI6" s="4"/>
    </row>
    <row r="7" spans="1:35" ht="12" thickBot="1" x14ac:dyDescent="0.3">
      <c r="B7" s="8"/>
      <c r="C7" s="591" t="s">
        <v>0</v>
      </c>
      <c r="D7" s="241">
        <f>'CONSOLIDADO_TOTAL RECAUDO'!D7</f>
        <v>0.58333333333333337</v>
      </c>
      <c r="F7" s="2" t="s">
        <v>27</v>
      </c>
      <c r="G7" s="9">
        <f>'CONSOLIDADO_TOTAL RECAUDO'!G7</f>
        <v>46204</v>
      </c>
      <c r="J7" s="2" t="s">
        <v>28</v>
      </c>
      <c r="K7" s="9">
        <f>'CONSOLIDADO_TOTAL RECAUDO'!K7</f>
        <v>46218</v>
      </c>
      <c r="O7" s="10"/>
      <c r="P7" s="2"/>
      <c r="Q7" s="4"/>
      <c r="S7" s="8"/>
      <c r="U7" s="1" t="str">
        <f>F7</f>
        <v>Fecha Desde:</v>
      </c>
      <c r="V7" s="9">
        <f>G7</f>
        <v>46204</v>
      </c>
      <c r="W7" s="1" t="s">
        <v>1</v>
      </c>
      <c r="X7" s="1" t="str">
        <f>J7</f>
        <v>Feha Hasta:</v>
      </c>
      <c r="Y7" s="9">
        <f>K7</f>
        <v>46218</v>
      </c>
      <c r="Z7" s="1" t="s">
        <v>1</v>
      </c>
      <c r="AF7" s="48"/>
      <c r="AG7" s="2"/>
      <c r="AI7" s="4"/>
    </row>
    <row r="8" spans="1:35" ht="72" customHeight="1" thickBot="1" x14ac:dyDescent="0.3">
      <c r="B8" s="11" t="s">
        <v>3</v>
      </c>
      <c r="C8" s="27" t="s">
        <v>9</v>
      </c>
      <c r="D8" s="11" t="s">
        <v>4</v>
      </c>
      <c r="E8" s="12" t="s">
        <v>5</v>
      </c>
      <c r="F8" s="27" t="s">
        <v>6</v>
      </c>
      <c r="G8" s="27" t="s">
        <v>159</v>
      </c>
      <c r="H8" s="27" t="s">
        <v>18</v>
      </c>
      <c r="I8" s="12" t="s">
        <v>24</v>
      </c>
      <c r="J8" s="73" t="s">
        <v>19</v>
      </c>
      <c r="K8" s="29" t="s">
        <v>20</v>
      </c>
      <c r="L8" s="28" t="s">
        <v>21</v>
      </c>
      <c r="M8" s="39" t="s">
        <v>22</v>
      </c>
      <c r="N8" s="12" t="s">
        <v>7</v>
      </c>
      <c r="O8" s="39" t="s">
        <v>23</v>
      </c>
      <c r="P8" s="13"/>
      <c r="Q8" s="4"/>
      <c r="S8" s="11" t="s">
        <v>3</v>
      </c>
      <c r="T8" s="27" t="s">
        <v>9</v>
      </c>
      <c r="U8" s="162" t="s">
        <v>39</v>
      </c>
      <c r="V8" s="163" t="s">
        <v>40</v>
      </c>
      <c r="W8" s="163" t="s">
        <v>41</v>
      </c>
      <c r="X8" s="163" t="s">
        <v>42</v>
      </c>
      <c r="Y8" s="164" t="s">
        <v>43</v>
      </c>
      <c r="Z8" s="85" t="s">
        <v>21</v>
      </c>
      <c r="AA8" s="65" t="s">
        <v>46</v>
      </c>
      <c r="AB8" s="65" t="s">
        <v>7</v>
      </c>
      <c r="AC8" s="85" t="s">
        <v>167</v>
      </c>
      <c r="AD8" s="121" t="s">
        <v>107</v>
      </c>
      <c r="AE8" s="121" t="s">
        <v>225</v>
      </c>
      <c r="AF8" s="39" t="s">
        <v>23</v>
      </c>
      <c r="AG8" s="13"/>
      <c r="AI8" s="4"/>
    </row>
    <row r="9" spans="1:35" s="308" customFormat="1" x14ac:dyDescent="0.25">
      <c r="B9" s="306">
        <v>1</v>
      </c>
      <c r="C9" s="307" t="s">
        <v>10</v>
      </c>
      <c r="D9" s="294">
        <f>'Reporte Componentes R1'!F61</f>
        <v>0</v>
      </c>
      <c r="E9" s="294">
        <f>'Reporte Componentes R1'!G61</f>
        <v>0</v>
      </c>
      <c r="F9" s="294">
        <f>'Reporte Componentes R1'!H61</f>
        <v>0</v>
      </c>
      <c r="G9" s="294">
        <f>'Reporte Componentes R1'!I61</f>
        <v>0</v>
      </c>
      <c r="H9" s="294">
        <f>'Reporte Componentes R1'!J61</f>
        <v>0</v>
      </c>
      <c r="I9" s="294">
        <f>'Reporte Componentes R1'!K61</f>
        <v>0</v>
      </c>
      <c r="J9" s="294">
        <v>0</v>
      </c>
      <c r="K9" s="296">
        <f>D9-E9-F9-G9-H9-I9-J9</f>
        <v>0</v>
      </c>
      <c r="L9" s="297">
        <v>0</v>
      </c>
      <c r="M9" s="296">
        <f>K9-L9</f>
        <v>0</v>
      </c>
      <c r="N9" s="297">
        <f>'Reporte Componentes R1'!L61</f>
        <v>0</v>
      </c>
      <c r="O9" s="296">
        <f>M9+N9</f>
        <v>0</v>
      </c>
      <c r="Q9" s="309"/>
      <c r="S9" s="306">
        <v>1</v>
      </c>
      <c r="T9" s="307" t="s">
        <v>10</v>
      </c>
      <c r="U9" s="310">
        <f>'Reporte Componentes R1'!M61</f>
        <v>0</v>
      </c>
      <c r="V9" s="310">
        <f>'Reporte Componentes R1'!N61</f>
        <v>0</v>
      </c>
      <c r="W9" s="310">
        <f>'Reporte Componentes R1'!O61</f>
        <v>0</v>
      </c>
      <c r="X9" s="310">
        <f>'Reporte Componentes R1'!P61</f>
        <v>0</v>
      </c>
      <c r="Y9" s="310">
        <f>'Reporte Componentes R1'!Q61</f>
        <v>0</v>
      </c>
      <c r="Z9" s="322">
        <f>L9*-1</f>
        <v>0</v>
      </c>
      <c r="AA9" s="323">
        <f>'Reporte Componentes R1'!R61+'Reporte Componentes R1'!V157+'Reporte Componentes R1'!U61</f>
        <v>0</v>
      </c>
      <c r="AB9" s="297">
        <f>N9</f>
        <v>0</v>
      </c>
      <c r="AC9" s="323">
        <f>'Reporte Componentes R1'!T61+'Reporte Componentes R1'!W61+'Reporte Componentes R1'!X61+'Reporte Componentes R1'!Y61+'Reporte Componentes R1'!Z61+'Reporte Componentes R1'!S61</f>
        <v>0</v>
      </c>
      <c r="AD9" s="294">
        <f>-J9+AE9</f>
        <v>0</v>
      </c>
      <c r="AE9" s="294">
        <f>'Reporte Componentes R1'!F62</f>
        <v>0</v>
      </c>
      <c r="AF9" s="316">
        <f>SUM(U9:AD9)</f>
        <v>0</v>
      </c>
      <c r="AG9" s="314">
        <f>(AF9-O9)</f>
        <v>0</v>
      </c>
      <c r="AH9" s="1" t="b">
        <f>INT(AG9)=0</f>
        <v>1</v>
      </c>
      <c r="AI9" s="309"/>
    </row>
    <row r="10" spans="1:35" s="308" customFormat="1" x14ac:dyDescent="0.25">
      <c r="B10" s="317">
        <v>2</v>
      </c>
      <c r="C10" s="318" t="s">
        <v>11</v>
      </c>
      <c r="D10" s="294">
        <f>'Reporte Componentes R1'!F191</f>
        <v>0</v>
      </c>
      <c r="E10" s="294">
        <f>'Reporte Componentes R1'!G191</f>
        <v>0</v>
      </c>
      <c r="F10" s="294">
        <f>'Reporte Componentes R1'!H191</f>
        <v>0</v>
      </c>
      <c r="G10" s="294">
        <f>'Reporte Componentes R1'!I191</f>
        <v>0</v>
      </c>
      <c r="H10" s="294">
        <f>'Reporte Componentes R1'!J191</f>
        <v>0</v>
      </c>
      <c r="I10" s="294">
        <f>'Reporte Componentes R1'!K191</f>
        <v>0</v>
      </c>
      <c r="J10" s="294">
        <v>0</v>
      </c>
      <c r="K10" s="298">
        <f t="shared" ref="K10:K13" si="0">D10-E10-F10-G10-H10-I10-J10</f>
        <v>0</v>
      </c>
      <c r="L10" s="297">
        <v>0</v>
      </c>
      <c r="M10" s="298">
        <f>K10-L10</f>
        <v>0</v>
      </c>
      <c r="N10" s="297">
        <f>'Reporte Componentes R1'!L191</f>
        <v>0</v>
      </c>
      <c r="O10" s="298">
        <f t="shared" ref="O10:O12" si="1">M10+N10</f>
        <v>0</v>
      </c>
      <c r="Q10" s="309"/>
      <c r="S10" s="317">
        <v>2</v>
      </c>
      <c r="T10" s="318" t="s">
        <v>11</v>
      </c>
      <c r="U10" s="319">
        <f>'Reporte Componentes R1'!M191</f>
        <v>0</v>
      </c>
      <c r="V10" s="319">
        <f>'Reporte Componentes R1'!N191</f>
        <v>0</v>
      </c>
      <c r="W10" s="319">
        <f>'Reporte Componentes R1'!O191</f>
        <v>0</v>
      </c>
      <c r="X10" s="319">
        <f>'Reporte Componentes R1'!P191</f>
        <v>0</v>
      </c>
      <c r="Y10" s="319">
        <f>'Reporte Componentes R1'!Q191</f>
        <v>0</v>
      </c>
      <c r="Z10" s="322">
        <f>L10*-1</f>
        <v>0</v>
      </c>
      <c r="AA10" s="323">
        <f>'Reporte Componentes R1'!R191+'Reporte Componentes R1'!V191+'Reporte Componentes R1'!U191</f>
        <v>0</v>
      </c>
      <c r="AB10" s="297">
        <f>N10</f>
        <v>0</v>
      </c>
      <c r="AC10" s="323">
        <f>'Reporte Componentes R1'!T191+'Reporte Componentes R1'!W191+'Reporte Componentes R1'!X191+'Reporte Componentes R1'!Y191+'Reporte Componentes R1'!Z191+'Reporte Componentes R1'!S191</f>
        <v>0</v>
      </c>
      <c r="AD10" s="294">
        <f t="shared" ref="AD10:AD13" si="2">-J10+AE10</f>
        <v>0</v>
      </c>
      <c r="AE10" s="294">
        <f>'Reporte Componentes R1'!F192</f>
        <v>0</v>
      </c>
      <c r="AF10" s="325">
        <f>SUM(U10:AD10)</f>
        <v>0</v>
      </c>
      <c r="AG10" s="326">
        <f>(AF10-O10)</f>
        <v>0</v>
      </c>
      <c r="AH10" s="1" t="b">
        <f t="shared" ref="AH10:AH14" si="3">INT(AG10)=0</f>
        <v>1</v>
      </c>
      <c r="AI10" s="309"/>
    </row>
    <row r="11" spans="1:35" s="308" customFormat="1" x14ac:dyDescent="0.25">
      <c r="B11" s="317">
        <v>3</v>
      </c>
      <c r="C11" s="318" t="s">
        <v>12</v>
      </c>
      <c r="D11" s="294">
        <f>'Reporte Componentes R1'!F331</f>
        <v>0</v>
      </c>
      <c r="E11" s="294">
        <f>'Reporte Componentes R1'!G331</f>
        <v>0</v>
      </c>
      <c r="F11" s="294">
        <f>'Reporte Componentes R1'!H331</f>
        <v>0</v>
      </c>
      <c r="G11" s="294">
        <f>'Reporte Componentes R1'!I331</f>
        <v>0</v>
      </c>
      <c r="H11" s="294">
        <f>'Reporte Componentes R1'!J331</f>
        <v>0</v>
      </c>
      <c r="I11" s="294">
        <f>'Reporte Componentes R1'!K331</f>
        <v>0</v>
      </c>
      <c r="J11" s="294">
        <v>0</v>
      </c>
      <c r="K11" s="298">
        <f t="shared" si="0"/>
        <v>0</v>
      </c>
      <c r="L11" s="297">
        <v>0</v>
      </c>
      <c r="M11" s="298">
        <f>K11-L11</f>
        <v>0</v>
      </c>
      <c r="N11" s="297">
        <f>'Reporte Componentes R1'!L331</f>
        <v>0</v>
      </c>
      <c r="O11" s="298">
        <f t="shared" si="1"/>
        <v>0</v>
      </c>
      <c r="Q11" s="309"/>
      <c r="S11" s="317">
        <v>3</v>
      </c>
      <c r="T11" s="318" t="s">
        <v>12</v>
      </c>
      <c r="U11" s="319">
        <f>'Reporte Componentes R1'!M331</f>
        <v>0</v>
      </c>
      <c r="V11" s="319">
        <f>'Reporte Componentes R1'!N331</f>
        <v>0</v>
      </c>
      <c r="W11" s="319">
        <f>'Reporte Componentes R1'!O331</f>
        <v>0</v>
      </c>
      <c r="X11" s="319">
        <f>'Reporte Componentes R1'!P331</f>
        <v>0</v>
      </c>
      <c r="Y11" s="319">
        <f>'Reporte Componentes R1'!Q331</f>
        <v>0</v>
      </c>
      <c r="Z11" s="322">
        <f>L11*-1</f>
        <v>0</v>
      </c>
      <c r="AA11" s="323">
        <f>'Reporte Componentes R1'!R331+'Reporte Componentes R1'!V331+'Reporte Componentes R1'!U331</f>
        <v>0</v>
      </c>
      <c r="AB11" s="297">
        <f>N11</f>
        <v>0</v>
      </c>
      <c r="AC11" s="323">
        <f>'Reporte Componentes R1'!T331+'Reporte Componentes R1'!W331+'Reporte Componentes R1'!X331+'Reporte Componentes R1'!Y331+'Reporte Componentes R1'!Z331+'Reporte Componentes R1'!S331</f>
        <v>0</v>
      </c>
      <c r="AD11" s="294">
        <f t="shared" si="2"/>
        <v>0</v>
      </c>
      <c r="AE11" s="294">
        <f>'Reporte Componentes R1'!F332</f>
        <v>0</v>
      </c>
      <c r="AF11" s="325">
        <f t="shared" ref="AF11:AF13" si="4">SUM(U11:AD11)</f>
        <v>0</v>
      </c>
      <c r="AG11" s="326">
        <f>(AF11-O11)</f>
        <v>0</v>
      </c>
      <c r="AH11" s="1" t="b">
        <f t="shared" si="3"/>
        <v>1</v>
      </c>
      <c r="AI11" s="309"/>
    </row>
    <row r="12" spans="1:35" s="308" customFormat="1" x14ac:dyDescent="0.25">
      <c r="B12" s="317">
        <v>4</v>
      </c>
      <c r="C12" s="318" t="s">
        <v>13</v>
      </c>
      <c r="D12" s="294">
        <f>'Reporte Componentes R1'!F452</f>
        <v>0</v>
      </c>
      <c r="E12" s="294">
        <f>'Reporte Componentes R1'!G452</f>
        <v>0</v>
      </c>
      <c r="F12" s="294">
        <f>'Reporte Componentes R1'!H452</f>
        <v>0</v>
      </c>
      <c r="G12" s="294">
        <f>'Reporte Componentes R1'!I452</f>
        <v>0</v>
      </c>
      <c r="H12" s="294">
        <f>'Reporte Componentes R1'!J452</f>
        <v>0</v>
      </c>
      <c r="I12" s="294">
        <f>'Reporte Componentes R1'!K452</f>
        <v>0</v>
      </c>
      <c r="J12" s="294">
        <v>0</v>
      </c>
      <c r="K12" s="298">
        <f t="shared" si="0"/>
        <v>0</v>
      </c>
      <c r="L12" s="297">
        <v>0</v>
      </c>
      <c r="M12" s="298">
        <f>K12-L12</f>
        <v>0</v>
      </c>
      <c r="N12" s="297">
        <f>'Reporte Componentes R1'!L452</f>
        <v>0</v>
      </c>
      <c r="O12" s="298">
        <f t="shared" si="1"/>
        <v>0</v>
      </c>
      <c r="Q12" s="309"/>
      <c r="S12" s="317">
        <v>4</v>
      </c>
      <c r="T12" s="318" t="s">
        <v>13</v>
      </c>
      <c r="U12" s="319">
        <f>'Reporte Componentes R1'!M452</f>
        <v>0</v>
      </c>
      <c r="V12" s="319">
        <f>'Reporte Componentes R1'!N452</f>
        <v>0</v>
      </c>
      <c r="W12" s="319">
        <f>'Reporte Componentes R1'!O452</f>
        <v>0</v>
      </c>
      <c r="X12" s="319">
        <f>'Reporte Componentes R1'!P452</f>
        <v>0</v>
      </c>
      <c r="Y12" s="319">
        <f>'Reporte Componentes R1'!Q452</f>
        <v>0</v>
      </c>
      <c r="Z12" s="322">
        <f>L12*-1</f>
        <v>0</v>
      </c>
      <c r="AA12" s="323">
        <f>'Reporte Componentes R1'!R452+'Reporte Componentes R1'!V452+'Reporte Componentes R1'!U452</f>
        <v>0</v>
      </c>
      <c r="AB12" s="297">
        <f>N12</f>
        <v>0</v>
      </c>
      <c r="AC12" s="323">
        <f>'Reporte Componentes R1'!T452+'Reporte Componentes R1'!W452+'Reporte Componentes R1'!X452+'Reporte Componentes R1'!Y452+'Reporte Componentes R1'!Z452+'Reporte Componentes R1'!S452</f>
        <v>0</v>
      </c>
      <c r="AD12" s="294">
        <f t="shared" si="2"/>
        <v>0</v>
      </c>
      <c r="AE12" s="294">
        <f>'Reporte Componentes R1'!F453</f>
        <v>0</v>
      </c>
      <c r="AF12" s="325">
        <f t="shared" si="4"/>
        <v>0</v>
      </c>
      <c r="AG12" s="326">
        <f>(AF12-O12)</f>
        <v>0</v>
      </c>
      <c r="AH12" s="1" t="b">
        <f t="shared" si="3"/>
        <v>1</v>
      </c>
      <c r="AI12" s="309"/>
    </row>
    <row r="13" spans="1:35" s="308" customFormat="1" ht="12" thickBot="1" x14ac:dyDescent="0.3">
      <c r="B13" s="327">
        <v>5</v>
      </c>
      <c r="C13" s="328" t="s">
        <v>14</v>
      </c>
      <c r="D13" s="299">
        <f>'Reporte Componentes R1'!F534</f>
        <v>126372775.04000001</v>
      </c>
      <c r="E13" s="299">
        <f>'Reporte Componentes R1'!G534</f>
        <v>8720551.6300000008</v>
      </c>
      <c r="F13" s="299">
        <f>'Reporte Componentes R1'!H534</f>
        <v>4857263.71</v>
      </c>
      <c r="G13" s="299">
        <f>'Reporte Componentes R1'!I534</f>
        <v>2598417</v>
      </c>
      <c r="H13" s="299">
        <f>'Reporte Componentes R1'!J534</f>
        <v>30682714.440000001</v>
      </c>
      <c r="I13" s="299">
        <f>'Reporte Componentes R1'!K534</f>
        <v>1156017.44</v>
      </c>
      <c r="J13" s="299">
        <v>0</v>
      </c>
      <c r="K13" s="298">
        <f t="shared" si="0"/>
        <v>78357810.820000023</v>
      </c>
      <c r="L13" s="297">
        <v>0</v>
      </c>
      <c r="M13" s="301">
        <f>K13-L13</f>
        <v>78357810.820000023</v>
      </c>
      <c r="N13" s="302">
        <f>'Reporte Componentes R1'!L534</f>
        <v>139.96</v>
      </c>
      <c r="O13" s="301">
        <f>M13+N13</f>
        <v>78357950.780000016</v>
      </c>
      <c r="Q13" s="309"/>
      <c r="S13" s="327">
        <v>5</v>
      </c>
      <c r="T13" s="328" t="s">
        <v>14</v>
      </c>
      <c r="U13" s="299">
        <f>'Reporte Componentes R1'!M534</f>
        <v>10077020.48</v>
      </c>
      <c r="V13" s="299">
        <f>'Reporte Componentes R1'!N534</f>
        <v>9898566.1699999999</v>
      </c>
      <c r="W13" s="299">
        <f>'Reporte Componentes R1'!O534</f>
        <v>52291951.810000002</v>
      </c>
      <c r="X13" s="299">
        <f>'Reporte Componentes R1'!P534</f>
        <v>25048291.640000001</v>
      </c>
      <c r="Y13" s="299">
        <f>'Reporte Componentes R1'!Q534</f>
        <v>1891089.15</v>
      </c>
      <c r="Z13" s="322">
        <f>L13*-1</f>
        <v>0</v>
      </c>
      <c r="AA13" s="323">
        <f>'Reporte Componentes R1'!R534+'Reporte Componentes R1'!V534+'Reporte Componentes R1'!U534</f>
        <v>2097.96</v>
      </c>
      <c r="AB13" s="297">
        <f>N13</f>
        <v>139.96</v>
      </c>
      <c r="AC13" s="323">
        <f>'Reporte Componentes R1'!T534+'Reporte Componentes R1'!W534+'Reporte Componentes R1'!X534+'Reporte Componentes R1'!Y534+'Reporte Componentes R1'!Z534+'Reporte Componentes R1'!S534</f>
        <v>-0.02</v>
      </c>
      <c r="AD13" s="294">
        <f t="shared" si="2"/>
        <v>-20851206.370000001</v>
      </c>
      <c r="AE13" s="294">
        <f>'Reporte Componentes R1'!F535</f>
        <v>-20851206.370000001</v>
      </c>
      <c r="AF13" s="325">
        <f t="shared" si="4"/>
        <v>78357950.780000001</v>
      </c>
      <c r="AG13" s="329">
        <f>(AF13-O13)</f>
        <v>-1.4901161193847656E-8</v>
      </c>
      <c r="AH13" s="1" t="b">
        <f t="shared" si="3"/>
        <v>0</v>
      </c>
      <c r="AI13" s="309"/>
    </row>
    <row r="14" spans="1:35" s="308" customFormat="1" ht="13.5" thickBot="1" x14ac:dyDescent="0.35">
      <c r="B14" s="330"/>
      <c r="C14" s="331" t="s">
        <v>2</v>
      </c>
      <c r="D14" s="293">
        <f>SUM(D9:D13)</f>
        <v>126372775.04000001</v>
      </c>
      <c r="E14" s="293">
        <f t="shared" ref="E14:O14" si="5">SUM(E9:E13)</f>
        <v>8720551.6300000008</v>
      </c>
      <c r="F14" s="293">
        <f t="shared" si="5"/>
        <v>4857263.71</v>
      </c>
      <c r="G14" s="293">
        <f t="shared" si="5"/>
        <v>2598417</v>
      </c>
      <c r="H14" s="293">
        <f t="shared" si="5"/>
        <v>30682714.440000001</v>
      </c>
      <c r="I14" s="293">
        <f t="shared" si="5"/>
        <v>1156017.44</v>
      </c>
      <c r="J14" s="293">
        <f t="shared" si="5"/>
        <v>0</v>
      </c>
      <c r="K14" s="303">
        <f t="shared" si="5"/>
        <v>78357810.820000023</v>
      </c>
      <c r="L14" s="304">
        <f>SUM(L9:L13)</f>
        <v>0</v>
      </c>
      <c r="M14" s="305">
        <f t="shared" si="5"/>
        <v>78357810.820000023</v>
      </c>
      <c r="N14" s="304">
        <f t="shared" si="5"/>
        <v>139.96</v>
      </c>
      <c r="O14" s="305">
        <f t="shared" si="5"/>
        <v>78357950.780000016</v>
      </c>
      <c r="P14" s="332"/>
      <c r="Q14" s="309"/>
      <c r="S14" s="330"/>
      <c r="T14" s="331" t="s">
        <v>2</v>
      </c>
      <c r="U14" s="333">
        <f>SUM(U9:U13)</f>
        <v>10077020.48</v>
      </c>
      <c r="V14" s="333">
        <f t="shared" ref="V14:AF14" si="6">SUM(V9:V13)</f>
        <v>9898566.1699999999</v>
      </c>
      <c r="W14" s="333">
        <f t="shared" si="6"/>
        <v>52291951.810000002</v>
      </c>
      <c r="X14" s="333">
        <f t="shared" si="6"/>
        <v>25048291.640000001</v>
      </c>
      <c r="Y14" s="333">
        <f t="shared" si="6"/>
        <v>1891089.15</v>
      </c>
      <c r="Z14" s="293">
        <f t="shared" si="6"/>
        <v>0</v>
      </c>
      <c r="AA14" s="293">
        <f t="shared" si="6"/>
        <v>2097.96</v>
      </c>
      <c r="AB14" s="293">
        <f t="shared" si="6"/>
        <v>139.96</v>
      </c>
      <c r="AC14" s="293">
        <f t="shared" si="6"/>
        <v>-0.02</v>
      </c>
      <c r="AD14" s="293">
        <f>SUM(AD9:AD13)</f>
        <v>-20851206.370000001</v>
      </c>
      <c r="AE14" s="293">
        <f>SUM(AE9:AE13)</f>
        <v>-20851206.370000001</v>
      </c>
      <c r="AF14" s="334">
        <f t="shared" si="6"/>
        <v>78357950.780000001</v>
      </c>
      <c r="AG14" s="335">
        <f>SUM(AG9:AG13)</f>
        <v>-1.4901161193847656E-8</v>
      </c>
      <c r="AH14" s="1" t="b">
        <f t="shared" si="3"/>
        <v>0</v>
      </c>
      <c r="AI14" s="309"/>
    </row>
    <row r="15" spans="1:35" ht="12" thickBot="1" x14ac:dyDescent="0.3">
      <c r="B15" s="2"/>
      <c r="C15" s="2"/>
      <c r="D15" s="24"/>
      <c r="E15" s="24"/>
      <c r="F15" s="24"/>
      <c r="G15" s="24"/>
      <c r="H15" s="24"/>
      <c r="I15" s="24"/>
      <c r="K15" s="24"/>
      <c r="L15" s="24"/>
      <c r="M15" s="24"/>
      <c r="N15" s="24"/>
      <c r="O15" s="24"/>
      <c r="Q15" s="4"/>
      <c r="S15" s="2"/>
      <c r="T15" s="2"/>
      <c r="U15" s="24"/>
      <c r="V15" s="24"/>
      <c r="W15" s="24"/>
      <c r="X15" s="24"/>
      <c r="Y15" s="24"/>
      <c r="AF15" s="24"/>
      <c r="AI15" s="4"/>
    </row>
    <row r="16" spans="1:35" ht="12" thickBot="1" x14ac:dyDescent="0.3">
      <c r="B16" s="2"/>
      <c r="C16" s="2"/>
      <c r="D16" s="24"/>
      <c r="E16" s="24" t="s">
        <v>1</v>
      </c>
      <c r="F16" s="24" t="s">
        <v>1</v>
      </c>
      <c r="G16" s="24"/>
      <c r="H16" s="24" t="s">
        <v>1</v>
      </c>
      <c r="I16" s="24" t="s">
        <v>1</v>
      </c>
      <c r="K16" s="24"/>
      <c r="L16" s="24" t="s">
        <v>1</v>
      </c>
      <c r="M16" s="24"/>
      <c r="N16" s="24"/>
      <c r="O16" s="24"/>
      <c r="Q16" s="4"/>
      <c r="Y16" s="86">
        <f>SUM(U14:Y14)</f>
        <v>99206919.250000015</v>
      </c>
      <c r="AA16" s="1" t="s">
        <v>1</v>
      </c>
      <c r="AB16" s="1" t="s">
        <v>1</v>
      </c>
      <c r="AD16" s="1" t="s">
        <v>1</v>
      </c>
      <c r="AF16" s="1" t="s">
        <v>1</v>
      </c>
      <c r="AI16" s="4"/>
    </row>
    <row r="17" spans="1:35" ht="12" thickBot="1" x14ac:dyDescent="0.3">
      <c r="B17" s="2"/>
      <c r="C17" s="2"/>
      <c r="D17" s="24" t="s">
        <v>1</v>
      </c>
      <c r="E17" s="33"/>
      <c r="F17" s="33"/>
      <c r="G17" s="33"/>
      <c r="H17" s="33"/>
      <c r="I17" s="24" t="s">
        <v>1</v>
      </c>
      <c r="K17" s="24"/>
      <c r="L17" s="24" t="s">
        <v>1</v>
      </c>
      <c r="M17" s="24"/>
      <c r="N17" s="24"/>
      <c r="O17" s="24"/>
      <c r="Q17" s="4"/>
      <c r="AI17" s="4"/>
    </row>
    <row r="18" spans="1:35" x14ac:dyDescent="0.25">
      <c r="B18" s="2"/>
      <c r="C18" s="2"/>
      <c r="D18" s="24" t="s">
        <v>1</v>
      </c>
      <c r="E18" s="24" t="s">
        <v>1</v>
      </c>
      <c r="F18" s="24" t="s">
        <v>25</v>
      </c>
      <c r="G18" s="24"/>
      <c r="H18" s="24"/>
      <c r="I18" s="241"/>
      <c r="K18" s="24"/>
      <c r="L18" s="24"/>
      <c r="M18" s="24"/>
      <c r="N18" s="24"/>
      <c r="O18" s="24"/>
      <c r="Q18" s="4"/>
      <c r="AI18" s="4"/>
    </row>
    <row r="19" spans="1:35" x14ac:dyDescent="0.25">
      <c r="A19" s="4"/>
      <c r="B19" s="34"/>
      <c r="C19" s="34"/>
      <c r="D19" s="35"/>
      <c r="E19" s="35"/>
      <c r="F19" s="35"/>
      <c r="G19" s="35"/>
      <c r="H19" s="35"/>
      <c r="I19" s="35"/>
      <c r="J19" s="4"/>
      <c r="K19" s="35"/>
      <c r="L19" s="35"/>
      <c r="M19" s="35"/>
      <c r="N19" s="35"/>
      <c r="O19" s="35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</row>
    <row r="20" spans="1:35" ht="12" thickBot="1" x14ac:dyDescent="0.3">
      <c r="Q20" s="4"/>
      <c r="AI20" s="4"/>
    </row>
    <row r="21" spans="1:35" x14ac:dyDescent="0.25">
      <c r="B21" s="5"/>
      <c r="C21" s="3" t="s">
        <v>1</v>
      </c>
      <c r="D21" s="6" t="s">
        <v>1</v>
      </c>
      <c r="E21" s="3"/>
      <c r="F21" s="3"/>
      <c r="G21" s="3"/>
      <c r="H21" s="3" t="s">
        <v>1</v>
      </c>
      <c r="I21" s="3"/>
      <c r="J21" s="3"/>
      <c r="K21" s="3"/>
      <c r="L21" s="3"/>
      <c r="M21" s="3"/>
      <c r="N21" s="3"/>
      <c r="O21" s="7"/>
      <c r="P21" s="2"/>
      <c r="Q21" s="4"/>
      <c r="S21" s="5"/>
      <c r="T21" s="3" t="s">
        <v>1</v>
      </c>
      <c r="U21" s="6" t="s">
        <v>1</v>
      </c>
      <c r="V21" s="3"/>
      <c r="W21" s="3"/>
      <c r="X21" s="3" t="s">
        <v>1</v>
      </c>
      <c r="Y21" s="3"/>
      <c r="Z21" s="3"/>
      <c r="AA21" s="3"/>
      <c r="AB21" s="3"/>
      <c r="AC21" s="3"/>
      <c r="AD21" s="3"/>
      <c r="AE21" s="3"/>
      <c r="AF21" s="7"/>
      <c r="AG21" s="2"/>
      <c r="AI21" s="4"/>
    </row>
    <row r="22" spans="1:35" ht="14" x14ac:dyDescent="0.3">
      <c r="B22" s="8"/>
      <c r="F22" s="26" t="s">
        <v>8</v>
      </c>
      <c r="G22" s="26"/>
      <c r="I22" s="26" t="s">
        <v>16</v>
      </c>
      <c r="J22" s="25"/>
      <c r="M22" s="2" t="s">
        <v>15</v>
      </c>
      <c r="N22" s="50">
        <f>N3</f>
        <v>2026071</v>
      </c>
      <c r="O22" s="10"/>
      <c r="P22" s="2"/>
      <c r="Q22" s="4"/>
      <c r="S22" s="8"/>
      <c r="U22" s="26" t="s">
        <v>8</v>
      </c>
      <c r="W22" s="26" t="s">
        <v>16</v>
      </c>
      <c r="X22" s="25"/>
      <c r="Y22" s="2"/>
      <c r="AA22" s="2" t="s">
        <v>15</v>
      </c>
      <c r="AD22" s="84">
        <f>N22</f>
        <v>2026071</v>
      </c>
      <c r="AE22" s="84"/>
      <c r="AF22" s="48"/>
      <c r="AG22" s="2"/>
      <c r="AI22" s="4"/>
    </row>
    <row r="23" spans="1:35" ht="15.5" x14ac:dyDescent="0.35">
      <c r="B23" s="8"/>
      <c r="F23" s="36" t="s">
        <v>29</v>
      </c>
      <c r="G23" s="36"/>
      <c r="O23" s="10"/>
      <c r="P23" s="2"/>
      <c r="Q23" s="4"/>
      <c r="S23" s="8"/>
      <c r="T23" s="26" t="s">
        <v>1</v>
      </c>
      <c r="U23" s="36" t="s">
        <v>29</v>
      </c>
      <c r="Y23" s="2" t="s">
        <v>1</v>
      </c>
      <c r="AA23" s="50" t="s">
        <v>1</v>
      </c>
      <c r="AB23" s="2"/>
      <c r="AC23" s="2"/>
      <c r="AD23" s="2"/>
      <c r="AE23" s="2"/>
      <c r="AF23" s="10" t="s">
        <v>1</v>
      </c>
      <c r="AG23" s="2"/>
      <c r="AI23" s="4"/>
    </row>
    <row r="24" spans="1:35" ht="14" x14ac:dyDescent="0.3">
      <c r="B24" s="8"/>
      <c r="F24" s="2" t="s">
        <v>30</v>
      </c>
      <c r="G24" s="2"/>
      <c r="M24" s="2" t="s">
        <v>1</v>
      </c>
      <c r="O24" s="10"/>
      <c r="P24" s="2"/>
      <c r="Q24" s="4"/>
      <c r="S24" s="8"/>
      <c r="T24" s="49" t="s">
        <v>1</v>
      </c>
      <c r="U24" s="2" t="s">
        <v>30</v>
      </c>
      <c r="AF24" s="44"/>
      <c r="AG24" s="2"/>
      <c r="AI24" s="4"/>
    </row>
    <row r="25" spans="1:35" ht="15.5" x14ac:dyDescent="0.35">
      <c r="B25" s="8"/>
      <c r="C25" s="591" t="s">
        <v>17</v>
      </c>
      <c r="D25" s="9">
        <f>D6</f>
        <v>46220</v>
      </c>
      <c r="F25" s="41" t="s">
        <v>31</v>
      </c>
      <c r="G25" s="41"/>
      <c r="H25" s="2"/>
      <c r="J25" s="2"/>
      <c r="O25" s="10"/>
      <c r="P25" s="2"/>
      <c r="Q25" s="4"/>
      <c r="S25" s="8"/>
      <c r="T25" s="41" t="s">
        <v>1</v>
      </c>
      <c r="U25" s="41" t="s">
        <v>31</v>
      </c>
      <c r="V25" s="2"/>
      <c r="X25" s="2"/>
      <c r="Y25" s="2"/>
      <c r="AF25" s="48"/>
      <c r="AG25" s="2"/>
      <c r="AI25" s="4"/>
    </row>
    <row r="26" spans="1:35" ht="12" thickBot="1" x14ac:dyDescent="0.3">
      <c r="B26" s="8"/>
      <c r="C26" s="591" t="s">
        <v>0</v>
      </c>
      <c r="D26" s="241">
        <f>D7</f>
        <v>0.58333333333333337</v>
      </c>
      <c r="F26" s="2" t="s">
        <v>27</v>
      </c>
      <c r="G26" s="9">
        <f>G7</f>
        <v>46204</v>
      </c>
      <c r="J26" s="2" t="s">
        <v>28</v>
      </c>
      <c r="K26" s="9">
        <f>K7</f>
        <v>46218</v>
      </c>
      <c r="O26" s="10"/>
      <c r="P26" s="2"/>
      <c r="Q26" s="4"/>
      <c r="S26" s="8"/>
      <c r="U26" s="1" t="str">
        <f>F26</f>
        <v>Fecha Desde:</v>
      </c>
      <c r="V26" s="9">
        <f>G26</f>
        <v>46204</v>
      </c>
      <c r="W26" s="1" t="s">
        <v>1</v>
      </c>
      <c r="X26" s="1" t="str">
        <f>J26</f>
        <v>Feha Hasta:</v>
      </c>
      <c r="Y26" s="9">
        <f>K26</f>
        <v>46218</v>
      </c>
      <c r="Z26" s="1" t="s">
        <v>1</v>
      </c>
      <c r="AF26" s="48"/>
      <c r="AG26" s="2"/>
      <c r="AI26" s="4"/>
    </row>
    <row r="27" spans="1:35" ht="72" customHeight="1" thickBot="1" x14ac:dyDescent="0.3">
      <c r="B27" s="11" t="s">
        <v>3</v>
      </c>
      <c r="C27" s="27" t="s">
        <v>9</v>
      </c>
      <c r="D27" s="11" t="s">
        <v>4</v>
      </c>
      <c r="E27" s="12" t="s">
        <v>5</v>
      </c>
      <c r="F27" s="27" t="s">
        <v>6</v>
      </c>
      <c r="G27" s="27" t="s">
        <v>159</v>
      </c>
      <c r="H27" s="27" t="s">
        <v>18</v>
      </c>
      <c r="I27" s="12" t="s">
        <v>24</v>
      </c>
      <c r="J27" s="73" t="s">
        <v>19</v>
      </c>
      <c r="K27" s="29" t="s">
        <v>20</v>
      </c>
      <c r="L27" s="28" t="s">
        <v>21</v>
      </c>
      <c r="M27" s="39" t="s">
        <v>22</v>
      </c>
      <c r="N27" s="12" t="s">
        <v>7</v>
      </c>
      <c r="O27" s="39" t="s">
        <v>23</v>
      </c>
      <c r="P27" s="13"/>
      <c r="Q27" s="4"/>
      <c r="S27" s="11" t="s">
        <v>3</v>
      </c>
      <c r="T27" s="27" t="s">
        <v>9</v>
      </c>
      <c r="U27" s="162" t="s">
        <v>39</v>
      </c>
      <c r="V27" s="163" t="s">
        <v>40</v>
      </c>
      <c r="W27" s="163" t="s">
        <v>41</v>
      </c>
      <c r="X27" s="163" t="s">
        <v>42</v>
      </c>
      <c r="Y27" s="164" t="s">
        <v>43</v>
      </c>
      <c r="Z27" s="85" t="s">
        <v>21</v>
      </c>
      <c r="AA27" s="65" t="s">
        <v>46</v>
      </c>
      <c r="AB27" s="65" t="s">
        <v>7</v>
      </c>
      <c r="AC27" s="85" t="s">
        <v>167</v>
      </c>
      <c r="AD27" s="121" t="s">
        <v>107</v>
      </c>
      <c r="AE27" s="121" t="s">
        <v>225</v>
      </c>
      <c r="AF27" s="39" t="s">
        <v>23</v>
      </c>
      <c r="AG27" s="13"/>
      <c r="AI27" s="4"/>
    </row>
    <row r="28" spans="1:35" s="308" customFormat="1" x14ac:dyDescent="0.25">
      <c r="B28" s="306">
        <v>1</v>
      </c>
      <c r="C28" s="307" t="s">
        <v>10</v>
      </c>
      <c r="D28" s="294">
        <f>'Rem. Anticipos R2'!E50</f>
        <v>0</v>
      </c>
      <c r="E28" s="294">
        <f>'Rem. Anticipos R2'!F50</f>
        <v>0</v>
      </c>
      <c r="F28" s="294">
        <f>'Rem. Anticipos R2'!G50</f>
        <v>0</v>
      </c>
      <c r="G28" s="294">
        <f>'Rem. Anticipos R2'!H50</f>
        <v>0</v>
      </c>
      <c r="H28" s="294">
        <f>'Rem. Anticipos R2'!I50</f>
        <v>0</v>
      </c>
      <c r="I28" s="294">
        <f>'Rem. Anticipos R2'!J50</f>
        <v>0</v>
      </c>
      <c r="J28" s="294">
        <v>0</v>
      </c>
      <c r="K28" s="296">
        <f>D28-E28-F28-G28-H28-I28-J28</f>
        <v>0</v>
      </c>
      <c r="L28" s="297">
        <v>0</v>
      </c>
      <c r="M28" s="296">
        <f>K28-L28</f>
        <v>0</v>
      </c>
      <c r="N28" s="297">
        <f>'Rem. Anticipos R2'!K50</f>
        <v>0</v>
      </c>
      <c r="O28" s="296">
        <f>M28+N28</f>
        <v>0</v>
      </c>
      <c r="Q28" s="309"/>
      <c r="S28" s="306">
        <v>1</v>
      </c>
      <c r="T28" s="307" t="s">
        <v>10</v>
      </c>
      <c r="U28" s="310">
        <f>'Rem. Anticipos R2'!L50</f>
        <v>0</v>
      </c>
      <c r="V28" s="310">
        <f>'Rem. Anticipos R2'!M50</f>
        <v>0</v>
      </c>
      <c r="W28" s="310">
        <f>'Rem. Anticipos R2'!N50</f>
        <v>0</v>
      </c>
      <c r="X28" s="310">
        <f>'Rem. Anticipos R2'!O50</f>
        <v>0</v>
      </c>
      <c r="Y28" s="310">
        <f>'Rem. Anticipos R2'!P50</f>
        <v>0</v>
      </c>
      <c r="Z28" s="313">
        <f>L28*-1</f>
        <v>0</v>
      </c>
      <c r="AA28" s="314">
        <f>'Rem. Anticipos R2'!Q50</f>
        <v>0</v>
      </c>
      <c r="AB28" s="297">
        <f>N28</f>
        <v>0</v>
      </c>
      <c r="AC28" s="314">
        <f>'Rem. Anticipos R2'!R50</f>
        <v>0</v>
      </c>
      <c r="AD28" s="294">
        <f>-J28+AE28</f>
        <v>0</v>
      </c>
      <c r="AE28" s="294">
        <f>'Rem. Anticipos R2'!E51</f>
        <v>0</v>
      </c>
      <c r="AF28" s="316">
        <f>SUM(U28:AD28)</f>
        <v>0</v>
      </c>
      <c r="AG28" s="314">
        <f>(AF28-O28)</f>
        <v>0</v>
      </c>
      <c r="AH28" s="1" t="b">
        <f>INT(AG28)=0</f>
        <v>1</v>
      </c>
      <c r="AI28" s="309"/>
    </row>
    <row r="29" spans="1:35" s="308" customFormat="1" x14ac:dyDescent="0.25">
      <c r="B29" s="317">
        <v>2</v>
      </c>
      <c r="C29" s="318" t="s">
        <v>11</v>
      </c>
      <c r="D29" s="294">
        <f>'Rem. Anticipos R2'!E144</f>
        <v>0</v>
      </c>
      <c r="E29" s="295">
        <f>'Rem. Anticipos R2'!F144</f>
        <v>0</v>
      </c>
      <c r="F29" s="295">
        <f>'Rem. Anticipos R2'!G144</f>
        <v>0</v>
      </c>
      <c r="G29" s="295">
        <f>'Rem. Anticipos R2'!H144</f>
        <v>0</v>
      </c>
      <c r="H29" s="295">
        <f>'Rem. Anticipos R2'!I144</f>
        <v>0</v>
      </c>
      <c r="I29" s="295">
        <f>'Rem. Anticipos R2'!J144</f>
        <v>0</v>
      </c>
      <c r="J29" s="291">
        <v>0</v>
      </c>
      <c r="K29" s="298">
        <f t="shared" ref="K29:K31" si="7">D29-E29-F29-G29-H29-I29-J29</f>
        <v>0</v>
      </c>
      <c r="L29" s="297">
        <v>0</v>
      </c>
      <c r="M29" s="298">
        <f>K29-L29</f>
        <v>0</v>
      </c>
      <c r="N29" s="297">
        <f>'Rem. Anticipos R2'!K144</f>
        <v>0</v>
      </c>
      <c r="O29" s="298">
        <f t="shared" ref="O29:O32" si="8">M29+N29</f>
        <v>0</v>
      </c>
      <c r="Q29" s="309"/>
      <c r="S29" s="317">
        <v>2</v>
      </c>
      <c r="T29" s="318" t="s">
        <v>11</v>
      </c>
      <c r="U29" s="319">
        <f>'Rem. Anticipos R2'!L144</f>
        <v>0</v>
      </c>
      <c r="V29" s="320">
        <f>'Rem. Anticipos R2'!M144</f>
        <v>0</v>
      </c>
      <c r="W29" s="320">
        <f>'Rem. Anticipos R2'!N144</f>
        <v>0</v>
      </c>
      <c r="X29" s="320">
        <f>'Rem. Anticipos R2'!O144</f>
        <v>0</v>
      </c>
      <c r="Y29" s="321">
        <f>'Rem. Anticipos R2'!P144</f>
        <v>0</v>
      </c>
      <c r="Z29" s="322">
        <f>L29*-1</f>
        <v>0</v>
      </c>
      <c r="AA29" s="323">
        <f>'Rem. Anticipos R2'!Q144</f>
        <v>0</v>
      </c>
      <c r="AB29" s="297">
        <f>N29</f>
        <v>0</v>
      </c>
      <c r="AC29" s="323">
        <f>'Rem. Anticipos R2'!R144</f>
        <v>0</v>
      </c>
      <c r="AD29" s="294">
        <f>-J29+AE29</f>
        <v>0</v>
      </c>
      <c r="AE29" s="294">
        <f>'Rem. Anticipos R2'!E145</f>
        <v>0</v>
      </c>
      <c r="AF29" s="325">
        <f>SUM(U29:AD29)</f>
        <v>0</v>
      </c>
      <c r="AG29" s="326">
        <f>(AF29-O29)</f>
        <v>0</v>
      </c>
      <c r="AH29" s="1" t="b">
        <f t="shared" ref="AH29:AH33" si="9">INT(AG29)=0</f>
        <v>1</v>
      </c>
      <c r="AI29" s="309"/>
    </row>
    <row r="30" spans="1:35" s="308" customFormat="1" x14ac:dyDescent="0.25">
      <c r="B30" s="317">
        <v>3</v>
      </c>
      <c r="C30" s="318" t="s">
        <v>12</v>
      </c>
      <c r="D30" s="294">
        <f>'Rem. Anticipos R2'!E256</f>
        <v>0</v>
      </c>
      <c r="E30" s="294">
        <f>'Rem. Anticipos R2'!F256</f>
        <v>0</v>
      </c>
      <c r="F30" s="294">
        <f>'Rem. Anticipos R2'!G256</f>
        <v>0</v>
      </c>
      <c r="G30" s="294">
        <f>'Rem. Anticipos R2'!H256</f>
        <v>0</v>
      </c>
      <c r="H30" s="294">
        <f>'Rem. Anticipos R2'!I256</f>
        <v>0</v>
      </c>
      <c r="I30" s="294">
        <f>'Rem. Anticipos R2'!J256</f>
        <v>0</v>
      </c>
      <c r="J30" s="291">
        <v>0</v>
      </c>
      <c r="K30" s="298">
        <f t="shared" si="7"/>
        <v>0</v>
      </c>
      <c r="L30" s="297">
        <v>0</v>
      </c>
      <c r="M30" s="298">
        <f>K30-L30</f>
        <v>0</v>
      </c>
      <c r="N30" s="297">
        <f>'Rem. Anticipos R2'!K256</f>
        <v>0</v>
      </c>
      <c r="O30" s="298">
        <f t="shared" si="8"/>
        <v>0</v>
      </c>
      <c r="Q30" s="309"/>
      <c r="S30" s="317">
        <v>3</v>
      </c>
      <c r="T30" s="318" t="s">
        <v>12</v>
      </c>
      <c r="U30" s="319">
        <f>'Rem. Anticipos R2'!L256</f>
        <v>0</v>
      </c>
      <c r="V30" s="319">
        <f>'Rem. Anticipos R2'!M256</f>
        <v>0</v>
      </c>
      <c r="W30" s="319">
        <f>'Rem. Anticipos R2'!N256</f>
        <v>0</v>
      </c>
      <c r="X30" s="319">
        <f>'Rem. Anticipos R2'!O256</f>
        <v>0</v>
      </c>
      <c r="Y30" s="319">
        <f>'Rem. Anticipos R2'!P256</f>
        <v>0</v>
      </c>
      <c r="Z30" s="322">
        <f>L30*-1</f>
        <v>0</v>
      </c>
      <c r="AA30" s="323">
        <f>'Rem. Anticipos R2'!Q256</f>
        <v>0</v>
      </c>
      <c r="AB30" s="297">
        <f>N30</f>
        <v>0</v>
      </c>
      <c r="AC30" s="323">
        <f>'Rem. Anticipos R2'!R256</f>
        <v>0</v>
      </c>
      <c r="AD30" s="294">
        <f t="shared" ref="AD30:AD32" si="10">-J30+AE30</f>
        <v>0</v>
      </c>
      <c r="AE30" s="294">
        <f>'Rem. Anticipos R2'!E257</f>
        <v>0</v>
      </c>
      <c r="AF30" s="325">
        <f>SUM(U30:AD30)</f>
        <v>0</v>
      </c>
      <c r="AG30" s="326">
        <f t="shared" ref="AG30:AG31" si="11">(AF30-O30)</f>
        <v>0</v>
      </c>
      <c r="AH30" s="1" t="b">
        <f t="shared" si="9"/>
        <v>1</v>
      </c>
      <c r="AI30" s="309"/>
    </row>
    <row r="31" spans="1:35" s="308" customFormat="1" x14ac:dyDescent="0.25">
      <c r="B31" s="317">
        <v>4</v>
      </c>
      <c r="C31" s="318" t="s">
        <v>13</v>
      </c>
      <c r="D31" s="294">
        <f>'Rem. Anticipos R2'!E352</f>
        <v>0</v>
      </c>
      <c r="E31" s="294">
        <f>'Rem. Anticipos R2'!F352</f>
        <v>0</v>
      </c>
      <c r="F31" s="294">
        <f>'Rem. Anticipos R2'!G352</f>
        <v>0</v>
      </c>
      <c r="G31" s="294">
        <f>'Rem. Anticipos R2'!H352</f>
        <v>0</v>
      </c>
      <c r="H31" s="294">
        <f>'Rem. Anticipos R2'!I352</f>
        <v>0</v>
      </c>
      <c r="I31" s="294">
        <f>'Rem. Anticipos R2'!J352</f>
        <v>0</v>
      </c>
      <c r="J31" s="291">
        <v>0</v>
      </c>
      <c r="K31" s="298">
        <f t="shared" si="7"/>
        <v>0</v>
      </c>
      <c r="L31" s="297">
        <v>0</v>
      </c>
      <c r="M31" s="298">
        <f>K31-L31</f>
        <v>0</v>
      </c>
      <c r="N31" s="297">
        <f>'Rem. Anticipos R2'!K352</f>
        <v>0</v>
      </c>
      <c r="O31" s="298">
        <f t="shared" si="8"/>
        <v>0</v>
      </c>
      <c r="Q31" s="309"/>
      <c r="S31" s="317">
        <v>4</v>
      </c>
      <c r="T31" s="318" t="s">
        <v>13</v>
      </c>
      <c r="U31" s="319">
        <f>'Rem. Anticipos R2'!L352</f>
        <v>0</v>
      </c>
      <c r="V31" s="319">
        <f>'Rem. Anticipos R2'!M352</f>
        <v>0</v>
      </c>
      <c r="W31" s="319">
        <f>'Rem. Anticipos R2'!N352</f>
        <v>0</v>
      </c>
      <c r="X31" s="319">
        <f>'Rem. Anticipos R2'!O352</f>
        <v>0</v>
      </c>
      <c r="Y31" s="319">
        <f>'Rem. Anticipos R2'!P352</f>
        <v>0</v>
      </c>
      <c r="Z31" s="322">
        <f>L31*-1</f>
        <v>0</v>
      </c>
      <c r="AA31" s="323">
        <f>'Rem. Anticipos R2'!Q352</f>
        <v>0</v>
      </c>
      <c r="AB31" s="297">
        <f>N31</f>
        <v>0</v>
      </c>
      <c r="AC31" s="323">
        <f>'Rem. Anticipos R2'!R352</f>
        <v>0</v>
      </c>
      <c r="AD31" s="294">
        <f t="shared" si="10"/>
        <v>0</v>
      </c>
      <c r="AE31" s="294">
        <f>'Rem. Anticipos R2'!E353</f>
        <v>0</v>
      </c>
      <c r="AF31" s="325">
        <f>SUM(U31:AD31)</f>
        <v>0</v>
      </c>
      <c r="AG31" s="326">
        <f t="shared" si="11"/>
        <v>0</v>
      </c>
      <c r="AH31" s="1" t="b">
        <f t="shared" si="9"/>
        <v>1</v>
      </c>
      <c r="AI31" s="309"/>
    </row>
    <row r="32" spans="1:35" s="308" customFormat="1" ht="12" thickBot="1" x14ac:dyDescent="0.3">
      <c r="B32" s="327">
        <v>5</v>
      </c>
      <c r="C32" s="328" t="s">
        <v>14</v>
      </c>
      <c r="D32" s="299">
        <f>'Rem. Anticipos R2'!E422</f>
        <v>0</v>
      </c>
      <c r="E32" s="299">
        <f>'Rem. Anticipos R2'!F422</f>
        <v>0</v>
      </c>
      <c r="F32" s="299">
        <f>'Rem. Anticipos R2'!G422</f>
        <v>0</v>
      </c>
      <c r="G32" s="299">
        <f>'Rem. Anticipos R2'!H422</f>
        <v>0</v>
      </c>
      <c r="H32" s="299">
        <f>'Rem. Anticipos R2'!I422</f>
        <v>0</v>
      </c>
      <c r="I32" s="299">
        <f>'Rem. Anticipos R2'!J422</f>
        <v>0</v>
      </c>
      <c r="J32" s="292">
        <v>0</v>
      </c>
      <c r="K32" s="298">
        <f>D32-E32-F32-G32-H32-I32-J32</f>
        <v>0</v>
      </c>
      <c r="L32" s="297">
        <v>0</v>
      </c>
      <c r="M32" s="301">
        <f>K32-L32</f>
        <v>0</v>
      </c>
      <c r="N32" s="302">
        <f>'Rem. Anticipos R2'!K422</f>
        <v>0</v>
      </c>
      <c r="O32" s="301">
        <f t="shared" si="8"/>
        <v>0</v>
      </c>
      <c r="Q32" s="309"/>
      <c r="S32" s="327">
        <v>5</v>
      </c>
      <c r="T32" s="328" t="s">
        <v>14</v>
      </c>
      <c r="U32" s="299">
        <f>'Rem. Anticipos R2'!L422</f>
        <v>0</v>
      </c>
      <c r="V32" s="300">
        <f>'Rem. Anticipos R2'!M422</f>
        <v>0</v>
      </c>
      <c r="W32" s="300">
        <f>'Rem. Anticipos R2'!N422</f>
        <v>0</v>
      </c>
      <c r="X32" s="300">
        <f>'Rem. Anticipos R2'!O422</f>
        <v>0</v>
      </c>
      <c r="Y32" s="292">
        <f>'Rem. Anticipos R2'!P422</f>
        <v>0</v>
      </c>
      <c r="Z32" s="322">
        <f>L32*-1</f>
        <v>0</v>
      </c>
      <c r="AA32" s="323">
        <f>'Rem. Anticipos R2'!Q422</f>
        <v>0</v>
      </c>
      <c r="AB32" s="297">
        <f>N32</f>
        <v>0</v>
      </c>
      <c r="AC32" s="323">
        <f>'Rem. Anticipos R2'!R422</f>
        <v>0</v>
      </c>
      <c r="AD32" s="294">
        <f t="shared" si="10"/>
        <v>0</v>
      </c>
      <c r="AE32" s="294">
        <f>'Rem. Anticipos R2'!E423</f>
        <v>0</v>
      </c>
      <c r="AF32" s="325">
        <f>SUM(U32:AD32)</f>
        <v>0</v>
      </c>
      <c r="AG32" s="329">
        <f>(AF32-O32)</f>
        <v>0</v>
      </c>
      <c r="AH32" s="1" t="b">
        <f t="shared" si="9"/>
        <v>1</v>
      </c>
      <c r="AI32" s="309"/>
    </row>
    <row r="33" spans="1:35" s="308" customFormat="1" ht="13.5" thickBot="1" x14ac:dyDescent="0.35">
      <c r="B33" s="330"/>
      <c r="C33" s="331" t="s">
        <v>2</v>
      </c>
      <c r="D33" s="293">
        <f>SUM(D28:D32)</f>
        <v>0</v>
      </c>
      <c r="E33" s="293">
        <f>SUM(E28:E32)</f>
        <v>0</v>
      </c>
      <c r="F33" s="293">
        <f t="shared" ref="F33:O33" si="12">SUM(F28:F32)</f>
        <v>0</v>
      </c>
      <c r="G33" s="293">
        <f t="shared" si="12"/>
        <v>0</v>
      </c>
      <c r="H33" s="293">
        <f t="shared" si="12"/>
        <v>0</v>
      </c>
      <c r="I33" s="293">
        <f t="shared" si="12"/>
        <v>0</v>
      </c>
      <c r="J33" s="293">
        <f t="shared" si="12"/>
        <v>0</v>
      </c>
      <c r="K33" s="303">
        <f t="shared" si="12"/>
        <v>0</v>
      </c>
      <c r="L33" s="304">
        <f t="shared" si="12"/>
        <v>0</v>
      </c>
      <c r="M33" s="305">
        <f t="shared" si="12"/>
        <v>0</v>
      </c>
      <c r="N33" s="304">
        <f t="shared" si="12"/>
        <v>0</v>
      </c>
      <c r="O33" s="305">
        <f t="shared" si="12"/>
        <v>0</v>
      </c>
      <c r="P33" s="332"/>
      <c r="Q33" s="309"/>
      <c r="S33" s="330"/>
      <c r="T33" s="331" t="s">
        <v>2</v>
      </c>
      <c r="U33" s="333">
        <f>SUM(U28:U32)</f>
        <v>0</v>
      </c>
      <c r="V33" s="333">
        <f t="shared" ref="V33:AG33" si="13">SUM(V28:V32)</f>
        <v>0</v>
      </c>
      <c r="W33" s="333">
        <f t="shared" si="13"/>
        <v>0</v>
      </c>
      <c r="X33" s="333">
        <f t="shared" si="13"/>
        <v>0</v>
      </c>
      <c r="Y33" s="333">
        <f t="shared" si="13"/>
        <v>0</v>
      </c>
      <c r="Z33" s="293">
        <f t="shared" si="13"/>
        <v>0</v>
      </c>
      <c r="AA33" s="293">
        <f t="shared" si="13"/>
        <v>0</v>
      </c>
      <c r="AB33" s="293">
        <f t="shared" si="13"/>
        <v>0</v>
      </c>
      <c r="AC33" s="293">
        <f t="shared" si="13"/>
        <v>0</v>
      </c>
      <c r="AD33" s="293">
        <f>SUM(AD28:AD32)</f>
        <v>0</v>
      </c>
      <c r="AE33" s="293">
        <f>SUM(AE28:AE32)</f>
        <v>0</v>
      </c>
      <c r="AF33" s="334">
        <f t="shared" si="13"/>
        <v>0</v>
      </c>
      <c r="AG33" s="335">
        <f t="shared" si="13"/>
        <v>0</v>
      </c>
      <c r="AH33" s="1" t="b">
        <f t="shared" si="9"/>
        <v>1</v>
      </c>
      <c r="AI33" s="309"/>
    </row>
    <row r="34" spans="1:35" ht="12" thickBot="1" x14ac:dyDescent="0.3">
      <c r="B34" s="2"/>
      <c r="C34" s="2"/>
      <c r="D34" s="24"/>
      <c r="E34" s="24"/>
      <c r="F34" s="24"/>
      <c r="G34" s="24"/>
      <c r="H34" s="24"/>
      <c r="I34" s="24"/>
      <c r="K34" s="24"/>
      <c r="L34" s="24"/>
      <c r="M34" s="24"/>
      <c r="N34" s="24"/>
      <c r="O34" s="24"/>
      <c r="Q34" s="4"/>
      <c r="S34" s="2"/>
      <c r="T34" s="2"/>
      <c r="U34" s="24"/>
      <c r="V34" s="24"/>
      <c r="W34" s="24"/>
      <c r="X34" s="24"/>
      <c r="Y34" s="24"/>
      <c r="AF34" s="24"/>
      <c r="AI34" s="4"/>
    </row>
    <row r="35" spans="1:35" ht="12" thickBot="1" x14ac:dyDescent="0.3">
      <c r="B35" s="2"/>
      <c r="C35" s="2"/>
      <c r="D35" s="24" t="s">
        <v>1</v>
      </c>
      <c r="E35" s="24"/>
      <c r="F35" s="24"/>
      <c r="G35" s="24"/>
      <c r="H35" s="24"/>
      <c r="I35" s="24"/>
      <c r="K35" s="24"/>
      <c r="L35" s="24"/>
      <c r="M35" s="24"/>
      <c r="N35" s="24"/>
      <c r="O35" s="24"/>
      <c r="Q35" s="4"/>
      <c r="Y35" s="86">
        <f>SUM(U33:Y33)</f>
        <v>0</v>
      </c>
      <c r="AD35" s="1" t="s">
        <v>1</v>
      </c>
      <c r="AF35" s="1" t="s">
        <v>1</v>
      </c>
      <c r="AI35" s="4"/>
    </row>
    <row r="36" spans="1:35" ht="12" thickBot="1" x14ac:dyDescent="0.3">
      <c r="B36" s="2"/>
      <c r="C36" s="2"/>
      <c r="D36" s="24" t="s">
        <v>1</v>
      </c>
      <c r="E36" s="33"/>
      <c r="F36" s="33"/>
      <c r="G36" s="33"/>
      <c r="H36" s="33"/>
      <c r="I36" s="24"/>
      <c r="K36" s="24"/>
      <c r="L36" s="24"/>
      <c r="M36" s="24"/>
      <c r="N36" s="24"/>
      <c r="O36" s="24"/>
      <c r="Q36" s="4"/>
      <c r="AI36" s="4"/>
    </row>
    <row r="37" spans="1:35" x14ac:dyDescent="0.25">
      <c r="B37" s="2"/>
      <c r="C37" s="2"/>
      <c r="D37" s="24" t="s">
        <v>1</v>
      </c>
      <c r="E37" s="24" t="s">
        <v>1</v>
      </c>
      <c r="F37" s="24" t="s">
        <v>25</v>
      </c>
      <c r="G37" s="24"/>
      <c r="H37" s="24"/>
      <c r="I37" s="24"/>
      <c r="K37" s="24"/>
      <c r="L37" s="24"/>
      <c r="M37" s="24"/>
      <c r="N37" s="24"/>
      <c r="O37" s="24"/>
      <c r="Q37" s="4"/>
      <c r="AI37" s="4"/>
    </row>
    <row r="38" spans="1:35" x14ac:dyDescent="0.25">
      <c r="A38" s="4"/>
      <c r="B38" s="34"/>
      <c r="C38" s="34"/>
      <c r="D38" s="35"/>
      <c r="E38" s="35"/>
      <c r="F38" s="35"/>
      <c r="G38" s="35"/>
      <c r="H38" s="35"/>
      <c r="I38" s="35"/>
      <c r="J38" s="4"/>
      <c r="K38" s="35"/>
      <c r="L38" s="35"/>
      <c r="M38" s="35"/>
      <c r="N38" s="35"/>
      <c r="O38" s="35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</row>
    <row r="39" spans="1:35" ht="12" thickBot="1" x14ac:dyDescent="0.3">
      <c r="Q39" s="4"/>
      <c r="AI39" s="4"/>
    </row>
    <row r="40" spans="1:35" x14ac:dyDescent="0.25">
      <c r="B40" s="5"/>
      <c r="C40" s="3" t="s">
        <v>1</v>
      </c>
      <c r="D40" s="6" t="s">
        <v>1</v>
      </c>
      <c r="E40" s="3"/>
      <c r="F40" s="3"/>
      <c r="G40" s="3"/>
      <c r="H40" s="3" t="s">
        <v>1</v>
      </c>
      <c r="I40" s="3"/>
      <c r="J40" s="3"/>
      <c r="K40" s="3"/>
      <c r="L40" s="3"/>
      <c r="M40" s="3"/>
      <c r="N40" s="3"/>
      <c r="O40" s="7"/>
      <c r="P40" s="2"/>
      <c r="Q40" s="4"/>
      <c r="S40" s="5"/>
      <c r="T40" s="3" t="s">
        <v>1</v>
      </c>
      <c r="U40" s="6" t="s">
        <v>1</v>
      </c>
      <c r="V40" s="3"/>
      <c r="W40" s="3"/>
      <c r="X40" s="3" t="s">
        <v>1</v>
      </c>
      <c r="Y40" s="3"/>
      <c r="Z40" s="3"/>
      <c r="AA40" s="3"/>
      <c r="AB40" s="3"/>
      <c r="AC40" s="3"/>
      <c r="AD40" s="3"/>
      <c r="AE40" s="3"/>
      <c r="AF40" s="7"/>
      <c r="AG40" s="2"/>
      <c r="AI40" s="4"/>
    </row>
    <row r="41" spans="1:35" ht="14" x14ac:dyDescent="0.3">
      <c r="B41" s="8"/>
      <c r="F41" s="26" t="s">
        <v>8</v>
      </c>
      <c r="G41" s="26"/>
      <c r="I41" s="26" t="s">
        <v>16</v>
      </c>
      <c r="J41" s="25"/>
      <c r="M41" s="2" t="s">
        <v>15</v>
      </c>
      <c r="N41" s="50">
        <f>N3</f>
        <v>2026071</v>
      </c>
      <c r="O41" s="10"/>
      <c r="P41" s="2"/>
      <c r="Q41" s="4"/>
      <c r="S41" s="8"/>
      <c r="U41" s="26" t="s">
        <v>8</v>
      </c>
      <c r="W41" s="26" t="s">
        <v>16</v>
      </c>
      <c r="X41" s="25"/>
      <c r="Y41" s="2"/>
      <c r="AA41" s="2" t="s">
        <v>15</v>
      </c>
      <c r="AD41" s="84">
        <f>N41</f>
        <v>2026071</v>
      </c>
      <c r="AE41" s="84"/>
      <c r="AF41" s="48"/>
      <c r="AG41" s="2"/>
      <c r="AI41" s="4"/>
    </row>
    <row r="42" spans="1:35" ht="15.5" x14ac:dyDescent="0.35">
      <c r="B42" s="8"/>
      <c r="F42" s="36" t="s">
        <v>29</v>
      </c>
      <c r="G42" s="36"/>
      <c r="O42" s="10"/>
      <c r="P42" s="2"/>
      <c r="Q42" s="4"/>
      <c r="S42" s="8"/>
      <c r="T42" s="26" t="s">
        <v>1</v>
      </c>
      <c r="U42" s="36" t="s">
        <v>29</v>
      </c>
      <c r="Y42" s="2" t="s">
        <v>1</v>
      </c>
      <c r="AA42" s="50" t="s">
        <v>1</v>
      </c>
      <c r="AB42" s="2"/>
      <c r="AC42" s="2"/>
      <c r="AD42" s="2"/>
      <c r="AE42" s="2"/>
      <c r="AF42" s="10" t="s">
        <v>1</v>
      </c>
      <c r="AG42" s="2"/>
      <c r="AI42" s="4"/>
    </row>
    <row r="43" spans="1:35" ht="14" x14ac:dyDescent="0.3">
      <c r="B43" s="8"/>
      <c r="F43" s="2" t="s">
        <v>30</v>
      </c>
      <c r="G43" s="2"/>
      <c r="M43" s="2" t="s">
        <v>1</v>
      </c>
      <c r="O43" s="10"/>
      <c r="P43" s="2"/>
      <c r="Q43" s="4"/>
      <c r="S43" s="8"/>
      <c r="T43" s="49" t="s">
        <v>1</v>
      </c>
      <c r="U43" s="2" t="s">
        <v>30</v>
      </c>
      <c r="AF43" s="44"/>
      <c r="AG43" s="2"/>
      <c r="AI43" s="4"/>
    </row>
    <row r="44" spans="1:35" ht="15.5" x14ac:dyDescent="0.35">
      <c r="B44" s="8"/>
      <c r="C44" s="591" t="s">
        <v>17</v>
      </c>
      <c r="D44" s="9">
        <f>D6</f>
        <v>46220</v>
      </c>
      <c r="F44" s="41" t="s">
        <v>32</v>
      </c>
      <c r="G44" s="41"/>
      <c r="H44" s="2"/>
      <c r="J44" s="2"/>
      <c r="O44" s="10"/>
      <c r="P44" s="2"/>
      <c r="Q44" s="4"/>
      <c r="S44" s="8"/>
      <c r="T44" s="41" t="s">
        <v>1</v>
      </c>
      <c r="U44" s="41" t="s">
        <v>32</v>
      </c>
      <c r="V44" s="2"/>
      <c r="X44" s="2"/>
      <c r="Y44" s="2"/>
      <c r="AF44" s="48"/>
      <c r="AG44" s="2"/>
      <c r="AI44" s="4"/>
    </row>
    <row r="45" spans="1:35" ht="12" thickBot="1" x14ac:dyDescent="0.3">
      <c r="B45" s="8"/>
      <c r="C45" s="591" t="s">
        <v>0</v>
      </c>
      <c r="D45" s="241">
        <f>D7</f>
        <v>0.58333333333333337</v>
      </c>
      <c r="F45" s="2" t="s">
        <v>27</v>
      </c>
      <c r="G45" s="9">
        <f>G7</f>
        <v>46204</v>
      </c>
      <c r="J45" s="2" t="s">
        <v>28</v>
      </c>
      <c r="K45" s="9">
        <f>K7</f>
        <v>46218</v>
      </c>
      <c r="O45" s="10"/>
      <c r="P45" s="2"/>
      <c r="Q45" s="4"/>
      <c r="S45" s="8"/>
      <c r="U45" s="1" t="str">
        <f>F45</f>
        <v>Fecha Desde:</v>
      </c>
      <c r="V45" s="9">
        <f>G45</f>
        <v>46204</v>
      </c>
      <c r="W45" s="1" t="s">
        <v>1</v>
      </c>
      <c r="X45" s="1" t="str">
        <f>J45</f>
        <v>Feha Hasta:</v>
      </c>
      <c r="Y45" s="9">
        <f>K45</f>
        <v>46218</v>
      </c>
      <c r="Z45" s="1" t="s">
        <v>1</v>
      </c>
      <c r="AF45" s="48"/>
      <c r="AG45" s="2"/>
      <c r="AI45" s="4"/>
    </row>
    <row r="46" spans="1:35" ht="72" customHeight="1" thickBot="1" x14ac:dyDescent="0.3">
      <c r="B46" s="11" t="s">
        <v>3</v>
      </c>
      <c r="C46" s="27" t="s">
        <v>9</v>
      </c>
      <c r="D46" s="11" t="s">
        <v>4</v>
      </c>
      <c r="E46" s="12" t="s">
        <v>5</v>
      </c>
      <c r="F46" s="27" t="s">
        <v>6</v>
      </c>
      <c r="G46" s="27" t="s">
        <v>159</v>
      </c>
      <c r="H46" s="27" t="s">
        <v>18</v>
      </c>
      <c r="I46" s="12" t="s">
        <v>24</v>
      </c>
      <c r="J46" s="73" t="s">
        <v>19</v>
      </c>
      <c r="K46" s="29" t="s">
        <v>20</v>
      </c>
      <c r="L46" s="28" t="s">
        <v>21</v>
      </c>
      <c r="M46" s="39" t="s">
        <v>22</v>
      </c>
      <c r="N46" s="12" t="s">
        <v>7</v>
      </c>
      <c r="O46" s="39" t="s">
        <v>23</v>
      </c>
      <c r="P46" s="13"/>
      <c r="Q46" s="4"/>
      <c r="S46" s="11" t="s">
        <v>3</v>
      </c>
      <c r="T46" s="27" t="s">
        <v>9</v>
      </c>
      <c r="U46" s="162" t="s">
        <v>39</v>
      </c>
      <c r="V46" s="163" t="s">
        <v>40</v>
      </c>
      <c r="W46" s="163" t="s">
        <v>41</v>
      </c>
      <c r="X46" s="163" t="s">
        <v>42</v>
      </c>
      <c r="Y46" s="164" t="s">
        <v>43</v>
      </c>
      <c r="Z46" s="85" t="s">
        <v>21</v>
      </c>
      <c r="AA46" s="65" t="s">
        <v>46</v>
      </c>
      <c r="AB46" s="65" t="s">
        <v>7</v>
      </c>
      <c r="AC46" s="85" t="s">
        <v>167</v>
      </c>
      <c r="AD46" s="121" t="s">
        <v>107</v>
      </c>
      <c r="AE46" s="121" t="s">
        <v>225</v>
      </c>
      <c r="AF46" s="39" t="s">
        <v>23</v>
      </c>
      <c r="AG46" s="13"/>
      <c r="AI46" s="4"/>
    </row>
    <row r="47" spans="1:35" s="308" customFormat="1" x14ac:dyDescent="0.25">
      <c r="B47" s="306">
        <v>1</v>
      </c>
      <c r="C47" s="307" t="s">
        <v>10</v>
      </c>
      <c r="D47" s="294">
        <f>'Reporte Componentes R1'!F63</f>
        <v>0</v>
      </c>
      <c r="E47" s="294">
        <f>'Reporte Componentes R1'!G63</f>
        <v>0</v>
      </c>
      <c r="F47" s="294">
        <f>'Reporte Componentes R1'!H63</f>
        <v>0</v>
      </c>
      <c r="G47" s="294">
        <f>'Reporte Componentes R1'!I63</f>
        <v>0</v>
      </c>
      <c r="H47" s="294">
        <f>'Reporte Componentes R1'!J63</f>
        <v>0</v>
      </c>
      <c r="I47" s="294">
        <f>'Reporte Componentes R1'!K63</f>
        <v>0</v>
      </c>
      <c r="J47" s="294">
        <v>0</v>
      </c>
      <c r="K47" s="296">
        <f>D47-E47-F47-G47-H47-I47-J47</f>
        <v>0</v>
      </c>
      <c r="L47" s="297">
        <v>0</v>
      </c>
      <c r="M47" s="296">
        <f>K47-L47</f>
        <v>0</v>
      </c>
      <c r="N47" s="297">
        <f>'Reporte Componentes R1'!L63</f>
        <v>0</v>
      </c>
      <c r="O47" s="296">
        <f>M47+N47</f>
        <v>0</v>
      </c>
      <c r="Q47" s="309"/>
      <c r="S47" s="306">
        <v>1</v>
      </c>
      <c r="T47" s="307" t="s">
        <v>10</v>
      </c>
      <c r="U47" s="310">
        <f>'Reporte Componentes R1'!M63</f>
        <v>0</v>
      </c>
      <c r="V47" s="310">
        <f>'Reporte Componentes R1'!N63</f>
        <v>0</v>
      </c>
      <c r="W47" s="310">
        <f>'Reporte Componentes R1'!O63</f>
        <v>0</v>
      </c>
      <c r="X47" s="310">
        <f>'Reporte Componentes R1'!P63</f>
        <v>0</v>
      </c>
      <c r="Y47" s="310">
        <f>'Reporte Componentes R1'!Q63</f>
        <v>0</v>
      </c>
      <c r="Z47" s="313">
        <f>-L47</f>
        <v>0</v>
      </c>
      <c r="AA47" s="323">
        <f>'Reporte Componentes R1'!R63+'Reporte Componentes R1'!V63+'Reporte Componentes R1'!U63</f>
        <v>0</v>
      </c>
      <c r="AB47" s="297">
        <f>N47</f>
        <v>0</v>
      </c>
      <c r="AC47" s="314">
        <f>'Reporte Componentes R1'!T63+'Reporte Componentes R1'!W63+'Reporte Componentes R1'!X63+'Reporte Componentes R1'!Y63+'Reporte Componentes R1'!Z63+'Reporte Componentes R1'!S63</f>
        <v>0</v>
      </c>
      <c r="AD47" s="294">
        <f>-J47+AE47</f>
        <v>0</v>
      </c>
      <c r="AE47" s="294">
        <f>'Reporte Componentes R1'!F64</f>
        <v>0</v>
      </c>
      <c r="AF47" s="316">
        <f>SUM(U47:AD47)</f>
        <v>0</v>
      </c>
      <c r="AG47" s="314">
        <f>(AF47-O47)</f>
        <v>0</v>
      </c>
      <c r="AH47" s="1" t="b">
        <f>INT(AG47)=0</f>
        <v>1</v>
      </c>
      <c r="AI47" s="309"/>
    </row>
    <row r="48" spans="1:35" s="308" customFormat="1" x14ac:dyDescent="0.25">
      <c r="B48" s="317">
        <v>2</v>
      </c>
      <c r="C48" s="318" t="s">
        <v>11</v>
      </c>
      <c r="D48" s="294">
        <f>'Reporte Componentes R1'!F193</f>
        <v>0</v>
      </c>
      <c r="E48" s="294">
        <f>'Reporte Componentes R1'!G193</f>
        <v>0</v>
      </c>
      <c r="F48" s="294">
        <f>'Reporte Componentes R1'!H193</f>
        <v>0</v>
      </c>
      <c r="G48" s="294">
        <f>'Reporte Componentes R1'!I193</f>
        <v>0</v>
      </c>
      <c r="H48" s="294">
        <f>'Reporte Componentes R1'!J193</f>
        <v>0</v>
      </c>
      <c r="I48" s="294">
        <f>'Reporte Componentes R1'!K193</f>
        <v>0</v>
      </c>
      <c r="J48" s="291">
        <v>0</v>
      </c>
      <c r="K48" s="298">
        <f t="shared" ref="K48:K51" si="14">D48-E48-F48-G48-H48-I48-J48</f>
        <v>0</v>
      </c>
      <c r="L48" s="297">
        <v>0</v>
      </c>
      <c r="M48" s="298">
        <f>K48-L48</f>
        <v>0</v>
      </c>
      <c r="N48" s="297">
        <f>'Reporte Componentes R1'!L193</f>
        <v>0</v>
      </c>
      <c r="O48" s="298">
        <f t="shared" ref="O48:O51" si="15">M48+N48</f>
        <v>0</v>
      </c>
      <c r="Q48" s="309"/>
      <c r="S48" s="317">
        <v>2</v>
      </c>
      <c r="T48" s="318" t="s">
        <v>11</v>
      </c>
      <c r="U48" s="319">
        <f>'Reporte Componentes R1'!M193</f>
        <v>0</v>
      </c>
      <c r="V48" s="319">
        <f>'Reporte Componentes R1'!N193</f>
        <v>0</v>
      </c>
      <c r="W48" s="319">
        <f>'Reporte Componentes R1'!O193</f>
        <v>0</v>
      </c>
      <c r="X48" s="319">
        <f>'Reporte Componentes R1'!P193</f>
        <v>0</v>
      </c>
      <c r="Y48" s="319">
        <f>'Reporte Componentes R1'!Q193</f>
        <v>0</v>
      </c>
      <c r="Z48" s="322">
        <f>-L48</f>
        <v>0</v>
      </c>
      <c r="AA48" s="323">
        <f>'Reporte Componentes R1'!R193+'Reporte Componentes R1'!V193+'Reporte Componentes R1'!U193</f>
        <v>0</v>
      </c>
      <c r="AB48" s="297">
        <f>N48</f>
        <v>0</v>
      </c>
      <c r="AC48" s="323">
        <f>'Reporte Componentes R1'!T193+'Reporte Componentes R1'!W193+'Reporte Componentes R1'!X193+'Reporte Componentes R1'!Y193+'Reporte Componentes R1'!Z193+'Reporte Componentes R1'!S193</f>
        <v>0</v>
      </c>
      <c r="AD48" s="294">
        <f t="shared" ref="AD48:AD51" si="16">-J48+AE48</f>
        <v>0</v>
      </c>
      <c r="AE48" s="294">
        <f>'Reporte Componentes R1'!F194</f>
        <v>0</v>
      </c>
      <c r="AF48" s="325">
        <f>SUM(U48:AD48)</f>
        <v>0</v>
      </c>
      <c r="AG48" s="326">
        <f>(AF48-O48)</f>
        <v>0</v>
      </c>
      <c r="AH48" s="1" t="b">
        <f t="shared" ref="AH48:AH52" si="17">INT(AG48)=0</f>
        <v>1</v>
      </c>
      <c r="AI48" s="309"/>
    </row>
    <row r="49" spans="1:35" s="308" customFormat="1" x14ac:dyDescent="0.25">
      <c r="B49" s="317">
        <v>3</v>
      </c>
      <c r="C49" s="318" t="s">
        <v>12</v>
      </c>
      <c r="D49" s="294">
        <f>'Reporte Componentes R1'!F333</f>
        <v>0</v>
      </c>
      <c r="E49" s="294">
        <f>'Reporte Componentes R1'!G333</f>
        <v>0</v>
      </c>
      <c r="F49" s="294">
        <f>'Reporte Componentes R1'!H333</f>
        <v>0</v>
      </c>
      <c r="G49" s="294">
        <f>'Reporte Componentes R1'!I333</f>
        <v>0</v>
      </c>
      <c r="H49" s="294">
        <f>'Reporte Componentes R1'!J333</f>
        <v>0</v>
      </c>
      <c r="I49" s="294">
        <f>'Reporte Componentes R1'!K333</f>
        <v>0</v>
      </c>
      <c r="J49" s="294">
        <v>0</v>
      </c>
      <c r="K49" s="298">
        <f t="shared" si="14"/>
        <v>0</v>
      </c>
      <c r="L49" s="297">
        <v>0</v>
      </c>
      <c r="M49" s="298">
        <f>K49-L49</f>
        <v>0</v>
      </c>
      <c r="N49" s="297">
        <f>'Reporte Componentes R1'!L333</f>
        <v>0</v>
      </c>
      <c r="O49" s="298">
        <f t="shared" si="15"/>
        <v>0</v>
      </c>
      <c r="Q49" s="309"/>
      <c r="S49" s="317">
        <v>3</v>
      </c>
      <c r="T49" s="318" t="s">
        <v>12</v>
      </c>
      <c r="U49" s="319">
        <f>'Reporte Componentes R1'!M333</f>
        <v>0</v>
      </c>
      <c r="V49" s="319">
        <f>'Reporte Componentes R1'!N333</f>
        <v>0</v>
      </c>
      <c r="W49" s="319">
        <f>'Reporte Componentes R1'!O333</f>
        <v>0</v>
      </c>
      <c r="X49" s="319">
        <f>'Reporte Componentes R1'!P333</f>
        <v>0</v>
      </c>
      <c r="Y49" s="319">
        <f>'Reporte Componentes R1'!Q333</f>
        <v>0</v>
      </c>
      <c r="Z49" s="322">
        <f>-L49</f>
        <v>0</v>
      </c>
      <c r="AA49" s="323">
        <f>'Reporte Componentes R1'!R333+'Reporte Componentes R1'!V333+'Reporte Componentes R1'!U333</f>
        <v>0</v>
      </c>
      <c r="AB49" s="297">
        <f>N49</f>
        <v>0</v>
      </c>
      <c r="AC49" s="323">
        <f>'Reporte Componentes R1'!T333+'Reporte Componentes R1'!W333+'Reporte Componentes R1'!X333+'Reporte Componentes R1'!Y333+'Reporte Componentes R1'!Z333+'Reporte Componentes R1'!S333</f>
        <v>0</v>
      </c>
      <c r="AD49" s="294">
        <f t="shared" si="16"/>
        <v>0</v>
      </c>
      <c r="AE49" s="294">
        <f>'Reporte Componentes R1'!F334</f>
        <v>0</v>
      </c>
      <c r="AF49" s="325">
        <f t="shared" ref="AF49:AF51" si="18">SUM(U49:AD49)</f>
        <v>0</v>
      </c>
      <c r="AG49" s="326">
        <f t="shared" ref="AG49:AG51" si="19">(AF49-O49)</f>
        <v>0</v>
      </c>
      <c r="AH49" s="1" t="b">
        <f t="shared" si="17"/>
        <v>1</v>
      </c>
      <c r="AI49" s="309"/>
    </row>
    <row r="50" spans="1:35" s="308" customFormat="1" x14ac:dyDescent="0.25">
      <c r="B50" s="317">
        <v>4</v>
      </c>
      <c r="C50" s="318" t="s">
        <v>13</v>
      </c>
      <c r="D50" s="294">
        <f>'Reporte Componentes R1'!F454</f>
        <v>0</v>
      </c>
      <c r="E50" s="294">
        <f>'Reporte Componentes R1'!G454</f>
        <v>0</v>
      </c>
      <c r="F50" s="294">
        <f>'Reporte Componentes R1'!H454</f>
        <v>0</v>
      </c>
      <c r="G50" s="294">
        <f>'Reporte Componentes R1'!I454</f>
        <v>0</v>
      </c>
      <c r="H50" s="294">
        <f>'Reporte Componentes R1'!J454</f>
        <v>0</v>
      </c>
      <c r="I50" s="294">
        <f>'Reporte Componentes R1'!K454</f>
        <v>0</v>
      </c>
      <c r="J50" s="291">
        <v>0</v>
      </c>
      <c r="K50" s="298">
        <f t="shared" si="14"/>
        <v>0</v>
      </c>
      <c r="L50" s="297">
        <v>0</v>
      </c>
      <c r="M50" s="298">
        <f>K50-L50</f>
        <v>0</v>
      </c>
      <c r="N50" s="297">
        <f>'Reporte Componentes R1'!L454</f>
        <v>0</v>
      </c>
      <c r="O50" s="298">
        <f t="shared" si="15"/>
        <v>0</v>
      </c>
      <c r="Q50" s="309"/>
      <c r="S50" s="317">
        <v>4</v>
      </c>
      <c r="T50" s="318" t="s">
        <v>13</v>
      </c>
      <c r="U50" s="319">
        <f>'Reporte Componentes R1'!M454</f>
        <v>0</v>
      </c>
      <c r="V50" s="319">
        <f>'Reporte Componentes R1'!N454</f>
        <v>0</v>
      </c>
      <c r="W50" s="319">
        <f>'Reporte Componentes R1'!O454</f>
        <v>0</v>
      </c>
      <c r="X50" s="319">
        <f>'Reporte Componentes R1'!P454</f>
        <v>0</v>
      </c>
      <c r="Y50" s="319">
        <f>'Reporte Componentes R1'!Q454</f>
        <v>0</v>
      </c>
      <c r="Z50" s="322">
        <f>-L50</f>
        <v>0</v>
      </c>
      <c r="AA50" s="323">
        <f>'Reporte Componentes R1'!R454+'Reporte Componentes R1'!V454+'Reporte Componentes R1'!U454</f>
        <v>0</v>
      </c>
      <c r="AB50" s="297">
        <f>N50</f>
        <v>0</v>
      </c>
      <c r="AC50" s="323">
        <f>'Reporte Componentes R1'!T454+'Reporte Componentes R1'!W454+'Reporte Componentes R1'!X454+'Reporte Componentes R1'!Y454+'Reporte Componentes R1'!Z454+'Reporte Componentes R1'!S454</f>
        <v>0</v>
      </c>
      <c r="AD50" s="294">
        <f t="shared" si="16"/>
        <v>0</v>
      </c>
      <c r="AE50" s="294">
        <f>'Reporte Componentes R1'!F455</f>
        <v>0</v>
      </c>
      <c r="AF50" s="325">
        <f t="shared" si="18"/>
        <v>0</v>
      </c>
      <c r="AG50" s="326">
        <f t="shared" si="19"/>
        <v>0</v>
      </c>
      <c r="AH50" s="1" t="b">
        <f t="shared" si="17"/>
        <v>1</v>
      </c>
      <c r="AI50" s="309"/>
    </row>
    <row r="51" spans="1:35" s="308" customFormat="1" ht="12" thickBot="1" x14ac:dyDescent="0.3">
      <c r="B51" s="327">
        <v>5</v>
      </c>
      <c r="C51" s="328" t="s">
        <v>14</v>
      </c>
      <c r="D51" s="299">
        <f>'Reporte Componentes R1'!F536</f>
        <v>0</v>
      </c>
      <c r="E51" s="299">
        <f>'Reporte Componentes R1'!G536</f>
        <v>0</v>
      </c>
      <c r="F51" s="299">
        <f>'Reporte Componentes R1'!H536</f>
        <v>0</v>
      </c>
      <c r="G51" s="299">
        <f>'Reporte Componentes R1'!I536</f>
        <v>0</v>
      </c>
      <c r="H51" s="299">
        <f>'Reporte Componentes R1'!J536</f>
        <v>0</v>
      </c>
      <c r="I51" s="299">
        <f>'Reporte Componentes R1'!K536</f>
        <v>0</v>
      </c>
      <c r="J51" s="292">
        <v>0</v>
      </c>
      <c r="K51" s="298">
        <f t="shared" si="14"/>
        <v>0</v>
      </c>
      <c r="L51" s="297">
        <v>0</v>
      </c>
      <c r="M51" s="301">
        <f>K51-L51</f>
        <v>0</v>
      </c>
      <c r="N51" s="302">
        <f>'Reporte Componentes R1'!L536</f>
        <v>0</v>
      </c>
      <c r="O51" s="301">
        <f t="shared" si="15"/>
        <v>0</v>
      </c>
      <c r="Q51" s="309"/>
      <c r="S51" s="327">
        <v>5</v>
      </c>
      <c r="T51" s="328" t="s">
        <v>14</v>
      </c>
      <c r="U51" s="299">
        <f>'Reporte Componentes R1'!M536</f>
        <v>0</v>
      </c>
      <c r="V51" s="299">
        <f>'Reporte Componentes R1'!N536</f>
        <v>0</v>
      </c>
      <c r="W51" s="299">
        <f>'Reporte Componentes R1'!O536</f>
        <v>0</v>
      </c>
      <c r="X51" s="299">
        <f>'Reporte Componentes R1'!P536</f>
        <v>0</v>
      </c>
      <c r="Y51" s="292">
        <f>'Reporte Componentes R1'!Q536</f>
        <v>0</v>
      </c>
      <c r="Z51" s="322">
        <f>-L51</f>
        <v>0</v>
      </c>
      <c r="AA51" s="323">
        <f>'Reporte Componentes R1'!R536+'Reporte Componentes R1'!V536+'Reporte Componentes R1'!U536</f>
        <v>0</v>
      </c>
      <c r="AB51" s="297">
        <f>N51</f>
        <v>0</v>
      </c>
      <c r="AC51" s="323">
        <f>'Reporte Componentes R1'!T536+'Reporte Componentes R1'!W536+'Reporte Componentes R1'!X536+'Reporte Componentes R1'!Y536+'Reporte Componentes R1'!Z536+'Reporte Componentes R1'!S536</f>
        <v>0</v>
      </c>
      <c r="AD51" s="294">
        <f t="shared" si="16"/>
        <v>0</v>
      </c>
      <c r="AE51" s="294">
        <f>'Reporte Componentes R1'!F537</f>
        <v>0</v>
      </c>
      <c r="AF51" s="325">
        <f t="shared" si="18"/>
        <v>0</v>
      </c>
      <c r="AG51" s="329">
        <f t="shared" si="19"/>
        <v>0</v>
      </c>
      <c r="AH51" s="1" t="b">
        <f t="shared" si="17"/>
        <v>1</v>
      </c>
      <c r="AI51" s="309"/>
    </row>
    <row r="52" spans="1:35" s="308" customFormat="1" ht="13.5" thickBot="1" x14ac:dyDescent="0.35">
      <c r="B52" s="330"/>
      <c r="C52" s="331" t="s">
        <v>2</v>
      </c>
      <c r="D52" s="293">
        <f t="shared" ref="D52:O52" si="20">SUM(D47:D51)</f>
        <v>0</v>
      </c>
      <c r="E52" s="293">
        <f t="shared" si="20"/>
        <v>0</v>
      </c>
      <c r="F52" s="293">
        <f t="shared" si="20"/>
        <v>0</v>
      </c>
      <c r="G52" s="293">
        <f t="shared" ref="G52" si="21">SUM(G47:G51)</f>
        <v>0</v>
      </c>
      <c r="H52" s="293">
        <f t="shared" si="20"/>
        <v>0</v>
      </c>
      <c r="I52" s="293">
        <f t="shared" si="20"/>
        <v>0</v>
      </c>
      <c r="J52" s="293">
        <f t="shared" si="20"/>
        <v>0</v>
      </c>
      <c r="K52" s="303">
        <f t="shared" si="20"/>
        <v>0</v>
      </c>
      <c r="L52" s="304">
        <f t="shared" si="20"/>
        <v>0</v>
      </c>
      <c r="M52" s="305">
        <f t="shared" si="20"/>
        <v>0</v>
      </c>
      <c r="N52" s="304">
        <f t="shared" si="20"/>
        <v>0</v>
      </c>
      <c r="O52" s="305">
        <f t="shared" si="20"/>
        <v>0</v>
      </c>
      <c r="P52" s="332"/>
      <c r="Q52" s="309"/>
      <c r="S52" s="330"/>
      <c r="T52" s="331" t="s">
        <v>2</v>
      </c>
      <c r="U52" s="333">
        <f>SUM(U47:U51)</f>
        <v>0</v>
      </c>
      <c r="V52" s="333">
        <f t="shared" ref="V52:AG52" si="22">SUM(V47:V51)</f>
        <v>0</v>
      </c>
      <c r="W52" s="333">
        <f t="shared" si="22"/>
        <v>0</v>
      </c>
      <c r="X52" s="333">
        <f t="shared" si="22"/>
        <v>0</v>
      </c>
      <c r="Y52" s="333">
        <f t="shared" si="22"/>
        <v>0</v>
      </c>
      <c r="Z52" s="293">
        <f t="shared" si="22"/>
        <v>0</v>
      </c>
      <c r="AA52" s="293">
        <f t="shared" si="22"/>
        <v>0</v>
      </c>
      <c r="AB52" s="293">
        <f t="shared" si="22"/>
        <v>0</v>
      </c>
      <c r="AC52" s="293">
        <f t="shared" si="22"/>
        <v>0</v>
      </c>
      <c r="AD52" s="293">
        <f>SUM(AD47:AD51)</f>
        <v>0</v>
      </c>
      <c r="AE52" s="293">
        <f>SUM(AE47:AE51)</f>
        <v>0</v>
      </c>
      <c r="AF52" s="334">
        <f t="shared" si="22"/>
        <v>0</v>
      </c>
      <c r="AG52" s="335">
        <f t="shared" si="22"/>
        <v>0</v>
      </c>
      <c r="AH52" s="1" t="b">
        <f t="shared" si="17"/>
        <v>1</v>
      </c>
      <c r="AI52" s="309"/>
    </row>
    <row r="53" spans="1:35" ht="12" thickBot="1" x14ac:dyDescent="0.3">
      <c r="B53" s="2"/>
      <c r="C53" s="2"/>
      <c r="D53" s="24"/>
      <c r="E53" s="24"/>
      <c r="F53" s="24"/>
      <c r="G53" s="24"/>
      <c r="H53" s="24"/>
      <c r="I53" s="24"/>
      <c r="K53" s="24"/>
      <c r="L53" s="24"/>
      <c r="M53" s="24"/>
      <c r="N53" s="24"/>
      <c r="O53" s="24"/>
      <c r="Q53" s="4"/>
      <c r="S53" s="2"/>
      <c r="T53" s="2"/>
      <c r="U53" s="24"/>
      <c r="V53" s="24"/>
      <c r="W53" s="24"/>
      <c r="X53" s="24"/>
      <c r="Y53" s="24"/>
      <c r="AF53" s="24"/>
      <c r="AI53" s="4"/>
    </row>
    <row r="54" spans="1:35" ht="12" thickBot="1" x14ac:dyDescent="0.3">
      <c r="B54" s="2"/>
      <c r="C54" s="2"/>
      <c r="D54" s="24" t="s">
        <v>1</v>
      </c>
      <c r="E54" s="24"/>
      <c r="F54" s="24"/>
      <c r="G54" s="24"/>
      <c r="H54" s="24"/>
      <c r="I54" s="24"/>
      <c r="K54" s="24"/>
      <c r="L54" s="24"/>
      <c r="M54" s="24"/>
      <c r="N54" s="24"/>
      <c r="O54" s="24"/>
      <c r="Q54" s="4"/>
      <c r="Y54" s="86">
        <f>SUM(U52:Y52)</f>
        <v>0</v>
      </c>
      <c r="AA54" s="1" t="s">
        <v>1</v>
      </c>
      <c r="AB54" s="1" t="s">
        <v>1</v>
      </c>
      <c r="AD54" s="1" t="s">
        <v>1</v>
      </c>
      <c r="AF54" s="1" t="s">
        <v>1</v>
      </c>
      <c r="AI54" s="4"/>
    </row>
    <row r="55" spans="1:35" ht="12" thickBot="1" x14ac:dyDescent="0.3">
      <c r="B55" s="2"/>
      <c r="C55" s="2"/>
      <c r="D55" s="24" t="s">
        <v>1</v>
      </c>
      <c r="E55" s="33"/>
      <c r="F55" s="33"/>
      <c r="G55" s="33"/>
      <c r="H55" s="33"/>
      <c r="I55" s="24"/>
      <c r="K55" s="24"/>
      <c r="L55" s="24"/>
      <c r="M55" s="24"/>
      <c r="N55" s="24"/>
      <c r="O55" s="24"/>
      <c r="Q55" s="4"/>
      <c r="AI55" s="4"/>
    </row>
    <row r="56" spans="1:35" x14ac:dyDescent="0.25">
      <c r="B56" s="2"/>
      <c r="C56" s="2"/>
      <c r="D56" s="24" t="s">
        <v>1</v>
      </c>
      <c r="E56" s="24" t="s">
        <v>1</v>
      </c>
      <c r="F56" s="24" t="s">
        <v>25</v>
      </c>
      <c r="G56" s="24"/>
      <c r="H56" s="24"/>
      <c r="I56" s="24"/>
      <c r="K56" s="24"/>
      <c r="L56" s="24"/>
      <c r="M56" s="24"/>
      <c r="N56" s="24"/>
      <c r="O56" s="24"/>
      <c r="Q56" s="4"/>
      <c r="AI56" s="4"/>
    </row>
    <row r="57" spans="1:35" x14ac:dyDescent="0.25">
      <c r="A57" s="4"/>
      <c r="B57" s="34"/>
      <c r="C57" s="34"/>
      <c r="D57" s="35"/>
      <c r="E57" s="35"/>
      <c r="F57" s="35"/>
      <c r="G57" s="35"/>
      <c r="H57" s="35"/>
      <c r="I57" s="35"/>
      <c r="J57" s="4"/>
      <c r="K57" s="35"/>
      <c r="L57" s="35"/>
      <c r="M57" s="35"/>
      <c r="N57" s="35"/>
      <c r="O57" s="35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</row>
    <row r="58" spans="1:35" ht="12" thickBot="1" x14ac:dyDescent="0.3">
      <c r="Q58" s="4"/>
      <c r="AI58" s="4"/>
    </row>
    <row r="59" spans="1:35" x14ac:dyDescent="0.25">
      <c r="B59" s="5"/>
      <c r="C59" s="3" t="s">
        <v>1</v>
      </c>
      <c r="D59" s="6" t="s">
        <v>1</v>
      </c>
      <c r="E59" s="3"/>
      <c r="F59" s="3"/>
      <c r="G59" s="3"/>
      <c r="H59" s="3" t="s">
        <v>1</v>
      </c>
      <c r="I59" s="3"/>
      <c r="J59" s="3"/>
      <c r="K59" s="3"/>
      <c r="L59" s="3"/>
      <c r="M59" s="3"/>
      <c r="N59" s="3"/>
      <c r="O59" s="7"/>
      <c r="P59" s="2"/>
      <c r="Q59" s="4"/>
      <c r="S59" s="5"/>
      <c r="T59" s="3" t="s">
        <v>1</v>
      </c>
      <c r="U59" s="6" t="s">
        <v>1</v>
      </c>
      <c r="V59" s="3"/>
      <c r="W59" s="3"/>
      <c r="X59" s="3" t="s">
        <v>1</v>
      </c>
      <c r="Y59" s="3"/>
      <c r="Z59" s="3"/>
      <c r="AA59" s="3"/>
      <c r="AB59" s="3"/>
      <c r="AC59" s="3"/>
      <c r="AD59" s="3"/>
      <c r="AE59" s="3"/>
      <c r="AF59" s="7"/>
      <c r="AG59" s="2"/>
      <c r="AI59" s="4"/>
    </row>
    <row r="60" spans="1:35" ht="14" x14ac:dyDescent="0.3">
      <c r="B60" s="8"/>
      <c r="F60" s="26" t="s">
        <v>8</v>
      </c>
      <c r="G60" s="26"/>
      <c r="I60" s="26" t="s">
        <v>16</v>
      </c>
      <c r="J60" s="25"/>
      <c r="M60" s="2" t="s">
        <v>15</v>
      </c>
      <c r="N60" s="50">
        <f>N3</f>
        <v>2026071</v>
      </c>
      <c r="O60" s="10"/>
      <c r="P60" s="2"/>
      <c r="Q60" s="4"/>
      <c r="S60" s="8"/>
      <c r="U60" s="26" t="s">
        <v>8</v>
      </c>
      <c r="W60" s="26" t="s">
        <v>16</v>
      </c>
      <c r="X60" s="25"/>
      <c r="Y60" s="2"/>
      <c r="AA60" s="2" t="s">
        <v>15</v>
      </c>
      <c r="AD60" s="84">
        <f>N60</f>
        <v>2026071</v>
      </c>
      <c r="AE60" s="84"/>
      <c r="AF60" s="48"/>
      <c r="AG60" s="2"/>
      <c r="AI60" s="4"/>
    </row>
    <row r="61" spans="1:35" ht="15.5" x14ac:dyDescent="0.35">
      <c r="B61" s="8"/>
      <c r="F61" s="36" t="s">
        <v>29</v>
      </c>
      <c r="G61" s="36"/>
      <c r="O61" s="10"/>
      <c r="P61" s="2"/>
      <c r="Q61" s="4"/>
      <c r="S61" s="8"/>
      <c r="T61" s="26" t="s">
        <v>1</v>
      </c>
      <c r="U61" s="36" t="s">
        <v>29</v>
      </c>
      <c r="Y61" s="2" t="s">
        <v>1</v>
      </c>
      <c r="AA61" s="50" t="s">
        <v>1</v>
      </c>
      <c r="AB61" s="2"/>
      <c r="AC61" s="2"/>
      <c r="AD61" s="2"/>
      <c r="AE61" s="2"/>
      <c r="AF61" s="10" t="s">
        <v>1</v>
      </c>
      <c r="AG61" s="2"/>
      <c r="AI61" s="4"/>
    </row>
    <row r="62" spans="1:35" ht="14" x14ac:dyDescent="0.3">
      <c r="B62" s="8"/>
      <c r="F62" s="2" t="s">
        <v>30</v>
      </c>
      <c r="G62" s="2"/>
      <c r="M62" s="2" t="s">
        <v>1</v>
      </c>
      <c r="O62" s="10"/>
      <c r="P62" s="2"/>
      <c r="Q62" s="4"/>
      <c r="S62" s="8"/>
      <c r="T62" s="49" t="s">
        <v>1</v>
      </c>
      <c r="U62" s="2" t="s">
        <v>30</v>
      </c>
      <c r="AF62" s="44"/>
      <c r="AG62" s="2"/>
      <c r="AI62" s="4"/>
    </row>
    <row r="63" spans="1:35" ht="15.5" x14ac:dyDescent="0.35">
      <c r="B63" s="8"/>
      <c r="C63" s="591" t="s">
        <v>17</v>
      </c>
      <c r="D63" s="9">
        <f>D6</f>
        <v>46220</v>
      </c>
      <c r="F63" s="41" t="s">
        <v>33</v>
      </c>
      <c r="G63" s="41"/>
      <c r="H63" s="2"/>
      <c r="J63" s="2"/>
      <c r="O63" s="10"/>
      <c r="P63" s="2"/>
      <c r="Q63" s="4"/>
      <c r="S63" s="8"/>
      <c r="T63" s="41" t="s">
        <v>1</v>
      </c>
      <c r="U63" s="41" t="s">
        <v>33</v>
      </c>
      <c r="V63" s="2"/>
      <c r="X63" s="2"/>
      <c r="Y63" s="2"/>
      <c r="AF63" s="48"/>
      <c r="AG63" s="2"/>
      <c r="AI63" s="4"/>
    </row>
    <row r="64" spans="1:35" ht="12" thickBot="1" x14ac:dyDescent="0.3">
      <c r="B64" s="8"/>
      <c r="C64" s="591" t="s">
        <v>0</v>
      </c>
      <c r="D64" s="241">
        <f>D7</f>
        <v>0.58333333333333337</v>
      </c>
      <c r="F64" s="2" t="s">
        <v>27</v>
      </c>
      <c r="G64" s="9">
        <f>G7</f>
        <v>46204</v>
      </c>
      <c r="J64" s="2" t="s">
        <v>28</v>
      </c>
      <c r="K64" s="9">
        <f>K7</f>
        <v>46218</v>
      </c>
      <c r="O64" s="10"/>
      <c r="P64" s="2"/>
      <c r="Q64" s="4"/>
      <c r="S64" s="8"/>
      <c r="U64" s="1" t="str">
        <f>F64</f>
        <v>Fecha Desde:</v>
      </c>
      <c r="V64" s="9">
        <f>G64</f>
        <v>46204</v>
      </c>
      <c r="W64" s="1" t="s">
        <v>1</v>
      </c>
      <c r="X64" s="1" t="str">
        <f>J64</f>
        <v>Feha Hasta:</v>
      </c>
      <c r="Y64" s="9">
        <f>K64</f>
        <v>46218</v>
      </c>
      <c r="Z64" s="1" t="s">
        <v>1</v>
      </c>
      <c r="AF64" s="48"/>
      <c r="AG64" s="2"/>
      <c r="AI64" s="4"/>
    </row>
    <row r="65" spans="1:35" ht="72" customHeight="1" thickBot="1" x14ac:dyDescent="0.3">
      <c r="B65" s="11" t="s">
        <v>3</v>
      </c>
      <c r="C65" s="27" t="s">
        <v>9</v>
      </c>
      <c r="D65" s="11" t="s">
        <v>4</v>
      </c>
      <c r="E65" s="12" t="s">
        <v>5</v>
      </c>
      <c r="F65" s="27" t="s">
        <v>6</v>
      </c>
      <c r="G65" s="27" t="s">
        <v>159</v>
      </c>
      <c r="H65" s="27" t="s">
        <v>18</v>
      </c>
      <c r="I65" s="12" t="s">
        <v>24</v>
      </c>
      <c r="J65" s="73" t="s">
        <v>19</v>
      </c>
      <c r="K65" s="29" t="s">
        <v>20</v>
      </c>
      <c r="L65" s="28" t="s">
        <v>21</v>
      </c>
      <c r="M65" s="39" t="s">
        <v>22</v>
      </c>
      <c r="N65" s="12" t="s">
        <v>7</v>
      </c>
      <c r="O65" s="39" t="s">
        <v>23</v>
      </c>
      <c r="P65" s="13"/>
      <c r="Q65" s="4"/>
      <c r="S65" s="11" t="s">
        <v>3</v>
      </c>
      <c r="T65" s="27" t="s">
        <v>9</v>
      </c>
      <c r="U65" s="162" t="s">
        <v>39</v>
      </c>
      <c r="V65" s="163" t="s">
        <v>40</v>
      </c>
      <c r="W65" s="163" t="s">
        <v>41</v>
      </c>
      <c r="X65" s="163" t="s">
        <v>42</v>
      </c>
      <c r="Y65" s="164" t="s">
        <v>43</v>
      </c>
      <c r="Z65" s="85" t="s">
        <v>21</v>
      </c>
      <c r="AA65" s="65" t="s">
        <v>46</v>
      </c>
      <c r="AB65" s="65" t="s">
        <v>7</v>
      </c>
      <c r="AC65" s="85" t="s">
        <v>167</v>
      </c>
      <c r="AD65" s="121" t="s">
        <v>107</v>
      </c>
      <c r="AE65" s="121" t="s">
        <v>225</v>
      </c>
      <c r="AF65" s="39" t="s">
        <v>23</v>
      </c>
      <c r="AG65" s="13"/>
      <c r="AI65" s="4"/>
    </row>
    <row r="66" spans="1:35" s="308" customFormat="1" x14ac:dyDescent="0.25">
      <c r="B66" s="306">
        <v>1</v>
      </c>
      <c r="C66" s="307" t="s">
        <v>10</v>
      </c>
      <c r="D66" s="294">
        <f>'Reversion Pagos R4'!D76</f>
        <v>0</v>
      </c>
      <c r="E66" s="294">
        <f>'Reversion Pagos R4'!E76</f>
        <v>0</v>
      </c>
      <c r="F66" s="294">
        <f>'Reversion Pagos R4'!F76</f>
        <v>0</v>
      </c>
      <c r="G66" s="294">
        <f>'Reversion Pagos R4'!G76</f>
        <v>0</v>
      </c>
      <c r="H66" s="294">
        <f>'Reversion Pagos R4'!H76</f>
        <v>0</v>
      </c>
      <c r="I66" s="294">
        <f>'Reversion Pagos R4'!I76</f>
        <v>0</v>
      </c>
      <c r="J66" s="312">
        <v>0</v>
      </c>
      <c r="K66" s="296">
        <f>D66-E66-F66-G66-H66-I66-J66</f>
        <v>0</v>
      </c>
      <c r="L66" s="297">
        <v>0</v>
      </c>
      <c r="M66" s="296">
        <f>K66-L66</f>
        <v>0</v>
      </c>
      <c r="N66" s="297">
        <f>'Reversion Pagos R4'!P76</f>
        <v>0</v>
      </c>
      <c r="O66" s="296">
        <f>M66+N66</f>
        <v>0</v>
      </c>
      <c r="Q66" s="309"/>
      <c r="S66" s="306">
        <v>1</v>
      </c>
      <c r="T66" s="307" t="s">
        <v>10</v>
      </c>
      <c r="U66" s="310">
        <f>'Reversion Pagos R4'!J76</f>
        <v>0</v>
      </c>
      <c r="V66" s="310">
        <f>'Reversion Pagos R4'!K76</f>
        <v>0</v>
      </c>
      <c r="W66" s="310">
        <f>'Reversion Pagos R4'!L76</f>
        <v>0</v>
      </c>
      <c r="X66" s="310">
        <f>'Reversion Pagos R4'!M76</f>
        <v>0</v>
      </c>
      <c r="Y66" s="310">
        <f>'Reversion Pagos R4'!N76</f>
        <v>0</v>
      </c>
      <c r="Z66" s="313">
        <f>-L66</f>
        <v>0</v>
      </c>
      <c r="AA66" s="314">
        <f>+'Reversion Pagos R4'!O76</f>
        <v>0</v>
      </c>
      <c r="AB66" s="297">
        <f>N66</f>
        <v>0</v>
      </c>
      <c r="AC66" s="314">
        <f>+'Reversion Pagos R4'!Q76+'Reversion Pagos R4'!R76</f>
        <v>0</v>
      </c>
      <c r="AD66" s="294">
        <f>-J66+AE66</f>
        <v>0</v>
      </c>
      <c r="AE66" s="294">
        <f>'Reversion Pagos R4'!D77</f>
        <v>0</v>
      </c>
      <c r="AF66" s="316">
        <f>SUM(U66:AD66)</f>
        <v>0</v>
      </c>
      <c r="AG66" s="314">
        <f>(AF66-O66)</f>
        <v>0</v>
      </c>
      <c r="AH66" s="1" t="b">
        <f>INT(AG66)=0</f>
        <v>1</v>
      </c>
      <c r="AI66" s="309"/>
    </row>
    <row r="67" spans="1:35" s="308" customFormat="1" x14ac:dyDescent="0.25">
      <c r="B67" s="317">
        <v>2</v>
      </c>
      <c r="C67" s="318" t="s">
        <v>11</v>
      </c>
      <c r="D67" s="294">
        <f>'Reversion Pagos R4'!D170</f>
        <v>0</v>
      </c>
      <c r="E67" s="294">
        <f>'Reversion Pagos R4'!E170</f>
        <v>0</v>
      </c>
      <c r="F67" s="294">
        <f>'Reversion Pagos R4'!F170</f>
        <v>0</v>
      </c>
      <c r="G67" s="294">
        <f>'Reversion Pagos R4'!G170</f>
        <v>0</v>
      </c>
      <c r="H67" s="294">
        <f>'Reversion Pagos R4'!H170</f>
        <v>0</v>
      </c>
      <c r="I67" s="294">
        <f>'Reversion Pagos R4'!I170</f>
        <v>0</v>
      </c>
      <c r="J67" s="291">
        <v>0</v>
      </c>
      <c r="K67" s="298">
        <f t="shared" ref="K67:K70" si="23">D67-E67-F67-G67-H67-I67-J67</f>
        <v>0</v>
      </c>
      <c r="L67" s="297">
        <v>0</v>
      </c>
      <c r="M67" s="298">
        <f>K67-L67</f>
        <v>0</v>
      </c>
      <c r="N67" s="297">
        <f>'Reversion Pagos R4'!P170</f>
        <v>0</v>
      </c>
      <c r="O67" s="298">
        <f t="shared" ref="O67:O70" si="24">M67+N67</f>
        <v>0</v>
      </c>
      <c r="Q67" s="309"/>
      <c r="S67" s="317">
        <v>2</v>
      </c>
      <c r="T67" s="318" t="s">
        <v>11</v>
      </c>
      <c r="U67" s="319">
        <f>'Reversion Pagos R4'!J170</f>
        <v>0</v>
      </c>
      <c r="V67" s="319">
        <f>'Reversion Pagos R4'!K170</f>
        <v>0</v>
      </c>
      <c r="W67" s="319">
        <f>'Reversion Pagos R4'!L170</f>
        <v>0</v>
      </c>
      <c r="X67" s="319">
        <f>'Reversion Pagos R4'!M170</f>
        <v>0</v>
      </c>
      <c r="Y67" s="319">
        <f>'Reversion Pagos R4'!N170</f>
        <v>0</v>
      </c>
      <c r="Z67" s="322">
        <f t="shared" ref="Z67:Z70" si="25">-L67</f>
        <v>0</v>
      </c>
      <c r="AA67" s="323">
        <f>'Reversion Pagos R4'!O170</f>
        <v>0</v>
      </c>
      <c r="AB67" s="297">
        <f t="shared" ref="AB67:AB70" si="26">N67</f>
        <v>0</v>
      </c>
      <c r="AC67" s="323">
        <f>'Reversion Pagos R4'!Q170+'Reversion Pagos R4'!R170</f>
        <v>0</v>
      </c>
      <c r="AD67" s="294">
        <f t="shared" ref="AD67:AD70" si="27">-J67+AE67</f>
        <v>0</v>
      </c>
      <c r="AE67" s="294">
        <f>'Reversion Pagos R4'!D171</f>
        <v>0</v>
      </c>
      <c r="AF67" s="325">
        <f>SUM(U67:AD67)</f>
        <v>0</v>
      </c>
      <c r="AG67" s="326">
        <f>(AF67-O67)</f>
        <v>0</v>
      </c>
      <c r="AH67" s="1" t="b">
        <f t="shared" ref="AH67:AH71" si="28">INT(AG67)=0</f>
        <v>1</v>
      </c>
      <c r="AI67" s="309"/>
    </row>
    <row r="68" spans="1:35" s="308" customFormat="1" x14ac:dyDescent="0.25">
      <c r="B68" s="317">
        <v>3</v>
      </c>
      <c r="C68" s="318" t="s">
        <v>12</v>
      </c>
      <c r="D68" s="294">
        <f>'Reversion Pagos R4'!D207</f>
        <v>0</v>
      </c>
      <c r="E68" s="294">
        <f>'Reversion Pagos R4'!E207</f>
        <v>0</v>
      </c>
      <c r="F68" s="294">
        <f>'Reversion Pagos R4'!F207</f>
        <v>0</v>
      </c>
      <c r="G68" s="294">
        <f>'Reversion Pagos R4'!G207</f>
        <v>0</v>
      </c>
      <c r="H68" s="294">
        <f>'Reversion Pagos R4'!H207</f>
        <v>0</v>
      </c>
      <c r="I68" s="294">
        <f>'Reversion Pagos R4'!I207</f>
        <v>0</v>
      </c>
      <c r="J68" s="291">
        <v>0</v>
      </c>
      <c r="K68" s="298">
        <f t="shared" si="23"/>
        <v>0</v>
      </c>
      <c r="L68" s="297">
        <v>0</v>
      </c>
      <c r="M68" s="298">
        <f>K68-L68</f>
        <v>0</v>
      </c>
      <c r="N68" s="297">
        <f>'Reversion Pagos R4'!P207</f>
        <v>0</v>
      </c>
      <c r="O68" s="298">
        <f t="shared" si="24"/>
        <v>0</v>
      </c>
      <c r="Q68" s="309"/>
      <c r="S68" s="317">
        <v>3</v>
      </c>
      <c r="T68" s="318" t="s">
        <v>12</v>
      </c>
      <c r="U68" s="319">
        <f>'Reversion Pagos R4'!J207</f>
        <v>0</v>
      </c>
      <c r="V68" s="319">
        <f>'Reversion Pagos R4'!K207</f>
        <v>0</v>
      </c>
      <c r="W68" s="319">
        <f>'Reversion Pagos R4'!L207</f>
        <v>0</v>
      </c>
      <c r="X68" s="319">
        <f>'Reversion Pagos R4'!M207</f>
        <v>0</v>
      </c>
      <c r="Y68" s="319">
        <f>'Reversion Pagos R4'!N207</f>
        <v>0</v>
      </c>
      <c r="Z68" s="322">
        <f t="shared" si="25"/>
        <v>0</v>
      </c>
      <c r="AA68" s="323">
        <f>'Reversion Pagos R4'!O207</f>
        <v>0</v>
      </c>
      <c r="AB68" s="297">
        <f t="shared" si="26"/>
        <v>0</v>
      </c>
      <c r="AC68" s="323">
        <f>'Reversion Pagos R4'!Q207+'Reversion Pagos R4'!R207</f>
        <v>0</v>
      </c>
      <c r="AD68" s="294">
        <f t="shared" si="27"/>
        <v>0</v>
      </c>
      <c r="AE68" s="294">
        <f>'Reversion Pagos R4'!D208</f>
        <v>0</v>
      </c>
      <c r="AF68" s="325">
        <f t="shared" ref="AF68:AF70" si="29">SUM(U68:AD68)</f>
        <v>0</v>
      </c>
      <c r="AG68" s="326">
        <f t="shared" ref="AG68:AG70" si="30">(AF68-O68)</f>
        <v>0</v>
      </c>
      <c r="AH68" s="1" t="b">
        <f t="shared" si="28"/>
        <v>1</v>
      </c>
      <c r="AI68" s="309"/>
    </row>
    <row r="69" spans="1:35" s="308" customFormat="1" x14ac:dyDescent="0.25">
      <c r="B69" s="317">
        <v>4</v>
      </c>
      <c r="C69" s="318" t="s">
        <v>13</v>
      </c>
      <c r="D69" s="294">
        <f>'Reversion Pagos R4'!D321</f>
        <v>0</v>
      </c>
      <c r="E69" s="294">
        <f>'Reversion Pagos R4'!E321</f>
        <v>0</v>
      </c>
      <c r="F69" s="294">
        <f>'Reversion Pagos R4'!F321</f>
        <v>0</v>
      </c>
      <c r="G69" s="294">
        <f>'Reversion Pagos R4'!G321</f>
        <v>0</v>
      </c>
      <c r="H69" s="294">
        <f>'Reversion Pagos R4'!H321</f>
        <v>0</v>
      </c>
      <c r="I69" s="294">
        <f>'Reversion Pagos R4'!I321</f>
        <v>0</v>
      </c>
      <c r="J69" s="291">
        <v>0</v>
      </c>
      <c r="K69" s="298">
        <f t="shared" si="23"/>
        <v>0</v>
      </c>
      <c r="L69" s="297">
        <v>0</v>
      </c>
      <c r="M69" s="298">
        <f>K69-L69</f>
        <v>0</v>
      </c>
      <c r="N69" s="297">
        <f>'Reversion Pagos R4'!P321</f>
        <v>0</v>
      </c>
      <c r="O69" s="298">
        <f t="shared" si="24"/>
        <v>0</v>
      </c>
      <c r="Q69" s="309"/>
      <c r="S69" s="317">
        <v>4</v>
      </c>
      <c r="T69" s="318" t="s">
        <v>13</v>
      </c>
      <c r="U69" s="319">
        <f>'Reversion Pagos R4'!J321</f>
        <v>0</v>
      </c>
      <c r="V69" s="319">
        <f>'Reversion Pagos R4'!K321</f>
        <v>0</v>
      </c>
      <c r="W69" s="319">
        <f>'Reversion Pagos R4'!L321</f>
        <v>0</v>
      </c>
      <c r="X69" s="319">
        <f>'Reversion Pagos R4'!M321</f>
        <v>0</v>
      </c>
      <c r="Y69" s="319">
        <f>'Reversion Pagos R4'!N321</f>
        <v>0</v>
      </c>
      <c r="Z69" s="322">
        <f t="shared" si="25"/>
        <v>0</v>
      </c>
      <c r="AA69" s="323">
        <f>'Reversion Pagos R4'!O321</f>
        <v>0</v>
      </c>
      <c r="AB69" s="297">
        <f t="shared" si="26"/>
        <v>0</v>
      </c>
      <c r="AC69" s="323">
        <f>'Reversion Pagos R4'!Q321+'Reversion Pagos R4'!R321</f>
        <v>0</v>
      </c>
      <c r="AD69" s="294">
        <f t="shared" si="27"/>
        <v>0</v>
      </c>
      <c r="AE69" s="294">
        <f>'Reversion Pagos R4'!D322</f>
        <v>0</v>
      </c>
      <c r="AF69" s="325">
        <f>SUM(U69:AD69)</f>
        <v>0</v>
      </c>
      <c r="AG69" s="326">
        <f>(AF69-O69)</f>
        <v>0</v>
      </c>
      <c r="AH69" s="1" t="b">
        <f t="shared" si="28"/>
        <v>1</v>
      </c>
      <c r="AI69" s="309"/>
    </row>
    <row r="70" spans="1:35" s="308" customFormat="1" ht="12" thickBot="1" x14ac:dyDescent="0.3">
      <c r="B70" s="327">
        <v>5</v>
      </c>
      <c r="C70" s="328" t="s">
        <v>14</v>
      </c>
      <c r="D70" s="299">
        <f>'Reversion Pagos R4'!D356</f>
        <v>0</v>
      </c>
      <c r="E70" s="299">
        <f>'Reversion Pagos R4'!E356</f>
        <v>0</v>
      </c>
      <c r="F70" s="299">
        <f>'Reversion Pagos R4'!F356</f>
        <v>0</v>
      </c>
      <c r="G70" s="299">
        <f>'Reversion Pagos R4'!G356</f>
        <v>0</v>
      </c>
      <c r="H70" s="299">
        <f>'Reversion Pagos R4'!H356</f>
        <v>0</v>
      </c>
      <c r="I70" s="299">
        <f>'Reversion Pagos R4'!I356</f>
        <v>0</v>
      </c>
      <c r="J70" s="292">
        <v>0</v>
      </c>
      <c r="K70" s="298">
        <f t="shared" si="23"/>
        <v>0</v>
      </c>
      <c r="L70" s="297">
        <v>0</v>
      </c>
      <c r="M70" s="301">
        <f>K70-L70</f>
        <v>0</v>
      </c>
      <c r="N70" s="297">
        <f>'Reversion Pagos R4'!P356</f>
        <v>0</v>
      </c>
      <c r="O70" s="301">
        <f t="shared" si="24"/>
        <v>0</v>
      </c>
      <c r="Q70" s="309"/>
      <c r="S70" s="327">
        <v>5</v>
      </c>
      <c r="T70" s="328" t="s">
        <v>14</v>
      </c>
      <c r="U70" s="299">
        <f>'Reversion Pagos R4'!J356</f>
        <v>0</v>
      </c>
      <c r="V70" s="299">
        <f>'Reversion Pagos R4'!K356</f>
        <v>0</v>
      </c>
      <c r="W70" s="299">
        <f>'Reversion Pagos R4'!L356</f>
        <v>0</v>
      </c>
      <c r="X70" s="299">
        <f>'Reversion Pagos R4'!M356</f>
        <v>0</v>
      </c>
      <c r="Y70" s="299">
        <f>'Reversion Pagos R4'!N356</f>
        <v>0</v>
      </c>
      <c r="Z70" s="322">
        <f t="shared" si="25"/>
        <v>0</v>
      </c>
      <c r="AA70" s="323">
        <f>'Reversion Pagos R4'!O356</f>
        <v>0</v>
      </c>
      <c r="AB70" s="297">
        <f t="shared" si="26"/>
        <v>0</v>
      </c>
      <c r="AC70" s="323">
        <f>'Reversion Pagos R4'!Q356+'Reversion Pagos R4'!R356</f>
        <v>0</v>
      </c>
      <c r="AD70" s="294">
        <f t="shared" si="27"/>
        <v>0</v>
      </c>
      <c r="AE70" s="294">
        <f>'Reversion Pagos R4'!D357</f>
        <v>0</v>
      </c>
      <c r="AF70" s="325">
        <f t="shared" si="29"/>
        <v>0</v>
      </c>
      <c r="AG70" s="329">
        <f t="shared" si="30"/>
        <v>0</v>
      </c>
      <c r="AH70" s="1" t="b">
        <f t="shared" si="28"/>
        <v>1</v>
      </c>
      <c r="AI70" s="309"/>
    </row>
    <row r="71" spans="1:35" s="308" customFormat="1" ht="13.5" thickBot="1" x14ac:dyDescent="0.35">
      <c r="B71" s="330"/>
      <c r="C71" s="331" t="s">
        <v>2</v>
      </c>
      <c r="D71" s="293">
        <f t="shared" ref="D71:O71" si="31">SUM(D66:D70)</f>
        <v>0</v>
      </c>
      <c r="E71" s="293">
        <f t="shared" si="31"/>
        <v>0</v>
      </c>
      <c r="F71" s="293">
        <f t="shared" si="31"/>
        <v>0</v>
      </c>
      <c r="G71" s="293">
        <f t="shared" si="31"/>
        <v>0</v>
      </c>
      <c r="H71" s="293">
        <f t="shared" si="31"/>
        <v>0</v>
      </c>
      <c r="I71" s="293">
        <f t="shared" si="31"/>
        <v>0</v>
      </c>
      <c r="J71" s="293">
        <f t="shared" si="31"/>
        <v>0</v>
      </c>
      <c r="K71" s="303">
        <f t="shared" si="31"/>
        <v>0</v>
      </c>
      <c r="L71" s="304">
        <f t="shared" si="31"/>
        <v>0</v>
      </c>
      <c r="M71" s="305">
        <f t="shared" si="31"/>
        <v>0</v>
      </c>
      <c r="N71" s="304">
        <f t="shared" si="31"/>
        <v>0</v>
      </c>
      <c r="O71" s="305">
        <f t="shared" si="31"/>
        <v>0</v>
      </c>
      <c r="P71" s="332"/>
      <c r="Q71" s="309"/>
      <c r="S71" s="330"/>
      <c r="T71" s="331" t="s">
        <v>2</v>
      </c>
      <c r="U71" s="333">
        <f>SUM(U66:U70)</f>
        <v>0</v>
      </c>
      <c r="V71" s="333">
        <f t="shared" ref="V71:AG71" si="32">SUM(V66:V70)</f>
        <v>0</v>
      </c>
      <c r="W71" s="333">
        <f t="shared" si="32"/>
        <v>0</v>
      </c>
      <c r="X71" s="333">
        <f t="shared" si="32"/>
        <v>0</v>
      </c>
      <c r="Y71" s="333">
        <f t="shared" si="32"/>
        <v>0</v>
      </c>
      <c r="Z71" s="293">
        <f t="shared" si="32"/>
        <v>0</v>
      </c>
      <c r="AA71" s="293">
        <f>SUM(AA66:AA70)</f>
        <v>0</v>
      </c>
      <c r="AB71" s="293">
        <f t="shared" si="32"/>
        <v>0</v>
      </c>
      <c r="AC71" s="293">
        <f t="shared" si="32"/>
        <v>0</v>
      </c>
      <c r="AD71" s="293">
        <f>SUM(AD66:AD70)</f>
        <v>0</v>
      </c>
      <c r="AE71" s="293">
        <f>SUM(AE66:AE70)</f>
        <v>0</v>
      </c>
      <c r="AF71" s="334">
        <f t="shared" si="32"/>
        <v>0</v>
      </c>
      <c r="AG71" s="335">
        <f t="shared" si="32"/>
        <v>0</v>
      </c>
      <c r="AH71" s="1" t="b">
        <f t="shared" si="28"/>
        <v>1</v>
      </c>
      <c r="AI71" s="309"/>
    </row>
    <row r="72" spans="1:35" ht="12" thickBot="1" x14ac:dyDescent="0.3">
      <c r="B72" s="2"/>
      <c r="C72" s="2"/>
      <c r="D72" s="24"/>
      <c r="E72" s="24"/>
      <c r="F72" s="24"/>
      <c r="G72" s="24"/>
      <c r="H72" s="24"/>
      <c r="I72" s="24"/>
      <c r="K72" s="24"/>
      <c r="L72" s="24"/>
      <c r="M72" s="24"/>
      <c r="N72" s="24"/>
      <c r="O72" s="24"/>
      <c r="Q72" s="4"/>
      <c r="S72" s="2"/>
      <c r="T72" s="2"/>
      <c r="U72" s="24"/>
      <c r="V72" s="24"/>
      <c r="W72" s="24"/>
      <c r="X72" s="24"/>
      <c r="Y72" s="24"/>
      <c r="AF72" s="24"/>
      <c r="AI72" s="4"/>
    </row>
    <row r="73" spans="1:35" ht="12" thickBot="1" x14ac:dyDescent="0.3">
      <c r="B73" s="2"/>
      <c r="C73" s="2"/>
      <c r="D73" s="24" t="s">
        <v>1</v>
      </c>
      <c r="E73" s="24"/>
      <c r="F73" s="24"/>
      <c r="G73" s="24"/>
      <c r="H73" s="24"/>
      <c r="I73" s="24"/>
      <c r="K73" s="24"/>
      <c r="L73" s="24"/>
      <c r="M73" s="24"/>
      <c r="N73" s="24"/>
      <c r="O73" s="24"/>
      <c r="Q73" s="4"/>
      <c r="Y73" s="86">
        <f>SUM(U71:Y71)</f>
        <v>0</v>
      </c>
      <c r="AA73" s="1" t="s">
        <v>1</v>
      </c>
      <c r="AB73" s="1" t="s">
        <v>1</v>
      </c>
      <c r="AD73" s="1" t="s">
        <v>1</v>
      </c>
      <c r="AF73" s="1" t="s">
        <v>1</v>
      </c>
      <c r="AI73" s="4"/>
    </row>
    <row r="74" spans="1:35" ht="12" thickBot="1" x14ac:dyDescent="0.3">
      <c r="B74" s="2"/>
      <c r="C74" s="2"/>
      <c r="D74" s="24" t="s">
        <v>1</v>
      </c>
      <c r="E74" s="33"/>
      <c r="F74" s="33"/>
      <c r="G74" s="33"/>
      <c r="H74" s="33"/>
      <c r="I74" s="24"/>
      <c r="K74" s="24"/>
      <c r="L74" s="24"/>
      <c r="M74" s="24"/>
      <c r="N74" s="24"/>
      <c r="O74" s="24"/>
      <c r="Q74" s="4"/>
      <c r="AI74" s="4"/>
    </row>
    <row r="75" spans="1:35" x14ac:dyDescent="0.25">
      <c r="B75" s="2"/>
      <c r="C75" s="2"/>
      <c r="D75" s="24" t="s">
        <v>1</v>
      </c>
      <c r="E75" s="24" t="s">
        <v>1</v>
      </c>
      <c r="F75" s="24" t="s">
        <v>25</v>
      </c>
      <c r="G75" s="24"/>
      <c r="H75" s="24"/>
      <c r="I75" s="24"/>
      <c r="K75" s="24"/>
      <c r="L75" s="24"/>
      <c r="M75" s="24"/>
      <c r="N75" s="24"/>
      <c r="O75" s="24"/>
      <c r="Q75" s="4"/>
      <c r="AI75" s="4"/>
    </row>
    <row r="76" spans="1:35" x14ac:dyDescent="0.25">
      <c r="A76" s="4"/>
      <c r="B76" s="34"/>
      <c r="C76" s="34"/>
      <c r="D76" s="35"/>
      <c r="E76" s="35"/>
      <c r="F76" s="35"/>
      <c r="G76" s="35"/>
      <c r="H76" s="35"/>
      <c r="I76" s="35"/>
      <c r="J76" s="4"/>
      <c r="K76" s="35"/>
      <c r="L76" s="35"/>
      <c r="M76" s="35"/>
      <c r="N76" s="35"/>
      <c r="O76" s="35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</row>
    <row r="77" spans="1:35" ht="12" thickBot="1" x14ac:dyDescent="0.3">
      <c r="Q77" s="4"/>
      <c r="AI77" s="4"/>
    </row>
    <row r="78" spans="1:35" x14ac:dyDescent="0.25">
      <c r="B78" s="5"/>
      <c r="C78" s="3" t="s">
        <v>1</v>
      </c>
      <c r="D78" s="6" t="s">
        <v>1</v>
      </c>
      <c r="E78" s="3"/>
      <c r="F78" s="3"/>
      <c r="G78" s="3"/>
      <c r="H78" s="3" t="s">
        <v>1</v>
      </c>
      <c r="I78" s="3"/>
      <c r="J78" s="3"/>
      <c r="K78" s="3"/>
      <c r="L78" s="3"/>
      <c r="M78" s="3"/>
      <c r="N78" s="3"/>
      <c r="O78" s="7"/>
      <c r="P78" s="2"/>
      <c r="Q78" s="4"/>
      <c r="S78" s="5"/>
      <c r="T78" s="3" t="s">
        <v>1</v>
      </c>
      <c r="U78" s="6" t="s">
        <v>1</v>
      </c>
      <c r="V78" s="3"/>
      <c r="W78" s="3"/>
      <c r="X78" s="3" t="s">
        <v>1</v>
      </c>
      <c r="Y78" s="3"/>
      <c r="Z78" s="3"/>
      <c r="AA78" s="3"/>
      <c r="AB78" s="3"/>
      <c r="AC78" s="3"/>
      <c r="AD78" s="3"/>
      <c r="AE78" s="3"/>
      <c r="AF78" s="7"/>
      <c r="AG78" s="2"/>
      <c r="AI78" s="4"/>
    </row>
    <row r="79" spans="1:35" ht="14" x14ac:dyDescent="0.3">
      <c r="B79" s="8"/>
      <c r="F79" s="26" t="s">
        <v>8</v>
      </c>
      <c r="G79" s="26"/>
      <c r="I79" s="26" t="s">
        <v>16</v>
      </c>
      <c r="J79" s="25"/>
      <c r="M79" s="2" t="s">
        <v>15</v>
      </c>
      <c r="N79" s="50">
        <f>N3</f>
        <v>2026071</v>
      </c>
      <c r="O79" s="10"/>
      <c r="P79" s="2"/>
      <c r="Q79" s="4"/>
      <c r="S79" s="8"/>
      <c r="U79" s="26" t="s">
        <v>8</v>
      </c>
      <c r="W79" s="26" t="s">
        <v>16</v>
      </c>
      <c r="X79" s="25"/>
      <c r="Y79" s="2"/>
      <c r="AA79" s="2" t="s">
        <v>15</v>
      </c>
      <c r="AD79" s="84">
        <f>N79</f>
        <v>2026071</v>
      </c>
      <c r="AE79" s="84"/>
      <c r="AF79" s="48"/>
      <c r="AG79" s="2"/>
      <c r="AI79" s="4"/>
    </row>
    <row r="80" spans="1:35" ht="15.5" x14ac:dyDescent="0.35">
      <c r="B80" s="8"/>
      <c r="F80" s="36" t="s">
        <v>29</v>
      </c>
      <c r="G80" s="36"/>
      <c r="O80" s="10"/>
      <c r="P80" s="2"/>
      <c r="Q80" s="4"/>
      <c r="S80" s="8"/>
      <c r="T80" s="26" t="s">
        <v>1</v>
      </c>
      <c r="U80" s="36" t="s">
        <v>29</v>
      </c>
      <c r="Y80" s="2" t="s">
        <v>1</v>
      </c>
      <c r="AA80" s="50" t="s">
        <v>1</v>
      </c>
      <c r="AB80" s="2"/>
      <c r="AC80" s="2"/>
      <c r="AD80" s="2"/>
      <c r="AE80" s="2"/>
      <c r="AF80" s="10" t="s">
        <v>1</v>
      </c>
      <c r="AG80" s="2"/>
      <c r="AI80" s="4"/>
    </row>
    <row r="81" spans="1:35" ht="14" x14ac:dyDescent="0.3">
      <c r="B81" s="8"/>
      <c r="F81" s="2" t="s">
        <v>30</v>
      </c>
      <c r="G81" s="2"/>
      <c r="M81" s="2" t="s">
        <v>1</v>
      </c>
      <c r="O81" s="10"/>
      <c r="P81" s="2"/>
      <c r="Q81" s="4"/>
      <c r="S81" s="8"/>
      <c r="T81" s="49" t="s">
        <v>1</v>
      </c>
      <c r="U81" s="2" t="s">
        <v>30</v>
      </c>
      <c r="AF81" s="44"/>
      <c r="AG81" s="2"/>
      <c r="AI81" s="4"/>
    </row>
    <row r="82" spans="1:35" ht="15.5" x14ac:dyDescent="0.35">
      <c r="B82" s="8"/>
      <c r="C82" s="591" t="s">
        <v>17</v>
      </c>
      <c r="D82" s="9">
        <f>D6</f>
        <v>46220</v>
      </c>
      <c r="F82" s="41" t="s">
        <v>126</v>
      </c>
      <c r="G82" s="41"/>
      <c r="H82" s="2"/>
      <c r="J82" s="2"/>
      <c r="O82" s="10"/>
      <c r="P82" s="2"/>
      <c r="Q82" s="4"/>
      <c r="S82" s="8"/>
      <c r="T82" s="41" t="s">
        <v>1</v>
      </c>
      <c r="U82" s="41" t="s">
        <v>34</v>
      </c>
      <c r="V82" s="2"/>
      <c r="X82" s="2"/>
      <c r="Y82" s="2"/>
      <c r="AF82" s="48"/>
      <c r="AG82" s="2"/>
      <c r="AI82" s="4"/>
    </row>
    <row r="83" spans="1:35" ht="12" thickBot="1" x14ac:dyDescent="0.3">
      <c r="B83" s="8"/>
      <c r="C83" s="591" t="s">
        <v>0</v>
      </c>
      <c r="D83" s="241">
        <f>D7</f>
        <v>0.58333333333333337</v>
      </c>
      <c r="F83" s="2" t="s">
        <v>27</v>
      </c>
      <c r="G83" s="9">
        <f>G7</f>
        <v>46204</v>
      </c>
      <c r="J83" s="2" t="s">
        <v>28</v>
      </c>
      <c r="K83" s="9">
        <f>K7</f>
        <v>46218</v>
      </c>
      <c r="O83" s="10"/>
      <c r="P83" s="2"/>
      <c r="Q83" s="4"/>
      <c r="S83" s="8"/>
      <c r="U83" s="1" t="str">
        <f>F83</f>
        <v>Fecha Desde:</v>
      </c>
      <c r="V83" s="9">
        <f>G83</f>
        <v>46204</v>
      </c>
      <c r="W83" s="1" t="s">
        <v>1</v>
      </c>
      <c r="X83" s="1" t="str">
        <f>J83</f>
        <v>Feha Hasta:</v>
      </c>
      <c r="Y83" s="9">
        <f>K83</f>
        <v>46218</v>
      </c>
      <c r="Z83" s="1" t="s">
        <v>1</v>
      </c>
      <c r="AF83" s="48"/>
      <c r="AG83" s="2"/>
      <c r="AI83" s="4"/>
    </row>
    <row r="84" spans="1:35" ht="72" customHeight="1" thickBot="1" x14ac:dyDescent="0.3">
      <c r="B84" s="11" t="s">
        <v>3</v>
      </c>
      <c r="C84" s="27" t="s">
        <v>9</v>
      </c>
      <c r="D84" s="11" t="s">
        <v>4</v>
      </c>
      <c r="E84" s="12" t="s">
        <v>5</v>
      </c>
      <c r="F84" s="27" t="s">
        <v>6</v>
      </c>
      <c r="G84" s="27" t="s">
        <v>159</v>
      </c>
      <c r="H84" s="27" t="s">
        <v>18</v>
      </c>
      <c r="I84" s="12" t="s">
        <v>24</v>
      </c>
      <c r="J84" s="73" t="s">
        <v>19</v>
      </c>
      <c r="K84" s="29" t="s">
        <v>20</v>
      </c>
      <c r="L84" s="85" t="s">
        <v>21</v>
      </c>
      <c r="M84" s="29" t="s">
        <v>22</v>
      </c>
      <c r="N84" s="65" t="s">
        <v>7</v>
      </c>
      <c r="O84" s="29" t="s">
        <v>23</v>
      </c>
      <c r="P84" s="13"/>
      <c r="Q84" s="4"/>
      <c r="S84" s="11" t="s">
        <v>3</v>
      </c>
      <c r="T84" s="27" t="s">
        <v>9</v>
      </c>
      <c r="U84" s="39" t="s">
        <v>39</v>
      </c>
      <c r="V84" s="39" t="s">
        <v>40</v>
      </c>
      <c r="W84" s="39" t="s">
        <v>41</v>
      </c>
      <c r="X84" s="39" t="s">
        <v>42</v>
      </c>
      <c r="Y84" s="39" t="s">
        <v>43</v>
      </c>
      <c r="Z84" s="65" t="s">
        <v>21</v>
      </c>
      <c r="AA84" s="85" t="s">
        <v>46</v>
      </c>
      <c r="AB84" s="65" t="s">
        <v>7</v>
      </c>
      <c r="AC84" s="85" t="s">
        <v>167</v>
      </c>
      <c r="AD84" s="567" t="s">
        <v>105</v>
      </c>
      <c r="AE84" s="566" t="s">
        <v>104</v>
      </c>
      <c r="AF84" s="39" t="s">
        <v>23</v>
      </c>
      <c r="AG84" s="13"/>
      <c r="AI84" s="4"/>
    </row>
    <row r="85" spans="1:35" s="308" customFormat="1" x14ac:dyDescent="0.25">
      <c r="B85" s="306">
        <v>1</v>
      </c>
      <c r="C85" s="307" t="s">
        <v>10</v>
      </c>
      <c r="D85" s="294">
        <f>'AJUSTES - SF-T'!D47</f>
        <v>0</v>
      </c>
      <c r="E85" s="295">
        <f>'AJUSTES - SF-T'!E47</f>
        <v>0</v>
      </c>
      <c r="F85" s="295">
        <f>'AJUSTES - SF-T'!F47</f>
        <v>0</v>
      </c>
      <c r="G85" s="295">
        <f>'AJUSTES - SF-T'!G47</f>
        <v>0</v>
      </c>
      <c r="H85" s="295">
        <f>'AJUSTES - SF-T'!H47</f>
        <v>0</v>
      </c>
      <c r="I85" s="295">
        <f>'AJUSTES - SF-T'!I47</f>
        <v>0</v>
      </c>
      <c r="J85" s="295">
        <f>'AJUSTES - SF-T'!J47</f>
        <v>0</v>
      </c>
      <c r="K85" s="295">
        <f>D85-E85-F85-G85-H85-I85-J85</f>
        <v>0</v>
      </c>
      <c r="L85" s="297">
        <v>0</v>
      </c>
      <c r="M85" s="324">
        <f>K85-L85</f>
        <v>0</v>
      </c>
      <c r="N85" s="324">
        <f>'AJUSTES - SF-T'!N47</f>
        <v>0</v>
      </c>
      <c r="O85" s="324">
        <f>M85+N85</f>
        <v>0</v>
      </c>
      <c r="Q85" s="309"/>
      <c r="S85" s="306">
        <v>1</v>
      </c>
      <c r="T85" s="307" t="s">
        <v>10</v>
      </c>
      <c r="U85" s="315">
        <f>'AJUSTES - SF-T'!U47</f>
        <v>0</v>
      </c>
      <c r="V85" s="315">
        <f>'AJUSTES - SF-T'!V47</f>
        <v>0</v>
      </c>
      <c r="W85" s="315">
        <f>'AJUSTES - SF-T'!W47</f>
        <v>0</v>
      </c>
      <c r="X85" s="315">
        <f>'AJUSTES - SF-T'!X47</f>
        <v>0</v>
      </c>
      <c r="Y85" s="315">
        <f>'AJUSTES - SF-T'!Y47</f>
        <v>0</v>
      </c>
      <c r="Z85" s="315">
        <f>'AJUSTES - SF-T'!Z47</f>
        <v>0</v>
      </c>
      <c r="AA85" s="314">
        <v>0</v>
      </c>
      <c r="AB85" s="315">
        <f>'AJUSTES - SF-T'!AB47</f>
        <v>0</v>
      </c>
      <c r="AC85" s="564">
        <f>'AJUSTES - SF-T'!AA47</f>
        <v>0</v>
      </c>
      <c r="AD85" s="324">
        <f>'AJUSTES - SF-T'!AC47</f>
        <v>0</v>
      </c>
      <c r="AE85" s="297">
        <f>'AJUSTES - SF-T'!AD47</f>
        <v>0</v>
      </c>
      <c r="AF85" s="366">
        <f>SUM(U85:AD85)</f>
        <v>0</v>
      </c>
      <c r="AG85" s="562">
        <f>AF85-O85</f>
        <v>0</v>
      </c>
      <c r="AH85" s="1" t="b">
        <f>INT(AG85)=0</f>
        <v>1</v>
      </c>
      <c r="AI85" s="309"/>
    </row>
    <row r="86" spans="1:35" s="308" customFormat="1" x14ac:dyDescent="0.25">
      <c r="B86" s="317">
        <v>2</v>
      </c>
      <c r="C86" s="318" t="s">
        <v>11</v>
      </c>
      <c r="D86" s="294">
        <v>0</v>
      </c>
      <c r="E86" s="295">
        <v>0</v>
      </c>
      <c r="F86" s="295">
        <v>0</v>
      </c>
      <c r="G86" s="295">
        <v>0</v>
      </c>
      <c r="H86" s="295">
        <v>0</v>
      </c>
      <c r="I86" s="295">
        <v>0</v>
      </c>
      <c r="J86" s="295">
        <v>0</v>
      </c>
      <c r="K86" s="295">
        <f t="shared" ref="K86:K89" si="33">D86-E86-F86-G86-H86-I86-J86</f>
        <v>0</v>
      </c>
      <c r="L86" s="297">
        <v>0</v>
      </c>
      <c r="M86" s="324">
        <f>K86-L86</f>
        <v>0</v>
      </c>
      <c r="N86" s="324">
        <v>0</v>
      </c>
      <c r="O86" s="324">
        <f t="shared" ref="O86:O89" si="34">M86+N86</f>
        <v>0</v>
      </c>
      <c r="Q86" s="309"/>
      <c r="S86" s="317">
        <v>2</v>
      </c>
      <c r="T86" s="318" t="s">
        <v>11</v>
      </c>
      <c r="U86" s="323">
        <v>0</v>
      </c>
      <c r="V86" s="323">
        <v>0</v>
      </c>
      <c r="W86" s="323">
        <v>0</v>
      </c>
      <c r="X86" s="323">
        <v>0</v>
      </c>
      <c r="Y86" s="323">
        <v>0</v>
      </c>
      <c r="Z86" s="323">
        <f>-L86</f>
        <v>0</v>
      </c>
      <c r="AA86" s="323">
        <v>0</v>
      </c>
      <c r="AB86" s="323">
        <f>N86</f>
        <v>0</v>
      </c>
      <c r="AC86" s="302">
        <v>0</v>
      </c>
      <c r="AD86" s="323">
        <f t="shared" ref="AD86:AD88" si="35">-J86+AE86</f>
        <v>0</v>
      </c>
      <c r="AE86" s="302">
        <v>0</v>
      </c>
      <c r="AF86" s="368">
        <f>SUM(U86:AD86)</f>
        <v>0</v>
      </c>
      <c r="AG86" s="563">
        <f>AF86-O86</f>
        <v>0</v>
      </c>
      <c r="AH86" s="1" t="b">
        <f t="shared" ref="AH86:AH90" si="36">INT(AG86)=0</f>
        <v>1</v>
      </c>
      <c r="AI86" s="309"/>
    </row>
    <row r="87" spans="1:35" s="308" customFormat="1" x14ac:dyDescent="0.25">
      <c r="B87" s="317">
        <v>3</v>
      </c>
      <c r="C87" s="318" t="s">
        <v>12</v>
      </c>
      <c r="D87" s="294">
        <f>'AJUSTES - SF-T'!D49</f>
        <v>0</v>
      </c>
      <c r="E87" s="295">
        <f>'AJUSTES - SF-T'!E49</f>
        <v>0</v>
      </c>
      <c r="F87" s="295">
        <f>'AJUSTES - SF-T'!F49</f>
        <v>0</v>
      </c>
      <c r="G87" s="295">
        <f>'AJUSTES - SF-T'!G49</f>
        <v>0</v>
      </c>
      <c r="H87" s="295">
        <f>'AJUSTES - SF-T'!H49</f>
        <v>0</v>
      </c>
      <c r="I87" s="295">
        <f>'AJUSTES - SF-T'!I49</f>
        <v>0</v>
      </c>
      <c r="J87" s="295">
        <f>'AJUSTES - SF-T'!J49</f>
        <v>0</v>
      </c>
      <c r="K87" s="295">
        <f>D87-E87-F87-G87-H87-I87-J87</f>
        <v>0</v>
      </c>
      <c r="L87" s="297">
        <v>0</v>
      </c>
      <c r="M87" s="324">
        <f>K87-L87</f>
        <v>0</v>
      </c>
      <c r="N87" s="324">
        <f>'AJUSTES - SF-T'!N49</f>
        <v>0</v>
      </c>
      <c r="O87" s="324">
        <f>M87+N87</f>
        <v>0</v>
      </c>
      <c r="Q87" s="309"/>
      <c r="S87" s="317">
        <v>3</v>
      </c>
      <c r="T87" s="318" t="s">
        <v>12</v>
      </c>
      <c r="U87" s="323">
        <f>'AJUSTES - SF-T'!U49</f>
        <v>0</v>
      </c>
      <c r="V87" s="323">
        <f>'AJUSTES - SF-T'!V49</f>
        <v>0</v>
      </c>
      <c r="W87" s="323">
        <f>'AJUSTES - SF-T'!W49</f>
        <v>0</v>
      </c>
      <c r="X87" s="323">
        <f>'AJUSTES - SF-T'!X49</f>
        <v>0</v>
      </c>
      <c r="Y87" s="323">
        <f>'AJUSTES - SF-T'!Y49</f>
        <v>0</v>
      </c>
      <c r="Z87" s="323">
        <f>'AJUSTES - SF-T'!Z49</f>
        <v>0</v>
      </c>
      <c r="AA87" s="323">
        <f>'AJUSTES - SF-T'!AA49</f>
        <v>0</v>
      </c>
      <c r="AB87" s="323">
        <f>'AJUSTES - SF-T'!AB49</f>
        <v>0</v>
      </c>
      <c r="AC87" s="302">
        <v>0</v>
      </c>
      <c r="AD87" s="323">
        <f>'AJUSTES - SF-T'!AC49</f>
        <v>0</v>
      </c>
      <c r="AE87" s="302">
        <f>'AJUSTES - SF-T'!AD49</f>
        <v>0</v>
      </c>
      <c r="AF87" s="368">
        <f>SUM(U87:AD87)</f>
        <v>0</v>
      </c>
      <c r="AG87" s="563">
        <f>AF87-O87</f>
        <v>0</v>
      </c>
      <c r="AH87" s="1" t="b">
        <f t="shared" si="36"/>
        <v>1</v>
      </c>
      <c r="AI87" s="309"/>
    </row>
    <row r="88" spans="1:35" s="308" customFormat="1" x14ac:dyDescent="0.25">
      <c r="B88" s="317">
        <v>4</v>
      </c>
      <c r="C88" s="318" t="s">
        <v>13</v>
      </c>
      <c r="D88" s="294">
        <v>0</v>
      </c>
      <c r="E88" s="295">
        <v>0</v>
      </c>
      <c r="F88" s="295">
        <v>0</v>
      </c>
      <c r="G88" s="295">
        <v>0</v>
      </c>
      <c r="H88" s="295">
        <v>0</v>
      </c>
      <c r="I88" s="295">
        <v>0</v>
      </c>
      <c r="J88" s="295">
        <v>0</v>
      </c>
      <c r="K88" s="295">
        <f t="shared" si="33"/>
        <v>0</v>
      </c>
      <c r="L88" s="297">
        <v>0</v>
      </c>
      <c r="M88" s="324">
        <f>K88-L88</f>
        <v>0</v>
      </c>
      <c r="N88" s="324">
        <v>0</v>
      </c>
      <c r="O88" s="324">
        <f t="shared" si="34"/>
        <v>0</v>
      </c>
      <c r="Q88" s="309"/>
      <c r="S88" s="317">
        <v>4</v>
      </c>
      <c r="T88" s="318" t="s">
        <v>13</v>
      </c>
      <c r="U88" s="323">
        <v>0</v>
      </c>
      <c r="V88" s="323">
        <v>0</v>
      </c>
      <c r="W88" s="323">
        <v>0</v>
      </c>
      <c r="X88" s="323">
        <v>0</v>
      </c>
      <c r="Y88" s="323">
        <v>0</v>
      </c>
      <c r="Z88" s="323">
        <f>-L88</f>
        <v>0</v>
      </c>
      <c r="AA88" s="323">
        <v>0</v>
      </c>
      <c r="AB88" s="323">
        <f>N88</f>
        <v>0</v>
      </c>
      <c r="AC88" s="302">
        <v>0</v>
      </c>
      <c r="AD88" s="323">
        <f t="shared" si="35"/>
        <v>0</v>
      </c>
      <c r="AE88" s="302">
        <v>0</v>
      </c>
      <c r="AF88" s="368">
        <f t="shared" ref="AF88:AF89" si="37">SUM(U88:AD88)</f>
        <v>0</v>
      </c>
      <c r="AG88" s="563">
        <f>AF88-O88</f>
        <v>0</v>
      </c>
      <c r="AH88" s="1" t="b">
        <f t="shared" si="36"/>
        <v>1</v>
      </c>
      <c r="AI88" s="309"/>
    </row>
    <row r="89" spans="1:35" s="308" customFormat="1" ht="12" thickBot="1" x14ac:dyDescent="0.3">
      <c r="B89" s="327">
        <v>5</v>
      </c>
      <c r="C89" s="328" t="s">
        <v>14</v>
      </c>
      <c r="D89" s="299">
        <f>'AJUSTES - SF-T'!D51</f>
        <v>0</v>
      </c>
      <c r="E89" s="300">
        <f>'AJUSTES - SF-T'!E51</f>
        <v>0</v>
      </c>
      <c r="F89" s="300">
        <f>'AJUSTES - SF-T'!F51</f>
        <v>0</v>
      </c>
      <c r="G89" s="300">
        <f>'AJUSTES - SF-T'!G51</f>
        <v>0</v>
      </c>
      <c r="H89" s="300">
        <f>'AJUSTES - SF-T'!H51</f>
        <v>0</v>
      </c>
      <c r="I89" s="300">
        <f>'AJUSTES - SF-T'!I51</f>
        <v>0</v>
      </c>
      <c r="J89" s="300">
        <f>'AJUSTES - SF-T'!J51</f>
        <v>0</v>
      </c>
      <c r="K89" s="300">
        <f t="shared" si="33"/>
        <v>0</v>
      </c>
      <c r="L89" s="297">
        <v>0</v>
      </c>
      <c r="M89" s="349">
        <f>K89-L89</f>
        <v>0</v>
      </c>
      <c r="N89" s="349">
        <f>'AJUSTES - SF-T'!N51</f>
        <v>0</v>
      </c>
      <c r="O89" s="349">
        <f t="shared" si="34"/>
        <v>0</v>
      </c>
      <c r="Q89" s="309"/>
      <c r="S89" s="327">
        <v>5</v>
      </c>
      <c r="T89" s="328" t="s">
        <v>14</v>
      </c>
      <c r="U89" s="349">
        <f>'AJUSTES - SF-T'!U51</f>
        <v>0</v>
      </c>
      <c r="V89" s="349">
        <f>'AJUSTES - SF-T'!V51</f>
        <v>0</v>
      </c>
      <c r="W89" s="349">
        <f>'AJUSTES - SF-T'!W51</f>
        <v>0</v>
      </c>
      <c r="X89" s="349">
        <f>'AJUSTES - SF-T'!X51</f>
        <v>0</v>
      </c>
      <c r="Y89" s="349">
        <f>'AJUSTES - SF-T'!Y51</f>
        <v>0</v>
      </c>
      <c r="Z89" s="349">
        <f>'AJUSTES - SF-T'!Z51</f>
        <v>0</v>
      </c>
      <c r="AA89" s="323">
        <f>'AJUSTES - SF-T'!AA51</f>
        <v>0</v>
      </c>
      <c r="AB89" s="565">
        <f>'AJUSTES - SF-T'!AB51</f>
        <v>0</v>
      </c>
      <c r="AC89" s="601">
        <v>0</v>
      </c>
      <c r="AD89" s="565">
        <f>'AJUSTES - SF-T'!AC51</f>
        <v>0</v>
      </c>
      <c r="AE89" s="297">
        <f>'AJUSTES - SF-T'!AD51</f>
        <v>0</v>
      </c>
      <c r="AF89" s="569">
        <f t="shared" si="37"/>
        <v>0</v>
      </c>
      <c r="AG89" s="568">
        <f>AF89-O89</f>
        <v>0</v>
      </c>
      <c r="AH89" s="1" t="b">
        <f t="shared" si="36"/>
        <v>1</v>
      </c>
      <c r="AI89" s="309"/>
    </row>
    <row r="90" spans="1:35" s="308" customFormat="1" ht="13.5" thickBot="1" x14ac:dyDescent="0.35">
      <c r="B90" s="330"/>
      <c r="C90" s="331" t="s">
        <v>2</v>
      </c>
      <c r="D90" s="293">
        <f t="shared" ref="D90:O90" si="38">SUM(D85:D89)</f>
        <v>0</v>
      </c>
      <c r="E90" s="293">
        <f t="shared" si="38"/>
        <v>0</v>
      </c>
      <c r="F90" s="293">
        <f t="shared" si="38"/>
        <v>0</v>
      </c>
      <c r="G90" s="293">
        <f t="shared" si="38"/>
        <v>0</v>
      </c>
      <c r="H90" s="293">
        <f t="shared" si="38"/>
        <v>0</v>
      </c>
      <c r="I90" s="293">
        <f t="shared" si="38"/>
        <v>0</v>
      </c>
      <c r="J90" s="293">
        <f t="shared" si="38"/>
        <v>0</v>
      </c>
      <c r="K90" s="303">
        <f t="shared" si="38"/>
        <v>0</v>
      </c>
      <c r="L90" s="304">
        <f t="shared" si="38"/>
        <v>0</v>
      </c>
      <c r="M90" s="305">
        <f t="shared" si="38"/>
        <v>0</v>
      </c>
      <c r="N90" s="304">
        <f t="shared" si="38"/>
        <v>0</v>
      </c>
      <c r="O90" s="305">
        <f t="shared" si="38"/>
        <v>0</v>
      </c>
      <c r="P90" s="332"/>
      <c r="Q90" s="309"/>
      <c r="S90" s="330"/>
      <c r="T90" s="560" t="s">
        <v>2</v>
      </c>
      <c r="U90" s="333">
        <f>SUM(U85:U89)</f>
        <v>0</v>
      </c>
      <c r="V90" s="333">
        <f t="shared" ref="V90:AG90" si="39">SUM(V85:V89)</f>
        <v>0</v>
      </c>
      <c r="W90" s="561">
        <f t="shared" si="39"/>
        <v>0</v>
      </c>
      <c r="X90" s="333">
        <f t="shared" si="39"/>
        <v>0</v>
      </c>
      <c r="Y90" s="333">
        <f t="shared" si="39"/>
        <v>0</v>
      </c>
      <c r="Z90" s="293">
        <f t="shared" si="39"/>
        <v>0</v>
      </c>
      <c r="AA90" s="293">
        <f t="shared" si="39"/>
        <v>0</v>
      </c>
      <c r="AB90" s="293">
        <f t="shared" si="39"/>
        <v>0</v>
      </c>
      <c r="AC90" s="293">
        <f t="shared" si="39"/>
        <v>0</v>
      </c>
      <c r="AD90" s="293">
        <f t="shared" si="39"/>
        <v>0</v>
      </c>
      <c r="AE90" s="293">
        <f t="shared" si="39"/>
        <v>0</v>
      </c>
      <c r="AF90" s="334">
        <f t="shared" si="39"/>
        <v>0</v>
      </c>
      <c r="AG90" s="335">
        <f t="shared" si="39"/>
        <v>0</v>
      </c>
      <c r="AH90" s="1" t="b">
        <f t="shared" si="36"/>
        <v>1</v>
      </c>
      <c r="AI90" s="309"/>
    </row>
    <row r="91" spans="1:35" ht="12" thickBot="1" x14ac:dyDescent="0.3">
      <c r="B91" s="2"/>
      <c r="C91" s="2"/>
      <c r="D91" s="24"/>
      <c r="E91" s="24"/>
      <c r="F91" s="24"/>
      <c r="G91" s="24"/>
      <c r="H91" s="24"/>
      <c r="I91" s="24"/>
      <c r="K91" s="24"/>
      <c r="L91" s="24"/>
      <c r="M91" s="24"/>
      <c r="N91" s="24"/>
      <c r="O91" s="24"/>
      <c r="Q91" s="4"/>
      <c r="S91" s="2"/>
      <c r="T91" s="2"/>
      <c r="U91" s="24"/>
      <c r="V91" s="24"/>
      <c r="W91" s="24"/>
      <c r="X91" s="24"/>
      <c r="Y91" s="24"/>
      <c r="AF91" s="24"/>
      <c r="AI91" s="4"/>
    </row>
    <row r="92" spans="1:35" ht="12" thickBot="1" x14ac:dyDescent="0.3">
      <c r="B92" s="2"/>
      <c r="C92" s="2"/>
      <c r="D92" s="24" t="s">
        <v>1</v>
      </c>
      <c r="E92" s="24"/>
      <c r="F92" s="24"/>
      <c r="G92" s="24"/>
      <c r="H92" s="24"/>
      <c r="I92" s="24"/>
      <c r="K92" s="24"/>
      <c r="L92" s="24"/>
      <c r="M92" s="24"/>
      <c r="N92" s="24"/>
      <c r="O92" s="24"/>
      <c r="Q92" s="4"/>
      <c r="Y92" s="86">
        <f>SUM(U90:Y90)</f>
        <v>0</v>
      </c>
      <c r="AA92" s="1" t="s">
        <v>1</v>
      </c>
      <c r="AB92" s="1" t="s">
        <v>1</v>
      </c>
      <c r="AD92" s="1" t="s">
        <v>1</v>
      </c>
      <c r="AF92" s="1" t="s">
        <v>1</v>
      </c>
      <c r="AI92" s="4"/>
    </row>
    <row r="93" spans="1:35" ht="12" thickBot="1" x14ac:dyDescent="0.3">
      <c r="B93" s="2"/>
      <c r="C93" s="2"/>
      <c r="D93" s="24" t="s">
        <v>1</v>
      </c>
      <c r="E93" s="33"/>
      <c r="F93" s="33"/>
      <c r="G93" s="33"/>
      <c r="H93" s="33"/>
      <c r="I93" s="24"/>
      <c r="K93" s="24"/>
      <c r="L93" s="24"/>
      <c r="M93" s="24"/>
      <c r="N93" s="24"/>
      <c r="O93" s="24"/>
      <c r="Q93" s="4"/>
      <c r="AI93" s="4"/>
    </row>
    <row r="94" spans="1:35" x14ac:dyDescent="0.25">
      <c r="B94" s="2"/>
      <c r="C94" s="2"/>
      <c r="D94" s="24" t="s">
        <v>1</v>
      </c>
      <c r="E94" s="24" t="s">
        <v>1</v>
      </c>
      <c r="F94" s="24" t="s">
        <v>25</v>
      </c>
      <c r="G94" s="24"/>
      <c r="H94" s="24"/>
      <c r="I94" s="24"/>
      <c r="K94" s="24"/>
      <c r="L94" s="24"/>
      <c r="M94" s="24"/>
      <c r="N94" s="24"/>
      <c r="O94" s="24"/>
      <c r="Q94" s="4"/>
      <c r="AI94" s="4"/>
    </row>
    <row r="95" spans="1:35" x14ac:dyDescent="0.25">
      <c r="A95" s="4"/>
      <c r="B95" s="34"/>
      <c r="C95" s="34"/>
      <c r="D95" s="35"/>
      <c r="E95" s="35"/>
      <c r="F95" s="35"/>
      <c r="G95" s="35"/>
      <c r="H95" s="35"/>
      <c r="I95" s="35"/>
      <c r="J95" s="4"/>
      <c r="K95" s="35"/>
      <c r="L95" s="35"/>
      <c r="M95" s="35"/>
      <c r="N95" s="35"/>
      <c r="O95" s="35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</row>
    <row r="96" spans="1:35" ht="12" thickBot="1" x14ac:dyDescent="0.3">
      <c r="Q96" s="4"/>
      <c r="AI96" s="4"/>
    </row>
    <row r="97" spans="2:36" x14ac:dyDescent="0.25">
      <c r="B97" s="5"/>
      <c r="C97" s="3" t="s">
        <v>1</v>
      </c>
      <c r="D97" s="6" t="s">
        <v>1</v>
      </c>
      <c r="E97" s="3"/>
      <c r="F97" s="3"/>
      <c r="G97" s="3"/>
      <c r="H97" s="3" t="s">
        <v>1</v>
      </c>
      <c r="I97" s="3"/>
      <c r="J97" s="3"/>
      <c r="K97" s="3"/>
      <c r="L97" s="3"/>
      <c r="M97" s="3"/>
      <c r="N97" s="3"/>
      <c r="O97" s="7"/>
      <c r="P97" s="2"/>
      <c r="Q97" s="4"/>
      <c r="S97" s="5"/>
      <c r="T97" s="3" t="s">
        <v>1</v>
      </c>
      <c r="U97" s="6" t="s">
        <v>1</v>
      </c>
      <c r="V97" s="3"/>
      <c r="W97" s="3"/>
      <c r="X97" s="3" t="s">
        <v>1</v>
      </c>
      <c r="Y97" s="3"/>
      <c r="Z97" s="3"/>
      <c r="AA97" s="3"/>
      <c r="AB97" s="3"/>
      <c r="AC97" s="3"/>
      <c r="AD97" s="3"/>
      <c r="AE97" s="3"/>
      <c r="AF97" s="7"/>
      <c r="AG97" s="2"/>
      <c r="AI97" s="4"/>
    </row>
    <row r="98" spans="2:36" ht="14" x14ac:dyDescent="0.3">
      <c r="B98" s="8"/>
      <c r="F98" s="26" t="s">
        <v>8</v>
      </c>
      <c r="G98" s="26"/>
      <c r="I98" s="26" t="s">
        <v>16</v>
      </c>
      <c r="J98" s="25"/>
      <c r="M98" s="2" t="s">
        <v>15</v>
      </c>
      <c r="N98" s="50">
        <f>N3</f>
        <v>2026071</v>
      </c>
      <c r="O98" s="10"/>
      <c r="P98" s="2"/>
      <c r="Q98" s="4"/>
      <c r="S98" s="8"/>
      <c r="U98" s="26" t="s">
        <v>8</v>
      </c>
      <c r="W98" s="26" t="s">
        <v>16</v>
      </c>
      <c r="X98" s="25"/>
      <c r="Y98" s="2"/>
      <c r="AA98" s="2" t="s">
        <v>15</v>
      </c>
      <c r="AD98" s="84">
        <f>N98</f>
        <v>2026071</v>
      </c>
      <c r="AE98" s="84"/>
      <c r="AF98" s="48"/>
      <c r="AG98" s="2"/>
      <c r="AI98" s="4"/>
    </row>
    <row r="99" spans="2:36" ht="15.5" x14ac:dyDescent="0.35">
      <c r="B99" s="8"/>
      <c r="F99" s="36" t="s">
        <v>29</v>
      </c>
      <c r="G99" s="36"/>
      <c r="O99" s="10"/>
      <c r="P99" s="2"/>
      <c r="Q99" s="4"/>
      <c r="S99" s="8"/>
      <c r="T99" s="26" t="s">
        <v>1</v>
      </c>
      <c r="U99" s="36" t="s">
        <v>29</v>
      </c>
      <c r="Y99" s="2" t="s">
        <v>1</v>
      </c>
      <c r="AA99" s="50" t="s">
        <v>1</v>
      </c>
      <c r="AB99" s="2"/>
      <c r="AC99" s="2"/>
      <c r="AD99" s="2"/>
      <c r="AE99" s="2"/>
      <c r="AF99" s="10" t="s">
        <v>1</v>
      </c>
      <c r="AG99" s="2"/>
      <c r="AI99" s="4"/>
    </row>
    <row r="100" spans="2:36" ht="14" x14ac:dyDescent="0.3">
      <c r="B100" s="8"/>
      <c r="F100" s="2" t="s">
        <v>30</v>
      </c>
      <c r="G100" s="2"/>
      <c r="L100" s="91"/>
      <c r="M100" s="2" t="s">
        <v>1</v>
      </c>
      <c r="O100" s="10"/>
      <c r="P100" s="2"/>
      <c r="Q100" s="4"/>
      <c r="S100" s="8"/>
      <c r="T100" s="49" t="s">
        <v>1</v>
      </c>
      <c r="U100" s="2" t="s">
        <v>30</v>
      </c>
      <c r="AF100" s="44"/>
      <c r="AG100" s="2"/>
      <c r="AI100" s="4"/>
    </row>
    <row r="101" spans="2:36" ht="15.5" x14ac:dyDescent="0.35">
      <c r="B101" s="8"/>
      <c r="C101" s="591" t="s">
        <v>17</v>
      </c>
      <c r="D101" s="9">
        <f>D6</f>
        <v>46220</v>
      </c>
      <c r="F101" s="58" t="s">
        <v>328</v>
      </c>
      <c r="G101" s="58"/>
      <c r="H101" s="59"/>
      <c r="I101" s="60"/>
      <c r="J101" s="59"/>
      <c r="L101" s="91"/>
      <c r="O101" s="10"/>
      <c r="P101" s="2"/>
      <c r="Q101" s="4"/>
      <c r="S101" s="8"/>
      <c r="T101" s="41" t="s">
        <v>1</v>
      </c>
      <c r="U101" s="58" t="s">
        <v>217</v>
      </c>
      <c r="V101" s="59"/>
      <c r="W101" s="60"/>
      <c r="X101" s="59"/>
      <c r="Y101" s="2"/>
      <c r="AF101" s="48"/>
      <c r="AG101" s="2"/>
      <c r="AI101" s="4"/>
    </row>
    <row r="102" spans="2:36" ht="18" thickBot="1" x14ac:dyDescent="0.5">
      <c r="B102" s="8"/>
      <c r="C102" s="591" t="s">
        <v>0</v>
      </c>
      <c r="D102" s="241">
        <f>D7</f>
        <v>0.58333333333333337</v>
      </c>
      <c r="F102" s="2" t="s">
        <v>27</v>
      </c>
      <c r="G102" s="9">
        <f>G7</f>
        <v>46204</v>
      </c>
      <c r="J102" s="2" t="s">
        <v>28</v>
      </c>
      <c r="K102" s="9">
        <f>K7</f>
        <v>46218</v>
      </c>
      <c r="L102" s="92"/>
      <c r="O102" s="10"/>
      <c r="P102" s="2"/>
      <c r="Q102" s="4"/>
      <c r="S102" s="8"/>
      <c r="U102" s="1" t="str">
        <f>F102</f>
        <v>Fecha Desde:</v>
      </c>
      <c r="V102" s="9">
        <f>G102</f>
        <v>46204</v>
      </c>
      <c r="W102" s="1" t="s">
        <v>1</v>
      </c>
      <c r="X102" s="1" t="str">
        <f>J102</f>
        <v>Feha Hasta:</v>
      </c>
      <c r="Y102" s="9">
        <f>K102</f>
        <v>46218</v>
      </c>
      <c r="Z102" s="1" t="s">
        <v>1</v>
      </c>
      <c r="AF102" s="48"/>
      <c r="AG102" s="2"/>
      <c r="AI102" s="4"/>
      <c r="AJ102" s="112" t="s">
        <v>1</v>
      </c>
    </row>
    <row r="103" spans="2:36" ht="72" customHeight="1" thickBot="1" x14ac:dyDescent="0.3">
      <c r="B103" s="11" t="s">
        <v>3</v>
      </c>
      <c r="C103" s="27" t="s">
        <v>9</v>
      </c>
      <c r="D103" s="11" t="s">
        <v>4</v>
      </c>
      <c r="E103" s="12" t="s">
        <v>5</v>
      </c>
      <c r="F103" s="27" t="s">
        <v>6</v>
      </c>
      <c r="G103" s="27" t="s">
        <v>159</v>
      </c>
      <c r="H103" s="27" t="s">
        <v>18</v>
      </c>
      <c r="I103" s="12" t="s">
        <v>24</v>
      </c>
      <c r="J103" s="73" t="s">
        <v>19</v>
      </c>
      <c r="K103" s="29" t="s">
        <v>20</v>
      </c>
      <c r="L103" s="28" t="s">
        <v>21</v>
      </c>
      <c r="M103" s="39" t="s">
        <v>22</v>
      </c>
      <c r="N103" s="12" t="s">
        <v>7</v>
      </c>
      <c r="O103" s="39" t="s">
        <v>23</v>
      </c>
      <c r="P103" s="13"/>
      <c r="Q103" s="4"/>
      <c r="S103" s="11" t="s">
        <v>3</v>
      </c>
      <c r="T103" s="27" t="s">
        <v>9</v>
      </c>
      <c r="U103" s="162" t="s">
        <v>39</v>
      </c>
      <c r="V103" s="163" t="s">
        <v>40</v>
      </c>
      <c r="W103" s="163" t="s">
        <v>41</v>
      </c>
      <c r="X103" s="163" t="s">
        <v>42</v>
      </c>
      <c r="Y103" s="164" t="s">
        <v>43</v>
      </c>
      <c r="Z103" s="85" t="s">
        <v>21</v>
      </c>
      <c r="AA103" s="65" t="s">
        <v>46</v>
      </c>
      <c r="AB103" s="65" t="s">
        <v>7</v>
      </c>
      <c r="AC103" s="85" t="s">
        <v>167</v>
      </c>
      <c r="AD103" s="121" t="s">
        <v>105</v>
      </c>
      <c r="AE103" s="121" t="s">
        <v>104</v>
      </c>
      <c r="AF103" s="39" t="s">
        <v>23</v>
      </c>
      <c r="AG103" s="13"/>
      <c r="AI103" s="4"/>
    </row>
    <row r="104" spans="2:36" s="308" customFormat="1" x14ac:dyDescent="0.25">
      <c r="B104" s="306">
        <v>1</v>
      </c>
      <c r="C104" s="307" t="s">
        <v>10</v>
      </c>
      <c r="D104" s="294">
        <f t="shared" ref="D104:J108" si="40">D9+D28+D47+D66+D85</f>
        <v>0</v>
      </c>
      <c r="E104" s="295">
        <f t="shared" si="40"/>
        <v>0</v>
      </c>
      <c r="F104" s="295">
        <f t="shared" si="40"/>
        <v>0</v>
      </c>
      <c r="G104" s="295">
        <f t="shared" si="40"/>
        <v>0</v>
      </c>
      <c r="H104" s="295">
        <f t="shared" si="40"/>
        <v>0</v>
      </c>
      <c r="I104" s="295">
        <f t="shared" si="40"/>
        <v>0</v>
      </c>
      <c r="J104" s="295">
        <f t="shared" si="40"/>
        <v>0</v>
      </c>
      <c r="K104" s="296">
        <f>D104-E104-F104-G104-H104-I104-J104</f>
        <v>0</v>
      </c>
      <c r="L104" s="297">
        <f>L9+L28+L47+L66+L85</f>
        <v>0</v>
      </c>
      <c r="M104" s="296">
        <f>K104-L104</f>
        <v>0</v>
      </c>
      <c r="N104" s="297">
        <f>N9+N28+N47+N66+N85</f>
        <v>0</v>
      </c>
      <c r="O104" s="296">
        <f>M104+N104</f>
        <v>0</v>
      </c>
      <c r="Q104" s="309"/>
      <c r="S104" s="306">
        <v>1</v>
      </c>
      <c r="T104" s="307" t="s">
        <v>10</v>
      </c>
      <c r="U104" s="310">
        <f t="shared" ref="U104:AC108" si="41">U9+U28+U47+U66+U85</f>
        <v>0</v>
      </c>
      <c r="V104" s="311">
        <f t="shared" si="41"/>
        <v>0</v>
      </c>
      <c r="W104" s="311">
        <f t="shared" si="41"/>
        <v>0</v>
      </c>
      <c r="X104" s="311">
        <f t="shared" si="41"/>
        <v>0</v>
      </c>
      <c r="Y104" s="312">
        <f t="shared" si="41"/>
        <v>0</v>
      </c>
      <c r="Z104" s="313">
        <f t="shared" si="41"/>
        <v>0</v>
      </c>
      <c r="AA104" s="314">
        <f>AA9+AA28+AA47+AA66+AA85</f>
        <v>0</v>
      </c>
      <c r="AB104" s="297">
        <f>AB9+AB28+AB47+AB66+AB85</f>
        <v>0</v>
      </c>
      <c r="AC104" s="314">
        <f>AC9+AC28+AC47+AC66+AC85</f>
        <v>0</v>
      </c>
      <c r="AD104" s="294">
        <f>-J104+AE104</f>
        <v>0</v>
      </c>
      <c r="AE104" s="294">
        <f>AE9+AE28+AE47+AE66+AE85</f>
        <v>0</v>
      </c>
      <c r="AF104" s="316">
        <f>SUM(U104:AD104)</f>
        <v>0</v>
      </c>
      <c r="AG104" s="314">
        <f>AF104-O104</f>
        <v>0</v>
      </c>
      <c r="AH104" s="1" t="b">
        <f>INT(AG104)=0</f>
        <v>1</v>
      </c>
      <c r="AI104" s="309"/>
    </row>
    <row r="105" spans="2:36" s="308" customFormat="1" ht="12" thickBot="1" x14ac:dyDescent="0.3">
      <c r="B105" s="317">
        <v>2</v>
      </c>
      <c r="C105" s="318" t="s">
        <v>11</v>
      </c>
      <c r="D105" s="294">
        <f t="shared" si="40"/>
        <v>0</v>
      </c>
      <c r="E105" s="295">
        <f t="shared" si="40"/>
        <v>0</v>
      </c>
      <c r="F105" s="295">
        <f t="shared" si="40"/>
        <v>0</v>
      </c>
      <c r="G105" s="295">
        <f t="shared" si="40"/>
        <v>0</v>
      </c>
      <c r="H105" s="295">
        <f t="shared" si="40"/>
        <v>0</v>
      </c>
      <c r="I105" s="295">
        <f t="shared" si="40"/>
        <v>0</v>
      </c>
      <c r="J105" s="295">
        <f t="shared" si="40"/>
        <v>0</v>
      </c>
      <c r="K105" s="298">
        <f t="shared" ref="K105:K108" si="42">D105-E105-F105-G105-H105-I105-J105</f>
        <v>0</v>
      </c>
      <c r="L105" s="297">
        <f>L10+L29+L48+L67+L86</f>
        <v>0</v>
      </c>
      <c r="M105" s="298">
        <f>K105-L105</f>
        <v>0</v>
      </c>
      <c r="N105" s="297">
        <f>N10+N29+N48+N67+N86</f>
        <v>0</v>
      </c>
      <c r="O105" s="298">
        <f t="shared" ref="O105:O108" si="43">M105+N105</f>
        <v>0</v>
      </c>
      <c r="Q105" s="309"/>
      <c r="S105" s="317">
        <v>2</v>
      </c>
      <c r="T105" s="318" t="s">
        <v>11</v>
      </c>
      <c r="U105" s="319">
        <f t="shared" si="41"/>
        <v>0</v>
      </c>
      <c r="V105" s="320">
        <f t="shared" si="41"/>
        <v>0</v>
      </c>
      <c r="W105" s="320">
        <f t="shared" si="41"/>
        <v>0</v>
      </c>
      <c r="X105" s="320">
        <f t="shared" si="41"/>
        <v>0</v>
      </c>
      <c r="Y105" s="321">
        <f t="shared" si="41"/>
        <v>0</v>
      </c>
      <c r="Z105" s="322">
        <f t="shared" si="41"/>
        <v>0</v>
      </c>
      <c r="AA105" s="323">
        <f t="shared" si="41"/>
        <v>0</v>
      </c>
      <c r="AB105" s="297">
        <f t="shared" si="41"/>
        <v>0</v>
      </c>
      <c r="AC105" s="323">
        <f t="shared" si="41"/>
        <v>0</v>
      </c>
      <c r="AD105" s="294">
        <f t="shared" ref="AD105:AD106" si="44">-J105+AE105</f>
        <v>0</v>
      </c>
      <c r="AE105" s="294">
        <f>AE10+AE29+AE48+AE67+AE86</f>
        <v>0</v>
      </c>
      <c r="AF105" s="325">
        <f>SUM(U105:AD105)</f>
        <v>0</v>
      </c>
      <c r="AG105" s="326">
        <f>AF105-O105</f>
        <v>0</v>
      </c>
      <c r="AH105" s="1" t="b">
        <f t="shared" ref="AH105:AH109" si="45">INT(AG105)=0</f>
        <v>1</v>
      </c>
      <c r="AI105" s="309"/>
    </row>
    <row r="106" spans="2:36" s="308" customFormat="1" x14ac:dyDescent="0.25">
      <c r="B106" s="317">
        <v>3</v>
      </c>
      <c r="C106" s="318" t="s">
        <v>12</v>
      </c>
      <c r="D106" s="294">
        <f t="shared" si="40"/>
        <v>0</v>
      </c>
      <c r="E106" s="295">
        <f t="shared" si="40"/>
        <v>0</v>
      </c>
      <c r="F106" s="295">
        <f t="shared" si="40"/>
        <v>0</v>
      </c>
      <c r="G106" s="295">
        <f t="shared" si="40"/>
        <v>0</v>
      </c>
      <c r="H106" s="295">
        <f t="shared" si="40"/>
        <v>0</v>
      </c>
      <c r="I106" s="295">
        <f t="shared" si="40"/>
        <v>0</v>
      </c>
      <c r="J106" s="295">
        <f t="shared" si="40"/>
        <v>0</v>
      </c>
      <c r="K106" s="298">
        <f t="shared" si="42"/>
        <v>0</v>
      </c>
      <c r="L106" s="297">
        <f>L11+L30+L49+L68+L87</f>
        <v>0</v>
      </c>
      <c r="M106" s="298">
        <f>K106-L106</f>
        <v>0</v>
      </c>
      <c r="N106" s="297">
        <f>N11+N30+N49+N68+N87</f>
        <v>0</v>
      </c>
      <c r="O106" s="298">
        <f t="shared" si="43"/>
        <v>0</v>
      </c>
      <c r="Q106" s="309"/>
      <c r="S106" s="317">
        <v>3</v>
      </c>
      <c r="T106" s="318" t="s">
        <v>12</v>
      </c>
      <c r="U106" s="319">
        <f t="shared" si="41"/>
        <v>0</v>
      </c>
      <c r="V106" s="320">
        <f t="shared" si="41"/>
        <v>0</v>
      </c>
      <c r="W106" s="320">
        <f t="shared" si="41"/>
        <v>0</v>
      </c>
      <c r="X106" s="320">
        <f t="shared" si="41"/>
        <v>0</v>
      </c>
      <c r="Y106" s="321">
        <f t="shared" si="41"/>
        <v>0</v>
      </c>
      <c r="Z106" s="322">
        <f t="shared" si="41"/>
        <v>0</v>
      </c>
      <c r="AA106" s="323">
        <f t="shared" si="41"/>
        <v>0</v>
      </c>
      <c r="AB106" s="297">
        <f t="shared" si="41"/>
        <v>0</v>
      </c>
      <c r="AC106" s="314">
        <f>AC11+AC30+AC49+AC68+AC87</f>
        <v>0</v>
      </c>
      <c r="AD106" s="294">
        <f t="shared" si="44"/>
        <v>0</v>
      </c>
      <c r="AE106" s="294">
        <f>AE11+AE30+AE49+AE68+AE87</f>
        <v>0</v>
      </c>
      <c r="AF106" s="325">
        <f>SUM(U106:AD106)</f>
        <v>0</v>
      </c>
      <c r="AG106" s="326">
        <f>AF106-O106</f>
        <v>0</v>
      </c>
      <c r="AH106" s="1" t="b">
        <f t="shared" si="45"/>
        <v>1</v>
      </c>
      <c r="AI106" s="309"/>
    </row>
    <row r="107" spans="2:36" s="308" customFormat="1" x14ac:dyDescent="0.25">
      <c r="B107" s="317">
        <v>4</v>
      </c>
      <c r="C107" s="318" t="s">
        <v>13</v>
      </c>
      <c r="D107" s="294">
        <f t="shared" si="40"/>
        <v>0</v>
      </c>
      <c r="E107" s="295">
        <f t="shared" si="40"/>
        <v>0</v>
      </c>
      <c r="F107" s="295">
        <f t="shared" si="40"/>
        <v>0</v>
      </c>
      <c r="G107" s="295">
        <f t="shared" si="40"/>
        <v>0</v>
      </c>
      <c r="H107" s="295">
        <f t="shared" si="40"/>
        <v>0</v>
      </c>
      <c r="I107" s="295">
        <f t="shared" si="40"/>
        <v>0</v>
      </c>
      <c r="J107" s="295">
        <f t="shared" si="40"/>
        <v>0</v>
      </c>
      <c r="K107" s="298">
        <f t="shared" si="42"/>
        <v>0</v>
      </c>
      <c r="L107" s="297">
        <f>L12+L31+L50+L69+L88</f>
        <v>0</v>
      </c>
      <c r="M107" s="298">
        <f>K107-L107</f>
        <v>0</v>
      </c>
      <c r="N107" s="297">
        <f>N12+N31+N50+N69+N88</f>
        <v>0</v>
      </c>
      <c r="O107" s="298">
        <f>M107+N107</f>
        <v>0</v>
      </c>
      <c r="Q107" s="309"/>
      <c r="S107" s="317">
        <v>4</v>
      </c>
      <c r="T107" s="318" t="s">
        <v>13</v>
      </c>
      <c r="U107" s="319">
        <f t="shared" si="41"/>
        <v>0</v>
      </c>
      <c r="V107" s="320">
        <f t="shared" si="41"/>
        <v>0</v>
      </c>
      <c r="W107" s="320">
        <f t="shared" si="41"/>
        <v>0</v>
      </c>
      <c r="X107" s="320">
        <f t="shared" si="41"/>
        <v>0</v>
      </c>
      <c r="Y107" s="321">
        <f t="shared" si="41"/>
        <v>0</v>
      </c>
      <c r="Z107" s="322">
        <f t="shared" si="41"/>
        <v>0</v>
      </c>
      <c r="AA107" s="323">
        <f t="shared" si="41"/>
        <v>0</v>
      </c>
      <c r="AB107" s="297">
        <f t="shared" si="41"/>
        <v>0</v>
      </c>
      <c r="AC107" s="323">
        <f t="shared" si="41"/>
        <v>0</v>
      </c>
      <c r="AD107" s="294">
        <f>-J117+AE117</f>
        <v>0</v>
      </c>
      <c r="AE107" s="294">
        <f>AE12+AE31+AE50+AE69+AE88</f>
        <v>0</v>
      </c>
      <c r="AF107" s="325">
        <f>SUM(U117:AD117)</f>
        <v>0</v>
      </c>
      <c r="AG107" s="326">
        <f>AF117-O117</f>
        <v>0</v>
      </c>
      <c r="AH107" s="1" t="b">
        <f t="shared" si="45"/>
        <v>1</v>
      </c>
      <c r="AI107" s="309"/>
    </row>
    <row r="108" spans="2:36" s="308" customFormat="1" ht="12" thickBot="1" x14ac:dyDescent="0.3">
      <c r="B108" s="327">
        <v>5</v>
      </c>
      <c r="C108" s="328" t="s">
        <v>14</v>
      </c>
      <c r="D108" s="299">
        <f>D13+D32+D51+D70+D89</f>
        <v>126372775.04000001</v>
      </c>
      <c r="E108" s="300">
        <f t="shared" si="40"/>
        <v>8720551.6300000008</v>
      </c>
      <c r="F108" s="300">
        <f t="shared" si="40"/>
        <v>4857263.71</v>
      </c>
      <c r="G108" s="300">
        <f t="shared" si="40"/>
        <v>2598417</v>
      </c>
      <c r="H108" s="300">
        <f t="shared" si="40"/>
        <v>30682714.440000001</v>
      </c>
      <c r="I108" s="300">
        <f t="shared" si="40"/>
        <v>1156017.44</v>
      </c>
      <c r="J108" s="300">
        <f t="shared" si="40"/>
        <v>0</v>
      </c>
      <c r="K108" s="298">
        <f t="shared" si="42"/>
        <v>78357810.820000023</v>
      </c>
      <c r="L108" s="297">
        <f>L13+L32+L51+L70+L89</f>
        <v>0</v>
      </c>
      <c r="M108" s="301">
        <f>K108-L108</f>
        <v>78357810.820000023</v>
      </c>
      <c r="N108" s="302">
        <f>N13+N32+N51+N70+N89</f>
        <v>139.96</v>
      </c>
      <c r="O108" s="301">
        <f t="shared" si="43"/>
        <v>78357950.780000016</v>
      </c>
      <c r="Q108" s="309"/>
      <c r="S108" s="327">
        <v>5</v>
      </c>
      <c r="T108" s="328" t="s">
        <v>14</v>
      </c>
      <c r="U108" s="299">
        <f t="shared" si="41"/>
        <v>10077020.48</v>
      </c>
      <c r="V108" s="300">
        <f t="shared" si="41"/>
        <v>9898566.1699999999</v>
      </c>
      <c r="W108" s="300">
        <f t="shared" si="41"/>
        <v>52291951.810000002</v>
      </c>
      <c r="X108" s="300">
        <f t="shared" si="41"/>
        <v>25048291.640000001</v>
      </c>
      <c r="Y108" s="292">
        <f t="shared" si="41"/>
        <v>1891089.15</v>
      </c>
      <c r="Z108" s="322">
        <f t="shared" si="41"/>
        <v>0</v>
      </c>
      <c r="AA108" s="323">
        <f t="shared" si="41"/>
        <v>2097.96</v>
      </c>
      <c r="AB108" s="297">
        <f t="shared" si="41"/>
        <v>139.96</v>
      </c>
      <c r="AC108" s="323">
        <f t="shared" si="41"/>
        <v>-0.02</v>
      </c>
      <c r="AD108" s="294">
        <f>-J108+AE108</f>
        <v>-20851206.370000001</v>
      </c>
      <c r="AE108" s="294">
        <f>AE13+AE32+AE51+AE70+AE89</f>
        <v>-20851206.370000001</v>
      </c>
      <c r="AF108" s="325">
        <f>SUM(U108:AD108)</f>
        <v>78357950.780000001</v>
      </c>
      <c r="AG108" s="329">
        <f>AF108-O108</f>
        <v>0</v>
      </c>
      <c r="AH108" s="1" t="b">
        <f t="shared" si="45"/>
        <v>1</v>
      </c>
      <c r="AI108" s="309"/>
    </row>
    <row r="109" spans="2:36" s="308" customFormat="1" ht="13.5" thickBot="1" x14ac:dyDescent="0.35">
      <c r="B109" s="330"/>
      <c r="C109" s="331" t="s">
        <v>2</v>
      </c>
      <c r="D109" s="293">
        <f t="shared" ref="D109:O109" si="46">SUM(D104:D108)</f>
        <v>126372775.04000001</v>
      </c>
      <c r="E109" s="293">
        <f t="shared" si="46"/>
        <v>8720551.6300000008</v>
      </c>
      <c r="F109" s="293">
        <f t="shared" si="46"/>
        <v>4857263.71</v>
      </c>
      <c r="G109" s="293">
        <f t="shared" si="46"/>
        <v>2598417</v>
      </c>
      <c r="H109" s="293">
        <f t="shared" si="46"/>
        <v>30682714.440000001</v>
      </c>
      <c r="I109" s="293">
        <f t="shared" si="46"/>
        <v>1156017.44</v>
      </c>
      <c r="J109" s="293">
        <f t="shared" si="46"/>
        <v>0</v>
      </c>
      <c r="K109" s="303">
        <f t="shared" si="46"/>
        <v>78357810.820000023</v>
      </c>
      <c r="L109" s="304">
        <f t="shared" si="46"/>
        <v>0</v>
      </c>
      <c r="M109" s="305">
        <f t="shared" si="46"/>
        <v>78357810.820000023</v>
      </c>
      <c r="N109" s="304">
        <f t="shared" si="46"/>
        <v>139.96</v>
      </c>
      <c r="O109" s="305">
        <f t="shared" si="46"/>
        <v>78357950.780000016</v>
      </c>
      <c r="P109" s="332"/>
      <c r="Q109" s="309"/>
      <c r="S109" s="330"/>
      <c r="T109" s="331" t="s">
        <v>2</v>
      </c>
      <c r="U109" s="333">
        <f>SUM(U104:U108)</f>
        <v>10077020.48</v>
      </c>
      <c r="V109" s="333">
        <f t="shared" ref="V109:AF109" si="47">SUM(V104:V108)</f>
        <v>9898566.1699999999</v>
      </c>
      <c r="W109" s="333">
        <f t="shared" si="47"/>
        <v>52291951.810000002</v>
      </c>
      <c r="X109" s="333">
        <f t="shared" si="47"/>
        <v>25048291.640000001</v>
      </c>
      <c r="Y109" s="333">
        <f t="shared" si="47"/>
        <v>1891089.15</v>
      </c>
      <c r="Z109" s="293">
        <f t="shared" si="47"/>
        <v>0</v>
      </c>
      <c r="AA109" s="293">
        <f t="shared" si="47"/>
        <v>2097.96</v>
      </c>
      <c r="AB109" s="293">
        <f t="shared" si="47"/>
        <v>139.96</v>
      </c>
      <c r="AC109" s="293">
        <f t="shared" si="47"/>
        <v>-0.02</v>
      </c>
      <c r="AD109" s="293">
        <f t="shared" si="47"/>
        <v>-20851206.370000001</v>
      </c>
      <c r="AE109" s="293">
        <f>SUM(AE104:AE108)</f>
        <v>-20851206.370000001</v>
      </c>
      <c r="AF109" s="334">
        <f t="shared" si="47"/>
        <v>78357950.780000001</v>
      </c>
      <c r="AG109" s="335">
        <f>SUM(AG104:AG108)</f>
        <v>0</v>
      </c>
      <c r="AH109" s="1" t="b">
        <f t="shared" si="45"/>
        <v>1</v>
      </c>
      <c r="AI109" s="309"/>
    </row>
    <row r="110" spans="2:36" ht="12" thickBot="1" x14ac:dyDescent="0.3">
      <c r="B110" s="2"/>
      <c r="C110" s="2"/>
      <c r="D110" s="165"/>
      <c r="E110" s="24"/>
      <c r="F110" s="24"/>
      <c r="G110" s="24"/>
      <c r="H110" s="24"/>
      <c r="I110" s="24"/>
      <c r="J110" s="165"/>
      <c r="K110" s="24"/>
      <c r="L110" s="24"/>
      <c r="M110" s="24"/>
      <c r="N110" s="24"/>
      <c r="O110" s="24"/>
      <c r="Q110" s="4"/>
      <c r="S110" s="2"/>
      <c r="T110" s="2"/>
      <c r="U110" s="24"/>
      <c r="V110" s="24"/>
      <c r="W110" s="24"/>
      <c r="X110" s="24"/>
      <c r="Y110" s="24"/>
      <c r="AF110" s="24"/>
      <c r="AI110" s="4"/>
    </row>
    <row r="111" spans="2:36" ht="12" thickBot="1" x14ac:dyDescent="0.3">
      <c r="B111" s="2"/>
      <c r="C111" s="2"/>
      <c r="D111" s="24"/>
      <c r="E111" s="24"/>
      <c r="F111" s="24"/>
      <c r="G111" s="24"/>
      <c r="H111" s="24"/>
      <c r="I111" s="24"/>
      <c r="J111" s="24"/>
      <c r="K111" s="24"/>
      <c r="L111" s="24"/>
      <c r="M111" s="24"/>
      <c r="N111" s="24"/>
      <c r="O111" s="24"/>
      <c r="Q111" s="4"/>
      <c r="Y111" s="86">
        <f>SUM(U109:Y109)</f>
        <v>99206919.250000015</v>
      </c>
      <c r="AD111" s="1" t="s">
        <v>1</v>
      </c>
      <c r="AF111" s="1" t="s">
        <v>1</v>
      </c>
      <c r="AI111" s="4"/>
    </row>
    <row r="112" spans="2:36" ht="12" thickBot="1" x14ac:dyDescent="0.3">
      <c r="B112" s="2"/>
      <c r="C112" s="2"/>
      <c r="D112" s="24" t="s">
        <v>1</v>
      </c>
      <c r="E112" s="33"/>
      <c r="F112" s="33"/>
      <c r="G112" s="33"/>
      <c r="H112" s="33"/>
      <c r="I112" s="24"/>
      <c r="K112" s="24"/>
      <c r="L112" s="24"/>
      <c r="M112" s="24"/>
      <c r="N112" s="24"/>
      <c r="O112" s="24"/>
      <c r="Q112" s="4"/>
      <c r="U112" s="33"/>
      <c r="V112" s="33"/>
      <c r="W112" s="33"/>
      <c r="X112" s="33"/>
      <c r="AA112" s="308"/>
      <c r="AB112" s="308"/>
      <c r="AC112" s="308"/>
      <c r="AI112" s="4"/>
    </row>
    <row r="113" spans="1:35" x14ac:dyDescent="0.25">
      <c r="B113" s="2"/>
      <c r="C113" s="2"/>
      <c r="D113" s="24" t="s">
        <v>1</v>
      </c>
      <c r="E113" s="24" t="s">
        <v>1</v>
      </c>
      <c r="F113" s="24" t="s">
        <v>25</v>
      </c>
      <c r="G113" s="24"/>
      <c r="H113" s="24"/>
      <c r="I113" s="24"/>
      <c r="K113" s="24"/>
      <c r="L113" s="24"/>
      <c r="M113" s="24"/>
      <c r="N113" s="24"/>
      <c r="O113" s="24"/>
      <c r="Q113" s="4"/>
      <c r="U113" s="24" t="s">
        <v>1</v>
      </c>
      <c r="V113" s="24" t="s">
        <v>25</v>
      </c>
      <c r="W113" s="24"/>
      <c r="X113" s="24"/>
      <c r="AI113" s="4"/>
    </row>
    <row r="114" spans="1:35" x14ac:dyDescent="0.25">
      <c r="A114" s="52"/>
      <c r="B114" s="53"/>
      <c r="C114" s="53"/>
      <c r="D114" s="54"/>
      <c r="E114" s="54"/>
      <c r="F114" s="54"/>
      <c r="G114" s="54"/>
      <c r="H114" s="54"/>
      <c r="I114" s="54"/>
      <c r="J114" s="52"/>
      <c r="K114" s="54"/>
      <c r="L114" s="54"/>
      <c r="M114" s="54"/>
      <c r="N114" s="54"/>
      <c r="O114" s="54"/>
      <c r="P114" s="52"/>
      <c r="Q114" s="52"/>
      <c r="R114" s="52"/>
      <c r="S114" s="52"/>
      <c r="T114" s="52"/>
      <c r="U114" s="52"/>
      <c r="V114" s="52"/>
      <c r="W114" s="52"/>
      <c r="X114" s="52"/>
      <c r="Y114" s="52"/>
      <c r="Z114" s="52"/>
      <c r="AA114" s="52"/>
      <c r="AB114" s="52"/>
      <c r="AC114" s="52"/>
      <c r="AD114" s="52"/>
      <c r="AE114" s="52"/>
      <c r="AF114" s="52"/>
      <c r="AG114" s="52"/>
      <c r="AH114" s="52"/>
      <c r="AI114" s="52"/>
    </row>
    <row r="115" spans="1:35" ht="12" thickBot="1" x14ac:dyDescent="0.3">
      <c r="Q115" s="4"/>
    </row>
    <row r="116" spans="1:35" x14ac:dyDescent="0.25">
      <c r="B116" s="5"/>
      <c r="C116" s="3" t="s">
        <v>1</v>
      </c>
      <c r="D116" s="6" t="s">
        <v>1</v>
      </c>
      <c r="E116" s="3"/>
      <c r="F116" s="3"/>
      <c r="G116" s="3"/>
      <c r="H116" s="3" t="s">
        <v>1</v>
      </c>
      <c r="I116" s="3"/>
      <c r="J116" s="3"/>
      <c r="K116" s="3"/>
      <c r="L116" s="3"/>
      <c r="M116" s="3"/>
      <c r="N116" s="3"/>
      <c r="O116" s="7"/>
      <c r="P116" s="2"/>
      <c r="Q116" s="35"/>
    </row>
    <row r="117" spans="1:35" ht="14" x14ac:dyDescent="0.3">
      <c r="B117" s="8"/>
      <c r="C117" s="2"/>
      <c r="D117" s="9"/>
      <c r="F117" s="26" t="s">
        <v>8</v>
      </c>
      <c r="G117" s="26"/>
      <c r="I117" s="26" t="s">
        <v>16</v>
      </c>
      <c r="J117" s="25"/>
      <c r="L117" s="2" t="s">
        <v>15</v>
      </c>
      <c r="M117" s="50">
        <f>N3</f>
        <v>2026071</v>
      </c>
      <c r="O117" s="10"/>
      <c r="P117" s="2"/>
      <c r="Q117" s="4"/>
    </row>
    <row r="118" spans="1:35" ht="15.5" x14ac:dyDescent="0.35">
      <c r="B118" s="8"/>
      <c r="C118" s="2"/>
      <c r="D118" s="57"/>
      <c r="F118" s="36" t="s">
        <v>29</v>
      </c>
      <c r="G118" s="36"/>
      <c r="O118" s="10"/>
      <c r="P118" s="2"/>
      <c r="Q118" s="4"/>
    </row>
    <row r="119" spans="1:35" x14ac:dyDescent="0.25">
      <c r="B119" s="8"/>
      <c r="F119" s="2" t="s">
        <v>30</v>
      </c>
      <c r="G119" s="2"/>
      <c r="M119" s="2" t="s">
        <v>1</v>
      </c>
      <c r="O119" s="10"/>
      <c r="P119" s="2"/>
      <c r="Q119" s="4"/>
    </row>
    <row r="120" spans="1:35" x14ac:dyDescent="0.25">
      <c r="B120" s="8"/>
      <c r="I120" s="2"/>
      <c r="J120" s="2"/>
      <c r="O120" s="10"/>
      <c r="P120" s="2"/>
      <c r="Q120" s="4"/>
    </row>
    <row r="121" spans="1:35" ht="15.5" x14ac:dyDescent="0.35">
      <c r="B121" s="8"/>
      <c r="F121" s="41" t="s">
        <v>37</v>
      </c>
      <c r="G121" s="41"/>
      <c r="H121" s="2"/>
      <c r="J121" s="2"/>
      <c r="O121" s="10"/>
      <c r="P121" s="2"/>
      <c r="Q121" s="4"/>
    </row>
    <row r="122" spans="1:35" x14ac:dyDescent="0.25">
      <c r="B122" s="8"/>
      <c r="F122" s="2" t="s">
        <v>27</v>
      </c>
      <c r="G122" s="9">
        <f>G7</f>
        <v>46204</v>
      </c>
      <c r="J122" s="2" t="s">
        <v>28</v>
      </c>
      <c r="K122" s="9">
        <f>K7</f>
        <v>46218</v>
      </c>
      <c r="O122" s="10"/>
      <c r="P122" s="2"/>
      <c r="Q122" s="4"/>
    </row>
    <row r="123" spans="1:35" ht="12" thickBot="1" x14ac:dyDescent="0.3">
      <c r="B123" s="8"/>
      <c r="C123" s="2" t="s">
        <v>1</v>
      </c>
      <c r="D123" s="2" t="s">
        <v>1</v>
      </c>
      <c r="J123" s="1" t="s">
        <v>1</v>
      </c>
      <c r="O123" s="44"/>
      <c r="P123" s="2"/>
      <c r="Q123" s="4"/>
    </row>
    <row r="124" spans="1:35" ht="46.5" thickBot="1" x14ac:dyDescent="0.3">
      <c r="B124" s="11" t="s">
        <v>3</v>
      </c>
      <c r="C124" s="12" t="s">
        <v>9</v>
      </c>
      <c r="D124" s="12" t="s">
        <v>38</v>
      </c>
      <c r="E124" s="73" t="s">
        <v>48</v>
      </c>
      <c r="G124" s="104" t="s">
        <v>47</v>
      </c>
      <c r="H124" s="73" t="s">
        <v>56</v>
      </c>
      <c r="I124" s="73" t="s">
        <v>130</v>
      </c>
      <c r="J124" s="73" t="s">
        <v>171</v>
      </c>
      <c r="K124" s="73" t="s">
        <v>143</v>
      </c>
      <c r="L124" s="73" t="s">
        <v>144</v>
      </c>
      <c r="O124" s="44"/>
      <c r="P124" s="13"/>
      <c r="Q124" s="4"/>
    </row>
    <row r="125" spans="1:35" x14ac:dyDescent="0.25">
      <c r="B125" s="108">
        <v>1</v>
      </c>
      <c r="C125" s="109" t="s">
        <v>10</v>
      </c>
      <c r="D125" s="110">
        <f>'ANTICIPOS USUARIOS'!L3</f>
        <v>0</v>
      </c>
      <c r="E125" s="111">
        <v>0</v>
      </c>
      <c r="G125" s="339">
        <f>D47+N47</f>
        <v>0</v>
      </c>
      <c r="H125" s="313">
        <f>D28+N28</f>
        <v>0</v>
      </c>
      <c r="I125" s="312">
        <f>D85+N85</f>
        <v>0</v>
      </c>
      <c r="J125" s="312">
        <f>D66+N66</f>
        <v>0</v>
      </c>
      <c r="K125" s="312">
        <f>'ANTICIPOS USUARIOS'!L12</f>
        <v>0</v>
      </c>
      <c r="L125" s="312">
        <f>-'ANTICIPOS USUARIOS'!L21</f>
        <v>0</v>
      </c>
      <c r="O125" s="44"/>
      <c r="Q125" s="4"/>
    </row>
    <row r="126" spans="1:35" x14ac:dyDescent="0.25">
      <c r="B126" s="16">
        <v>2</v>
      </c>
      <c r="C126" s="17" t="s">
        <v>11</v>
      </c>
      <c r="D126" s="15">
        <f>'ANTICIPOS USUARIOS'!L4</f>
        <v>0</v>
      </c>
      <c r="E126" s="74">
        <v>0</v>
      </c>
      <c r="G126" s="342">
        <f>D48+N48</f>
        <v>0</v>
      </c>
      <c r="H126" s="343">
        <f>D29+N29</f>
        <v>0</v>
      </c>
      <c r="I126" s="291">
        <f>D86+N86</f>
        <v>0</v>
      </c>
      <c r="J126" s="291">
        <f t="shared" ref="J126:J129" si="48">D67+N67</f>
        <v>0</v>
      </c>
      <c r="K126" s="291">
        <f>'ANTICIPOS USUARIOS'!L13</f>
        <v>0</v>
      </c>
      <c r="L126" s="291">
        <f>-'ANTICIPOS USUARIOS'!L22</f>
        <v>0</v>
      </c>
      <c r="O126" s="44"/>
      <c r="Q126" s="4"/>
    </row>
    <row r="127" spans="1:35" x14ac:dyDescent="0.25">
      <c r="B127" s="16">
        <v>3</v>
      </c>
      <c r="C127" s="17" t="s">
        <v>12</v>
      </c>
      <c r="D127" s="15">
        <f>'ANTICIPOS USUARIOS'!L5</f>
        <v>0</v>
      </c>
      <c r="E127" s="74">
        <v>0</v>
      </c>
      <c r="G127" s="342">
        <f>D49+N49</f>
        <v>0</v>
      </c>
      <c r="H127" s="343">
        <f>D30+N30</f>
        <v>0</v>
      </c>
      <c r="I127" s="291">
        <f>D87+N87</f>
        <v>0</v>
      </c>
      <c r="J127" s="291">
        <f t="shared" si="48"/>
        <v>0</v>
      </c>
      <c r="K127" s="291">
        <f>'ANTICIPOS USUARIOS'!L14</f>
        <v>0</v>
      </c>
      <c r="L127" s="291">
        <f>-'ANTICIPOS USUARIOS'!L23</f>
        <v>0</v>
      </c>
      <c r="O127" s="44"/>
      <c r="Q127" s="4"/>
    </row>
    <row r="128" spans="1:35" x14ac:dyDescent="0.25">
      <c r="B128" s="16">
        <v>4</v>
      </c>
      <c r="C128" s="17" t="s">
        <v>13</v>
      </c>
      <c r="D128" s="15">
        <f>'ANTICIPOS USUARIOS'!L6</f>
        <v>0</v>
      </c>
      <c r="E128" s="74">
        <v>0</v>
      </c>
      <c r="G128" s="342">
        <f>D50+N50</f>
        <v>0</v>
      </c>
      <c r="H128" s="343">
        <f>D31+N31</f>
        <v>0</v>
      </c>
      <c r="I128" s="291">
        <f>D88+N88</f>
        <v>0</v>
      </c>
      <c r="J128" s="291">
        <f t="shared" si="48"/>
        <v>0</v>
      </c>
      <c r="K128" s="291">
        <f>'ANTICIPOS USUARIOS'!L15</f>
        <v>0</v>
      </c>
      <c r="L128" s="291">
        <f>-'ANTICIPOS USUARIOS'!L24</f>
        <v>0</v>
      </c>
      <c r="O128" s="44"/>
      <c r="Q128" s="4"/>
    </row>
    <row r="129" spans="1:18" x14ac:dyDescent="0.25">
      <c r="B129" s="133">
        <v>5</v>
      </c>
      <c r="C129" s="138" t="s">
        <v>14</v>
      </c>
      <c r="D129" s="15">
        <f>'ANTICIPOS USUARIOS'!L7</f>
        <v>3163741</v>
      </c>
      <c r="E129" s="139">
        <v>0</v>
      </c>
      <c r="G129" s="342">
        <f>D51+N51</f>
        <v>0</v>
      </c>
      <c r="H129" s="343">
        <f>D32+N32</f>
        <v>0</v>
      </c>
      <c r="I129" s="291">
        <f>D89+N89</f>
        <v>0</v>
      </c>
      <c r="J129" s="291">
        <f t="shared" si="48"/>
        <v>0</v>
      </c>
      <c r="K129" s="291">
        <f>'ANTICIPOS USUARIOS'!L16</f>
        <v>0</v>
      </c>
      <c r="L129" s="291">
        <f>-'ANTICIPOS USUARIOS'!L25</f>
        <v>0</v>
      </c>
      <c r="O129" s="44"/>
      <c r="Q129" s="4"/>
    </row>
    <row r="130" spans="1:18" ht="12" thickBot="1" x14ac:dyDescent="0.3">
      <c r="B130" s="19" t="s">
        <v>89</v>
      </c>
      <c r="C130" s="20" t="s">
        <v>113</v>
      </c>
      <c r="D130" s="78"/>
      <c r="E130" s="79">
        <f>'Recaudo ENEL'!D26</f>
        <v>0</v>
      </c>
      <c r="G130" s="349"/>
      <c r="H130" s="350"/>
      <c r="I130" s="292"/>
      <c r="J130" s="292"/>
      <c r="K130" s="292"/>
      <c r="L130" s="292"/>
      <c r="O130" s="44"/>
      <c r="Q130" s="4"/>
    </row>
    <row r="131" spans="1:18" ht="12" thickBot="1" x14ac:dyDescent="0.3">
      <c r="B131" s="95"/>
      <c r="C131" s="106" t="s">
        <v>2</v>
      </c>
      <c r="D131" s="107">
        <f>SUM(D125:D130)</f>
        <v>3163741</v>
      </c>
      <c r="E131" s="107">
        <f>SUM(E125:E130)</f>
        <v>0</v>
      </c>
      <c r="F131" s="45"/>
      <c r="G131" s="353">
        <f t="shared" ref="G131" si="49">SUM(G125:G129)</f>
        <v>0</v>
      </c>
      <c r="H131" s="353">
        <f>SUM(H125:H130)</f>
        <v>0</v>
      </c>
      <c r="I131" s="353">
        <f>SUM(I125:I130)</f>
        <v>0</v>
      </c>
      <c r="J131" s="353">
        <f>SUM(J125:J130)</f>
        <v>0</v>
      </c>
      <c r="K131" s="353">
        <f>SUM(K125:K130)</f>
        <v>0</v>
      </c>
      <c r="L131" s="353">
        <f>SUM(L125:L130)</f>
        <v>0</v>
      </c>
      <c r="M131" s="45"/>
      <c r="N131" s="45"/>
      <c r="O131" s="46"/>
      <c r="P131" s="2"/>
      <c r="Q131" s="4"/>
    </row>
    <row r="132" spans="1:18" x14ac:dyDescent="0.25">
      <c r="B132" s="2"/>
      <c r="C132" s="2"/>
      <c r="D132" s="24"/>
      <c r="Q132" s="4"/>
    </row>
    <row r="133" spans="1:18" x14ac:dyDescent="0.25">
      <c r="B133" s="2"/>
      <c r="C133" s="2"/>
      <c r="D133" s="24"/>
      <c r="L133" s="1" t="s">
        <v>1</v>
      </c>
      <c r="Q133" s="4"/>
    </row>
    <row r="134" spans="1:18" ht="12" thickBot="1" x14ac:dyDescent="0.3">
      <c r="B134" s="2"/>
      <c r="C134" s="2"/>
      <c r="D134" s="24"/>
      <c r="E134" s="33"/>
      <c r="F134" s="33"/>
      <c r="G134" s="33"/>
      <c r="H134" s="33"/>
      <c r="I134" s="24"/>
      <c r="K134" s="24"/>
      <c r="L134" s="24" t="s">
        <v>1</v>
      </c>
      <c r="M134" s="24" t="s">
        <v>1</v>
      </c>
      <c r="N134" s="24"/>
      <c r="O134" s="24"/>
      <c r="Q134" s="4"/>
    </row>
    <row r="135" spans="1:18" x14ac:dyDescent="0.25">
      <c r="B135" s="2"/>
      <c r="C135" s="2"/>
      <c r="D135" s="24"/>
      <c r="E135" s="24" t="s">
        <v>1</v>
      </c>
      <c r="F135" s="42" t="s">
        <v>36</v>
      </c>
      <c r="G135" s="42"/>
      <c r="H135" s="42"/>
      <c r="I135" s="24"/>
      <c r="K135" s="24"/>
      <c r="L135" s="24"/>
      <c r="M135" s="24"/>
      <c r="N135" s="24"/>
      <c r="O135" s="24"/>
      <c r="Q135" s="4"/>
    </row>
    <row r="136" spans="1:18" x14ac:dyDescent="0.25">
      <c r="A136" s="52"/>
      <c r="B136" s="53"/>
      <c r="C136" s="53"/>
      <c r="D136" s="54"/>
      <c r="E136" s="54"/>
      <c r="F136" s="54"/>
      <c r="G136" s="54"/>
      <c r="H136" s="54"/>
      <c r="I136" s="54"/>
      <c r="J136" s="52"/>
      <c r="K136" s="54"/>
      <c r="L136" s="54"/>
      <c r="M136" s="54"/>
      <c r="N136" s="54"/>
      <c r="O136" s="54"/>
      <c r="P136" s="52"/>
      <c r="Q136" s="4"/>
    </row>
    <row r="137" spans="1:18" x14ac:dyDescent="0.25">
      <c r="B137" s="2"/>
      <c r="C137" s="2"/>
      <c r="D137" s="24"/>
      <c r="E137" s="24"/>
      <c r="F137" s="24"/>
      <c r="G137" s="24"/>
      <c r="H137" s="24"/>
      <c r="I137" s="24"/>
      <c r="K137" s="24"/>
      <c r="L137" s="24"/>
      <c r="M137" s="24"/>
      <c r="N137" s="24"/>
      <c r="O137" s="24"/>
      <c r="Q137" s="4"/>
    </row>
    <row r="138" spans="1:18" x14ac:dyDescent="0.25">
      <c r="B138" s="2"/>
      <c r="C138" s="59" t="s">
        <v>49</v>
      </c>
      <c r="D138" s="64"/>
      <c r="E138" s="24"/>
      <c r="F138" s="24"/>
      <c r="G138" s="24"/>
      <c r="H138" s="24"/>
      <c r="I138" s="24"/>
      <c r="K138" s="24"/>
      <c r="L138" s="24"/>
      <c r="M138" s="24"/>
      <c r="N138" s="24"/>
      <c r="O138" s="24"/>
      <c r="Q138" s="35"/>
    </row>
    <row r="139" spans="1:18" x14ac:dyDescent="0.25">
      <c r="B139" s="2"/>
      <c r="C139" s="2"/>
      <c r="D139" s="24"/>
      <c r="E139" s="24"/>
      <c r="F139" s="24"/>
      <c r="G139" s="24"/>
      <c r="H139" s="24"/>
      <c r="I139" s="24"/>
      <c r="K139" s="24"/>
      <c r="L139" s="24"/>
      <c r="M139" s="24"/>
      <c r="N139" s="24"/>
      <c r="O139" s="24"/>
      <c r="Q139" s="35"/>
    </row>
    <row r="140" spans="1:18" ht="18.75" customHeight="1" thickBot="1" x14ac:dyDescent="0.3">
      <c r="B140" s="2"/>
      <c r="C140" s="2"/>
      <c r="D140" s="24"/>
      <c r="E140" s="24"/>
      <c r="F140" s="24"/>
      <c r="G140" s="24"/>
      <c r="H140" s="24"/>
      <c r="J140" s="24"/>
      <c r="K140" s="24"/>
      <c r="M140" s="24"/>
      <c r="N140" s="24"/>
      <c r="O140" s="24"/>
      <c r="P140" s="24"/>
      <c r="Q140" s="35"/>
    </row>
    <row r="141" spans="1:18" ht="46.5" thickBot="1" x14ac:dyDescent="0.3">
      <c r="B141" s="104" t="s">
        <v>3</v>
      </c>
      <c r="C141" s="105" t="s">
        <v>9</v>
      </c>
      <c r="D141" s="105" t="s">
        <v>44</v>
      </c>
      <c r="E141" s="105" t="s">
        <v>45</v>
      </c>
      <c r="F141" s="105" t="s">
        <v>31</v>
      </c>
      <c r="G141" s="105" t="s">
        <v>91</v>
      </c>
      <c r="H141" s="105" t="s">
        <v>128</v>
      </c>
      <c r="I141" s="105" t="s">
        <v>127</v>
      </c>
      <c r="J141" s="105" t="s">
        <v>47</v>
      </c>
      <c r="K141" s="105" t="s">
        <v>51</v>
      </c>
      <c r="L141" s="1" t="s">
        <v>1</v>
      </c>
      <c r="M141" s="56"/>
      <c r="N141" s="56"/>
      <c r="O141" s="56"/>
      <c r="P141" s="24"/>
      <c r="Q141" s="35"/>
      <c r="R141" s="24"/>
    </row>
    <row r="142" spans="1:18" x14ac:dyDescent="0.25">
      <c r="B142" s="108">
        <v>1</v>
      </c>
      <c r="C142" s="109" t="s">
        <v>10</v>
      </c>
      <c r="D142" s="110">
        <f>D104+N104+D125+E125</f>
        <v>0</v>
      </c>
      <c r="E142" s="110">
        <f>'Recaudo ENERBIT'!D21</f>
        <v>0</v>
      </c>
      <c r="F142" s="110">
        <f>D28+N28</f>
        <v>0</v>
      </c>
      <c r="G142" s="110">
        <f>D66+N66</f>
        <v>0</v>
      </c>
      <c r="H142" s="110">
        <f>D85+N85</f>
        <v>0</v>
      </c>
      <c r="I142" s="110">
        <f>('REPORTE RECAUDO x BANCO'!E63)</f>
        <v>0</v>
      </c>
      <c r="J142" s="110">
        <f t="shared" ref="J142:K146" si="50">G125</f>
        <v>0</v>
      </c>
      <c r="K142" s="111">
        <f t="shared" si="50"/>
        <v>0</v>
      </c>
      <c r="L142" s="528">
        <f>D142-E142-F142-G142-J142-H142-I142</f>
        <v>0</v>
      </c>
      <c r="M142" s="1" t="b">
        <f>INT(L142)=0</f>
        <v>1</v>
      </c>
      <c r="O142" s="55"/>
      <c r="P142" s="24"/>
      <c r="Q142" s="35"/>
      <c r="R142" s="24"/>
    </row>
    <row r="143" spans="1:18" x14ac:dyDescent="0.25">
      <c r="B143" s="16">
        <v>2</v>
      </c>
      <c r="C143" s="17" t="s">
        <v>11</v>
      </c>
      <c r="D143" s="18">
        <f>D105+N105+D126+E126</f>
        <v>0</v>
      </c>
      <c r="E143" s="18">
        <f>'Recaudo ENERBIT'!D22</f>
        <v>0</v>
      </c>
      <c r="F143" s="18">
        <f>D29+N29</f>
        <v>0</v>
      </c>
      <c r="G143" s="18">
        <f>D67+N67</f>
        <v>0</v>
      </c>
      <c r="H143" s="18">
        <f>D86+N86</f>
        <v>0</v>
      </c>
      <c r="I143" s="18">
        <f>('REPORTE RECAUDO x BANCO'!E66)</f>
        <v>0</v>
      </c>
      <c r="J143" s="18">
        <f t="shared" si="50"/>
        <v>0</v>
      </c>
      <c r="K143" s="83">
        <f t="shared" si="50"/>
        <v>0</v>
      </c>
      <c r="L143" s="528">
        <f>D143-E143-F143-G143-J143-H143-I143</f>
        <v>0</v>
      </c>
      <c r="M143" s="1" t="b">
        <f t="shared" ref="M143:M147" si="51">INT(L143)=0</f>
        <v>1</v>
      </c>
      <c r="O143" s="130"/>
      <c r="P143" s="24"/>
      <c r="Q143" s="35"/>
      <c r="R143" s="24"/>
    </row>
    <row r="144" spans="1:18" x14ac:dyDescent="0.25">
      <c r="B144" s="16">
        <v>3</v>
      </c>
      <c r="C144" s="17" t="s">
        <v>12</v>
      </c>
      <c r="D144" s="18">
        <f>D106+N106+D127+E127</f>
        <v>0</v>
      </c>
      <c r="E144" s="18">
        <f>'Recaudo ENERBIT'!D23</f>
        <v>0</v>
      </c>
      <c r="F144" s="18">
        <f>D30+N30</f>
        <v>0</v>
      </c>
      <c r="G144" s="18">
        <f>D68+N68</f>
        <v>0</v>
      </c>
      <c r="H144" s="18">
        <f>D87+N87</f>
        <v>0</v>
      </c>
      <c r="I144" s="18">
        <f>('REPORTE RECAUDO x BANCO'!E68)</f>
        <v>0</v>
      </c>
      <c r="J144" s="18">
        <f t="shared" si="50"/>
        <v>0</v>
      </c>
      <c r="K144" s="83">
        <f t="shared" si="50"/>
        <v>0</v>
      </c>
      <c r="L144" s="528">
        <f>D144-E144-F144-G144-J144-H144-I144</f>
        <v>0</v>
      </c>
      <c r="M144" s="1" t="b">
        <f t="shared" si="51"/>
        <v>1</v>
      </c>
      <c r="O144" s="55"/>
      <c r="P144" s="24"/>
      <c r="Q144" s="35"/>
      <c r="R144" s="24"/>
    </row>
    <row r="145" spans="1:20" x14ac:dyDescent="0.25">
      <c r="B145" s="16">
        <v>4</v>
      </c>
      <c r="C145" s="17" t="s">
        <v>13</v>
      </c>
      <c r="D145" s="18">
        <f>D117+N117+D128+E128</f>
        <v>0</v>
      </c>
      <c r="E145" s="18">
        <f>'Recaudo ENERBIT'!D24</f>
        <v>0</v>
      </c>
      <c r="F145" s="18">
        <f>D31+N31</f>
        <v>0</v>
      </c>
      <c r="G145" s="18">
        <f>D69+N69</f>
        <v>0</v>
      </c>
      <c r="H145" s="18">
        <f>D88+N88</f>
        <v>0</v>
      </c>
      <c r="I145" s="18">
        <f>('REPORTE RECAUDO x BANCO'!E71)</f>
        <v>0</v>
      </c>
      <c r="J145" s="18">
        <f t="shared" si="50"/>
        <v>0</v>
      </c>
      <c r="K145" s="83">
        <f t="shared" si="50"/>
        <v>0</v>
      </c>
      <c r="L145" s="528">
        <f>D145-E145-F145-G145-J145-H145-I145</f>
        <v>0</v>
      </c>
      <c r="M145" s="1" t="b">
        <f t="shared" si="51"/>
        <v>1</v>
      </c>
      <c r="O145" s="96"/>
      <c r="P145" s="24"/>
      <c r="Q145" s="35"/>
      <c r="R145" s="24"/>
    </row>
    <row r="146" spans="1:20" ht="12" thickBot="1" x14ac:dyDescent="0.3">
      <c r="B146" s="133">
        <v>5</v>
      </c>
      <c r="C146" s="138" t="s">
        <v>14</v>
      </c>
      <c r="D146" s="134">
        <f>D108+N108+D129+E129</f>
        <v>129536656</v>
      </c>
      <c r="E146" s="18">
        <f>'Recaudo ENERBIT'!D25</f>
        <v>129536656</v>
      </c>
      <c r="F146" s="134">
        <f>D32+N32</f>
        <v>0</v>
      </c>
      <c r="G146" s="134">
        <f>D70+N70</f>
        <v>0</v>
      </c>
      <c r="H146" s="134">
        <f>D89+N89</f>
        <v>0</v>
      </c>
      <c r="I146" s="134">
        <f>('REPORTE RECAUDO x BANCO'!E73)</f>
        <v>0</v>
      </c>
      <c r="J146" s="134">
        <f t="shared" si="50"/>
        <v>0</v>
      </c>
      <c r="K146" s="136">
        <f t="shared" si="50"/>
        <v>0</v>
      </c>
      <c r="L146" s="528">
        <f>D146-E146-F146-G146-J146-H146-I146</f>
        <v>0</v>
      </c>
      <c r="M146" s="1" t="b">
        <f t="shared" si="51"/>
        <v>1</v>
      </c>
      <c r="O146" s="55"/>
      <c r="P146" s="24"/>
      <c r="Q146" s="35"/>
      <c r="R146" s="24"/>
    </row>
    <row r="147" spans="1:20" ht="12" thickBot="1" x14ac:dyDescent="0.3">
      <c r="B147" s="21"/>
      <c r="C147" s="22" t="s">
        <v>2</v>
      </c>
      <c r="D147" s="47">
        <f>SUM(D142:D146)</f>
        <v>129536656</v>
      </c>
      <c r="E147" s="47">
        <f>SUM(E142:E146)</f>
        <v>129536656</v>
      </c>
      <c r="F147" s="47">
        <f t="shared" ref="F147:K147" si="52">SUM(F142:F146)</f>
        <v>0</v>
      </c>
      <c r="G147" s="47">
        <f t="shared" si="52"/>
        <v>0</v>
      </c>
      <c r="H147" s="47">
        <f t="shared" si="52"/>
        <v>0</v>
      </c>
      <c r="I147" s="47">
        <f t="shared" si="52"/>
        <v>0</v>
      </c>
      <c r="J147" s="47">
        <f t="shared" si="52"/>
        <v>0</v>
      </c>
      <c r="K147" s="47">
        <f t="shared" si="52"/>
        <v>0</v>
      </c>
      <c r="L147" s="528">
        <f>SUM(L142:L146)</f>
        <v>0</v>
      </c>
      <c r="M147" s="1" t="b">
        <f t="shared" si="51"/>
        <v>1</v>
      </c>
      <c r="P147" s="24"/>
      <c r="Q147" s="35"/>
      <c r="R147" s="24"/>
    </row>
    <row r="148" spans="1:20" x14ac:dyDescent="0.25">
      <c r="B148" s="2"/>
      <c r="H148" s="55"/>
      <c r="L148" s="24"/>
      <c r="M148" s="24"/>
      <c r="N148" s="24"/>
      <c r="O148" s="24"/>
      <c r="P148" s="24"/>
      <c r="Q148" s="35"/>
    </row>
    <row r="149" spans="1:20" ht="21.75" customHeight="1" x14ac:dyDescent="0.25">
      <c r="B149" s="2"/>
      <c r="C149" s="2"/>
      <c r="D149" s="24"/>
      <c r="F149" s="24"/>
      <c r="G149" s="24"/>
      <c r="H149" s="24"/>
      <c r="I149" s="24"/>
      <c r="K149" s="24"/>
      <c r="L149" s="24"/>
      <c r="M149" s="24"/>
      <c r="N149" s="24"/>
      <c r="O149" s="24"/>
      <c r="Q149" s="35"/>
    </row>
    <row r="150" spans="1:20" x14ac:dyDescent="0.25">
      <c r="B150" s="2"/>
      <c r="C150" s="2"/>
      <c r="D150" s="24"/>
      <c r="E150" s="24"/>
      <c r="F150" s="24"/>
      <c r="G150" s="24"/>
      <c r="H150" s="24"/>
      <c r="I150" s="24"/>
      <c r="J150" s="55"/>
      <c r="K150" s="24"/>
      <c r="L150" s="24"/>
      <c r="M150" s="24"/>
      <c r="N150" s="24"/>
      <c r="O150" s="24"/>
      <c r="Q150" s="35"/>
    </row>
    <row r="151" spans="1:20" x14ac:dyDescent="0.25">
      <c r="A151" s="52"/>
      <c r="B151" s="53"/>
      <c r="C151" s="53"/>
      <c r="D151" s="54"/>
      <c r="E151" s="54"/>
      <c r="F151" s="54"/>
      <c r="G151" s="54"/>
      <c r="H151" s="54"/>
      <c r="I151" s="54"/>
      <c r="J151" s="52"/>
      <c r="K151" s="54"/>
      <c r="L151" s="54"/>
      <c r="M151" s="54"/>
      <c r="N151" s="54"/>
      <c r="O151" s="54"/>
      <c r="P151" s="52"/>
      <c r="Q151" s="54"/>
      <c r="T151" s="24"/>
    </row>
    <row r="152" spans="1:20" x14ac:dyDescent="0.25">
      <c r="N152" s="24"/>
      <c r="O152" s="24"/>
      <c r="Q152" s="24"/>
      <c r="T152" s="24"/>
    </row>
    <row r="153" spans="1:20" x14ac:dyDescent="0.25">
      <c r="E153" s="652"/>
      <c r="N153" s="24"/>
      <c r="O153" s="24"/>
      <c r="Q153" s="24"/>
      <c r="T153" s="24"/>
    </row>
    <row r="154" spans="1:20" x14ac:dyDescent="0.25">
      <c r="N154" s="24"/>
      <c r="O154" s="24"/>
      <c r="Q154" s="24"/>
      <c r="T154" s="24"/>
    </row>
    <row r="155" spans="1:20" x14ac:dyDescent="0.25">
      <c r="Q155" s="24"/>
      <c r="T155" s="24"/>
    </row>
    <row r="156" spans="1:20" x14ac:dyDescent="0.25">
      <c r="Q156" s="24"/>
    </row>
  </sheetData>
  <conditionalFormatting sqref="L142:L147">
    <cfRule type="expression" dxfId="40" priority="8">
      <formula>$L$142&lt;&gt;0</formula>
    </cfRule>
  </conditionalFormatting>
  <conditionalFormatting sqref="M142:M147">
    <cfRule type="cellIs" dxfId="39" priority="1" operator="notEqual">
      <formula>TRUE</formula>
    </cfRule>
  </conditionalFormatting>
  <conditionalFormatting sqref="AH9:AH14">
    <cfRule type="cellIs" dxfId="38" priority="7" operator="notEqual">
      <formula>TRUE</formula>
    </cfRule>
  </conditionalFormatting>
  <conditionalFormatting sqref="AH28:AH33">
    <cfRule type="cellIs" dxfId="37" priority="6" operator="notEqual">
      <formula>TRUE</formula>
    </cfRule>
  </conditionalFormatting>
  <conditionalFormatting sqref="AH47:AH52">
    <cfRule type="cellIs" dxfId="36" priority="5" operator="notEqual">
      <formula>TRUE</formula>
    </cfRule>
  </conditionalFormatting>
  <conditionalFormatting sqref="AH66:AH71">
    <cfRule type="cellIs" dxfId="35" priority="4" operator="notEqual">
      <formula>TRUE</formula>
    </cfRule>
  </conditionalFormatting>
  <conditionalFormatting sqref="AH85:AH90">
    <cfRule type="cellIs" dxfId="34" priority="3" operator="notEqual">
      <formula>TRUE</formula>
    </cfRule>
  </conditionalFormatting>
  <conditionalFormatting sqref="AH104:AH109">
    <cfRule type="cellIs" dxfId="33" priority="2" operator="notEqual">
      <formula>TRUE</formula>
    </cfRule>
  </conditionalFormatting>
  <printOptions horizontalCentered="1" verticalCentered="1"/>
  <pageMargins left="0.55118110236220474" right="0.74803149606299213" top="0.98425196850393704" bottom="0.78740157480314965" header="0" footer="0"/>
  <pageSetup scale="19" orientation="landscape" r:id="rId1"/>
  <headerFooter alignWithMargins="0"/>
  <drawing r:id="rId2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2EA0E2-369B-404A-A9AB-28C96A710C7E}">
  <sheetPr>
    <tabColor theme="8" tint="0.59999389629810485"/>
  </sheetPr>
  <dimension ref="B1:P16"/>
  <sheetViews>
    <sheetView zoomScale="90" zoomScaleNormal="90" workbookViewId="0">
      <selection activeCell="C15" sqref="C15"/>
    </sheetView>
  </sheetViews>
  <sheetFormatPr baseColWidth="10" defaultRowHeight="12.5" x14ac:dyDescent="0.25"/>
  <cols>
    <col min="1" max="1" width="3" customWidth="1"/>
    <col min="2" max="2" width="4.26953125" bestFit="1" customWidth="1"/>
    <col min="3" max="3" width="16.7265625" customWidth="1"/>
    <col min="4" max="4" width="14.26953125" customWidth="1"/>
    <col min="5" max="7" width="17.7265625" customWidth="1"/>
    <col min="8" max="8" width="18.26953125" customWidth="1"/>
    <col min="9" max="9" width="15.7265625" customWidth="1"/>
    <col min="10" max="10" width="16.453125" customWidth="1"/>
    <col min="11" max="11" width="15.7265625" customWidth="1"/>
    <col min="12" max="13" width="18.26953125" customWidth="1"/>
    <col min="14" max="14" width="15.7265625" customWidth="1"/>
    <col min="15" max="15" width="14.26953125" customWidth="1"/>
    <col min="16" max="16" width="14.453125" customWidth="1"/>
  </cols>
  <sheetData>
    <row r="1" spans="2:16" ht="13" thickBot="1" x14ac:dyDescent="0.3"/>
    <row r="2" spans="2:16" ht="35" thickBot="1" x14ac:dyDescent="0.3">
      <c r="B2" s="11" t="s">
        <v>3</v>
      </c>
      <c r="C2" s="28" t="s">
        <v>55</v>
      </c>
      <c r="D2" s="28" t="s">
        <v>50</v>
      </c>
      <c r="E2" s="28" t="s">
        <v>57</v>
      </c>
      <c r="F2" s="28" t="s">
        <v>129</v>
      </c>
      <c r="G2" s="28" t="s">
        <v>130</v>
      </c>
      <c r="H2" s="131" t="s">
        <v>52</v>
      </c>
      <c r="I2" s="12" t="s">
        <v>58</v>
      </c>
      <c r="J2" s="12" t="s">
        <v>59</v>
      </c>
      <c r="K2" s="12" t="s">
        <v>53</v>
      </c>
      <c r="L2" s="27" t="s">
        <v>60</v>
      </c>
      <c r="M2" s="65" t="s">
        <v>92</v>
      </c>
      <c r="N2" s="132" t="s">
        <v>54</v>
      </c>
    </row>
    <row r="3" spans="2:16" s="358" customFormat="1" x14ac:dyDescent="0.25">
      <c r="B3" s="306">
        <v>1</v>
      </c>
      <c r="C3" s="295">
        <f>'Recaudo ENERBIT'!D21</f>
        <v>0</v>
      </c>
      <c r="D3" s="295">
        <f>REMUNERACION_ENERBIT!G125</f>
        <v>0</v>
      </c>
      <c r="E3" s="295">
        <f>REMUNERACION_ENERBIT!D28+REMUNERACION_ENERBIT!N28</f>
        <v>0</v>
      </c>
      <c r="F3" s="295">
        <f>REMUNERACION_ENERBIT!I142</f>
        <v>0</v>
      </c>
      <c r="G3" s="295">
        <f>REMUNERACION_ENERBIT!H142</f>
        <v>0</v>
      </c>
      <c r="H3" s="343">
        <f>SUM(C3:G3)</f>
        <v>0</v>
      </c>
      <c r="I3" s="294">
        <f>REMUNERACION_ENERBIT!D104</f>
        <v>0</v>
      </c>
      <c r="J3" s="295">
        <f>REMUNERACION_ENERBIT!N104</f>
        <v>0</v>
      </c>
      <c r="K3" s="295">
        <f>REMUNERACION_ENERBIT!D125</f>
        <v>0</v>
      </c>
      <c r="L3" s="356">
        <f>REMUNERACION_ENERBIT!E125</f>
        <v>0</v>
      </c>
      <c r="M3" s="295">
        <f>-REMUNERACION_ENERBIT!D66-REMUNERACION_ENERBIT!N66</f>
        <v>0</v>
      </c>
      <c r="N3" s="291">
        <f>SUM(I3:M3)</f>
        <v>0</v>
      </c>
      <c r="O3" s="357">
        <f t="shared" ref="O3:O8" si="0">H3-N3</f>
        <v>0</v>
      </c>
      <c r="P3" s="1" t="b">
        <f>INT(O3)=0</f>
        <v>1</v>
      </c>
    </row>
    <row r="4" spans="2:16" s="358" customFormat="1" x14ac:dyDescent="0.25">
      <c r="B4" s="317">
        <v>2</v>
      </c>
      <c r="C4" s="320">
        <f>'Recaudo ENERBIT'!D22</f>
        <v>0</v>
      </c>
      <c r="D4" s="295">
        <f>REMUNERACION_ENERBIT!G126</f>
        <v>0</v>
      </c>
      <c r="E4" s="295">
        <f>REMUNERACION_ENERBIT!D29+REMUNERACION_ENERBIT!N29</f>
        <v>0</v>
      </c>
      <c r="F4" s="295">
        <f>REMUNERACION_ENERBIT!I143</f>
        <v>0</v>
      </c>
      <c r="G4" s="295">
        <f>REMUNERACION_ENERBIT!H143</f>
        <v>0</v>
      </c>
      <c r="H4" s="343">
        <f t="shared" ref="H4:H7" si="1">SUM(C4:G4)</f>
        <v>0</v>
      </c>
      <c r="I4" s="294">
        <f>REMUNERACION_ENERBIT!D105</f>
        <v>0</v>
      </c>
      <c r="J4" s="295">
        <f>REMUNERACION_ENERBIT!N105</f>
        <v>0</v>
      </c>
      <c r="K4" s="295">
        <f>REMUNERACION_ENERBIT!D126</f>
        <v>0</v>
      </c>
      <c r="L4" s="356">
        <f>REMUNERACION_ENERBIT!E126</f>
        <v>0</v>
      </c>
      <c r="M4" s="295">
        <f>-REMUNERACION_ENERBIT!D67-REMUNERACION_ENERBIT!N67</f>
        <v>0</v>
      </c>
      <c r="N4" s="321">
        <f>SUM(I4:M4)</f>
        <v>0</v>
      </c>
      <c r="O4" s="357">
        <f t="shared" si="0"/>
        <v>0</v>
      </c>
      <c r="P4" s="1" t="b">
        <f t="shared" ref="P4:P9" si="2">INT(O4)=0</f>
        <v>1</v>
      </c>
    </row>
    <row r="5" spans="2:16" s="358" customFormat="1" x14ac:dyDescent="0.25">
      <c r="B5" s="317">
        <v>3</v>
      </c>
      <c r="C5" s="320">
        <f>'Recaudo ENERBIT'!D23</f>
        <v>0</v>
      </c>
      <c r="D5" s="295">
        <f>REMUNERACION_ENERBIT!G127</f>
        <v>0</v>
      </c>
      <c r="E5" s="295">
        <f>REMUNERACION_ENERBIT!D30+REMUNERACION_ENERBIT!N30</f>
        <v>0</v>
      </c>
      <c r="F5" s="295">
        <f>REMUNERACION_ENERBIT!I144</f>
        <v>0</v>
      </c>
      <c r="G5" s="295">
        <f>REMUNERACION_ENERBIT!H144</f>
        <v>0</v>
      </c>
      <c r="H5" s="343">
        <f t="shared" si="1"/>
        <v>0</v>
      </c>
      <c r="I5" s="294">
        <f>REMUNERACION_ENERBIT!D106</f>
        <v>0</v>
      </c>
      <c r="J5" s="295">
        <f>REMUNERACION_ENERBIT!N106</f>
        <v>0</v>
      </c>
      <c r="K5" s="295">
        <f>REMUNERACION_ENERBIT!D127</f>
        <v>0</v>
      </c>
      <c r="L5" s="356">
        <f>REMUNERACION_ENERBIT!E127</f>
        <v>0</v>
      </c>
      <c r="M5" s="295">
        <f>-REMUNERACION_ENERBIT!D68-REMUNERACION_ENERBIT!N68</f>
        <v>0</v>
      </c>
      <c r="N5" s="321">
        <f>SUM(I5:M5)</f>
        <v>0</v>
      </c>
      <c r="O5" s="357">
        <f>H5-N5</f>
        <v>0</v>
      </c>
      <c r="P5" s="1" t="b">
        <f t="shared" si="2"/>
        <v>1</v>
      </c>
    </row>
    <row r="6" spans="2:16" s="358" customFormat="1" x14ac:dyDescent="0.25">
      <c r="B6" s="317">
        <v>4</v>
      </c>
      <c r="C6" s="320">
        <f>'Recaudo ENERBIT'!D24</f>
        <v>0</v>
      </c>
      <c r="D6" s="295">
        <f>REMUNERACION_ENERBIT!G128</f>
        <v>0</v>
      </c>
      <c r="E6" s="295">
        <f>REMUNERACION_ENERBIT!D31+REMUNERACION_ENERBIT!N31</f>
        <v>0</v>
      </c>
      <c r="F6" s="295">
        <f>REMUNERACION_ENERBIT!I145</f>
        <v>0</v>
      </c>
      <c r="G6" s="295">
        <f>REMUNERACION_ENERBIT!H145</f>
        <v>0</v>
      </c>
      <c r="H6" s="343">
        <f t="shared" si="1"/>
        <v>0</v>
      </c>
      <c r="I6" s="294">
        <f>REMUNERACION_ENERBIT!D107</f>
        <v>0</v>
      </c>
      <c r="J6" s="295">
        <f>REMUNERACION_ENERBIT!N107</f>
        <v>0</v>
      </c>
      <c r="K6" s="295">
        <f>REMUNERACION_ENERBIT!D128</f>
        <v>0</v>
      </c>
      <c r="L6" s="356">
        <f>REMUNERACION_ENERBIT!E128</f>
        <v>0</v>
      </c>
      <c r="M6" s="295">
        <f>-REMUNERACION_ENERBIT!D69-REMUNERACION_ENERBIT!N69</f>
        <v>0</v>
      </c>
      <c r="N6" s="321">
        <f t="shared" ref="N6:N7" si="3">SUM(I6:M6)</f>
        <v>0</v>
      </c>
      <c r="O6" s="357">
        <f t="shared" si="0"/>
        <v>0</v>
      </c>
      <c r="P6" s="1" t="b">
        <f t="shared" si="2"/>
        <v>1</v>
      </c>
    </row>
    <row r="7" spans="2:16" s="358" customFormat="1" x14ac:dyDescent="0.25">
      <c r="B7" s="317">
        <v>5</v>
      </c>
      <c r="C7" s="320">
        <f>'Recaudo ENERBIT'!D25</f>
        <v>129536656</v>
      </c>
      <c r="D7" s="295">
        <f>REMUNERACION_ENERBIT!G129</f>
        <v>0</v>
      </c>
      <c r="E7" s="295">
        <f>REMUNERACION_ENERBIT!D32+REMUNERACION_ENERBIT!N32</f>
        <v>0</v>
      </c>
      <c r="F7" s="295">
        <f>REMUNERACION_ENERBIT!I146</f>
        <v>0</v>
      </c>
      <c r="G7" s="295">
        <f>REMUNERACION_ENERBIT!H146</f>
        <v>0</v>
      </c>
      <c r="H7" s="343">
        <f t="shared" si="1"/>
        <v>129536656</v>
      </c>
      <c r="I7" s="294">
        <f>REMUNERACION_ENERBIT!D108</f>
        <v>126372775.04000001</v>
      </c>
      <c r="J7" s="295">
        <f>REMUNERACION_ENERBIT!N108</f>
        <v>139.96</v>
      </c>
      <c r="K7" s="295">
        <f>REMUNERACION_ENERBIT!D129</f>
        <v>3163741</v>
      </c>
      <c r="L7" s="356">
        <f>REMUNERACION_ENERBIT!E129</f>
        <v>0</v>
      </c>
      <c r="M7" s="295">
        <f>-REMUNERACION_ENERBIT!D70-REMUNERACION_ENERBIT!N70</f>
        <v>0</v>
      </c>
      <c r="N7" s="321">
        <f t="shared" si="3"/>
        <v>129536656</v>
      </c>
      <c r="O7" s="357">
        <f>H7-N7</f>
        <v>0</v>
      </c>
      <c r="P7" s="1" t="b">
        <f t="shared" si="2"/>
        <v>1</v>
      </c>
    </row>
    <row r="8" spans="2:16" s="358" customFormat="1" ht="13" thickBot="1" x14ac:dyDescent="0.3">
      <c r="B8" s="344" t="s">
        <v>89</v>
      </c>
      <c r="C8" s="320">
        <f>'Recaudo ENERBIT'!D26</f>
        <v>0</v>
      </c>
      <c r="D8" s="359">
        <f>REMUNERACION_ENERBIT!G130</f>
        <v>0</v>
      </c>
      <c r="E8" s="359">
        <f>REMUNERACION_ENERBIT!D33+REMUNERACION_ENERBIT!N33</f>
        <v>0</v>
      </c>
      <c r="F8" s="359">
        <f>REMUNERACION_ENERBIT!I147</f>
        <v>0</v>
      </c>
      <c r="G8" s="359">
        <f>REMUNERACION_ENERBIT!H147</f>
        <v>0</v>
      </c>
      <c r="H8" s="343">
        <f>SUM(C8:G8)</f>
        <v>0</v>
      </c>
      <c r="I8" s="360">
        <v>0</v>
      </c>
      <c r="J8" s="346">
        <v>0</v>
      </c>
      <c r="K8" s="346">
        <f>REMUNERACION_ENERBIT!D130</f>
        <v>0</v>
      </c>
      <c r="L8" s="356">
        <f>REMUNERACION_ENERBIT!E130</f>
        <v>0</v>
      </c>
      <c r="M8" s="359">
        <f>-REMUNERACION_ENERBIT!D71-REMUNERACION_ENERBIT!N71</f>
        <v>0</v>
      </c>
      <c r="N8" s="361">
        <f>SUM(I8:L8)-M8</f>
        <v>0</v>
      </c>
      <c r="O8" s="357">
        <f t="shared" si="0"/>
        <v>0</v>
      </c>
      <c r="P8" s="1" t="b">
        <f t="shared" si="2"/>
        <v>1</v>
      </c>
    </row>
    <row r="9" spans="2:16" s="358" customFormat="1" ht="13" thickBot="1" x14ac:dyDescent="0.3">
      <c r="B9" s="330"/>
      <c r="C9" s="293">
        <f>SUM(C3:C8)</f>
        <v>129536656</v>
      </c>
      <c r="D9" s="293">
        <f t="shared" ref="D9:M9" si="4">SUM(D3:D8)</f>
        <v>0</v>
      </c>
      <c r="E9" s="293">
        <f t="shared" si="4"/>
        <v>0</v>
      </c>
      <c r="F9" s="293">
        <f t="shared" si="4"/>
        <v>0</v>
      </c>
      <c r="G9" s="293">
        <f t="shared" si="4"/>
        <v>0</v>
      </c>
      <c r="H9" s="293">
        <f t="shared" si="4"/>
        <v>129536656</v>
      </c>
      <c r="I9" s="293">
        <f t="shared" si="4"/>
        <v>126372775.04000001</v>
      </c>
      <c r="J9" s="293">
        <f t="shared" si="4"/>
        <v>139.96</v>
      </c>
      <c r="K9" s="293">
        <f t="shared" si="4"/>
        <v>3163741</v>
      </c>
      <c r="L9" s="293">
        <f t="shared" si="4"/>
        <v>0</v>
      </c>
      <c r="M9" s="293">
        <f t="shared" si="4"/>
        <v>0</v>
      </c>
      <c r="N9" s="293">
        <f>SUM(N3:N8)</f>
        <v>129536656</v>
      </c>
      <c r="O9" s="362">
        <f>SUM(O3:O8)</f>
        <v>0</v>
      </c>
      <c r="P9" s="1" t="b">
        <f t="shared" si="2"/>
        <v>1</v>
      </c>
    </row>
    <row r="11" spans="2:16" ht="13" x14ac:dyDescent="0.3">
      <c r="B11" s="102" t="s">
        <v>89</v>
      </c>
      <c r="C11" s="103" t="s">
        <v>90</v>
      </c>
      <c r="M11" s="141"/>
      <c r="O11" s="137"/>
    </row>
    <row r="12" spans="2:16" x14ac:dyDescent="0.25">
      <c r="C12" s="143"/>
    </row>
    <row r="13" spans="2:16" x14ac:dyDescent="0.25">
      <c r="B13" s="142"/>
      <c r="C13" s="143" t="s">
        <v>1</v>
      </c>
    </row>
    <row r="14" spans="2:16" x14ac:dyDescent="0.25">
      <c r="C14" s="245">
        <f>'Valida - Control Recaudo'!D8</f>
        <v>129536656</v>
      </c>
    </row>
    <row r="15" spans="2:16" x14ac:dyDescent="0.25">
      <c r="C15" s="249" t="b">
        <f>C14=C9</f>
        <v>1</v>
      </c>
    </row>
    <row r="16" spans="2:16" x14ac:dyDescent="0.25">
      <c r="C16" s="212" t="s">
        <v>1</v>
      </c>
    </row>
  </sheetData>
  <conditionalFormatting sqref="C15">
    <cfRule type="cellIs" dxfId="32" priority="2" operator="notEqual">
      <formula>TRUE</formula>
    </cfRule>
  </conditionalFormatting>
  <conditionalFormatting sqref="P3:P9">
    <cfRule type="cellIs" dxfId="31" priority="1" operator="notEqual">
      <formula>TRUE</formula>
    </cfRule>
  </conditionalFormatting>
  <pageMargins left="0.7" right="0.7" top="0.75" bottom="0.75" header="0.3" footer="0.3"/>
  <pageSetup orientation="portrait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04A5BB-8B3C-4DEF-8A18-5CD5E9E134B7}">
  <sheetPr>
    <tabColor theme="8" tint="0.59999389629810485"/>
    <pageSetUpPr fitToPage="1"/>
  </sheetPr>
  <dimension ref="A1:AI52"/>
  <sheetViews>
    <sheetView zoomScaleNormal="100" workbookViewId="0">
      <selection activeCell="A19" sqref="A19"/>
    </sheetView>
  </sheetViews>
  <sheetFormatPr baseColWidth="10" defaultColWidth="11.453125" defaultRowHeight="11.5" x14ac:dyDescent="0.25"/>
  <cols>
    <col min="1" max="1" width="3" style="1" customWidth="1"/>
    <col min="2" max="2" width="4.453125" style="1" bestFit="1" customWidth="1"/>
    <col min="3" max="3" width="36.7265625" style="1" customWidth="1"/>
    <col min="4" max="4" width="15.26953125" style="1" customWidth="1"/>
    <col min="5" max="5" width="16" style="1" customWidth="1"/>
    <col min="6" max="7" width="14.7265625" style="1" customWidth="1"/>
    <col min="8" max="8" width="16.26953125" style="1" customWidth="1"/>
    <col min="9" max="9" width="20.26953125" style="1" bestFit="1" customWidth="1"/>
    <col min="10" max="10" width="15.54296875" style="1" customWidth="1"/>
    <col min="11" max="11" width="17.54296875" style="1" customWidth="1"/>
    <col min="12" max="12" width="16.54296875" style="1" customWidth="1"/>
    <col min="13" max="13" width="19.7265625" style="1" customWidth="1"/>
    <col min="14" max="14" width="15.26953125" style="1" customWidth="1"/>
    <col min="15" max="15" width="16.7265625" style="1" customWidth="1"/>
    <col min="16" max="16" width="3.7265625" style="1" customWidth="1"/>
    <col min="17" max="17" width="2.7265625" style="1" customWidth="1"/>
    <col min="18" max="18" width="4.54296875" style="1" customWidth="1"/>
    <col min="19" max="19" width="11.26953125" style="1" customWidth="1"/>
    <col min="20" max="20" width="39.453125" style="1" customWidth="1"/>
    <col min="21" max="21" width="19.26953125" style="1" customWidth="1"/>
    <col min="22" max="22" width="17.7265625" style="1" customWidth="1"/>
    <col min="23" max="23" width="16.453125" style="1" customWidth="1"/>
    <col min="24" max="24" width="17.26953125" style="1" customWidth="1"/>
    <col min="25" max="25" width="15.7265625" style="1" customWidth="1"/>
    <col min="26" max="26" width="16" style="1" customWidth="1"/>
    <col min="27" max="27" width="15" style="1" customWidth="1"/>
    <col min="28" max="29" width="16.7265625" style="1" customWidth="1"/>
    <col min="30" max="31" width="15.453125" style="1" customWidth="1"/>
    <col min="32" max="32" width="16.26953125" style="1" customWidth="1"/>
    <col min="33" max="33" width="18.26953125" style="1" customWidth="1"/>
    <col min="34" max="34" width="13.7265625" style="1" customWidth="1"/>
    <col min="35" max="35" width="3.453125" style="1" customWidth="1"/>
    <col min="36" max="16384" width="11.453125" style="1"/>
  </cols>
  <sheetData>
    <row r="1" spans="2:35" ht="12" thickBot="1" x14ac:dyDescent="0.3">
      <c r="Q1" s="4"/>
      <c r="AI1" s="4"/>
    </row>
    <row r="2" spans="2:35" x14ac:dyDescent="0.25">
      <c r="B2" s="5"/>
      <c r="C2" s="3" t="s">
        <v>1</v>
      </c>
      <c r="D2" s="6" t="s">
        <v>1</v>
      </c>
      <c r="E2" s="3"/>
      <c r="F2" s="3"/>
      <c r="G2" s="3"/>
      <c r="H2" s="3" t="s">
        <v>1</v>
      </c>
      <c r="I2" s="3"/>
      <c r="J2" s="3"/>
      <c r="K2" s="3"/>
      <c r="L2" s="3"/>
      <c r="M2" s="3"/>
      <c r="N2" s="3"/>
      <c r="O2" s="7"/>
      <c r="P2" s="2"/>
      <c r="Q2" s="4"/>
      <c r="S2" s="5"/>
      <c r="T2" s="3" t="s">
        <v>1</v>
      </c>
      <c r="U2" s="6" t="s">
        <v>1</v>
      </c>
      <c r="V2" s="3"/>
      <c r="W2" s="3"/>
      <c r="X2" s="3" t="s">
        <v>1</v>
      </c>
      <c r="Y2" s="3"/>
      <c r="Z2" s="3"/>
      <c r="AA2" s="3"/>
      <c r="AB2" s="3"/>
      <c r="AC2" s="3"/>
      <c r="AD2" s="3"/>
      <c r="AE2" s="3"/>
      <c r="AF2" s="7"/>
      <c r="AG2" s="2"/>
      <c r="AI2" s="4"/>
    </row>
    <row r="3" spans="2:35" ht="14" x14ac:dyDescent="0.3">
      <c r="B3" s="8"/>
      <c r="F3" s="26" t="s">
        <v>8</v>
      </c>
      <c r="G3" s="26"/>
      <c r="I3" s="26" t="s">
        <v>16</v>
      </c>
      <c r="J3" s="25"/>
      <c r="M3" s="2" t="s">
        <v>15</v>
      </c>
      <c r="N3" s="50">
        <f>REMUNERACION_ENERBIT!N98</f>
        <v>2026071</v>
      </c>
      <c r="O3" s="10"/>
      <c r="P3" s="2"/>
      <c r="Q3" s="4"/>
      <c r="S3" s="8"/>
      <c r="U3" s="26" t="s">
        <v>8</v>
      </c>
      <c r="W3" s="26" t="s">
        <v>16</v>
      </c>
      <c r="X3" s="25"/>
      <c r="Y3" s="2"/>
      <c r="AA3" s="2" t="s">
        <v>15</v>
      </c>
      <c r="AD3" s="84">
        <f>N3</f>
        <v>2026071</v>
      </c>
      <c r="AE3" s="84"/>
      <c r="AF3" s="48"/>
      <c r="AG3" s="2"/>
      <c r="AI3" s="4"/>
    </row>
    <row r="4" spans="2:35" ht="15.5" x14ac:dyDescent="0.35">
      <c r="B4" s="8"/>
      <c r="F4" s="36" t="s">
        <v>29</v>
      </c>
      <c r="G4" s="36"/>
      <c r="O4" s="10"/>
      <c r="P4" s="2"/>
      <c r="Q4" s="4"/>
      <c r="S4" s="8"/>
      <c r="T4" s="26" t="s">
        <v>1</v>
      </c>
      <c r="U4" s="36" t="s">
        <v>29</v>
      </c>
      <c r="Y4" s="2" t="s">
        <v>1</v>
      </c>
      <c r="AA4" s="50" t="s">
        <v>1</v>
      </c>
      <c r="AB4" s="2"/>
      <c r="AC4" s="2"/>
      <c r="AD4" s="2"/>
      <c r="AE4" s="2"/>
      <c r="AF4" s="10" t="s">
        <v>1</v>
      </c>
      <c r="AG4" s="2"/>
      <c r="AI4" s="4"/>
    </row>
    <row r="5" spans="2:35" ht="14" x14ac:dyDescent="0.3">
      <c r="B5" s="8"/>
      <c r="F5" s="2" t="s">
        <v>30</v>
      </c>
      <c r="G5" s="2"/>
      <c r="M5" s="2" t="s">
        <v>1</v>
      </c>
      <c r="O5" s="10"/>
      <c r="P5" s="2"/>
      <c r="Q5" s="4"/>
      <c r="S5" s="8"/>
      <c r="T5" s="49" t="s">
        <v>1</v>
      </c>
      <c r="U5" s="2" t="s">
        <v>30</v>
      </c>
      <c r="AF5" s="44"/>
      <c r="AG5" s="2"/>
      <c r="AI5" s="4"/>
    </row>
    <row r="6" spans="2:35" ht="15.5" x14ac:dyDescent="0.35">
      <c r="B6" s="8"/>
      <c r="C6" s="591" t="s">
        <v>17</v>
      </c>
      <c r="D6" s="9">
        <f>REMUNERACION_ENERBIT!D101</f>
        <v>46220</v>
      </c>
      <c r="F6" s="58" t="str">
        <f>REMUNERACION_ENERBIT!F101</f>
        <v>REPORTE CONSOLIDADO TOTAL DE RECAUDO  // ENERBIT</v>
      </c>
      <c r="G6" s="58"/>
      <c r="H6" s="59"/>
      <c r="I6" s="60"/>
      <c r="J6" s="59"/>
      <c r="O6" s="10"/>
      <c r="P6" s="2"/>
      <c r="Q6" s="4"/>
      <c r="S6" s="8"/>
      <c r="T6" s="41" t="s">
        <v>1</v>
      </c>
      <c r="U6" s="58" t="str">
        <f>REMUNERACION_ENERBIT!U101</f>
        <v>REPORTE DETALLADO SUBBOLSA RBL DISCRIMINADO POR ACTIVIDADES // ENEL</v>
      </c>
      <c r="V6" s="59"/>
      <c r="W6" s="60"/>
      <c r="X6" s="59"/>
      <c r="Y6" s="2"/>
      <c r="AF6" s="48"/>
      <c r="AG6" s="2"/>
      <c r="AI6" s="4"/>
    </row>
    <row r="7" spans="2:35" ht="12" thickBot="1" x14ac:dyDescent="0.3">
      <c r="B7" s="8"/>
      <c r="C7" s="591" t="s">
        <v>0</v>
      </c>
      <c r="D7" s="241">
        <f>REMUNERACION_ENERBIT!D102</f>
        <v>0.58333333333333337</v>
      </c>
      <c r="F7" s="2" t="s">
        <v>27</v>
      </c>
      <c r="G7" s="9">
        <f>REMUNERACION_ENERBIT!G102</f>
        <v>46204</v>
      </c>
      <c r="J7" s="2" t="s">
        <v>28</v>
      </c>
      <c r="K7" s="9">
        <f>REMUNERACION_ENERBIT!K102</f>
        <v>46218</v>
      </c>
      <c r="O7" s="10"/>
      <c r="P7" s="2"/>
      <c r="Q7" s="4"/>
      <c r="S7" s="8"/>
      <c r="U7" s="1" t="str">
        <f>F7</f>
        <v>Fecha Desde:</v>
      </c>
      <c r="V7" s="9">
        <f>G7</f>
        <v>46204</v>
      </c>
      <c r="W7" s="1" t="s">
        <v>1</v>
      </c>
      <c r="X7" s="1" t="str">
        <f>J7</f>
        <v>Feha Hasta:</v>
      </c>
      <c r="Y7" s="9">
        <f>K7</f>
        <v>46218</v>
      </c>
      <c r="Z7" s="1" t="s">
        <v>1</v>
      </c>
      <c r="AF7" s="48"/>
      <c r="AG7" s="2"/>
      <c r="AI7" s="4"/>
    </row>
    <row r="8" spans="2:35" ht="69.5" thickBot="1" x14ac:dyDescent="0.3">
      <c r="B8" s="11" t="s">
        <v>3</v>
      </c>
      <c r="C8" s="27" t="s">
        <v>9</v>
      </c>
      <c r="D8" s="11" t="s">
        <v>4</v>
      </c>
      <c r="E8" s="12" t="s">
        <v>5</v>
      </c>
      <c r="F8" s="12" t="s">
        <v>6</v>
      </c>
      <c r="G8" s="272" t="s">
        <v>159</v>
      </c>
      <c r="H8" s="12" t="s">
        <v>18</v>
      </c>
      <c r="I8" s="12" t="s">
        <v>24</v>
      </c>
      <c r="J8" s="73" t="s">
        <v>19</v>
      </c>
      <c r="K8" s="29" t="s">
        <v>20</v>
      </c>
      <c r="L8" s="28" t="s">
        <v>21</v>
      </c>
      <c r="M8" s="39" t="s">
        <v>22</v>
      </c>
      <c r="N8" s="12" t="s">
        <v>7</v>
      </c>
      <c r="O8" s="39" t="s">
        <v>23</v>
      </c>
      <c r="P8" s="13"/>
      <c r="Q8" s="4"/>
      <c r="S8" s="11" t="s">
        <v>3</v>
      </c>
      <c r="T8" s="27" t="s">
        <v>9</v>
      </c>
      <c r="U8" s="80" t="s">
        <v>39</v>
      </c>
      <c r="V8" s="51" t="s">
        <v>40</v>
      </c>
      <c r="W8" s="51" t="s">
        <v>41</v>
      </c>
      <c r="X8" s="51" t="s">
        <v>42</v>
      </c>
      <c r="Y8" s="81" t="s">
        <v>43</v>
      </c>
      <c r="Z8" s="85" t="s">
        <v>21</v>
      </c>
      <c r="AA8" s="65" t="s">
        <v>46</v>
      </c>
      <c r="AB8" s="65" t="s">
        <v>7</v>
      </c>
      <c r="AC8" s="85" t="s">
        <v>167</v>
      </c>
      <c r="AD8" s="27" t="s">
        <v>105</v>
      </c>
      <c r="AE8" s="27" t="s">
        <v>104</v>
      </c>
      <c r="AF8" s="39" t="s">
        <v>23</v>
      </c>
      <c r="AG8" s="13"/>
      <c r="AI8" s="4"/>
    </row>
    <row r="9" spans="2:35" x14ac:dyDescent="0.25">
      <c r="B9" s="14">
        <v>1</v>
      </c>
      <c r="C9" s="61" t="s">
        <v>10</v>
      </c>
      <c r="D9" s="66">
        <f>REMUNERACION_ENERBIT!D104</f>
        <v>0</v>
      </c>
      <c r="E9" s="66">
        <f>REMUNERACION_ENERBIT!E104</f>
        <v>0</v>
      </c>
      <c r="F9" s="66">
        <f>REMUNERACION_ENERBIT!F104</f>
        <v>0</v>
      </c>
      <c r="G9" s="66">
        <f>REMUNERACION_ENERBIT!G104</f>
        <v>0</v>
      </c>
      <c r="H9" s="66">
        <f>REMUNERACION_ENERBIT!H104</f>
        <v>0</v>
      </c>
      <c r="I9" s="66">
        <f>REMUNERACION_ENERBIT!I104</f>
        <v>0</v>
      </c>
      <c r="J9" s="66">
        <f>REMUNERACION_ENERBIT!J104</f>
        <v>0</v>
      </c>
      <c r="K9" s="30">
        <f>D9-E9-F9-G9-H9-I9-J9</f>
        <v>0</v>
      </c>
      <c r="L9" s="66">
        <f>REMUNERACION_ENERBIT!L104</f>
        <v>0</v>
      </c>
      <c r="M9" s="30">
        <f>K9-L9</f>
        <v>0</v>
      </c>
      <c r="N9" s="66">
        <f>REMUNERACION_ENERBIT!N104</f>
        <v>0</v>
      </c>
      <c r="O9" s="30">
        <f>M9+N9</f>
        <v>0</v>
      </c>
      <c r="Q9" s="4"/>
      <c r="S9" s="14">
        <v>1</v>
      </c>
      <c r="T9" s="61" t="s">
        <v>10</v>
      </c>
      <c r="U9" s="66">
        <f>REMUNERACION_ENERBIT!U104</f>
        <v>0</v>
      </c>
      <c r="V9" s="66">
        <f>REMUNERACION_ENERBIT!V104</f>
        <v>0</v>
      </c>
      <c r="W9" s="66">
        <f>REMUNERACION_ENERBIT!W104</f>
        <v>0</v>
      </c>
      <c r="X9" s="66">
        <f>REMUNERACION_ENERBIT!X104</f>
        <v>0</v>
      </c>
      <c r="Y9" s="66">
        <f>REMUNERACION_ENERBIT!Y104</f>
        <v>0</v>
      </c>
      <c r="Z9" s="66">
        <f>REMUNERACION_ENERBIT!Z104</f>
        <v>0</v>
      </c>
      <c r="AA9" s="66">
        <f>REMUNERACION_ENERBIT!AA104</f>
        <v>0</v>
      </c>
      <c r="AB9" s="66">
        <f>REMUNERACION_ENERBIT!AB104</f>
        <v>0</v>
      </c>
      <c r="AC9" s="66">
        <f>REMUNERACION_ENERBIT!AC104</f>
        <v>0</v>
      </c>
      <c r="AD9" s="66">
        <f>REMUNERACION_ENERBIT!AD104</f>
        <v>0</v>
      </c>
      <c r="AE9" s="66">
        <f>REMUNERACION_ENERBIT!AE104</f>
        <v>0</v>
      </c>
      <c r="AF9" s="69">
        <f>SUM(U9:AD9)</f>
        <v>0</v>
      </c>
      <c r="AG9" s="71">
        <f>AF9-O9</f>
        <v>0</v>
      </c>
      <c r="AH9" s="1" t="b">
        <f>INT(AG9)=0</f>
        <v>1</v>
      </c>
      <c r="AI9" s="4"/>
    </row>
    <row r="10" spans="2:35" x14ac:dyDescent="0.25">
      <c r="B10" s="16">
        <v>2</v>
      </c>
      <c r="C10" s="62" t="s">
        <v>11</v>
      </c>
      <c r="D10" s="66">
        <f>REMUNERACION_ENERBIT!D105</f>
        <v>0</v>
      </c>
      <c r="E10" s="66">
        <f>REMUNERACION_ENERBIT!E105</f>
        <v>0</v>
      </c>
      <c r="F10" s="66">
        <f>REMUNERACION_ENERBIT!F105</f>
        <v>0</v>
      </c>
      <c r="G10" s="66">
        <f>REMUNERACION_ENERBIT!G105</f>
        <v>0</v>
      </c>
      <c r="H10" s="66">
        <f>REMUNERACION_ENERBIT!H105</f>
        <v>0</v>
      </c>
      <c r="I10" s="66">
        <f>REMUNERACION_ENERBIT!I105</f>
        <v>0</v>
      </c>
      <c r="J10" s="66">
        <f>REMUNERACION_ENERBIT!J105</f>
        <v>0</v>
      </c>
      <c r="K10" s="31">
        <f t="shared" ref="K10:K13" si="0">D10-E10-F10-G10-H10-I10-J10</f>
        <v>0</v>
      </c>
      <c r="L10" s="66">
        <f>REMUNERACION_ENERBIT!L105</f>
        <v>0</v>
      </c>
      <c r="M10" s="31">
        <f>K10-L10</f>
        <v>0</v>
      </c>
      <c r="N10" s="66">
        <f>REMUNERACION_ENERBIT!N105</f>
        <v>0</v>
      </c>
      <c r="O10" s="31">
        <f t="shared" ref="O10:O13" si="1">M10+N10</f>
        <v>0</v>
      </c>
      <c r="Q10" s="4"/>
      <c r="S10" s="16">
        <v>2</v>
      </c>
      <c r="T10" s="62" t="s">
        <v>11</v>
      </c>
      <c r="U10" s="66">
        <f>REMUNERACION_ENERBIT!U105</f>
        <v>0</v>
      </c>
      <c r="V10" s="66">
        <f>REMUNERACION_ENERBIT!V105</f>
        <v>0</v>
      </c>
      <c r="W10" s="66">
        <f>REMUNERACION_ENERBIT!W105</f>
        <v>0</v>
      </c>
      <c r="X10" s="66">
        <f>REMUNERACION_ENERBIT!X105</f>
        <v>0</v>
      </c>
      <c r="Y10" s="66">
        <f>REMUNERACION_ENERBIT!Y105</f>
        <v>0</v>
      </c>
      <c r="Z10" s="66">
        <f>REMUNERACION_ENERBIT!Z105</f>
        <v>0</v>
      </c>
      <c r="AA10" s="66">
        <f>REMUNERACION_ENERBIT!AA105</f>
        <v>0</v>
      </c>
      <c r="AB10" s="66">
        <f>REMUNERACION_ENERBIT!AB105</f>
        <v>0</v>
      </c>
      <c r="AC10" s="66">
        <f>REMUNERACION_ENERBIT!AC105</f>
        <v>0</v>
      </c>
      <c r="AD10" s="66">
        <f>REMUNERACION_ENERBIT!AD105</f>
        <v>0</v>
      </c>
      <c r="AE10" s="66">
        <f>REMUNERACION_ENERBIT!AE105</f>
        <v>0</v>
      </c>
      <c r="AF10" s="70">
        <f>SUM(U10:AD10)</f>
        <v>0</v>
      </c>
      <c r="AG10" s="72">
        <f>AF10-O10</f>
        <v>0</v>
      </c>
      <c r="AH10" s="1" t="b">
        <f t="shared" ref="AH10:AH14" si="2">INT(AG10)=0</f>
        <v>1</v>
      </c>
      <c r="AI10" s="4"/>
    </row>
    <row r="11" spans="2:35" x14ac:dyDescent="0.25">
      <c r="B11" s="16">
        <v>3</v>
      </c>
      <c r="C11" s="62" t="s">
        <v>12</v>
      </c>
      <c r="D11" s="724">
        <f>REMUNERACION_ENERBIT!D106</f>
        <v>0</v>
      </c>
      <c r="E11" s="724">
        <f>REMUNERACION_ENERBIT!E106</f>
        <v>0</v>
      </c>
      <c r="F11" s="724">
        <f>REMUNERACION_ENERBIT!F106</f>
        <v>0</v>
      </c>
      <c r="G11" s="724">
        <f>REMUNERACION_ENERBIT!G106</f>
        <v>0</v>
      </c>
      <c r="H11" s="724">
        <f>REMUNERACION_ENERBIT!H106</f>
        <v>0</v>
      </c>
      <c r="I11" s="724">
        <f>REMUNERACION_ENERBIT!I106</f>
        <v>0</v>
      </c>
      <c r="J11" s="724">
        <f>REMUNERACION_ENERBIT!J106</f>
        <v>0</v>
      </c>
      <c r="K11" s="725">
        <f t="shared" si="0"/>
        <v>0</v>
      </c>
      <c r="L11" s="724">
        <f>REMUNERACION_ENERBIT!L106</f>
        <v>0</v>
      </c>
      <c r="M11" s="725">
        <f>K11-L11</f>
        <v>0</v>
      </c>
      <c r="N11" s="724">
        <f>REMUNERACION_ENERBIT!N106</f>
        <v>0</v>
      </c>
      <c r="O11" s="725">
        <f t="shared" si="1"/>
        <v>0</v>
      </c>
      <c r="Q11" s="4"/>
      <c r="S11" s="16">
        <v>3</v>
      </c>
      <c r="T11" s="62" t="s">
        <v>12</v>
      </c>
      <c r="U11" s="724">
        <f>REMUNERACION_ENERBIT!U106</f>
        <v>0</v>
      </c>
      <c r="V11" s="724">
        <f>REMUNERACION_ENERBIT!V106</f>
        <v>0</v>
      </c>
      <c r="W11" s="724">
        <f>REMUNERACION_ENERBIT!W106</f>
        <v>0</v>
      </c>
      <c r="X11" s="724">
        <f>REMUNERACION_ENERBIT!X106</f>
        <v>0</v>
      </c>
      <c r="Y11" s="724">
        <f>REMUNERACION_ENERBIT!Y106</f>
        <v>0</v>
      </c>
      <c r="Z11" s="724">
        <f>REMUNERACION_ENERBIT!Z106</f>
        <v>0</v>
      </c>
      <c r="AA11" s="724">
        <f>REMUNERACION_ENERBIT!AA106</f>
        <v>0</v>
      </c>
      <c r="AB11" s="724">
        <f>REMUNERACION_ENERBIT!AB106</f>
        <v>0</v>
      </c>
      <c r="AC11" s="724">
        <f>REMUNERACION_ENERBIT!AC106</f>
        <v>0</v>
      </c>
      <c r="AD11" s="724">
        <f>REMUNERACION_ENERBIT!AD106</f>
        <v>0</v>
      </c>
      <c r="AE11" s="724">
        <f>REMUNERACION_ENERBIT!AE106</f>
        <v>0</v>
      </c>
      <c r="AF11" s="723">
        <f>SUM(U11:AD11)</f>
        <v>0</v>
      </c>
      <c r="AG11" s="72">
        <f>AF11-O11</f>
        <v>0</v>
      </c>
      <c r="AH11" s="1" t="b">
        <f t="shared" si="2"/>
        <v>1</v>
      </c>
      <c r="AI11" s="4"/>
    </row>
    <row r="12" spans="2:35" x14ac:dyDescent="0.25">
      <c r="B12" s="16">
        <v>4</v>
      </c>
      <c r="C12" s="62" t="s">
        <v>13</v>
      </c>
      <c r="D12" s="66">
        <f>REMUNERACION_ENERBIT!D107</f>
        <v>0</v>
      </c>
      <c r="E12" s="66">
        <f>REMUNERACION_ENERBIT!E107</f>
        <v>0</v>
      </c>
      <c r="F12" s="66">
        <f>REMUNERACION_ENERBIT!F107</f>
        <v>0</v>
      </c>
      <c r="G12" s="66">
        <f>REMUNERACION_ENERBIT!G107</f>
        <v>0</v>
      </c>
      <c r="H12" s="66">
        <f>REMUNERACION_ENERBIT!H107</f>
        <v>0</v>
      </c>
      <c r="I12" s="66">
        <f>REMUNERACION_ENERBIT!I107</f>
        <v>0</v>
      </c>
      <c r="J12" s="66">
        <f>REMUNERACION_ENERBIT!J107</f>
        <v>0</v>
      </c>
      <c r="K12" s="31">
        <f t="shared" si="0"/>
        <v>0</v>
      </c>
      <c r="L12" s="66">
        <f>REMUNERACION_ENERBIT!L107</f>
        <v>0</v>
      </c>
      <c r="M12" s="31">
        <f>K12-L12</f>
        <v>0</v>
      </c>
      <c r="N12" s="66">
        <f>REMUNERACION_ENERBIT!N107</f>
        <v>0</v>
      </c>
      <c r="O12" s="31">
        <f t="shared" si="1"/>
        <v>0</v>
      </c>
      <c r="Q12" s="4"/>
      <c r="S12" s="16">
        <v>4</v>
      </c>
      <c r="T12" s="62" t="s">
        <v>13</v>
      </c>
      <c r="U12" s="66">
        <f>REMUNERACION_ENERBIT!U107</f>
        <v>0</v>
      </c>
      <c r="V12" s="66">
        <f>REMUNERACION_ENERBIT!V107</f>
        <v>0</v>
      </c>
      <c r="W12" s="66">
        <f>REMUNERACION_ENERBIT!W107</f>
        <v>0</v>
      </c>
      <c r="X12" s="66">
        <f>REMUNERACION_ENERBIT!X107</f>
        <v>0</v>
      </c>
      <c r="Y12" s="66">
        <f>REMUNERACION_ENERBIT!Y107</f>
        <v>0</v>
      </c>
      <c r="Z12" s="66">
        <f>REMUNERACION_ENERBIT!Z107</f>
        <v>0</v>
      </c>
      <c r="AA12" s="66">
        <f>REMUNERACION_ENERBIT!AA107</f>
        <v>0</v>
      </c>
      <c r="AB12" s="66">
        <f>REMUNERACION_ENERBIT!AB107</f>
        <v>0</v>
      </c>
      <c r="AC12" s="66">
        <f>REMUNERACION_ENERBIT!AC107</f>
        <v>0</v>
      </c>
      <c r="AD12" s="66">
        <f>REMUNERACION_ENERBIT!AD107</f>
        <v>0</v>
      </c>
      <c r="AE12" s="66">
        <f>REMUNERACION_ENERBIT!AE107</f>
        <v>0</v>
      </c>
      <c r="AF12" s="70">
        <f>SUM(U12:AD12)</f>
        <v>0</v>
      </c>
      <c r="AG12" s="72">
        <f>AF12-O12</f>
        <v>0</v>
      </c>
      <c r="AH12" s="1" t="b">
        <f t="shared" si="2"/>
        <v>1</v>
      </c>
      <c r="AI12" s="4"/>
    </row>
    <row r="13" spans="2:35" ht="12" thickBot="1" x14ac:dyDescent="0.3">
      <c r="B13" s="19">
        <v>5</v>
      </c>
      <c r="C13" s="63" t="s">
        <v>14</v>
      </c>
      <c r="D13" s="66">
        <f>REMUNERACION_ENERBIT!D108</f>
        <v>126372775.04000001</v>
      </c>
      <c r="E13" s="66">
        <f>REMUNERACION_ENERBIT!E108</f>
        <v>8720551.6300000008</v>
      </c>
      <c r="F13" s="66">
        <f>REMUNERACION_ENERBIT!F108</f>
        <v>4857263.71</v>
      </c>
      <c r="G13" s="66">
        <f>REMUNERACION_ENERBIT!G108</f>
        <v>2598417</v>
      </c>
      <c r="H13" s="66">
        <f>REMUNERACION_ENERBIT!H108</f>
        <v>30682714.440000001</v>
      </c>
      <c r="I13" s="66">
        <f>REMUNERACION_ENERBIT!I108</f>
        <v>1156017.44</v>
      </c>
      <c r="J13" s="66">
        <f>REMUNERACION_ENERBIT!J108</f>
        <v>0</v>
      </c>
      <c r="K13" s="31">
        <f t="shared" si="0"/>
        <v>78357810.820000023</v>
      </c>
      <c r="L13" s="66">
        <f>REMUNERACION_ENERBIT!L108</f>
        <v>0</v>
      </c>
      <c r="M13" s="40">
        <f>K13-L13</f>
        <v>78357810.820000023</v>
      </c>
      <c r="N13" s="66">
        <f>REMUNERACION_ENERBIT!N108</f>
        <v>139.96</v>
      </c>
      <c r="O13" s="40">
        <f t="shared" si="1"/>
        <v>78357950.780000016</v>
      </c>
      <c r="Q13" s="4"/>
      <c r="S13" s="19">
        <v>5</v>
      </c>
      <c r="T13" s="63" t="s">
        <v>14</v>
      </c>
      <c r="U13" s="66">
        <f>REMUNERACION_ENERBIT!U108</f>
        <v>10077020.48</v>
      </c>
      <c r="V13" s="66">
        <f>REMUNERACION_ENERBIT!V108</f>
        <v>9898566.1699999999</v>
      </c>
      <c r="W13" s="66">
        <f>REMUNERACION_ENERBIT!W108</f>
        <v>52291951.810000002</v>
      </c>
      <c r="X13" s="66">
        <f>REMUNERACION_ENERBIT!X108</f>
        <v>25048291.640000001</v>
      </c>
      <c r="Y13" s="66">
        <f>REMUNERACION_ENERBIT!Y108</f>
        <v>1891089.15</v>
      </c>
      <c r="Z13" s="66">
        <f>REMUNERACION_ENERBIT!Z108</f>
        <v>0</v>
      </c>
      <c r="AA13" s="66">
        <f>REMUNERACION_ENERBIT!AA108</f>
        <v>2097.96</v>
      </c>
      <c r="AB13" s="66">
        <f>REMUNERACION_ENERBIT!AB108</f>
        <v>139.96</v>
      </c>
      <c r="AC13" s="66">
        <f>REMUNERACION_ENERBIT!AC108</f>
        <v>-0.02</v>
      </c>
      <c r="AD13" s="66">
        <f>REMUNERACION_ENERBIT!AD108</f>
        <v>-20851206.370000001</v>
      </c>
      <c r="AE13" s="66">
        <f>REMUNERACION_ENERBIT!AE108</f>
        <v>-20851206.370000001</v>
      </c>
      <c r="AF13" s="70">
        <f>SUM(U13:AD13)</f>
        <v>78357950.780000001</v>
      </c>
      <c r="AG13" s="72">
        <f>AF13-O13</f>
        <v>0</v>
      </c>
      <c r="AH13" s="1" t="b">
        <f t="shared" si="2"/>
        <v>1</v>
      </c>
      <c r="AI13" s="4"/>
    </row>
    <row r="14" spans="2:35" ht="13.5" thickBot="1" x14ac:dyDescent="0.35">
      <c r="B14" s="21"/>
      <c r="C14" s="22" t="s">
        <v>2</v>
      </c>
      <c r="D14" s="43">
        <f t="shared" ref="D14:O14" si="3">SUM(D9:D13)</f>
        <v>126372775.04000001</v>
      </c>
      <c r="E14" s="43">
        <f t="shared" si="3"/>
        <v>8720551.6300000008</v>
      </c>
      <c r="F14" s="43">
        <f t="shared" si="3"/>
        <v>4857263.71</v>
      </c>
      <c r="G14" s="43">
        <f t="shared" si="3"/>
        <v>2598417</v>
      </c>
      <c r="H14" s="43">
        <f t="shared" si="3"/>
        <v>30682714.440000001</v>
      </c>
      <c r="I14" s="43">
        <f t="shared" si="3"/>
        <v>1156017.44</v>
      </c>
      <c r="J14" s="43">
        <f t="shared" si="3"/>
        <v>0</v>
      </c>
      <c r="K14" s="32">
        <f t="shared" si="3"/>
        <v>78357810.820000023</v>
      </c>
      <c r="L14" s="23">
        <f t="shared" si="3"/>
        <v>0</v>
      </c>
      <c r="M14" s="76">
        <f t="shared" si="3"/>
        <v>78357810.820000023</v>
      </c>
      <c r="N14" s="23">
        <f t="shared" si="3"/>
        <v>139.96</v>
      </c>
      <c r="O14" s="76">
        <f t="shared" si="3"/>
        <v>78357950.780000016</v>
      </c>
      <c r="P14" s="2"/>
      <c r="Q14" s="4"/>
      <c r="S14" s="21"/>
      <c r="T14" s="22" t="s">
        <v>2</v>
      </c>
      <c r="U14" s="43">
        <f>SUM(U9:U13)</f>
        <v>10077020.48</v>
      </c>
      <c r="V14" s="43">
        <f t="shared" ref="V14:AG14" si="4">SUM(V9:V13)</f>
        <v>9898566.1699999999</v>
      </c>
      <c r="W14" s="43">
        <f t="shared" si="4"/>
        <v>52291951.810000002</v>
      </c>
      <c r="X14" s="43">
        <f t="shared" si="4"/>
        <v>25048291.640000001</v>
      </c>
      <c r="Y14" s="43">
        <f t="shared" si="4"/>
        <v>1891089.15</v>
      </c>
      <c r="Z14" s="43">
        <f t="shared" si="4"/>
        <v>0</v>
      </c>
      <c r="AA14" s="43">
        <f t="shared" si="4"/>
        <v>2097.96</v>
      </c>
      <c r="AB14" s="43">
        <f t="shared" si="4"/>
        <v>139.96</v>
      </c>
      <c r="AC14" s="43">
        <f t="shared" si="4"/>
        <v>-0.02</v>
      </c>
      <c r="AD14" s="43">
        <f t="shared" si="4"/>
        <v>-20851206.370000001</v>
      </c>
      <c r="AE14" s="43">
        <f>SUM(AE9:AE13)</f>
        <v>-20851206.370000001</v>
      </c>
      <c r="AF14" s="68">
        <f t="shared" si="4"/>
        <v>78357950.780000001</v>
      </c>
      <c r="AG14" s="43">
        <f t="shared" si="4"/>
        <v>0</v>
      </c>
      <c r="AH14" s="1" t="b">
        <f t="shared" si="2"/>
        <v>1</v>
      </c>
      <c r="AI14" s="4"/>
    </row>
    <row r="15" spans="2:35" ht="12" thickBot="1" x14ac:dyDescent="0.3">
      <c r="B15" s="2"/>
      <c r="C15" s="2"/>
      <c r="D15" s="24"/>
      <c r="E15" s="24"/>
      <c r="F15" s="24"/>
      <c r="G15" s="24"/>
      <c r="H15" s="24"/>
      <c r="I15" s="24"/>
      <c r="K15" s="24"/>
      <c r="L15" s="24"/>
      <c r="M15" s="24"/>
      <c r="N15" s="24"/>
      <c r="O15" s="24"/>
      <c r="Q15" s="4"/>
      <c r="S15" s="2"/>
      <c r="T15" s="2"/>
      <c r="U15" s="24"/>
      <c r="V15" s="24"/>
      <c r="W15" s="24"/>
      <c r="X15" s="24"/>
      <c r="Y15" s="24"/>
      <c r="AF15" s="24"/>
      <c r="AI15" s="4"/>
    </row>
    <row r="16" spans="2:35" ht="12" thickBot="1" x14ac:dyDescent="0.3">
      <c r="B16" s="2"/>
      <c r="C16" s="2"/>
      <c r="D16" s="24" t="s">
        <v>1</v>
      </c>
      <c r="E16" s="24"/>
      <c r="F16" s="24"/>
      <c r="G16" s="24"/>
      <c r="H16" s="24"/>
      <c r="I16" s="24"/>
      <c r="K16" s="24"/>
      <c r="L16" s="24"/>
      <c r="M16" s="24"/>
      <c r="N16" s="24"/>
      <c r="O16" s="24"/>
      <c r="Q16" s="4"/>
      <c r="Y16" s="86">
        <f>SUM(U14:Y14)</f>
        <v>99206919.250000015</v>
      </c>
      <c r="AA16" s="1" t="s">
        <v>1</v>
      </c>
      <c r="AB16" s="1" t="s">
        <v>1</v>
      </c>
      <c r="AD16" s="1" t="s">
        <v>1</v>
      </c>
      <c r="AF16" s="1" t="s">
        <v>1</v>
      </c>
      <c r="AI16" s="4"/>
    </row>
    <row r="17" spans="1:35" ht="64.5" customHeight="1" thickBot="1" x14ac:dyDescent="0.3">
      <c r="B17" s="2"/>
      <c r="C17" s="2"/>
      <c r="D17" s="24" t="s">
        <v>1</v>
      </c>
      <c r="E17" s="33"/>
      <c r="F17" s="33"/>
      <c r="G17" s="33"/>
      <c r="H17" s="33"/>
      <c r="I17" s="24"/>
      <c r="K17" s="24"/>
      <c r="L17" s="24"/>
      <c r="M17" s="24"/>
      <c r="N17" s="24"/>
      <c r="O17" s="24"/>
      <c r="Q17" s="4"/>
      <c r="U17" s="33"/>
      <c r="V17" s="33"/>
      <c r="W17" s="33"/>
      <c r="X17" s="33"/>
      <c r="AI17" s="4"/>
    </row>
    <row r="18" spans="1:35" x14ac:dyDescent="0.25">
      <c r="B18" s="2"/>
      <c r="C18" s="2"/>
      <c r="D18" s="24" t="s">
        <v>1</v>
      </c>
      <c r="E18" s="24" t="s">
        <v>1</v>
      </c>
      <c r="F18" s="24" t="s">
        <v>25</v>
      </c>
      <c r="G18" s="24"/>
      <c r="H18" s="24"/>
      <c r="I18" s="24"/>
      <c r="K18" s="24"/>
      <c r="L18" s="24"/>
      <c r="M18" s="24"/>
      <c r="N18" s="24"/>
      <c r="O18" s="24"/>
      <c r="Q18" s="4"/>
      <c r="U18" s="24" t="s">
        <v>1</v>
      </c>
      <c r="V18" s="24" t="s">
        <v>25</v>
      </c>
      <c r="W18" s="24"/>
      <c r="X18" s="24"/>
      <c r="AI18" s="4"/>
    </row>
    <row r="19" spans="1:35" x14ac:dyDescent="0.25">
      <c r="A19" s="52"/>
      <c r="B19" s="53"/>
      <c r="C19" s="53"/>
      <c r="D19" s="54"/>
      <c r="E19" s="54"/>
      <c r="F19" s="54"/>
      <c r="G19" s="54"/>
      <c r="H19" s="54"/>
      <c r="I19" s="54"/>
      <c r="J19" s="52"/>
      <c r="K19" s="54"/>
      <c r="L19" s="54"/>
      <c r="M19" s="54"/>
      <c r="N19" s="54"/>
      <c r="O19" s="54"/>
      <c r="P19" s="52"/>
      <c r="Q19" s="52"/>
      <c r="R19" s="52"/>
      <c r="S19" s="52"/>
      <c r="T19" s="52"/>
      <c r="U19" s="52"/>
      <c r="V19" s="52"/>
      <c r="W19" s="52"/>
      <c r="X19" s="52"/>
      <c r="Y19" s="52"/>
      <c r="Z19" s="52"/>
      <c r="AA19" s="52"/>
      <c r="AB19" s="52"/>
      <c r="AC19" s="52"/>
      <c r="AD19" s="52"/>
      <c r="AE19" s="52"/>
      <c r="AF19" s="52"/>
      <c r="AG19" s="52"/>
      <c r="AH19" s="52"/>
      <c r="AI19" s="52"/>
    </row>
    <row r="20" spans="1:35" ht="12" thickBot="1" x14ac:dyDescent="0.3">
      <c r="Q20" s="4"/>
    </row>
    <row r="21" spans="1:35" x14ac:dyDescent="0.25">
      <c r="B21" s="5"/>
      <c r="C21" s="3" t="s">
        <v>1</v>
      </c>
      <c r="D21" s="6" t="s">
        <v>1</v>
      </c>
      <c r="E21" s="3"/>
      <c r="F21" s="3"/>
      <c r="G21" s="3"/>
      <c r="H21" s="3" t="s">
        <v>1</v>
      </c>
      <c r="I21" s="3"/>
      <c r="J21" s="3"/>
      <c r="K21" s="3"/>
      <c r="L21" s="3"/>
      <c r="M21" s="3"/>
      <c r="N21" s="3"/>
      <c r="O21" s="7"/>
      <c r="P21" s="2"/>
      <c r="Q21" s="35"/>
    </row>
    <row r="22" spans="1:35" ht="14" x14ac:dyDescent="0.3">
      <c r="B22" s="8"/>
      <c r="C22" s="2"/>
      <c r="D22" s="9"/>
      <c r="F22" s="26" t="s">
        <v>8</v>
      </c>
      <c r="G22" s="26"/>
      <c r="I22" s="26" t="s">
        <v>16</v>
      </c>
      <c r="J22" s="25"/>
      <c r="M22" s="2" t="s">
        <v>15</v>
      </c>
      <c r="N22" s="50">
        <f>REMUNERACION_ENERBIT!M117</f>
        <v>2026071</v>
      </c>
      <c r="O22" s="10"/>
      <c r="P22" s="2"/>
      <c r="Q22" s="4"/>
    </row>
    <row r="23" spans="1:35" ht="15.5" x14ac:dyDescent="0.35">
      <c r="B23" s="8"/>
      <c r="C23" s="2"/>
      <c r="D23" s="57"/>
      <c r="F23" s="36" t="s">
        <v>29</v>
      </c>
      <c r="G23" s="36"/>
      <c r="O23" s="10"/>
      <c r="P23" s="2"/>
      <c r="Q23" s="4"/>
    </row>
    <row r="24" spans="1:35" x14ac:dyDescent="0.25">
      <c r="B24" s="8"/>
      <c r="F24" s="2" t="s">
        <v>30</v>
      </c>
      <c r="G24" s="2"/>
      <c r="M24" s="2" t="s">
        <v>1</v>
      </c>
      <c r="O24" s="10"/>
      <c r="P24" s="2"/>
      <c r="Q24" s="4"/>
    </row>
    <row r="25" spans="1:35" x14ac:dyDescent="0.25">
      <c r="B25" s="8"/>
      <c r="I25" s="2"/>
      <c r="J25" s="2"/>
      <c r="O25" s="10"/>
      <c r="P25" s="2"/>
      <c r="Q25" s="4"/>
    </row>
    <row r="26" spans="1:35" ht="15.5" x14ac:dyDescent="0.35">
      <c r="B26" s="8"/>
      <c r="F26" s="41" t="s">
        <v>37</v>
      </c>
      <c r="G26" s="41"/>
      <c r="H26" s="2"/>
      <c r="J26" s="2"/>
      <c r="O26" s="10"/>
      <c r="P26" s="2"/>
      <c r="Q26" s="4"/>
    </row>
    <row r="27" spans="1:35" x14ac:dyDescent="0.25">
      <c r="B27" s="8"/>
      <c r="F27" s="2" t="s">
        <v>27</v>
      </c>
      <c r="G27" s="2"/>
      <c r="H27" s="9">
        <f>REMUNERACION_ENERBIT!G122</f>
        <v>46204</v>
      </c>
      <c r="J27" s="2" t="s">
        <v>28</v>
      </c>
      <c r="K27" s="9">
        <f>REMUNERACION_ENERBIT!K122</f>
        <v>46218</v>
      </c>
      <c r="O27" s="10"/>
      <c r="P27" s="2"/>
      <c r="Q27" s="4"/>
    </row>
    <row r="28" spans="1:35" ht="12" thickBot="1" x14ac:dyDescent="0.3">
      <c r="B28" s="8"/>
      <c r="C28" s="2" t="s">
        <v>1</v>
      </c>
      <c r="D28" s="2" t="s">
        <v>1</v>
      </c>
      <c r="J28" s="1" t="s">
        <v>1</v>
      </c>
      <c r="O28" s="44"/>
      <c r="P28" s="2"/>
      <c r="Q28" s="4"/>
    </row>
    <row r="29" spans="1:35" ht="46.5" thickBot="1" x14ac:dyDescent="0.3">
      <c r="B29" s="11" t="s">
        <v>3</v>
      </c>
      <c r="C29" s="12" t="s">
        <v>9</v>
      </c>
      <c r="D29" s="12" t="s">
        <v>38</v>
      </c>
      <c r="E29" s="12" t="s">
        <v>48</v>
      </c>
      <c r="G29" s="104" t="s">
        <v>47</v>
      </c>
      <c r="H29" s="73" t="s">
        <v>56</v>
      </c>
      <c r="I29" s="73" t="s">
        <v>130</v>
      </c>
      <c r="J29" s="73" t="s">
        <v>171</v>
      </c>
      <c r="K29" s="73" t="s">
        <v>143</v>
      </c>
      <c r="L29" s="73" t="s">
        <v>144</v>
      </c>
      <c r="O29" s="44"/>
      <c r="P29" s="13"/>
      <c r="Q29" s="4"/>
    </row>
    <row r="30" spans="1:35" x14ac:dyDescent="0.25">
      <c r="B30" s="108">
        <v>1</v>
      </c>
      <c r="C30" s="109" t="s">
        <v>10</v>
      </c>
      <c r="D30" s="110">
        <f>REMUNERACION_ENERBIT!D125</f>
        <v>0</v>
      </c>
      <c r="E30" s="111">
        <f>REMUNERACION_ENERBIT!E125</f>
        <v>0</v>
      </c>
      <c r="G30" s="339">
        <f>REMUNERACION_ENERBIT!G125</f>
        <v>0</v>
      </c>
      <c r="H30" s="313">
        <f>REMUNERACION_ENERBIT!H125</f>
        <v>0</v>
      </c>
      <c r="I30" s="312">
        <f>REMUNERACION_ENERBIT!I125</f>
        <v>0</v>
      </c>
      <c r="J30" s="312">
        <f>REMUNERACION_ENERBIT!J125</f>
        <v>0</v>
      </c>
      <c r="K30" s="312">
        <f>REMUNERACION_ENERBIT!K125</f>
        <v>0</v>
      </c>
      <c r="L30" s="312">
        <f>REMUNERACION_ENERBIT!L125</f>
        <v>0</v>
      </c>
      <c r="O30" s="44"/>
      <c r="Q30" s="4"/>
    </row>
    <row r="31" spans="1:35" x14ac:dyDescent="0.25">
      <c r="B31" s="16">
        <v>2</v>
      </c>
      <c r="C31" s="17" t="s">
        <v>11</v>
      </c>
      <c r="D31" s="15">
        <f>REMUNERACION_ENERBIT!D126</f>
        <v>0</v>
      </c>
      <c r="E31" s="74">
        <f>REMUNERACION_ENERBIT!E126</f>
        <v>0</v>
      </c>
      <c r="G31" s="342">
        <f>REMUNERACION_ENERBIT!G126</f>
        <v>0</v>
      </c>
      <c r="H31" s="343">
        <f>REMUNERACION_ENERBIT!H126</f>
        <v>0</v>
      </c>
      <c r="I31" s="291">
        <f>REMUNERACION_ENERBIT!I126</f>
        <v>0</v>
      </c>
      <c r="J31" s="291">
        <f>REMUNERACION_ENERBIT!J126</f>
        <v>0</v>
      </c>
      <c r="K31" s="291">
        <f>REMUNERACION_ENERBIT!K126</f>
        <v>0</v>
      </c>
      <c r="L31" s="291">
        <f>REMUNERACION_ENERBIT!L126</f>
        <v>0</v>
      </c>
      <c r="O31" s="44"/>
      <c r="Q31" s="4"/>
    </row>
    <row r="32" spans="1:35" x14ac:dyDescent="0.25">
      <c r="B32" s="16">
        <v>3</v>
      </c>
      <c r="C32" s="17" t="s">
        <v>12</v>
      </c>
      <c r="D32" s="15">
        <f>REMUNERACION_ENERBIT!D127</f>
        <v>0</v>
      </c>
      <c r="E32" s="74">
        <f>REMUNERACION_ENERBIT!E127</f>
        <v>0</v>
      </c>
      <c r="G32" s="342">
        <f>REMUNERACION_ENERBIT!G127</f>
        <v>0</v>
      </c>
      <c r="H32" s="343">
        <f>REMUNERACION_ENERBIT!H127</f>
        <v>0</v>
      </c>
      <c r="I32" s="291">
        <f>REMUNERACION_ENERBIT!I127</f>
        <v>0</v>
      </c>
      <c r="J32" s="291">
        <f>REMUNERACION_ENERBIT!J127</f>
        <v>0</v>
      </c>
      <c r="K32" s="291">
        <f>REMUNERACION_ENERBIT!K127</f>
        <v>0</v>
      </c>
      <c r="L32" s="291">
        <f>REMUNERACION_ENERBIT!L127</f>
        <v>0</v>
      </c>
      <c r="O32" s="44"/>
      <c r="Q32" s="4"/>
    </row>
    <row r="33" spans="1:20" x14ac:dyDescent="0.25">
      <c r="B33" s="16">
        <v>4</v>
      </c>
      <c r="C33" s="17" t="s">
        <v>13</v>
      </c>
      <c r="D33" s="15">
        <f>REMUNERACION_ENERBIT!D128</f>
        <v>0</v>
      </c>
      <c r="E33" s="74">
        <f>REMUNERACION_ENERBIT!E128</f>
        <v>0</v>
      </c>
      <c r="G33" s="342">
        <f>REMUNERACION_ENERBIT!G128</f>
        <v>0</v>
      </c>
      <c r="H33" s="343">
        <f>REMUNERACION_ENERBIT!H128</f>
        <v>0</v>
      </c>
      <c r="I33" s="291">
        <f>REMUNERACION_ENERBIT!I128</f>
        <v>0</v>
      </c>
      <c r="J33" s="291">
        <f>REMUNERACION_ENERBIT!J128</f>
        <v>0</v>
      </c>
      <c r="K33" s="291">
        <f>REMUNERACION_ENERBIT!K128</f>
        <v>0</v>
      </c>
      <c r="L33" s="291">
        <f>REMUNERACION_ENERBIT!L128</f>
        <v>0</v>
      </c>
      <c r="O33" s="44"/>
      <c r="Q33" s="4"/>
    </row>
    <row r="34" spans="1:20" x14ac:dyDescent="0.25">
      <c r="B34" s="133">
        <v>5</v>
      </c>
      <c r="C34" s="138" t="s">
        <v>14</v>
      </c>
      <c r="D34" s="135">
        <f>REMUNERACION_ENERBIT!D129</f>
        <v>3163741</v>
      </c>
      <c r="E34" s="139">
        <f>REMUNERACION_ENERBIT!E129</f>
        <v>0</v>
      </c>
      <c r="G34" s="342">
        <f>REMUNERACION_ENERBIT!G129</f>
        <v>0</v>
      </c>
      <c r="H34" s="343">
        <f>REMUNERACION_ENERBIT!H129</f>
        <v>0</v>
      </c>
      <c r="I34" s="291">
        <f>REMUNERACION_ENERBIT!I129</f>
        <v>0</v>
      </c>
      <c r="J34" s="291">
        <f>REMUNERACION_ENERBIT!J129</f>
        <v>0</v>
      </c>
      <c r="K34" s="291">
        <f>REMUNERACION_ENERBIT!K129</f>
        <v>0</v>
      </c>
      <c r="L34" s="291">
        <f>REMUNERACION_ENERBIT!L129</f>
        <v>0</v>
      </c>
      <c r="O34" s="44"/>
      <c r="Q34" s="4"/>
    </row>
    <row r="35" spans="1:20" ht="12" thickBot="1" x14ac:dyDescent="0.3">
      <c r="B35" s="19" t="s">
        <v>89</v>
      </c>
      <c r="C35" s="20" t="s">
        <v>113</v>
      </c>
      <c r="D35" s="78"/>
      <c r="E35" s="79">
        <f>REMUNERACION_ENERBIT!E130</f>
        <v>0</v>
      </c>
      <c r="G35" s="349"/>
      <c r="H35" s="350"/>
      <c r="I35" s="292"/>
      <c r="J35" s="292"/>
      <c r="K35" s="292"/>
      <c r="L35" s="292"/>
      <c r="O35" s="44"/>
      <c r="Q35" s="4"/>
    </row>
    <row r="36" spans="1:20" ht="12" thickBot="1" x14ac:dyDescent="0.3">
      <c r="B36" s="95"/>
      <c r="C36" s="106" t="s">
        <v>2</v>
      </c>
      <c r="D36" s="107">
        <f t="shared" ref="D36" si="5">SUM(D30:D34)</f>
        <v>3163741</v>
      </c>
      <c r="E36" s="107">
        <f>REMUNERACION_ENERBIT!E131</f>
        <v>0</v>
      </c>
      <c r="F36" s="45"/>
      <c r="G36" s="353">
        <f t="shared" ref="G36:L36" si="6">SUM(G30:G34)</f>
        <v>0</v>
      </c>
      <c r="H36" s="353">
        <f t="shared" si="6"/>
        <v>0</v>
      </c>
      <c r="I36" s="353">
        <f t="shared" si="6"/>
        <v>0</v>
      </c>
      <c r="J36" s="353">
        <f t="shared" si="6"/>
        <v>0</v>
      </c>
      <c r="K36" s="353">
        <f t="shared" si="6"/>
        <v>0</v>
      </c>
      <c r="L36" s="353">
        <f t="shared" si="6"/>
        <v>0</v>
      </c>
      <c r="M36" s="45"/>
      <c r="N36" s="45"/>
      <c r="O36" s="46"/>
      <c r="P36" s="2"/>
      <c r="Q36" s="4"/>
    </row>
    <row r="37" spans="1:20" x14ac:dyDescent="0.25">
      <c r="B37" s="2"/>
      <c r="C37" s="2"/>
      <c r="D37" s="24"/>
      <c r="Q37" s="4"/>
    </row>
    <row r="38" spans="1:20" x14ac:dyDescent="0.25">
      <c r="B38" s="2"/>
      <c r="C38" s="2"/>
      <c r="D38" s="24"/>
      <c r="L38" s="1" t="s">
        <v>1</v>
      </c>
      <c r="Q38" s="4"/>
    </row>
    <row r="39" spans="1:20" ht="64.5" customHeight="1" thickBot="1" x14ac:dyDescent="0.3">
      <c r="B39" s="2"/>
      <c r="C39" s="2"/>
      <c r="D39" s="24"/>
      <c r="E39" s="33"/>
      <c r="F39" s="33"/>
      <c r="G39" s="33"/>
      <c r="H39" s="33"/>
      <c r="I39" s="24"/>
      <c r="K39" s="24"/>
      <c r="L39" s="24" t="s">
        <v>1</v>
      </c>
      <c r="M39" s="24" t="s">
        <v>1</v>
      </c>
      <c r="N39" s="24"/>
      <c r="O39" s="24"/>
      <c r="Q39" s="4"/>
    </row>
    <row r="40" spans="1:20" x14ac:dyDescent="0.25">
      <c r="B40" s="2"/>
      <c r="C40" s="2"/>
      <c r="D40" s="24"/>
      <c r="E40" s="24" t="s">
        <v>1</v>
      </c>
      <c r="F40" s="42" t="s">
        <v>36</v>
      </c>
      <c r="G40" s="42"/>
      <c r="H40" s="42"/>
      <c r="I40" s="24"/>
      <c r="K40" s="24"/>
      <c r="L40" s="24"/>
      <c r="M40" s="24"/>
      <c r="N40" s="24"/>
      <c r="O40" s="24"/>
      <c r="Q40" s="4"/>
    </row>
    <row r="41" spans="1:20" x14ac:dyDescent="0.25">
      <c r="A41" s="52"/>
      <c r="B41" s="53"/>
      <c r="C41" s="53"/>
      <c r="D41" s="54"/>
      <c r="E41" s="54"/>
      <c r="F41" s="54"/>
      <c r="G41" s="54"/>
      <c r="H41" s="54"/>
      <c r="I41" s="54"/>
      <c r="J41" s="52"/>
      <c r="K41" s="54"/>
      <c r="L41" s="54"/>
      <c r="M41" s="54"/>
      <c r="N41" s="54"/>
      <c r="O41" s="54"/>
      <c r="P41" s="52"/>
      <c r="Q41" s="4"/>
    </row>
    <row r="42" spans="1:20" x14ac:dyDescent="0.25">
      <c r="N42" s="24"/>
      <c r="O42" s="24"/>
      <c r="Q42" s="24"/>
      <c r="T42" s="24"/>
    </row>
    <row r="43" spans="1:20" x14ac:dyDescent="0.25">
      <c r="N43" s="24"/>
      <c r="O43" s="24"/>
      <c r="Q43" s="24"/>
      <c r="T43" s="24"/>
    </row>
    <row r="44" spans="1:20" x14ac:dyDescent="0.25">
      <c r="N44" s="24"/>
      <c r="O44" s="24"/>
      <c r="Q44" s="24"/>
      <c r="T44" s="24"/>
    </row>
    <row r="45" spans="1:20" x14ac:dyDescent="0.25">
      <c r="D45" s="270" t="b">
        <f>D14=REMUNERACION_ENERBIT!D109</f>
        <v>1</v>
      </c>
      <c r="E45" s="270" t="b">
        <f>E14=REMUNERACION_ENERBIT!E109</f>
        <v>1</v>
      </c>
      <c r="F45" s="270" t="b">
        <f>F14=REMUNERACION_ENERBIT!F109</f>
        <v>1</v>
      </c>
      <c r="G45" s="270" t="b">
        <f>G14=REMUNERACION_ENERBIT!G109</f>
        <v>1</v>
      </c>
      <c r="H45" s="270" t="b">
        <f>H14=REMUNERACION_ENERBIT!H109</f>
        <v>1</v>
      </c>
      <c r="I45" s="270" t="b">
        <f>I14=REMUNERACION_ENERBIT!I109</f>
        <v>1</v>
      </c>
      <c r="J45" s="270" t="b">
        <f>J14=REMUNERACION_ENERBIT!J109</f>
        <v>1</v>
      </c>
      <c r="K45" s="270" t="b">
        <f>K14=REMUNERACION_ENERBIT!K109</f>
        <v>1</v>
      </c>
      <c r="L45" s="270" t="b">
        <f>L14=REMUNERACION_ENERBIT!L109</f>
        <v>1</v>
      </c>
      <c r="M45" s="270" t="b">
        <f>M14=REMUNERACION_ENERBIT!M109</f>
        <v>1</v>
      </c>
      <c r="N45" s="270" t="b">
        <f>N14=REMUNERACION_ENERBIT!N109</f>
        <v>1</v>
      </c>
      <c r="O45" s="270" t="b">
        <f>O14=REMUNERACION_ENERBIT!O109</f>
        <v>1</v>
      </c>
      <c r="Q45" s="24"/>
      <c r="T45" s="24"/>
    </row>
    <row r="46" spans="1:20" x14ac:dyDescent="0.25">
      <c r="D46" s="270" t="b">
        <f>D36=REMUNERACION_ENERBIT!D131</f>
        <v>1</v>
      </c>
      <c r="E46" s="270" t="b">
        <f>E36=REMUNERACION_ENERBIT!E131</f>
        <v>1</v>
      </c>
      <c r="F46" s="270" t="b">
        <f>F36=REMUNERACION_ENERBIT!F131</f>
        <v>1</v>
      </c>
      <c r="G46" s="270" t="b">
        <f>G36=REMUNERACION_ENERBIT!G131</f>
        <v>1</v>
      </c>
      <c r="H46" s="270" t="b">
        <f>H36=REMUNERACION_ENERBIT!H131</f>
        <v>1</v>
      </c>
      <c r="I46" s="270" t="b">
        <f>I36=REMUNERACION_ENERBIT!I131</f>
        <v>1</v>
      </c>
      <c r="J46" s="270" t="b">
        <f>J36=REMUNERACION_ENERBIT!J131</f>
        <v>1</v>
      </c>
      <c r="K46" s="270" t="b">
        <f>K36=REMUNERACION_ENERBIT!K131</f>
        <v>1</v>
      </c>
      <c r="L46" s="270" t="b">
        <f>L36=REMUNERACION_ENERBIT!L131</f>
        <v>1</v>
      </c>
      <c r="M46" s="270" t="b">
        <f>M36=REMUNERACION_ENERBIT!M131</f>
        <v>1</v>
      </c>
      <c r="N46" s="270" t="b">
        <f>N36=REMUNERACION_ENERBIT!N131</f>
        <v>1</v>
      </c>
      <c r="O46" s="270" t="b">
        <f>O36=REMUNERACION_ENERBIT!O131</f>
        <v>1</v>
      </c>
      <c r="Q46" s="24"/>
      <c r="T46" s="24"/>
    </row>
    <row r="47" spans="1:20" x14ac:dyDescent="0.25">
      <c r="N47" s="24"/>
      <c r="O47" s="24"/>
      <c r="Q47" s="24"/>
      <c r="T47" s="24"/>
    </row>
    <row r="48" spans="1:20" x14ac:dyDescent="0.25">
      <c r="N48" s="24"/>
      <c r="O48" s="24"/>
      <c r="Q48" s="24"/>
      <c r="T48" s="24"/>
    </row>
    <row r="49" spans="14:20" x14ac:dyDescent="0.25">
      <c r="N49" s="24"/>
      <c r="O49" s="24"/>
      <c r="Q49" s="24"/>
      <c r="T49" s="24"/>
    </row>
    <row r="50" spans="14:20" x14ac:dyDescent="0.25">
      <c r="N50" s="24"/>
      <c r="O50" s="24"/>
      <c r="Q50" s="24"/>
      <c r="T50" s="24"/>
    </row>
    <row r="51" spans="14:20" x14ac:dyDescent="0.25">
      <c r="Q51" s="24"/>
      <c r="T51" s="24"/>
    </row>
    <row r="52" spans="14:20" x14ac:dyDescent="0.25">
      <c r="Q52" s="24"/>
    </row>
  </sheetData>
  <conditionalFormatting sqref="AH9:AH14">
    <cfRule type="cellIs" dxfId="30" priority="1" operator="notEqual">
      <formula>TRUE</formula>
    </cfRule>
  </conditionalFormatting>
  <printOptions horizontalCentered="1" verticalCentered="1"/>
  <pageMargins left="0.55118110236220474" right="0.74803149606299213" top="0.59055118110236227" bottom="0.78740157480314965" header="0" footer="0"/>
  <pageSetup scale="24" orientation="landscape" r:id="rId1"/>
  <headerFooter alignWithMargins="0"/>
  <drawing r:id="rId2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tabColor rgb="FF7030A0"/>
    <pageSetUpPr fitToPage="1"/>
  </sheetPr>
  <dimension ref="A1:AJ165"/>
  <sheetViews>
    <sheetView topLeftCell="A94" zoomScaleNormal="100" workbookViewId="0">
      <selection activeCell="A128" sqref="A128"/>
    </sheetView>
  </sheetViews>
  <sheetFormatPr baseColWidth="10" defaultColWidth="11.453125" defaultRowHeight="11.5" x14ac:dyDescent="0.25"/>
  <cols>
    <col min="1" max="1" width="3" style="1" customWidth="1"/>
    <col min="2" max="2" width="4.453125" style="1" bestFit="1" customWidth="1"/>
    <col min="3" max="3" width="36.7265625" style="1" customWidth="1"/>
    <col min="4" max="4" width="15.26953125" style="1" customWidth="1"/>
    <col min="5" max="5" width="16" style="1" customWidth="1"/>
    <col min="6" max="7" width="14.7265625" style="1" customWidth="1"/>
    <col min="8" max="9" width="16" style="1" customWidth="1"/>
    <col min="10" max="10" width="15.54296875" style="1" customWidth="1"/>
    <col min="11" max="11" width="17.54296875" style="1" customWidth="1"/>
    <col min="12" max="12" width="20" style="1" bestFit="1" customWidth="1"/>
    <col min="13" max="13" width="21" style="1" bestFit="1" customWidth="1"/>
    <col min="14" max="14" width="15.26953125" style="1" customWidth="1"/>
    <col min="15" max="15" width="16.7265625" style="1" customWidth="1"/>
    <col min="16" max="16" width="3.7265625" style="1" customWidth="1"/>
    <col min="17" max="17" width="2.7265625" style="1" customWidth="1"/>
    <col min="18" max="18" width="4.54296875" style="1" customWidth="1"/>
    <col min="19" max="19" width="11.26953125" style="1" customWidth="1"/>
    <col min="20" max="20" width="37.54296875" style="1" bestFit="1" customWidth="1"/>
    <col min="21" max="21" width="19.26953125" style="1" customWidth="1"/>
    <col min="22" max="22" width="17.7265625" style="1" customWidth="1"/>
    <col min="23" max="23" width="16.453125" style="1" customWidth="1"/>
    <col min="24" max="24" width="17.26953125" style="1" customWidth="1"/>
    <col min="25" max="25" width="15.7265625" style="1" customWidth="1"/>
    <col min="26" max="26" width="16" style="1" customWidth="1"/>
    <col min="27" max="27" width="15" style="1" customWidth="1"/>
    <col min="28" max="29" width="16.7265625" style="1" customWidth="1"/>
    <col min="30" max="31" width="15.453125" style="1" customWidth="1"/>
    <col min="32" max="32" width="16.26953125" style="1" customWidth="1"/>
    <col min="33" max="33" width="18.26953125" style="1" customWidth="1"/>
    <col min="34" max="34" width="13.7265625" style="1" customWidth="1"/>
    <col min="35" max="35" width="3.453125" style="1" customWidth="1"/>
    <col min="36" max="36" width="13.7265625" style="1" bestFit="1" customWidth="1"/>
    <col min="37" max="16384" width="11.453125" style="1"/>
  </cols>
  <sheetData>
    <row r="1" spans="2:35" ht="12" thickBot="1" x14ac:dyDescent="0.3">
      <c r="Q1" s="4"/>
      <c r="AI1" s="4"/>
    </row>
    <row r="2" spans="2:35" x14ac:dyDescent="0.25">
      <c r="B2" s="5"/>
      <c r="C2" s="3" t="s">
        <v>1</v>
      </c>
      <c r="D2" s="6" t="s">
        <v>1</v>
      </c>
      <c r="E2" s="3"/>
      <c r="F2" s="3"/>
      <c r="G2" s="3"/>
      <c r="H2" s="3" t="s">
        <v>1</v>
      </c>
      <c r="I2" s="3"/>
      <c r="J2" s="3"/>
      <c r="K2" s="3"/>
      <c r="L2" s="3"/>
      <c r="M2" s="3"/>
      <c r="N2" s="3"/>
      <c r="O2" s="7"/>
      <c r="P2" s="2"/>
      <c r="Q2" s="4"/>
      <c r="S2" s="5"/>
      <c r="T2" s="3" t="s">
        <v>1</v>
      </c>
      <c r="U2" s="6" t="s">
        <v>1</v>
      </c>
      <c r="V2" s="3"/>
      <c r="W2" s="3"/>
      <c r="X2" s="3" t="s">
        <v>1</v>
      </c>
      <c r="Y2" s="3"/>
      <c r="Z2" s="3"/>
      <c r="AA2" s="3"/>
      <c r="AB2" s="3"/>
      <c r="AC2" s="3"/>
      <c r="AD2" s="3"/>
      <c r="AE2" s="3"/>
      <c r="AF2" s="7"/>
      <c r="AG2" s="2"/>
      <c r="AI2" s="4"/>
    </row>
    <row r="3" spans="2:35" ht="14" x14ac:dyDescent="0.3">
      <c r="B3" s="8"/>
      <c r="F3" s="26" t="s">
        <v>8</v>
      </c>
      <c r="G3" s="26"/>
      <c r="I3" s="26" t="s">
        <v>16</v>
      </c>
      <c r="J3" s="25"/>
      <c r="M3" s="2" t="s">
        <v>15</v>
      </c>
      <c r="N3" s="50">
        <f>'CONSOLIDADO_TOTAL RECAUDO'!N3</f>
        <v>2026071</v>
      </c>
      <c r="O3" s="10"/>
      <c r="P3" s="2"/>
      <c r="Q3" s="4"/>
      <c r="S3" s="8"/>
      <c r="U3" s="26" t="s">
        <v>8</v>
      </c>
      <c r="W3" s="26" t="s">
        <v>16</v>
      </c>
      <c r="X3" s="25"/>
      <c r="Y3" s="2"/>
      <c r="AA3" s="2" t="s">
        <v>15</v>
      </c>
      <c r="AD3" s="84">
        <f>N3</f>
        <v>2026071</v>
      </c>
      <c r="AE3" s="84"/>
      <c r="AF3" s="48"/>
      <c r="AG3" s="2"/>
      <c r="AI3" s="4"/>
    </row>
    <row r="4" spans="2:35" ht="15.5" x14ac:dyDescent="0.35">
      <c r="B4" s="8"/>
      <c r="F4" s="36" t="s">
        <v>29</v>
      </c>
      <c r="G4" s="36"/>
      <c r="O4" s="10"/>
      <c r="P4" s="2"/>
      <c r="Q4" s="4"/>
      <c r="S4" s="8"/>
      <c r="T4" s="26" t="s">
        <v>1</v>
      </c>
      <c r="U4" s="36" t="s">
        <v>29</v>
      </c>
      <c r="Y4" s="2" t="s">
        <v>1</v>
      </c>
      <c r="AA4" s="50" t="s">
        <v>1</v>
      </c>
      <c r="AB4" s="2"/>
      <c r="AC4" s="2"/>
      <c r="AD4" s="2"/>
      <c r="AE4" s="2"/>
      <c r="AF4" s="10" t="s">
        <v>1</v>
      </c>
      <c r="AG4" s="2"/>
      <c r="AI4" s="4"/>
    </row>
    <row r="5" spans="2:35" ht="14" x14ac:dyDescent="0.3">
      <c r="B5" s="8"/>
      <c r="F5" s="2" t="s">
        <v>30</v>
      </c>
      <c r="G5" s="2"/>
      <c r="M5" s="2" t="s">
        <v>1</v>
      </c>
      <c r="O5" s="10"/>
      <c r="P5" s="2"/>
      <c r="Q5" s="4"/>
      <c r="S5" s="8"/>
      <c r="T5" s="49" t="s">
        <v>1</v>
      </c>
      <c r="U5" s="2" t="s">
        <v>30</v>
      </c>
      <c r="AF5" s="44"/>
      <c r="AG5" s="2"/>
      <c r="AI5" s="4"/>
    </row>
    <row r="6" spans="2:35" ht="15.5" x14ac:dyDescent="0.35">
      <c r="B6" s="8"/>
      <c r="C6" s="591" t="s">
        <v>17</v>
      </c>
      <c r="D6" s="9">
        <f>'CONSOLIDADO_TOTAL RECAUDO'!D6</f>
        <v>46220</v>
      </c>
      <c r="F6" s="41" t="s">
        <v>26</v>
      </c>
      <c r="G6" s="41"/>
      <c r="H6" s="2"/>
      <c r="J6" s="2"/>
      <c r="O6" s="10"/>
      <c r="P6" s="2"/>
      <c r="Q6" s="4"/>
      <c r="S6" s="8"/>
      <c r="T6" s="41" t="s">
        <v>1</v>
      </c>
      <c r="U6" s="41" t="s">
        <v>26</v>
      </c>
      <c r="V6" s="2"/>
      <c r="X6" s="2"/>
      <c r="Y6" s="2"/>
      <c r="AF6" s="48"/>
      <c r="AG6" s="2"/>
      <c r="AI6" s="4"/>
    </row>
    <row r="7" spans="2:35" ht="12" thickBot="1" x14ac:dyDescent="0.3">
      <c r="B7" s="8"/>
      <c r="C7" s="591" t="s">
        <v>0</v>
      </c>
      <c r="D7" s="241">
        <f>'CONSOLIDADO_TOTAL RECAUDO'!D7</f>
        <v>0.58333333333333337</v>
      </c>
      <c r="F7" s="2" t="s">
        <v>27</v>
      </c>
      <c r="G7" s="9">
        <f>'CONSOLIDADO_TOTAL RECAUDO'!G7</f>
        <v>46204</v>
      </c>
      <c r="J7" s="2" t="s">
        <v>28</v>
      </c>
      <c r="K7" s="9">
        <f>'CONSOLIDADO_TOTAL RECAUDO'!K7</f>
        <v>46218</v>
      </c>
      <c r="O7" s="10"/>
      <c r="P7" s="2"/>
      <c r="Q7" s="4"/>
      <c r="S7" s="8"/>
      <c r="U7" s="1" t="str">
        <f>F7</f>
        <v>Fecha Desde:</v>
      </c>
      <c r="V7" s="9">
        <f>G7</f>
        <v>46204</v>
      </c>
      <c r="W7" s="1" t="s">
        <v>1</v>
      </c>
      <c r="X7" s="1" t="str">
        <f>J7</f>
        <v>Feha Hasta:</v>
      </c>
      <c r="Y7" s="9">
        <f>K7</f>
        <v>46218</v>
      </c>
      <c r="Z7" s="1" t="s">
        <v>1</v>
      </c>
      <c r="AF7" s="48"/>
      <c r="AG7" s="2"/>
      <c r="AI7" s="4"/>
    </row>
    <row r="8" spans="2:35" ht="72" customHeight="1" thickBot="1" x14ac:dyDescent="0.3">
      <c r="B8" s="11" t="s">
        <v>3</v>
      </c>
      <c r="C8" s="27" t="s">
        <v>9</v>
      </c>
      <c r="D8" s="11" t="s">
        <v>4</v>
      </c>
      <c r="E8" s="12" t="s">
        <v>5</v>
      </c>
      <c r="F8" s="27" t="s">
        <v>6</v>
      </c>
      <c r="G8" s="27" t="s">
        <v>159</v>
      </c>
      <c r="H8" s="27" t="s">
        <v>18</v>
      </c>
      <c r="I8" s="12" t="s">
        <v>24</v>
      </c>
      <c r="J8" s="73" t="s">
        <v>19</v>
      </c>
      <c r="K8" s="29" t="s">
        <v>20</v>
      </c>
      <c r="L8" s="28" t="s">
        <v>21</v>
      </c>
      <c r="M8" s="39" t="s">
        <v>22</v>
      </c>
      <c r="N8" s="12" t="s">
        <v>7</v>
      </c>
      <c r="O8" s="39" t="s">
        <v>23</v>
      </c>
      <c r="P8" s="13"/>
      <c r="Q8" s="4"/>
      <c r="S8" s="11" t="s">
        <v>3</v>
      </c>
      <c r="T8" s="27" t="s">
        <v>9</v>
      </c>
      <c r="U8" s="162" t="s">
        <v>39</v>
      </c>
      <c r="V8" s="163" t="s">
        <v>40</v>
      </c>
      <c r="W8" s="163" t="s">
        <v>41</v>
      </c>
      <c r="X8" s="163" t="s">
        <v>42</v>
      </c>
      <c r="Y8" s="164" t="s">
        <v>43</v>
      </c>
      <c r="Z8" s="85" t="s">
        <v>21</v>
      </c>
      <c r="AA8" s="65" t="s">
        <v>46</v>
      </c>
      <c r="AB8" s="65" t="s">
        <v>7</v>
      </c>
      <c r="AC8" s="85" t="s">
        <v>167</v>
      </c>
      <c r="AD8" s="121" t="s">
        <v>107</v>
      </c>
      <c r="AE8" s="121" t="s">
        <v>225</v>
      </c>
      <c r="AF8" s="39" t="s">
        <v>23</v>
      </c>
      <c r="AG8" s="13"/>
      <c r="AI8" s="4"/>
    </row>
    <row r="9" spans="2:35" s="308" customFormat="1" x14ac:dyDescent="0.25">
      <c r="B9" s="306">
        <v>1</v>
      </c>
      <c r="C9" s="307" t="s">
        <v>10</v>
      </c>
      <c r="D9" s="294">
        <f>'Reporte Componentes R1'!F66</f>
        <v>524136930.28000003</v>
      </c>
      <c r="E9" s="295">
        <f>'Reporte Componentes R1'!G66</f>
        <v>71733039.459999993</v>
      </c>
      <c r="F9" s="295">
        <f>'Reporte Componentes R1'!H66</f>
        <v>38435503.43</v>
      </c>
      <c r="G9" s="295">
        <f>'Reporte Componentes R1'!I66</f>
        <v>20834248.489999998</v>
      </c>
      <c r="H9" s="295">
        <f>'Reporte Componentes R1'!J66</f>
        <v>34948995.039999999</v>
      </c>
      <c r="I9" s="295">
        <f>'Reporte Componentes R1'!K66</f>
        <v>1127126.03</v>
      </c>
      <c r="J9" s="291">
        <v>0</v>
      </c>
      <c r="K9" s="296">
        <f>D9-E9-F9-G9-H9-I9-J9</f>
        <v>357058017.83000004</v>
      </c>
      <c r="L9" s="297">
        <v>0</v>
      </c>
      <c r="M9" s="296">
        <f>K9-L9</f>
        <v>357058017.83000004</v>
      </c>
      <c r="N9" s="297">
        <f>'Reporte Componentes R1'!L66</f>
        <v>3871794.53</v>
      </c>
      <c r="O9" s="296">
        <f>M9+N9</f>
        <v>360929812.36000001</v>
      </c>
      <c r="Q9" s="309"/>
      <c r="S9" s="306">
        <v>1</v>
      </c>
      <c r="T9" s="307" t="s">
        <v>10</v>
      </c>
      <c r="U9" s="310">
        <f>'Reporte Componentes R1'!M66</f>
        <v>9868870.5099999998</v>
      </c>
      <c r="V9" s="311">
        <f>'Reporte Componentes R1'!N66</f>
        <v>11725220.93</v>
      </c>
      <c r="W9" s="311">
        <f>'Reporte Componentes R1'!O66</f>
        <v>54529049.049999997</v>
      </c>
      <c r="X9" s="311">
        <f>'Reporte Componentes R1'!P66</f>
        <v>196628825.31999999</v>
      </c>
      <c r="Y9" s="312">
        <f>'Reporte Componentes R1'!Q66</f>
        <v>1839612.56</v>
      </c>
      <c r="Z9" s="313">
        <f>L9*-1</f>
        <v>0</v>
      </c>
      <c r="AA9" s="314">
        <f>'Reporte Componentes R1'!R66+'Reporte Componentes R1'!V66+'Reporte Componentes R1'!U66</f>
        <v>130.91999999999999</v>
      </c>
      <c r="AB9" s="297">
        <f>N9</f>
        <v>3871794.53</v>
      </c>
      <c r="AC9" s="314">
        <f>'Reporte Componentes R1'!T66+'Reporte Componentes R1'!W66+'Reporte Componentes R1'!X66+'Reporte Componentes R1'!Y66+'Reporte Componentes R1'!Z66+'Reporte Componentes R1'!S66</f>
        <v>0.05</v>
      </c>
      <c r="AD9" s="294">
        <f>-J9+AE9</f>
        <v>82466308.489999995</v>
      </c>
      <c r="AE9" s="294">
        <f>'Reporte Componentes R1'!F67</f>
        <v>82466308.489999995</v>
      </c>
      <c r="AF9" s="316">
        <f>SUM(U9:AD9)</f>
        <v>360929812.36000001</v>
      </c>
      <c r="AG9" s="314">
        <f>(AF9-O9)</f>
        <v>0</v>
      </c>
      <c r="AH9" s="1" t="b">
        <f>INT(AG9)=0</f>
        <v>1</v>
      </c>
      <c r="AI9" s="309"/>
    </row>
    <row r="10" spans="2:35" s="308" customFormat="1" x14ac:dyDescent="0.25">
      <c r="B10" s="317">
        <v>2</v>
      </c>
      <c r="C10" s="318" t="s">
        <v>11</v>
      </c>
      <c r="D10" s="294">
        <f>'Reporte Componentes R1'!F196</f>
        <v>381752310.90000004</v>
      </c>
      <c r="E10" s="295">
        <f>'Reporte Componentes R1'!G196</f>
        <v>50254234.219999999</v>
      </c>
      <c r="F10" s="295">
        <f>'Reporte Componentes R1'!H196</f>
        <v>27778121.539999999</v>
      </c>
      <c r="G10" s="295">
        <f>'Reporte Componentes R1'!I196</f>
        <v>14509266.430000002</v>
      </c>
      <c r="H10" s="295">
        <f>'Reporte Componentes R1'!J196</f>
        <v>67018188.349999994</v>
      </c>
      <c r="I10" s="295">
        <f>'Reporte Componentes R1'!K196</f>
        <v>1932558.03</v>
      </c>
      <c r="J10" s="291">
        <v>0</v>
      </c>
      <c r="K10" s="298">
        <f t="shared" ref="K10:K13" si="0">D10-E10-F10-G10-H10-I10-J10</f>
        <v>220259942.33000004</v>
      </c>
      <c r="L10" s="297">
        <v>0</v>
      </c>
      <c r="M10" s="298">
        <f>K10-L10</f>
        <v>220259942.33000004</v>
      </c>
      <c r="N10" s="297">
        <f>'Reporte Componentes R1'!L196</f>
        <v>8420063.0999999996</v>
      </c>
      <c r="O10" s="298">
        <f t="shared" ref="O10:O12" si="1">M10+N10</f>
        <v>228680005.43000004</v>
      </c>
      <c r="Q10" s="309"/>
      <c r="S10" s="317">
        <v>2</v>
      </c>
      <c r="T10" s="318" t="s">
        <v>11</v>
      </c>
      <c r="U10" s="319">
        <f>'Reporte Componentes R1'!M196</f>
        <v>17069406.370000001</v>
      </c>
      <c r="V10" s="320">
        <f>'Reporte Componentes R1'!N196</f>
        <v>22131946.599999998</v>
      </c>
      <c r="W10" s="320">
        <f>'Reporte Componentes R1'!O196</f>
        <v>99004569.799999997</v>
      </c>
      <c r="X10" s="320">
        <f>'Reporte Componentes R1'!P196</f>
        <v>99688310.170000002</v>
      </c>
      <c r="Y10" s="321">
        <f>'Reporte Componentes R1'!Q196</f>
        <v>3175343.9200000004</v>
      </c>
      <c r="Z10" s="322">
        <f>L10*-1</f>
        <v>0</v>
      </c>
      <c r="AA10" s="323">
        <f>'Reporte Componentes R1'!R196+'Reporte Componentes R1'!V196+'Reporte Componentes R1'!U196</f>
        <v>-1042.3499999999999</v>
      </c>
      <c r="AB10" s="297">
        <f>N10</f>
        <v>8420063.0999999996</v>
      </c>
      <c r="AC10" s="323">
        <f>'Reporte Componentes R1'!T196+'Reporte Componentes R1'!W196+'Reporte Componentes R1'!X196+'Reporte Componentes R1'!Y196+'Reporte Componentes R1'!Z196+'Reporte Componentes R1'!S196</f>
        <v>12.280000000000001</v>
      </c>
      <c r="AD10" s="294">
        <f t="shared" ref="AD10:AD13" si="2">-J10+AE10</f>
        <v>-20808604.460000001</v>
      </c>
      <c r="AE10" s="294">
        <f>'Reporte Componentes R1'!F197</f>
        <v>-20808604.460000001</v>
      </c>
      <c r="AF10" s="325">
        <f>SUM(U10:AD10)</f>
        <v>228680005.42999998</v>
      </c>
      <c r="AG10" s="326">
        <f>(AF10-O10)</f>
        <v>-5.9604644775390625E-8</v>
      </c>
      <c r="AH10" s="1" t="b">
        <f t="shared" ref="AH10:AH14" si="3">INT(AG10)=0</f>
        <v>0</v>
      </c>
      <c r="AI10" s="309"/>
    </row>
    <row r="11" spans="2:35" s="308" customFormat="1" x14ac:dyDescent="0.25">
      <c r="B11" s="317">
        <v>3</v>
      </c>
      <c r="C11" s="318" t="s">
        <v>12</v>
      </c>
      <c r="D11" s="294">
        <f>'Reporte Componentes R1'!F336</f>
        <v>453277723.13999993</v>
      </c>
      <c r="E11" s="295">
        <f>'Reporte Componentes R1'!G336</f>
        <v>56772378.130000003</v>
      </c>
      <c r="F11" s="295">
        <f>'Reporte Componentes R1'!H336</f>
        <v>31877051.110000003</v>
      </c>
      <c r="G11" s="295">
        <f>'Reporte Componentes R1'!I336</f>
        <v>16761987.439999999</v>
      </c>
      <c r="H11" s="295">
        <f>'Reporte Componentes R1'!J336</f>
        <v>16627086.26</v>
      </c>
      <c r="I11" s="295">
        <f>'Reporte Componentes R1'!K336</f>
        <v>579666.65</v>
      </c>
      <c r="J11" s="291">
        <v>0</v>
      </c>
      <c r="K11" s="298">
        <f t="shared" si="0"/>
        <v>330659553.54999995</v>
      </c>
      <c r="L11" s="297">
        <v>0</v>
      </c>
      <c r="M11" s="298">
        <f>K11-L11</f>
        <v>330659553.54999995</v>
      </c>
      <c r="N11" s="297">
        <f>'Reporte Componentes R1'!L336</f>
        <v>16854072.859999999</v>
      </c>
      <c r="O11" s="298">
        <f t="shared" si="1"/>
        <v>347513626.40999997</v>
      </c>
      <c r="Q11" s="309"/>
      <c r="S11" s="317">
        <v>3</v>
      </c>
      <c r="T11" s="318" t="s">
        <v>12</v>
      </c>
      <c r="U11" s="319">
        <f>'Reporte Componentes R1'!M336</f>
        <v>5070096.4399999995</v>
      </c>
      <c r="V11" s="320">
        <f>'Reporte Componentes R1'!N336</f>
        <v>6337384.2400000002</v>
      </c>
      <c r="W11" s="320">
        <f>'Reporte Componentes R1'!O336</f>
        <v>29239569.220000003</v>
      </c>
      <c r="X11" s="320">
        <f>'Reporte Componentes R1'!P336</f>
        <v>131844663.39999999</v>
      </c>
      <c r="Y11" s="321">
        <f>'Reporte Componentes R1'!Q336</f>
        <v>948679.08</v>
      </c>
      <c r="Z11" s="322">
        <f>L11*-1</f>
        <v>0</v>
      </c>
      <c r="AA11" s="323">
        <f>'Reporte Componentes R1'!R336+'Reporte Componentes R1'!V336+'Reporte Componentes R1'!U336</f>
        <v>-939.26</v>
      </c>
      <c r="AB11" s="297">
        <f>N11</f>
        <v>16854072.859999999</v>
      </c>
      <c r="AC11" s="323">
        <f>'Reporte Componentes R1'!T336+'Reporte Componentes R1'!W336+'Reporte Componentes R1'!X336+'Reporte Componentes R1'!Y336+'Reporte Componentes R1'!Z336+'Reporte Componentes R1'!S336</f>
        <v>0.97</v>
      </c>
      <c r="AD11" s="294">
        <f t="shared" si="2"/>
        <v>157220099.46000001</v>
      </c>
      <c r="AE11" s="294">
        <f>'Reporte Componentes R1'!F337</f>
        <v>157220099.46000001</v>
      </c>
      <c r="AF11" s="325">
        <f t="shared" ref="AF11:AF13" si="4">SUM(U11:AD11)</f>
        <v>347513626.41000003</v>
      </c>
      <c r="AG11" s="326">
        <f>(AF11-O11)</f>
        <v>5.9604644775390625E-8</v>
      </c>
      <c r="AH11" s="1" t="b">
        <f t="shared" si="3"/>
        <v>1</v>
      </c>
      <c r="AI11" s="309"/>
    </row>
    <row r="12" spans="2:35" s="308" customFormat="1" x14ac:dyDescent="0.25">
      <c r="B12" s="317">
        <v>4</v>
      </c>
      <c r="C12" s="318" t="s">
        <v>13</v>
      </c>
      <c r="D12" s="294">
        <f>'Reporte Componentes R1'!F457</f>
        <v>226188183.51000002</v>
      </c>
      <c r="E12" s="295">
        <f>'Reporte Componentes R1'!G457</f>
        <v>18588180.600000001</v>
      </c>
      <c r="F12" s="295">
        <f>'Reporte Componentes R1'!H457</f>
        <v>9602407.9199999999</v>
      </c>
      <c r="G12" s="295">
        <f>'Reporte Componentes R1'!I457</f>
        <v>4714036.51</v>
      </c>
      <c r="H12" s="295">
        <f>'Reporte Componentes R1'!J457</f>
        <v>34811841.340000004</v>
      </c>
      <c r="I12" s="295">
        <f>'Reporte Componentes R1'!K457</f>
        <v>1267964.1600000001</v>
      </c>
      <c r="J12" s="291">
        <v>0</v>
      </c>
      <c r="K12" s="298">
        <f t="shared" si="0"/>
        <v>157203752.98000005</v>
      </c>
      <c r="L12" s="297">
        <v>0</v>
      </c>
      <c r="M12" s="298">
        <f>K12-L12</f>
        <v>157203752.98000005</v>
      </c>
      <c r="N12" s="297">
        <f>'Reporte Componentes R1'!L457</f>
        <v>1026166.89</v>
      </c>
      <c r="O12" s="298">
        <f t="shared" si="1"/>
        <v>158229919.87000003</v>
      </c>
      <c r="Q12" s="309"/>
      <c r="S12" s="317">
        <v>4</v>
      </c>
      <c r="T12" s="318" t="s">
        <v>13</v>
      </c>
      <c r="U12" s="319">
        <f>'Reporte Componentes R1'!M457</f>
        <v>11187607.729999999</v>
      </c>
      <c r="V12" s="320">
        <f>'Reporte Componentes R1'!N457</f>
        <v>13008847.91</v>
      </c>
      <c r="W12" s="320">
        <f>'Reporte Componentes R1'!O457</f>
        <v>68637316.439999998</v>
      </c>
      <c r="X12" s="320">
        <f>'Reporte Componentes R1'!P457</f>
        <v>48571954.479999997</v>
      </c>
      <c r="Y12" s="321">
        <f>'Reporte Componentes R1'!Q457</f>
        <v>2078989.28</v>
      </c>
      <c r="Z12" s="322">
        <f>L12*-1</f>
        <v>0</v>
      </c>
      <c r="AA12" s="323">
        <f>'Reporte Componentes R1'!R457+'Reporte Componentes R1'!V457+'Reporte Componentes R1'!U457</f>
        <v>144.79</v>
      </c>
      <c r="AB12" s="297">
        <f>N12</f>
        <v>1026166.89</v>
      </c>
      <c r="AC12" s="323">
        <f>'Reporte Componentes R1'!T457+'Reporte Componentes R1'!W457+'Reporte Componentes R1'!X457+'Reporte Componentes R1'!Y457+'Reporte Componentes R1'!Z457+'Reporte Componentes R1'!S457</f>
        <v>0.39</v>
      </c>
      <c r="AD12" s="294">
        <f t="shared" si="2"/>
        <v>13718891.960000001</v>
      </c>
      <c r="AE12" s="294">
        <f>'Reporte Componentes R1'!F458</f>
        <v>13718891.960000001</v>
      </c>
      <c r="AF12" s="325">
        <f t="shared" si="4"/>
        <v>158229919.86999997</v>
      </c>
      <c r="AG12" s="326">
        <f>(AF12-O12)</f>
        <v>-5.9604644775390625E-8</v>
      </c>
      <c r="AH12" s="1" t="b">
        <f t="shared" si="3"/>
        <v>0</v>
      </c>
      <c r="AI12" s="309"/>
    </row>
    <row r="13" spans="2:35" s="308" customFormat="1" ht="12" thickBot="1" x14ac:dyDescent="0.3">
      <c r="B13" s="327">
        <v>5</v>
      </c>
      <c r="C13" s="328" t="s">
        <v>14</v>
      </c>
      <c r="D13" s="299">
        <f>'Reporte Componentes R1'!F539</f>
        <v>163200815.15000001</v>
      </c>
      <c r="E13" s="300">
        <f>'Reporte Componentes R1'!G539</f>
        <v>14300431.199999999</v>
      </c>
      <c r="F13" s="300">
        <f>'Reporte Componentes R1'!H539</f>
        <v>7757255.1299999999</v>
      </c>
      <c r="G13" s="300">
        <f>'Reporte Componentes R1'!I539</f>
        <v>4116484.77</v>
      </c>
      <c r="H13" s="300">
        <f>'Reporte Componentes R1'!J539</f>
        <v>10501043.430000002</v>
      </c>
      <c r="I13" s="300">
        <f>'Reporte Componentes R1'!K539</f>
        <v>538546.02</v>
      </c>
      <c r="J13" s="292">
        <v>0</v>
      </c>
      <c r="K13" s="298">
        <f t="shared" si="0"/>
        <v>125987054.60000001</v>
      </c>
      <c r="L13" s="297">
        <v>0</v>
      </c>
      <c r="M13" s="301">
        <f>K13-L13</f>
        <v>125987054.60000001</v>
      </c>
      <c r="N13" s="302">
        <f>'Reporte Componentes R1'!L539</f>
        <v>16101746.85</v>
      </c>
      <c r="O13" s="301">
        <f>M13+N13</f>
        <v>142088801.45000002</v>
      </c>
      <c r="Q13" s="309"/>
      <c r="S13" s="327">
        <v>5</v>
      </c>
      <c r="T13" s="328" t="s">
        <v>14</v>
      </c>
      <c r="U13" s="299">
        <f>'Reporte Componentes R1'!M539</f>
        <v>4723144.92</v>
      </c>
      <c r="V13" s="300">
        <f>'Reporte Componentes R1'!N539</f>
        <v>5370952.7999999998</v>
      </c>
      <c r="W13" s="300">
        <f>'Reporte Componentes R1'!O539</f>
        <v>27237262.050000001</v>
      </c>
      <c r="X13" s="300">
        <f>'Reporte Componentes R1'!P539</f>
        <v>42540459.949999996</v>
      </c>
      <c r="Y13" s="292">
        <f>'Reporte Componentes R1'!Q539</f>
        <v>892119.42999999993</v>
      </c>
      <c r="Z13" s="322">
        <f>L13*-1</f>
        <v>0</v>
      </c>
      <c r="AA13" s="323">
        <f>'Reporte Componentes R1'!R539+'Reporte Componentes R1'!V539+'Reporte Componentes R1'!U539</f>
        <v>-137.33000000000001</v>
      </c>
      <c r="AB13" s="297">
        <f>N13</f>
        <v>16101746.85</v>
      </c>
      <c r="AC13" s="323">
        <f>'Reporte Componentes R1'!T539+'Reporte Componentes R1'!W539+'Reporte Componentes R1'!X539+'Reporte Componentes R1'!Y539+'Reporte Componentes R1'!Z539+'Reporte Componentes R1'!S539</f>
        <v>-66.45</v>
      </c>
      <c r="AD13" s="294">
        <f t="shared" si="2"/>
        <v>45223319.229999997</v>
      </c>
      <c r="AE13" s="294">
        <f>'Reporte Componentes R1'!F540</f>
        <v>45223319.229999997</v>
      </c>
      <c r="AF13" s="325">
        <f t="shared" si="4"/>
        <v>142088801.44999999</v>
      </c>
      <c r="AG13" s="329">
        <f>(AF13-O13)</f>
        <v>-2.9802322387695313E-8</v>
      </c>
      <c r="AH13" s="1" t="b">
        <f t="shared" si="3"/>
        <v>0</v>
      </c>
      <c r="AI13" s="309"/>
    </row>
    <row r="14" spans="2:35" s="308" customFormat="1" ht="13.5" thickBot="1" x14ac:dyDescent="0.35">
      <c r="B14" s="330"/>
      <c r="C14" s="331" t="s">
        <v>2</v>
      </c>
      <c r="D14" s="293">
        <f>SUM(D9:D13)</f>
        <v>1748555962.98</v>
      </c>
      <c r="E14" s="293">
        <f t="shared" ref="E14:O14" si="5">SUM(E9:E13)</f>
        <v>211648263.60999998</v>
      </c>
      <c r="F14" s="293">
        <f t="shared" si="5"/>
        <v>115450339.13</v>
      </c>
      <c r="G14" s="293">
        <f t="shared" si="5"/>
        <v>60936023.640000001</v>
      </c>
      <c r="H14" s="293">
        <f t="shared" si="5"/>
        <v>163907154.42000002</v>
      </c>
      <c r="I14" s="293">
        <f t="shared" si="5"/>
        <v>5445860.8900000006</v>
      </c>
      <c r="J14" s="293">
        <f t="shared" si="5"/>
        <v>0</v>
      </c>
      <c r="K14" s="303">
        <f t="shared" si="5"/>
        <v>1191168321.29</v>
      </c>
      <c r="L14" s="304">
        <f>SUM(L9:L13)</f>
        <v>0</v>
      </c>
      <c r="M14" s="305">
        <f t="shared" si="5"/>
        <v>1191168321.29</v>
      </c>
      <c r="N14" s="304">
        <f t="shared" si="5"/>
        <v>46273844.229999997</v>
      </c>
      <c r="O14" s="305">
        <f t="shared" si="5"/>
        <v>1237442165.5200002</v>
      </c>
      <c r="P14" s="332"/>
      <c r="Q14" s="309"/>
      <c r="S14" s="330"/>
      <c r="T14" s="331" t="s">
        <v>2</v>
      </c>
      <c r="U14" s="333">
        <f>SUM(U9:U13)</f>
        <v>47919125.969999999</v>
      </c>
      <c r="V14" s="333">
        <f t="shared" ref="V14:AF14" si="6">SUM(V9:V13)</f>
        <v>58574352.480000004</v>
      </c>
      <c r="W14" s="333">
        <f t="shared" si="6"/>
        <v>278647766.56</v>
      </c>
      <c r="X14" s="333">
        <f t="shared" si="6"/>
        <v>519274213.31999999</v>
      </c>
      <c r="Y14" s="333">
        <f t="shared" si="6"/>
        <v>8934744.2700000014</v>
      </c>
      <c r="Z14" s="293">
        <f t="shared" si="6"/>
        <v>0</v>
      </c>
      <c r="AA14" s="293">
        <f t="shared" si="6"/>
        <v>-1843.23</v>
      </c>
      <c r="AB14" s="293">
        <f t="shared" si="6"/>
        <v>46273844.229999997</v>
      </c>
      <c r="AC14" s="293">
        <f t="shared" si="6"/>
        <v>-52.76</v>
      </c>
      <c r="AD14" s="293">
        <f>SUM(AD9:AD13)</f>
        <v>277820014.68000001</v>
      </c>
      <c r="AE14" s="293">
        <f>SUM(AE9:AE13)</f>
        <v>277820014.68000001</v>
      </c>
      <c r="AF14" s="334">
        <f t="shared" si="6"/>
        <v>1237442165.52</v>
      </c>
      <c r="AG14" s="335">
        <f>SUM(AG9:AG13)</f>
        <v>-8.9406967163085938E-8</v>
      </c>
      <c r="AH14" s="1" t="b">
        <f t="shared" si="3"/>
        <v>0</v>
      </c>
      <c r="AI14" s="309"/>
    </row>
    <row r="15" spans="2:35" ht="12" thickBot="1" x14ac:dyDescent="0.3">
      <c r="B15" s="2"/>
      <c r="C15" s="2"/>
      <c r="D15" s="24"/>
      <c r="E15" s="24"/>
      <c r="F15" s="24"/>
      <c r="G15" s="24"/>
      <c r="H15" s="24"/>
      <c r="I15" s="24"/>
      <c r="K15" s="24"/>
      <c r="L15" s="24"/>
      <c r="M15" s="24"/>
      <c r="N15" s="24"/>
      <c r="O15" s="24"/>
      <c r="Q15" s="4"/>
      <c r="S15" s="2"/>
      <c r="T15" s="2"/>
      <c r="U15" s="24"/>
      <c r="V15" s="24"/>
      <c r="W15" s="24"/>
      <c r="X15" s="24"/>
      <c r="Y15" s="24"/>
      <c r="AF15" s="24"/>
      <c r="AI15" s="4"/>
    </row>
    <row r="16" spans="2:35" ht="12" thickBot="1" x14ac:dyDescent="0.3">
      <c r="B16" s="2"/>
      <c r="C16" s="2"/>
      <c r="D16" s="24"/>
      <c r="E16" s="24" t="s">
        <v>1</v>
      </c>
      <c r="F16" s="24" t="s">
        <v>1</v>
      </c>
      <c r="G16" s="24"/>
      <c r="H16" s="24" t="s">
        <v>1</v>
      </c>
      <c r="I16" s="24" t="s">
        <v>1</v>
      </c>
      <c r="K16" s="24"/>
      <c r="L16" s="24" t="s">
        <v>1</v>
      </c>
      <c r="M16" s="24"/>
      <c r="N16" s="24"/>
      <c r="O16" s="24"/>
      <c r="Q16" s="4"/>
      <c r="Y16" s="86">
        <f>SUM(U14:Y14)</f>
        <v>913350202.5999999</v>
      </c>
      <c r="AA16" s="1" t="s">
        <v>1</v>
      </c>
      <c r="AB16" s="1" t="s">
        <v>1</v>
      </c>
      <c r="AD16" s="1" t="s">
        <v>1</v>
      </c>
      <c r="AF16" s="1" t="s">
        <v>1</v>
      </c>
      <c r="AI16" s="4"/>
    </row>
    <row r="17" spans="1:35" ht="12" thickBot="1" x14ac:dyDescent="0.3">
      <c r="B17" s="2"/>
      <c r="C17" s="2"/>
      <c r="D17" s="24" t="s">
        <v>1</v>
      </c>
      <c r="E17" s="33"/>
      <c r="F17" s="33"/>
      <c r="G17" s="33"/>
      <c r="H17" s="33"/>
      <c r="I17" s="24" t="s">
        <v>1</v>
      </c>
      <c r="K17" s="24"/>
      <c r="L17" s="24" t="s">
        <v>1</v>
      </c>
      <c r="M17" s="24"/>
      <c r="N17" s="24"/>
      <c r="O17" s="24"/>
      <c r="Q17" s="4"/>
      <c r="AI17" s="4"/>
    </row>
    <row r="18" spans="1:35" x14ac:dyDescent="0.25">
      <c r="B18" s="2"/>
      <c r="C18" s="2"/>
      <c r="D18" s="24" t="s">
        <v>1</v>
      </c>
      <c r="E18" s="24" t="s">
        <v>1</v>
      </c>
      <c r="F18" s="24" t="s">
        <v>25</v>
      </c>
      <c r="G18" s="24"/>
      <c r="H18" s="24"/>
      <c r="I18" s="24"/>
      <c r="K18" s="24"/>
      <c r="L18" s="24"/>
      <c r="M18" s="24"/>
      <c r="N18" s="24"/>
      <c r="O18" s="24"/>
      <c r="Q18" s="4"/>
      <c r="AI18" s="4"/>
    </row>
    <row r="19" spans="1:35" x14ac:dyDescent="0.25">
      <c r="A19" s="4"/>
      <c r="B19" s="34"/>
      <c r="C19" s="34"/>
      <c r="D19" s="35"/>
      <c r="E19" s="35"/>
      <c r="F19" s="35"/>
      <c r="G19" s="35"/>
      <c r="H19" s="35"/>
      <c r="I19" s="35"/>
      <c r="J19" s="4"/>
      <c r="K19" s="35"/>
      <c r="L19" s="35"/>
      <c r="M19" s="35"/>
      <c r="N19" s="35"/>
      <c r="O19" s="35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</row>
    <row r="20" spans="1:35" ht="12" thickBot="1" x14ac:dyDescent="0.3">
      <c r="Q20" s="4"/>
      <c r="AI20" s="4"/>
    </row>
    <row r="21" spans="1:35" x14ac:dyDescent="0.25">
      <c r="B21" s="5"/>
      <c r="C21" s="3" t="s">
        <v>1</v>
      </c>
      <c r="D21" s="6" t="s">
        <v>1</v>
      </c>
      <c r="E21" s="3"/>
      <c r="F21" s="3"/>
      <c r="G21" s="3"/>
      <c r="H21" s="3" t="s">
        <v>1</v>
      </c>
      <c r="I21" s="3"/>
      <c r="J21" s="3"/>
      <c r="K21" s="3"/>
      <c r="L21" s="3"/>
      <c r="M21" s="3"/>
      <c r="N21" s="3"/>
      <c r="O21" s="7"/>
      <c r="P21" s="2"/>
      <c r="Q21" s="4"/>
      <c r="S21" s="5"/>
      <c r="T21" s="3" t="s">
        <v>1</v>
      </c>
      <c r="U21" s="6" t="s">
        <v>1</v>
      </c>
      <c r="V21" s="3"/>
      <c r="W21" s="3"/>
      <c r="X21" s="3" t="s">
        <v>1</v>
      </c>
      <c r="Y21" s="3"/>
      <c r="Z21" s="3"/>
      <c r="AA21" s="3"/>
      <c r="AB21" s="3"/>
      <c r="AC21" s="3"/>
      <c r="AD21" s="3"/>
      <c r="AE21" s="3"/>
      <c r="AF21" s="7"/>
      <c r="AG21" s="2"/>
      <c r="AI21" s="4"/>
    </row>
    <row r="22" spans="1:35" ht="14" x14ac:dyDescent="0.3">
      <c r="B22" s="8"/>
      <c r="F22" s="26" t="s">
        <v>8</v>
      </c>
      <c r="G22" s="26"/>
      <c r="I22" s="26" t="s">
        <v>16</v>
      </c>
      <c r="J22" s="25"/>
      <c r="M22" s="2" t="s">
        <v>15</v>
      </c>
      <c r="N22" s="50">
        <f>N3</f>
        <v>2026071</v>
      </c>
      <c r="O22" s="10"/>
      <c r="P22" s="2"/>
      <c r="Q22" s="4"/>
      <c r="S22" s="8"/>
      <c r="U22" s="26" t="s">
        <v>8</v>
      </c>
      <c r="W22" s="26" t="s">
        <v>16</v>
      </c>
      <c r="X22" s="25"/>
      <c r="Y22" s="2"/>
      <c r="AA22" s="2" t="s">
        <v>15</v>
      </c>
      <c r="AD22" s="84">
        <f>N22</f>
        <v>2026071</v>
      </c>
      <c r="AE22" s="84"/>
      <c r="AF22" s="48"/>
      <c r="AG22" s="2"/>
      <c r="AI22" s="4"/>
    </row>
    <row r="23" spans="1:35" ht="15.5" x14ac:dyDescent="0.35">
      <c r="B23" s="8"/>
      <c r="F23" s="36" t="s">
        <v>29</v>
      </c>
      <c r="G23" s="36"/>
      <c r="O23" s="10"/>
      <c r="P23" s="2"/>
      <c r="Q23" s="4"/>
      <c r="S23" s="8"/>
      <c r="T23" s="26" t="s">
        <v>1</v>
      </c>
      <c r="U23" s="36" t="s">
        <v>29</v>
      </c>
      <c r="Y23" s="2" t="s">
        <v>1</v>
      </c>
      <c r="AA23" s="50" t="s">
        <v>1</v>
      </c>
      <c r="AB23" s="2"/>
      <c r="AC23" s="2"/>
      <c r="AD23" s="2"/>
      <c r="AE23" s="2"/>
      <c r="AF23" s="10" t="s">
        <v>1</v>
      </c>
      <c r="AG23" s="2"/>
      <c r="AI23" s="4"/>
    </row>
    <row r="24" spans="1:35" ht="14" x14ac:dyDescent="0.3">
      <c r="B24" s="8"/>
      <c r="F24" s="2" t="s">
        <v>30</v>
      </c>
      <c r="G24" s="2"/>
      <c r="M24" s="2" t="s">
        <v>1</v>
      </c>
      <c r="O24" s="10"/>
      <c r="P24" s="2"/>
      <c r="Q24" s="4"/>
      <c r="S24" s="8"/>
      <c r="T24" s="49" t="s">
        <v>1</v>
      </c>
      <c r="U24" s="2" t="s">
        <v>30</v>
      </c>
      <c r="AF24" s="44"/>
      <c r="AG24" s="2"/>
      <c r="AI24" s="4"/>
    </row>
    <row r="25" spans="1:35" ht="15.5" x14ac:dyDescent="0.35">
      <c r="B25" s="8"/>
      <c r="C25" s="591" t="s">
        <v>17</v>
      </c>
      <c r="D25" s="9">
        <f>D6</f>
        <v>46220</v>
      </c>
      <c r="F25" s="41" t="s">
        <v>31</v>
      </c>
      <c r="G25" s="41"/>
      <c r="H25" s="2"/>
      <c r="J25" s="2"/>
      <c r="O25" s="10"/>
      <c r="P25" s="2"/>
      <c r="Q25" s="4"/>
      <c r="S25" s="8"/>
      <c r="T25" s="41" t="s">
        <v>1</v>
      </c>
      <c r="U25" s="41" t="s">
        <v>31</v>
      </c>
      <c r="V25" s="2"/>
      <c r="X25" s="2"/>
      <c r="Y25" s="2"/>
      <c r="AF25" s="48"/>
      <c r="AG25" s="2"/>
      <c r="AI25" s="4"/>
    </row>
    <row r="26" spans="1:35" ht="12" thickBot="1" x14ac:dyDescent="0.3">
      <c r="B26" s="8"/>
      <c r="C26" s="591" t="s">
        <v>0</v>
      </c>
      <c r="D26" s="241">
        <f>D7</f>
        <v>0.58333333333333337</v>
      </c>
      <c r="F26" s="2" t="s">
        <v>27</v>
      </c>
      <c r="G26" s="9">
        <f>G7</f>
        <v>46204</v>
      </c>
      <c r="J26" s="2" t="s">
        <v>28</v>
      </c>
      <c r="K26" s="9">
        <f>K7</f>
        <v>46218</v>
      </c>
      <c r="O26" s="10"/>
      <c r="P26" s="2"/>
      <c r="Q26" s="4"/>
      <c r="S26" s="8"/>
      <c r="U26" s="1" t="str">
        <f>F26</f>
        <v>Fecha Desde:</v>
      </c>
      <c r="V26" s="9">
        <f>G26</f>
        <v>46204</v>
      </c>
      <c r="W26" s="1" t="s">
        <v>1</v>
      </c>
      <c r="X26" s="1" t="str">
        <f>J26</f>
        <v>Feha Hasta:</v>
      </c>
      <c r="Y26" s="9">
        <f>K26</f>
        <v>46218</v>
      </c>
      <c r="Z26" s="1" t="s">
        <v>1</v>
      </c>
      <c r="AF26" s="48"/>
      <c r="AG26" s="2"/>
      <c r="AI26" s="4"/>
    </row>
    <row r="27" spans="1:35" ht="72" customHeight="1" thickBot="1" x14ac:dyDescent="0.3">
      <c r="B27" s="11" t="s">
        <v>3</v>
      </c>
      <c r="C27" s="27" t="s">
        <v>9</v>
      </c>
      <c r="D27" s="11" t="s">
        <v>4</v>
      </c>
      <c r="E27" s="12" t="s">
        <v>5</v>
      </c>
      <c r="F27" s="27" t="s">
        <v>6</v>
      </c>
      <c r="G27" s="27" t="s">
        <v>159</v>
      </c>
      <c r="H27" s="27" t="s">
        <v>18</v>
      </c>
      <c r="I27" s="12" t="s">
        <v>24</v>
      </c>
      <c r="J27" s="73" t="s">
        <v>19</v>
      </c>
      <c r="K27" s="29" t="s">
        <v>20</v>
      </c>
      <c r="L27" s="28" t="s">
        <v>21</v>
      </c>
      <c r="M27" s="39" t="s">
        <v>22</v>
      </c>
      <c r="N27" s="12" t="s">
        <v>7</v>
      </c>
      <c r="O27" s="39" t="s">
        <v>23</v>
      </c>
      <c r="P27" s="13"/>
      <c r="Q27" s="4"/>
      <c r="S27" s="11" t="s">
        <v>3</v>
      </c>
      <c r="T27" s="27" t="s">
        <v>9</v>
      </c>
      <c r="U27" s="162" t="s">
        <v>39</v>
      </c>
      <c r="V27" s="163" t="s">
        <v>40</v>
      </c>
      <c r="W27" s="163" t="s">
        <v>41</v>
      </c>
      <c r="X27" s="163" t="s">
        <v>42</v>
      </c>
      <c r="Y27" s="164" t="s">
        <v>43</v>
      </c>
      <c r="Z27" s="85" t="s">
        <v>21</v>
      </c>
      <c r="AA27" s="65" t="s">
        <v>46</v>
      </c>
      <c r="AB27" s="65" t="s">
        <v>7</v>
      </c>
      <c r="AC27" s="85" t="s">
        <v>167</v>
      </c>
      <c r="AD27" s="121" t="s">
        <v>107</v>
      </c>
      <c r="AE27" s="121" t="s">
        <v>225</v>
      </c>
      <c r="AF27" s="39" t="s">
        <v>23</v>
      </c>
      <c r="AG27" s="13"/>
      <c r="AI27" s="4"/>
    </row>
    <row r="28" spans="1:35" s="308" customFormat="1" x14ac:dyDescent="0.25">
      <c r="B28" s="306">
        <v>1</v>
      </c>
      <c r="C28" s="307" t="s">
        <v>10</v>
      </c>
      <c r="D28" s="294">
        <f>'Rem. Anticipos R2'!E53</f>
        <v>2311059.02</v>
      </c>
      <c r="E28" s="295">
        <f>'Rem. Anticipos R2'!F53</f>
        <v>193503.51</v>
      </c>
      <c r="F28" s="295">
        <f>'Rem. Anticipos R2'!G53</f>
        <v>110360.24</v>
      </c>
      <c r="G28" s="295">
        <f>'Rem. Anticipos R2'!H53</f>
        <v>33905.94</v>
      </c>
      <c r="H28" s="295">
        <f>'Rem. Anticipos R2'!I53</f>
        <v>940156.62</v>
      </c>
      <c r="I28" s="295">
        <f>'Rem. Anticipos R2'!J53</f>
        <v>32326.21</v>
      </c>
      <c r="J28" s="291">
        <v>0</v>
      </c>
      <c r="K28" s="296">
        <f>D28-E28-F28-G28-H28-I28-J28</f>
        <v>1000806.4999999999</v>
      </c>
      <c r="L28" s="297">
        <v>0</v>
      </c>
      <c r="M28" s="296">
        <f>K28-L28</f>
        <v>1000806.4999999999</v>
      </c>
      <c r="N28" s="297">
        <f>'Rem. Anticipos R2'!K53</f>
        <v>0</v>
      </c>
      <c r="O28" s="296">
        <f>M28+N28</f>
        <v>1000806.4999999999</v>
      </c>
      <c r="Q28" s="309"/>
      <c r="S28" s="306">
        <v>1</v>
      </c>
      <c r="T28" s="307" t="s">
        <v>10</v>
      </c>
      <c r="U28" s="310">
        <f>'Rem. Anticipos R2'!L53</f>
        <v>355682.88</v>
      </c>
      <c r="V28" s="311">
        <f>'Rem. Anticipos R2'!M53</f>
        <v>215221.38</v>
      </c>
      <c r="W28" s="311">
        <f>'Rem. Anticipos R2'!N53</f>
        <v>1043839.37</v>
      </c>
      <c r="X28" s="311">
        <f>'Rem. Anticipos R2'!O53</f>
        <v>522671.77</v>
      </c>
      <c r="Y28" s="311">
        <f>'Rem. Anticipos R2'!P53</f>
        <v>52547.040000000001</v>
      </c>
      <c r="Z28" s="313">
        <f>L28*-1</f>
        <v>0</v>
      </c>
      <c r="AA28" s="314">
        <f>'Rem. Anticipos R2'!Q53</f>
        <v>37</v>
      </c>
      <c r="AB28" s="297">
        <f>N28</f>
        <v>0</v>
      </c>
      <c r="AC28" s="314">
        <f>'Rem. Anticipos R2'!R53</f>
        <v>0</v>
      </c>
      <c r="AD28" s="294">
        <f>-J28+AE28</f>
        <v>-1189192.94</v>
      </c>
      <c r="AE28" s="294">
        <f>'Rem. Anticipos R2'!E54</f>
        <v>-1189192.94</v>
      </c>
      <c r="AF28" s="316">
        <f>SUM(U28:AD28)</f>
        <v>1000806.5</v>
      </c>
      <c r="AG28" s="314">
        <f>(AF28-O28)</f>
        <v>1.1641532182693481E-10</v>
      </c>
      <c r="AH28" s="1" t="b">
        <f>INT(AG28)=0</f>
        <v>1</v>
      </c>
      <c r="AI28" s="309"/>
    </row>
    <row r="29" spans="1:35" s="308" customFormat="1" x14ac:dyDescent="0.25">
      <c r="B29" s="317">
        <v>2</v>
      </c>
      <c r="C29" s="318" t="s">
        <v>11</v>
      </c>
      <c r="D29" s="294">
        <f>'Rem. Anticipos R2'!E147</f>
        <v>12441371.75</v>
      </c>
      <c r="E29" s="295">
        <f>'Rem. Anticipos R2'!F147</f>
        <v>1134136.3700000001</v>
      </c>
      <c r="F29" s="295">
        <f>'Rem. Anticipos R2'!G147</f>
        <v>635506.21</v>
      </c>
      <c r="G29" s="295">
        <f>'Rem. Anticipos R2'!H147</f>
        <v>470561.7</v>
      </c>
      <c r="H29" s="295">
        <f>'Rem. Anticipos R2'!I147</f>
        <v>2719139.49</v>
      </c>
      <c r="I29" s="295">
        <f>'Rem. Anticipos R2'!J147</f>
        <v>99048.48</v>
      </c>
      <c r="J29" s="291">
        <v>0</v>
      </c>
      <c r="K29" s="298">
        <f t="shared" ref="K29:K31" si="7">D29-E29-F29-G29-H29-I29-J29</f>
        <v>7382979.4999999981</v>
      </c>
      <c r="L29" s="297">
        <v>0</v>
      </c>
      <c r="M29" s="298">
        <f>K29-L29</f>
        <v>7382979.4999999981</v>
      </c>
      <c r="N29" s="297">
        <f>'Rem. Anticipos R2'!K147</f>
        <v>0</v>
      </c>
      <c r="O29" s="298">
        <f t="shared" ref="O29:O32" si="8">M29+N29</f>
        <v>7382979.4999999981</v>
      </c>
      <c r="Q29" s="309"/>
      <c r="S29" s="317">
        <v>2</v>
      </c>
      <c r="T29" s="318" t="s">
        <v>11</v>
      </c>
      <c r="U29" s="319">
        <f>'Rem. Anticipos R2'!L147</f>
        <v>1122384.26</v>
      </c>
      <c r="V29" s="320">
        <f>'Rem. Anticipos R2'!M147</f>
        <v>936470.56</v>
      </c>
      <c r="W29" s="320">
        <f>'Rem. Anticipos R2'!N147</f>
        <v>3916124.95</v>
      </c>
      <c r="X29" s="320">
        <f>'Rem. Anticipos R2'!O147</f>
        <v>2478746.87</v>
      </c>
      <c r="Y29" s="321">
        <f>'Rem. Anticipos R2'!P147</f>
        <v>142008.19</v>
      </c>
      <c r="Z29" s="322">
        <f>L29*-1</f>
        <v>0</v>
      </c>
      <c r="AA29" s="323">
        <f>'Rem. Anticipos R2'!Q147</f>
        <v>42.52</v>
      </c>
      <c r="AB29" s="297">
        <f>N29</f>
        <v>0</v>
      </c>
      <c r="AC29" s="323">
        <f>'Rem. Anticipos R2'!R147</f>
        <v>0</v>
      </c>
      <c r="AD29" s="294">
        <f>-J29+AE29</f>
        <v>-1212797.8500000001</v>
      </c>
      <c r="AE29" s="294">
        <f>'Rem. Anticipos R2'!E148</f>
        <v>-1212797.8500000001</v>
      </c>
      <c r="AF29" s="325">
        <f>SUM(U29:AD29)</f>
        <v>7382979.5</v>
      </c>
      <c r="AG29" s="326">
        <f>(AF29-O29)</f>
        <v>1.862645149230957E-9</v>
      </c>
      <c r="AH29" s="1" t="b">
        <f t="shared" ref="AH29:AH33" si="9">INT(AG29)=0</f>
        <v>1</v>
      </c>
      <c r="AI29" s="309"/>
    </row>
    <row r="30" spans="1:35" s="308" customFormat="1" x14ac:dyDescent="0.25">
      <c r="B30" s="317">
        <v>3</v>
      </c>
      <c r="C30" s="318" t="s">
        <v>12</v>
      </c>
      <c r="D30" s="294">
        <f>'Rem. Anticipos R2'!E259</f>
        <v>677060.45</v>
      </c>
      <c r="E30" s="295">
        <f>'Rem. Anticipos R2'!F259</f>
        <v>50299.4</v>
      </c>
      <c r="F30" s="295">
        <f>'Rem. Anticipos R2'!G259</f>
        <v>28306.81</v>
      </c>
      <c r="G30" s="295">
        <f>'Rem. Anticipos R2'!H259</f>
        <v>13261.04</v>
      </c>
      <c r="H30" s="295">
        <f>'Rem. Anticipos R2'!I259</f>
        <v>158471.07</v>
      </c>
      <c r="I30" s="295">
        <f>'Rem. Anticipos R2'!J259</f>
        <v>5919.25</v>
      </c>
      <c r="J30" s="291">
        <v>0</v>
      </c>
      <c r="K30" s="298">
        <f t="shared" si="7"/>
        <v>420802.87999999983</v>
      </c>
      <c r="L30" s="297">
        <v>0</v>
      </c>
      <c r="M30" s="298">
        <f>K30-L30</f>
        <v>420802.87999999983</v>
      </c>
      <c r="N30" s="297">
        <f>'Rem. Anticipos R2'!K259</f>
        <v>0</v>
      </c>
      <c r="O30" s="298">
        <f t="shared" si="8"/>
        <v>420802.87999999983</v>
      </c>
      <c r="Q30" s="309"/>
      <c r="S30" s="317">
        <v>3</v>
      </c>
      <c r="T30" s="318" t="s">
        <v>12</v>
      </c>
      <c r="U30" s="319">
        <f>'Rem. Anticipos R2'!L259</f>
        <v>55353.5</v>
      </c>
      <c r="V30" s="320">
        <f>'Rem. Anticipos R2'!M259</f>
        <v>47484.34</v>
      </c>
      <c r="W30" s="320">
        <f>'Rem. Anticipos R2'!N259</f>
        <v>226549.08</v>
      </c>
      <c r="X30" s="320">
        <f>'Rem. Anticipos R2'!O259</f>
        <v>116920.46</v>
      </c>
      <c r="Y30" s="321">
        <f>'Rem. Anticipos R2'!P259</f>
        <v>8971.6200000000008</v>
      </c>
      <c r="Z30" s="322">
        <f>L30*-1</f>
        <v>0</v>
      </c>
      <c r="AA30" s="323">
        <f>'Rem. Anticipos R2'!Q259</f>
        <v>-12.45</v>
      </c>
      <c r="AB30" s="297">
        <f>N30</f>
        <v>0</v>
      </c>
      <c r="AC30" s="323">
        <f>'Rem. Anticipos R2'!R259</f>
        <v>0</v>
      </c>
      <c r="AD30" s="294">
        <f t="shared" ref="AD30:AD32" si="10">-J30+AE30</f>
        <v>-34463.67</v>
      </c>
      <c r="AE30" s="294">
        <f>'Rem. Anticipos R2'!E260</f>
        <v>-34463.67</v>
      </c>
      <c r="AF30" s="325">
        <f>SUM(U30:AD30)</f>
        <v>420802.88</v>
      </c>
      <c r="AG30" s="326">
        <f t="shared" ref="AG30:AG31" si="11">(AF30-O30)</f>
        <v>1.7462298274040222E-10</v>
      </c>
      <c r="AH30" s="1" t="b">
        <f t="shared" si="9"/>
        <v>1</v>
      </c>
      <c r="AI30" s="309"/>
    </row>
    <row r="31" spans="1:35" s="308" customFormat="1" x14ac:dyDescent="0.25">
      <c r="B31" s="317">
        <v>4</v>
      </c>
      <c r="C31" s="318" t="s">
        <v>13</v>
      </c>
      <c r="D31" s="294">
        <f>'Rem. Anticipos R2'!E355</f>
        <v>2001316.6600000001</v>
      </c>
      <c r="E31" s="295">
        <f>'Rem. Anticipos R2'!F355</f>
        <v>139617.04</v>
      </c>
      <c r="F31" s="295">
        <f>'Rem. Anticipos R2'!G355</f>
        <v>78222.16</v>
      </c>
      <c r="G31" s="295">
        <f>'Rem. Anticipos R2'!H355</f>
        <v>33234.29</v>
      </c>
      <c r="H31" s="295">
        <f>'Rem. Anticipos R2'!I355</f>
        <v>474758.83</v>
      </c>
      <c r="I31" s="295">
        <f>'Rem. Anticipos R2'!J355</f>
        <v>16978.61</v>
      </c>
      <c r="J31" s="291">
        <v>0</v>
      </c>
      <c r="K31" s="298">
        <f t="shared" si="7"/>
        <v>1258505.73</v>
      </c>
      <c r="L31" s="297">
        <v>0</v>
      </c>
      <c r="M31" s="298">
        <f>K31-L31</f>
        <v>1258505.73</v>
      </c>
      <c r="N31" s="297">
        <f>'Rem. Anticipos R2'!K355</f>
        <v>0</v>
      </c>
      <c r="O31" s="298">
        <f t="shared" si="8"/>
        <v>1258505.73</v>
      </c>
      <c r="Q31" s="309"/>
      <c r="S31" s="317">
        <v>4</v>
      </c>
      <c r="T31" s="318" t="s">
        <v>13</v>
      </c>
      <c r="U31" s="319">
        <f>'Rem. Anticipos R2'!L355</f>
        <v>192820.66</v>
      </c>
      <c r="V31" s="320">
        <f>'Rem. Anticipos R2'!M355</f>
        <v>139023.70000000001</v>
      </c>
      <c r="W31" s="320">
        <f>'Rem. Anticipos R2'!N355</f>
        <v>590609.47</v>
      </c>
      <c r="X31" s="320">
        <f>'Rem. Anticipos R2'!O355</f>
        <v>356034.01</v>
      </c>
      <c r="Y31" s="321">
        <f>'Rem. Anticipos R2'!P355</f>
        <v>22443.88</v>
      </c>
      <c r="Z31" s="322">
        <f>L31*-1</f>
        <v>0</v>
      </c>
      <c r="AA31" s="323">
        <f>'Rem. Anticipos R2'!Q355</f>
        <v>7.91</v>
      </c>
      <c r="AB31" s="297">
        <f>N31</f>
        <v>0</v>
      </c>
      <c r="AC31" s="323">
        <f>'Rem. Anticipos R2'!R355</f>
        <v>0</v>
      </c>
      <c r="AD31" s="294">
        <f t="shared" si="10"/>
        <v>-42433.9</v>
      </c>
      <c r="AE31" s="294">
        <f>'Rem. Anticipos R2'!E356</f>
        <v>-42433.9</v>
      </c>
      <c r="AF31" s="325">
        <f>SUM(U31:AD31)</f>
        <v>1258505.7299999997</v>
      </c>
      <c r="AG31" s="326">
        <f t="shared" si="11"/>
        <v>-2.3283064365386963E-10</v>
      </c>
      <c r="AH31" s="1" t="b">
        <f t="shared" si="9"/>
        <v>0</v>
      </c>
      <c r="AI31" s="309"/>
    </row>
    <row r="32" spans="1:35" s="308" customFormat="1" ht="12" thickBot="1" x14ac:dyDescent="0.3">
      <c r="B32" s="327">
        <v>5</v>
      </c>
      <c r="C32" s="328" t="s">
        <v>14</v>
      </c>
      <c r="D32" s="299">
        <f>'Rem. Anticipos R2'!E425</f>
        <v>655659.01</v>
      </c>
      <c r="E32" s="300">
        <f>'Rem. Anticipos R2'!F425</f>
        <v>36585.67</v>
      </c>
      <c r="F32" s="300">
        <f>'Rem. Anticipos R2'!G425</f>
        <v>20069.009999999998</v>
      </c>
      <c r="G32" s="300">
        <f>'Rem. Anticipos R2'!H425</f>
        <v>11029.11</v>
      </c>
      <c r="H32" s="300">
        <f>'Rem. Anticipos R2'!I425</f>
        <v>132472.75</v>
      </c>
      <c r="I32" s="300">
        <f>'Rem. Anticipos R2'!J425</f>
        <v>4941.45</v>
      </c>
      <c r="J32" s="292">
        <v>0</v>
      </c>
      <c r="K32" s="298">
        <f>D32-E32-F32-G32-H32-I32-J32</f>
        <v>450561.01999999996</v>
      </c>
      <c r="L32" s="297">
        <v>0</v>
      </c>
      <c r="M32" s="301">
        <f>K32-L32</f>
        <v>450561.01999999996</v>
      </c>
      <c r="N32" s="302">
        <f>'Rem. Anticipos R2'!K425</f>
        <v>0</v>
      </c>
      <c r="O32" s="301">
        <f t="shared" si="8"/>
        <v>450561.01999999996</v>
      </c>
      <c r="Q32" s="309"/>
      <c r="S32" s="327">
        <v>5</v>
      </c>
      <c r="T32" s="328" t="s">
        <v>14</v>
      </c>
      <c r="U32" s="299">
        <f>'Rem. Anticipos R2'!L425</f>
        <v>49929.88</v>
      </c>
      <c r="V32" s="300">
        <f>'Rem. Anticipos R2'!M425</f>
        <v>42615.73</v>
      </c>
      <c r="W32" s="300">
        <f>'Rem. Anticipos R2'!N425</f>
        <v>207354.77</v>
      </c>
      <c r="X32" s="300">
        <f>'Rem. Anticipos R2'!O425</f>
        <v>105918.25</v>
      </c>
      <c r="Y32" s="292">
        <f>'Rem. Anticipos R2'!P425</f>
        <v>7450.02</v>
      </c>
      <c r="Z32" s="322">
        <f>L32*-1</f>
        <v>0</v>
      </c>
      <c r="AA32" s="323">
        <f>'Rem. Anticipos R2'!Q425</f>
        <v>3.22</v>
      </c>
      <c r="AB32" s="297">
        <f>N32</f>
        <v>0</v>
      </c>
      <c r="AC32" s="323">
        <f>'Rem. Anticipos R2'!R425</f>
        <v>0</v>
      </c>
      <c r="AD32" s="294">
        <f t="shared" si="10"/>
        <v>37289.15</v>
      </c>
      <c r="AE32" s="294">
        <f>'Rem. Anticipos R2'!E426</f>
        <v>37289.15</v>
      </c>
      <c r="AF32" s="325">
        <f>SUM(U32:AD32)</f>
        <v>450561.02</v>
      </c>
      <c r="AG32" s="329">
        <f>(AF32-O32)</f>
        <v>5.8207660913467407E-11</v>
      </c>
      <c r="AH32" s="1" t="b">
        <f t="shared" si="9"/>
        <v>1</v>
      </c>
      <c r="AI32" s="309"/>
    </row>
    <row r="33" spans="1:35" s="308" customFormat="1" ht="13.5" thickBot="1" x14ac:dyDescent="0.35">
      <c r="B33" s="330"/>
      <c r="C33" s="331" t="s">
        <v>2</v>
      </c>
      <c r="D33" s="293">
        <f>SUM(D28:D32)</f>
        <v>18086466.890000001</v>
      </c>
      <c r="E33" s="293">
        <f>SUM(E28:E32)</f>
        <v>1554141.99</v>
      </c>
      <c r="F33" s="293">
        <f t="shared" ref="F33:O33" si="12">SUM(F28:F32)</f>
        <v>872464.43</v>
      </c>
      <c r="G33" s="293">
        <f t="shared" si="12"/>
        <v>561992.07999999996</v>
      </c>
      <c r="H33" s="293">
        <f t="shared" si="12"/>
        <v>4424998.76</v>
      </c>
      <c r="I33" s="293">
        <f t="shared" si="12"/>
        <v>159214</v>
      </c>
      <c r="J33" s="293">
        <f t="shared" si="12"/>
        <v>0</v>
      </c>
      <c r="K33" s="303">
        <f t="shared" si="12"/>
        <v>10513655.629999997</v>
      </c>
      <c r="L33" s="304">
        <f t="shared" si="12"/>
        <v>0</v>
      </c>
      <c r="M33" s="305">
        <f t="shared" si="12"/>
        <v>10513655.629999997</v>
      </c>
      <c r="N33" s="304">
        <f t="shared" si="12"/>
        <v>0</v>
      </c>
      <c r="O33" s="305">
        <f t="shared" si="12"/>
        <v>10513655.629999997</v>
      </c>
      <c r="P33" s="332"/>
      <c r="Q33" s="309"/>
      <c r="S33" s="330"/>
      <c r="T33" s="331" t="s">
        <v>2</v>
      </c>
      <c r="U33" s="333">
        <f>SUM(U28:U32)</f>
        <v>1776171.18</v>
      </c>
      <c r="V33" s="333">
        <f t="shared" ref="V33:AG33" si="13">SUM(V28:V32)</f>
        <v>1380815.71</v>
      </c>
      <c r="W33" s="333">
        <f t="shared" si="13"/>
        <v>5984477.6399999997</v>
      </c>
      <c r="X33" s="333">
        <f t="shared" si="13"/>
        <v>3580291.3600000003</v>
      </c>
      <c r="Y33" s="333">
        <f t="shared" si="13"/>
        <v>233420.75</v>
      </c>
      <c r="Z33" s="293">
        <f t="shared" si="13"/>
        <v>0</v>
      </c>
      <c r="AA33" s="293">
        <f t="shared" si="13"/>
        <v>78.2</v>
      </c>
      <c r="AB33" s="293">
        <f t="shared" si="13"/>
        <v>0</v>
      </c>
      <c r="AC33" s="293">
        <f t="shared" si="13"/>
        <v>0</v>
      </c>
      <c r="AD33" s="293">
        <f>SUM(AD28:AD32)</f>
        <v>-2441599.21</v>
      </c>
      <c r="AE33" s="293">
        <f>SUM(AE28:AE32)</f>
        <v>-2441599.21</v>
      </c>
      <c r="AF33" s="334">
        <f t="shared" si="13"/>
        <v>10513655.630000001</v>
      </c>
      <c r="AG33" s="335">
        <f t="shared" si="13"/>
        <v>1.9790604710578918E-9</v>
      </c>
      <c r="AH33" s="1" t="b">
        <f t="shared" si="9"/>
        <v>1</v>
      </c>
      <c r="AI33" s="309"/>
    </row>
    <row r="34" spans="1:35" ht="12" thickBot="1" x14ac:dyDescent="0.3">
      <c r="B34" s="2"/>
      <c r="C34" s="2"/>
      <c r="D34" s="24"/>
      <c r="E34" s="24"/>
      <c r="F34" s="24"/>
      <c r="G34" s="24"/>
      <c r="H34" s="24"/>
      <c r="I34" s="24"/>
      <c r="K34" s="24"/>
      <c r="L34" s="24"/>
      <c r="M34" s="24"/>
      <c r="N34" s="24"/>
      <c r="O34" s="24"/>
      <c r="Q34" s="4"/>
      <c r="S34" s="2"/>
      <c r="T34" s="2"/>
      <c r="U34" s="24"/>
      <c r="V34" s="24"/>
      <c r="W34" s="24"/>
      <c r="X34" s="24"/>
      <c r="Y34" s="24"/>
      <c r="AF34" s="24"/>
      <c r="AI34" s="4"/>
    </row>
    <row r="35" spans="1:35" ht="12" thickBot="1" x14ac:dyDescent="0.3">
      <c r="B35" s="2"/>
      <c r="C35" s="2"/>
      <c r="D35" s="24" t="s">
        <v>1</v>
      </c>
      <c r="E35" s="24"/>
      <c r="F35" s="24"/>
      <c r="G35" s="24"/>
      <c r="H35" s="24"/>
      <c r="I35" s="24"/>
      <c r="K35" s="24"/>
      <c r="L35" s="24"/>
      <c r="M35" s="24"/>
      <c r="N35" s="24"/>
      <c r="O35" s="24"/>
      <c r="Q35" s="4"/>
      <c r="Y35" s="86">
        <f>SUM(U33:Y33)</f>
        <v>12955176.640000001</v>
      </c>
      <c r="AA35" s="1" t="s">
        <v>1</v>
      </c>
      <c r="AB35" s="1" t="s">
        <v>1</v>
      </c>
      <c r="AD35" s="1" t="s">
        <v>1</v>
      </c>
      <c r="AF35" s="1" t="s">
        <v>1</v>
      </c>
      <c r="AI35" s="4"/>
    </row>
    <row r="36" spans="1:35" ht="12" thickBot="1" x14ac:dyDescent="0.3">
      <c r="B36" s="2"/>
      <c r="C36" s="2"/>
      <c r="D36" s="24" t="s">
        <v>1</v>
      </c>
      <c r="E36" s="33"/>
      <c r="F36" s="33"/>
      <c r="G36" s="33"/>
      <c r="H36" s="33"/>
      <c r="I36" s="24"/>
      <c r="K36" s="24"/>
      <c r="L36" s="24"/>
      <c r="M36" s="24"/>
      <c r="N36" s="24"/>
      <c r="O36" s="24"/>
      <c r="Q36" s="4"/>
      <c r="AI36" s="4"/>
    </row>
    <row r="37" spans="1:35" x14ac:dyDescent="0.25">
      <c r="B37" s="2"/>
      <c r="C37" s="2"/>
      <c r="D37" s="24" t="s">
        <v>1</v>
      </c>
      <c r="E37" s="24" t="s">
        <v>1</v>
      </c>
      <c r="F37" s="24" t="s">
        <v>25</v>
      </c>
      <c r="G37" s="24"/>
      <c r="H37" s="24"/>
      <c r="I37" s="24"/>
      <c r="K37" s="24"/>
      <c r="L37" s="24"/>
      <c r="M37" s="24"/>
      <c r="N37" s="24"/>
      <c r="O37" s="24"/>
      <c r="Q37" s="4"/>
      <c r="AI37" s="4"/>
    </row>
    <row r="38" spans="1:35" x14ac:dyDescent="0.25">
      <c r="A38" s="4"/>
      <c r="B38" s="34"/>
      <c r="C38" s="34"/>
      <c r="D38" s="35"/>
      <c r="E38" s="35"/>
      <c r="F38" s="35"/>
      <c r="G38" s="35"/>
      <c r="H38" s="35"/>
      <c r="I38" s="35"/>
      <c r="J38" s="4"/>
      <c r="K38" s="35"/>
      <c r="L38" s="35"/>
      <c r="M38" s="35"/>
      <c r="N38" s="35"/>
      <c r="O38" s="35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</row>
    <row r="39" spans="1:35" ht="12" thickBot="1" x14ac:dyDescent="0.3">
      <c r="Q39" s="4"/>
      <c r="AI39" s="4"/>
    </row>
    <row r="40" spans="1:35" x14ac:dyDescent="0.25">
      <c r="B40" s="5"/>
      <c r="C40" s="3" t="s">
        <v>1</v>
      </c>
      <c r="D40" s="6" t="s">
        <v>1</v>
      </c>
      <c r="E40" s="3"/>
      <c r="F40" s="3"/>
      <c r="G40" s="3"/>
      <c r="H40" s="3" t="s">
        <v>1</v>
      </c>
      <c r="I40" s="3"/>
      <c r="J40" s="3"/>
      <c r="K40" s="3"/>
      <c r="L40" s="3"/>
      <c r="M40" s="3"/>
      <c r="N40" s="3"/>
      <c r="O40" s="7"/>
      <c r="P40" s="2"/>
      <c r="Q40" s="4"/>
      <c r="S40" s="5"/>
      <c r="T40" s="3" t="s">
        <v>1</v>
      </c>
      <c r="U40" s="6" t="s">
        <v>1</v>
      </c>
      <c r="V40" s="3"/>
      <c r="W40" s="3"/>
      <c r="X40" s="3" t="s">
        <v>1</v>
      </c>
      <c r="Y40" s="3"/>
      <c r="Z40" s="3"/>
      <c r="AA40" s="3"/>
      <c r="AB40" s="3"/>
      <c r="AC40" s="3"/>
      <c r="AD40" s="3"/>
      <c r="AE40" s="3"/>
      <c r="AF40" s="7"/>
      <c r="AG40" s="2"/>
      <c r="AI40" s="4"/>
    </row>
    <row r="41" spans="1:35" ht="14" x14ac:dyDescent="0.3">
      <c r="B41" s="8"/>
      <c r="F41" s="26" t="s">
        <v>8</v>
      </c>
      <c r="G41" s="26"/>
      <c r="I41" s="26" t="s">
        <v>16</v>
      </c>
      <c r="J41" s="25"/>
      <c r="M41" s="2" t="s">
        <v>15</v>
      </c>
      <c r="N41" s="50">
        <f>N3</f>
        <v>2026071</v>
      </c>
      <c r="O41" s="10"/>
      <c r="P41" s="2"/>
      <c r="Q41" s="4"/>
      <c r="S41" s="8"/>
      <c r="U41" s="26" t="s">
        <v>8</v>
      </c>
      <c r="W41" s="26" t="s">
        <v>16</v>
      </c>
      <c r="X41" s="25"/>
      <c r="Y41" s="2"/>
      <c r="AA41" s="2" t="s">
        <v>15</v>
      </c>
      <c r="AD41" s="84">
        <f>N41</f>
        <v>2026071</v>
      </c>
      <c r="AE41" s="84"/>
      <c r="AF41" s="48"/>
      <c r="AG41" s="2"/>
      <c r="AI41" s="4"/>
    </row>
    <row r="42" spans="1:35" ht="15.5" x14ac:dyDescent="0.35">
      <c r="B42" s="8"/>
      <c r="F42" s="36" t="s">
        <v>29</v>
      </c>
      <c r="G42" s="36"/>
      <c r="O42" s="10"/>
      <c r="P42" s="2"/>
      <c r="Q42" s="4"/>
      <c r="S42" s="8"/>
      <c r="T42" s="26" t="s">
        <v>1</v>
      </c>
      <c r="U42" s="36" t="s">
        <v>29</v>
      </c>
      <c r="Y42" s="2" t="s">
        <v>1</v>
      </c>
      <c r="AA42" s="50" t="s">
        <v>1</v>
      </c>
      <c r="AB42" s="2"/>
      <c r="AC42" s="2"/>
      <c r="AD42" s="2"/>
      <c r="AE42" s="2"/>
      <c r="AF42" s="10" t="s">
        <v>1</v>
      </c>
      <c r="AG42" s="2"/>
      <c r="AI42" s="4"/>
    </row>
    <row r="43" spans="1:35" ht="14" x14ac:dyDescent="0.3">
      <c r="B43" s="8"/>
      <c r="F43" s="2" t="s">
        <v>30</v>
      </c>
      <c r="G43" s="2"/>
      <c r="M43" s="2" t="s">
        <v>1</v>
      </c>
      <c r="O43" s="10"/>
      <c r="P43" s="2"/>
      <c r="Q43" s="4"/>
      <c r="S43" s="8"/>
      <c r="T43" s="49" t="s">
        <v>1</v>
      </c>
      <c r="U43" s="2" t="s">
        <v>30</v>
      </c>
      <c r="AF43" s="44"/>
      <c r="AG43" s="2"/>
      <c r="AI43" s="4"/>
    </row>
    <row r="44" spans="1:35" ht="15.5" x14ac:dyDescent="0.35">
      <c r="B44" s="8"/>
      <c r="C44" s="591" t="s">
        <v>17</v>
      </c>
      <c r="D44" s="9">
        <f>D6</f>
        <v>46220</v>
      </c>
      <c r="F44" s="41" t="s">
        <v>32</v>
      </c>
      <c r="G44" s="41"/>
      <c r="H44" s="2"/>
      <c r="J44" s="2"/>
      <c r="O44" s="10"/>
      <c r="P44" s="2"/>
      <c r="Q44" s="4"/>
      <c r="S44" s="8"/>
      <c r="T44" s="41" t="s">
        <v>1</v>
      </c>
      <c r="U44" s="41" t="s">
        <v>32</v>
      </c>
      <c r="V44" s="2"/>
      <c r="X44" s="2"/>
      <c r="Y44" s="2"/>
      <c r="AF44" s="48"/>
      <c r="AG44" s="2"/>
      <c r="AI44" s="4"/>
    </row>
    <row r="45" spans="1:35" ht="12" thickBot="1" x14ac:dyDescent="0.3">
      <c r="B45" s="8"/>
      <c r="C45" s="591" t="s">
        <v>0</v>
      </c>
      <c r="D45" s="241">
        <f>D7</f>
        <v>0.58333333333333337</v>
      </c>
      <c r="F45" s="2" t="s">
        <v>27</v>
      </c>
      <c r="G45" s="9">
        <f>G7</f>
        <v>46204</v>
      </c>
      <c r="J45" s="2" t="s">
        <v>28</v>
      </c>
      <c r="K45" s="9">
        <f>K7</f>
        <v>46218</v>
      </c>
      <c r="O45" s="10"/>
      <c r="P45" s="2"/>
      <c r="Q45" s="4"/>
      <c r="S45" s="8"/>
      <c r="U45" s="1" t="str">
        <f>F45</f>
        <v>Fecha Desde:</v>
      </c>
      <c r="V45" s="9">
        <f>G45</f>
        <v>46204</v>
      </c>
      <c r="W45" s="1" t="s">
        <v>1</v>
      </c>
      <c r="X45" s="1" t="str">
        <f>J45</f>
        <v>Feha Hasta:</v>
      </c>
      <c r="Y45" s="9">
        <f>K45</f>
        <v>46218</v>
      </c>
      <c r="Z45" s="1" t="s">
        <v>1</v>
      </c>
      <c r="AF45" s="48"/>
      <c r="AG45" s="2"/>
      <c r="AI45" s="4"/>
    </row>
    <row r="46" spans="1:35" ht="72" customHeight="1" thickBot="1" x14ac:dyDescent="0.3">
      <c r="B46" s="11" t="s">
        <v>3</v>
      </c>
      <c r="C46" s="27" t="s">
        <v>9</v>
      </c>
      <c r="D46" s="11" t="s">
        <v>4</v>
      </c>
      <c r="E46" s="12" t="s">
        <v>5</v>
      </c>
      <c r="F46" s="27" t="s">
        <v>6</v>
      </c>
      <c r="G46" s="27" t="s">
        <v>159</v>
      </c>
      <c r="H46" s="27" t="s">
        <v>18</v>
      </c>
      <c r="I46" s="12" t="s">
        <v>24</v>
      </c>
      <c r="J46" s="73" t="s">
        <v>19</v>
      </c>
      <c r="K46" s="29" t="s">
        <v>20</v>
      </c>
      <c r="L46" s="28" t="s">
        <v>21</v>
      </c>
      <c r="M46" s="39" t="s">
        <v>22</v>
      </c>
      <c r="N46" s="12" t="s">
        <v>7</v>
      </c>
      <c r="O46" s="39" t="s">
        <v>23</v>
      </c>
      <c r="P46" s="13"/>
      <c r="Q46" s="4"/>
      <c r="S46" s="11" t="s">
        <v>3</v>
      </c>
      <c r="T46" s="27" t="s">
        <v>9</v>
      </c>
      <c r="U46" s="162" t="s">
        <v>39</v>
      </c>
      <c r="V46" s="163" t="s">
        <v>40</v>
      </c>
      <c r="W46" s="163" t="s">
        <v>41</v>
      </c>
      <c r="X46" s="163" t="s">
        <v>42</v>
      </c>
      <c r="Y46" s="164" t="s">
        <v>43</v>
      </c>
      <c r="Z46" s="85" t="s">
        <v>21</v>
      </c>
      <c r="AA46" s="65" t="s">
        <v>46</v>
      </c>
      <c r="AB46" s="65" t="s">
        <v>7</v>
      </c>
      <c r="AC46" s="85" t="s">
        <v>167</v>
      </c>
      <c r="AD46" s="121" t="s">
        <v>107</v>
      </c>
      <c r="AE46" s="121" t="s">
        <v>225</v>
      </c>
      <c r="AF46" s="39" t="s">
        <v>23</v>
      </c>
      <c r="AG46" s="13"/>
      <c r="AI46" s="4"/>
    </row>
    <row r="47" spans="1:35" s="308" customFormat="1" x14ac:dyDescent="0.25">
      <c r="B47" s="306">
        <v>1</v>
      </c>
      <c r="C47" s="307" t="s">
        <v>10</v>
      </c>
      <c r="D47" s="294">
        <f>'Reporte Componentes R1'!F68</f>
        <v>11673020</v>
      </c>
      <c r="E47" s="295">
        <f>'Reporte Componentes R1'!G68</f>
        <v>1241820.9099999999</v>
      </c>
      <c r="F47" s="295">
        <f>'Reporte Componentes R1'!H68</f>
        <v>701209.88</v>
      </c>
      <c r="G47" s="295">
        <f>'Reporte Componentes R1'!I68</f>
        <v>369347.71</v>
      </c>
      <c r="H47" s="295">
        <f>'Reporte Componentes R1'!J68</f>
        <v>164355.72</v>
      </c>
      <c r="I47" s="295">
        <f>'Reporte Componentes R1'!K68</f>
        <v>5918.58</v>
      </c>
      <c r="J47" s="291">
        <v>0</v>
      </c>
      <c r="K47" s="296">
        <f>D47-E47-F47-G47-H47-I47-J47</f>
        <v>9190367.1999999974</v>
      </c>
      <c r="L47" s="297">
        <v>0</v>
      </c>
      <c r="M47" s="296">
        <f>K47-L47</f>
        <v>9190367.1999999974</v>
      </c>
      <c r="N47" s="297">
        <f>'Reporte Componentes R1'!L68</f>
        <v>0</v>
      </c>
      <c r="O47" s="296">
        <f>M47+N47</f>
        <v>9190367.1999999974</v>
      </c>
      <c r="Q47" s="309"/>
      <c r="S47" s="306">
        <v>1</v>
      </c>
      <c r="T47" s="307" t="s">
        <v>10</v>
      </c>
      <c r="U47" s="310">
        <f>'Reporte Componentes R1'!M68</f>
        <v>51916.98</v>
      </c>
      <c r="V47" s="311">
        <f>'Reporte Componentes R1'!N68</f>
        <v>67675.100000000006</v>
      </c>
      <c r="W47" s="311">
        <f>'Reporte Componentes R1'!O68</f>
        <v>316052.37</v>
      </c>
      <c r="X47" s="311">
        <f>'Reporte Componentes R1'!P68</f>
        <v>3403574.07</v>
      </c>
      <c r="Y47" s="312">
        <f>'Reporte Componentes R1'!Q68</f>
        <v>9656.44</v>
      </c>
      <c r="Z47" s="313">
        <f>-L47</f>
        <v>0</v>
      </c>
      <c r="AA47" s="314">
        <f>'Reporte Componentes R1'!R68+'Reporte Componentes R1'!V68+'Reporte Componentes R1'!U68</f>
        <v>-12.39</v>
      </c>
      <c r="AB47" s="297">
        <f>N47</f>
        <v>0</v>
      </c>
      <c r="AC47" s="314">
        <f>'Reporte Componentes R1'!T68+'Reporte Componentes R1'!S68+'Reporte Componentes R1'!W68+'Reporte Componentes R1'!X68+'Reporte Componentes R1'!Y68+'Reporte Componentes R1'!Z68</f>
        <v>0</v>
      </c>
      <c r="AD47" s="294">
        <f>-J47+AE47</f>
        <v>5341504.63</v>
      </c>
      <c r="AE47" s="294">
        <f>'Reporte Componentes R1'!F69</f>
        <v>5341504.63</v>
      </c>
      <c r="AF47" s="316">
        <f>SUM(U47:AD47)</f>
        <v>9190367.1999999993</v>
      </c>
      <c r="AG47" s="314">
        <f>(AF47-O47)</f>
        <v>1.862645149230957E-9</v>
      </c>
      <c r="AH47" s="1" t="b">
        <f>INT(AG47)=0</f>
        <v>1</v>
      </c>
      <c r="AI47" s="309"/>
    </row>
    <row r="48" spans="1:35" s="308" customFormat="1" x14ac:dyDescent="0.25">
      <c r="B48" s="317">
        <v>2</v>
      </c>
      <c r="C48" s="318" t="s">
        <v>11</v>
      </c>
      <c r="D48" s="294">
        <f>'Reporte Componentes R1'!F198</f>
        <v>0</v>
      </c>
      <c r="E48" s="295">
        <f>'Reporte Componentes R1'!G198</f>
        <v>0</v>
      </c>
      <c r="F48" s="295">
        <f>'Reporte Componentes R1'!H198</f>
        <v>0</v>
      </c>
      <c r="G48" s="295">
        <f>'Reporte Componentes R1'!I198</f>
        <v>0</v>
      </c>
      <c r="H48" s="295">
        <f>'Reporte Componentes R1'!J198</f>
        <v>0</v>
      </c>
      <c r="I48" s="295">
        <f>'Reporte Componentes R1'!K198</f>
        <v>0</v>
      </c>
      <c r="J48" s="291">
        <v>0</v>
      </c>
      <c r="K48" s="298">
        <f t="shared" ref="K48:K51" si="14">D48-E48-F48-G48-H48-I48-J48</f>
        <v>0</v>
      </c>
      <c r="L48" s="297">
        <v>0</v>
      </c>
      <c r="M48" s="298">
        <f>K48-L48</f>
        <v>0</v>
      </c>
      <c r="N48" s="297">
        <f>'Reporte Componentes R1'!L198</f>
        <v>0</v>
      </c>
      <c r="O48" s="298">
        <f t="shared" ref="O48:O51" si="15">M48+N48</f>
        <v>0</v>
      </c>
      <c r="Q48" s="309"/>
      <c r="S48" s="317">
        <v>2</v>
      </c>
      <c r="T48" s="318" t="s">
        <v>11</v>
      </c>
      <c r="U48" s="319">
        <f>'Reporte Componentes R1'!M198</f>
        <v>0</v>
      </c>
      <c r="V48" s="320">
        <f>'Reporte Componentes R1'!N198</f>
        <v>0</v>
      </c>
      <c r="W48" s="320">
        <f>'Reporte Componentes R1'!O198</f>
        <v>0</v>
      </c>
      <c r="X48" s="320">
        <f>'Reporte Componentes R1'!P198</f>
        <v>0</v>
      </c>
      <c r="Y48" s="321">
        <f>'Reporte Componentes R1'!Q198</f>
        <v>0</v>
      </c>
      <c r="Z48" s="322">
        <f>-L48</f>
        <v>0</v>
      </c>
      <c r="AA48" s="323">
        <f>'Reporte Componentes R1'!R198+'Reporte Componentes R1'!V198+'Reporte Componentes R1'!U198</f>
        <v>0</v>
      </c>
      <c r="AB48" s="297">
        <f>N48</f>
        <v>0</v>
      </c>
      <c r="AC48" s="323">
        <f>'Reporte Componentes R1'!T198+'Reporte Componentes R1'!S198+'Reporte Componentes R1'!W198+'Reporte Componentes R1'!X198+'Reporte Componentes R1'!Y198+'Reporte Componentes R1'!Z198</f>
        <v>0</v>
      </c>
      <c r="AD48" s="294">
        <f t="shared" ref="AD48:AD51" si="16">-J48+AE48</f>
        <v>0</v>
      </c>
      <c r="AE48" s="294">
        <f>'Reporte Componentes R1'!F199</f>
        <v>0</v>
      </c>
      <c r="AF48" s="325">
        <f>SUM(U48:AD48)</f>
        <v>0</v>
      </c>
      <c r="AG48" s="326">
        <f>(AF48-O48)</f>
        <v>0</v>
      </c>
      <c r="AH48" s="1" t="b">
        <f t="shared" ref="AH48:AH52" si="17">INT(AG48)=0</f>
        <v>1</v>
      </c>
      <c r="AI48" s="309"/>
    </row>
    <row r="49" spans="1:35" s="308" customFormat="1" x14ac:dyDescent="0.25">
      <c r="B49" s="317">
        <v>3</v>
      </c>
      <c r="C49" s="318" t="s">
        <v>12</v>
      </c>
      <c r="D49" s="294">
        <f>'Reporte Componentes R1'!F338</f>
        <v>10198723.07</v>
      </c>
      <c r="E49" s="295">
        <f>'Reporte Componentes R1'!G338</f>
        <v>1240516.47</v>
      </c>
      <c r="F49" s="295">
        <f>'Reporte Componentes R1'!H338</f>
        <v>700393.35</v>
      </c>
      <c r="G49" s="295">
        <f>'Reporte Componentes R1'!I338</f>
        <v>368494.74</v>
      </c>
      <c r="H49" s="295">
        <f>'Reporte Componentes R1'!J338</f>
        <v>149096.63</v>
      </c>
      <c r="I49" s="295">
        <f>'Reporte Componentes R1'!K338</f>
        <v>4140.01</v>
      </c>
      <c r="J49" s="291">
        <v>0</v>
      </c>
      <c r="K49" s="298">
        <f t="shared" si="14"/>
        <v>7736081.8700000001</v>
      </c>
      <c r="L49" s="297">
        <v>0</v>
      </c>
      <c r="M49" s="298">
        <f>K49-L49</f>
        <v>7736081.8700000001</v>
      </c>
      <c r="N49" s="297">
        <f>'Reporte Componentes R1'!L338</f>
        <v>0</v>
      </c>
      <c r="O49" s="298">
        <f t="shared" si="15"/>
        <v>7736081.8700000001</v>
      </c>
      <c r="Q49" s="309"/>
      <c r="S49" s="317">
        <v>3</v>
      </c>
      <c r="T49" s="318" t="s">
        <v>12</v>
      </c>
      <c r="U49" s="319">
        <f>'Reporte Componentes R1'!M338</f>
        <v>36316.120000000003</v>
      </c>
      <c r="V49" s="320">
        <f>'Reporte Componentes R1'!N338</f>
        <v>53217.55</v>
      </c>
      <c r="W49" s="320">
        <f>'Reporte Componentes R1'!O338</f>
        <v>250685.64</v>
      </c>
      <c r="X49" s="320">
        <f>'Reporte Componentes R1'!P338</f>
        <v>2889219.96</v>
      </c>
      <c r="Y49" s="321">
        <f>'Reporte Componentes R1'!Q338</f>
        <v>6754.81</v>
      </c>
      <c r="Z49" s="322">
        <f>-L49</f>
        <v>0</v>
      </c>
      <c r="AA49" s="323">
        <f>'Reporte Componentes R1'!R338+'Reporte Componentes R1'!V338+'Reporte Componentes R1'!U338</f>
        <v>-10.43</v>
      </c>
      <c r="AB49" s="297">
        <f>N49</f>
        <v>0</v>
      </c>
      <c r="AC49" s="323">
        <f>'Reporte Componentes R1'!T338+'Reporte Componentes R1'!S338+'Reporte Componentes R1'!W338+'Reporte Componentes R1'!X338+'Reporte Componentes R1'!Y338+'Reporte Componentes R1'!Z338</f>
        <v>0</v>
      </c>
      <c r="AD49" s="294">
        <f t="shared" si="16"/>
        <v>4499898.22</v>
      </c>
      <c r="AE49" s="294">
        <f>'Reporte Componentes R1'!F339</f>
        <v>4499898.22</v>
      </c>
      <c r="AF49" s="325">
        <f t="shared" ref="AF49:AF51" si="18">SUM(U49:AD49)</f>
        <v>7736081.8699999992</v>
      </c>
      <c r="AG49" s="326">
        <f t="shared" ref="AG49:AG51" si="19">(AF49-O49)</f>
        <v>-9.3132257461547852E-10</v>
      </c>
      <c r="AH49" s="1" t="b">
        <f t="shared" si="17"/>
        <v>0</v>
      </c>
      <c r="AI49" s="309"/>
    </row>
    <row r="50" spans="1:35" s="308" customFormat="1" x14ac:dyDescent="0.25">
      <c r="B50" s="317">
        <v>4</v>
      </c>
      <c r="C50" s="318" t="s">
        <v>13</v>
      </c>
      <c r="D50" s="294">
        <f>'Reporte Componentes R1'!F459</f>
        <v>1855630</v>
      </c>
      <c r="E50" s="295">
        <f>'Reporte Componentes R1'!G459</f>
        <v>76737.42</v>
      </c>
      <c r="F50" s="295">
        <f>'Reporte Componentes R1'!H459</f>
        <v>43742.31</v>
      </c>
      <c r="G50" s="295">
        <f>'Reporte Componentes R1'!I459</f>
        <v>23640.67</v>
      </c>
      <c r="H50" s="295">
        <f>'Reporte Componentes R1'!J459</f>
        <v>279525.84999999998</v>
      </c>
      <c r="I50" s="295">
        <f>'Reporte Componentes R1'!K459</f>
        <v>9440.52</v>
      </c>
      <c r="J50" s="291">
        <v>0</v>
      </c>
      <c r="K50" s="298">
        <f t="shared" si="14"/>
        <v>1422543.23</v>
      </c>
      <c r="L50" s="297">
        <v>0</v>
      </c>
      <c r="M50" s="298">
        <f>K50-L50</f>
        <v>1422543.23</v>
      </c>
      <c r="N50" s="297">
        <f>'Reporte Componentes R1'!L459</f>
        <v>0</v>
      </c>
      <c r="O50" s="298">
        <f t="shared" si="15"/>
        <v>1422543.23</v>
      </c>
      <c r="Q50" s="309"/>
      <c r="S50" s="317">
        <v>4</v>
      </c>
      <c r="T50" s="318" t="s">
        <v>13</v>
      </c>
      <c r="U50" s="319">
        <f>'Reporte Componentes R1'!M459</f>
        <v>66184.91</v>
      </c>
      <c r="V50" s="320">
        <f>'Reporte Componentes R1'!N459</f>
        <v>71728.429999999993</v>
      </c>
      <c r="W50" s="320">
        <f>'Reporte Componentes R1'!O459</f>
        <v>924480.27</v>
      </c>
      <c r="X50" s="320">
        <f>'Reporte Componentes R1'!P459</f>
        <v>202409.25</v>
      </c>
      <c r="Y50" s="321">
        <f>'Reporte Componentes R1'!Q459</f>
        <v>15402.95</v>
      </c>
      <c r="Z50" s="322">
        <f>-L50</f>
        <v>0</v>
      </c>
      <c r="AA50" s="323">
        <f>'Reporte Componentes R1'!R459+'Reporte Componentes R1'!V459+'Reporte Componentes R1'!U459</f>
        <v>6.35</v>
      </c>
      <c r="AB50" s="297">
        <f>N50</f>
        <v>0</v>
      </c>
      <c r="AC50" s="323">
        <f>'Reporte Componentes R1'!T459+'Reporte Componentes R1'!S459+'Reporte Componentes R1'!W459+'Reporte Componentes R1'!X459+'Reporte Componentes R1'!Y459+'Reporte Componentes R1'!Z459</f>
        <v>0</v>
      </c>
      <c r="AD50" s="294">
        <f t="shared" si="16"/>
        <v>142331.07</v>
      </c>
      <c r="AE50" s="294">
        <f>'Reporte Componentes R1'!F460</f>
        <v>142331.07</v>
      </c>
      <c r="AF50" s="325">
        <f t="shared" si="18"/>
        <v>1422543.2300000002</v>
      </c>
      <c r="AG50" s="326">
        <f t="shared" si="19"/>
        <v>2.3283064365386963E-10</v>
      </c>
      <c r="AH50" s="1" t="b">
        <f t="shared" si="17"/>
        <v>1</v>
      </c>
      <c r="AI50" s="309"/>
    </row>
    <row r="51" spans="1:35" s="308" customFormat="1" ht="12" thickBot="1" x14ac:dyDescent="0.3">
      <c r="B51" s="327">
        <v>5</v>
      </c>
      <c r="C51" s="328" t="s">
        <v>14</v>
      </c>
      <c r="D51" s="299">
        <f>'Reporte Componentes R1'!F541</f>
        <v>0</v>
      </c>
      <c r="E51" s="300">
        <f>'Reporte Componentes R1'!G541</f>
        <v>0</v>
      </c>
      <c r="F51" s="300">
        <f>'Reporte Componentes R1'!H541</f>
        <v>0</v>
      </c>
      <c r="G51" s="300">
        <f>'Reporte Componentes R1'!I541</f>
        <v>0</v>
      </c>
      <c r="H51" s="300">
        <f>'Reporte Componentes R1'!J541</f>
        <v>0</v>
      </c>
      <c r="I51" s="300">
        <f>'Reporte Componentes R1'!K541</f>
        <v>0</v>
      </c>
      <c r="J51" s="292">
        <v>0</v>
      </c>
      <c r="K51" s="298">
        <f t="shared" si="14"/>
        <v>0</v>
      </c>
      <c r="L51" s="297">
        <v>0</v>
      </c>
      <c r="M51" s="301">
        <f>K51-L51</f>
        <v>0</v>
      </c>
      <c r="N51" s="302">
        <f>'Reporte Componentes R1'!L541</f>
        <v>0</v>
      </c>
      <c r="O51" s="301">
        <f t="shared" si="15"/>
        <v>0</v>
      </c>
      <c r="Q51" s="309"/>
      <c r="S51" s="327">
        <v>5</v>
      </c>
      <c r="T51" s="328" t="s">
        <v>14</v>
      </c>
      <c r="U51" s="299">
        <f>'Reporte Componentes R1'!M541</f>
        <v>0</v>
      </c>
      <c r="V51" s="300">
        <f>'Reporte Componentes R1'!N541</f>
        <v>0</v>
      </c>
      <c r="W51" s="300">
        <f>'Reporte Componentes R1'!O541</f>
        <v>0</v>
      </c>
      <c r="X51" s="300">
        <f>'Reporte Componentes R1'!P541</f>
        <v>0</v>
      </c>
      <c r="Y51" s="292">
        <f>'Reporte Componentes R1'!Q541</f>
        <v>0</v>
      </c>
      <c r="Z51" s="322">
        <f>-L51</f>
        <v>0</v>
      </c>
      <c r="AA51" s="323">
        <f>'Reporte Componentes R1'!R541+'Reporte Componentes R1'!V541+'Reporte Componentes R1'!U541</f>
        <v>0</v>
      </c>
      <c r="AB51" s="297">
        <f>N51</f>
        <v>0</v>
      </c>
      <c r="AC51" s="323">
        <f>'Reporte Componentes R1'!T541+'Reporte Componentes R1'!S541+'Reporte Componentes R1'!W541+'Reporte Componentes R1'!X541+'Reporte Componentes R1'!Y541+'Reporte Componentes R1'!Z541</f>
        <v>0</v>
      </c>
      <c r="AD51" s="294">
        <f t="shared" si="16"/>
        <v>0</v>
      </c>
      <c r="AE51" s="294">
        <f>'Reporte Componentes R1'!F542</f>
        <v>0</v>
      </c>
      <c r="AF51" s="325">
        <f t="shared" si="18"/>
        <v>0</v>
      </c>
      <c r="AG51" s="329">
        <f t="shared" si="19"/>
        <v>0</v>
      </c>
      <c r="AH51" s="1" t="b">
        <f t="shared" si="17"/>
        <v>1</v>
      </c>
      <c r="AI51" s="309"/>
    </row>
    <row r="52" spans="1:35" s="308" customFormat="1" ht="13.5" thickBot="1" x14ac:dyDescent="0.35">
      <c r="B52" s="330"/>
      <c r="C52" s="331" t="s">
        <v>2</v>
      </c>
      <c r="D52" s="293">
        <f t="shared" ref="D52:O52" si="20">SUM(D47:D51)</f>
        <v>23727373.07</v>
      </c>
      <c r="E52" s="293">
        <f t="shared" si="20"/>
        <v>2559074.7999999998</v>
      </c>
      <c r="F52" s="293">
        <f t="shared" si="20"/>
        <v>1445345.54</v>
      </c>
      <c r="G52" s="293">
        <f t="shared" ref="G52" si="21">SUM(G47:G51)</f>
        <v>761483.12</v>
      </c>
      <c r="H52" s="293">
        <f t="shared" si="20"/>
        <v>592978.19999999995</v>
      </c>
      <c r="I52" s="293">
        <f t="shared" si="20"/>
        <v>19499.11</v>
      </c>
      <c r="J52" s="293">
        <f t="shared" si="20"/>
        <v>0</v>
      </c>
      <c r="K52" s="303">
        <f t="shared" si="20"/>
        <v>18348992.299999997</v>
      </c>
      <c r="L52" s="304">
        <f t="shared" si="20"/>
        <v>0</v>
      </c>
      <c r="M52" s="305">
        <f t="shared" si="20"/>
        <v>18348992.299999997</v>
      </c>
      <c r="N52" s="304">
        <f t="shared" si="20"/>
        <v>0</v>
      </c>
      <c r="O52" s="305">
        <f t="shared" si="20"/>
        <v>18348992.299999997</v>
      </c>
      <c r="P52" s="332"/>
      <c r="Q52" s="309"/>
      <c r="S52" s="330"/>
      <c r="T52" s="331" t="s">
        <v>2</v>
      </c>
      <c r="U52" s="333">
        <f>SUM(U47:U51)</f>
        <v>154418.01</v>
      </c>
      <c r="V52" s="333">
        <f t="shared" ref="V52:AG52" si="22">SUM(V47:V51)</f>
        <v>192621.08000000002</v>
      </c>
      <c r="W52" s="333">
        <f t="shared" si="22"/>
        <v>1491218.28</v>
      </c>
      <c r="X52" s="333">
        <f t="shared" si="22"/>
        <v>6495203.2799999993</v>
      </c>
      <c r="Y52" s="333">
        <f t="shared" si="22"/>
        <v>31814.2</v>
      </c>
      <c r="Z52" s="293">
        <f t="shared" si="22"/>
        <v>0</v>
      </c>
      <c r="AA52" s="293">
        <f t="shared" si="22"/>
        <v>-16.47</v>
      </c>
      <c r="AB52" s="293">
        <f t="shared" si="22"/>
        <v>0</v>
      </c>
      <c r="AC52" s="293">
        <f t="shared" ref="AC52" si="23">SUM(AC47:AC51)</f>
        <v>0</v>
      </c>
      <c r="AD52" s="293">
        <f>SUM(AD47:AD51)</f>
        <v>9983733.9199999999</v>
      </c>
      <c r="AE52" s="293">
        <f>SUM(AE47:AE51)</f>
        <v>9983733.9199999999</v>
      </c>
      <c r="AF52" s="334">
        <f t="shared" si="22"/>
        <v>18348992.300000001</v>
      </c>
      <c r="AG52" s="335">
        <f t="shared" si="22"/>
        <v>1.1641532182693481E-9</v>
      </c>
      <c r="AH52" s="1" t="b">
        <f t="shared" si="17"/>
        <v>1</v>
      </c>
      <c r="AI52" s="309"/>
    </row>
    <row r="53" spans="1:35" ht="12" thickBot="1" x14ac:dyDescent="0.3">
      <c r="B53" s="2"/>
      <c r="C53" s="2"/>
      <c r="D53" s="24"/>
      <c r="E53" s="24"/>
      <c r="F53" s="24"/>
      <c r="G53" s="24"/>
      <c r="H53" s="24"/>
      <c r="I53" s="24"/>
      <c r="K53" s="24"/>
      <c r="L53" s="24"/>
      <c r="M53" s="24"/>
      <c r="N53" s="24"/>
      <c r="O53" s="24"/>
      <c r="Q53" s="4"/>
      <c r="S53" s="2"/>
      <c r="T53" s="2"/>
      <c r="U53" s="24"/>
      <c r="V53" s="24"/>
      <c r="W53" s="24"/>
      <c r="X53" s="24"/>
      <c r="Y53" s="24"/>
      <c r="AF53" s="24"/>
      <c r="AI53" s="4"/>
    </row>
    <row r="54" spans="1:35" ht="12" thickBot="1" x14ac:dyDescent="0.3">
      <c r="B54" s="2"/>
      <c r="C54" s="2"/>
      <c r="D54" s="24" t="s">
        <v>1</v>
      </c>
      <c r="E54" s="24"/>
      <c r="F54" s="24"/>
      <c r="G54" s="24"/>
      <c r="H54" s="24"/>
      <c r="I54" s="24"/>
      <c r="K54" s="24"/>
      <c r="L54" s="24"/>
      <c r="M54" s="24"/>
      <c r="N54" s="24"/>
      <c r="O54" s="24"/>
      <c r="Q54" s="4"/>
      <c r="Y54" s="86">
        <f>SUM(U52:Y52)</f>
        <v>8365274.8499999996</v>
      </c>
      <c r="AA54" s="1" t="s">
        <v>1</v>
      </c>
      <c r="AB54" s="1" t="s">
        <v>1</v>
      </c>
      <c r="AD54" s="1" t="s">
        <v>1</v>
      </c>
      <c r="AF54" s="1" t="s">
        <v>1</v>
      </c>
      <c r="AI54" s="4"/>
    </row>
    <row r="55" spans="1:35" ht="12" thickBot="1" x14ac:dyDescent="0.3">
      <c r="B55" s="2"/>
      <c r="C55" s="2"/>
      <c r="D55" s="24" t="s">
        <v>1</v>
      </c>
      <c r="E55" s="33"/>
      <c r="F55" s="33"/>
      <c r="G55" s="33"/>
      <c r="H55" s="33"/>
      <c r="I55" s="24"/>
      <c r="K55" s="24"/>
      <c r="L55" s="24"/>
      <c r="M55" s="24"/>
      <c r="N55" s="24"/>
      <c r="O55" s="24"/>
      <c r="Q55" s="4"/>
      <c r="AI55" s="4"/>
    </row>
    <row r="56" spans="1:35" x14ac:dyDescent="0.25">
      <c r="B56" s="2"/>
      <c r="C56" s="2"/>
      <c r="D56" s="24" t="s">
        <v>1</v>
      </c>
      <c r="E56" s="24" t="s">
        <v>1</v>
      </c>
      <c r="F56" s="24" t="s">
        <v>25</v>
      </c>
      <c r="G56" s="24"/>
      <c r="H56" s="24"/>
      <c r="I56" s="24"/>
      <c r="K56" s="24"/>
      <c r="L56" s="24"/>
      <c r="M56" s="24"/>
      <c r="N56" s="24"/>
      <c r="O56" s="24"/>
      <c r="Q56" s="4"/>
      <c r="AI56" s="4"/>
    </row>
    <row r="57" spans="1:35" x14ac:dyDescent="0.25">
      <c r="A57" s="4"/>
      <c r="B57" s="34"/>
      <c r="C57" s="34"/>
      <c r="D57" s="35"/>
      <c r="E57" s="35"/>
      <c r="F57" s="35"/>
      <c r="G57" s="35"/>
      <c r="H57" s="35"/>
      <c r="I57" s="35"/>
      <c r="J57" s="4"/>
      <c r="K57" s="35"/>
      <c r="L57" s="35"/>
      <c r="M57" s="35"/>
      <c r="N57" s="35"/>
      <c r="O57" s="35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</row>
    <row r="58" spans="1:35" ht="12" thickBot="1" x14ac:dyDescent="0.3">
      <c r="Q58" s="4"/>
      <c r="AI58" s="4"/>
    </row>
    <row r="59" spans="1:35" x14ac:dyDescent="0.25">
      <c r="B59" s="5"/>
      <c r="C59" s="3" t="s">
        <v>1</v>
      </c>
      <c r="D59" s="6" t="s">
        <v>1</v>
      </c>
      <c r="E59" s="3"/>
      <c r="F59" s="3"/>
      <c r="G59" s="3"/>
      <c r="H59" s="3" t="s">
        <v>1</v>
      </c>
      <c r="I59" s="3"/>
      <c r="J59" s="3"/>
      <c r="K59" s="3"/>
      <c r="L59" s="3"/>
      <c r="M59" s="3"/>
      <c r="N59" s="3"/>
      <c r="O59" s="7"/>
      <c r="P59" s="2"/>
      <c r="Q59" s="4"/>
      <c r="S59" s="5"/>
      <c r="T59" s="3" t="s">
        <v>1</v>
      </c>
      <c r="U59" s="6" t="s">
        <v>1</v>
      </c>
      <c r="V59" s="3"/>
      <c r="W59" s="3"/>
      <c r="X59" s="3" t="s">
        <v>1</v>
      </c>
      <c r="Y59" s="3"/>
      <c r="Z59" s="3"/>
      <c r="AA59" s="3"/>
      <c r="AB59" s="3"/>
      <c r="AC59" s="3"/>
      <c r="AD59" s="3"/>
      <c r="AE59" s="3"/>
      <c r="AF59" s="7"/>
      <c r="AG59" s="2"/>
      <c r="AI59" s="4"/>
    </row>
    <row r="60" spans="1:35" ht="14" x14ac:dyDescent="0.3">
      <c r="B60" s="8"/>
      <c r="F60" s="26" t="s">
        <v>8</v>
      </c>
      <c r="G60" s="26"/>
      <c r="I60" s="26" t="s">
        <v>16</v>
      </c>
      <c r="J60" s="25"/>
      <c r="M60" s="2" t="s">
        <v>15</v>
      </c>
      <c r="N60" s="50">
        <f>N3</f>
        <v>2026071</v>
      </c>
      <c r="O60" s="10"/>
      <c r="P60" s="2"/>
      <c r="Q60" s="4"/>
      <c r="S60" s="8"/>
      <c r="U60" s="26" t="s">
        <v>8</v>
      </c>
      <c r="W60" s="26" t="s">
        <v>16</v>
      </c>
      <c r="X60" s="25"/>
      <c r="Y60" s="2"/>
      <c r="AA60" s="2" t="s">
        <v>15</v>
      </c>
      <c r="AD60" s="84">
        <f>N60</f>
        <v>2026071</v>
      </c>
      <c r="AE60" s="84"/>
      <c r="AF60" s="48"/>
      <c r="AG60" s="2"/>
      <c r="AI60" s="4"/>
    </row>
    <row r="61" spans="1:35" ht="15.5" x14ac:dyDescent="0.35">
      <c r="B61" s="8"/>
      <c r="F61" s="36" t="s">
        <v>29</v>
      </c>
      <c r="G61" s="36"/>
      <c r="O61" s="10"/>
      <c r="P61" s="2"/>
      <c r="Q61" s="4"/>
      <c r="S61" s="8"/>
      <c r="T61" s="26" t="s">
        <v>1</v>
      </c>
      <c r="U61" s="36" t="s">
        <v>29</v>
      </c>
      <c r="Y61" s="2" t="s">
        <v>1</v>
      </c>
      <c r="AA61" s="50" t="s">
        <v>1</v>
      </c>
      <c r="AB61" s="2"/>
      <c r="AC61" s="2"/>
      <c r="AD61" s="2"/>
      <c r="AE61" s="2"/>
      <c r="AF61" s="10" t="s">
        <v>1</v>
      </c>
      <c r="AG61" s="2"/>
      <c r="AI61" s="4"/>
    </row>
    <row r="62" spans="1:35" ht="14" x14ac:dyDescent="0.3">
      <c r="B62" s="8"/>
      <c r="F62" s="2" t="s">
        <v>30</v>
      </c>
      <c r="G62" s="2"/>
      <c r="M62" s="2" t="s">
        <v>1</v>
      </c>
      <c r="O62" s="10"/>
      <c r="P62" s="2"/>
      <c r="Q62" s="4"/>
      <c r="S62" s="8"/>
      <c r="T62" s="49" t="s">
        <v>1</v>
      </c>
      <c r="U62" s="2" t="s">
        <v>30</v>
      </c>
      <c r="AF62" s="44"/>
      <c r="AG62" s="2"/>
      <c r="AI62" s="4"/>
    </row>
    <row r="63" spans="1:35" ht="15.5" x14ac:dyDescent="0.35">
      <c r="B63" s="8"/>
      <c r="C63" s="591" t="s">
        <v>17</v>
      </c>
      <c r="D63" s="9">
        <f>D6</f>
        <v>46220</v>
      </c>
      <c r="F63" s="41" t="s">
        <v>33</v>
      </c>
      <c r="G63" s="41"/>
      <c r="H63" s="2"/>
      <c r="J63" s="2"/>
      <c r="O63" s="10"/>
      <c r="P63" s="2"/>
      <c r="Q63" s="4"/>
      <c r="S63" s="8"/>
      <c r="T63" s="41" t="s">
        <v>1</v>
      </c>
      <c r="U63" s="41" t="s">
        <v>33</v>
      </c>
      <c r="V63" s="2"/>
      <c r="X63" s="2"/>
      <c r="Y63" s="2"/>
      <c r="AF63" s="48"/>
      <c r="AG63" s="2"/>
      <c r="AI63" s="4"/>
    </row>
    <row r="64" spans="1:35" ht="12" thickBot="1" x14ac:dyDescent="0.3">
      <c r="B64" s="8"/>
      <c r="C64" s="591" t="s">
        <v>0</v>
      </c>
      <c r="D64" s="241">
        <f>D7</f>
        <v>0.58333333333333337</v>
      </c>
      <c r="F64" s="2" t="s">
        <v>27</v>
      </c>
      <c r="G64" s="9">
        <f>G7</f>
        <v>46204</v>
      </c>
      <c r="J64" s="2" t="s">
        <v>28</v>
      </c>
      <c r="K64" s="9">
        <f>K7</f>
        <v>46218</v>
      </c>
      <c r="O64" s="10"/>
      <c r="P64" s="2"/>
      <c r="Q64" s="4"/>
      <c r="S64" s="8"/>
      <c r="U64" s="1" t="str">
        <f>F64</f>
        <v>Fecha Desde:</v>
      </c>
      <c r="V64" s="9">
        <f>G64</f>
        <v>46204</v>
      </c>
      <c r="W64" s="1" t="s">
        <v>1</v>
      </c>
      <c r="X64" s="1" t="str">
        <f>J64</f>
        <v>Feha Hasta:</v>
      </c>
      <c r="Y64" s="9">
        <f>K64</f>
        <v>46218</v>
      </c>
      <c r="Z64" s="1" t="s">
        <v>1</v>
      </c>
      <c r="AF64" s="48"/>
      <c r="AG64" s="2"/>
      <c r="AI64" s="4"/>
    </row>
    <row r="65" spans="1:35" ht="72" customHeight="1" thickBot="1" x14ac:dyDescent="0.3">
      <c r="B65" s="11" t="s">
        <v>3</v>
      </c>
      <c r="C65" s="27" t="s">
        <v>9</v>
      </c>
      <c r="D65" s="11" t="s">
        <v>4</v>
      </c>
      <c r="E65" s="12" t="s">
        <v>5</v>
      </c>
      <c r="F65" s="27" t="s">
        <v>6</v>
      </c>
      <c r="G65" s="27" t="s">
        <v>159</v>
      </c>
      <c r="H65" s="27" t="s">
        <v>18</v>
      </c>
      <c r="I65" s="12" t="s">
        <v>24</v>
      </c>
      <c r="J65" s="73" t="s">
        <v>19</v>
      </c>
      <c r="K65" s="29" t="s">
        <v>20</v>
      </c>
      <c r="L65" s="28" t="s">
        <v>21</v>
      </c>
      <c r="M65" s="39" t="s">
        <v>22</v>
      </c>
      <c r="N65" s="12" t="s">
        <v>7</v>
      </c>
      <c r="O65" s="39" t="s">
        <v>23</v>
      </c>
      <c r="P65" s="13"/>
      <c r="Q65" s="4"/>
      <c r="S65" s="11" t="s">
        <v>3</v>
      </c>
      <c r="T65" s="27" t="s">
        <v>9</v>
      </c>
      <c r="U65" s="162" t="s">
        <v>39</v>
      </c>
      <c r="V65" s="163" t="s">
        <v>40</v>
      </c>
      <c r="W65" s="163" t="s">
        <v>41</v>
      </c>
      <c r="X65" s="163" t="s">
        <v>42</v>
      </c>
      <c r="Y65" s="164" t="s">
        <v>43</v>
      </c>
      <c r="Z65" s="85" t="s">
        <v>21</v>
      </c>
      <c r="AA65" s="65" t="s">
        <v>46</v>
      </c>
      <c r="AB65" s="65" t="s">
        <v>7</v>
      </c>
      <c r="AC65" s="85" t="s">
        <v>167</v>
      </c>
      <c r="AD65" s="121" t="s">
        <v>107</v>
      </c>
      <c r="AE65" s="121" t="s">
        <v>225</v>
      </c>
      <c r="AF65" s="39" t="s">
        <v>23</v>
      </c>
      <c r="AG65" s="13"/>
      <c r="AI65" s="4"/>
    </row>
    <row r="66" spans="1:35" s="308" customFormat="1" x14ac:dyDescent="0.25">
      <c r="B66" s="306">
        <v>1</v>
      </c>
      <c r="C66" s="307" t="s">
        <v>10</v>
      </c>
      <c r="D66" s="294">
        <f>'Reversion Pagos R4'!D79</f>
        <v>-12054255.65</v>
      </c>
      <c r="E66" s="295">
        <f>'Reversion Pagos R4'!E79</f>
        <v>-1538555.69</v>
      </c>
      <c r="F66" s="295">
        <f>'Reversion Pagos R4'!F79</f>
        <v>-869015.39</v>
      </c>
      <c r="G66" s="295">
        <f>'Reversion Pagos R4'!G79</f>
        <v>-457881.97</v>
      </c>
      <c r="H66" s="295">
        <f>'Reversion Pagos R4'!H79</f>
        <v>-382604.13</v>
      </c>
      <c r="I66" s="295">
        <f>'Reversion Pagos R4'!I79</f>
        <v>-12197.75</v>
      </c>
      <c r="J66" s="291">
        <v>0</v>
      </c>
      <c r="K66" s="296">
        <f>D66-E66-F66-G66-H66-I66-J66</f>
        <v>-8794000.7199999988</v>
      </c>
      <c r="L66" s="297">
        <v>0</v>
      </c>
      <c r="M66" s="296">
        <f>K66-L66</f>
        <v>-8794000.7199999988</v>
      </c>
      <c r="N66" s="297">
        <f>'Reversion Pagos R4'!P79</f>
        <v>0</v>
      </c>
      <c r="O66" s="296">
        <f>M66+N66</f>
        <v>-8794000.7199999988</v>
      </c>
      <c r="Q66" s="309"/>
      <c r="S66" s="306">
        <v>1</v>
      </c>
      <c r="T66" s="307" t="s">
        <v>10</v>
      </c>
      <c r="U66" s="310">
        <f>'Reversion Pagos R4'!J79</f>
        <v>-113093.15</v>
      </c>
      <c r="V66" s="311">
        <f>'Reversion Pagos R4'!K79</f>
        <v>-152211.56</v>
      </c>
      <c r="W66" s="311">
        <f>'Reversion Pagos R4'!L79</f>
        <v>-738903.14</v>
      </c>
      <c r="X66" s="311">
        <f>'Reversion Pagos R4'!M79</f>
        <v>-4228184.99</v>
      </c>
      <c r="Y66" s="311">
        <f>'Reversion Pagos R4'!N79</f>
        <v>-19901.169999999998</v>
      </c>
      <c r="Z66" s="313">
        <f>-L66</f>
        <v>0</v>
      </c>
      <c r="AA66" s="323">
        <f>'Reversion Pagos R4'!O79</f>
        <v>27.65</v>
      </c>
      <c r="AB66" s="297">
        <f>N66</f>
        <v>0</v>
      </c>
      <c r="AC66" s="323">
        <f>+'Reversion Pagos R4'!Q79+'Reversion Pagos R4'!R79</f>
        <v>0</v>
      </c>
      <c r="AD66" s="294">
        <f>-J66+AE66</f>
        <v>-3541734.36</v>
      </c>
      <c r="AE66" s="294">
        <f>'Reversion Pagos R4'!D80</f>
        <v>-3541734.36</v>
      </c>
      <c r="AF66" s="316">
        <f>SUM(U66:AD66)</f>
        <v>-8794000.7199999988</v>
      </c>
      <c r="AG66" s="314">
        <f>(AF66-O66)</f>
        <v>0</v>
      </c>
      <c r="AH66" s="1" t="b">
        <f>INT(AG66)=0</f>
        <v>1</v>
      </c>
      <c r="AI66" s="309"/>
    </row>
    <row r="67" spans="1:35" s="308" customFormat="1" x14ac:dyDescent="0.25">
      <c r="B67" s="317">
        <v>2</v>
      </c>
      <c r="C67" s="318" t="s">
        <v>11</v>
      </c>
      <c r="D67" s="294">
        <f>'Reversion Pagos R4'!D173</f>
        <v>0</v>
      </c>
      <c r="E67" s="295">
        <f>'Reversion Pagos R4'!E173</f>
        <v>0</v>
      </c>
      <c r="F67" s="295">
        <f>'Reversion Pagos R4'!F173</f>
        <v>0</v>
      </c>
      <c r="G67" s="295">
        <f>'Reversion Pagos R4'!G173</f>
        <v>0</v>
      </c>
      <c r="H67" s="295">
        <f>'Reversion Pagos R4'!H173</f>
        <v>0</v>
      </c>
      <c r="I67" s="295">
        <f>'Reversion Pagos R4'!I173</f>
        <v>0</v>
      </c>
      <c r="J67" s="291">
        <v>0</v>
      </c>
      <c r="K67" s="298">
        <f t="shared" ref="K67:K70" si="24">D67-E67-F67-G67-H67-I67-J67</f>
        <v>0</v>
      </c>
      <c r="L67" s="297">
        <v>0</v>
      </c>
      <c r="M67" s="298">
        <f>K67-L67</f>
        <v>0</v>
      </c>
      <c r="N67" s="297">
        <f>'Reversion Pagos R4'!P173</f>
        <v>0</v>
      </c>
      <c r="O67" s="298">
        <f t="shared" ref="O67:O70" si="25">M67+N67</f>
        <v>0</v>
      </c>
      <c r="Q67" s="309"/>
      <c r="S67" s="317">
        <v>2</v>
      </c>
      <c r="T67" s="318" t="s">
        <v>11</v>
      </c>
      <c r="U67" s="319">
        <f>'Reversion Pagos R4'!J173</f>
        <v>0</v>
      </c>
      <c r="V67" s="320">
        <f>'Reversion Pagos R4'!K173</f>
        <v>0</v>
      </c>
      <c r="W67" s="320">
        <f>'Reversion Pagos R4'!L173</f>
        <v>0</v>
      </c>
      <c r="X67" s="320">
        <f>'Reversion Pagos R4'!M173</f>
        <v>0</v>
      </c>
      <c r="Y67" s="321">
        <f>'Reversion Pagos R4'!N173</f>
        <v>0</v>
      </c>
      <c r="Z67" s="322">
        <f t="shared" ref="Z67:Z70" si="26">-L67</f>
        <v>0</v>
      </c>
      <c r="AA67" s="323">
        <f>'Reversion Pagos R4'!O173</f>
        <v>0</v>
      </c>
      <c r="AB67" s="297">
        <f t="shared" ref="AB67:AB70" si="27">N67</f>
        <v>0</v>
      </c>
      <c r="AC67" s="323">
        <f>+'Reversion Pagos R4'!Q173+'Reversion Pagos R4'!R173</f>
        <v>0</v>
      </c>
      <c r="AD67" s="294">
        <f t="shared" ref="AD67:AD70" si="28">-J67+AE67</f>
        <v>0</v>
      </c>
      <c r="AE67" s="294">
        <f>'Reversion Pagos R4'!D174</f>
        <v>0</v>
      </c>
      <c r="AF67" s="325">
        <f>SUM(U67:AD67)</f>
        <v>0</v>
      </c>
      <c r="AG67" s="326">
        <f>(AF67-O67)</f>
        <v>0</v>
      </c>
      <c r="AH67" s="1" t="b">
        <f t="shared" ref="AH67:AH71" si="29">INT(AG67)=0</f>
        <v>1</v>
      </c>
      <c r="AI67" s="309"/>
    </row>
    <row r="68" spans="1:35" s="308" customFormat="1" x14ac:dyDescent="0.25">
      <c r="B68" s="317">
        <v>3</v>
      </c>
      <c r="C68" s="318" t="s">
        <v>12</v>
      </c>
      <c r="D68" s="294">
        <f>'Reversion Pagos R4'!D210</f>
        <v>-10531481.890000001</v>
      </c>
      <c r="E68" s="295">
        <f>'Reversion Pagos R4'!E210</f>
        <v>-1325361.81</v>
      </c>
      <c r="F68" s="295">
        <f>'Reversion Pagos R4'!F210</f>
        <v>-747483.85</v>
      </c>
      <c r="G68" s="295">
        <f>'Reversion Pagos R4'!G210</f>
        <v>-393903.58</v>
      </c>
      <c r="H68" s="295">
        <f>'Reversion Pagos R4'!H210</f>
        <v>-552984.16</v>
      </c>
      <c r="I68" s="295">
        <f>'Reversion Pagos R4'!I210</f>
        <v>-14995.51</v>
      </c>
      <c r="J68" s="291">
        <v>0</v>
      </c>
      <c r="K68" s="298">
        <f t="shared" si="24"/>
        <v>-7496752.9800000004</v>
      </c>
      <c r="L68" s="297">
        <v>0</v>
      </c>
      <c r="M68" s="298">
        <f>K68-L68</f>
        <v>-7496752.9800000004</v>
      </c>
      <c r="N68" s="297">
        <f>'Reversion Pagos R4'!P210</f>
        <v>0</v>
      </c>
      <c r="O68" s="298">
        <f t="shared" si="25"/>
        <v>-7496752.9800000004</v>
      </c>
      <c r="Q68" s="309"/>
      <c r="S68" s="317">
        <v>3</v>
      </c>
      <c r="T68" s="318" t="s">
        <v>12</v>
      </c>
      <c r="U68" s="319">
        <f>'Reversion Pagos R4'!J210</f>
        <v>-133778.46</v>
      </c>
      <c r="V68" s="320">
        <f>'Reversion Pagos R4'!K210</f>
        <v>-194960.58</v>
      </c>
      <c r="W68" s="320">
        <f>'Reversion Pagos R4'!L210</f>
        <v>-878545.08</v>
      </c>
      <c r="X68" s="320">
        <f>'Reversion Pagos R4'!M210</f>
        <v>-3092938.52</v>
      </c>
      <c r="Y68" s="321">
        <f>'Reversion Pagos R4'!N210</f>
        <v>-24466.52</v>
      </c>
      <c r="Z68" s="322">
        <f t="shared" si="26"/>
        <v>0</v>
      </c>
      <c r="AA68" s="323">
        <f>'Reversion Pagos R4'!O210</f>
        <v>-20.05</v>
      </c>
      <c r="AB68" s="297">
        <f t="shared" si="27"/>
        <v>0</v>
      </c>
      <c r="AC68" s="323">
        <f>+'Reversion Pagos R4'!Q210+'Reversion Pagos R4'!R210</f>
        <v>0</v>
      </c>
      <c r="AD68" s="294">
        <f t="shared" si="28"/>
        <v>-3172043.77</v>
      </c>
      <c r="AE68" s="294">
        <f>'Reversion Pagos R4'!D211</f>
        <v>-3172043.77</v>
      </c>
      <c r="AF68" s="325">
        <f t="shared" ref="AF68:AF70" si="30">SUM(U68:AD68)</f>
        <v>-7496752.9799999986</v>
      </c>
      <c r="AG68" s="326">
        <f t="shared" ref="AG68:AG70" si="31">(AF68-O68)</f>
        <v>1.862645149230957E-9</v>
      </c>
      <c r="AH68" s="1" t="b">
        <f t="shared" si="29"/>
        <v>1</v>
      </c>
      <c r="AI68" s="309"/>
    </row>
    <row r="69" spans="1:35" s="308" customFormat="1" x14ac:dyDescent="0.25">
      <c r="B69" s="317">
        <v>4</v>
      </c>
      <c r="C69" s="318" t="s">
        <v>13</v>
      </c>
      <c r="D69" s="294">
        <f>'Reversion Pagos R4'!D324</f>
        <v>-4856351.96</v>
      </c>
      <c r="E69" s="295">
        <f>'Reversion Pagos R4'!E324</f>
        <v>-432855.7</v>
      </c>
      <c r="F69" s="295">
        <f>'Reversion Pagos R4'!F324</f>
        <v>-209820.72</v>
      </c>
      <c r="G69" s="295">
        <f>'Reversion Pagos R4'!G324</f>
        <v>-99468.84</v>
      </c>
      <c r="H69" s="295">
        <f>'Reversion Pagos R4'!H324</f>
        <v>-1047024.47</v>
      </c>
      <c r="I69" s="295">
        <f>'Reversion Pagos R4'!I324</f>
        <v>-37463.1</v>
      </c>
      <c r="J69" s="291">
        <v>0</v>
      </c>
      <c r="K69" s="298">
        <f t="shared" si="24"/>
        <v>-3029719.1300000004</v>
      </c>
      <c r="L69" s="297">
        <v>0</v>
      </c>
      <c r="M69" s="298">
        <f>K69-L69</f>
        <v>-3029719.1300000004</v>
      </c>
      <c r="N69" s="297">
        <f>'Reversion Pagos R4'!P324</f>
        <v>0</v>
      </c>
      <c r="O69" s="298">
        <f t="shared" si="25"/>
        <v>-3029719.1300000004</v>
      </c>
      <c r="Q69" s="309"/>
      <c r="S69" s="317">
        <v>4</v>
      </c>
      <c r="T69" s="318" t="s">
        <v>13</v>
      </c>
      <c r="U69" s="319">
        <f>'Reversion Pagos R4'!J324</f>
        <v>-331409.39</v>
      </c>
      <c r="V69" s="320">
        <f>'Reversion Pagos R4'!K324</f>
        <v>-349318.34</v>
      </c>
      <c r="W69" s="320">
        <f>'Reversion Pagos R4'!L324</f>
        <v>-1688567.18</v>
      </c>
      <c r="X69" s="320">
        <f>'Reversion Pagos R4'!M324</f>
        <v>-1225142.77</v>
      </c>
      <c r="Y69" s="321">
        <f>'Reversion Pagos R4'!N324</f>
        <v>-61140.59</v>
      </c>
      <c r="Z69" s="322">
        <f t="shared" si="26"/>
        <v>0</v>
      </c>
      <c r="AA69" s="323">
        <f>'Reversion Pagos R4'!O324</f>
        <v>-15.86</v>
      </c>
      <c r="AB69" s="297">
        <f t="shared" si="27"/>
        <v>0</v>
      </c>
      <c r="AC69" s="323">
        <f>+'Reversion Pagos R4'!Q324+'Reversion Pagos R4'!R324</f>
        <v>0</v>
      </c>
      <c r="AD69" s="294">
        <f t="shared" si="28"/>
        <v>625875</v>
      </c>
      <c r="AE69" s="294">
        <f>'Reversion Pagos R4'!D325</f>
        <v>625875</v>
      </c>
      <c r="AF69" s="325">
        <f>SUM(U69:AD69)</f>
        <v>-3029719.13</v>
      </c>
      <c r="AG69" s="326">
        <f>(AF69-O69)</f>
        <v>4.6566128730773926E-10</v>
      </c>
      <c r="AH69" s="1" t="b">
        <f t="shared" si="29"/>
        <v>1</v>
      </c>
      <c r="AI69" s="309"/>
    </row>
    <row r="70" spans="1:35" s="308" customFormat="1" ht="12" thickBot="1" x14ac:dyDescent="0.3">
      <c r="B70" s="327">
        <v>5</v>
      </c>
      <c r="C70" s="328" t="s">
        <v>14</v>
      </c>
      <c r="D70" s="299">
        <f>'Reversion Pagos R4'!D359</f>
        <v>-950286.68</v>
      </c>
      <c r="E70" s="300">
        <f>'Reversion Pagos R4'!E359</f>
        <v>-55493.120000000003</v>
      </c>
      <c r="F70" s="300">
        <f>'Reversion Pagos R4'!F359</f>
        <v>-31699.4</v>
      </c>
      <c r="G70" s="300">
        <f>'Reversion Pagos R4'!G359</f>
        <v>-16950.02</v>
      </c>
      <c r="H70" s="300">
        <f>'Reversion Pagos R4'!H359</f>
        <v>-191495.12</v>
      </c>
      <c r="I70" s="300">
        <f>'Reversion Pagos R4'!I359</f>
        <v>-5804.39</v>
      </c>
      <c r="J70" s="292">
        <v>0</v>
      </c>
      <c r="K70" s="298">
        <f t="shared" si="24"/>
        <v>-648844.63</v>
      </c>
      <c r="L70" s="297">
        <v>0</v>
      </c>
      <c r="M70" s="301">
        <f>K70-L70</f>
        <v>-648844.63</v>
      </c>
      <c r="N70" s="297">
        <f>'Reversion Pagos R4'!P359</f>
        <v>0</v>
      </c>
      <c r="O70" s="301">
        <f t="shared" si="25"/>
        <v>-648844.63</v>
      </c>
      <c r="Q70" s="309"/>
      <c r="S70" s="327">
        <v>5</v>
      </c>
      <c r="T70" s="328" t="s">
        <v>14</v>
      </c>
      <c r="U70" s="299">
        <f>'Reversion Pagos R4'!J359</f>
        <v>-53174.94</v>
      </c>
      <c r="V70" s="300">
        <f>'Reversion Pagos R4'!K359</f>
        <v>-73788.22</v>
      </c>
      <c r="W70" s="300">
        <f>'Reversion Pagos R4'!L359</f>
        <v>-354583.83</v>
      </c>
      <c r="X70" s="300">
        <f>'Reversion Pagos R4'!M359</f>
        <v>-173007.79</v>
      </c>
      <c r="Y70" s="292">
        <f>'Reversion Pagos R4'!N359</f>
        <v>-9470.2000000000007</v>
      </c>
      <c r="Z70" s="322">
        <f t="shared" si="26"/>
        <v>0</v>
      </c>
      <c r="AA70" s="323">
        <f>'Reversion Pagos R4'!O359</f>
        <v>6.43</v>
      </c>
      <c r="AB70" s="297">
        <f t="shared" si="27"/>
        <v>0</v>
      </c>
      <c r="AC70" s="323">
        <f>+'Reversion Pagos R4'!Q359+'Reversion Pagos R4'!R359</f>
        <v>0.02</v>
      </c>
      <c r="AD70" s="294">
        <f t="shared" si="28"/>
        <v>15173.9</v>
      </c>
      <c r="AE70" s="294">
        <f>'Reversion Pagos R4'!D360</f>
        <v>15173.9</v>
      </c>
      <c r="AF70" s="325">
        <f t="shared" si="30"/>
        <v>-648844.62999999989</v>
      </c>
      <c r="AG70" s="329">
        <f t="shared" si="31"/>
        <v>1.1641532182693481E-10</v>
      </c>
      <c r="AH70" s="1" t="b">
        <f t="shared" si="29"/>
        <v>1</v>
      </c>
      <c r="AI70" s="309"/>
    </row>
    <row r="71" spans="1:35" s="308" customFormat="1" ht="13.5" thickBot="1" x14ac:dyDescent="0.35">
      <c r="B71" s="330"/>
      <c r="C71" s="331" t="s">
        <v>2</v>
      </c>
      <c r="D71" s="293">
        <f t="shared" ref="D71:O71" si="32">SUM(D66:D70)</f>
        <v>-28392376.18</v>
      </c>
      <c r="E71" s="293">
        <f t="shared" si="32"/>
        <v>-3352266.3200000003</v>
      </c>
      <c r="F71" s="293">
        <f t="shared" si="32"/>
        <v>-1858019.3599999999</v>
      </c>
      <c r="G71" s="293">
        <f t="shared" si="32"/>
        <v>-968204.41</v>
      </c>
      <c r="H71" s="293">
        <f t="shared" si="32"/>
        <v>-2174107.88</v>
      </c>
      <c r="I71" s="293">
        <f t="shared" si="32"/>
        <v>-70460.75</v>
      </c>
      <c r="J71" s="293">
        <f t="shared" si="32"/>
        <v>0</v>
      </c>
      <c r="K71" s="303">
        <f t="shared" si="32"/>
        <v>-19969317.459999997</v>
      </c>
      <c r="L71" s="304">
        <f t="shared" si="32"/>
        <v>0</v>
      </c>
      <c r="M71" s="305">
        <f t="shared" si="32"/>
        <v>-19969317.459999997</v>
      </c>
      <c r="N71" s="304">
        <f t="shared" si="32"/>
        <v>0</v>
      </c>
      <c r="O71" s="305">
        <f t="shared" si="32"/>
        <v>-19969317.459999997</v>
      </c>
      <c r="P71" s="332"/>
      <c r="Q71" s="309"/>
      <c r="S71" s="330"/>
      <c r="T71" s="331" t="s">
        <v>2</v>
      </c>
      <c r="U71" s="333">
        <f>SUM(U66:U70)</f>
        <v>-631455.93999999994</v>
      </c>
      <c r="V71" s="333">
        <f t="shared" ref="V71:AG71" si="33">SUM(V66:V70)</f>
        <v>-770278.7</v>
      </c>
      <c r="W71" s="333">
        <f t="shared" si="33"/>
        <v>-3660599.23</v>
      </c>
      <c r="X71" s="333">
        <f t="shared" si="33"/>
        <v>-8719274.0699999984</v>
      </c>
      <c r="Y71" s="333">
        <f t="shared" si="33"/>
        <v>-114978.48</v>
      </c>
      <c r="Z71" s="293">
        <f t="shared" si="33"/>
        <v>0</v>
      </c>
      <c r="AA71" s="293">
        <f>SUM(AA66:AA70)</f>
        <v>-1.8300000000000018</v>
      </c>
      <c r="AB71" s="293">
        <f t="shared" si="33"/>
        <v>0</v>
      </c>
      <c r="AC71" s="293">
        <f t="shared" si="33"/>
        <v>0.02</v>
      </c>
      <c r="AD71" s="293">
        <f>SUM(AD66:AD70)</f>
        <v>-6072729.2299999995</v>
      </c>
      <c r="AE71" s="293">
        <f>SUM(AE66:AE70)</f>
        <v>-6072729.2299999995</v>
      </c>
      <c r="AF71" s="334">
        <f t="shared" si="33"/>
        <v>-19969317.459999997</v>
      </c>
      <c r="AG71" s="335">
        <f t="shared" si="33"/>
        <v>2.4447217583656311E-9</v>
      </c>
      <c r="AH71" s="1" t="b">
        <f t="shared" si="29"/>
        <v>1</v>
      </c>
      <c r="AI71" s="309"/>
    </row>
    <row r="72" spans="1:35" ht="12" thickBot="1" x14ac:dyDescent="0.3">
      <c r="B72" s="2"/>
      <c r="C72" s="2"/>
      <c r="D72" s="24"/>
      <c r="E72" s="24"/>
      <c r="F72" s="24"/>
      <c r="G72" s="24"/>
      <c r="H72" s="24"/>
      <c r="I72" s="24"/>
      <c r="K72" s="24"/>
      <c r="L72" s="24"/>
      <c r="M72" s="24"/>
      <c r="N72" s="24"/>
      <c r="O72" s="24"/>
      <c r="Q72" s="4"/>
      <c r="S72" s="2"/>
      <c r="T72" s="2"/>
      <c r="U72" s="24"/>
      <c r="V72" s="24"/>
      <c r="W72" s="24"/>
      <c r="X72" s="24"/>
      <c r="Y72" s="24"/>
      <c r="AF72" s="24"/>
      <c r="AI72" s="4"/>
    </row>
    <row r="73" spans="1:35" ht="12" thickBot="1" x14ac:dyDescent="0.3">
      <c r="B73" s="2"/>
      <c r="C73" s="2"/>
      <c r="D73" s="24" t="s">
        <v>1</v>
      </c>
      <c r="E73" s="24"/>
      <c r="F73" s="24"/>
      <c r="G73" s="24"/>
      <c r="H73" s="24"/>
      <c r="I73" s="24"/>
      <c r="K73" s="24"/>
      <c r="L73" s="24"/>
      <c r="M73" s="24"/>
      <c r="N73" s="24"/>
      <c r="O73" s="24"/>
      <c r="Q73" s="4"/>
      <c r="Y73" s="86">
        <f>SUM(U71:Y71)</f>
        <v>-13896586.419999998</v>
      </c>
      <c r="AF73" s="1" t="s">
        <v>1</v>
      </c>
      <c r="AI73" s="4"/>
    </row>
    <row r="74" spans="1:35" ht="12" thickBot="1" x14ac:dyDescent="0.3">
      <c r="B74" s="2"/>
      <c r="C74" s="2"/>
      <c r="D74" s="24" t="s">
        <v>1</v>
      </c>
      <c r="E74" s="33"/>
      <c r="F74" s="33"/>
      <c r="G74" s="33"/>
      <c r="H74" s="33"/>
      <c r="I74" s="24"/>
      <c r="K74" s="24"/>
      <c r="L74" s="24"/>
      <c r="M74" s="24"/>
      <c r="N74" s="24"/>
      <c r="O74" s="24"/>
      <c r="Q74" s="4"/>
      <c r="AI74" s="4"/>
    </row>
    <row r="75" spans="1:35" x14ac:dyDescent="0.25">
      <c r="B75" s="2"/>
      <c r="C75" s="2"/>
      <c r="D75" s="24" t="s">
        <v>1</v>
      </c>
      <c r="E75" s="24" t="s">
        <v>1</v>
      </c>
      <c r="F75" s="24" t="s">
        <v>25</v>
      </c>
      <c r="G75" s="24"/>
      <c r="H75" s="24"/>
      <c r="I75" s="24"/>
      <c r="K75" s="24"/>
      <c r="L75" s="24"/>
      <c r="M75" s="24"/>
      <c r="N75" s="24"/>
      <c r="O75" s="24"/>
      <c r="Q75" s="4"/>
      <c r="AI75" s="4"/>
    </row>
    <row r="76" spans="1:35" x14ac:dyDescent="0.25">
      <c r="A76" s="4"/>
      <c r="B76" s="34"/>
      <c r="C76" s="34"/>
      <c r="D76" s="35"/>
      <c r="E76" s="35"/>
      <c r="F76" s="35"/>
      <c r="G76" s="35"/>
      <c r="H76" s="35"/>
      <c r="I76" s="35"/>
      <c r="J76" s="4"/>
      <c r="K76" s="35"/>
      <c r="L76" s="35"/>
      <c r="M76" s="35"/>
      <c r="N76" s="35"/>
      <c r="O76" s="35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</row>
    <row r="77" spans="1:35" ht="12" thickBot="1" x14ac:dyDescent="0.3">
      <c r="Q77" s="4"/>
      <c r="AI77" s="4"/>
    </row>
    <row r="78" spans="1:35" x14ac:dyDescent="0.25">
      <c r="B78" s="5"/>
      <c r="C78" s="3" t="s">
        <v>1</v>
      </c>
      <c r="D78" s="6" t="s">
        <v>1</v>
      </c>
      <c r="E78" s="3"/>
      <c r="F78" s="3"/>
      <c r="G78" s="3"/>
      <c r="H78" s="3" t="s">
        <v>1</v>
      </c>
      <c r="I78" s="3"/>
      <c r="J78" s="3"/>
      <c r="K78" s="3"/>
      <c r="L78" s="3"/>
      <c r="M78" s="3"/>
      <c r="N78" s="3"/>
      <c r="O78" s="7"/>
      <c r="P78" s="2"/>
      <c r="Q78" s="4"/>
      <c r="S78" s="5"/>
      <c r="T78" s="3" t="s">
        <v>1</v>
      </c>
      <c r="U78" s="6" t="s">
        <v>1</v>
      </c>
      <c r="V78" s="3"/>
      <c r="W78" s="3"/>
      <c r="X78" s="3" t="s">
        <v>1</v>
      </c>
      <c r="Y78" s="3"/>
      <c r="Z78" s="3"/>
      <c r="AA78" s="3"/>
      <c r="AB78" s="3"/>
      <c r="AC78" s="3"/>
      <c r="AD78" s="3"/>
      <c r="AE78" s="3"/>
      <c r="AF78" s="7"/>
      <c r="AG78" s="2"/>
      <c r="AI78" s="4"/>
    </row>
    <row r="79" spans="1:35" ht="14" x14ac:dyDescent="0.3">
      <c r="B79" s="8"/>
      <c r="F79" s="26" t="s">
        <v>8</v>
      </c>
      <c r="G79" s="26"/>
      <c r="I79" s="26" t="s">
        <v>16</v>
      </c>
      <c r="J79" s="25"/>
      <c r="M79" s="2" t="s">
        <v>15</v>
      </c>
      <c r="N79" s="50">
        <f>N3</f>
        <v>2026071</v>
      </c>
      <c r="O79" s="10"/>
      <c r="P79" s="2"/>
      <c r="Q79" s="4"/>
      <c r="S79" s="8"/>
      <c r="U79" s="26" t="s">
        <v>8</v>
      </c>
      <c r="W79" s="26" t="s">
        <v>16</v>
      </c>
      <c r="X79" s="25"/>
      <c r="Y79" s="2"/>
      <c r="AA79" s="2" t="s">
        <v>15</v>
      </c>
      <c r="AD79" s="84">
        <f>N79</f>
        <v>2026071</v>
      </c>
      <c r="AE79" s="84"/>
      <c r="AF79" s="48"/>
      <c r="AG79" s="2"/>
      <c r="AI79" s="4"/>
    </row>
    <row r="80" spans="1:35" ht="15.5" x14ac:dyDescent="0.35">
      <c r="B80" s="8"/>
      <c r="F80" s="36" t="s">
        <v>29</v>
      </c>
      <c r="G80" s="36"/>
      <c r="O80" s="10"/>
      <c r="P80" s="2"/>
      <c r="Q80" s="4"/>
      <c r="S80" s="8"/>
      <c r="T80" s="26" t="s">
        <v>1</v>
      </c>
      <c r="U80" s="36" t="s">
        <v>29</v>
      </c>
      <c r="Y80" s="2" t="s">
        <v>1</v>
      </c>
      <c r="AA80" s="50" t="s">
        <v>1</v>
      </c>
      <c r="AB80" s="2"/>
      <c r="AC80" s="2"/>
      <c r="AD80" s="2"/>
      <c r="AE80" s="2"/>
      <c r="AF80" s="10" t="s">
        <v>1</v>
      </c>
      <c r="AG80" s="2"/>
      <c r="AI80" s="4"/>
    </row>
    <row r="81" spans="1:35" ht="14" x14ac:dyDescent="0.3">
      <c r="B81" s="8"/>
      <c r="F81" s="2" t="s">
        <v>30</v>
      </c>
      <c r="G81" s="2"/>
      <c r="M81" s="2" t="s">
        <v>1</v>
      </c>
      <c r="O81" s="10"/>
      <c r="P81" s="2"/>
      <c r="Q81" s="4"/>
      <c r="S81" s="8"/>
      <c r="T81" s="49" t="s">
        <v>1</v>
      </c>
      <c r="U81" s="2" t="s">
        <v>30</v>
      </c>
      <c r="AF81" s="44"/>
      <c r="AG81" s="2"/>
      <c r="AI81" s="4"/>
    </row>
    <row r="82" spans="1:35" ht="15.5" x14ac:dyDescent="0.35">
      <c r="B82" s="8"/>
      <c r="C82" s="591" t="s">
        <v>17</v>
      </c>
      <c r="D82" s="9">
        <f>D6</f>
        <v>46220</v>
      </c>
      <c r="F82" s="41" t="s">
        <v>126</v>
      </c>
      <c r="G82" s="41"/>
      <c r="H82" s="2"/>
      <c r="J82" s="2"/>
      <c r="O82" s="10"/>
      <c r="P82" s="2"/>
      <c r="Q82" s="4"/>
      <c r="S82" s="8"/>
      <c r="T82" s="41" t="s">
        <v>1</v>
      </c>
      <c r="U82" s="41" t="s">
        <v>34</v>
      </c>
      <c r="V82" s="2"/>
      <c r="X82" s="2"/>
      <c r="Y82" s="2"/>
      <c r="AF82" s="48"/>
      <c r="AG82" s="2"/>
      <c r="AI82" s="4"/>
    </row>
    <row r="83" spans="1:35" ht="12" thickBot="1" x14ac:dyDescent="0.3">
      <c r="B83" s="8"/>
      <c r="C83" s="591" t="s">
        <v>0</v>
      </c>
      <c r="D83" s="241">
        <f>D7</f>
        <v>0.58333333333333337</v>
      </c>
      <c r="F83" s="2" t="s">
        <v>27</v>
      </c>
      <c r="G83" s="9">
        <f>G7</f>
        <v>46204</v>
      </c>
      <c r="J83" s="2" t="s">
        <v>28</v>
      </c>
      <c r="K83" s="9">
        <f>K7</f>
        <v>46218</v>
      </c>
      <c r="O83" s="10"/>
      <c r="P83" s="2"/>
      <c r="Q83" s="4"/>
      <c r="S83" s="8"/>
      <c r="U83" s="1" t="str">
        <f>F83</f>
        <v>Fecha Desde:</v>
      </c>
      <c r="V83" s="9">
        <f>G83</f>
        <v>46204</v>
      </c>
      <c r="W83" s="1" t="s">
        <v>1</v>
      </c>
      <c r="X83" s="1" t="str">
        <f>J83</f>
        <v>Feha Hasta:</v>
      </c>
      <c r="Y83" s="9">
        <f>K83</f>
        <v>46218</v>
      </c>
      <c r="Z83" s="1" t="s">
        <v>1</v>
      </c>
      <c r="AF83" s="48"/>
      <c r="AG83" s="2"/>
      <c r="AI83" s="4"/>
    </row>
    <row r="84" spans="1:35" ht="72" customHeight="1" thickBot="1" x14ac:dyDescent="0.3">
      <c r="B84" s="11" t="s">
        <v>3</v>
      </c>
      <c r="C84" s="27" t="s">
        <v>9</v>
      </c>
      <c r="D84" s="11" t="s">
        <v>4</v>
      </c>
      <c r="E84" s="12" t="s">
        <v>5</v>
      </c>
      <c r="F84" s="27" t="s">
        <v>6</v>
      </c>
      <c r="G84" s="27" t="s">
        <v>159</v>
      </c>
      <c r="H84" s="27" t="s">
        <v>18</v>
      </c>
      <c r="I84" s="12" t="s">
        <v>24</v>
      </c>
      <c r="J84" s="73" t="s">
        <v>19</v>
      </c>
      <c r="K84" s="29" t="s">
        <v>20</v>
      </c>
      <c r="L84" s="28" t="s">
        <v>21</v>
      </c>
      <c r="M84" s="39" t="s">
        <v>22</v>
      </c>
      <c r="N84" s="12" t="s">
        <v>7</v>
      </c>
      <c r="O84" s="39" t="s">
        <v>23</v>
      </c>
      <c r="P84" s="13"/>
      <c r="Q84" s="4"/>
      <c r="S84" s="11" t="s">
        <v>3</v>
      </c>
      <c r="T84" s="27" t="s">
        <v>9</v>
      </c>
      <c r="U84" s="162" t="s">
        <v>39</v>
      </c>
      <c r="V84" s="163" t="s">
        <v>40</v>
      </c>
      <c r="W84" s="163" t="s">
        <v>41</v>
      </c>
      <c r="X84" s="163" t="s">
        <v>42</v>
      </c>
      <c r="Y84" s="164" t="s">
        <v>43</v>
      </c>
      <c r="Z84" s="85" t="s">
        <v>21</v>
      </c>
      <c r="AA84" s="65" t="s">
        <v>46</v>
      </c>
      <c r="AB84" s="65" t="s">
        <v>7</v>
      </c>
      <c r="AC84" s="85" t="s">
        <v>167</v>
      </c>
      <c r="AD84" s="121" t="s">
        <v>105</v>
      </c>
      <c r="AE84" s="121" t="s">
        <v>104</v>
      </c>
      <c r="AF84" s="39" t="s">
        <v>23</v>
      </c>
      <c r="AG84" s="13"/>
      <c r="AI84" s="4"/>
    </row>
    <row r="85" spans="1:35" s="308" customFormat="1" x14ac:dyDescent="0.25">
      <c r="B85" s="306">
        <v>1</v>
      </c>
      <c r="C85" s="307" t="s">
        <v>10</v>
      </c>
      <c r="D85" s="294">
        <v>0</v>
      </c>
      <c r="E85" s="295">
        <v>0</v>
      </c>
      <c r="F85" s="295">
        <v>0</v>
      </c>
      <c r="G85" s="295">
        <v>0</v>
      </c>
      <c r="H85" s="295">
        <v>0</v>
      </c>
      <c r="I85" s="295">
        <v>0</v>
      </c>
      <c r="J85" s="291">
        <v>0</v>
      </c>
      <c r="K85" s="296">
        <f>D85-E85-F85-G85-H85-I85-J85</f>
        <v>0</v>
      </c>
      <c r="L85" s="297">
        <v>0</v>
      </c>
      <c r="M85" s="296">
        <f>K85-L85</f>
        <v>0</v>
      </c>
      <c r="N85" s="297">
        <v>0</v>
      </c>
      <c r="O85" s="296">
        <f>M85+N85</f>
        <v>0</v>
      </c>
      <c r="Q85" s="309"/>
      <c r="S85" s="306">
        <v>1</v>
      </c>
      <c r="T85" s="307" t="s">
        <v>10</v>
      </c>
      <c r="U85" s="310">
        <v>0</v>
      </c>
      <c r="V85" s="311">
        <v>0</v>
      </c>
      <c r="W85" s="311">
        <v>0</v>
      </c>
      <c r="X85" s="311">
        <v>0</v>
      </c>
      <c r="Y85" s="312">
        <v>0</v>
      </c>
      <c r="Z85" s="313">
        <v>0</v>
      </c>
      <c r="AA85" s="313">
        <v>0</v>
      </c>
      <c r="AB85" s="313">
        <v>0</v>
      </c>
      <c r="AC85" s="314">
        <v>0</v>
      </c>
      <c r="AD85" s="313">
        <v>0</v>
      </c>
      <c r="AE85" s="313">
        <v>0</v>
      </c>
      <c r="AF85" s="316">
        <f>SUM(U85:AD85)</f>
        <v>0</v>
      </c>
      <c r="AG85" s="314">
        <f>AF85-O85</f>
        <v>0</v>
      </c>
      <c r="AH85" s="1" t="b">
        <f>INT(AG85)=0</f>
        <v>1</v>
      </c>
      <c r="AI85" s="309"/>
    </row>
    <row r="86" spans="1:35" s="308" customFormat="1" x14ac:dyDescent="0.25">
      <c r="B86" s="317">
        <v>2</v>
      </c>
      <c r="C86" s="318" t="s">
        <v>11</v>
      </c>
      <c r="D86" s="294">
        <v>0</v>
      </c>
      <c r="E86" s="295">
        <v>0</v>
      </c>
      <c r="F86" s="295">
        <v>0</v>
      </c>
      <c r="G86" s="295">
        <v>0</v>
      </c>
      <c r="H86" s="295">
        <v>0</v>
      </c>
      <c r="I86" s="295">
        <v>0</v>
      </c>
      <c r="J86" s="291">
        <v>0</v>
      </c>
      <c r="K86" s="298">
        <f t="shared" ref="K86:K89" si="34">D86-E86-F86-G86-H86-I86-J86</f>
        <v>0</v>
      </c>
      <c r="L86" s="297">
        <v>0</v>
      </c>
      <c r="M86" s="298">
        <f>K86-L86</f>
        <v>0</v>
      </c>
      <c r="N86" s="297">
        <v>0</v>
      </c>
      <c r="O86" s="298">
        <f t="shared" ref="O86:O89" si="35">M86+N86</f>
        <v>0</v>
      </c>
      <c r="Q86" s="309"/>
      <c r="S86" s="317">
        <v>2</v>
      </c>
      <c r="T86" s="318" t="s">
        <v>11</v>
      </c>
      <c r="U86" s="319">
        <v>0</v>
      </c>
      <c r="V86" s="320">
        <v>0</v>
      </c>
      <c r="W86" s="320">
        <v>0</v>
      </c>
      <c r="X86" s="320">
        <v>0</v>
      </c>
      <c r="Y86" s="321">
        <v>0</v>
      </c>
      <c r="Z86" s="322">
        <v>0</v>
      </c>
      <c r="AA86" s="322">
        <v>0</v>
      </c>
      <c r="AB86" s="322">
        <v>0</v>
      </c>
      <c r="AC86" s="323">
        <v>0</v>
      </c>
      <c r="AD86" s="322">
        <v>0</v>
      </c>
      <c r="AE86" s="322">
        <v>0</v>
      </c>
      <c r="AF86" s="325">
        <f>SUM(U86:AD86)</f>
        <v>0</v>
      </c>
      <c r="AG86" s="326">
        <f>AF86-O86</f>
        <v>0</v>
      </c>
      <c r="AH86" s="1" t="b">
        <f t="shared" ref="AH86:AH90" si="36">INT(AG86)=0</f>
        <v>1</v>
      </c>
      <c r="AI86" s="309"/>
    </row>
    <row r="87" spans="1:35" s="308" customFormat="1" x14ac:dyDescent="0.25">
      <c r="B87" s="317">
        <v>3</v>
      </c>
      <c r="C87" s="318" t="s">
        <v>12</v>
      </c>
      <c r="D87" s="294">
        <v>0</v>
      </c>
      <c r="E87" s="295">
        <v>0</v>
      </c>
      <c r="F87" s="295">
        <v>0</v>
      </c>
      <c r="G87" s="295">
        <v>0</v>
      </c>
      <c r="H87" s="295">
        <v>0</v>
      </c>
      <c r="I87" s="295">
        <v>0</v>
      </c>
      <c r="J87" s="291">
        <v>0</v>
      </c>
      <c r="K87" s="298">
        <f t="shared" si="34"/>
        <v>0</v>
      </c>
      <c r="L87" s="297">
        <v>0</v>
      </c>
      <c r="M87" s="298">
        <f>K87-L87</f>
        <v>0</v>
      </c>
      <c r="N87" s="297">
        <v>0</v>
      </c>
      <c r="O87" s="298">
        <f t="shared" si="35"/>
        <v>0</v>
      </c>
      <c r="Q87" s="309"/>
      <c r="S87" s="317">
        <v>3</v>
      </c>
      <c r="T87" s="318" t="s">
        <v>12</v>
      </c>
      <c r="U87" s="319">
        <v>0</v>
      </c>
      <c r="V87" s="320">
        <v>0</v>
      </c>
      <c r="W87" s="320">
        <v>0</v>
      </c>
      <c r="X87" s="320">
        <v>0</v>
      </c>
      <c r="Y87" s="321">
        <v>0</v>
      </c>
      <c r="Z87" s="322">
        <v>0</v>
      </c>
      <c r="AA87" s="322">
        <v>0</v>
      </c>
      <c r="AB87" s="322">
        <v>0</v>
      </c>
      <c r="AC87" s="323">
        <v>0</v>
      </c>
      <c r="AD87" s="322">
        <v>0</v>
      </c>
      <c r="AE87" s="322">
        <v>0</v>
      </c>
      <c r="AF87" s="325">
        <f t="shared" ref="AF87:AF89" si="37">SUM(U87:AD87)</f>
        <v>0</v>
      </c>
      <c r="AG87" s="326">
        <f>AF87-O87</f>
        <v>0</v>
      </c>
      <c r="AH87" s="1" t="b">
        <f t="shared" si="36"/>
        <v>1</v>
      </c>
      <c r="AI87" s="309"/>
    </row>
    <row r="88" spans="1:35" s="308" customFormat="1" x14ac:dyDescent="0.25">
      <c r="B88" s="317">
        <v>4</v>
      </c>
      <c r="C88" s="318" t="s">
        <v>13</v>
      </c>
      <c r="D88" s="294">
        <v>0</v>
      </c>
      <c r="E88" s="295">
        <v>0</v>
      </c>
      <c r="F88" s="295">
        <v>0</v>
      </c>
      <c r="G88" s="295">
        <v>0</v>
      </c>
      <c r="H88" s="295">
        <v>0</v>
      </c>
      <c r="I88" s="295">
        <v>0</v>
      </c>
      <c r="J88" s="291">
        <v>0</v>
      </c>
      <c r="K88" s="298">
        <f t="shared" si="34"/>
        <v>0</v>
      </c>
      <c r="L88" s="297">
        <v>0</v>
      </c>
      <c r="M88" s="298">
        <f>K88-L88</f>
        <v>0</v>
      </c>
      <c r="N88" s="297">
        <v>0</v>
      </c>
      <c r="O88" s="298">
        <f t="shared" si="35"/>
        <v>0</v>
      </c>
      <c r="Q88" s="309"/>
      <c r="S88" s="317">
        <v>4</v>
      </c>
      <c r="T88" s="318" t="s">
        <v>13</v>
      </c>
      <c r="U88" s="319">
        <v>0</v>
      </c>
      <c r="V88" s="320">
        <v>0</v>
      </c>
      <c r="W88" s="320">
        <v>0</v>
      </c>
      <c r="X88" s="320">
        <v>0</v>
      </c>
      <c r="Y88" s="321">
        <v>0</v>
      </c>
      <c r="Z88" s="322">
        <v>0</v>
      </c>
      <c r="AA88" s="322">
        <v>0</v>
      </c>
      <c r="AB88" s="322">
        <v>0</v>
      </c>
      <c r="AC88" s="323">
        <v>0</v>
      </c>
      <c r="AD88" s="322">
        <v>0</v>
      </c>
      <c r="AE88" s="322">
        <v>0</v>
      </c>
      <c r="AF88" s="325">
        <f t="shared" si="37"/>
        <v>0</v>
      </c>
      <c r="AG88" s="326">
        <f>AF88-O88</f>
        <v>0</v>
      </c>
      <c r="AH88" s="1" t="b">
        <f t="shared" si="36"/>
        <v>1</v>
      </c>
      <c r="AI88" s="309"/>
    </row>
    <row r="89" spans="1:35" s="308" customFormat="1" ht="12" thickBot="1" x14ac:dyDescent="0.3">
      <c r="B89" s="327">
        <v>5</v>
      </c>
      <c r="C89" s="328" t="s">
        <v>14</v>
      </c>
      <c r="D89" s="299">
        <v>0</v>
      </c>
      <c r="E89" s="300">
        <v>0</v>
      </c>
      <c r="F89" s="300">
        <v>0</v>
      </c>
      <c r="G89" s="300">
        <v>0</v>
      </c>
      <c r="H89" s="300">
        <v>0</v>
      </c>
      <c r="I89" s="300">
        <v>0</v>
      </c>
      <c r="J89" s="292">
        <v>0</v>
      </c>
      <c r="K89" s="298">
        <f t="shared" si="34"/>
        <v>0</v>
      </c>
      <c r="L89" s="297">
        <v>0</v>
      </c>
      <c r="M89" s="301">
        <f>K89-L89</f>
        <v>0</v>
      </c>
      <c r="N89" s="302">
        <v>0</v>
      </c>
      <c r="O89" s="301">
        <f t="shared" si="35"/>
        <v>0</v>
      </c>
      <c r="Q89" s="309"/>
      <c r="S89" s="327">
        <v>5</v>
      </c>
      <c r="T89" s="328" t="s">
        <v>14</v>
      </c>
      <c r="U89" s="299">
        <v>0</v>
      </c>
      <c r="V89" s="300">
        <v>0</v>
      </c>
      <c r="W89" s="300">
        <v>0</v>
      </c>
      <c r="X89" s="300">
        <v>0</v>
      </c>
      <c r="Y89" s="292">
        <v>0</v>
      </c>
      <c r="Z89" s="322">
        <v>0</v>
      </c>
      <c r="AA89" s="322">
        <v>0</v>
      </c>
      <c r="AB89" s="322">
        <v>0</v>
      </c>
      <c r="AC89" s="323">
        <v>0</v>
      </c>
      <c r="AD89" s="322">
        <v>0</v>
      </c>
      <c r="AE89" s="322">
        <v>0</v>
      </c>
      <c r="AF89" s="325">
        <f t="shared" si="37"/>
        <v>0</v>
      </c>
      <c r="AG89" s="329">
        <f>AF89-O89</f>
        <v>0</v>
      </c>
      <c r="AH89" s="1" t="b">
        <f t="shared" si="36"/>
        <v>1</v>
      </c>
      <c r="AI89" s="309"/>
    </row>
    <row r="90" spans="1:35" s="308" customFormat="1" ht="13.5" thickBot="1" x14ac:dyDescent="0.35">
      <c r="B90" s="330"/>
      <c r="C90" s="331" t="s">
        <v>2</v>
      </c>
      <c r="D90" s="293">
        <f t="shared" ref="D90:O90" si="38">SUM(D85:D89)</f>
        <v>0</v>
      </c>
      <c r="E90" s="293">
        <f t="shared" si="38"/>
        <v>0</v>
      </c>
      <c r="F90" s="293">
        <f t="shared" si="38"/>
        <v>0</v>
      </c>
      <c r="G90" s="293">
        <f t="shared" si="38"/>
        <v>0</v>
      </c>
      <c r="H90" s="293">
        <f t="shared" si="38"/>
        <v>0</v>
      </c>
      <c r="I90" s="293">
        <f t="shared" si="38"/>
        <v>0</v>
      </c>
      <c r="J90" s="293">
        <f t="shared" si="38"/>
        <v>0</v>
      </c>
      <c r="K90" s="303">
        <f t="shared" si="38"/>
        <v>0</v>
      </c>
      <c r="L90" s="304">
        <f t="shared" si="38"/>
        <v>0</v>
      </c>
      <c r="M90" s="305">
        <f t="shared" si="38"/>
        <v>0</v>
      </c>
      <c r="N90" s="304">
        <f t="shared" si="38"/>
        <v>0</v>
      </c>
      <c r="O90" s="305">
        <f t="shared" si="38"/>
        <v>0</v>
      </c>
      <c r="P90" s="332"/>
      <c r="Q90" s="309"/>
      <c r="S90" s="330"/>
      <c r="T90" s="331" t="s">
        <v>2</v>
      </c>
      <c r="U90" s="333">
        <f>SUM(U85:U89)</f>
        <v>0</v>
      </c>
      <c r="V90" s="333">
        <f t="shared" ref="V90:AG90" si="39">SUM(V85:V89)</f>
        <v>0</v>
      </c>
      <c r="W90" s="333">
        <f t="shared" si="39"/>
        <v>0</v>
      </c>
      <c r="X90" s="333">
        <f t="shared" si="39"/>
        <v>0</v>
      </c>
      <c r="Y90" s="333">
        <f t="shared" si="39"/>
        <v>0</v>
      </c>
      <c r="Z90" s="293">
        <f t="shared" si="39"/>
        <v>0</v>
      </c>
      <c r="AA90" s="293">
        <f t="shared" si="39"/>
        <v>0</v>
      </c>
      <c r="AB90" s="293">
        <f t="shared" si="39"/>
        <v>0</v>
      </c>
      <c r="AC90" s="293">
        <f t="shared" si="39"/>
        <v>0</v>
      </c>
      <c r="AD90" s="293">
        <f t="shared" si="39"/>
        <v>0</v>
      </c>
      <c r="AE90" s="293">
        <f t="shared" si="39"/>
        <v>0</v>
      </c>
      <c r="AF90" s="334">
        <f t="shared" si="39"/>
        <v>0</v>
      </c>
      <c r="AG90" s="335">
        <f t="shared" si="39"/>
        <v>0</v>
      </c>
      <c r="AH90" s="1" t="b">
        <f t="shared" si="36"/>
        <v>1</v>
      </c>
      <c r="AI90" s="309"/>
    </row>
    <row r="91" spans="1:35" ht="12" thickBot="1" x14ac:dyDescent="0.3">
      <c r="B91" s="2"/>
      <c r="C91" s="2"/>
      <c r="D91" s="24"/>
      <c r="E91" s="24"/>
      <c r="F91" s="24"/>
      <c r="G91" s="24"/>
      <c r="H91" s="24"/>
      <c r="I91" s="24"/>
      <c r="K91" s="24"/>
      <c r="L91" s="24"/>
      <c r="M91" s="24"/>
      <c r="N91" s="24"/>
      <c r="O91" s="24"/>
      <c r="Q91" s="4"/>
      <c r="S91" s="2"/>
      <c r="T91" s="2"/>
      <c r="U91" s="24"/>
      <c r="V91" s="24"/>
      <c r="W91" s="24"/>
      <c r="X91" s="24"/>
      <c r="Y91" s="24"/>
      <c r="AF91" s="24"/>
      <c r="AI91" s="4"/>
    </row>
    <row r="92" spans="1:35" ht="12" thickBot="1" x14ac:dyDescent="0.3">
      <c r="B92" s="2"/>
      <c r="C92" s="2"/>
      <c r="D92" s="24" t="s">
        <v>1</v>
      </c>
      <c r="E92" s="24"/>
      <c r="F92" s="24"/>
      <c r="G92" s="24"/>
      <c r="H92" s="24"/>
      <c r="I92" s="24"/>
      <c r="K92" s="24"/>
      <c r="L92" s="24"/>
      <c r="M92" s="24"/>
      <c r="N92" s="24"/>
      <c r="O92" s="24"/>
      <c r="Q92" s="4"/>
      <c r="Y92" s="86">
        <f>SUM(U90:Y90)</f>
        <v>0</v>
      </c>
      <c r="AA92" s="1" t="s">
        <v>1</v>
      </c>
      <c r="AB92" s="1" t="s">
        <v>1</v>
      </c>
      <c r="AD92" s="1" t="s">
        <v>1</v>
      </c>
      <c r="AF92" s="1" t="s">
        <v>1</v>
      </c>
      <c r="AI92" s="4"/>
    </row>
    <row r="93" spans="1:35" ht="12" thickBot="1" x14ac:dyDescent="0.3">
      <c r="B93" s="2"/>
      <c r="C93" s="2"/>
      <c r="D93" s="24" t="s">
        <v>1</v>
      </c>
      <c r="E93" s="33"/>
      <c r="F93" s="33"/>
      <c r="G93" s="33"/>
      <c r="H93" s="33"/>
      <c r="I93" s="24"/>
      <c r="K93" s="24"/>
      <c r="L93" s="24"/>
      <c r="M93" s="24"/>
      <c r="N93" s="24"/>
      <c r="O93" s="24"/>
      <c r="Q93" s="4"/>
      <c r="AI93" s="4"/>
    </row>
    <row r="94" spans="1:35" x14ac:dyDescent="0.25">
      <c r="B94" s="2"/>
      <c r="C94" s="2"/>
      <c r="D94" s="24" t="s">
        <v>1</v>
      </c>
      <c r="E94" s="24" t="s">
        <v>1</v>
      </c>
      <c r="F94" s="24" t="s">
        <v>25</v>
      </c>
      <c r="G94" s="24"/>
      <c r="H94" s="24"/>
      <c r="I94" s="24"/>
      <c r="K94" s="24"/>
      <c r="L94" s="24"/>
      <c r="M94" s="24"/>
      <c r="N94" s="24"/>
      <c r="O94" s="24"/>
      <c r="Q94" s="4"/>
      <c r="AI94" s="4"/>
    </row>
    <row r="95" spans="1:35" x14ac:dyDescent="0.25">
      <c r="A95" s="4"/>
      <c r="B95" s="34"/>
      <c r="C95" s="34"/>
      <c r="D95" s="35"/>
      <c r="E95" s="35"/>
      <c r="F95" s="35"/>
      <c r="G95" s="35"/>
      <c r="H95" s="35"/>
      <c r="I95" s="35"/>
      <c r="J95" s="4"/>
      <c r="K95" s="35"/>
      <c r="L95" s="35"/>
      <c r="M95" s="35"/>
      <c r="N95" s="35"/>
      <c r="O95" s="35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</row>
    <row r="96" spans="1:35" ht="12" thickBot="1" x14ac:dyDescent="0.3">
      <c r="Q96" s="4"/>
      <c r="AI96" s="4"/>
    </row>
    <row r="97" spans="2:36" x14ac:dyDescent="0.25">
      <c r="B97" s="5"/>
      <c r="C97" s="3" t="s">
        <v>1</v>
      </c>
      <c r="D97" s="6" t="s">
        <v>1</v>
      </c>
      <c r="E97" s="3"/>
      <c r="F97" s="3"/>
      <c r="G97" s="3"/>
      <c r="H97" s="3" t="s">
        <v>1</v>
      </c>
      <c r="I97" s="3"/>
      <c r="J97" s="3"/>
      <c r="K97" s="3"/>
      <c r="L97" s="3"/>
      <c r="M97" s="3"/>
      <c r="N97" s="3"/>
      <c r="O97" s="7"/>
      <c r="P97" s="2"/>
      <c r="Q97" s="4"/>
      <c r="S97" s="5"/>
      <c r="T97" s="3" t="s">
        <v>1</v>
      </c>
      <c r="U97" s="6" t="s">
        <v>1</v>
      </c>
      <c r="V97" s="3"/>
      <c r="W97" s="3"/>
      <c r="X97" s="3" t="s">
        <v>1</v>
      </c>
      <c r="Y97" s="3"/>
      <c r="Z97" s="3"/>
      <c r="AA97" s="3"/>
      <c r="AB97" s="3"/>
      <c r="AC97" s="3"/>
      <c r="AD97" s="3"/>
      <c r="AE97" s="3"/>
      <c r="AF97" s="7"/>
      <c r="AG97" s="2"/>
      <c r="AI97" s="4"/>
    </row>
    <row r="98" spans="2:36" ht="14" x14ac:dyDescent="0.3">
      <c r="B98" s="8"/>
      <c r="F98" s="26" t="s">
        <v>8</v>
      </c>
      <c r="G98" s="26"/>
      <c r="I98" s="26" t="s">
        <v>16</v>
      </c>
      <c r="J98" s="25"/>
      <c r="M98" s="2" t="s">
        <v>15</v>
      </c>
      <c r="N98" s="50">
        <f>N3</f>
        <v>2026071</v>
      </c>
      <c r="O98" s="10"/>
      <c r="P98" s="2"/>
      <c r="Q98" s="4"/>
      <c r="S98" s="8"/>
      <c r="U98" s="26" t="s">
        <v>8</v>
      </c>
      <c r="W98" s="26" t="s">
        <v>16</v>
      </c>
      <c r="X98" s="25"/>
      <c r="Y98" s="2"/>
      <c r="AA98" s="2" t="s">
        <v>15</v>
      </c>
      <c r="AD98" s="84">
        <f>N98</f>
        <v>2026071</v>
      </c>
      <c r="AE98" s="84"/>
      <c r="AF98" s="48"/>
      <c r="AG98" s="2"/>
      <c r="AI98" s="4"/>
    </row>
    <row r="99" spans="2:36" ht="15.5" x14ac:dyDescent="0.35">
      <c r="B99" s="8"/>
      <c r="F99" s="36" t="s">
        <v>29</v>
      </c>
      <c r="G99" s="36"/>
      <c r="O99" s="10"/>
      <c r="P99" s="2"/>
      <c r="Q99" s="4"/>
      <c r="S99" s="8"/>
      <c r="T99" s="26" t="s">
        <v>1</v>
      </c>
      <c r="U99" s="36" t="s">
        <v>29</v>
      </c>
      <c r="Y99" s="2" t="s">
        <v>1</v>
      </c>
      <c r="AA99" s="50" t="s">
        <v>1</v>
      </c>
      <c r="AB99" s="2"/>
      <c r="AC99" s="2"/>
      <c r="AD99" s="2"/>
      <c r="AE99" s="2"/>
      <c r="AF99" s="10" t="s">
        <v>1</v>
      </c>
      <c r="AG99" s="2"/>
      <c r="AI99" s="4"/>
    </row>
    <row r="100" spans="2:36" ht="14" x14ac:dyDescent="0.3">
      <c r="B100" s="8"/>
      <c r="F100" s="2" t="s">
        <v>30</v>
      </c>
      <c r="G100" s="2"/>
      <c r="L100" s="91"/>
      <c r="M100" s="2" t="s">
        <v>1</v>
      </c>
      <c r="O100" s="10"/>
      <c r="P100" s="2"/>
      <c r="Q100" s="4"/>
      <c r="S100" s="8"/>
      <c r="T100" s="49" t="s">
        <v>1</v>
      </c>
      <c r="U100" s="2" t="s">
        <v>30</v>
      </c>
      <c r="AF100" s="44"/>
      <c r="AG100" s="2"/>
      <c r="AI100" s="4"/>
    </row>
    <row r="101" spans="2:36" ht="15.5" x14ac:dyDescent="0.35">
      <c r="B101" s="8"/>
      <c r="C101" s="591" t="s">
        <v>17</v>
      </c>
      <c r="D101" s="9">
        <f>D6</f>
        <v>46220</v>
      </c>
      <c r="F101" s="58" t="s">
        <v>219</v>
      </c>
      <c r="G101" s="58"/>
      <c r="H101" s="59"/>
      <c r="I101" s="60"/>
      <c r="J101" s="59"/>
      <c r="K101" s="60"/>
      <c r="L101" s="472"/>
      <c r="O101" s="10"/>
      <c r="P101" s="2"/>
      <c r="Q101" s="4"/>
      <c r="S101" s="8"/>
      <c r="T101" s="41" t="s">
        <v>1</v>
      </c>
      <c r="U101" s="58" t="s">
        <v>218</v>
      </c>
      <c r="V101" s="59"/>
      <c r="W101" s="60"/>
      <c r="X101" s="59"/>
      <c r="Y101" s="2"/>
      <c r="AF101" s="48"/>
      <c r="AG101" s="2"/>
      <c r="AI101" s="4"/>
    </row>
    <row r="102" spans="2:36" ht="18" thickBot="1" x14ac:dyDescent="0.5">
      <c r="B102" s="8"/>
      <c r="C102" s="591" t="s">
        <v>0</v>
      </c>
      <c r="D102" s="241">
        <f>D7</f>
        <v>0.58333333333333337</v>
      </c>
      <c r="F102" s="2" t="s">
        <v>27</v>
      </c>
      <c r="G102" s="9">
        <f>G7</f>
        <v>46204</v>
      </c>
      <c r="J102" s="2" t="s">
        <v>28</v>
      </c>
      <c r="K102" s="9">
        <f>K7</f>
        <v>46218</v>
      </c>
      <c r="L102" s="92"/>
      <c r="O102" s="10"/>
      <c r="P102" s="2"/>
      <c r="Q102" s="4"/>
      <c r="S102" s="8"/>
      <c r="U102" s="1" t="str">
        <f>F102</f>
        <v>Fecha Desde:</v>
      </c>
      <c r="V102" s="9">
        <f>G102</f>
        <v>46204</v>
      </c>
      <c r="W102" s="1" t="s">
        <v>1</v>
      </c>
      <c r="X102" s="1" t="str">
        <f>J102</f>
        <v>Feha Hasta:</v>
      </c>
      <c r="Y102" s="9">
        <f>K102</f>
        <v>46218</v>
      </c>
      <c r="Z102" s="1" t="s">
        <v>1</v>
      </c>
      <c r="AF102" s="48"/>
      <c r="AG102" s="2"/>
      <c r="AI102" s="4"/>
      <c r="AJ102" s="112" t="s">
        <v>1</v>
      </c>
    </row>
    <row r="103" spans="2:36" ht="72" customHeight="1" thickBot="1" x14ac:dyDescent="0.3">
      <c r="B103" s="11" t="s">
        <v>3</v>
      </c>
      <c r="C103" s="27" t="s">
        <v>9</v>
      </c>
      <c r="D103" s="11" t="s">
        <v>4</v>
      </c>
      <c r="E103" s="12" t="s">
        <v>5</v>
      </c>
      <c r="F103" s="27" t="s">
        <v>6</v>
      </c>
      <c r="G103" s="27" t="s">
        <v>159</v>
      </c>
      <c r="H103" s="27" t="s">
        <v>18</v>
      </c>
      <c r="I103" s="12" t="s">
        <v>24</v>
      </c>
      <c r="J103" s="73" t="s">
        <v>19</v>
      </c>
      <c r="K103" s="29" t="s">
        <v>20</v>
      </c>
      <c r="L103" s="28" t="s">
        <v>21</v>
      </c>
      <c r="M103" s="39" t="s">
        <v>22</v>
      </c>
      <c r="N103" s="12" t="s">
        <v>7</v>
      </c>
      <c r="O103" s="39" t="s">
        <v>23</v>
      </c>
      <c r="P103" s="13"/>
      <c r="Q103" s="4"/>
      <c r="S103" s="11" t="s">
        <v>3</v>
      </c>
      <c r="T103" s="27" t="s">
        <v>9</v>
      </c>
      <c r="U103" s="162" t="s">
        <v>39</v>
      </c>
      <c r="V103" s="163" t="s">
        <v>40</v>
      </c>
      <c r="W103" s="163" t="s">
        <v>41</v>
      </c>
      <c r="X103" s="163" t="s">
        <v>42</v>
      </c>
      <c r="Y103" s="164" t="s">
        <v>43</v>
      </c>
      <c r="Z103" s="85" t="s">
        <v>21</v>
      </c>
      <c r="AA103" s="65" t="s">
        <v>46</v>
      </c>
      <c r="AB103" s="65" t="s">
        <v>7</v>
      </c>
      <c r="AC103" s="85" t="s">
        <v>167</v>
      </c>
      <c r="AD103" s="121" t="s">
        <v>105</v>
      </c>
      <c r="AE103" s="121" t="s">
        <v>104</v>
      </c>
      <c r="AF103" s="39" t="s">
        <v>23</v>
      </c>
      <c r="AG103" s="13"/>
      <c r="AI103" s="4"/>
    </row>
    <row r="104" spans="2:36" s="308" customFormat="1" x14ac:dyDescent="0.25">
      <c r="B104" s="306">
        <v>1</v>
      </c>
      <c r="C104" s="307" t="s">
        <v>10</v>
      </c>
      <c r="D104" s="294">
        <f t="shared" ref="D104:J108" si="40">D9+D28+D47+D66+D85</f>
        <v>526066753.64999998</v>
      </c>
      <c r="E104" s="295">
        <f t="shared" si="40"/>
        <v>71629808.189999998</v>
      </c>
      <c r="F104" s="295">
        <f t="shared" si="40"/>
        <v>38378058.160000004</v>
      </c>
      <c r="G104" s="295">
        <f t="shared" si="40"/>
        <v>20779620.170000002</v>
      </c>
      <c r="H104" s="295">
        <f t="shared" si="40"/>
        <v>35670903.249999993</v>
      </c>
      <c r="I104" s="295">
        <f t="shared" si="40"/>
        <v>1153173.07</v>
      </c>
      <c r="J104" s="291">
        <f t="shared" si="40"/>
        <v>0</v>
      </c>
      <c r="K104" s="296">
        <f>D104-E104-F104-G104-H104-I104-J104</f>
        <v>358455190.80999994</v>
      </c>
      <c r="L104" s="297">
        <f>L9+L28+L47+L66+L85</f>
        <v>0</v>
      </c>
      <c r="M104" s="296">
        <f>K104-L104</f>
        <v>358455190.80999994</v>
      </c>
      <c r="N104" s="297">
        <f>N9+N28+N47+N66+N85</f>
        <v>3871794.53</v>
      </c>
      <c r="O104" s="296">
        <f>M104+N104</f>
        <v>362326985.33999991</v>
      </c>
      <c r="Q104" s="309"/>
      <c r="S104" s="306">
        <v>1</v>
      </c>
      <c r="T104" s="307" t="s">
        <v>10</v>
      </c>
      <c r="U104" s="310">
        <f t="shared" ref="U104:AB108" si="41">U9+U28+U47+U66+U85</f>
        <v>10163377.220000001</v>
      </c>
      <c r="V104" s="311">
        <f t="shared" si="41"/>
        <v>11855905.85</v>
      </c>
      <c r="W104" s="311">
        <f t="shared" si="41"/>
        <v>55150037.649999991</v>
      </c>
      <c r="X104" s="311">
        <f t="shared" si="41"/>
        <v>196326886.16999999</v>
      </c>
      <c r="Y104" s="312">
        <f t="shared" si="41"/>
        <v>1881914.87</v>
      </c>
      <c r="Z104" s="313">
        <f t="shared" si="41"/>
        <v>0</v>
      </c>
      <c r="AA104" s="314">
        <f t="shared" si="41"/>
        <v>183.17999999999998</v>
      </c>
      <c r="AB104" s="297">
        <f t="shared" si="41"/>
        <v>3871794.53</v>
      </c>
      <c r="AC104" s="315">
        <f t="shared" ref="AC104" si="42">AC9+AC28+AC47+AC66+AC85</f>
        <v>0.05</v>
      </c>
      <c r="AD104" s="294">
        <f>-J104+AE104</f>
        <v>83076885.819999993</v>
      </c>
      <c r="AE104" s="294">
        <f>AE9+AE28+AE47+AE66+AE85</f>
        <v>83076885.819999993</v>
      </c>
      <c r="AF104" s="316">
        <f>SUM(U104:AD104)</f>
        <v>362326985.33999997</v>
      </c>
      <c r="AG104" s="314">
        <f>AF104-O104</f>
        <v>0</v>
      </c>
      <c r="AH104" s="1" t="b">
        <f>INT(AG104)=0</f>
        <v>1</v>
      </c>
      <c r="AI104" s="309"/>
    </row>
    <row r="105" spans="2:36" s="308" customFormat="1" x14ac:dyDescent="0.25">
      <c r="B105" s="317">
        <v>2</v>
      </c>
      <c r="C105" s="318" t="s">
        <v>11</v>
      </c>
      <c r="D105" s="294">
        <f t="shared" si="40"/>
        <v>394193682.65000004</v>
      </c>
      <c r="E105" s="295">
        <f t="shared" si="40"/>
        <v>51388370.589999996</v>
      </c>
      <c r="F105" s="295">
        <f t="shared" si="40"/>
        <v>28413627.75</v>
      </c>
      <c r="G105" s="295">
        <f t="shared" si="40"/>
        <v>14979828.130000001</v>
      </c>
      <c r="H105" s="295">
        <f t="shared" si="40"/>
        <v>69737327.839999989</v>
      </c>
      <c r="I105" s="295">
        <f t="shared" si="40"/>
        <v>2031606.51</v>
      </c>
      <c r="J105" s="291">
        <f t="shared" si="40"/>
        <v>0</v>
      </c>
      <c r="K105" s="298">
        <f t="shared" ref="K105:K108" si="43">D105-E105-F105-G105-H105-I105-J105</f>
        <v>227642921.8300001</v>
      </c>
      <c r="L105" s="297">
        <f>L10+L29+L48+L67+L86</f>
        <v>0</v>
      </c>
      <c r="M105" s="298">
        <f>K105-L105</f>
        <v>227642921.8300001</v>
      </c>
      <c r="N105" s="297">
        <f>N10+N29+N48+N67+N86</f>
        <v>8420063.0999999996</v>
      </c>
      <c r="O105" s="298">
        <f t="shared" ref="O105:O108" si="44">M105+N105</f>
        <v>236062984.9300001</v>
      </c>
      <c r="Q105" s="309"/>
      <c r="S105" s="317">
        <v>2</v>
      </c>
      <c r="T105" s="318" t="s">
        <v>11</v>
      </c>
      <c r="U105" s="319">
        <f t="shared" si="41"/>
        <v>18191790.630000003</v>
      </c>
      <c r="V105" s="320">
        <f t="shared" si="41"/>
        <v>23068417.159999996</v>
      </c>
      <c r="W105" s="320">
        <f t="shared" si="41"/>
        <v>102920694.75</v>
      </c>
      <c r="X105" s="320">
        <f t="shared" si="41"/>
        <v>102167057.04000001</v>
      </c>
      <c r="Y105" s="321">
        <f t="shared" si="41"/>
        <v>3317352.1100000003</v>
      </c>
      <c r="Z105" s="322">
        <f t="shared" si="41"/>
        <v>0</v>
      </c>
      <c r="AA105" s="323">
        <f t="shared" si="41"/>
        <v>-999.82999999999993</v>
      </c>
      <c r="AB105" s="297">
        <f t="shared" si="41"/>
        <v>8420063.0999999996</v>
      </c>
      <c r="AC105" s="324">
        <f t="shared" ref="AC105" si="45">AC10+AC29+AC48+AC67+AC86</f>
        <v>12.280000000000001</v>
      </c>
      <c r="AD105" s="294">
        <f t="shared" ref="AD105:AD107" si="46">-J105+AE105</f>
        <v>-22021402.310000002</v>
      </c>
      <c r="AE105" s="294">
        <f>AE10+AE29+AE48+AE67+AE86</f>
        <v>-22021402.310000002</v>
      </c>
      <c r="AF105" s="325">
        <f>SUM(U105:AD105)</f>
        <v>236062984.92999998</v>
      </c>
      <c r="AG105" s="326">
        <f>AF105-O105</f>
        <v>0</v>
      </c>
      <c r="AH105" s="1" t="b">
        <f t="shared" ref="AH105:AH109" si="47">INT(AG105)=0</f>
        <v>1</v>
      </c>
      <c r="AI105" s="309"/>
    </row>
    <row r="106" spans="2:36" s="308" customFormat="1" x14ac:dyDescent="0.25">
      <c r="B106" s="317">
        <v>3</v>
      </c>
      <c r="C106" s="318" t="s">
        <v>12</v>
      </c>
      <c r="D106" s="294">
        <f t="shared" si="40"/>
        <v>453622024.76999992</v>
      </c>
      <c r="E106" s="295">
        <f t="shared" si="40"/>
        <v>56737832.189999998</v>
      </c>
      <c r="F106" s="295">
        <f t="shared" si="40"/>
        <v>31858267.420000002</v>
      </c>
      <c r="G106" s="295">
        <f t="shared" si="40"/>
        <v>16749839.639999999</v>
      </c>
      <c r="H106" s="295">
        <f t="shared" si="40"/>
        <v>16381669.799999997</v>
      </c>
      <c r="I106" s="295">
        <f t="shared" si="40"/>
        <v>574730.4</v>
      </c>
      <c r="J106" s="291">
        <f t="shared" si="40"/>
        <v>0</v>
      </c>
      <c r="K106" s="298">
        <f t="shared" si="43"/>
        <v>331319685.31999993</v>
      </c>
      <c r="L106" s="297">
        <f>L11+L30+L49+L68+L87</f>
        <v>0</v>
      </c>
      <c r="M106" s="298">
        <f>K106-L106</f>
        <v>331319685.31999993</v>
      </c>
      <c r="N106" s="297">
        <f>N11+N30+N49+N68+N87</f>
        <v>16854072.859999999</v>
      </c>
      <c r="O106" s="298">
        <f t="shared" si="44"/>
        <v>348173758.17999995</v>
      </c>
      <c r="Q106" s="309"/>
      <c r="S106" s="317">
        <v>3</v>
      </c>
      <c r="T106" s="318" t="s">
        <v>12</v>
      </c>
      <c r="U106" s="319">
        <f t="shared" si="41"/>
        <v>5027987.5999999996</v>
      </c>
      <c r="V106" s="320">
        <f t="shared" si="41"/>
        <v>6243125.5499999998</v>
      </c>
      <c r="W106" s="320">
        <f t="shared" si="41"/>
        <v>28838258.860000003</v>
      </c>
      <c r="X106" s="320">
        <f t="shared" si="41"/>
        <v>131757865.3</v>
      </c>
      <c r="Y106" s="321">
        <f t="shared" si="41"/>
        <v>939938.99</v>
      </c>
      <c r="Z106" s="322">
        <f t="shared" si="41"/>
        <v>0</v>
      </c>
      <c r="AA106" s="323">
        <f t="shared" si="41"/>
        <v>-982.18999999999994</v>
      </c>
      <c r="AB106" s="297">
        <f t="shared" si="41"/>
        <v>16854072.859999999</v>
      </c>
      <c r="AC106" s="324">
        <f t="shared" ref="AC106" si="48">AC11+AC30+AC49+AC68+AC87</f>
        <v>0.97</v>
      </c>
      <c r="AD106" s="294">
        <f t="shared" si="46"/>
        <v>158513490.24000001</v>
      </c>
      <c r="AE106" s="294">
        <f>AE11+AE30+AE49+AE68+AE87</f>
        <v>158513490.24000001</v>
      </c>
      <c r="AF106" s="325">
        <f>SUM(U106:AD106)</f>
        <v>348173758.18000007</v>
      </c>
      <c r="AG106" s="326">
        <f>AF106-O106</f>
        <v>0</v>
      </c>
      <c r="AH106" s="1" t="b">
        <f t="shared" si="47"/>
        <v>1</v>
      </c>
      <c r="AI106" s="309"/>
    </row>
    <row r="107" spans="2:36" s="308" customFormat="1" x14ac:dyDescent="0.25">
      <c r="B107" s="317">
        <v>4</v>
      </c>
      <c r="C107" s="318" t="s">
        <v>13</v>
      </c>
      <c r="D107" s="294">
        <f t="shared" si="40"/>
        <v>225188778.21000001</v>
      </c>
      <c r="E107" s="295">
        <f t="shared" si="40"/>
        <v>18371679.360000003</v>
      </c>
      <c r="F107" s="295">
        <f t="shared" si="40"/>
        <v>9514551.6699999999</v>
      </c>
      <c r="G107" s="295">
        <f t="shared" si="40"/>
        <v>4671442.63</v>
      </c>
      <c r="H107" s="295">
        <f t="shared" si="40"/>
        <v>34519101.550000004</v>
      </c>
      <c r="I107" s="295">
        <f t="shared" si="40"/>
        <v>1256920.1900000002</v>
      </c>
      <c r="J107" s="291">
        <f t="shared" si="40"/>
        <v>0</v>
      </c>
      <c r="K107" s="298">
        <f t="shared" si="43"/>
        <v>156855082.81</v>
      </c>
      <c r="L107" s="297">
        <f>L12+L31+L50+L69+L88</f>
        <v>0</v>
      </c>
      <c r="M107" s="298">
        <f>K107-L107</f>
        <v>156855082.81</v>
      </c>
      <c r="N107" s="297">
        <f>N12+N31+N50+N69+N88</f>
        <v>1026166.89</v>
      </c>
      <c r="O107" s="298">
        <f t="shared" si="44"/>
        <v>157881249.69999999</v>
      </c>
      <c r="Q107" s="309"/>
      <c r="S107" s="317">
        <v>4</v>
      </c>
      <c r="T107" s="318" t="s">
        <v>13</v>
      </c>
      <c r="U107" s="319">
        <f t="shared" si="41"/>
        <v>11115203.909999998</v>
      </c>
      <c r="V107" s="320">
        <f t="shared" si="41"/>
        <v>12870281.699999999</v>
      </c>
      <c r="W107" s="320">
        <f t="shared" si="41"/>
        <v>68463838.999999985</v>
      </c>
      <c r="X107" s="320">
        <f t="shared" si="41"/>
        <v>47905254.969999991</v>
      </c>
      <c r="Y107" s="321">
        <f t="shared" si="41"/>
        <v>2055695.5200000003</v>
      </c>
      <c r="Z107" s="322">
        <f t="shared" si="41"/>
        <v>0</v>
      </c>
      <c r="AA107" s="323">
        <f t="shared" si="41"/>
        <v>143.19</v>
      </c>
      <c r="AB107" s="297">
        <f t="shared" si="41"/>
        <v>1026166.89</v>
      </c>
      <c r="AC107" s="324">
        <f t="shared" ref="AC107" si="49">AC12+AC31+AC50+AC69+AC88</f>
        <v>0.39</v>
      </c>
      <c r="AD107" s="294">
        <f t="shared" si="46"/>
        <v>14444664.130000001</v>
      </c>
      <c r="AE107" s="294">
        <f>AE12+AE31+AE50+AE69+AE88</f>
        <v>14444664.130000001</v>
      </c>
      <c r="AF107" s="325">
        <f>SUM(U107:AD107)</f>
        <v>157881249.69999996</v>
      </c>
      <c r="AG107" s="326">
        <f>AF107-O107</f>
        <v>0</v>
      </c>
      <c r="AH107" s="1" t="b">
        <f t="shared" si="47"/>
        <v>1</v>
      </c>
      <c r="AI107" s="309"/>
    </row>
    <row r="108" spans="2:36" s="308" customFormat="1" ht="12" thickBot="1" x14ac:dyDescent="0.3">
      <c r="B108" s="327">
        <v>5</v>
      </c>
      <c r="C108" s="328" t="s">
        <v>14</v>
      </c>
      <c r="D108" s="299">
        <f>D13+D32+D51+D70+D89</f>
        <v>162906187.47999999</v>
      </c>
      <c r="E108" s="300">
        <f t="shared" si="40"/>
        <v>14281523.75</v>
      </c>
      <c r="F108" s="300">
        <f t="shared" si="40"/>
        <v>7745624.7399999993</v>
      </c>
      <c r="G108" s="300">
        <f t="shared" si="40"/>
        <v>4110563.86</v>
      </c>
      <c r="H108" s="300">
        <f t="shared" si="40"/>
        <v>10442021.060000002</v>
      </c>
      <c r="I108" s="300">
        <f t="shared" si="40"/>
        <v>537683.07999999996</v>
      </c>
      <c r="J108" s="292">
        <f t="shared" si="40"/>
        <v>0</v>
      </c>
      <c r="K108" s="298">
        <f t="shared" si="43"/>
        <v>125788770.98999996</v>
      </c>
      <c r="L108" s="297">
        <f>L13+L32+L51+L70+L89</f>
        <v>0</v>
      </c>
      <c r="M108" s="301">
        <f>K108-L108</f>
        <v>125788770.98999996</v>
      </c>
      <c r="N108" s="302">
        <f>N13+N32+N51+N70+N89</f>
        <v>16101746.85</v>
      </c>
      <c r="O108" s="301">
        <f t="shared" si="44"/>
        <v>141890517.83999997</v>
      </c>
      <c r="Q108" s="309"/>
      <c r="S108" s="327">
        <v>5</v>
      </c>
      <c r="T108" s="328" t="s">
        <v>14</v>
      </c>
      <c r="U108" s="299">
        <f t="shared" si="41"/>
        <v>4719899.8599999994</v>
      </c>
      <c r="V108" s="300">
        <f t="shared" si="41"/>
        <v>5339780.3100000005</v>
      </c>
      <c r="W108" s="300">
        <f t="shared" si="41"/>
        <v>27090032.990000002</v>
      </c>
      <c r="X108" s="300">
        <f t="shared" si="41"/>
        <v>42473370.409999996</v>
      </c>
      <c r="Y108" s="292">
        <f t="shared" si="41"/>
        <v>890099.25</v>
      </c>
      <c r="Z108" s="322">
        <f t="shared" si="41"/>
        <v>0</v>
      </c>
      <c r="AA108" s="323">
        <f t="shared" si="41"/>
        <v>-127.68</v>
      </c>
      <c r="AB108" s="297">
        <f t="shared" si="41"/>
        <v>16101746.85</v>
      </c>
      <c r="AC108" s="324">
        <f t="shared" ref="AC108" si="50">AC13+AC32+AC51+AC70+AC89</f>
        <v>-66.430000000000007</v>
      </c>
      <c r="AD108" s="294">
        <f>-J108+AE108</f>
        <v>45275782.279999994</v>
      </c>
      <c r="AE108" s="294">
        <f>AE13+AE32+AE51+AE70+AE89</f>
        <v>45275782.279999994</v>
      </c>
      <c r="AF108" s="325">
        <f>SUM(U108:AD108)</f>
        <v>141890517.83999997</v>
      </c>
      <c r="AG108" s="329">
        <f>AF108-O108</f>
        <v>0</v>
      </c>
      <c r="AH108" s="1" t="b">
        <f t="shared" si="47"/>
        <v>1</v>
      </c>
      <c r="AI108" s="309"/>
    </row>
    <row r="109" spans="2:36" s="308" customFormat="1" ht="13.5" thickBot="1" x14ac:dyDescent="0.35">
      <c r="B109" s="330"/>
      <c r="C109" s="331" t="s">
        <v>2</v>
      </c>
      <c r="D109" s="293">
        <f t="shared" ref="D109:O109" si="51">SUM(D104:D108)</f>
        <v>1761977426.76</v>
      </c>
      <c r="E109" s="293">
        <f t="shared" si="51"/>
        <v>212409214.08000001</v>
      </c>
      <c r="F109" s="293">
        <f t="shared" si="51"/>
        <v>115910129.74000001</v>
      </c>
      <c r="G109" s="293">
        <f t="shared" si="51"/>
        <v>61291294.430000007</v>
      </c>
      <c r="H109" s="293">
        <f t="shared" si="51"/>
        <v>166751023.49999997</v>
      </c>
      <c r="I109" s="293">
        <f t="shared" si="51"/>
        <v>5554113.25</v>
      </c>
      <c r="J109" s="293">
        <f t="shared" si="51"/>
        <v>0</v>
      </c>
      <c r="K109" s="303">
        <f t="shared" si="51"/>
        <v>1200061651.76</v>
      </c>
      <c r="L109" s="304">
        <f t="shared" si="51"/>
        <v>0</v>
      </c>
      <c r="M109" s="305">
        <f t="shared" si="51"/>
        <v>1200061651.76</v>
      </c>
      <c r="N109" s="304">
        <f t="shared" si="51"/>
        <v>46273844.229999997</v>
      </c>
      <c r="O109" s="305">
        <f t="shared" si="51"/>
        <v>1246335495.9899998</v>
      </c>
      <c r="P109" s="332"/>
      <c r="Q109" s="309"/>
      <c r="S109" s="330"/>
      <c r="T109" s="331" t="s">
        <v>2</v>
      </c>
      <c r="U109" s="333">
        <f>SUM(U104:U108)</f>
        <v>49218259.219999999</v>
      </c>
      <c r="V109" s="333">
        <f t="shared" ref="V109:AF109" si="52">SUM(V104:V108)</f>
        <v>59377510.569999993</v>
      </c>
      <c r="W109" s="333">
        <f t="shared" si="52"/>
        <v>282462863.25</v>
      </c>
      <c r="X109" s="333">
        <f t="shared" si="52"/>
        <v>520630433.88999999</v>
      </c>
      <c r="Y109" s="333">
        <f t="shared" si="52"/>
        <v>9085000.7400000021</v>
      </c>
      <c r="Z109" s="293">
        <f t="shared" si="52"/>
        <v>0</v>
      </c>
      <c r="AA109" s="293">
        <f t="shared" si="52"/>
        <v>-1783.33</v>
      </c>
      <c r="AB109" s="473">
        <f t="shared" si="52"/>
        <v>46273844.229999997</v>
      </c>
      <c r="AC109" s="293">
        <f t="shared" ref="AC109" si="53">SUM(AC104:AC108)</f>
        <v>-52.74</v>
      </c>
      <c r="AD109" s="293">
        <f t="shared" si="52"/>
        <v>279289420.15999997</v>
      </c>
      <c r="AE109" s="293">
        <f>SUM(AE104:AE108)</f>
        <v>279289420.15999997</v>
      </c>
      <c r="AF109" s="334">
        <f t="shared" si="52"/>
        <v>1246335495.99</v>
      </c>
      <c r="AG109" s="335">
        <f>SUM(AG104:AG108)</f>
        <v>0</v>
      </c>
      <c r="AH109" s="1" t="b">
        <f t="shared" si="47"/>
        <v>1</v>
      </c>
      <c r="AI109" s="309"/>
    </row>
    <row r="110" spans="2:36" ht="12" thickBot="1" x14ac:dyDescent="0.3">
      <c r="B110" s="2"/>
      <c r="C110" s="2"/>
      <c r="D110" s="165"/>
      <c r="E110" s="24"/>
      <c r="F110" s="24"/>
      <c r="G110" s="24"/>
      <c r="H110" s="24"/>
      <c r="I110" s="24"/>
      <c r="J110" s="165"/>
      <c r="K110" s="24"/>
      <c r="L110" s="24"/>
      <c r="M110" s="24"/>
      <c r="N110" s="24"/>
      <c r="O110" s="24"/>
      <c r="Q110" s="4"/>
      <c r="S110" s="2"/>
      <c r="T110" s="2"/>
      <c r="U110" s="24"/>
      <c r="V110" s="24"/>
      <c r="W110" s="24"/>
      <c r="X110" s="24"/>
      <c r="Y110" s="24"/>
      <c r="AF110" s="24"/>
      <c r="AI110" s="4"/>
    </row>
    <row r="111" spans="2:36" ht="12" thickBot="1" x14ac:dyDescent="0.3">
      <c r="B111" s="2"/>
      <c r="C111" s="2"/>
      <c r="D111" s="24"/>
      <c r="E111" s="24"/>
      <c r="F111" s="24"/>
      <c r="G111" s="24"/>
      <c r="H111" s="24"/>
      <c r="I111" s="24"/>
      <c r="J111" s="24"/>
      <c r="K111" s="24"/>
      <c r="L111" s="24"/>
      <c r="M111" s="24"/>
      <c r="N111" s="24"/>
      <c r="O111" s="24"/>
      <c r="Q111" s="4"/>
      <c r="Y111" s="86">
        <f>SUM(U109:Y109)</f>
        <v>920774067.66999996</v>
      </c>
      <c r="AA111" s="1" t="s">
        <v>1</v>
      </c>
      <c r="AB111" s="1" t="s">
        <v>1</v>
      </c>
      <c r="AD111" s="1" t="s">
        <v>1</v>
      </c>
      <c r="AF111" s="1" t="s">
        <v>1</v>
      </c>
      <c r="AI111" s="4"/>
    </row>
    <row r="112" spans="2:36" ht="12" thickBot="1" x14ac:dyDescent="0.3">
      <c r="B112" s="2"/>
      <c r="C112" s="2"/>
      <c r="D112" s="24" t="s">
        <v>1</v>
      </c>
      <c r="E112" s="33"/>
      <c r="F112" s="33"/>
      <c r="G112" s="33"/>
      <c r="H112" s="33"/>
      <c r="I112" s="24"/>
      <c r="K112" s="24"/>
      <c r="L112" s="24"/>
      <c r="M112" s="24"/>
      <c r="N112" s="24"/>
      <c r="O112" s="24"/>
      <c r="Q112" s="4"/>
      <c r="U112" s="33"/>
      <c r="V112" s="33"/>
      <c r="W112" s="33"/>
      <c r="X112" s="33"/>
      <c r="AI112" s="4"/>
    </row>
    <row r="113" spans="1:35" x14ac:dyDescent="0.25">
      <c r="B113" s="2"/>
      <c r="C113" s="2"/>
      <c r="D113" s="24" t="s">
        <v>1</v>
      </c>
      <c r="E113" s="24" t="s">
        <v>1</v>
      </c>
      <c r="F113" s="24" t="s">
        <v>25</v>
      </c>
      <c r="G113" s="24"/>
      <c r="H113" s="24"/>
      <c r="I113" s="24"/>
      <c r="K113" s="24"/>
      <c r="L113" s="24"/>
      <c r="M113" s="24"/>
      <c r="N113" s="24"/>
      <c r="O113" s="24"/>
      <c r="Q113" s="4"/>
      <c r="U113" s="24" t="s">
        <v>1</v>
      </c>
      <c r="V113" s="24" t="s">
        <v>25</v>
      </c>
      <c r="W113" s="24"/>
      <c r="X113" s="24"/>
      <c r="AI113" s="4"/>
    </row>
    <row r="114" spans="1:35" x14ac:dyDescent="0.25">
      <c r="A114" s="52"/>
      <c r="B114" s="53"/>
      <c r="C114" s="53"/>
      <c r="D114" s="54"/>
      <c r="E114" s="54"/>
      <c r="F114" s="54"/>
      <c r="G114" s="54"/>
      <c r="H114" s="54"/>
      <c r="I114" s="54"/>
      <c r="J114" s="52"/>
      <c r="K114" s="54"/>
      <c r="L114" s="54"/>
      <c r="M114" s="54"/>
      <c r="N114" s="54"/>
      <c r="O114" s="54"/>
      <c r="P114" s="52"/>
      <c r="Q114" s="52"/>
      <c r="R114" s="52"/>
      <c r="S114" s="52"/>
      <c r="T114" s="52"/>
      <c r="U114" s="52"/>
      <c r="V114" s="52"/>
      <c r="W114" s="52"/>
      <c r="X114" s="52"/>
      <c r="Y114" s="52"/>
      <c r="Z114" s="52"/>
      <c r="AA114" s="52"/>
      <c r="AB114" s="52"/>
      <c r="AC114" s="52"/>
      <c r="AD114" s="52"/>
      <c r="AE114" s="52"/>
      <c r="AF114" s="52"/>
      <c r="AG114" s="52"/>
      <c r="AH114" s="52"/>
      <c r="AI114" s="52"/>
    </row>
    <row r="115" spans="1:35" ht="12" thickBot="1" x14ac:dyDescent="0.3">
      <c r="Q115" s="4"/>
    </row>
    <row r="116" spans="1:35" x14ac:dyDescent="0.25">
      <c r="B116" s="5"/>
      <c r="C116" s="3" t="s">
        <v>1</v>
      </c>
      <c r="D116" s="6" t="s">
        <v>1</v>
      </c>
      <c r="E116" s="3"/>
      <c r="F116" s="3"/>
      <c r="G116" s="3"/>
      <c r="H116" s="3" t="s">
        <v>1</v>
      </c>
      <c r="I116" s="3"/>
      <c r="J116" s="3"/>
      <c r="K116" s="3"/>
      <c r="L116" s="3"/>
      <c r="M116" s="3"/>
      <c r="N116" s="3"/>
      <c r="O116" s="7"/>
      <c r="P116" s="2"/>
      <c r="Q116" s="35"/>
    </row>
    <row r="117" spans="1:35" ht="14" x14ac:dyDescent="0.3">
      <c r="B117" s="8"/>
      <c r="C117" s="2"/>
      <c r="D117" s="9"/>
      <c r="F117" s="26" t="s">
        <v>8</v>
      </c>
      <c r="G117" s="26"/>
      <c r="I117" s="26" t="s">
        <v>16</v>
      </c>
      <c r="J117" s="25"/>
      <c r="L117" s="2" t="s">
        <v>15</v>
      </c>
      <c r="M117" s="50">
        <f>N3</f>
        <v>2026071</v>
      </c>
      <c r="O117" s="10"/>
      <c r="P117" s="2"/>
      <c r="Q117" s="4"/>
    </row>
    <row r="118" spans="1:35" ht="15.5" x14ac:dyDescent="0.35">
      <c r="B118" s="8"/>
      <c r="C118" s="2"/>
      <c r="D118" s="57"/>
      <c r="F118" s="36" t="s">
        <v>29</v>
      </c>
      <c r="G118" s="36"/>
      <c r="O118" s="10"/>
      <c r="P118" s="2"/>
      <c r="Q118" s="4"/>
    </row>
    <row r="119" spans="1:35" x14ac:dyDescent="0.25">
      <c r="B119" s="8"/>
      <c r="F119" s="2" t="s">
        <v>30</v>
      </c>
      <c r="G119" s="2"/>
      <c r="M119" s="2" t="s">
        <v>1</v>
      </c>
      <c r="O119" s="10"/>
      <c r="P119" s="2"/>
      <c r="Q119" s="4"/>
    </row>
    <row r="120" spans="1:35" x14ac:dyDescent="0.25">
      <c r="B120" s="8"/>
      <c r="I120" s="2"/>
      <c r="J120" s="2"/>
      <c r="O120" s="10"/>
      <c r="P120" s="2"/>
      <c r="Q120" s="4"/>
    </row>
    <row r="121" spans="1:35" ht="15.5" x14ac:dyDescent="0.35">
      <c r="B121" s="8"/>
      <c r="F121" s="41" t="s">
        <v>37</v>
      </c>
      <c r="G121" s="41"/>
      <c r="H121" s="2"/>
      <c r="J121" s="2"/>
      <c r="O121" s="10"/>
      <c r="P121" s="2"/>
      <c r="Q121" s="4"/>
    </row>
    <row r="122" spans="1:35" x14ac:dyDescent="0.25">
      <c r="B122" s="8"/>
      <c r="F122" s="2" t="s">
        <v>27</v>
      </c>
      <c r="G122" s="9">
        <f>G7</f>
        <v>46204</v>
      </c>
      <c r="J122" s="2" t="s">
        <v>28</v>
      </c>
      <c r="K122" s="9">
        <f>K7</f>
        <v>46218</v>
      </c>
      <c r="O122" s="10"/>
      <c r="P122" s="2"/>
      <c r="Q122" s="4"/>
    </row>
    <row r="123" spans="1:35" ht="12" thickBot="1" x14ac:dyDescent="0.3">
      <c r="B123" s="8"/>
      <c r="C123" s="2" t="s">
        <v>1</v>
      </c>
      <c r="D123" s="2" t="s">
        <v>1</v>
      </c>
      <c r="J123" s="1" t="s">
        <v>1</v>
      </c>
      <c r="O123" s="44"/>
      <c r="P123" s="2"/>
      <c r="Q123" s="4"/>
    </row>
    <row r="124" spans="1:35" ht="46.5" thickBot="1" x14ac:dyDescent="0.3">
      <c r="B124" s="11" t="s">
        <v>3</v>
      </c>
      <c r="C124" s="12" t="s">
        <v>9</v>
      </c>
      <c r="D124" s="12" t="s">
        <v>38</v>
      </c>
      <c r="E124" s="73" t="s">
        <v>48</v>
      </c>
      <c r="G124" s="104" t="s">
        <v>47</v>
      </c>
      <c r="H124" s="73" t="s">
        <v>56</v>
      </c>
      <c r="I124" s="73" t="s">
        <v>130</v>
      </c>
      <c r="J124" s="73" t="s">
        <v>171</v>
      </c>
      <c r="K124" s="73" t="s">
        <v>143</v>
      </c>
      <c r="L124" s="73" t="s">
        <v>144</v>
      </c>
      <c r="O124" s="44"/>
      <c r="P124" s="13"/>
      <c r="Q124" s="4"/>
    </row>
    <row r="125" spans="1:35" s="308" customFormat="1" x14ac:dyDescent="0.25">
      <c r="B125" s="337">
        <v>1</v>
      </c>
      <c r="C125" s="338" t="s">
        <v>10</v>
      </c>
      <c r="D125" s="311">
        <f>'ANTICIPOS USUARIOS'!O3</f>
        <v>12466967.189999999</v>
      </c>
      <c r="E125" s="312">
        <v>0</v>
      </c>
      <c r="G125" s="339">
        <f>D47+N47</f>
        <v>11673020</v>
      </c>
      <c r="H125" s="313">
        <f>D28+N28</f>
        <v>2311059.02</v>
      </c>
      <c r="I125" s="312">
        <f>D85+N85</f>
        <v>0</v>
      </c>
      <c r="J125" s="312">
        <f>D66+N66</f>
        <v>-12054255.65</v>
      </c>
      <c r="K125" s="312">
        <f>'ANTICIPOS USUARIOS'!O12</f>
        <v>1944280</v>
      </c>
      <c r="L125" s="312">
        <f>-'ANTICIPOS USUARIOS'!O21</f>
        <v>8965804.3499999996</v>
      </c>
      <c r="O125" s="340"/>
      <c r="Q125" s="309"/>
    </row>
    <row r="126" spans="1:35" s="308" customFormat="1" x14ac:dyDescent="0.25">
      <c r="B126" s="317">
        <v>2</v>
      </c>
      <c r="C126" s="341" t="s">
        <v>11</v>
      </c>
      <c r="D126" s="295">
        <f>'ANTICIPOS USUARIOS'!O4</f>
        <v>32048911</v>
      </c>
      <c r="E126" s="291">
        <v>0</v>
      </c>
      <c r="G126" s="342">
        <f>D48+N48</f>
        <v>0</v>
      </c>
      <c r="H126" s="343">
        <f>D29+N29</f>
        <v>12441371.75</v>
      </c>
      <c r="I126" s="291">
        <f>D86+N86</f>
        <v>0</v>
      </c>
      <c r="J126" s="291">
        <f t="shared" ref="J126:J129" si="54">D67+N67</f>
        <v>0</v>
      </c>
      <c r="K126" s="291">
        <f>'ANTICIPOS USUARIOS'!O13</f>
        <v>0</v>
      </c>
      <c r="L126" s="291">
        <f>-'ANTICIPOS USUARIOS'!O22</f>
        <v>0</v>
      </c>
      <c r="O126" s="340"/>
      <c r="Q126" s="309"/>
    </row>
    <row r="127" spans="1:35" s="308" customFormat="1" x14ac:dyDescent="0.25">
      <c r="B127" s="317">
        <v>3</v>
      </c>
      <c r="C127" s="341" t="s">
        <v>12</v>
      </c>
      <c r="D127" s="295">
        <f>'ANTICIPOS USUARIOS'!O5</f>
        <v>2387269</v>
      </c>
      <c r="E127" s="291">
        <v>0</v>
      </c>
      <c r="G127" s="342">
        <f>D49+N49</f>
        <v>10198723.07</v>
      </c>
      <c r="H127" s="343">
        <f>D30+N30</f>
        <v>677060.45</v>
      </c>
      <c r="I127" s="291">
        <f>D87+N87</f>
        <v>0</v>
      </c>
      <c r="J127" s="291">
        <f t="shared" si="54"/>
        <v>-10531481.890000001</v>
      </c>
      <c r="K127" s="291">
        <f>'ANTICIPOS USUARIOS'!O14</f>
        <v>426786.93</v>
      </c>
      <c r="L127" s="291">
        <f>-'ANTICIPOS USUARIOS'!O23</f>
        <v>10145808.109999999</v>
      </c>
      <c r="O127" s="340"/>
      <c r="Q127" s="309"/>
    </row>
    <row r="128" spans="1:35" s="308" customFormat="1" x14ac:dyDescent="0.25">
      <c r="B128" s="317">
        <v>4</v>
      </c>
      <c r="C128" s="341" t="s">
        <v>13</v>
      </c>
      <c r="D128" s="295">
        <f>'ANTICIPOS USUARIOS'!O6</f>
        <v>11928035.6</v>
      </c>
      <c r="E128" s="291">
        <v>0</v>
      </c>
      <c r="G128" s="342">
        <f>D50+N50</f>
        <v>1855630</v>
      </c>
      <c r="H128" s="343">
        <f>D31+N31</f>
        <v>2001316.6600000001</v>
      </c>
      <c r="I128" s="291">
        <f>D88+N88</f>
        <v>0</v>
      </c>
      <c r="J128" s="291">
        <f t="shared" si="54"/>
        <v>-4856351.96</v>
      </c>
      <c r="K128" s="291">
        <f>'ANTICIPOS USUARIOS'!O15</f>
        <v>2723150</v>
      </c>
      <c r="L128" s="291">
        <f>-'ANTICIPOS USUARIOS'!O24</f>
        <v>245148.04</v>
      </c>
      <c r="O128" s="340"/>
      <c r="Q128" s="309"/>
    </row>
    <row r="129" spans="1:18" s="308" customFormat="1" x14ac:dyDescent="0.25">
      <c r="B129" s="344">
        <v>5</v>
      </c>
      <c r="C129" s="345" t="s">
        <v>14</v>
      </c>
      <c r="D129" s="295">
        <f>'ANTICIPOS USUARIOS'!O7</f>
        <v>2431000</v>
      </c>
      <c r="E129" s="347">
        <v>0</v>
      </c>
      <c r="G129" s="342">
        <f>D51+N51</f>
        <v>0</v>
      </c>
      <c r="H129" s="343">
        <f>D32+N32</f>
        <v>655659.01</v>
      </c>
      <c r="I129" s="291">
        <f>D89+N89</f>
        <v>0</v>
      </c>
      <c r="J129" s="291">
        <f t="shared" si="54"/>
        <v>-950286.68</v>
      </c>
      <c r="K129" s="291">
        <f>'ANTICIPOS USUARIOS'!O16</f>
        <v>314490</v>
      </c>
      <c r="L129" s="291">
        <f>-'ANTICIPOS USUARIOS'!O25</f>
        <v>750593.32</v>
      </c>
      <c r="O129" s="340"/>
      <c r="Q129" s="309"/>
    </row>
    <row r="130" spans="1:18" s="308" customFormat="1" ht="12" thickBot="1" x14ac:dyDescent="0.3">
      <c r="B130" s="327" t="s">
        <v>89</v>
      </c>
      <c r="C130" s="348" t="s">
        <v>113</v>
      </c>
      <c r="D130" s="300"/>
      <c r="E130" s="292">
        <f>'Recaudo Directa Occidente'!D26</f>
        <v>0</v>
      </c>
      <c r="G130" s="349"/>
      <c r="H130" s="350"/>
      <c r="I130" s="292"/>
      <c r="J130" s="292"/>
      <c r="K130" s="292"/>
      <c r="L130" s="292"/>
      <c r="O130" s="340"/>
      <c r="Q130" s="309"/>
    </row>
    <row r="131" spans="1:18" s="308" customFormat="1" ht="12" thickBot="1" x14ac:dyDescent="0.3">
      <c r="B131" s="351"/>
      <c r="C131" s="352" t="s">
        <v>2</v>
      </c>
      <c r="D131" s="353">
        <f>SUM(D125:D130)</f>
        <v>61262182.789999999</v>
      </c>
      <c r="E131" s="353">
        <f>SUM(E125:E130)</f>
        <v>0</v>
      </c>
      <c r="F131" s="354"/>
      <c r="G131" s="353">
        <f t="shared" ref="G131" si="55">SUM(G125:G129)</f>
        <v>23727373.07</v>
      </c>
      <c r="H131" s="353">
        <f>SUM(H125:H130)</f>
        <v>18086466.890000001</v>
      </c>
      <c r="I131" s="353">
        <f>SUM(I125:I130)</f>
        <v>0</v>
      </c>
      <c r="J131" s="353">
        <f>SUM(J125:J130)</f>
        <v>-28392376.18</v>
      </c>
      <c r="K131" s="353">
        <f>SUM(K125:K130)</f>
        <v>5408706.9299999997</v>
      </c>
      <c r="L131" s="353">
        <f>SUM(L125:L130)</f>
        <v>20107353.82</v>
      </c>
      <c r="M131" s="354"/>
      <c r="N131" s="354"/>
      <c r="O131" s="355"/>
      <c r="P131" s="332"/>
      <c r="Q131" s="309"/>
    </row>
    <row r="132" spans="1:18" x14ac:dyDescent="0.25">
      <c r="B132" s="2"/>
      <c r="C132" s="2"/>
      <c r="D132" s="24"/>
      <c r="Q132" s="4"/>
    </row>
    <row r="133" spans="1:18" x14ac:dyDescent="0.25">
      <c r="B133" s="2"/>
      <c r="C133" s="2"/>
      <c r="D133" s="24"/>
      <c r="L133" s="1" t="s">
        <v>1</v>
      </c>
      <c r="Q133" s="4"/>
    </row>
    <row r="134" spans="1:18" ht="12" thickBot="1" x14ac:dyDescent="0.3">
      <c r="B134" s="2"/>
      <c r="C134" s="2"/>
      <c r="D134" s="24"/>
      <c r="E134" s="33"/>
      <c r="F134" s="33"/>
      <c r="G134" s="33"/>
      <c r="H134" s="33"/>
      <c r="I134" s="24"/>
      <c r="K134" s="24"/>
      <c r="L134" s="24" t="s">
        <v>1</v>
      </c>
      <c r="M134" s="24" t="s">
        <v>1</v>
      </c>
      <c r="N134" s="24"/>
      <c r="O134" s="24"/>
      <c r="Q134" s="4"/>
    </row>
    <row r="135" spans="1:18" x14ac:dyDescent="0.25">
      <c r="B135" s="2"/>
      <c r="C135" s="2"/>
      <c r="D135" s="24"/>
      <c r="E135" s="24" t="s">
        <v>1</v>
      </c>
      <c r="F135" s="42" t="s">
        <v>36</v>
      </c>
      <c r="G135" s="42"/>
      <c r="H135" s="42"/>
      <c r="I135" s="24"/>
      <c r="K135" s="24"/>
      <c r="L135" s="24"/>
      <c r="M135" s="24"/>
      <c r="N135" s="24"/>
      <c r="O135" s="24"/>
      <c r="Q135" s="4"/>
    </row>
    <row r="136" spans="1:18" x14ac:dyDescent="0.25">
      <c r="A136" s="52"/>
      <c r="B136" s="53"/>
      <c r="C136" s="53"/>
      <c r="D136" s="54"/>
      <c r="E136" s="54"/>
      <c r="F136" s="54"/>
      <c r="G136" s="54"/>
      <c r="H136" s="54"/>
      <c r="I136" s="54"/>
      <c r="J136" s="52"/>
      <c r="K136" s="54"/>
      <c r="L136" s="54"/>
      <c r="M136" s="54"/>
      <c r="N136" s="54"/>
      <c r="O136" s="54"/>
      <c r="P136" s="52"/>
      <c r="Q136" s="4"/>
    </row>
    <row r="137" spans="1:18" x14ac:dyDescent="0.25">
      <c r="B137" s="2"/>
      <c r="C137" s="2"/>
      <c r="D137" s="24"/>
      <c r="E137" s="24"/>
      <c r="F137" s="24"/>
      <c r="G137" s="24"/>
      <c r="H137" s="24"/>
      <c r="I137" s="24"/>
      <c r="K137" s="24"/>
      <c r="L137" s="24"/>
      <c r="M137" s="24"/>
      <c r="N137" s="24"/>
      <c r="O137" s="24"/>
      <c r="Q137" s="4"/>
    </row>
    <row r="138" spans="1:18" x14ac:dyDescent="0.25">
      <c r="B138" s="2"/>
      <c r="C138" s="59" t="s">
        <v>49</v>
      </c>
      <c r="D138" s="64"/>
      <c r="E138" s="24"/>
      <c r="F138" s="24"/>
      <c r="G138" s="24"/>
      <c r="H138" s="24"/>
      <c r="I138" s="24"/>
      <c r="K138" s="24"/>
      <c r="L138" s="24"/>
      <c r="M138" s="24"/>
      <c r="N138" s="24"/>
      <c r="O138" s="24"/>
      <c r="Q138" s="35"/>
    </row>
    <row r="139" spans="1:18" x14ac:dyDescent="0.25">
      <c r="B139" s="2"/>
      <c r="C139" s="2"/>
      <c r="D139" s="24"/>
      <c r="E139" s="24"/>
      <c r="F139" s="24"/>
      <c r="G139" s="24"/>
      <c r="H139" s="24"/>
      <c r="I139" s="24"/>
      <c r="K139" s="24"/>
      <c r="L139" s="24"/>
      <c r="M139" s="24"/>
      <c r="N139" s="24"/>
      <c r="O139" s="24"/>
      <c r="Q139" s="35"/>
    </row>
    <row r="140" spans="1:18" ht="18.75" customHeight="1" thickBot="1" x14ac:dyDescent="0.3">
      <c r="B140" s="2"/>
      <c r="C140" s="2"/>
      <c r="D140" s="24"/>
      <c r="E140" s="24"/>
      <c r="F140" s="24"/>
      <c r="G140" s="24"/>
      <c r="H140" s="24"/>
      <c r="J140" s="24"/>
      <c r="K140" s="24"/>
      <c r="M140" s="24"/>
      <c r="N140" s="24"/>
      <c r="O140" s="24"/>
      <c r="P140" s="24"/>
      <c r="Q140" s="35"/>
    </row>
    <row r="141" spans="1:18" ht="46.5" thickBot="1" x14ac:dyDescent="0.3">
      <c r="B141" s="104" t="s">
        <v>3</v>
      </c>
      <c r="C141" s="105" t="s">
        <v>9</v>
      </c>
      <c r="D141" s="105" t="s">
        <v>44</v>
      </c>
      <c r="E141" s="105" t="s">
        <v>45</v>
      </c>
      <c r="F141" s="105" t="s">
        <v>31</v>
      </c>
      <c r="G141" s="105" t="s">
        <v>91</v>
      </c>
      <c r="H141" s="105" t="s">
        <v>128</v>
      </c>
      <c r="I141" s="105" t="s">
        <v>127</v>
      </c>
      <c r="J141" s="105" t="s">
        <v>47</v>
      </c>
      <c r="K141" s="105" t="s">
        <v>51</v>
      </c>
      <c r="L141" s="1" t="s">
        <v>1</v>
      </c>
      <c r="M141" s="56"/>
      <c r="N141" s="56"/>
      <c r="O141" s="56"/>
      <c r="P141" s="24"/>
      <c r="Q141" s="35"/>
      <c r="R141" s="24"/>
    </row>
    <row r="142" spans="1:18" x14ac:dyDescent="0.25">
      <c r="B142" s="108">
        <v>1</v>
      </c>
      <c r="C142" s="109" t="s">
        <v>10</v>
      </c>
      <c r="D142" s="110">
        <f>D104+N104+D125+E125</f>
        <v>542405515.37</v>
      </c>
      <c r="E142" s="110">
        <f>'Recaudo Directa Occidente'!D21</f>
        <v>540475692</v>
      </c>
      <c r="F142" s="110">
        <f>D28+N28</f>
        <v>2311059.02</v>
      </c>
      <c r="G142" s="110">
        <f>D66+N66</f>
        <v>-12054255.65</v>
      </c>
      <c r="H142" s="110">
        <f>D85+N85</f>
        <v>0</v>
      </c>
      <c r="I142" s="110">
        <f>('REPORTE RECAUDO x BANCO'!E75)</f>
        <v>0</v>
      </c>
      <c r="J142" s="110">
        <f t="shared" ref="J142:K146" si="56">G125</f>
        <v>11673020</v>
      </c>
      <c r="K142" s="111">
        <f t="shared" si="56"/>
        <v>2311059.02</v>
      </c>
      <c r="L142" s="528">
        <f>D142-E142-F142-G142-J142-H142-I142</f>
        <v>5.5879354476928711E-9</v>
      </c>
      <c r="M142" s="1" t="b">
        <f>INT(L142)=0</f>
        <v>1</v>
      </c>
      <c r="O142" s="55"/>
      <c r="P142" s="24"/>
      <c r="Q142" s="35"/>
      <c r="R142" s="24"/>
    </row>
    <row r="143" spans="1:18" x14ac:dyDescent="0.25">
      <c r="B143" s="16">
        <v>2</v>
      </c>
      <c r="C143" s="17" t="s">
        <v>11</v>
      </c>
      <c r="D143" s="18">
        <f>D105+N105+D126+E126</f>
        <v>434662656.75000006</v>
      </c>
      <c r="E143" s="18">
        <f>'Recaudo Directa Occidente'!D22</f>
        <v>422221285</v>
      </c>
      <c r="F143" s="18">
        <f>D29+N29</f>
        <v>12441371.75</v>
      </c>
      <c r="G143" s="18">
        <f>D67+N67</f>
        <v>0</v>
      </c>
      <c r="H143" s="18">
        <f>D86+N86</f>
        <v>0</v>
      </c>
      <c r="I143" s="18">
        <f>('REPORTE RECAUDO x BANCO'!E76)</f>
        <v>0</v>
      </c>
      <c r="J143" s="18">
        <f t="shared" si="56"/>
        <v>0</v>
      </c>
      <c r="K143" s="83">
        <f t="shared" si="56"/>
        <v>12441371.75</v>
      </c>
      <c r="L143" s="528">
        <f>D143-E143-F143-G143-J143-H143-I143</f>
        <v>5.9604644775390625E-8</v>
      </c>
      <c r="M143" s="1" t="b">
        <f t="shared" ref="M143:M147" si="57">INT(L143)=0</f>
        <v>1</v>
      </c>
      <c r="O143" s="130"/>
      <c r="P143" s="24"/>
      <c r="Q143" s="35"/>
      <c r="R143" s="24"/>
    </row>
    <row r="144" spans="1:18" x14ac:dyDescent="0.25">
      <c r="B144" s="16">
        <v>3</v>
      </c>
      <c r="C144" s="17" t="s">
        <v>12</v>
      </c>
      <c r="D144" s="18">
        <f>D106+N106+D127+E127</f>
        <v>472863366.62999994</v>
      </c>
      <c r="E144" s="18">
        <f>'Recaudo Directa Occidente'!D23</f>
        <v>472519065</v>
      </c>
      <c r="F144" s="18">
        <f>D30+N30</f>
        <v>677060.45</v>
      </c>
      <c r="G144" s="18">
        <f>D68+N68</f>
        <v>-10531481.890000001</v>
      </c>
      <c r="H144" s="18">
        <f>D87+N87</f>
        <v>0</v>
      </c>
      <c r="I144" s="18">
        <f>('REPORTE RECAUDO x BANCO'!E77)</f>
        <v>0</v>
      </c>
      <c r="J144" s="18">
        <f t="shared" si="56"/>
        <v>10198723.07</v>
      </c>
      <c r="K144" s="83">
        <f t="shared" si="56"/>
        <v>677060.45</v>
      </c>
      <c r="L144" s="528">
        <f>D144-E144-F144-G144-J144-H144-I144</f>
        <v>-6.3329935073852539E-8</v>
      </c>
      <c r="M144" s="1" t="b">
        <f t="shared" si="57"/>
        <v>0</v>
      </c>
      <c r="O144" s="55"/>
      <c r="P144" s="24"/>
      <c r="Q144" s="35"/>
      <c r="R144" s="24"/>
    </row>
    <row r="145" spans="1:20" x14ac:dyDescent="0.25">
      <c r="B145" s="16">
        <v>4</v>
      </c>
      <c r="C145" s="17" t="s">
        <v>13</v>
      </c>
      <c r="D145" s="18">
        <f>D107+N107+D128+E128</f>
        <v>238142980.69999999</v>
      </c>
      <c r="E145" s="18">
        <f>'Recaudo Directa Occidente'!D24</f>
        <v>239142386</v>
      </c>
      <c r="F145" s="18">
        <f>D31+N31</f>
        <v>2001316.6600000001</v>
      </c>
      <c r="G145" s="18">
        <f>D69+N69</f>
        <v>-4856351.96</v>
      </c>
      <c r="H145" s="18">
        <f>D88+N88</f>
        <v>0</v>
      </c>
      <c r="I145" s="18">
        <f>('REPORTE RECAUDO x BANCO'!E78)</f>
        <v>0</v>
      </c>
      <c r="J145" s="18">
        <f t="shared" si="56"/>
        <v>1855630</v>
      </c>
      <c r="K145" s="83">
        <f t="shared" si="56"/>
        <v>2001316.6600000001</v>
      </c>
      <c r="L145" s="528">
        <f>D145-E145-F145-G145-J145-H145-I145</f>
        <v>-1.2107193470001221E-8</v>
      </c>
      <c r="M145" s="1" t="b">
        <f t="shared" si="57"/>
        <v>0</v>
      </c>
      <c r="O145" s="96"/>
      <c r="P145" s="24"/>
      <c r="Q145" s="35"/>
      <c r="R145" s="24"/>
    </row>
    <row r="146" spans="1:20" ht="12" thickBot="1" x14ac:dyDescent="0.3">
      <c r="B146" s="133">
        <v>5</v>
      </c>
      <c r="C146" s="138" t="s">
        <v>14</v>
      </c>
      <c r="D146" s="134">
        <f>D108+N108+D129+E129</f>
        <v>181438934.32999998</v>
      </c>
      <c r="E146" s="18">
        <f>'Recaudo Directa Occidente'!D25</f>
        <v>181733562</v>
      </c>
      <c r="F146" s="134">
        <f>D32+N32</f>
        <v>655659.01</v>
      </c>
      <c r="G146" s="134">
        <f>D70+N70</f>
        <v>-950286.68</v>
      </c>
      <c r="H146" s="134">
        <f>D89+N89</f>
        <v>0</v>
      </c>
      <c r="I146" s="134">
        <f>('REPORTE RECAUDO x BANCO'!E79)</f>
        <v>0</v>
      </c>
      <c r="J146" s="134">
        <f t="shared" si="56"/>
        <v>0</v>
      </c>
      <c r="K146" s="136">
        <f t="shared" si="56"/>
        <v>655659.01</v>
      </c>
      <c r="L146" s="528">
        <f>D146-E146-F146-G146-J146-H146-I146</f>
        <v>-1.6647391021251678E-8</v>
      </c>
      <c r="M146" s="1" t="b">
        <f t="shared" si="57"/>
        <v>0</v>
      </c>
      <c r="O146" s="55"/>
      <c r="P146" s="24"/>
      <c r="Q146" s="35"/>
      <c r="R146" s="24"/>
    </row>
    <row r="147" spans="1:20" ht="12" thickBot="1" x14ac:dyDescent="0.3">
      <c r="B147" s="21"/>
      <c r="C147" s="22" t="s">
        <v>2</v>
      </c>
      <c r="D147" s="47">
        <f>SUM(D142:D146)</f>
        <v>1869513453.78</v>
      </c>
      <c r="E147" s="47">
        <f>SUM(E142:E146)</f>
        <v>1856091990</v>
      </c>
      <c r="F147" s="47">
        <f t="shared" ref="F147:K147" si="58">SUM(F142:F146)</f>
        <v>18086466.890000001</v>
      </c>
      <c r="G147" s="47">
        <f t="shared" si="58"/>
        <v>-28392376.18</v>
      </c>
      <c r="H147" s="47">
        <f t="shared" si="58"/>
        <v>0</v>
      </c>
      <c r="I147" s="47">
        <f t="shared" si="58"/>
        <v>0</v>
      </c>
      <c r="J147" s="47">
        <f t="shared" si="58"/>
        <v>23727373.07</v>
      </c>
      <c r="K147" s="47">
        <f t="shared" si="58"/>
        <v>18086466.890000001</v>
      </c>
      <c r="L147" s="528">
        <f>SUM(L142:L146)</f>
        <v>-2.6891939342021942E-8</v>
      </c>
      <c r="M147" s="1" t="b">
        <f t="shared" si="57"/>
        <v>0</v>
      </c>
      <c r="P147" s="24"/>
      <c r="Q147" s="35"/>
      <c r="R147" s="24"/>
    </row>
    <row r="148" spans="1:20" x14ac:dyDescent="0.25">
      <c r="B148" s="2"/>
      <c r="H148" s="55"/>
      <c r="L148" s="24"/>
      <c r="M148" s="24"/>
      <c r="N148" s="24"/>
      <c r="O148" s="24"/>
      <c r="P148" s="24"/>
      <c r="Q148" s="35"/>
    </row>
    <row r="149" spans="1:20" ht="21.75" customHeight="1" x14ac:dyDescent="0.25">
      <c r="B149" s="2"/>
      <c r="C149" s="2"/>
      <c r="D149" s="24"/>
      <c r="F149" s="24"/>
      <c r="G149" s="24"/>
      <c r="H149" s="24"/>
      <c r="I149" s="24"/>
      <c r="K149" s="24"/>
      <c r="L149" s="24"/>
      <c r="M149" s="24"/>
      <c r="N149" s="24"/>
      <c r="O149" s="24"/>
      <c r="Q149" s="35"/>
    </row>
    <row r="150" spans="1:20" x14ac:dyDescent="0.25">
      <c r="B150" s="2"/>
      <c r="C150" s="2"/>
      <c r="D150" s="24"/>
      <c r="E150" s="24"/>
      <c r="F150" s="24"/>
      <c r="G150" s="24"/>
      <c r="H150" s="24"/>
      <c r="I150" s="24"/>
      <c r="J150" s="55"/>
      <c r="K150" s="24"/>
      <c r="L150" s="24"/>
      <c r="M150" s="24"/>
      <c r="N150" s="24"/>
      <c r="O150" s="24"/>
      <c r="Q150" s="35"/>
      <c r="T150" s="24"/>
    </row>
    <row r="151" spans="1:20" x14ac:dyDescent="0.25">
      <c r="A151" s="52"/>
      <c r="B151" s="53"/>
      <c r="C151" s="53"/>
      <c r="D151" s="54"/>
      <c r="E151" s="54"/>
      <c r="F151" s="54"/>
      <c r="G151" s="54"/>
      <c r="H151" s="54"/>
      <c r="I151" s="54"/>
      <c r="J151" s="52"/>
      <c r="K151" s="54"/>
      <c r="L151" s="54"/>
      <c r="M151" s="54"/>
      <c r="N151" s="54"/>
      <c r="O151" s="54"/>
      <c r="P151" s="52"/>
      <c r="Q151" s="54"/>
      <c r="T151" s="24"/>
    </row>
    <row r="152" spans="1:20" x14ac:dyDescent="0.25">
      <c r="N152" s="24"/>
      <c r="O152" s="24"/>
      <c r="Q152" s="24"/>
      <c r="T152" s="24"/>
    </row>
    <row r="153" spans="1:20" x14ac:dyDescent="0.25">
      <c r="N153" s="24"/>
      <c r="O153" s="24"/>
      <c r="Q153" s="24"/>
      <c r="T153" s="24"/>
    </row>
    <row r="154" spans="1:20" x14ac:dyDescent="0.25">
      <c r="E154" s="308"/>
      <c r="N154" s="24"/>
      <c r="O154" s="24"/>
      <c r="Q154" s="24"/>
      <c r="T154" s="24"/>
    </row>
    <row r="155" spans="1:20" x14ac:dyDescent="0.25">
      <c r="E155" s="308"/>
      <c r="N155" s="24"/>
      <c r="O155" s="24"/>
      <c r="Q155" s="24"/>
      <c r="T155" s="24"/>
    </row>
    <row r="156" spans="1:20" x14ac:dyDescent="0.25">
      <c r="E156" s="308"/>
      <c r="N156" s="24"/>
      <c r="O156" s="24"/>
      <c r="Q156" s="24"/>
      <c r="T156" s="24"/>
    </row>
    <row r="157" spans="1:20" x14ac:dyDescent="0.25">
      <c r="E157" s="55"/>
      <c r="N157" s="24"/>
      <c r="O157" s="24"/>
      <c r="Q157" s="24"/>
      <c r="T157" s="24"/>
    </row>
    <row r="158" spans="1:20" x14ac:dyDescent="0.25">
      <c r="N158" s="24"/>
      <c r="O158" s="24"/>
      <c r="Q158" s="24"/>
      <c r="T158" s="24"/>
    </row>
    <row r="159" spans="1:20" x14ac:dyDescent="0.25">
      <c r="N159" s="24"/>
      <c r="O159" s="24"/>
      <c r="Q159" s="24"/>
      <c r="T159" s="24"/>
    </row>
    <row r="160" spans="1:20" x14ac:dyDescent="0.25">
      <c r="N160" s="24"/>
      <c r="O160" s="24"/>
      <c r="Q160" s="24"/>
      <c r="T160" s="24"/>
    </row>
    <row r="161" spans="14:20" x14ac:dyDescent="0.25">
      <c r="N161" s="24"/>
      <c r="O161" s="24"/>
      <c r="Q161" s="24"/>
      <c r="T161" s="24"/>
    </row>
    <row r="162" spans="14:20" x14ac:dyDescent="0.25">
      <c r="N162" s="24"/>
      <c r="O162" s="24"/>
      <c r="Q162" s="24"/>
      <c r="T162" s="24"/>
    </row>
    <row r="163" spans="14:20" x14ac:dyDescent="0.25">
      <c r="N163" s="24"/>
      <c r="O163" s="24"/>
      <c r="Q163" s="24"/>
      <c r="T163" s="24"/>
    </row>
    <row r="164" spans="14:20" x14ac:dyDescent="0.25">
      <c r="Q164" s="24"/>
      <c r="T164" s="24"/>
    </row>
    <row r="165" spans="14:20" x14ac:dyDescent="0.25">
      <c r="Q165" s="24"/>
    </row>
  </sheetData>
  <conditionalFormatting sqref="L142:L147">
    <cfRule type="expression" dxfId="29" priority="20">
      <formula>$L$142&lt;&gt;0</formula>
    </cfRule>
  </conditionalFormatting>
  <conditionalFormatting sqref="M142:M147">
    <cfRule type="cellIs" dxfId="28" priority="7" operator="notEqual">
      <formula>TRUE</formula>
    </cfRule>
  </conditionalFormatting>
  <conditionalFormatting sqref="AH9:AH14">
    <cfRule type="cellIs" dxfId="27" priority="1" operator="notEqual">
      <formula>TRUE</formula>
    </cfRule>
  </conditionalFormatting>
  <conditionalFormatting sqref="AH28:AH33">
    <cfRule type="cellIs" dxfId="26" priority="2" operator="notEqual">
      <formula>TRUE</formula>
    </cfRule>
  </conditionalFormatting>
  <conditionalFormatting sqref="AH47:AH52">
    <cfRule type="cellIs" dxfId="25" priority="3" operator="notEqual">
      <formula>TRUE</formula>
    </cfRule>
  </conditionalFormatting>
  <conditionalFormatting sqref="AH66:AH71">
    <cfRule type="cellIs" dxfId="24" priority="4" operator="notEqual">
      <formula>TRUE</formula>
    </cfRule>
  </conditionalFormatting>
  <conditionalFormatting sqref="AH85:AH90">
    <cfRule type="cellIs" dxfId="23" priority="5" operator="notEqual">
      <formula>TRUE</formula>
    </cfRule>
  </conditionalFormatting>
  <conditionalFormatting sqref="AH104:AH109">
    <cfRule type="cellIs" dxfId="22" priority="6" operator="notEqual">
      <formula>TRUE</formula>
    </cfRule>
  </conditionalFormatting>
  <printOptions horizontalCentered="1" verticalCentered="1"/>
  <pageMargins left="0.55118110236220474" right="0.74803149606299213" top="0.98425196850393704" bottom="0.78740157480314965" header="0" footer="0"/>
  <pageSetup scale="19" orientation="landscape" r:id="rId1"/>
  <headerFooter alignWithMargins="0"/>
  <ignoredErrors>
    <ignoredError sqref="K104:K109 M104:M109" formula="1"/>
  </ignoredErrors>
  <drawing r:id="rId2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tabColor rgb="FF7030A0"/>
  </sheetPr>
  <dimension ref="B1:P16"/>
  <sheetViews>
    <sheetView zoomScale="90" zoomScaleNormal="90" workbookViewId="0">
      <selection activeCell="E9" sqref="E9"/>
    </sheetView>
  </sheetViews>
  <sheetFormatPr baseColWidth="10" defaultRowHeight="12.5" x14ac:dyDescent="0.25"/>
  <cols>
    <col min="1" max="1" width="3" customWidth="1"/>
    <col min="2" max="2" width="4.26953125" bestFit="1" customWidth="1"/>
    <col min="3" max="3" width="16.7265625" customWidth="1"/>
    <col min="4" max="4" width="14.26953125" customWidth="1"/>
    <col min="5" max="7" width="17.7265625" customWidth="1"/>
    <col min="8" max="8" width="18.26953125" customWidth="1"/>
    <col min="9" max="9" width="15.7265625" customWidth="1"/>
    <col min="10" max="10" width="16.453125" customWidth="1"/>
    <col min="11" max="11" width="15.7265625" customWidth="1"/>
    <col min="12" max="13" width="18.26953125" customWidth="1"/>
    <col min="14" max="14" width="15.7265625" customWidth="1"/>
    <col min="15" max="15" width="14.26953125" customWidth="1"/>
    <col min="16" max="16" width="14.453125" customWidth="1"/>
  </cols>
  <sheetData>
    <row r="1" spans="2:16" ht="13" thickBot="1" x14ac:dyDescent="0.3"/>
    <row r="2" spans="2:16" ht="35" thickBot="1" x14ac:dyDescent="0.3">
      <c r="B2" s="11" t="s">
        <v>3</v>
      </c>
      <c r="C2" s="28" t="s">
        <v>55</v>
      </c>
      <c r="D2" s="28" t="s">
        <v>50</v>
      </c>
      <c r="E2" s="28" t="s">
        <v>57</v>
      </c>
      <c r="F2" s="28" t="s">
        <v>129</v>
      </c>
      <c r="G2" s="28" t="s">
        <v>130</v>
      </c>
      <c r="H2" s="131" t="s">
        <v>52</v>
      </c>
      <c r="I2" s="12" t="s">
        <v>58</v>
      </c>
      <c r="J2" s="12" t="s">
        <v>59</v>
      </c>
      <c r="K2" s="12" t="s">
        <v>53</v>
      </c>
      <c r="L2" s="27" t="s">
        <v>60</v>
      </c>
      <c r="M2" s="65" t="s">
        <v>92</v>
      </c>
      <c r="N2" s="132" t="s">
        <v>54</v>
      </c>
    </row>
    <row r="3" spans="2:16" s="358" customFormat="1" x14ac:dyDescent="0.25">
      <c r="B3" s="306">
        <v>1</v>
      </c>
      <c r="C3" s="295">
        <f>'Recaudo Directa Occidente'!D21</f>
        <v>540475692</v>
      </c>
      <c r="D3" s="295">
        <f>'REMUNERACION_OCCIDENTE_ Directa'!G125</f>
        <v>11673020</v>
      </c>
      <c r="E3" s="295">
        <f>'REMUNERACION_OCCIDENTE_ Directa'!D28+'REMUNERACION_OCCIDENTE_ Directa'!N28</f>
        <v>2311059.02</v>
      </c>
      <c r="F3" s="295">
        <f>'REMUNERACION_OCCIDENTE_ Directa'!I142</f>
        <v>0</v>
      </c>
      <c r="G3" s="295">
        <f>'REMUNERACION_OCCIDENTE_ Directa'!H142</f>
        <v>0</v>
      </c>
      <c r="H3" s="343">
        <f>SUM(C3:G3)</f>
        <v>554459771.01999998</v>
      </c>
      <c r="I3" s="294">
        <f>'REMUNERACION_OCCIDENTE_ Directa'!D104</f>
        <v>526066753.64999998</v>
      </c>
      <c r="J3" s="295">
        <f>'REMUNERACION_OCCIDENTE_ Directa'!N104</f>
        <v>3871794.53</v>
      </c>
      <c r="K3" s="295">
        <f>'REMUNERACION_OCCIDENTE_ Directa'!D125</f>
        <v>12466967.189999999</v>
      </c>
      <c r="L3" s="356">
        <f>'REMUNERACION_OCCIDENTE_ Directa'!E125</f>
        <v>0</v>
      </c>
      <c r="M3" s="295">
        <f>-'REMUNERACION_OCCIDENTE_ Directa'!D66-'REMUNERACION_OCCIDENTE_ Directa'!N66</f>
        <v>12054255.65</v>
      </c>
      <c r="N3" s="291">
        <f>SUM(I3:M3)</f>
        <v>554459771.01999998</v>
      </c>
      <c r="O3" s="357">
        <f t="shared" ref="O3:O8" si="0">H3-N3</f>
        <v>0</v>
      </c>
      <c r="P3" s="1" t="b">
        <f>INT(O3)=0</f>
        <v>1</v>
      </c>
    </row>
    <row r="4" spans="2:16" s="358" customFormat="1" x14ac:dyDescent="0.25">
      <c r="B4" s="317">
        <v>2</v>
      </c>
      <c r="C4" s="320">
        <f>'Recaudo Directa Occidente'!D22</f>
        <v>422221285</v>
      </c>
      <c r="D4" s="295">
        <f>'REMUNERACION_OCCIDENTE_ Directa'!G126</f>
        <v>0</v>
      </c>
      <c r="E4" s="295">
        <f>'REMUNERACION_OCCIDENTE_ Directa'!D29+'REMUNERACION_OCCIDENTE_ Directa'!N29</f>
        <v>12441371.75</v>
      </c>
      <c r="F4" s="295">
        <f>'REMUNERACION_OCCIDENTE_ Directa'!I143</f>
        <v>0</v>
      </c>
      <c r="G4" s="295">
        <f>'REMUNERACION_OCCIDENTE_ Directa'!H143</f>
        <v>0</v>
      </c>
      <c r="H4" s="343">
        <f t="shared" ref="H4:H8" si="1">SUM(C4:G4)</f>
        <v>434662656.75</v>
      </c>
      <c r="I4" s="294">
        <f>'REMUNERACION_OCCIDENTE_ Directa'!D105</f>
        <v>394193682.65000004</v>
      </c>
      <c r="J4" s="295">
        <f>'REMUNERACION_OCCIDENTE_ Directa'!N105</f>
        <v>8420063.0999999996</v>
      </c>
      <c r="K4" s="295">
        <f>'REMUNERACION_OCCIDENTE_ Directa'!D126</f>
        <v>32048911</v>
      </c>
      <c r="L4" s="356">
        <f>'REMUNERACION_OCCIDENTE_ Directa'!E126</f>
        <v>0</v>
      </c>
      <c r="M4" s="295">
        <f>-'REMUNERACION_OCCIDENTE_ Directa'!D67-'REMUNERACION_OCCIDENTE_ Directa'!N67</f>
        <v>0</v>
      </c>
      <c r="N4" s="321">
        <f>SUM(I4:M4)</f>
        <v>434662656.75000006</v>
      </c>
      <c r="O4" s="357">
        <f t="shared" si="0"/>
        <v>0</v>
      </c>
      <c r="P4" s="1" t="b">
        <f t="shared" ref="P4:P9" si="2">INT(O4)=0</f>
        <v>1</v>
      </c>
    </row>
    <row r="5" spans="2:16" s="358" customFormat="1" x14ac:dyDescent="0.25">
      <c r="B5" s="317">
        <v>3</v>
      </c>
      <c r="C5" s="320">
        <f>'Recaudo Directa Occidente'!D23</f>
        <v>472519065</v>
      </c>
      <c r="D5" s="295">
        <f>'REMUNERACION_OCCIDENTE_ Directa'!G127</f>
        <v>10198723.07</v>
      </c>
      <c r="E5" s="295">
        <f>'REMUNERACION_OCCIDENTE_ Directa'!D30+'REMUNERACION_OCCIDENTE_ Directa'!N30</f>
        <v>677060.45</v>
      </c>
      <c r="F5" s="295">
        <f>'REMUNERACION_OCCIDENTE_ Directa'!I144</f>
        <v>0</v>
      </c>
      <c r="G5" s="295">
        <f>'REMUNERACION_OCCIDENTE_ Directa'!H144</f>
        <v>0</v>
      </c>
      <c r="H5" s="343">
        <f t="shared" si="1"/>
        <v>483394848.51999998</v>
      </c>
      <c r="I5" s="294">
        <f>'REMUNERACION_OCCIDENTE_ Directa'!D106</f>
        <v>453622024.76999992</v>
      </c>
      <c r="J5" s="295">
        <f>'REMUNERACION_OCCIDENTE_ Directa'!N106</f>
        <v>16854072.859999999</v>
      </c>
      <c r="K5" s="295">
        <f>'REMUNERACION_OCCIDENTE_ Directa'!D127</f>
        <v>2387269</v>
      </c>
      <c r="L5" s="356">
        <f>'REMUNERACION_OCCIDENTE_ Directa'!E127</f>
        <v>0</v>
      </c>
      <c r="M5" s="295">
        <f>-'REMUNERACION_OCCIDENTE_ Directa'!D68-'REMUNERACION_OCCIDENTE_ Directa'!N68</f>
        <v>10531481.890000001</v>
      </c>
      <c r="N5" s="321">
        <f>SUM(I5:M5)</f>
        <v>483394848.51999992</v>
      </c>
      <c r="O5" s="357">
        <f>H5-N5</f>
        <v>0</v>
      </c>
      <c r="P5" s="1" t="b">
        <f t="shared" si="2"/>
        <v>1</v>
      </c>
    </row>
    <row r="6" spans="2:16" s="358" customFormat="1" x14ac:dyDescent="0.25">
      <c r="B6" s="317">
        <v>4</v>
      </c>
      <c r="C6" s="320">
        <f>'Recaudo Directa Occidente'!D24</f>
        <v>239142386</v>
      </c>
      <c r="D6" s="295">
        <f>'REMUNERACION_OCCIDENTE_ Directa'!G128</f>
        <v>1855630</v>
      </c>
      <c r="E6" s="295">
        <f>'REMUNERACION_OCCIDENTE_ Directa'!D31+'REMUNERACION_OCCIDENTE_ Directa'!N31</f>
        <v>2001316.6600000001</v>
      </c>
      <c r="F6" s="295">
        <f>'REMUNERACION_OCCIDENTE_ Directa'!I145</f>
        <v>0</v>
      </c>
      <c r="G6" s="295">
        <f>'REMUNERACION_OCCIDENTE_ Directa'!H145</f>
        <v>0</v>
      </c>
      <c r="H6" s="343">
        <f t="shared" si="1"/>
        <v>242999332.66</v>
      </c>
      <c r="I6" s="294">
        <f>'REMUNERACION_OCCIDENTE_ Directa'!D107</f>
        <v>225188778.21000001</v>
      </c>
      <c r="J6" s="295">
        <f>'REMUNERACION_OCCIDENTE_ Directa'!N107</f>
        <v>1026166.89</v>
      </c>
      <c r="K6" s="295">
        <f>'REMUNERACION_OCCIDENTE_ Directa'!D128</f>
        <v>11928035.6</v>
      </c>
      <c r="L6" s="356">
        <f>'REMUNERACION_OCCIDENTE_ Directa'!E128</f>
        <v>0</v>
      </c>
      <c r="M6" s="295">
        <f>-'REMUNERACION_OCCIDENTE_ Directa'!D69-'REMUNERACION_OCCIDENTE_ Directa'!N69</f>
        <v>4856351.96</v>
      </c>
      <c r="N6" s="321">
        <f t="shared" ref="N6:N7" si="3">SUM(I6:M6)</f>
        <v>242999332.66</v>
      </c>
      <c r="O6" s="357">
        <f t="shared" si="0"/>
        <v>0</v>
      </c>
      <c r="P6" s="1" t="b">
        <f t="shared" si="2"/>
        <v>1</v>
      </c>
    </row>
    <row r="7" spans="2:16" s="358" customFormat="1" x14ac:dyDescent="0.25">
      <c r="B7" s="317">
        <v>5</v>
      </c>
      <c r="C7" s="320">
        <f>'Recaudo Directa Occidente'!D25</f>
        <v>181733562</v>
      </c>
      <c r="D7" s="295">
        <f>'REMUNERACION_OCCIDENTE_ Directa'!G129</f>
        <v>0</v>
      </c>
      <c r="E7" s="295">
        <f>'REMUNERACION_OCCIDENTE_ Directa'!D32+'REMUNERACION_OCCIDENTE_ Directa'!N32</f>
        <v>655659.01</v>
      </c>
      <c r="F7" s="295">
        <f>'REMUNERACION_OCCIDENTE_ Directa'!I146</f>
        <v>0</v>
      </c>
      <c r="G7" s="295">
        <f>'REMUNERACION_OCCIDENTE_ Directa'!H146</f>
        <v>0</v>
      </c>
      <c r="H7" s="343">
        <f t="shared" si="1"/>
        <v>182389221.00999999</v>
      </c>
      <c r="I7" s="294">
        <f>'REMUNERACION_OCCIDENTE_ Directa'!D108</f>
        <v>162906187.47999999</v>
      </c>
      <c r="J7" s="295">
        <f>'REMUNERACION_OCCIDENTE_ Directa'!N108</f>
        <v>16101746.85</v>
      </c>
      <c r="K7" s="295">
        <f>'REMUNERACION_OCCIDENTE_ Directa'!D129</f>
        <v>2431000</v>
      </c>
      <c r="L7" s="356">
        <f>'REMUNERACION_OCCIDENTE_ Directa'!E129</f>
        <v>0</v>
      </c>
      <c r="M7" s="295">
        <f>-'REMUNERACION_OCCIDENTE_ Directa'!D70-'REMUNERACION_OCCIDENTE_ Directa'!N70</f>
        <v>950286.68</v>
      </c>
      <c r="N7" s="321">
        <f t="shared" si="3"/>
        <v>182389221.00999999</v>
      </c>
      <c r="O7" s="357">
        <f>H7-N7</f>
        <v>0</v>
      </c>
      <c r="P7" s="1" t="b">
        <f t="shared" si="2"/>
        <v>1</v>
      </c>
    </row>
    <row r="8" spans="2:16" s="358" customFormat="1" ht="13" thickBot="1" x14ac:dyDescent="0.3">
      <c r="B8" s="344" t="s">
        <v>89</v>
      </c>
      <c r="C8" s="320">
        <f>'Recaudo Directa Occidente'!D26</f>
        <v>0</v>
      </c>
      <c r="D8" s="359">
        <v>0</v>
      </c>
      <c r="E8" s="359">
        <v>0</v>
      </c>
      <c r="F8" s="295"/>
      <c r="G8" s="359">
        <v>0</v>
      </c>
      <c r="H8" s="343">
        <f t="shared" si="1"/>
        <v>0</v>
      </c>
      <c r="I8" s="360">
        <v>0</v>
      </c>
      <c r="J8" s="346">
        <v>0</v>
      </c>
      <c r="K8" s="346">
        <v>0</v>
      </c>
      <c r="L8" s="356">
        <f>'REMUNERACION_OCCIDENTE_ Directa'!E130</f>
        <v>0</v>
      </c>
      <c r="M8" s="359">
        <v>0</v>
      </c>
      <c r="N8" s="361">
        <f>SUM(I8:L8)-M8</f>
        <v>0</v>
      </c>
      <c r="O8" s="357">
        <f t="shared" si="0"/>
        <v>0</v>
      </c>
      <c r="P8" s="1" t="b">
        <f t="shared" si="2"/>
        <v>1</v>
      </c>
    </row>
    <row r="9" spans="2:16" s="358" customFormat="1" ht="13" thickBot="1" x14ac:dyDescent="0.3">
      <c r="B9" s="330"/>
      <c r="C9" s="293">
        <f>SUM(C3:C8)</f>
        <v>1856091990</v>
      </c>
      <c r="D9" s="293">
        <f t="shared" ref="D9:M9" si="4">SUM(D3:D8)</f>
        <v>23727373.07</v>
      </c>
      <c r="E9" s="293">
        <f>SUM(E3:E8)</f>
        <v>18086466.890000001</v>
      </c>
      <c r="F9" s="293">
        <f t="shared" si="4"/>
        <v>0</v>
      </c>
      <c r="G9" s="293">
        <f t="shared" si="4"/>
        <v>0</v>
      </c>
      <c r="H9" s="293">
        <f t="shared" si="4"/>
        <v>1897905829.96</v>
      </c>
      <c r="I9" s="293">
        <f t="shared" si="4"/>
        <v>1761977426.76</v>
      </c>
      <c r="J9" s="293">
        <f t="shared" si="4"/>
        <v>46273844.229999997</v>
      </c>
      <c r="K9" s="293">
        <f t="shared" si="4"/>
        <v>61262182.789999999</v>
      </c>
      <c r="L9" s="293">
        <f t="shared" si="4"/>
        <v>0</v>
      </c>
      <c r="M9" s="293">
        <f t="shared" si="4"/>
        <v>28392376.18</v>
      </c>
      <c r="N9" s="293">
        <f>SUM(N3:N8)</f>
        <v>1897905829.96</v>
      </c>
      <c r="O9" s="362">
        <f>SUM(O3:O8)</f>
        <v>0</v>
      </c>
      <c r="P9" s="1" t="b">
        <f t="shared" si="2"/>
        <v>1</v>
      </c>
    </row>
    <row r="11" spans="2:16" ht="13" x14ac:dyDescent="0.3">
      <c r="B11" s="102" t="s">
        <v>89</v>
      </c>
      <c r="C11" s="103" t="s">
        <v>90</v>
      </c>
      <c r="M11" s="141"/>
      <c r="O11" s="137"/>
    </row>
    <row r="12" spans="2:16" x14ac:dyDescent="0.25">
      <c r="C12" s="143"/>
    </row>
    <row r="13" spans="2:16" x14ac:dyDescent="0.25">
      <c r="B13" s="142"/>
      <c r="C13" s="143" t="s">
        <v>1</v>
      </c>
    </row>
    <row r="14" spans="2:16" x14ac:dyDescent="0.25">
      <c r="C14" s="245">
        <f>'Valida - Control Recaudo'!E10</f>
        <v>1856091990</v>
      </c>
    </row>
    <row r="15" spans="2:16" x14ac:dyDescent="0.25">
      <c r="C15" s="249" t="b">
        <f>C14=C9</f>
        <v>1</v>
      </c>
    </row>
    <row r="16" spans="2:16" x14ac:dyDescent="0.25">
      <c r="C16" s="212" t="s">
        <v>1</v>
      </c>
    </row>
  </sheetData>
  <conditionalFormatting sqref="C15">
    <cfRule type="cellIs" dxfId="21" priority="4" operator="notEqual">
      <formula>TRUE</formula>
    </cfRule>
  </conditionalFormatting>
  <conditionalFormatting sqref="P3:P9">
    <cfRule type="cellIs" dxfId="20" priority="2" operator="notEqual">
      <formula>TRUE</formula>
    </cfRule>
  </conditionalFormatting>
  <pageMargins left="0.7" right="0.7" top="0.75" bottom="0.75" header="0.3" footer="0.3"/>
  <pageSetup orientation="portrait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tabColor rgb="FF7030A0"/>
    <pageSetUpPr fitToPage="1"/>
  </sheetPr>
  <dimension ref="A1:AI52"/>
  <sheetViews>
    <sheetView zoomScaleNormal="100" workbookViewId="0"/>
  </sheetViews>
  <sheetFormatPr baseColWidth="10" defaultColWidth="11.453125" defaultRowHeight="11.5" x14ac:dyDescent="0.25"/>
  <cols>
    <col min="1" max="1" width="3" style="1" customWidth="1"/>
    <col min="2" max="2" width="4.453125" style="1" bestFit="1" customWidth="1"/>
    <col min="3" max="3" width="36.7265625" style="1" customWidth="1"/>
    <col min="4" max="4" width="15.26953125" style="1" customWidth="1"/>
    <col min="5" max="5" width="16" style="1" customWidth="1"/>
    <col min="6" max="7" width="14.7265625" style="1" customWidth="1"/>
    <col min="8" max="8" width="16.26953125" style="1" customWidth="1"/>
    <col min="9" max="9" width="20.26953125" style="1" bestFit="1" customWidth="1"/>
    <col min="10" max="10" width="15.54296875" style="1" customWidth="1"/>
    <col min="11" max="11" width="17.54296875" style="1" customWidth="1"/>
    <col min="12" max="12" width="16.54296875" style="1" customWidth="1"/>
    <col min="13" max="13" width="19.7265625" style="1" customWidth="1"/>
    <col min="14" max="14" width="15.26953125" style="1" customWidth="1"/>
    <col min="15" max="15" width="16.7265625" style="1" customWidth="1"/>
    <col min="16" max="16" width="3.7265625" style="1" customWidth="1"/>
    <col min="17" max="17" width="2.7265625" style="1" customWidth="1"/>
    <col min="18" max="18" width="4.54296875" style="1" customWidth="1"/>
    <col min="19" max="19" width="11.26953125" style="1" customWidth="1"/>
    <col min="20" max="20" width="39.453125" style="1" customWidth="1"/>
    <col min="21" max="21" width="19.26953125" style="1" customWidth="1"/>
    <col min="22" max="22" width="17.7265625" style="1" customWidth="1"/>
    <col min="23" max="23" width="16.453125" style="1" customWidth="1"/>
    <col min="24" max="24" width="17.26953125" style="1" customWidth="1"/>
    <col min="25" max="25" width="15.7265625" style="1" customWidth="1"/>
    <col min="26" max="26" width="16" style="1" customWidth="1"/>
    <col min="27" max="27" width="15" style="1" customWidth="1"/>
    <col min="28" max="29" width="16.7265625" style="1" customWidth="1"/>
    <col min="30" max="31" width="15.453125" style="1" customWidth="1"/>
    <col min="32" max="32" width="16.26953125" style="1" customWidth="1"/>
    <col min="33" max="33" width="18.26953125" style="1" customWidth="1"/>
    <col min="34" max="34" width="13.7265625" style="1" customWidth="1"/>
    <col min="35" max="35" width="3.453125" style="1" customWidth="1"/>
    <col min="36" max="16384" width="11.453125" style="1"/>
  </cols>
  <sheetData>
    <row r="1" spans="2:35" ht="12" thickBot="1" x14ac:dyDescent="0.3">
      <c r="Q1" s="4"/>
      <c r="AI1" s="4"/>
    </row>
    <row r="2" spans="2:35" x14ac:dyDescent="0.25">
      <c r="B2" s="5"/>
      <c r="C2" s="3" t="s">
        <v>1</v>
      </c>
      <c r="D2" s="6" t="s">
        <v>1</v>
      </c>
      <c r="E2" s="3"/>
      <c r="F2" s="3"/>
      <c r="G2" s="3"/>
      <c r="H2" s="3" t="s">
        <v>1</v>
      </c>
      <c r="I2" s="3"/>
      <c r="J2" s="3"/>
      <c r="K2" s="3"/>
      <c r="L2" s="3"/>
      <c r="M2" s="3"/>
      <c r="N2" s="3"/>
      <c r="O2" s="7"/>
      <c r="P2" s="2"/>
      <c r="Q2" s="4"/>
      <c r="S2" s="5"/>
      <c r="T2" s="3" t="s">
        <v>1</v>
      </c>
      <c r="U2" s="6" t="s">
        <v>1</v>
      </c>
      <c r="V2" s="3"/>
      <c r="W2" s="3"/>
      <c r="X2" s="3" t="s">
        <v>1</v>
      </c>
      <c r="Y2" s="3"/>
      <c r="Z2" s="3"/>
      <c r="AA2" s="3"/>
      <c r="AB2" s="3"/>
      <c r="AC2" s="3"/>
      <c r="AD2" s="3"/>
      <c r="AE2" s="3"/>
      <c r="AF2" s="7"/>
      <c r="AG2" s="2"/>
      <c r="AI2" s="4"/>
    </row>
    <row r="3" spans="2:35" ht="14" x14ac:dyDescent="0.3">
      <c r="B3" s="8"/>
      <c r="F3" s="26" t="s">
        <v>8</v>
      </c>
      <c r="G3" s="26"/>
      <c r="I3" s="26" t="s">
        <v>16</v>
      </c>
      <c r="J3" s="25"/>
      <c r="M3" s="2" t="s">
        <v>15</v>
      </c>
      <c r="N3" s="50">
        <f>'REMUNERACION_OCCIDENTE_ Directa'!N98</f>
        <v>2026071</v>
      </c>
      <c r="O3" s="10"/>
      <c r="P3" s="2"/>
      <c r="Q3" s="4"/>
      <c r="S3" s="8"/>
      <c r="U3" s="26" t="s">
        <v>8</v>
      </c>
      <c r="W3" s="26" t="s">
        <v>16</v>
      </c>
      <c r="X3" s="25"/>
      <c r="Y3" s="2"/>
      <c r="AA3" s="2" t="s">
        <v>15</v>
      </c>
      <c r="AD3" s="84">
        <f>N3</f>
        <v>2026071</v>
      </c>
      <c r="AE3" s="84"/>
      <c r="AF3" s="48"/>
      <c r="AG3" s="2"/>
      <c r="AI3" s="4"/>
    </row>
    <row r="4" spans="2:35" ht="15.5" x14ac:dyDescent="0.35">
      <c r="B4" s="8"/>
      <c r="F4" s="36" t="s">
        <v>29</v>
      </c>
      <c r="G4" s="36"/>
      <c r="O4" s="10"/>
      <c r="P4" s="2"/>
      <c r="Q4" s="4"/>
      <c r="S4" s="8"/>
      <c r="T4" s="26" t="s">
        <v>1</v>
      </c>
      <c r="U4" s="36" t="s">
        <v>29</v>
      </c>
      <c r="Y4" s="2" t="s">
        <v>1</v>
      </c>
      <c r="AA4" s="50" t="s">
        <v>1</v>
      </c>
      <c r="AB4" s="2"/>
      <c r="AC4" s="2"/>
      <c r="AD4" s="2"/>
      <c r="AE4" s="2"/>
      <c r="AF4" s="10" t="s">
        <v>1</v>
      </c>
      <c r="AG4" s="2"/>
      <c r="AI4" s="4"/>
    </row>
    <row r="5" spans="2:35" ht="14" x14ac:dyDescent="0.3">
      <c r="B5" s="8"/>
      <c r="F5" s="2" t="s">
        <v>30</v>
      </c>
      <c r="G5" s="2"/>
      <c r="M5" s="2" t="s">
        <v>1</v>
      </c>
      <c r="O5" s="10"/>
      <c r="P5" s="2"/>
      <c r="Q5" s="4"/>
      <c r="S5" s="8"/>
      <c r="T5" s="49" t="s">
        <v>1</v>
      </c>
      <c r="U5" s="2" t="s">
        <v>30</v>
      </c>
      <c r="AF5" s="44"/>
      <c r="AG5" s="2"/>
      <c r="AI5" s="4"/>
    </row>
    <row r="6" spans="2:35" ht="15.5" x14ac:dyDescent="0.35">
      <c r="B6" s="8"/>
      <c r="C6" s="591" t="s">
        <v>17</v>
      </c>
      <c r="D6" s="9">
        <f>'REMUNERACION_OCCIDENTE_ Directa'!D101</f>
        <v>46220</v>
      </c>
      <c r="F6" s="58" t="str">
        <f>'REMUNERACION_OCCIDENTE_ Directa'!F101</f>
        <v>REPORTE CONSOLIDADO TOTAL DE RECAUDO // OCCIDENTE - Recaudo Facturación Directa</v>
      </c>
      <c r="G6" s="58"/>
      <c r="H6" s="59"/>
      <c r="I6" s="60"/>
      <c r="J6" s="59"/>
      <c r="K6" s="60"/>
      <c r="L6" s="60"/>
      <c r="O6" s="10"/>
      <c r="P6" s="2"/>
      <c r="Q6" s="4"/>
      <c r="S6" s="8"/>
      <c r="T6" s="41" t="s">
        <v>1</v>
      </c>
      <c r="U6" s="58" t="str">
        <f>'REMUNERACION_OCCIDENTE_ Directa'!U101</f>
        <v>REPORTE DETALLADO SUBBOLSA RBL DISCRIMINADO POR ACTIVIDADES // OCCIDENTE - Recaudo Facturación Directa</v>
      </c>
      <c r="V6" s="59"/>
      <c r="W6" s="60"/>
      <c r="X6" s="59"/>
      <c r="Y6" s="2"/>
      <c r="AF6" s="48"/>
      <c r="AG6" s="2"/>
      <c r="AI6" s="4"/>
    </row>
    <row r="7" spans="2:35" ht="12" thickBot="1" x14ac:dyDescent="0.3">
      <c r="B7" s="8"/>
      <c r="C7" s="591" t="s">
        <v>0</v>
      </c>
      <c r="D7" s="290">
        <f>'REMUNERACION_OCCIDENTE_ Directa'!D102</f>
        <v>0.58333333333333337</v>
      </c>
      <c r="F7" s="2" t="s">
        <v>27</v>
      </c>
      <c r="G7" s="9">
        <f>'REMUNERACION_OCCIDENTE_ Directa'!G102</f>
        <v>46204</v>
      </c>
      <c r="J7" s="2" t="s">
        <v>28</v>
      </c>
      <c r="K7" s="9">
        <f>'REMUNERACION_OCCIDENTE_ Directa'!K102</f>
        <v>46218</v>
      </c>
      <c r="O7" s="10"/>
      <c r="P7" s="2"/>
      <c r="Q7" s="4"/>
      <c r="S7" s="8"/>
      <c r="U7" s="1" t="str">
        <f>F7</f>
        <v>Fecha Desde:</v>
      </c>
      <c r="V7" s="9">
        <f>G7</f>
        <v>46204</v>
      </c>
      <c r="W7" s="1" t="s">
        <v>1</v>
      </c>
      <c r="X7" s="1" t="str">
        <f>J7</f>
        <v>Feha Hasta:</v>
      </c>
      <c r="Y7" s="9">
        <f>K7</f>
        <v>46218</v>
      </c>
      <c r="Z7" s="1" t="s">
        <v>1</v>
      </c>
      <c r="AF7" s="48"/>
      <c r="AG7" s="2"/>
      <c r="AI7" s="4"/>
    </row>
    <row r="8" spans="2:35" ht="69.5" thickBot="1" x14ac:dyDescent="0.3">
      <c r="B8" s="11" t="s">
        <v>3</v>
      </c>
      <c r="C8" s="27" t="s">
        <v>9</v>
      </c>
      <c r="D8" s="11" t="s">
        <v>163</v>
      </c>
      <c r="E8" s="12" t="s">
        <v>5</v>
      </c>
      <c r="F8" s="12" t="s">
        <v>6</v>
      </c>
      <c r="G8" s="27" t="s">
        <v>159</v>
      </c>
      <c r="H8" s="12" t="s">
        <v>18</v>
      </c>
      <c r="I8" s="12" t="s">
        <v>24</v>
      </c>
      <c r="J8" s="73" t="s">
        <v>19</v>
      </c>
      <c r="K8" s="29" t="s">
        <v>20</v>
      </c>
      <c r="L8" s="28" t="s">
        <v>21</v>
      </c>
      <c r="M8" s="39" t="s">
        <v>22</v>
      </c>
      <c r="N8" s="12" t="s">
        <v>7</v>
      </c>
      <c r="O8" s="39" t="s">
        <v>23</v>
      </c>
      <c r="P8" s="13"/>
      <c r="Q8" s="4"/>
      <c r="S8" s="11" t="s">
        <v>3</v>
      </c>
      <c r="T8" s="27" t="s">
        <v>9</v>
      </c>
      <c r="U8" s="80" t="s">
        <v>39</v>
      </c>
      <c r="V8" s="51" t="s">
        <v>40</v>
      </c>
      <c r="W8" s="51" t="s">
        <v>41</v>
      </c>
      <c r="X8" s="51" t="s">
        <v>42</v>
      </c>
      <c r="Y8" s="81" t="s">
        <v>43</v>
      </c>
      <c r="Z8" s="85" t="s">
        <v>21</v>
      </c>
      <c r="AA8" s="65" t="s">
        <v>46</v>
      </c>
      <c r="AB8" s="65" t="s">
        <v>7</v>
      </c>
      <c r="AC8" s="85" t="s">
        <v>167</v>
      </c>
      <c r="AD8" s="27" t="s">
        <v>105</v>
      </c>
      <c r="AE8" s="27" t="s">
        <v>104</v>
      </c>
      <c r="AF8" s="39" t="s">
        <v>23</v>
      </c>
      <c r="AG8" s="13"/>
      <c r="AI8" s="4"/>
    </row>
    <row r="9" spans="2:35" x14ac:dyDescent="0.25">
      <c r="B9" s="14">
        <v>1</v>
      </c>
      <c r="C9" s="61" t="s">
        <v>10</v>
      </c>
      <c r="D9" s="66">
        <f>'REMUNERACION_OCCIDENTE_ Directa'!D104</f>
        <v>526066753.64999998</v>
      </c>
      <c r="E9" s="66">
        <f>'REMUNERACION_OCCIDENTE_ Directa'!E104</f>
        <v>71629808.189999998</v>
      </c>
      <c r="F9" s="66">
        <f>'REMUNERACION_OCCIDENTE_ Directa'!F104</f>
        <v>38378058.160000004</v>
      </c>
      <c r="G9" s="66">
        <f>'REMUNERACION_OCCIDENTE_ Directa'!G104</f>
        <v>20779620.170000002</v>
      </c>
      <c r="H9" s="66">
        <f>'REMUNERACION_OCCIDENTE_ Directa'!H104</f>
        <v>35670903.249999993</v>
      </c>
      <c r="I9" s="66">
        <f>'REMUNERACION_OCCIDENTE_ Directa'!I104</f>
        <v>1153173.07</v>
      </c>
      <c r="J9" s="66">
        <f>'REMUNERACION_OCCIDENTE_ Directa'!J104</f>
        <v>0</v>
      </c>
      <c r="K9" s="30">
        <f>D9-E9-F9-G9-H9-I9-J9</f>
        <v>358455190.80999994</v>
      </c>
      <c r="L9" s="66">
        <f>'REMUNERACION_OCCIDENTE_ Directa'!L104</f>
        <v>0</v>
      </c>
      <c r="M9" s="30">
        <f>K9-L9</f>
        <v>358455190.80999994</v>
      </c>
      <c r="N9" s="66">
        <f>'REMUNERACION_OCCIDENTE_ Directa'!N104</f>
        <v>3871794.53</v>
      </c>
      <c r="O9" s="30">
        <f>M9+N9</f>
        <v>362326985.33999991</v>
      </c>
      <c r="Q9" s="4"/>
      <c r="S9" s="14">
        <v>1</v>
      </c>
      <c r="T9" s="61" t="s">
        <v>10</v>
      </c>
      <c r="U9" s="66">
        <f>'REMUNERACION_OCCIDENTE_ Directa'!U104</f>
        <v>10163377.220000001</v>
      </c>
      <c r="V9" s="66">
        <f>'REMUNERACION_OCCIDENTE_ Directa'!V104</f>
        <v>11855905.85</v>
      </c>
      <c r="W9" s="66">
        <f>'REMUNERACION_OCCIDENTE_ Directa'!W104</f>
        <v>55150037.649999991</v>
      </c>
      <c r="X9" s="66">
        <f>'REMUNERACION_OCCIDENTE_ Directa'!X104</f>
        <v>196326886.16999999</v>
      </c>
      <c r="Y9" s="66">
        <f>'REMUNERACION_OCCIDENTE_ Directa'!Y104</f>
        <v>1881914.87</v>
      </c>
      <c r="Z9" s="66">
        <f>'REMUNERACION_OCCIDENTE_ Directa'!Z104</f>
        <v>0</v>
      </c>
      <c r="AA9" s="66">
        <f>'REMUNERACION_OCCIDENTE_ Directa'!AA104</f>
        <v>183.17999999999998</v>
      </c>
      <c r="AB9" s="66">
        <f>'REMUNERACION_OCCIDENTE_ Directa'!AB104</f>
        <v>3871794.53</v>
      </c>
      <c r="AC9" s="66">
        <f>'REMUNERACION_OCCIDENTE_ Directa'!AC104</f>
        <v>0.05</v>
      </c>
      <c r="AD9" s="66">
        <f>'REMUNERACION_OCCIDENTE_ Directa'!AD104</f>
        <v>83076885.819999993</v>
      </c>
      <c r="AE9" s="66">
        <f>'REMUNERACION_OCCIDENTE_ Directa'!AE104</f>
        <v>83076885.819999993</v>
      </c>
      <c r="AF9" s="69">
        <f>SUM(U9:AD9)</f>
        <v>362326985.33999997</v>
      </c>
      <c r="AG9" s="71">
        <f>AF9-O9</f>
        <v>0</v>
      </c>
      <c r="AH9" s="1" t="b">
        <f>INT(AG9)=0</f>
        <v>1</v>
      </c>
      <c r="AI9" s="4"/>
    </row>
    <row r="10" spans="2:35" x14ac:dyDescent="0.25">
      <c r="B10" s="16">
        <v>2</v>
      </c>
      <c r="C10" s="62" t="s">
        <v>11</v>
      </c>
      <c r="D10" s="66">
        <f>'REMUNERACION_OCCIDENTE_ Directa'!D105</f>
        <v>394193682.65000004</v>
      </c>
      <c r="E10" s="66">
        <f>'REMUNERACION_OCCIDENTE_ Directa'!E105</f>
        <v>51388370.589999996</v>
      </c>
      <c r="F10" s="66">
        <f>'REMUNERACION_OCCIDENTE_ Directa'!F105</f>
        <v>28413627.75</v>
      </c>
      <c r="G10" s="66">
        <f>'REMUNERACION_OCCIDENTE_ Directa'!G105</f>
        <v>14979828.130000001</v>
      </c>
      <c r="H10" s="66">
        <f>'REMUNERACION_OCCIDENTE_ Directa'!H105</f>
        <v>69737327.839999989</v>
      </c>
      <c r="I10" s="66">
        <f>'REMUNERACION_OCCIDENTE_ Directa'!I105</f>
        <v>2031606.51</v>
      </c>
      <c r="J10" s="66">
        <f>'REMUNERACION_OCCIDENTE_ Directa'!J105</f>
        <v>0</v>
      </c>
      <c r="K10" s="31">
        <f t="shared" ref="K10:K13" si="0">D10-E10-F10-G10-H10-I10-J10</f>
        <v>227642921.8300001</v>
      </c>
      <c r="L10" s="66">
        <f>'REMUNERACION_OCCIDENTE_ Directa'!L105</f>
        <v>0</v>
      </c>
      <c r="M10" s="31">
        <f>K10-L10</f>
        <v>227642921.8300001</v>
      </c>
      <c r="N10" s="66">
        <f>'REMUNERACION_OCCIDENTE_ Directa'!N105</f>
        <v>8420063.0999999996</v>
      </c>
      <c r="O10" s="31">
        <f t="shared" ref="O10:O13" si="1">M10+N10</f>
        <v>236062984.9300001</v>
      </c>
      <c r="Q10" s="4"/>
      <c r="S10" s="16">
        <v>2</v>
      </c>
      <c r="T10" s="62" t="s">
        <v>11</v>
      </c>
      <c r="U10" s="66">
        <f>'REMUNERACION_OCCIDENTE_ Directa'!U105</f>
        <v>18191790.630000003</v>
      </c>
      <c r="V10" s="66">
        <f>'REMUNERACION_OCCIDENTE_ Directa'!V105</f>
        <v>23068417.159999996</v>
      </c>
      <c r="W10" s="66">
        <f>'REMUNERACION_OCCIDENTE_ Directa'!W105</f>
        <v>102920694.75</v>
      </c>
      <c r="X10" s="66">
        <f>'REMUNERACION_OCCIDENTE_ Directa'!X105</f>
        <v>102167057.04000001</v>
      </c>
      <c r="Y10" s="66">
        <f>'REMUNERACION_OCCIDENTE_ Directa'!Y105</f>
        <v>3317352.1100000003</v>
      </c>
      <c r="Z10" s="66">
        <f>'REMUNERACION_OCCIDENTE_ Directa'!Z105</f>
        <v>0</v>
      </c>
      <c r="AA10" s="66">
        <f>'REMUNERACION_OCCIDENTE_ Directa'!AA105</f>
        <v>-999.82999999999993</v>
      </c>
      <c r="AB10" s="66">
        <f>'REMUNERACION_OCCIDENTE_ Directa'!AB105</f>
        <v>8420063.0999999996</v>
      </c>
      <c r="AC10" s="66">
        <f>'REMUNERACION_OCCIDENTE_ Directa'!AC105</f>
        <v>12.280000000000001</v>
      </c>
      <c r="AD10" s="66">
        <f>'REMUNERACION_OCCIDENTE_ Directa'!AD105</f>
        <v>-22021402.310000002</v>
      </c>
      <c r="AE10" s="66">
        <f>'REMUNERACION_OCCIDENTE_ Directa'!AE105</f>
        <v>-22021402.310000002</v>
      </c>
      <c r="AF10" s="70">
        <f>SUM(U10:AD10)</f>
        <v>236062984.92999998</v>
      </c>
      <c r="AG10" s="72">
        <f>AF10-O10</f>
        <v>0</v>
      </c>
      <c r="AH10" s="1" t="b">
        <f t="shared" ref="AH10:AH14" si="2">INT(AG10)=0</f>
        <v>1</v>
      </c>
      <c r="AI10" s="4"/>
    </row>
    <row r="11" spans="2:35" x14ac:dyDescent="0.25">
      <c r="B11" s="16">
        <v>3</v>
      </c>
      <c r="C11" s="62" t="s">
        <v>12</v>
      </c>
      <c r="D11" s="66">
        <f>'REMUNERACION_OCCIDENTE_ Directa'!D106</f>
        <v>453622024.76999992</v>
      </c>
      <c r="E11" s="66">
        <f>'REMUNERACION_OCCIDENTE_ Directa'!E106</f>
        <v>56737832.189999998</v>
      </c>
      <c r="F11" s="66">
        <f>'REMUNERACION_OCCIDENTE_ Directa'!F106</f>
        <v>31858267.420000002</v>
      </c>
      <c r="G11" s="66">
        <f>'REMUNERACION_OCCIDENTE_ Directa'!G106</f>
        <v>16749839.639999999</v>
      </c>
      <c r="H11" s="66">
        <f>'REMUNERACION_OCCIDENTE_ Directa'!H106</f>
        <v>16381669.799999997</v>
      </c>
      <c r="I11" s="66">
        <f>'REMUNERACION_OCCIDENTE_ Directa'!I106</f>
        <v>574730.4</v>
      </c>
      <c r="J11" s="66">
        <f>'REMUNERACION_OCCIDENTE_ Directa'!J106</f>
        <v>0</v>
      </c>
      <c r="K11" s="31">
        <f t="shared" si="0"/>
        <v>331319685.31999993</v>
      </c>
      <c r="L11" s="66">
        <f>'REMUNERACION_OCCIDENTE_ Directa'!L106</f>
        <v>0</v>
      </c>
      <c r="M11" s="31">
        <f>K11-L11</f>
        <v>331319685.31999993</v>
      </c>
      <c r="N11" s="66">
        <f>'REMUNERACION_OCCIDENTE_ Directa'!N106</f>
        <v>16854072.859999999</v>
      </c>
      <c r="O11" s="31">
        <f t="shared" si="1"/>
        <v>348173758.17999995</v>
      </c>
      <c r="Q11" s="4"/>
      <c r="S11" s="16">
        <v>3</v>
      </c>
      <c r="T11" s="62" t="s">
        <v>12</v>
      </c>
      <c r="U11" s="66">
        <f>'REMUNERACION_OCCIDENTE_ Directa'!U106</f>
        <v>5027987.5999999996</v>
      </c>
      <c r="V11" s="66">
        <f>'REMUNERACION_OCCIDENTE_ Directa'!V106</f>
        <v>6243125.5499999998</v>
      </c>
      <c r="W11" s="66">
        <f>'REMUNERACION_OCCIDENTE_ Directa'!W106</f>
        <v>28838258.860000003</v>
      </c>
      <c r="X11" s="66">
        <f>'REMUNERACION_OCCIDENTE_ Directa'!X106</f>
        <v>131757865.3</v>
      </c>
      <c r="Y11" s="66">
        <f>'REMUNERACION_OCCIDENTE_ Directa'!Y106</f>
        <v>939938.99</v>
      </c>
      <c r="Z11" s="66">
        <f>'REMUNERACION_OCCIDENTE_ Directa'!Z106</f>
        <v>0</v>
      </c>
      <c r="AA11" s="66">
        <f>'REMUNERACION_OCCIDENTE_ Directa'!AA106</f>
        <v>-982.18999999999994</v>
      </c>
      <c r="AB11" s="66">
        <f>'REMUNERACION_OCCIDENTE_ Directa'!AB106</f>
        <v>16854072.859999999</v>
      </c>
      <c r="AC11" s="66">
        <f>'REMUNERACION_OCCIDENTE_ Directa'!AC106</f>
        <v>0.97</v>
      </c>
      <c r="AD11" s="66">
        <f>'REMUNERACION_OCCIDENTE_ Directa'!AD106</f>
        <v>158513490.24000001</v>
      </c>
      <c r="AE11" s="66">
        <f>'REMUNERACION_OCCIDENTE_ Directa'!AE106</f>
        <v>158513490.24000001</v>
      </c>
      <c r="AF11" s="70">
        <f>SUM(U11:AD11)</f>
        <v>348173758.18000007</v>
      </c>
      <c r="AG11" s="72">
        <f>AF11-O11</f>
        <v>0</v>
      </c>
      <c r="AH11" s="1" t="b">
        <f t="shared" si="2"/>
        <v>1</v>
      </c>
      <c r="AI11" s="4"/>
    </row>
    <row r="12" spans="2:35" x14ac:dyDescent="0.25">
      <c r="B12" s="16">
        <v>4</v>
      </c>
      <c r="C12" s="62" t="s">
        <v>13</v>
      </c>
      <c r="D12" s="66">
        <f>'REMUNERACION_OCCIDENTE_ Directa'!D107</f>
        <v>225188778.21000001</v>
      </c>
      <c r="E12" s="66">
        <f>'REMUNERACION_OCCIDENTE_ Directa'!E107</f>
        <v>18371679.360000003</v>
      </c>
      <c r="F12" s="66">
        <f>'REMUNERACION_OCCIDENTE_ Directa'!F107</f>
        <v>9514551.6699999999</v>
      </c>
      <c r="G12" s="66">
        <f>'REMUNERACION_OCCIDENTE_ Directa'!G107</f>
        <v>4671442.63</v>
      </c>
      <c r="H12" s="66">
        <f>'REMUNERACION_OCCIDENTE_ Directa'!H107</f>
        <v>34519101.550000004</v>
      </c>
      <c r="I12" s="66">
        <f>'REMUNERACION_OCCIDENTE_ Directa'!I107</f>
        <v>1256920.1900000002</v>
      </c>
      <c r="J12" s="66">
        <f>'REMUNERACION_OCCIDENTE_ Directa'!J107</f>
        <v>0</v>
      </c>
      <c r="K12" s="31">
        <f t="shared" si="0"/>
        <v>156855082.81</v>
      </c>
      <c r="L12" s="66">
        <f>'REMUNERACION_OCCIDENTE_ Directa'!L107</f>
        <v>0</v>
      </c>
      <c r="M12" s="31">
        <f>K12-L12</f>
        <v>156855082.81</v>
      </c>
      <c r="N12" s="66">
        <f>'REMUNERACION_OCCIDENTE_ Directa'!N107</f>
        <v>1026166.89</v>
      </c>
      <c r="O12" s="31">
        <f t="shared" si="1"/>
        <v>157881249.69999999</v>
      </c>
      <c r="Q12" s="4"/>
      <c r="S12" s="16">
        <v>4</v>
      </c>
      <c r="T12" s="62" t="s">
        <v>13</v>
      </c>
      <c r="U12" s="66">
        <f>'REMUNERACION_OCCIDENTE_ Directa'!U107</f>
        <v>11115203.909999998</v>
      </c>
      <c r="V12" s="66">
        <f>'REMUNERACION_OCCIDENTE_ Directa'!V107</f>
        <v>12870281.699999999</v>
      </c>
      <c r="W12" s="66">
        <f>'REMUNERACION_OCCIDENTE_ Directa'!W107</f>
        <v>68463838.999999985</v>
      </c>
      <c r="X12" s="66">
        <f>'REMUNERACION_OCCIDENTE_ Directa'!X107</f>
        <v>47905254.969999991</v>
      </c>
      <c r="Y12" s="66">
        <f>'REMUNERACION_OCCIDENTE_ Directa'!Y107</f>
        <v>2055695.5200000003</v>
      </c>
      <c r="Z12" s="66">
        <f>'REMUNERACION_OCCIDENTE_ Directa'!Z107</f>
        <v>0</v>
      </c>
      <c r="AA12" s="66">
        <f>'REMUNERACION_OCCIDENTE_ Directa'!AA107</f>
        <v>143.19</v>
      </c>
      <c r="AB12" s="66">
        <f>'REMUNERACION_OCCIDENTE_ Directa'!AB107</f>
        <v>1026166.89</v>
      </c>
      <c r="AC12" s="66">
        <f>'REMUNERACION_OCCIDENTE_ Directa'!AC107</f>
        <v>0.39</v>
      </c>
      <c r="AD12" s="66">
        <f>'REMUNERACION_OCCIDENTE_ Directa'!AD107</f>
        <v>14444664.130000001</v>
      </c>
      <c r="AE12" s="66">
        <f>'REMUNERACION_OCCIDENTE_ Directa'!AE107</f>
        <v>14444664.130000001</v>
      </c>
      <c r="AF12" s="70">
        <f>SUM(U12:AD12)</f>
        <v>157881249.69999996</v>
      </c>
      <c r="AG12" s="72">
        <f>AF12-O12</f>
        <v>0</v>
      </c>
      <c r="AH12" s="1" t="b">
        <f t="shared" si="2"/>
        <v>1</v>
      </c>
      <c r="AI12" s="4"/>
    </row>
    <row r="13" spans="2:35" ht="12" thickBot="1" x14ac:dyDescent="0.3">
      <c r="B13" s="19">
        <v>5</v>
      </c>
      <c r="C13" s="63" t="s">
        <v>14</v>
      </c>
      <c r="D13" s="66">
        <f>'REMUNERACION_OCCIDENTE_ Directa'!D108</f>
        <v>162906187.47999999</v>
      </c>
      <c r="E13" s="66">
        <f>'REMUNERACION_OCCIDENTE_ Directa'!E108</f>
        <v>14281523.75</v>
      </c>
      <c r="F13" s="66">
        <f>'REMUNERACION_OCCIDENTE_ Directa'!F108</f>
        <v>7745624.7399999993</v>
      </c>
      <c r="G13" s="66">
        <f>'REMUNERACION_OCCIDENTE_ Directa'!G108</f>
        <v>4110563.86</v>
      </c>
      <c r="H13" s="66">
        <f>'REMUNERACION_OCCIDENTE_ Directa'!H108</f>
        <v>10442021.060000002</v>
      </c>
      <c r="I13" s="66">
        <f>'REMUNERACION_OCCIDENTE_ Directa'!I108</f>
        <v>537683.07999999996</v>
      </c>
      <c r="J13" s="66">
        <f>'REMUNERACION_OCCIDENTE_ Directa'!J108</f>
        <v>0</v>
      </c>
      <c r="K13" s="31">
        <f t="shared" si="0"/>
        <v>125788770.98999996</v>
      </c>
      <c r="L13" s="66">
        <f>'REMUNERACION_OCCIDENTE_ Directa'!L108</f>
        <v>0</v>
      </c>
      <c r="M13" s="40">
        <f>K13-L13</f>
        <v>125788770.98999996</v>
      </c>
      <c r="N13" s="66">
        <f>'REMUNERACION_OCCIDENTE_ Directa'!N108</f>
        <v>16101746.85</v>
      </c>
      <c r="O13" s="40">
        <f t="shared" si="1"/>
        <v>141890517.83999997</v>
      </c>
      <c r="Q13" s="4"/>
      <c r="S13" s="19">
        <v>5</v>
      </c>
      <c r="T13" s="63" t="s">
        <v>14</v>
      </c>
      <c r="U13" s="66">
        <f>'REMUNERACION_OCCIDENTE_ Directa'!U108</f>
        <v>4719899.8599999994</v>
      </c>
      <c r="V13" s="66">
        <f>'REMUNERACION_OCCIDENTE_ Directa'!V108</f>
        <v>5339780.3100000005</v>
      </c>
      <c r="W13" s="66">
        <f>'REMUNERACION_OCCIDENTE_ Directa'!W108</f>
        <v>27090032.990000002</v>
      </c>
      <c r="X13" s="66">
        <f>'REMUNERACION_OCCIDENTE_ Directa'!X108</f>
        <v>42473370.409999996</v>
      </c>
      <c r="Y13" s="66">
        <f>'REMUNERACION_OCCIDENTE_ Directa'!Y108</f>
        <v>890099.25</v>
      </c>
      <c r="Z13" s="66">
        <f>'REMUNERACION_OCCIDENTE_ Directa'!Z108</f>
        <v>0</v>
      </c>
      <c r="AA13" s="66">
        <f>'REMUNERACION_OCCIDENTE_ Directa'!AA108</f>
        <v>-127.68</v>
      </c>
      <c r="AB13" s="66">
        <f>'REMUNERACION_OCCIDENTE_ Directa'!AB108</f>
        <v>16101746.85</v>
      </c>
      <c r="AC13" s="66">
        <f>'REMUNERACION_OCCIDENTE_ Directa'!AC108</f>
        <v>-66.430000000000007</v>
      </c>
      <c r="AD13" s="66">
        <f>'REMUNERACION_OCCIDENTE_ Directa'!AD108</f>
        <v>45275782.279999994</v>
      </c>
      <c r="AE13" s="66">
        <f>'REMUNERACION_OCCIDENTE_ Directa'!AE108</f>
        <v>45275782.279999994</v>
      </c>
      <c r="AF13" s="70">
        <f>SUM(U13:AD13)</f>
        <v>141890517.83999997</v>
      </c>
      <c r="AG13" s="372">
        <f>AF13-O13</f>
        <v>0</v>
      </c>
      <c r="AH13" s="1" t="b">
        <f t="shared" si="2"/>
        <v>1</v>
      </c>
      <c r="AI13" s="4"/>
    </row>
    <row r="14" spans="2:35" ht="13.5" thickBot="1" x14ac:dyDescent="0.35">
      <c r="B14" s="21"/>
      <c r="C14" s="22" t="s">
        <v>119</v>
      </c>
      <c r="D14" s="43">
        <f t="shared" ref="D14:O14" si="3">SUM(D9:D13)</f>
        <v>1761977426.76</v>
      </c>
      <c r="E14" s="43">
        <f t="shared" si="3"/>
        <v>212409214.08000001</v>
      </c>
      <c r="F14" s="43">
        <f t="shared" si="3"/>
        <v>115910129.74000001</v>
      </c>
      <c r="G14" s="43">
        <f t="shared" si="3"/>
        <v>61291294.430000007</v>
      </c>
      <c r="H14" s="43">
        <f t="shared" si="3"/>
        <v>166751023.49999997</v>
      </c>
      <c r="I14" s="43">
        <f t="shared" si="3"/>
        <v>5554113.25</v>
      </c>
      <c r="J14" s="43">
        <f t="shared" si="3"/>
        <v>0</v>
      </c>
      <c r="K14" s="32">
        <f t="shared" si="3"/>
        <v>1200061651.76</v>
      </c>
      <c r="L14" s="23">
        <f t="shared" si="3"/>
        <v>0</v>
      </c>
      <c r="M14" s="76">
        <f t="shared" si="3"/>
        <v>1200061651.76</v>
      </c>
      <c r="N14" s="23">
        <f t="shared" si="3"/>
        <v>46273844.229999997</v>
      </c>
      <c r="O14" s="76">
        <f t="shared" si="3"/>
        <v>1246335495.9899998</v>
      </c>
      <c r="P14" s="2"/>
      <c r="Q14" s="4"/>
      <c r="S14" s="21"/>
      <c r="T14" s="22" t="s">
        <v>119</v>
      </c>
      <c r="U14" s="43">
        <f>SUM(U9:U13)</f>
        <v>49218259.219999999</v>
      </c>
      <c r="V14" s="43">
        <f t="shared" ref="V14:AG14" si="4">SUM(V9:V13)</f>
        <v>59377510.569999993</v>
      </c>
      <c r="W14" s="43">
        <f t="shared" si="4"/>
        <v>282462863.25</v>
      </c>
      <c r="X14" s="43">
        <f t="shared" si="4"/>
        <v>520630433.88999999</v>
      </c>
      <c r="Y14" s="43">
        <f t="shared" si="4"/>
        <v>9085000.7400000021</v>
      </c>
      <c r="Z14" s="43">
        <f t="shared" si="4"/>
        <v>0</v>
      </c>
      <c r="AA14" s="43">
        <f t="shared" si="4"/>
        <v>-1783.33</v>
      </c>
      <c r="AB14" s="43">
        <f t="shared" si="4"/>
        <v>46273844.229999997</v>
      </c>
      <c r="AC14" s="43">
        <f t="shared" si="4"/>
        <v>-52.74</v>
      </c>
      <c r="AD14" s="43">
        <f t="shared" si="4"/>
        <v>279289420.15999997</v>
      </c>
      <c r="AE14" s="43">
        <f>SUM(AE9:AE13)</f>
        <v>279289420.15999997</v>
      </c>
      <c r="AF14" s="68">
        <f t="shared" si="4"/>
        <v>1246335495.99</v>
      </c>
      <c r="AG14" s="43">
        <f t="shared" si="4"/>
        <v>0</v>
      </c>
      <c r="AH14" s="1" t="b">
        <f t="shared" si="2"/>
        <v>1</v>
      </c>
      <c r="AI14" s="4"/>
    </row>
    <row r="15" spans="2:35" ht="12" thickBot="1" x14ac:dyDescent="0.3">
      <c r="B15" s="2"/>
      <c r="C15" s="2"/>
      <c r="D15" s="24"/>
      <c r="E15" s="24"/>
      <c r="F15" s="24"/>
      <c r="G15" s="24"/>
      <c r="H15" s="24"/>
      <c r="I15" s="24"/>
      <c r="K15" s="24"/>
      <c r="L15" s="24"/>
      <c r="M15" s="24"/>
      <c r="N15" s="24"/>
      <c r="O15" s="24"/>
      <c r="Q15" s="4"/>
      <c r="S15" s="2"/>
      <c r="T15" s="2"/>
      <c r="U15" s="24"/>
      <c r="V15" s="24"/>
      <c r="W15" s="24"/>
      <c r="X15" s="24"/>
      <c r="Y15" s="24"/>
      <c r="AF15" s="24"/>
      <c r="AI15" s="4"/>
    </row>
    <row r="16" spans="2:35" ht="12" thickBot="1" x14ac:dyDescent="0.3">
      <c r="B16" s="2"/>
      <c r="C16" s="2"/>
      <c r="D16" s="24" t="s">
        <v>1</v>
      </c>
      <c r="E16" s="24"/>
      <c r="F16" s="24"/>
      <c r="G16" s="24"/>
      <c r="H16" s="24"/>
      <c r="I16" s="24"/>
      <c r="K16" s="24"/>
      <c r="L16" s="24"/>
      <c r="M16" s="24"/>
      <c r="N16" s="24"/>
      <c r="O16" s="24"/>
      <c r="Q16" s="4"/>
      <c r="Y16" s="86">
        <f>SUM(U14:Y14)</f>
        <v>920774067.66999996</v>
      </c>
      <c r="AA16" s="1" t="s">
        <v>1</v>
      </c>
      <c r="AB16" s="1" t="s">
        <v>1</v>
      </c>
      <c r="AD16" s="1" t="s">
        <v>1</v>
      </c>
      <c r="AF16" s="1" t="s">
        <v>1</v>
      </c>
      <c r="AI16" s="4"/>
    </row>
    <row r="17" spans="1:35" ht="64.5" customHeight="1" thickBot="1" x14ac:dyDescent="0.3">
      <c r="B17" s="2"/>
      <c r="C17" s="2"/>
      <c r="D17" s="24" t="s">
        <v>1</v>
      </c>
      <c r="E17" s="33"/>
      <c r="F17" s="33"/>
      <c r="G17" s="33"/>
      <c r="H17" s="33"/>
      <c r="I17" s="24"/>
      <c r="K17" s="24"/>
      <c r="L17" s="24"/>
      <c r="M17" s="24"/>
      <c r="N17" s="24"/>
      <c r="O17" s="24"/>
      <c r="Q17" s="4"/>
      <c r="U17" s="33"/>
      <c r="V17" s="33"/>
      <c r="W17" s="33"/>
      <c r="X17" s="33"/>
      <c r="AI17" s="4"/>
    </row>
    <row r="18" spans="1:35" x14ac:dyDescent="0.25">
      <c r="B18" s="2"/>
      <c r="C18" s="2"/>
      <c r="D18" s="24" t="s">
        <v>1</v>
      </c>
      <c r="E18" s="24" t="s">
        <v>1</v>
      </c>
      <c r="F18" s="24" t="s">
        <v>25</v>
      </c>
      <c r="G18" s="24"/>
      <c r="H18" s="24"/>
      <c r="I18" s="24"/>
      <c r="K18" s="24"/>
      <c r="L18" s="24"/>
      <c r="M18" s="24"/>
      <c r="N18" s="24"/>
      <c r="O18" s="24"/>
      <c r="Q18" s="4"/>
      <c r="U18" s="24" t="s">
        <v>1</v>
      </c>
      <c r="V18" s="24" t="s">
        <v>25</v>
      </c>
      <c r="W18" s="24"/>
      <c r="X18" s="24"/>
      <c r="AI18" s="4"/>
    </row>
    <row r="19" spans="1:35" x14ac:dyDescent="0.25">
      <c r="A19" s="52"/>
      <c r="B19" s="53"/>
      <c r="C19" s="53"/>
      <c r="D19" s="54"/>
      <c r="E19" s="54"/>
      <c r="F19" s="54"/>
      <c r="G19" s="54"/>
      <c r="H19" s="54"/>
      <c r="I19" s="54"/>
      <c r="J19" s="52"/>
      <c r="K19" s="54"/>
      <c r="L19" s="54"/>
      <c r="M19" s="54"/>
      <c r="N19" s="54"/>
      <c r="O19" s="54"/>
      <c r="P19" s="52"/>
      <c r="Q19" s="52"/>
      <c r="R19" s="52"/>
      <c r="S19" s="52"/>
      <c r="T19" s="52"/>
      <c r="U19" s="52"/>
      <c r="V19" s="52"/>
      <c r="W19" s="52"/>
      <c r="X19" s="52"/>
      <c r="Y19" s="52"/>
      <c r="Z19" s="52"/>
      <c r="AA19" s="52"/>
      <c r="AB19" s="52"/>
      <c r="AC19" s="52"/>
      <c r="AD19" s="52"/>
      <c r="AE19" s="52"/>
      <c r="AF19" s="52"/>
      <c r="AG19" s="52"/>
      <c r="AH19" s="52"/>
      <c r="AI19" s="52"/>
    </row>
    <row r="20" spans="1:35" ht="12" thickBot="1" x14ac:dyDescent="0.3">
      <c r="Q20" s="4"/>
    </row>
    <row r="21" spans="1:35" x14ac:dyDescent="0.25">
      <c r="B21" s="5"/>
      <c r="C21" s="3" t="s">
        <v>1</v>
      </c>
      <c r="D21" s="6" t="s">
        <v>1</v>
      </c>
      <c r="E21" s="3"/>
      <c r="F21" s="3"/>
      <c r="G21" s="3"/>
      <c r="H21" s="3" t="s">
        <v>1</v>
      </c>
      <c r="I21" s="3"/>
      <c r="J21" s="3"/>
      <c r="K21" s="3"/>
      <c r="L21" s="3"/>
      <c r="M21" s="3"/>
      <c r="N21" s="3"/>
      <c r="O21" s="7"/>
      <c r="P21" s="2"/>
      <c r="Q21" s="35"/>
    </row>
    <row r="22" spans="1:35" ht="14" x14ac:dyDescent="0.3">
      <c r="B22" s="8"/>
      <c r="C22" s="2"/>
      <c r="D22" s="9"/>
      <c r="F22" s="26" t="s">
        <v>8</v>
      </c>
      <c r="G22" s="26"/>
      <c r="I22" s="26" t="s">
        <v>16</v>
      </c>
      <c r="J22" s="25"/>
      <c r="M22" s="2" t="s">
        <v>15</v>
      </c>
      <c r="N22" s="50">
        <f>'REMUNERACION_OCCIDENTE_ Directa'!M117</f>
        <v>2026071</v>
      </c>
      <c r="O22" s="10"/>
      <c r="P22" s="2"/>
      <c r="Q22" s="4"/>
    </row>
    <row r="23" spans="1:35" ht="15.5" x14ac:dyDescent="0.35">
      <c r="B23" s="8"/>
      <c r="C23" s="2"/>
      <c r="D23" s="57"/>
      <c r="F23" s="36" t="s">
        <v>29</v>
      </c>
      <c r="G23" s="36"/>
      <c r="O23" s="10"/>
      <c r="P23" s="2"/>
      <c r="Q23" s="4"/>
    </row>
    <row r="24" spans="1:35" x14ac:dyDescent="0.25">
      <c r="B24" s="8"/>
      <c r="F24" s="2" t="s">
        <v>30</v>
      </c>
      <c r="G24" s="2"/>
      <c r="M24" s="2" t="s">
        <v>1</v>
      </c>
      <c r="O24" s="10"/>
      <c r="P24" s="2"/>
      <c r="Q24" s="4"/>
    </row>
    <row r="25" spans="1:35" x14ac:dyDescent="0.25">
      <c r="B25" s="8"/>
      <c r="I25" s="2"/>
      <c r="J25" s="2"/>
      <c r="O25" s="10"/>
      <c r="P25" s="2"/>
      <c r="Q25" s="4"/>
    </row>
    <row r="26" spans="1:35" ht="15.5" x14ac:dyDescent="0.35">
      <c r="B26" s="8"/>
      <c r="F26" s="41" t="s">
        <v>37</v>
      </c>
      <c r="G26" s="41"/>
      <c r="H26" s="2"/>
      <c r="J26" s="2"/>
      <c r="O26" s="10"/>
      <c r="P26" s="2"/>
      <c r="Q26" s="4"/>
    </row>
    <row r="27" spans="1:35" x14ac:dyDescent="0.25">
      <c r="B27" s="8"/>
      <c r="F27" s="2" t="s">
        <v>27</v>
      </c>
      <c r="G27" s="2"/>
      <c r="H27" s="9">
        <f>'REMUNERACION_OCCIDENTE_ Directa'!G122</f>
        <v>46204</v>
      </c>
      <c r="J27" s="2" t="s">
        <v>28</v>
      </c>
      <c r="K27" s="9">
        <f>'REMUNERACION_OCCIDENTE_ Directa'!K122</f>
        <v>46218</v>
      </c>
      <c r="O27" s="10"/>
      <c r="P27" s="2"/>
      <c r="Q27" s="4"/>
    </row>
    <row r="28" spans="1:35" ht="12" thickBot="1" x14ac:dyDescent="0.3">
      <c r="B28" s="8"/>
      <c r="C28" s="2" t="s">
        <v>1</v>
      </c>
      <c r="D28" s="2" t="s">
        <v>1</v>
      </c>
      <c r="J28" s="1" t="s">
        <v>1</v>
      </c>
      <c r="O28" s="44"/>
      <c r="P28" s="2"/>
      <c r="Q28" s="4"/>
    </row>
    <row r="29" spans="1:35" ht="46.5" thickBot="1" x14ac:dyDescent="0.3">
      <c r="B29" s="11" t="s">
        <v>3</v>
      </c>
      <c r="C29" s="12" t="s">
        <v>9</v>
      </c>
      <c r="D29" s="12" t="s">
        <v>38</v>
      </c>
      <c r="E29" s="12" t="s">
        <v>48</v>
      </c>
      <c r="G29" s="104" t="s">
        <v>47</v>
      </c>
      <c r="H29" s="73" t="s">
        <v>56</v>
      </c>
      <c r="I29" s="73" t="s">
        <v>130</v>
      </c>
      <c r="J29" s="73" t="s">
        <v>171</v>
      </c>
      <c r="K29" s="73" t="s">
        <v>143</v>
      </c>
      <c r="L29" s="73" t="s">
        <v>144</v>
      </c>
      <c r="O29" s="44"/>
      <c r="P29" s="13"/>
      <c r="Q29" s="4"/>
    </row>
    <row r="30" spans="1:35" x14ac:dyDescent="0.25">
      <c r="B30" s="108">
        <v>1</v>
      </c>
      <c r="C30" s="109" t="s">
        <v>10</v>
      </c>
      <c r="D30" s="110">
        <f>'REMUNERACION_OCCIDENTE_ Directa'!D125</f>
        <v>12466967.189999999</v>
      </c>
      <c r="E30" s="111">
        <f>'REMUNERACION_OCCIDENTE_ Directa'!E125</f>
        <v>0</v>
      </c>
      <c r="G30" s="339">
        <f>'REMUNERACION_OCCIDENTE_ Directa'!G125</f>
        <v>11673020</v>
      </c>
      <c r="H30" s="313">
        <f>'REMUNERACION_OCCIDENTE_ Directa'!H125</f>
        <v>2311059.02</v>
      </c>
      <c r="I30" s="312">
        <f>'REMUNERACION_OCCIDENTE_ Directa'!I125</f>
        <v>0</v>
      </c>
      <c r="J30" s="312">
        <f>'REMUNERACION_OCCIDENTE_ Directa'!J125</f>
        <v>-12054255.65</v>
      </c>
      <c r="K30" s="312">
        <f>'REMUNERACION_OCCIDENTE_ Directa'!K125</f>
        <v>1944280</v>
      </c>
      <c r="L30" s="312">
        <f>'REMUNERACION_OCCIDENTE_ Directa'!L125</f>
        <v>8965804.3499999996</v>
      </c>
      <c r="O30" s="44"/>
      <c r="Q30" s="4"/>
    </row>
    <row r="31" spans="1:35" x14ac:dyDescent="0.25">
      <c r="B31" s="16">
        <v>2</v>
      </c>
      <c r="C31" s="17" t="s">
        <v>11</v>
      </c>
      <c r="D31" s="15">
        <f>'REMUNERACION_OCCIDENTE_ Directa'!D126</f>
        <v>32048911</v>
      </c>
      <c r="E31" s="74">
        <f>'REMUNERACION_OCCIDENTE_ Directa'!E126</f>
        <v>0</v>
      </c>
      <c r="G31" s="342">
        <f>'REMUNERACION_OCCIDENTE_ Directa'!G126</f>
        <v>0</v>
      </c>
      <c r="H31" s="343">
        <f>'REMUNERACION_OCCIDENTE_ Directa'!H126</f>
        <v>12441371.75</v>
      </c>
      <c r="I31" s="291">
        <f>'REMUNERACION_OCCIDENTE_ Directa'!I126</f>
        <v>0</v>
      </c>
      <c r="J31" s="291">
        <f>'REMUNERACION_OCCIDENTE_ Directa'!J126</f>
        <v>0</v>
      </c>
      <c r="K31" s="291">
        <f>'REMUNERACION_OCCIDENTE_ Directa'!K126</f>
        <v>0</v>
      </c>
      <c r="L31" s="291">
        <f>'REMUNERACION_OCCIDENTE_ Directa'!L126</f>
        <v>0</v>
      </c>
      <c r="O31" s="44"/>
      <c r="Q31" s="4"/>
    </row>
    <row r="32" spans="1:35" x14ac:dyDescent="0.25">
      <c r="B32" s="16">
        <v>3</v>
      </c>
      <c r="C32" s="17" t="s">
        <v>12</v>
      </c>
      <c r="D32" s="15">
        <f>'REMUNERACION_OCCIDENTE_ Directa'!D127</f>
        <v>2387269</v>
      </c>
      <c r="E32" s="74">
        <f>'REMUNERACION_OCCIDENTE_ Directa'!E127</f>
        <v>0</v>
      </c>
      <c r="G32" s="342">
        <f>'REMUNERACION_OCCIDENTE_ Directa'!G127</f>
        <v>10198723.07</v>
      </c>
      <c r="H32" s="343">
        <f>'REMUNERACION_OCCIDENTE_ Directa'!H127</f>
        <v>677060.45</v>
      </c>
      <c r="I32" s="291">
        <f>'REMUNERACION_OCCIDENTE_ Directa'!I127</f>
        <v>0</v>
      </c>
      <c r="J32" s="291">
        <f>'REMUNERACION_OCCIDENTE_ Directa'!J127</f>
        <v>-10531481.890000001</v>
      </c>
      <c r="K32" s="291">
        <f>'REMUNERACION_OCCIDENTE_ Directa'!K127</f>
        <v>426786.93</v>
      </c>
      <c r="L32" s="291">
        <f>'REMUNERACION_OCCIDENTE_ Directa'!L127</f>
        <v>10145808.109999999</v>
      </c>
      <c r="O32" s="44"/>
      <c r="Q32" s="4"/>
    </row>
    <row r="33" spans="1:20" x14ac:dyDescent="0.25">
      <c r="B33" s="16">
        <v>4</v>
      </c>
      <c r="C33" s="17" t="s">
        <v>13</v>
      </c>
      <c r="D33" s="15">
        <f>'REMUNERACION_OCCIDENTE_ Directa'!D128</f>
        <v>11928035.6</v>
      </c>
      <c r="E33" s="74">
        <f>'REMUNERACION_OCCIDENTE_ Directa'!E128</f>
        <v>0</v>
      </c>
      <c r="G33" s="342">
        <f>'REMUNERACION_OCCIDENTE_ Directa'!G128</f>
        <v>1855630</v>
      </c>
      <c r="H33" s="343">
        <f>'REMUNERACION_OCCIDENTE_ Directa'!H128</f>
        <v>2001316.6600000001</v>
      </c>
      <c r="I33" s="291">
        <f>'REMUNERACION_OCCIDENTE_ Directa'!I128</f>
        <v>0</v>
      </c>
      <c r="J33" s="291">
        <f>'REMUNERACION_OCCIDENTE_ Directa'!J128</f>
        <v>-4856351.96</v>
      </c>
      <c r="K33" s="291">
        <f>'REMUNERACION_OCCIDENTE_ Directa'!K128</f>
        <v>2723150</v>
      </c>
      <c r="L33" s="291">
        <f>'REMUNERACION_OCCIDENTE_ Directa'!L128</f>
        <v>245148.04</v>
      </c>
      <c r="O33" s="44"/>
      <c r="Q33" s="4"/>
    </row>
    <row r="34" spans="1:20" x14ac:dyDescent="0.25">
      <c r="B34" s="133">
        <v>5</v>
      </c>
      <c r="C34" s="138" t="s">
        <v>14</v>
      </c>
      <c r="D34" s="135">
        <f>'REMUNERACION_OCCIDENTE_ Directa'!D129</f>
        <v>2431000</v>
      </c>
      <c r="E34" s="139">
        <f>'REMUNERACION_OCCIDENTE_ Directa'!E129</f>
        <v>0</v>
      </c>
      <c r="G34" s="342">
        <f>'REMUNERACION_OCCIDENTE_ Directa'!G129</f>
        <v>0</v>
      </c>
      <c r="H34" s="343">
        <f>'REMUNERACION_OCCIDENTE_ Directa'!H129</f>
        <v>655659.01</v>
      </c>
      <c r="I34" s="291">
        <f>'REMUNERACION_OCCIDENTE_ Directa'!I129</f>
        <v>0</v>
      </c>
      <c r="J34" s="291">
        <f>'REMUNERACION_OCCIDENTE_ Directa'!J129</f>
        <v>-950286.68</v>
      </c>
      <c r="K34" s="291">
        <f>'REMUNERACION_OCCIDENTE_ Directa'!K129</f>
        <v>314490</v>
      </c>
      <c r="L34" s="291">
        <f>'REMUNERACION_OCCIDENTE_ Directa'!L129</f>
        <v>750593.32</v>
      </c>
      <c r="O34" s="44"/>
      <c r="Q34" s="4"/>
    </row>
    <row r="35" spans="1:20" ht="12" thickBot="1" x14ac:dyDescent="0.3">
      <c r="B35" s="19" t="s">
        <v>89</v>
      </c>
      <c r="C35" s="20" t="s">
        <v>113</v>
      </c>
      <c r="D35" s="78"/>
      <c r="E35" s="79">
        <f>'REMUNERACION_OCCIDENTE_ Directa'!E130</f>
        <v>0</v>
      </c>
      <c r="G35" s="349"/>
      <c r="H35" s="350"/>
      <c r="I35" s="292"/>
      <c r="J35" s="292"/>
      <c r="K35" s="292"/>
      <c r="L35" s="292"/>
      <c r="O35" s="44"/>
      <c r="Q35" s="4"/>
    </row>
    <row r="36" spans="1:20" ht="12" thickBot="1" x14ac:dyDescent="0.3">
      <c r="B36" s="95"/>
      <c r="C36" s="106" t="s">
        <v>119</v>
      </c>
      <c r="D36" s="107">
        <f t="shared" ref="D36" si="5">SUM(D30:D34)</f>
        <v>61262182.789999999</v>
      </c>
      <c r="E36" s="107">
        <f>'REMUNERACION_OCCIDENTE_ Directa'!E131</f>
        <v>0</v>
      </c>
      <c r="F36" s="45"/>
      <c r="G36" s="353">
        <f t="shared" ref="G36:L36" si="6">SUM(G30:G34)</f>
        <v>23727373.07</v>
      </c>
      <c r="H36" s="353">
        <f t="shared" si="6"/>
        <v>18086466.890000001</v>
      </c>
      <c r="I36" s="353">
        <f t="shared" si="6"/>
        <v>0</v>
      </c>
      <c r="J36" s="353">
        <f t="shared" si="6"/>
        <v>-28392376.18</v>
      </c>
      <c r="K36" s="353">
        <f t="shared" si="6"/>
        <v>5408706.9299999997</v>
      </c>
      <c r="L36" s="353">
        <f t="shared" si="6"/>
        <v>20107353.82</v>
      </c>
      <c r="M36" s="45"/>
      <c r="N36" s="45"/>
      <c r="O36" s="46"/>
      <c r="P36" s="2"/>
      <c r="Q36" s="4"/>
    </row>
    <row r="37" spans="1:20" x14ac:dyDescent="0.25">
      <c r="B37" s="2"/>
      <c r="C37" s="2"/>
      <c r="D37" s="24"/>
      <c r="Q37" s="4"/>
    </row>
    <row r="38" spans="1:20" x14ac:dyDescent="0.25">
      <c r="B38" s="2"/>
      <c r="C38" s="2"/>
      <c r="D38" s="24"/>
      <c r="L38" s="1" t="s">
        <v>1</v>
      </c>
      <c r="Q38" s="4"/>
    </row>
    <row r="39" spans="1:20" ht="64.5" customHeight="1" thickBot="1" x14ac:dyDescent="0.3">
      <c r="B39" s="2"/>
      <c r="C39" s="2"/>
      <c r="D39" s="24"/>
      <c r="E39" s="33"/>
      <c r="F39" s="33"/>
      <c r="G39" s="33"/>
      <c r="H39" s="33"/>
      <c r="I39" s="24"/>
      <c r="K39" s="24"/>
      <c r="L39" s="24" t="s">
        <v>1</v>
      </c>
      <c r="M39" s="24" t="s">
        <v>1</v>
      </c>
      <c r="N39" s="24"/>
      <c r="O39" s="24"/>
      <c r="Q39" s="4"/>
    </row>
    <row r="40" spans="1:20" x14ac:dyDescent="0.25">
      <c r="B40" s="2"/>
      <c r="C40" s="2"/>
      <c r="D40" s="24"/>
      <c r="E40" s="24" t="s">
        <v>1</v>
      </c>
      <c r="F40" s="42" t="s">
        <v>36</v>
      </c>
      <c r="G40" s="42"/>
      <c r="H40" s="42"/>
      <c r="I40" s="24"/>
      <c r="K40" s="24"/>
      <c r="L40" s="24"/>
      <c r="M40" s="24"/>
      <c r="N40" s="24"/>
      <c r="O40" s="24"/>
      <c r="Q40" s="4"/>
    </row>
    <row r="41" spans="1:20" x14ac:dyDescent="0.25">
      <c r="A41" s="52"/>
      <c r="B41" s="53"/>
      <c r="C41" s="53"/>
      <c r="D41" s="54"/>
      <c r="E41" s="54"/>
      <c r="F41" s="54"/>
      <c r="G41" s="54"/>
      <c r="H41" s="54"/>
      <c r="I41" s="54"/>
      <c r="J41" s="52"/>
      <c r="K41" s="54"/>
      <c r="L41" s="54"/>
      <c r="M41" s="54"/>
      <c r="N41" s="54"/>
      <c r="O41" s="54"/>
      <c r="P41" s="52"/>
      <c r="Q41" s="4"/>
    </row>
    <row r="42" spans="1:20" x14ac:dyDescent="0.25">
      <c r="N42" s="24"/>
      <c r="O42" s="24"/>
      <c r="Q42" s="24"/>
      <c r="T42" s="24"/>
    </row>
    <row r="43" spans="1:20" x14ac:dyDescent="0.25">
      <c r="N43" s="24"/>
      <c r="O43" s="24"/>
      <c r="Q43" s="24"/>
      <c r="T43" s="24"/>
    </row>
    <row r="44" spans="1:20" x14ac:dyDescent="0.25">
      <c r="D44" s="270" t="b">
        <f>D14='REMUNERACION_OCCIDENTE_ Directa'!D109</f>
        <v>1</v>
      </c>
      <c r="E44" s="270" t="b">
        <f>E14='REMUNERACION_OCCIDENTE_ Directa'!E109</f>
        <v>1</v>
      </c>
      <c r="F44" s="270" t="b">
        <f>F14='REMUNERACION_OCCIDENTE_ Directa'!F109</f>
        <v>1</v>
      </c>
      <c r="G44" s="270" t="b">
        <f>G14='REMUNERACION_OCCIDENTE_ Directa'!G109</f>
        <v>1</v>
      </c>
      <c r="H44" s="270" t="b">
        <f>H14='REMUNERACION_OCCIDENTE_ Directa'!H109</f>
        <v>1</v>
      </c>
      <c r="I44" s="270" t="b">
        <f>I14='REMUNERACION_OCCIDENTE_ Directa'!I109</f>
        <v>1</v>
      </c>
      <c r="J44" s="270" t="b">
        <f>J14='REMUNERACION_OCCIDENTE_ Directa'!J109</f>
        <v>1</v>
      </c>
      <c r="K44" s="270" t="b">
        <f>K14='REMUNERACION_OCCIDENTE_ Directa'!K109</f>
        <v>1</v>
      </c>
      <c r="L44" s="270" t="b">
        <f>L14='REMUNERACION_OCCIDENTE_ Directa'!L109</f>
        <v>1</v>
      </c>
      <c r="M44" s="270" t="b">
        <f>M14='REMUNERACION_OCCIDENTE_ Directa'!M109</f>
        <v>1</v>
      </c>
      <c r="N44" s="270" t="b">
        <f>N14='REMUNERACION_OCCIDENTE_ Directa'!N109</f>
        <v>1</v>
      </c>
      <c r="O44" s="270" t="b">
        <f>O14='REMUNERACION_OCCIDENTE_ Directa'!O109</f>
        <v>1</v>
      </c>
      <c r="Q44" s="24"/>
      <c r="T44" s="24"/>
    </row>
    <row r="45" spans="1:20" x14ac:dyDescent="0.25">
      <c r="D45" s="270" t="b">
        <f>D36='REMUNERACION_OCCIDENTE_ Directa'!D131</f>
        <v>1</v>
      </c>
      <c r="E45" s="270" t="b">
        <f>E36='REMUNERACION_OCCIDENTE_ Directa'!E131</f>
        <v>1</v>
      </c>
      <c r="F45" s="270" t="b">
        <f>F36='REMUNERACION_OCCIDENTE_ Directa'!F131</f>
        <v>1</v>
      </c>
      <c r="G45" s="270" t="b">
        <f>G36='REMUNERACION_OCCIDENTE_ Directa'!G131</f>
        <v>1</v>
      </c>
      <c r="H45" s="270" t="b">
        <f>H36='REMUNERACION_OCCIDENTE_ Directa'!H131</f>
        <v>1</v>
      </c>
      <c r="I45" s="270" t="b">
        <f>I36='REMUNERACION_OCCIDENTE_ Directa'!I131</f>
        <v>1</v>
      </c>
      <c r="J45" s="270" t="b">
        <f>J36='REMUNERACION_OCCIDENTE_ Directa'!J131</f>
        <v>1</v>
      </c>
      <c r="K45" s="270" t="b">
        <f>K36='REMUNERACION_OCCIDENTE_ Directa'!K131</f>
        <v>1</v>
      </c>
      <c r="L45" s="270" t="b">
        <f>L36='REMUNERACION_OCCIDENTE_ Directa'!L131</f>
        <v>1</v>
      </c>
      <c r="M45" s="270" t="b">
        <f>M36='REMUNERACION_OCCIDENTE_ Directa'!M131</f>
        <v>1</v>
      </c>
      <c r="N45" s="270" t="b">
        <f>N36='REMUNERACION_OCCIDENTE_ Directa'!N131</f>
        <v>1</v>
      </c>
      <c r="O45" s="270" t="b">
        <f>O36='REMUNERACION_OCCIDENTE_ Directa'!O131</f>
        <v>1</v>
      </c>
      <c r="Q45" s="24"/>
      <c r="T45" s="24"/>
    </row>
    <row r="46" spans="1:20" x14ac:dyDescent="0.25">
      <c r="N46" s="24"/>
      <c r="O46" s="24"/>
      <c r="Q46" s="24"/>
      <c r="T46" s="24"/>
    </row>
    <row r="47" spans="1:20" x14ac:dyDescent="0.25">
      <c r="N47" s="24"/>
      <c r="O47" s="24"/>
      <c r="Q47" s="24"/>
      <c r="T47" s="24"/>
    </row>
    <row r="48" spans="1:20" x14ac:dyDescent="0.25">
      <c r="N48" s="24"/>
      <c r="O48" s="24"/>
      <c r="Q48" s="24"/>
      <c r="T48" s="24"/>
    </row>
    <row r="49" spans="14:20" x14ac:dyDescent="0.25">
      <c r="N49" s="24"/>
      <c r="O49" s="24"/>
      <c r="Q49" s="24"/>
      <c r="T49" s="24"/>
    </row>
    <row r="50" spans="14:20" x14ac:dyDescent="0.25">
      <c r="N50" s="24"/>
      <c r="O50" s="24"/>
      <c r="Q50" s="24"/>
      <c r="T50" s="24"/>
    </row>
    <row r="51" spans="14:20" x14ac:dyDescent="0.25">
      <c r="Q51" s="24"/>
      <c r="T51" s="24"/>
    </row>
    <row r="52" spans="14:20" x14ac:dyDescent="0.25">
      <c r="Q52" s="24"/>
    </row>
  </sheetData>
  <conditionalFormatting sqref="AH9:AH14">
    <cfRule type="cellIs" dxfId="19" priority="2" operator="notEqual">
      <formula>TRUE</formula>
    </cfRule>
  </conditionalFormatting>
  <printOptions horizontalCentered="1" verticalCentered="1"/>
  <pageMargins left="0.55118110236220474" right="0.74803149606299213" top="0.59055118110236227" bottom="0.78740157480314965" header="0" footer="0"/>
  <pageSetup scale="24" orientation="landscape" r:id="rId1"/>
  <headerFooter alignWithMargins="0"/>
  <drawing r:id="rId2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tabColor rgb="FFFFFF00"/>
    <pageSetUpPr fitToPage="1"/>
  </sheetPr>
  <dimension ref="A1:AJ167"/>
  <sheetViews>
    <sheetView topLeftCell="A96" zoomScaleNormal="100" workbookViewId="0"/>
  </sheetViews>
  <sheetFormatPr baseColWidth="10" defaultColWidth="11.453125" defaultRowHeight="11.5" x14ac:dyDescent="0.25"/>
  <cols>
    <col min="1" max="1" width="3" style="1" customWidth="1"/>
    <col min="2" max="2" width="4.453125" style="1" bestFit="1" customWidth="1"/>
    <col min="3" max="3" width="36.7265625" style="1" customWidth="1"/>
    <col min="4" max="4" width="15.26953125" style="1" customWidth="1"/>
    <col min="5" max="5" width="16" style="1" customWidth="1"/>
    <col min="6" max="7" width="14.7265625" style="1" customWidth="1"/>
    <col min="8" max="9" width="16" style="1" customWidth="1"/>
    <col min="10" max="10" width="15.54296875" style="1" customWidth="1"/>
    <col min="11" max="11" width="17.54296875" style="1" customWidth="1"/>
    <col min="12" max="12" width="20" style="1" bestFit="1" customWidth="1"/>
    <col min="13" max="13" width="21" style="1" bestFit="1" customWidth="1"/>
    <col min="14" max="14" width="15.26953125" style="1" customWidth="1"/>
    <col min="15" max="15" width="16.7265625" style="1" customWidth="1"/>
    <col min="16" max="16" width="3.7265625" style="1" customWidth="1"/>
    <col min="17" max="17" width="2.7265625" style="1" customWidth="1"/>
    <col min="18" max="18" width="4.54296875" style="1" customWidth="1"/>
    <col min="19" max="19" width="11.26953125" style="1" customWidth="1"/>
    <col min="20" max="20" width="37.54296875" style="1" bestFit="1" customWidth="1"/>
    <col min="21" max="21" width="19.26953125" style="1" customWidth="1"/>
    <col min="22" max="22" width="17.7265625" style="1" customWidth="1"/>
    <col min="23" max="23" width="16.453125" style="1" customWidth="1"/>
    <col min="24" max="24" width="17.26953125" style="1" customWidth="1"/>
    <col min="25" max="25" width="15.7265625" style="1" customWidth="1"/>
    <col min="26" max="26" width="16" style="1" customWidth="1"/>
    <col min="27" max="27" width="15" style="1" customWidth="1"/>
    <col min="28" max="29" width="16.7265625" style="1" customWidth="1"/>
    <col min="30" max="31" width="15.453125" style="1" customWidth="1"/>
    <col min="32" max="32" width="16.26953125" style="1" customWidth="1"/>
    <col min="33" max="33" width="18.26953125" style="1" customWidth="1"/>
    <col min="34" max="34" width="13.7265625" style="1" customWidth="1"/>
    <col min="35" max="35" width="3.453125" style="1" customWidth="1"/>
    <col min="36" max="36" width="13.7265625" style="1" bestFit="1" customWidth="1"/>
    <col min="37" max="16384" width="11.453125" style="1"/>
  </cols>
  <sheetData>
    <row r="1" spans="2:35" ht="12" thickBot="1" x14ac:dyDescent="0.3">
      <c r="Q1" s="4"/>
      <c r="AI1" s="4"/>
    </row>
    <row r="2" spans="2:35" x14ac:dyDescent="0.25">
      <c r="B2" s="5"/>
      <c r="C2" s="3" t="s">
        <v>1</v>
      </c>
      <c r="D2" s="6" t="s">
        <v>1</v>
      </c>
      <c r="E2" s="3"/>
      <c r="F2" s="3"/>
      <c r="G2" s="3"/>
      <c r="H2" s="3" t="s">
        <v>1</v>
      </c>
      <c r="I2" s="3"/>
      <c r="J2" s="3"/>
      <c r="K2" s="3"/>
      <c r="L2" s="3"/>
      <c r="M2" s="3"/>
      <c r="N2" s="3"/>
      <c r="O2" s="7"/>
      <c r="P2" s="2"/>
      <c r="Q2" s="4"/>
      <c r="S2" s="5"/>
      <c r="T2" s="3" t="s">
        <v>1</v>
      </c>
      <c r="U2" s="6" t="s">
        <v>1</v>
      </c>
      <c r="V2" s="3"/>
      <c r="W2" s="3"/>
      <c r="X2" s="3" t="s">
        <v>1</v>
      </c>
      <c r="Y2" s="3"/>
      <c r="Z2" s="3"/>
      <c r="AA2" s="3"/>
      <c r="AB2" s="3"/>
      <c r="AC2" s="3"/>
      <c r="AD2" s="3"/>
      <c r="AE2" s="3"/>
      <c r="AF2" s="7"/>
      <c r="AG2" s="2"/>
      <c r="AI2" s="4"/>
    </row>
    <row r="3" spans="2:35" ht="14" x14ac:dyDescent="0.3">
      <c r="B3" s="8"/>
      <c r="F3" s="26" t="s">
        <v>8</v>
      </c>
      <c r="G3" s="26"/>
      <c r="I3" s="26" t="s">
        <v>16</v>
      </c>
      <c r="J3" s="25"/>
      <c r="M3" s="2" t="s">
        <v>15</v>
      </c>
      <c r="N3" s="50">
        <f>'CONSOLIDADO_TOTAL RECAUDO'!N3</f>
        <v>2026071</v>
      </c>
      <c r="O3" s="10"/>
      <c r="P3" s="2"/>
      <c r="Q3" s="4"/>
      <c r="S3" s="8"/>
      <c r="U3" s="26" t="s">
        <v>8</v>
      </c>
      <c r="W3" s="26" t="s">
        <v>16</v>
      </c>
      <c r="X3" s="25"/>
      <c r="Y3" s="2"/>
      <c r="AA3" s="2" t="s">
        <v>15</v>
      </c>
      <c r="AD3" s="84">
        <f>N3</f>
        <v>2026071</v>
      </c>
      <c r="AE3" s="84"/>
      <c r="AF3" s="48"/>
      <c r="AG3" s="2"/>
      <c r="AI3" s="4"/>
    </row>
    <row r="4" spans="2:35" ht="15.5" x14ac:dyDescent="0.35">
      <c r="B4" s="8"/>
      <c r="F4" s="36" t="s">
        <v>29</v>
      </c>
      <c r="G4" s="36"/>
      <c r="O4" s="10"/>
      <c r="P4" s="2"/>
      <c r="Q4" s="4"/>
      <c r="S4" s="8"/>
      <c r="T4" s="26" t="s">
        <v>1</v>
      </c>
      <c r="U4" s="36" t="s">
        <v>29</v>
      </c>
      <c r="Y4" s="2" t="s">
        <v>1</v>
      </c>
      <c r="AA4" s="50" t="s">
        <v>1</v>
      </c>
      <c r="AB4" s="2"/>
      <c r="AC4" s="2"/>
      <c r="AD4" s="2"/>
      <c r="AE4" s="2"/>
      <c r="AF4" s="10" t="s">
        <v>1</v>
      </c>
      <c r="AG4" s="2"/>
      <c r="AI4" s="4"/>
    </row>
    <row r="5" spans="2:35" ht="14" x14ac:dyDescent="0.3">
      <c r="B5" s="8"/>
      <c r="F5" s="2" t="s">
        <v>30</v>
      </c>
      <c r="G5" s="2"/>
      <c r="M5" s="2" t="s">
        <v>1</v>
      </c>
      <c r="O5" s="10"/>
      <c r="P5" s="2"/>
      <c r="Q5" s="4"/>
      <c r="S5" s="8"/>
      <c r="T5" s="49" t="s">
        <v>1</v>
      </c>
      <c r="U5" s="2" t="s">
        <v>30</v>
      </c>
      <c r="AF5" s="44"/>
      <c r="AG5" s="2"/>
      <c r="AI5" s="4"/>
    </row>
    <row r="6" spans="2:35" ht="15.5" x14ac:dyDescent="0.35">
      <c r="B6" s="8"/>
      <c r="C6" s="591" t="s">
        <v>17</v>
      </c>
      <c r="D6" s="9">
        <f>'CONSOLIDADO_TOTAL RECAUDO'!D6</f>
        <v>46220</v>
      </c>
      <c r="F6" s="41" t="s">
        <v>26</v>
      </c>
      <c r="G6" s="41"/>
      <c r="H6" s="2"/>
      <c r="J6" s="2"/>
      <c r="O6" s="10"/>
      <c r="P6" s="2"/>
      <c r="Q6" s="4"/>
      <c r="S6" s="8"/>
      <c r="T6" s="41" t="s">
        <v>1</v>
      </c>
      <c r="U6" s="41" t="s">
        <v>26</v>
      </c>
      <c r="V6" s="2"/>
      <c r="X6" s="2"/>
      <c r="Y6" s="2"/>
      <c r="AF6" s="48"/>
      <c r="AG6" s="2"/>
      <c r="AI6" s="4"/>
    </row>
    <row r="7" spans="2:35" ht="12" thickBot="1" x14ac:dyDescent="0.3">
      <c r="B7" s="8"/>
      <c r="C7" s="591" t="s">
        <v>0</v>
      </c>
      <c r="D7" s="241">
        <f>'CONSOLIDADO_TOTAL RECAUDO'!D7</f>
        <v>0.58333333333333337</v>
      </c>
      <c r="F7" s="2" t="s">
        <v>27</v>
      </c>
      <c r="G7" s="9">
        <f>'CONSOLIDADO_TOTAL RECAUDO'!G7</f>
        <v>46204</v>
      </c>
      <c r="J7" s="2" t="s">
        <v>28</v>
      </c>
      <c r="K7" s="9">
        <f>'CONSOLIDADO_TOTAL RECAUDO'!K7</f>
        <v>46218</v>
      </c>
      <c r="O7" s="10"/>
      <c r="P7" s="2"/>
      <c r="Q7" s="4"/>
      <c r="S7" s="8"/>
      <c r="U7" s="1" t="str">
        <f>F7</f>
        <v>Fecha Desde:</v>
      </c>
      <c r="V7" s="9">
        <f>G7</f>
        <v>46204</v>
      </c>
      <c r="W7" s="1" t="s">
        <v>1</v>
      </c>
      <c r="X7" s="1" t="str">
        <f>J7</f>
        <v>Feha Hasta:</v>
      </c>
      <c r="Y7" s="9">
        <f>K7</f>
        <v>46218</v>
      </c>
      <c r="Z7" s="1" t="s">
        <v>1</v>
      </c>
      <c r="AF7" s="48"/>
      <c r="AG7" s="2"/>
      <c r="AI7" s="4"/>
    </row>
    <row r="8" spans="2:35" ht="72" customHeight="1" thickBot="1" x14ac:dyDescent="0.3">
      <c r="B8" s="11" t="s">
        <v>3</v>
      </c>
      <c r="C8" s="27" t="s">
        <v>9</v>
      </c>
      <c r="D8" s="11" t="s">
        <v>4</v>
      </c>
      <c r="E8" s="12" t="s">
        <v>5</v>
      </c>
      <c r="F8" s="27" t="s">
        <v>6</v>
      </c>
      <c r="G8" s="27" t="s">
        <v>159</v>
      </c>
      <c r="H8" s="27" t="s">
        <v>18</v>
      </c>
      <c r="I8" s="12" t="s">
        <v>24</v>
      </c>
      <c r="J8" s="73" t="s">
        <v>19</v>
      </c>
      <c r="K8" s="29" t="s">
        <v>20</v>
      </c>
      <c r="L8" s="28" t="s">
        <v>21</v>
      </c>
      <c r="M8" s="39" t="s">
        <v>22</v>
      </c>
      <c r="N8" s="12" t="s">
        <v>7</v>
      </c>
      <c r="O8" s="39" t="s">
        <v>23</v>
      </c>
      <c r="P8" s="13"/>
      <c r="Q8" s="4"/>
      <c r="S8" s="11" t="s">
        <v>3</v>
      </c>
      <c r="T8" s="27" t="s">
        <v>9</v>
      </c>
      <c r="U8" s="162" t="s">
        <v>39</v>
      </c>
      <c r="V8" s="163" t="s">
        <v>40</v>
      </c>
      <c r="W8" s="163" t="s">
        <v>41</v>
      </c>
      <c r="X8" s="163" t="s">
        <v>42</v>
      </c>
      <c r="Y8" s="164" t="s">
        <v>43</v>
      </c>
      <c r="Z8" s="85" t="s">
        <v>21</v>
      </c>
      <c r="AA8" s="65" t="s">
        <v>46</v>
      </c>
      <c r="AB8" s="65" t="s">
        <v>7</v>
      </c>
      <c r="AC8" s="85" t="s">
        <v>167</v>
      </c>
      <c r="AD8" s="121" t="s">
        <v>107</v>
      </c>
      <c r="AE8" s="121" t="s">
        <v>106</v>
      </c>
      <c r="AF8" s="39" t="s">
        <v>23</v>
      </c>
      <c r="AG8" s="13"/>
      <c r="AI8" s="4"/>
    </row>
    <row r="9" spans="2:35" s="308" customFormat="1" x14ac:dyDescent="0.25">
      <c r="B9" s="306">
        <v>1</v>
      </c>
      <c r="C9" s="307" t="s">
        <v>10</v>
      </c>
      <c r="D9" s="294">
        <f>'Reporte Componentes R1'!F71</f>
        <v>0</v>
      </c>
      <c r="E9" s="295">
        <f>'Reporte Componentes R1'!G71</f>
        <v>0</v>
      </c>
      <c r="F9" s="295">
        <f>'Reporte Componentes R1'!H71</f>
        <v>0</v>
      </c>
      <c r="G9" s="295">
        <f>'Reporte Componentes R1'!I71</f>
        <v>0</v>
      </c>
      <c r="H9" s="295">
        <f>'Reporte Componentes R1'!J71</f>
        <v>0</v>
      </c>
      <c r="I9" s="295">
        <f>'Reporte Componentes R1'!K71</f>
        <v>0</v>
      </c>
      <c r="J9" s="291">
        <v>0</v>
      </c>
      <c r="K9" s="296">
        <f>D9-E9-F9-G9-H9-I9-J9</f>
        <v>0</v>
      </c>
      <c r="L9" s="297">
        <v>0</v>
      </c>
      <c r="M9" s="296">
        <f>K9-L9</f>
        <v>0</v>
      </c>
      <c r="N9" s="297">
        <f>'Reporte Componentes R1'!L71</f>
        <v>0</v>
      </c>
      <c r="O9" s="296">
        <f>M9+N9</f>
        <v>0</v>
      </c>
      <c r="Q9" s="309"/>
      <c r="S9" s="306">
        <v>1</v>
      </c>
      <c r="T9" s="307" t="s">
        <v>10</v>
      </c>
      <c r="U9" s="310">
        <f>'Reporte Componentes R1'!M71</f>
        <v>0</v>
      </c>
      <c r="V9" s="311">
        <f>'Reporte Componentes R1'!N71</f>
        <v>0</v>
      </c>
      <c r="W9" s="311">
        <f>'Reporte Componentes R1'!O71</f>
        <v>0</v>
      </c>
      <c r="X9" s="311">
        <f>'Reporte Componentes R1'!P71</f>
        <v>0</v>
      </c>
      <c r="Y9" s="312">
        <f>'Reporte Componentes R1'!Q71</f>
        <v>0</v>
      </c>
      <c r="Z9" s="313">
        <f>L9*-1</f>
        <v>0</v>
      </c>
      <c r="AA9" s="314">
        <f>'Reporte Componentes R1'!R71+'Reporte Componentes R1'!S71</f>
        <v>0</v>
      </c>
      <c r="AB9" s="297">
        <f>N9</f>
        <v>0</v>
      </c>
      <c r="AC9" s="314">
        <f>'Reporte Componentes R1'!Z71</f>
        <v>0</v>
      </c>
      <c r="AD9" s="294">
        <f>-J9+AE9</f>
        <v>0</v>
      </c>
      <c r="AE9" s="294">
        <f>'Reporte Componentes R1'!F72</f>
        <v>0</v>
      </c>
      <c r="AF9" s="316">
        <f>SUM(U9:AD9)</f>
        <v>0</v>
      </c>
      <c r="AG9" s="314">
        <f>(AF9-O9)</f>
        <v>0</v>
      </c>
      <c r="AH9" s="308" t="b">
        <f>INT(AG9)=0</f>
        <v>1</v>
      </c>
      <c r="AI9" s="309"/>
    </row>
    <row r="10" spans="2:35" s="308" customFormat="1" x14ac:dyDescent="0.25">
      <c r="B10" s="317">
        <v>2</v>
      </c>
      <c r="C10" s="318" t="s">
        <v>11</v>
      </c>
      <c r="D10" s="294">
        <f>'Reporte Componentes R1'!F201</f>
        <v>0</v>
      </c>
      <c r="E10" s="295">
        <f>'Reporte Componentes R1'!G201</f>
        <v>0</v>
      </c>
      <c r="F10" s="295">
        <f>'Reporte Componentes R1'!H201</f>
        <v>0</v>
      </c>
      <c r="G10" s="295">
        <f>'Reporte Componentes R1'!I201</f>
        <v>0</v>
      </c>
      <c r="H10" s="295">
        <f>'Reporte Componentes R1'!J201</f>
        <v>0</v>
      </c>
      <c r="I10" s="295">
        <f>'Reporte Componentes R1'!K201</f>
        <v>0</v>
      </c>
      <c r="J10" s="291">
        <v>0</v>
      </c>
      <c r="K10" s="298">
        <f t="shared" ref="K10:K13" si="0">D10-E10-F10-G10-H10-I10-J10</f>
        <v>0</v>
      </c>
      <c r="L10" s="297">
        <v>0</v>
      </c>
      <c r="M10" s="298">
        <f>K10-L10</f>
        <v>0</v>
      </c>
      <c r="N10" s="297">
        <f>'Reporte Componentes R1'!L201</f>
        <v>0</v>
      </c>
      <c r="O10" s="298">
        <f t="shared" ref="O10:O12" si="1">M10+N10</f>
        <v>0</v>
      </c>
      <c r="Q10" s="309"/>
      <c r="S10" s="317">
        <v>2</v>
      </c>
      <c r="T10" s="318" t="s">
        <v>11</v>
      </c>
      <c r="U10" s="319">
        <f>'Reporte Componentes R1'!M201</f>
        <v>0</v>
      </c>
      <c r="V10" s="320">
        <f>'Reporte Componentes R1'!N201</f>
        <v>0</v>
      </c>
      <c r="W10" s="320">
        <f>'Reporte Componentes R1'!O201</f>
        <v>0</v>
      </c>
      <c r="X10" s="320">
        <f>'Reporte Componentes R1'!P201</f>
        <v>0</v>
      </c>
      <c r="Y10" s="321">
        <f>'Reporte Componentes R1'!Q201</f>
        <v>0</v>
      </c>
      <c r="Z10" s="322">
        <f>L10*-1</f>
        <v>0</v>
      </c>
      <c r="AA10" s="323">
        <f>'Reporte Componentes R1'!R201+'Reporte Componentes R1'!S201+'Reporte Componentes R1'!T201</f>
        <v>0</v>
      </c>
      <c r="AB10" s="297">
        <f>N10</f>
        <v>0</v>
      </c>
      <c r="AC10" s="323">
        <f>'Reporte Componentes R1'!Z201</f>
        <v>0</v>
      </c>
      <c r="AD10" s="294">
        <f t="shared" ref="AD10:AD13" si="2">-J10+AE10</f>
        <v>0</v>
      </c>
      <c r="AE10" s="294">
        <f>'Reporte Componentes R1'!F202</f>
        <v>0</v>
      </c>
      <c r="AF10" s="325">
        <f>SUM(U10:AD10)</f>
        <v>0</v>
      </c>
      <c r="AG10" s="326">
        <f>(AF10-O10)</f>
        <v>0</v>
      </c>
      <c r="AH10" s="308" t="b">
        <f t="shared" ref="AH10:AH13" si="3">INT(AG10)=0</f>
        <v>1</v>
      </c>
      <c r="AI10" s="309"/>
    </row>
    <row r="11" spans="2:35" s="308" customFormat="1" x14ac:dyDescent="0.25">
      <c r="B11" s="317">
        <v>3</v>
      </c>
      <c r="C11" s="318" t="s">
        <v>12</v>
      </c>
      <c r="D11" s="294">
        <f>'Reporte Componentes R1'!F341</f>
        <v>0</v>
      </c>
      <c r="E11" s="295">
        <f>'Reporte Componentes R1'!G341</f>
        <v>0</v>
      </c>
      <c r="F11" s="295">
        <f>'Reporte Componentes R1'!H341</f>
        <v>0</v>
      </c>
      <c r="G11" s="295">
        <f>'Reporte Componentes R1'!I341</f>
        <v>0</v>
      </c>
      <c r="H11" s="295">
        <f>'Reporte Componentes R1'!J341</f>
        <v>0</v>
      </c>
      <c r="I11" s="295">
        <f>'Reporte Componentes R1'!K341</f>
        <v>0</v>
      </c>
      <c r="J11" s="291">
        <v>0</v>
      </c>
      <c r="K11" s="298">
        <f t="shared" si="0"/>
        <v>0</v>
      </c>
      <c r="L11" s="297">
        <v>0</v>
      </c>
      <c r="M11" s="298">
        <f>K11-L11</f>
        <v>0</v>
      </c>
      <c r="N11" s="297">
        <f>'Reporte Componentes R1'!L341</f>
        <v>0</v>
      </c>
      <c r="O11" s="298">
        <f t="shared" si="1"/>
        <v>0</v>
      </c>
      <c r="Q11" s="309"/>
      <c r="S11" s="317">
        <v>3</v>
      </c>
      <c r="T11" s="318" t="s">
        <v>12</v>
      </c>
      <c r="U11" s="319">
        <f>'Reporte Componentes R1'!M341</f>
        <v>0</v>
      </c>
      <c r="V11" s="320">
        <f>'Reporte Componentes R1'!N341</f>
        <v>0</v>
      </c>
      <c r="W11" s="320">
        <f>'Reporte Componentes R1'!O341</f>
        <v>0</v>
      </c>
      <c r="X11" s="320">
        <f>'Reporte Componentes R1'!P341</f>
        <v>0</v>
      </c>
      <c r="Y11" s="321">
        <f>'Reporte Componentes R1'!Q341</f>
        <v>0</v>
      </c>
      <c r="Z11" s="322">
        <f>L11*-1</f>
        <v>0</v>
      </c>
      <c r="AA11" s="323">
        <f>'Reporte Componentes R1'!R341+'Reporte Componentes R1'!S341+'Reporte Componentes R1'!T341</f>
        <v>0</v>
      </c>
      <c r="AB11" s="297">
        <f>N11</f>
        <v>0</v>
      </c>
      <c r="AC11" s="323">
        <f>'Reporte Componentes R1'!X341</f>
        <v>0</v>
      </c>
      <c r="AD11" s="294">
        <f t="shared" si="2"/>
        <v>0</v>
      </c>
      <c r="AE11" s="294">
        <f>'Reporte Componentes R1'!F342</f>
        <v>0</v>
      </c>
      <c r="AF11" s="325">
        <f t="shared" ref="AF11:AF13" si="4">SUM(U11:AD11)</f>
        <v>0</v>
      </c>
      <c r="AG11" s="326">
        <f>(AF11-O11)</f>
        <v>0</v>
      </c>
      <c r="AH11" s="308" t="b">
        <f t="shared" si="3"/>
        <v>1</v>
      </c>
      <c r="AI11" s="309"/>
    </row>
    <row r="12" spans="2:35" s="308" customFormat="1" x14ac:dyDescent="0.25">
      <c r="B12" s="317">
        <v>4</v>
      </c>
      <c r="C12" s="318" t="s">
        <v>13</v>
      </c>
      <c r="D12" s="294">
        <f>'Reporte Componentes R1'!F462</f>
        <v>0</v>
      </c>
      <c r="E12" s="295">
        <f>'Reporte Componentes R1'!G462</f>
        <v>0</v>
      </c>
      <c r="F12" s="295">
        <f>'Reporte Componentes R1'!H462</f>
        <v>0</v>
      </c>
      <c r="G12" s="295">
        <f>'Reporte Componentes R1'!I462</f>
        <v>0</v>
      </c>
      <c r="H12" s="295">
        <f>'Reporte Componentes R1'!J462</f>
        <v>0</v>
      </c>
      <c r="I12" s="295">
        <f>'Reporte Componentes R1'!K462</f>
        <v>0</v>
      </c>
      <c r="J12" s="291">
        <v>0</v>
      </c>
      <c r="K12" s="298">
        <f t="shared" si="0"/>
        <v>0</v>
      </c>
      <c r="L12" s="297">
        <v>0</v>
      </c>
      <c r="M12" s="298">
        <f>K12-L12</f>
        <v>0</v>
      </c>
      <c r="N12" s="297">
        <f>'Reporte Componentes R1'!L462</f>
        <v>0</v>
      </c>
      <c r="O12" s="298">
        <f t="shared" si="1"/>
        <v>0</v>
      </c>
      <c r="Q12" s="309"/>
      <c r="S12" s="317">
        <v>4</v>
      </c>
      <c r="T12" s="318" t="s">
        <v>13</v>
      </c>
      <c r="U12" s="319">
        <f>'Reporte Componentes R1'!M462</f>
        <v>0</v>
      </c>
      <c r="V12" s="320">
        <f>'Reporte Componentes R1'!N462</f>
        <v>0</v>
      </c>
      <c r="W12" s="320">
        <f>'Reporte Componentes R1'!O462</f>
        <v>0</v>
      </c>
      <c r="X12" s="320">
        <f>'Reporte Componentes R1'!P462</f>
        <v>0</v>
      </c>
      <c r="Y12" s="321">
        <f>'Reporte Componentes R1'!Q462</f>
        <v>0</v>
      </c>
      <c r="Z12" s="322">
        <f>L12*-1</f>
        <v>0</v>
      </c>
      <c r="AA12" s="323">
        <f>'Reporte Componentes R1'!R462+'Reporte Componentes R1'!S462</f>
        <v>0</v>
      </c>
      <c r="AB12" s="297">
        <f>N12</f>
        <v>0</v>
      </c>
      <c r="AC12" s="323">
        <f>'Reporte Componentes R1'!X462</f>
        <v>0</v>
      </c>
      <c r="AD12" s="294">
        <f t="shared" si="2"/>
        <v>0</v>
      </c>
      <c r="AE12" s="294">
        <f>'Reporte Componentes R1'!F463</f>
        <v>0</v>
      </c>
      <c r="AF12" s="325">
        <f t="shared" si="4"/>
        <v>0</v>
      </c>
      <c r="AG12" s="326">
        <f>(AF12-O12)</f>
        <v>0</v>
      </c>
      <c r="AH12" s="308" t="b">
        <f t="shared" si="3"/>
        <v>1</v>
      </c>
      <c r="AI12" s="309"/>
    </row>
    <row r="13" spans="2:35" s="308" customFormat="1" ht="12" thickBot="1" x14ac:dyDescent="0.3">
      <c r="B13" s="327">
        <v>5</v>
      </c>
      <c r="C13" s="328" t="s">
        <v>14</v>
      </c>
      <c r="D13" s="299">
        <f>'Reporte Componentes R1'!F544</f>
        <v>0</v>
      </c>
      <c r="E13" s="300">
        <f>'Reporte Componentes R1'!G544</f>
        <v>0</v>
      </c>
      <c r="F13" s="300">
        <f>'Reporte Componentes R1'!H544</f>
        <v>0</v>
      </c>
      <c r="G13" s="300">
        <f>'Reporte Componentes R1'!I544</f>
        <v>0</v>
      </c>
      <c r="H13" s="300">
        <f>'Reporte Componentes R1'!J544</f>
        <v>0</v>
      </c>
      <c r="I13" s="300">
        <f>'Reporte Componentes R1'!K544</f>
        <v>0</v>
      </c>
      <c r="J13" s="292">
        <v>0</v>
      </c>
      <c r="K13" s="298">
        <f t="shared" si="0"/>
        <v>0</v>
      </c>
      <c r="L13" s="297">
        <v>0</v>
      </c>
      <c r="M13" s="301">
        <f>K13-L13</f>
        <v>0</v>
      </c>
      <c r="N13" s="302">
        <f>'Reporte Componentes R1'!L544</f>
        <v>0</v>
      </c>
      <c r="O13" s="301">
        <f>M13+N13</f>
        <v>0</v>
      </c>
      <c r="Q13" s="309"/>
      <c r="S13" s="327">
        <v>5</v>
      </c>
      <c r="T13" s="328" t="s">
        <v>14</v>
      </c>
      <c r="U13" s="299">
        <f>'Reporte Componentes R1'!M544</f>
        <v>0</v>
      </c>
      <c r="V13" s="300">
        <f>'Reporte Componentes R1'!N544</f>
        <v>0</v>
      </c>
      <c r="W13" s="300">
        <f>'Reporte Componentes R1'!O544</f>
        <v>0</v>
      </c>
      <c r="X13" s="300">
        <f>'Reporte Componentes R1'!P544</f>
        <v>0</v>
      </c>
      <c r="Y13" s="292">
        <f>'Reporte Componentes R1'!Q544</f>
        <v>0</v>
      </c>
      <c r="Z13" s="322">
        <f>L13*-1</f>
        <v>0</v>
      </c>
      <c r="AA13" s="323">
        <f>'Reporte Componentes R1'!R544+'Reporte Componentes R1'!S544+'Reporte Componentes R1'!T544</f>
        <v>0</v>
      </c>
      <c r="AB13" s="297">
        <f>N13</f>
        <v>0</v>
      </c>
      <c r="AC13" s="323">
        <f>'Reporte Componentes R1'!X544</f>
        <v>0</v>
      </c>
      <c r="AD13" s="294">
        <f t="shared" si="2"/>
        <v>0</v>
      </c>
      <c r="AE13" s="294">
        <f>'Reporte Componentes R1'!F545</f>
        <v>0</v>
      </c>
      <c r="AF13" s="325">
        <f t="shared" si="4"/>
        <v>0</v>
      </c>
      <c r="AG13" s="329">
        <f>(AF13-O13)</f>
        <v>0</v>
      </c>
      <c r="AH13" s="308" t="b">
        <f t="shared" si="3"/>
        <v>1</v>
      </c>
      <c r="AI13" s="309"/>
    </row>
    <row r="14" spans="2:35" s="308" customFormat="1" ht="13.5" thickBot="1" x14ac:dyDescent="0.35">
      <c r="B14" s="330"/>
      <c r="C14" s="331" t="s">
        <v>2</v>
      </c>
      <c r="D14" s="293">
        <f>SUM(D9:D13)</f>
        <v>0</v>
      </c>
      <c r="E14" s="293">
        <f t="shared" ref="E14:O14" si="5">SUM(E9:E13)</f>
        <v>0</v>
      </c>
      <c r="F14" s="293">
        <f t="shared" si="5"/>
        <v>0</v>
      </c>
      <c r="G14" s="293">
        <f t="shared" si="5"/>
        <v>0</v>
      </c>
      <c r="H14" s="293">
        <f t="shared" si="5"/>
        <v>0</v>
      </c>
      <c r="I14" s="293">
        <f t="shared" si="5"/>
        <v>0</v>
      </c>
      <c r="J14" s="293">
        <f t="shared" si="5"/>
        <v>0</v>
      </c>
      <c r="K14" s="303">
        <f t="shared" si="5"/>
        <v>0</v>
      </c>
      <c r="L14" s="304">
        <f>SUM(L9:L13)</f>
        <v>0</v>
      </c>
      <c r="M14" s="305">
        <f t="shared" si="5"/>
        <v>0</v>
      </c>
      <c r="N14" s="304">
        <f t="shared" si="5"/>
        <v>0</v>
      </c>
      <c r="O14" s="305">
        <f t="shared" si="5"/>
        <v>0</v>
      </c>
      <c r="P14" s="332"/>
      <c r="Q14" s="309"/>
      <c r="S14" s="330"/>
      <c r="T14" s="331" t="s">
        <v>2</v>
      </c>
      <c r="U14" s="333">
        <f>SUM(U9:U13)</f>
        <v>0</v>
      </c>
      <c r="V14" s="333">
        <f t="shared" ref="V14:AF14" si="6">SUM(V9:V13)</f>
        <v>0</v>
      </c>
      <c r="W14" s="333">
        <f t="shared" si="6"/>
        <v>0</v>
      </c>
      <c r="X14" s="333">
        <f t="shared" si="6"/>
        <v>0</v>
      </c>
      <c r="Y14" s="333">
        <f t="shared" si="6"/>
        <v>0</v>
      </c>
      <c r="Z14" s="293">
        <f t="shared" si="6"/>
        <v>0</v>
      </c>
      <c r="AA14" s="293">
        <f t="shared" si="6"/>
        <v>0</v>
      </c>
      <c r="AB14" s="293">
        <f t="shared" si="6"/>
        <v>0</v>
      </c>
      <c r="AC14" s="293">
        <f t="shared" si="6"/>
        <v>0</v>
      </c>
      <c r="AD14" s="293">
        <f>SUM(AD9:AD13)</f>
        <v>0</v>
      </c>
      <c r="AE14" s="293">
        <f>SUM(AE9:AE13)</f>
        <v>0</v>
      </c>
      <c r="AF14" s="334">
        <f t="shared" si="6"/>
        <v>0</v>
      </c>
      <c r="AG14" s="335">
        <f>SUM(AG9:AG13)</f>
        <v>0</v>
      </c>
      <c r="AH14" s="308" t="b">
        <f>INT(AG14)=0</f>
        <v>1</v>
      </c>
      <c r="AI14" s="309"/>
    </row>
    <row r="15" spans="2:35" ht="12" thickBot="1" x14ac:dyDescent="0.3">
      <c r="B15" s="2"/>
      <c r="C15" s="2"/>
      <c r="D15" s="24"/>
      <c r="E15" s="24"/>
      <c r="F15" s="24"/>
      <c r="G15" s="24"/>
      <c r="H15" s="24"/>
      <c r="I15" s="24"/>
      <c r="K15" s="24"/>
      <c r="L15" s="24"/>
      <c r="M15" s="24"/>
      <c r="N15" s="24"/>
      <c r="O15" s="24"/>
      <c r="Q15" s="4"/>
      <c r="S15" s="2"/>
      <c r="T15" s="2"/>
      <c r="U15" s="24"/>
      <c r="V15" s="24"/>
      <c r="W15" s="24"/>
      <c r="X15" s="24"/>
      <c r="Y15" s="24"/>
      <c r="AF15" s="24"/>
      <c r="AI15" s="4"/>
    </row>
    <row r="16" spans="2:35" ht="12" thickBot="1" x14ac:dyDescent="0.3">
      <c r="B16" s="2"/>
      <c r="C16" s="2"/>
      <c r="D16" s="24"/>
      <c r="E16" s="24" t="s">
        <v>1</v>
      </c>
      <c r="F16" s="24" t="s">
        <v>1</v>
      </c>
      <c r="G16" s="24"/>
      <c r="H16" s="24" t="s">
        <v>1</v>
      </c>
      <c r="I16" s="24" t="s">
        <v>1</v>
      </c>
      <c r="K16" s="24"/>
      <c r="L16" s="24" t="s">
        <v>1</v>
      </c>
      <c r="M16" s="24"/>
      <c r="N16" s="24"/>
      <c r="O16" s="24"/>
      <c r="Q16" s="4"/>
      <c r="Y16" s="86">
        <f>SUM(U14:Y14)</f>
        <v>0</v>
      </c>
      <c r="AA16" s="1" t="s">
        <v>1</v>
      </c>
      <c r="AB16" s="1" t="s">
        <v>1</v>
      </c>
      <c r="AD16" s="1" t="s">
        <v>1</v>
      </c>
      <c r="AF16" s="1" t="s">
        <v>1</v>
      </c>
      <c r="AI16" s="4"/>
    </row>
    <row r="17" spans="1:35" ht="12" thickBot="1" x14ac:dyDescent="0.3">
      <c r="B17" s="2"/>
      <c r="C17" s="2"/>
      <c r="D17" s="24" t="s">
        <v>1</v>
      </c>
      <c r="E17" s="33"/>
      <c r="F17" s="33"/>
      <c r="G17" s="33"/>
      <c r="H17" s="33"/>
      <c r="I17" s="24" t="s">
        <v>1</v>
      </c>
      <c r="K17" s="24"/>
      <c r="L17" s="24" t="s">
        <v>1</v>
      </c>
      <c r="M17" s="24"/>
      <c r="N17" s="24"/>
      <c r="O17" s="24"/>
      <c r="Q17" s="4"/>
      <c r="AI17" s="4"/>
    </row>
    <row r="18" spans="1:35" x14ac:dyDescent="0.25">
      <c r="B18" s="2"/>
      <c r="C18" s="2"/>
      <c r="D18" s="24" t="s">
        <v>1</v>
      </c>
      <c r="E18" s="24" t="s">
        <v>1</v>
      </c>
      <c r="F18" s="24" t="s">
        <v>25</v>
      </c>
      <c r="G18" s="24"/>
      <c r="H18" s="24"/>
      <c r="I18" s="24"/>
      <c r="K18" s="24"/>
      <c r="L18" s="24"/>
      <c r="M18" s="24"/>
      <c r="N18" s="24"/>
      <c r="O18" s="24"/>
      <c r="Q18" s="4"/>
      <c r="AI18" s="4"/>
    </row>
    <row r="19" spans="1:35" x14ac:dyDescent="0.25">
      <c r="A19" s="4"/>
      <c r="B19" s="34"/>
      <c r="C19" s="34"/>
      <c r="D19" s="35"/>
      <c r="E19" s="35"/>
      <c r="F19" s="35"/>
      <c r="G19" s="35"/>
      <c r="H19" s="35"/>
      <c r="I19" s="35"/>
      <c r="J19" s="4"/>
      <c r="K19" s="35"/>
      <c r="L19" s="35"/>
      <c r="M19" s="35"/>
      <c r="N19" s="35"/>
      <c r="O19" s="35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</row>
    <row r="20" spans="1:35" ht="12" thickBot="1" x14ac:dyDescent="0.3">
      <c r="Q20" s="4"/>
      <c r="AI20" s="4"/>
    </row>
    <row r="21" spans="1:35" x14ac:dyDescent="0.25">
      <c r="B21" s="5"/>
      <c r="C21" s="3" t="s">
        <v>1</v>
      </c>
      <c r="D21" s="6" t="s">
        <v>1</v>
      </c>
      <c r="E21" s="3"/>
      <c r="F21" s="3"/>
      <c r="G21" s="3"/>
      <c r="H21" s="3" t="s">
        <v>1</v>
      </c>
      <c r="I21" s="3"/>
      <c r="J21" s="3"/>
      <c r="K21" s="3"/>
      <c r="L21" s="3"/>
      <c r="M21" s="3"/>
      <c r="N21" s="3"/>
      <c r="O21" s="7"/>
      <c r="P21" s="2"/>
      <c r="Q21" s="4"/>
      <c r="S21" s="5"/>
      <c r="T21" s="3" t="s">
        <v>1</v>
      </c>
      <c r="U21" s="6" t="s">
        <v>1</v>
      </c>
      <c r="V21" s="3"/>
      <c r="W21" s="3"/>
      <c r="X21" s="3" t="s">
        <v>1</v>
      </c>
      <c r="Y21" s="3"/>
      <c r="Z21" s="3"/>
      <c r="AA21" s="3"/>
      <c r="AB21" s="3"/>
      <c r="AC21" s="3"/>
      <c r="AD21" s="3"/>
      <c r="AE21" s="3"/>
      <c r="AF21" s="7"/>
      <c r="AG21" s="2"/>
      <c r="AI21" s="4"/>
    </row>
    <row r="22" spans="1:35" ht="14" x14ac:dyDescent="0.3">
      <c r="B22" s="8"/>
      <c r="F22" s="26" t="s">
        <v>8</v>
      </c>
      <c r="G22" s="26"/>
      <c r="I22" s="26" t="s">
        <v>16</v>
      </c>
      <c r="J22" s="25"/>
      <c r="M22" s="2" t="s">
        <v>15</v>
      </c>
      <c r="N22" s="50">
        <f>N3</f>
        <v>2026071</v>
      </c>
      <c r="O22" s="10"/>
      <c r="P22" s="2"/>
      <c r="Q22" s="4"/>
      <c r="S22" s="8"/>
      <c r="U22" s="26" t="s">
        <v>8</v>
      </c>
      <c r="W22" s="26" t="s">
        <v>16</v>
      </c>
      <c r="X22" s="25"/>
      <c r="Y22" s="2"/>
      <c r="AA22" s="2" t="s">
        <v>15</v>
      </c>
      <c r="AD22" s="84">
        <f>N22</f>
        <v>2026071</v>
      </c>
      <c r="AE22" s="84"/>
      <c r="AF22" s="48"/>
      <c r="AG22" s="2"/>
      <c r="AI22" s="4"/>
    </row>
    <row r="23" spans="1:35" ht="15.5" x14ac:dyDescent="0.35">
      <c r="B23" s="8"/>
      <c r="F23" s="36" t="s">
        <v>29</v>
      </c>
      <c r="G23" s="36"/>
      <c r="O23" s="10"/>
      <c r="P23" s="2"/>
      <c r="Q23" s="4"/>
      <c r="S23" s="8"/>
      <c r="T23" s="26" t="s">
        <v>1</v>
      </c>
      <c r="U23" s="36" t="s">
        <v>29</v>
      </c>
      <c r="Y23" s="2" t="s">
        <v>1</v>
      </c>
      <c r="AA23" s="50" t="s">
        <v>1</v>
      </c>
      <c r="AB23" s="2"/>
      <c r="AC23" s="2"/>
      <c r="AD23" s="2"/>
      <c r="AE23" s="2"/>
      <c r="AF23" s="10" t="s">
        <v>1</v>
      </c>
      <c r="AG23" s="2"/>
      <c r="AI23" s="4"/>
    </row>
    <row r="24" spans="1:35" ht="14" x14ac:dyDescent="0.3">
      <c r="B24" s="8"/>
      <c r="F24" s="2" t="s">
        <v>30</v>
      </c>
      <c r="G24" s="2"/>
      <c r="M24" s="2" t="s">
        <v>1</v>
      </c>
      <c r="O24" s="10"/>
      <c r="P24" s="2"/>
      <c r="Q24" s="4"/>
      <c r="S24" s="8"/>
      <c r="T24" s="49" t="s">
        <v>1</v>
      </c>
      <c r="U24" s="2" t="s">
        <v>30</v>
      </c>
      <c r="AF24" s="44"/>
      <c r="AG24" s="2"/>
      <c r="AI24" s="4"/>
    </row>
    <row r="25" spans="1:35" ht="15.5" x14ac:dyDescent="0.35">
      <c r="B25" s="8"/>
      <c r="C25" s="591" t="s">
        <v>17</v>
      </c>
      <c r="D25" s="9">
        <f>D6</f>
        <v>46220</v>
      </c>
      <c r="F25" s="41" t="s">
        <v>31</v>
      </c>
      <c r="G25" s="41"/>
      <c r="H25" s="2"/>
      <c r="J25" s="2"/>
      <c r="O25" s="10"/>
      <c r="P25" s="2"/>
      <c r="Q25" s="4"/>
      <c r="S25" s="8"/>
      <c r="T25" s="41" t="s">
        <v>1</v>
      </c>
      <c r="U25" s="41" t="s">
        <v>31</v>
      </c>
      <c r="V25" s="2"/>
      <c r="X25" s="2"/>
      <c r="Y25" s="2"/>
      <c r="AF25" s="48"/>
      <c r="AG25" s="2"/>
      <c r="AI25" s="4"/>
    </row>
    <row r="26" spans="1:35" ht="12" thickBot="1" x14ac:dyDescent="0.3">
      <c r="B26" s="8"/>
      <c r="C26" s="591" t="s">
        <v>0</v>
      </c>
      <c r="D26" s="241">
        <f>D7</f>
        <v>0.58333333333333337</v>
      </c>
      <c r="F26" s="2" t="s">
        <v>27</v>
      </c>
      <c r="G26" s="9">
        <f>G7</f>
        <v>46204</v>
      </c>
      <c r="J26" s="2" t="s">
        <v>28</v>
      </c>
      <c r="K26" s="9">
        <f>K7</f>
        <v>46218</v>
      </c>
      <c r="O26" s="10"/>
      <c r="P26" s="2"/>
      <c r="Q26" s="4"/>
      <c r="S26" s="8"/>
      <c r="U26" s="1" t="str">
        <f>F26</f>
        <v>Fecha Desde:</v>
      </c>
      <c r="V26" s="9">
        <f>G26</f>
        <v>46204</v>
      </c>
      <c r="W26" s="1" t="s">
        <v>1</v>
      </c>
      <c r="X26" s="1" t="str">
        <f>J26</f>
        <v>Feha Hasta:</v>
      </c>
      <c r="Y26" s="9">
        <f>K26</f>
        <v>46218</v>
      </c>
      <c r="Z26" s="1" t="s">
        <v>1</v>
      </c>
      <c r="AF26" s="48"/>
      <c r="AG26" s="2"/>
      <c r="AI26" s="4"/>
    </row>
    <row r="27" spans="1:35" ht="72" customHeight="1" thickBot="1" x14ac:dyDescent="0.3">
      <c r="B27" s="11" t="s">
        <v>3</v>
      </c>
      <c r="C27" s="27" t="s">
        <v>9</v>
      </c>
      <c r="D27" s="11" t="s">
        <v>4</v>
      </c>
      <c r="E27" s="12" t="s">
        <v>5</v>
      </c>
      <c r="F27" s="27" t="s">
        <v>6</v>
      </c>
      <c r="G27" s="27" t="s">
        <v>159</v>
      </c>
      <c r="H27" s="27" t="s">
        <v>18</v>
      </c>
      <c r="I27" s="12" t="s">
        <v>24</v>
      </c>
      <c r="J27" s="73" t="s">
        <v>19</v>
      </c>
      <c r="K27" s="29" t="s">
        <v>20</v>
      </c>
      <c r="L27" s="28" t="s">
        <v>21</v>
      </c>
      <c r="M27" s="39" t="s">
        <v>22</v>
      </c>
      <c r="N27" s="12" t="s">
        <v>7</v>
      </c>
      <c r="O27" s="39" t="s">
        <v>23</v>
      </c>
      <c r="P27" s="13"/>
      <c r="Q27" s="4"/>
      <c r="S27" s="11" t="s">
        <v>3</v>
      </c>
      <c r="T27" s="27" t="s">
        <v>9</v>
      </c>
      <c r="U27" s="162" t="s">
        <v>39</v>
      </c>
      <c r="V27" s="163" t="s">
        <v>40</v>
      </c>
      <c r="W27" s="163" t="s">
        <v>41</v>
      </c>
      <c r="X27" s="163" t="s">
        <v>42</v>
      </c>
      <c r="Y27" s="164" t="s">
        <v>43</v>
      </c>
      <c r="Z27" s="85" t="s">
        <v>21</v>
      </c>
      <c r="AA27" s="65" t="s">
        <v>46</v>
      </c>
      <c r="AB27" s="65" t="s">
        <v>7</v>
      </c>
      <c r="AC27" s="85" t="s">
        <v>167</v>
      </c>
      <c r="AD27" s="121" t="s">
        <v>107</v>
      </c>
      <c r="AE27" s="121" t="s">
        <v>106</v>
      </c>
      <c r="AF27" s="39" t="s">
        <v>23</v>
      </c>
      <c r="AG27" s="13"/>
      <c r="AI27" s="4"/>
    </row>
    <row r="28" spans="1:35" s="308" customFormat="1" x14ac:dyDescent="0.25">
      <c r="B28" s="306">
        <v>1</v>
      </c>
      <c r="C28" s="307" t="s">
        <v>10</v>
      </c>
      <c r="D28" s="294">
        <f>'Rem. Anticipos R2'!E56</f>
        <v>0</v>
      </c>
      <c r="E28" s="295">
        <f>'Rem. Anticipos R2'!F56</f>
        <v>0</v>
      </c>
      <c r="F28" s="295">
        <f>'Rem. Anticipos R2'!G56</f>
        <v>0</v>
      </c>
      <c r="G28" s="295">
        <f>'Rem. Anticipos R2'!H56</f>
        <v>0</v>
      </c>
      <c r="H28" s="295">
        <f>'Rem. Anticipos R2'!I56</f>
        <v>0</v>
      </c>
      <c r="I28" s="295">
        <f>'Rem. Anticipos R2'!J56</f>
        <v>0</v>
      </c>
      <c r="J28" s="291">
        <v>0</v>
      </c>
      <c r="K28" s="296">
        <f>D28-E28-F28-G28-H28-I28-J28</f>
        <v>0</v>
      </c>
      <c r="L28" s="297">
        <v>0</v>
      </c>
      <c r="M28" s="296">
        <f>K28-L28</f>
        <v>0</v>
      </c>
      <c r="N28" s="297">
        <f>'Rem. Anticipos R2'!K56</f>
        <v>0</v>
      </c>
      <c r="O28" s="296">
        <f>M28+N28</f>
        <v>0</v>
      </c>
      <c r="Q28" s="309"/>
      <c r="S28" s="306">
        <v>1</v>
      </c>
      <c r="T28" s="307" t="s">
        <v>10</v>
      </c>
      <c r="U28" s="310">
        <f>'Rem. Anticipos R2'!L56</f>
        <v>0</v>
      </c>
      <c r="V28" s="311">
        <f>'Rem. Anticipos R2'!M56</f>
        <v>0</v>
      </c>
      <c r="W28" s="311">
        <f>'Rem. Anticipos R2'!N56</f>
        <v>0</v>
      </c>
      <c r="X28" s="311">
        <f>'Rem. Anticipos R2'!O56</f>
        <v>0</v>
      </c>
      <c r="Y28" s="311">
        <f>'Rem. Anticipos R2'!P56</f>
        <v>0</v>
      </c>
      <c r="Z28" s="313">
        <f>L28*-1</f>
        <v>0</v>
      </c>
      <c r="AA28" s="314">
        <f>'Rem. Anticipos R2'!Q56</f>
        <v>0</v>
      </c>
      <c r="AB28" s="297">
        <f>N28</f>
        <v>0</v>
      </c>
      <c r="AC28" s="314">
        <v>0</v>
      </c>
      <c r="AD28" s="294">
        <f>-J28+AE28</f>
        <v>0</v>
      </c>
      <c r="AE28" s="294">
        <f>'Rem. Anticipos R2'!E57</f>
        <v>0</v>
      </c>
      <c r="AF28" s="316">
        <f>SUM(U28:AD28)</f>
        <v>0</v>
      </c>
      <c r="AG28" s="314">
        <f>(AF28-O28)</f>
        <v>0</v>
      </c>
      <c r="AH28" s="308" t="b">
        <f>INT(AG28)=0</f>
        <v>1</v>
      </c>
      <c r="AI28" s="309"/>
    </row>
    <row r="29" spans="1:35" s="308" customFormat="1" x14ac:dyDescent="0.25">
      <c r="B29" s="317">
        <v>2</v>
      </c>
      <c r="C29" s="318" t="s">
        <v>11</v>
      </c>
      <c r="D29" s="294">
        <f>'Rem. Anticipos R2'!E150</f>
        <v>0</v>
      </c>
      <c r="E29" s="295">
        <f>'Rem. Anticipos R2'!F150</f>
        <v>0</v>
      </c>
      <c r="F29" s="295">
        <f>'Rem. Anticipos R2'!G150</f>
        <v>0</v>
      </c>
      <c r="G29" s="295">
        <f>'Rem. Anticipos R2'!H150</f>
        <v>0</v>
      </c>
      <c r="H29" s="295">
        <f>'Rem. Anticipos R2'!I150</f>
        <v>0</v>
      </c>
      <c r="I29" s="295">
        <f>'Rem. Anticipos R2'!J150</f>
        <v>0</v>
      </c>
      <c r="J29" s="291">
        <v>0</v>
      </c>
      <c r="K29" s="298">
        <f t="shared" ref="K29:K31" si="7">D29-E29-F29-G29-H29-I29-J29</f>
        <v>0</v>
      </c>
      <c r="L29" s="297">
        <v>0</v>
      </c>
      <c r="M29" s="298">
        <f>K29-L29</f>
        <v>0</v>
      </c>
      <c r="N29" s="297">
        <f>'Rem. Anticipos R2'!K150</f>
        <v>0</v>
      </c>
      <c r="O29" s="298">
        <f t="shared" ref="O29:O32" si="8">M29+N29</f>
        <v>0</v>
      </c>
      <c r="Q29" s="309"/>
      <c r="S29" s="317">
        <v>2</v>
      </c>
      <c r="T29" s="318" t="s">
        <v>11</v>
      </c>
      <c r="U29" s="319">
        <f>'Rem. Anticipos R2'!L150</f>
        <v>0</v>
      </c>
      <c r="V29" s="320">
        <f>'Rem. Anticipos R2'!M150</f>
        <v>0</v>
      </c>
      <c r="W29" s="320">
        <f>'Rem. Anticipos R2'!N150</f>
        <v>0</v>
      </c>
      <c r="X29" s="320">
        <f>'Rem. Anticipos R2'!O150</f>
        <v>0</v>
      </c>
      <c r="Y29" s="321">
        <f>'Rem. Anticipos R2'!P150</f>
        <v>0</v>
      </c>
      <c r="Z29" s="322">
        <f>L29*-1</f>
        <v>0</v>
      </c>
      <c r="AA29" s="323">
        <f>'Rem. Anticipos R2'!Q150</f>
        <v>0</v>
      </c>
      <c r="AB29" s="297">
        <f>N29</f>
        <v>0</v>
      </c>
      <c r="AC29" s="323">
        <v>0</v>
      </c>
      <c r="AD29" s="294">
        <f>-J29+AE29</f>
        <v>0</v>
      </c>
      <c r="AE29" s="294">
        <f>'Rem. Anticipos R2'!E151</f>
        <v>0</v>
      </c>
      <c r="AF29" s="325">
        <f>SUM(U29:AD29)</f>
        <v>0</v>
      </c>
      <c r="AG29" s="326">
        <f>(AF29-O29)</f>
        <v>0</v>
      </c>
      <c r="AH29" s="308" t="b">
        <f t="shared" ref="AH29:AH32" si="9">INT(AG29)=0</f>
        <v>1</v>
      </c>
      <c r="AI29" s="309"/>
    </row>
    <row r="30" spans="1:35" s="308" customFormat="1" x14ac:dyDescent="0.25">
      <c r="B30" s="317">
        <v>3</v>
      </c>
      <c r="C30" s="318" t="s">
        <v>12</v>
      </c>
      <c r="D30" s="294">
        <f>'Rem. Anticipos R2'!E262</f>
        <v>0</v>
      </c>
      <c r="E30" s="295">
        <f>'Rem. Anticipos R2'!F262</f>
        <v>0</v>
      </c>
      <c r="F30" s="295">
        <f>'Rem. Anticipos R2'!G262</f>
        <v>0</v>
      </c>
      <c r="G30" s="295">
        <f>'Rem. Anticipos R2'!H262</f>
        <v>0</v>
      </c>
      <c r="H30" s="295">
        <f>'Rem. Anticipos R2'!I262</f>
        <v>0</v>
      </c>
      <c r="I30" s="295">
        <f>'Rem. Anticipos R2'!J262</f>
        <v>0</v>
      </c>
      <c r="J30" s="291">
        <v>0</v>
      </c>
      <c r="K30" s="298">
        <f t="shared" si="7"/>
        <v>0</v>
      </c>
      <c r="L30" s="297">
        <v>0</v>
      </c>
      <c r="M30" s="298">
        <f>K30-L30</f>
        <v>0</v>
      </c>
      <c r="N30" s="297">
        <f>'Rem. Anticipos R2'!K262</f>
        <v>0</v>
      </c>
      <c r="O30" s="298">
        <f t="shared" si="8"/>
        <v>0</v>
      </c>
      <c r="Q30" s="309"/>
      <c r="S30" s="317">
        <v>3</v>
      </c>
      <c r="T30" s="318" t="s">
        <v>12</v>
      </c>
      <c r="U30" s="319">
        <f>'Rem. Anticipos R2'!L262</f>
        <v>0</v>
      </c>
      <c r="V30" s="320">
        <f>'Rem. Anticipos R2'!M262</f>
        <v>0</v>
      </c>
      <c r="W30" s="320">
        <f>'Rem. Anticipos R2'!N262</f>
        <v>0</v>
      </c>
      <c r="X30" s="320">
        <f>'Rem. Anticipos R2'!O262</f>
        <v>0</v>
      </c>
      <c r="Y30" s="321">
        <f>'Rem. Anticipos R2'!P262</f>
        <v>0</v>
      </c>
      <c r="Z30" s="322">
        <f>L30*-1</f>
        <v>0</v>
      </c>
      <c r="AA30" s="323">
        <f>'Rem. Anticipos R2'!Q262</f>
        <v>0</v>
      </c>
      <c r="AB30" s="297">
        <f>N30</f>
        <v>0</v>
      </c>
      <c r="AC30" s="323">
        <v>0</v>
      </c>
      <c r="AD30" s="294">
        <f t="shared" ref="AD30:AD32" si="10">-J30+AE30</f>
        <v>0</v>
      </c>
      <c r="AE30" s="294">
        <f>'Rem. Anticipos R2'!E263</f>
        <v>0</v>
      </c>
      <c r="AF30" s="325">
        <f>SUM(U30:AD30)</f>
        <v>0</v>
      </c>
      <c r="AG30" s="326">
        <f>(AF30-O30)</f>
        <v>0</v>
      </c>
      <c r="AH30" s="308" t="b">
        <f t="shared" si="9"/>
        <v>1</v>
      </c>
      <c r="AI30" s="309"/>
    </row>
    <row r="31" spans="1:35" s="308" customFormat="1" x14ac:dyDescent="0.25">
      <c r="B31" s="317">
        <v>4</v>
      </c>
      <c r="C31" s="318" t="s">
        <v>13</v>
      </c>
      <c r="D31" s="294">
        <f>'Rem. Anticipos R2'!E358</f>
        <v>0</v>
      </c>
      <c r="E31" s="295">
        <f>'Rem. Anticipos R2'!F358</f>
        <v>0</v>
      </c>
      <c r="F31" s="295">
        <f>'Rem. Anticipos R2'!G358</f>
        <v>0</v>
      </c>
      <c r="G31" s="295">
        <f>'Rem. Anticipos R2'!H358</f>
        <v>0</v>
      </c>
      <c r="H31" s="295">
        <f>'Rem. Anticipos R2'!I358</f>
        <v>0</v>
      </c>
      <c r="I31" s="295">
        <f>'Rem. Anticipos R2'!J358</f>
        <v>0</v>
      </c>
      <c r="J31" s="291">
        <v>0</v>
      </c>
      <c r="K31" s="298">
        <f t="shared" si="7"/>
        <v>0</v>
      </c>
      <c r="L31" s="297">
        <v>0</v>
      </c>
      <c r="M31" s="298">
        <f>K31-L31</f>
        <v>0</v>
      </c>
      <c r="N31" s="297">
        <f>'Rem. Anticipos R2'!K358</f>
        <v>0</v>
      </c>
      <c r="O31" s="298">
        <f t="shared" si="8"/>
        <v>0</v>
      </c>
      <c r="Q31" s="309"/>
      <c r="S31" s="317">
        <v>4</v>
      </c>
      <c r="T31" s="318" t="s">
        <v>13</v>
      </c>
      <c r="U31" s="319">
        <f>'Rem. Anticipos R2'!L358</f>
        <v>0</v>
      </c>
      <c r="V31" s="320">
        <f>'Rem. Anticipos R2'!M358</f>
        <v>0</v>
      </c>
      <c r="W31" s="320">
        <f>'Rem. Anticipos R2'!N358</f>
        <v>0</v>
      </c>
      <c r="X31" s="320">
        <f>'Rem. Anticipos R2'!O358</f>
        <v>0</v>
      </c>
      <c r="Y31" s="321">
        <f>'Rem. Anticipos R2'!P358</f>
        <v>0</v>
      </c>
      <c r="Z31" s="322">
        <f>L31*-1</f>
        <v>0</v>
      </c>
      <c r="AA31" s="323">
        <f>'Rem. Anticipos R2'!Q358</f>
        <v>0</v>
      </c>
      <c r="AB31" s="297">
        <f>N31</f>
        <v>0</v>
      </c>
      <c r="AC31" s="323">
        <v>0</v>
      </c>
      <c r="AD31" s="294">
        <f t="shared" si="10"/>
        <v>0</v>
      </c>
      <c r="AE31" s="294">
        <f>'Rem. Anticipos R2'!E359</f>
        <v>0</v>
      </c>
      <c r="AF31" s="325">
        <f>SUM(U31:AD31)</f>
        <v>0</v>
      </c>
      <c r="AG31" s="326">
        <f t="shared" ref="AG31" si="11">(AF31-O31)</f>
        <v>0</v>
      </c>
      <c r="AH31" s="308" t="b">
        <f t="shared" si="9"/>
        <v>1</v>
      </c>
      <c r="AI31" s="309"/>
    </row>
    <row r="32" spans="1:35" s="308" customFormat="1" ht="12" thickBot="1" x14ac:dyDescent="0.3">
      <c r="B32" s="327">
        <v>5</v>
      </c>
      <c r="C32" s="328" t="s">
        <v>14</v>
      </c>
      <c r="D32" s="299">
        <f>'Rem. Anticipos R2'!E428</f>
        <v>0</v>
      </c>
      <c r="E32" s="300">
        <f>'Rem. Anticipos R2'!F428</f>
        <v>0</v>
      </c>
      <c r="F32" s="300">
        <f>'Rem. Anticipos R2'!G428</f>
        <v>0</v>
      </c>
      <c r="G32" s="300">
        <f>'Rem. Anticipos R2'!H428</f>
        <v>0</v>
      </c>
      <c r="H32" s="300">
        <f>'Rem. Anticipos R2'!I428</f>
        <v>0</v>
      </c>
      <c r="I32" s="300">
        <f>'Rem. Anticipos R2'!J428</f>
        <v>0</v>
      </c>
      <c r="J32" s="292">
        <v>0</v>
      </c>
      <c r="K32" s="298">
        <f>D32-E32-F32-G32-H32-I32-J32</f>
        <v>0</v>
      </c>
      <c r="L32" s="297">
        <v>0</v>
      </c>
      <c r="M32" s="301">
        <f>K32-L32</f>
        <v>0</v>
      </c>
      <c r="N32" s="302">
        <f>'Rem. Anticipos R2'!K428</f>
        <v>0</v>
      </c>
      <c r="O32" s="301">
        <f t="shared" si="8"/>
        <v>0</v>
      </c>
      <c r="Q32" s="309"/>
      <c r="S32" s="327">
        <v>5</v>
      </c>
      <c r="T32" s="328" t="s">
        <v>14</v>
      </c>
      <c r="U32" s="299">
        <f>'Rem. Anticipos R2'!L428</f>
        <v>0</v>
      </c>
      <c r="V32" s="300">
        <f>'Rem. Anticipos R2'!M428</f>
        <v>0</v>
      </c>
      <c r="W32" s="300">
        <f>'Rem. Anticipos R2'!N428</f>
        <v>0</v>
      </c>
      <c r="X32" s="300">
        <f>'Rem. Anticipos R2'!O428</f>
        <v>0</v>
      </c>
      <c r="Y32" s="292">
        <f>'Rem. Anticipos R2'!P428</f>
        <v>0</v>
      </c>
      <c r="Z32" s="322">
        <f>L32*-1</f>
        <v>0</v>
      </c>
      <c r="AA32" s="323">
        <f>'Rem. Anticipos R2'!Q428</f>
        <v>0</v>
      </c>
      <c r="AB32" s="297">
        <f>N32</f>
        <v>0</v>
      </c>
      <c r="AC32" s="323">
        <v>0</v>
      </c>
      <c r="AD32" s="294">
        <f t="shared" si="10"/>
        <v>0</v>
      </c>
      <c r="AE32" s="294">
        <f>'Rem. Anticipos R2'!E429</f>
        <v>0</v>
      </c>
      <c r="AF32" s="325">
        <f>SUM(U32:AD32)</f>
        <v>0</v>
      </c>
      <c r="AG32" s="329">
        <f>(AF32-O32)</f>
        <v>0</v>
      </c>
      <c r="AH32" s="308" t="b">
        <f t="shared" si="9"/>
        <v>1</v>
      </c>
      <c r="AI32" s="309"/>
    </row>
    <row r="33" spans="1:35" s="308" customFormat="1" ht="13.5" thickBot="1" x14ac:dyDescent="0.35">
      <c r="B33" s="330"/>
      <c r="C33" s="331" t="s">
        <v>2</v>
      </c>
      <c r="D33" s="293">
        <f>SUM(D28:D32)</f>
        <v>0</v>
      </c>
      <c r="E33" s="293">
        <f>SUM(E28:E32)</f>
        <v>0</v>
      </c>
      <c r="F33" s="293">
        <f t="shared" ref="F33:O33" si="12">SUM(F28:F32)</f>
        <v>0</v>
      </c>
      <c r="G33" s="293">
        <f t="shared" si="12"/>
        <v>0</v>
      </c>
      <c r="H33" s="293">
        <f t="shared" si="12"/>
        <v>0</v>
      </c>
      <c r="I33" s="293">
        <f t="shared" si="12"/>
        <v>0</v>
      </c>
      <c r="J33" s="293">
        <f t="shared" si="12"/>
        <v>0</v>
      </c>
      <c r="K33" s="303">
        <f t="shared" si="12"/>
        <v>0</v>
      </c>
      <c r="L33" s="304">
        <f t="shared" si="12"/>
        <v>0</v>
      </c>
      <c r="M33" s="305">
        <f t="shared" si="12"/>
        <v>0</v>
      </c>
      <c r="N33" s="304">
        <f t="shared" si="12"/>
        <v>0</v>
      </c>
      <c r="O33" s="305">
        <f t="shared" si="12"/>
        <v>0</v>
      </c>
      <c r="P33" s="332"/>
      <c r="Q33" s="309"/>
      <c r="S33" s="330"/>
      <c r="T33" s="331" t="s">
        <v>2</v>
      </c>
      <c r="U33" s="333">
        <f>SUM(U28:U32)</f>
        <v>0</v>
      </c>
      <c r="V33" s="333">
        <f t="shared" ref="V33:AG33" si="13">SUM(V28:V32)</f>
        <v>0</v>
      </c>
      <c r="W33" s="333">
        <f t="shared" si="13"/>
        <v>0</v>
      </c>
      <c r="X33" s="333">
        <f t="shared" si="13"/>
        <v>0</v>
      </c>
      <c r="Y33" s="333">
        <f t="shared" si="13"/>
        <v>0</v>
      </c>
      <c r="Z33" s="293">
        <f t="shared" si="13"/>
        <v>0</v>
      </c>
      <c r="AA33" s="293">
        <f t="shared" si="13"/>
        <v>0</v>
      </c>
      <c r="AB33" s="293">
        <f t="shared" si="13"/>
        <v>0</v>
      </c>
      <c r="AC33" s="293">
        <f t="shared" si="13"/>
        <v>0</v>
      </c>
      <c r="AD33" s="293">
        <f>SUM(AD28:AD32)</f>
        <v>0</v>
      </c>
      <c r="AE33" s="293">
        <f>SUM(AE28:AE32)</f>
        <v>0</v>
      </c>
      <c r="AF33" s="334">
        <f t="shared" si="13"/>
        <v>0</v>
      </c>
      <c r="AG33" s="335">
        <f t="shared" si="13"/>
        <v>0</v>
      </c>
      <c r="AH33" s="308" t="b">
        <f>INT(AG33)=0</f>
        <v>1</v>
      </c>
      <c r="AI33" s="309"/>
    </row>
    <row r="34" spans="1:35" ht="12" thickBot="1" x14ac:dyDescent="0.3">
      <c r="B34" s="2"/>
      <c r="C34" s="2"/>
      <c r="D34" s="24"/>
      <c r="E34" s="24"/>
      <c r="F34" s="24"/>
      <c r="G34" s="24"/>
      <c r="H34" s="24"/>
      <c r="I34" s="24"/>
      <c r="K34" s="24"/>
      <c r="L34" s="24"/>
      <c r="M34" s="24"/>
      <c r="N34" s="24"/>
      <c r="O34" s="24"/>
      <c r="Q34" s="4"/>
      <c r="S34" s="2"/>
      <c r="T34" s="2"/>
      <c r="U34" s="24"/>
      <c r="V34" s="24"/>
      <c r="W34" s="24"/>
      <c r="X34" s="24"/>
      <c r="Y34" s="24"/>
      <c r="AF34" s="24"/>
      <c r="AI34" s="4"/>
    </row>
    <row r="35" spans="1:35" ht="12" thickBot="1" x14ac:dyDescent="0.3">
      <c r="B35" s="2"/>
      <c r="C35" s="2"/>
      <c r="D35" s="24" t="s">
        <v>1</v>
      </c>
      <c r="E35" s="24"/>
      <c r="F35" s="24"/>
      <c r="G35" s="24"/>
      <c r="H35" s="24"/>
      <c r="I35" s="24"/>
      <c r="K35" s="24"/>
      <c r="L35" s="24"/>
      <c r="M35" s="24"/>
      <c r="N35" s="24"/>
      <c r="O35" s="24"/>
      <c r="Q35" s="4"/>
      <c r="Y35" s="86">
        <f>SUM(U33:Y33)</f>
        <v>0</v>
      </c>
      <c r="AA35" s="1" t="s">
        <v>1</v>
      </c>
      <c r="AB35" s="1" t="s">
        <v>1</v>
      </c>
      <c r="AD35" s="1" t="s">
        <v>1</v>
      </c>
      <c r="AF35" s="1" t="s">
        <v>1</v>
      </c>
      <c r="AI35" s="4"/>
    </row>
    <row r="36" spans="1:35" ht="12" thickBot="1" x14ac:dyDescent="0.3">
      <c r="B36" s="2"/>
      <c r="C36" s="2"/>
      <c r="D36" s="24" t="s">
        <v>1</v>
      </c>
      <c r="E36" s="33"/>
      <c r="F36" s="33"/>
      <c r="G36" s="33"/>
      <c r="H36" s="33"/>
      <c r="I36" s="24"/>
      <c r="K36" s="24"/>
      <c r="L36" s="24"/>
      <c r="M36" s="24"/>
      <c r="N36" s="24"/>
      <c r="O36" s="24"/>
      <c r="Q36" s="4"/>
      <c r="AI36" s="4"/>
    </row>
    <row r="37" spans="1:35" x14ac:dyDescent="0.25">
      <c r="B37" s="2"/>
      <c r="C37" s="2"/>
      <c r="D37" s="24" t="s">
        <v>1</v>
      </c>
      <c r="E37" s="24" t="s">
        <v>1</v>
      </c>
      <c r="F37" s="24" t="s">
        <v>25</v>
      </c>
      <c r="G37" s="24"/>
      <c r="H37" s="24"/>
      <c r="I37" s="24"/>
      <c r="K37" s="24"/>
      <c r="L37" s="24"/>
      <c r="M37" s="24"/>
      <c r="N37" s="24"/>
      <c r="O37" s="24"/>
      <c r="Q37" s="4"/>
      <c r="AI37" s="4"/>
    </row>
    <row r="38" spans="1:35" x14ac:dyDescent="0.25">
      <c r="A38" s="4"/>
      <c r="B38" s="34"/>
      <c r="C38" s="34"/>
      <c r="D38" s="35"/>
      <c r="E38" s="35"/>
      <c r="F38" s="35"/>
      <c r="G38" s="35"/>
      <c r="H38" s="35"/>
      <c r="I38" s="35"/>
      <c r="J38" s="4"/>
      <c r="K38" s="35"/>
      <c r="L38" s="35"/>
      <c r="M38" s="35"/>
      <c r="N38" s="35"/>
      <c r="O38" s="35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</row>
    <row r="39" spans="1:35" ht="12" thickBot="1" x14ac:dyDescent="0.3">
      <c r="Q39" s="4"/>
      <c r="AI39" s="4"/>
    </row>
    <row r="40" spans="1:35" x14ac:dyDescent="0.25">
      <c r="B40" s="5"/>
      <c r="C40" s="3" t="s">
        <v>1</v>
      </c>
      <c r="D40" s="6" t="s">
        <v>1</v>
      </c>
      <c r="E40" s="3"/>
      <c r="F40" s="3"/>
      <c r="G40" s="3"/>
      <c r="H40" s="3" t="s">
        <v>1</v>
      </c>
      <c r="I40" s="3"/>
      <c r="J40" s="3"/>
      <c r="K40" s="3"/>
      <c r="L40" s="3"/>
      <c r="M40" s="3"/>
      <c r="N40" s="3"/>
      <c r="O40" s="7"/>
      <c r="P40" s="2"/>
      <c r="Q40" s="4"/>
      <c r="S40" s="5"/>
      <c r="T40" s="3" t="s">
        <v>1</v>
      </c>
      <c r="U40" s="6" t="s">
        <v>1</v>
      </c>
      <c r="V40" s="3"/>
      <c r="W40" s="3"/>
      <c r="X40" s="3" t="s">
        <v>1</v>
      </c>
      <c r="Y40" s="3"/>
      <c r="Z40" s="3"/>
      <c r="AA40" s="3"/>
      <c r="AB40" s="3"/>
      <c r="AC40" s="3"/>
      <c r="AD40" s="3"/>
      <c r="AE40" s="3"/>
      <c r="AF40" s="7"/>
      <c r="AG40" s="2"/>
      <c r="AI40" s="4"/>
    </row>
    <row r="41" spans="1:35" ht="14" x14ac:dyDescent="0.3">
      <c r="B41" s="8"/>
      <c r="F41" s="26" t="s">
        <v>8</v>
      </c>
      <c r="G41" s="26"/>
      <c r="I41" s="26" t="s">
        <v>16</v>
      </c>
      <c r="J41" s="25"/>
      <c r="M41" s="2" t="s">
        <v>15</v>
      </c>
      <c r="N41" s="50">
        <f>N3</f>
        <v>2026071</v>
      </c>
      <c r="O41" s="10"/>
      <c r="P41" s="2"/>
      <c r="Q41" s="4"/>
      <c r="S41" s="8"/>
      <c r="U41" s="26" t="s">
        <v>8</v>
      </c>
      <c r="W41" s="26" t="s">
        <v>16</v>
      </c>
      <c r="X41" s="25"/>
      <c r="Y41" s="2"/>
      <c r="AA41" s="2" t="s">
        <v>15</v>
      </c>
      <c r="AD41" s="84">
        <f>N41</f>
        <v>2026071</v>
      </c>
      <c r="AE41" s="84"/>
      <c r="AF41" s="48"/>
      <c r="AG41" s="2"/>
      <c r="AI41" s="4"/>
    </row>
    <row r="42" spans="1:35" ht="15.5" x14ac:dyDescent="0.35">
      <c r="B42" s="8"/>
      <c r="F42" s="36" t="s">
        <v>29</v>
      </c>
      <c r="G42" s="36"/>
      <c r="O42" s="10"/>
      <c r="P42" s="2"/>
      <c r="Q42" s="4"/>
      <c r="S42" s="8"/>
      <c r="T42" s="26" t="s">
        <v>1</v>
      </c>
      <c r="U42" s="36" t="s">
        <v>29</v>
      </c>
      <c r="Y42" s="2" t="s">
        <v>1</v>
      </c>
      <c r="AA42" s="50" t="s">
        <v>1</v>
      </c>
      <c r="AB42" s="2"/>
      <c r="AC42" s="2"/>
      <c r="AD42" s="2"/>
      <c r="AE42" s="2"/>
      <c r="AF42" s="10" t="s">
        <v>1</v>
      </c>
      <c r="AG42" s="2"/>
      <c r="AI42" s="4"/>
    </row>
    <row r="43" spans="1:35" ht="14" x14ac:dyDescent="0.3">
      <c r="B43" s="8"/>
      <c r="F43" s="2" t="s">
        <v>30</v>
      </c>
      <c r="G43" s="2"/>
      <c r="M43" s="2" t="s">
        <v>1</v>
      </c>
      <c r="O43" s="10"/>
      <c r="P43" s="2"/>
      <c r="Q43" s="4"/>
      <c r="S43" s="8"/>
      <c r="T43" s="49" t="s">
        <v>1</v>
      </c>
      <c r="U43" s="2" t="s">
        <v>30</v>
      </c>
      <c r="AF43" s="44"/>
      <c r="AG43" s="2"/>
      <c r="AI43" s="4"/>
    </row>
    <row r="44" spans="1:35" ht="15.5" x14ac:dyDescent="0.35">
      <c r="B44" s="8"/>
      <c r="C44" s="591" t="s">
        <v>17</v>
      </c>
      <c r="D44" s="9">
        <f>D6</f>
        <v>46220</v>
      </c>
      <c r="F44" s="41" t="s">
        <v>32</v>
      </c>
      <c r="G44" s="41"/>
      <c r="H44" s="2"/>
      <c r="J44" s="2"/>
      <c r="O44" s="10"/>
      <c r="P44" s="2"/>
      <c r="Q44" s="4"/>
      <c r="S44" s="8"/>
      <c r="T44" s="41" t="s">
        <v>1</v>
      </c>
      <c r="U44" s="41" t="s">
        <v>32</v>
      </c>
      <c r="V44" s="2"/>
      <c r="X44" s="2"/>
      <c r="Y44" s="2"/>
      <c r="AF44" s="48"/>
      <c r="AG44" s="2"/>
      <c r="AI44" s="4"/>
    </row>
    <row r="45" spans="1:35" ht="12" thickBot="1" x14ac:dyDescent="0.3">
      <c r="B45" s="8"/>
      <c r="C45" s="591" t="s">
        <v>0</v>
      </c>
      <c r="D45" s="241">
        <f>D7</f>
        <v>0.58333333333333337</v>
      </c>
      <c r="F45" s="2" t="s">
        <v>27</v>
      </c>
      <c r="G45" s="9">
        <f>G7</f>
        <v>46204</v>
      </c>
      <c r="J45" s="2" t="s">
        <v>28</v>
      </c>
      <c r="K45" s="9">
        <f>K7</f>
        <v>46218</v>
      </c>
      <c r="O45" s="10"/>
      <c r="P45" s="2"/>
      <c r="Q45" s="4"/>
      <c r="S45" s="8"/>
      <c r="U45" s="1" t="str">
        <f>F45</f>
        <v>Fecha Desde:</v>
      </c>
      <c r="V45" s="9">
        <f>G45</f>
        <v>46204</v>
      </c>
      <c r="W45" s="1" t="s">
        <v>1</v>
      </c>
      <c r="X45" s="1" t="str">
        <f>J45</f>
        <v>Feha Hasta:</v>
      </c>
      <c r="Y45" s="9">
        <f>K45</f>
        <v>46218</v>
      </c>
      <c r="Z45" s="1" t="s">
        <v>1</v>
      </c>
      <c r="AF45" s="48"/>
      <c r="AG45" s="2"/>
      <c r="AI45" s="4"/>
    </row>
    <row r="46" spans="1:35" ht="72" customHeight="1" thickBot="1" x14ac:dyDescent="0.3">
      <c r="B46" s="11" t="s">
        <v>3</v>
      </c>
      <c r="C46" s="27" t="s">
        <v>9</v>
      </c>
      <c r="D46" s="11" t="s">
        <v>4</v>
      </c>
      <c r="E46" s="12" t="s">
        <v>5</v>
      </c>
      <c r="F46" s="27" t="s">
        <v>6</v>
      </c>
      <c r="G46" s="27" t="s">
        <v>159</v>
      </c>
      <c r="H46" s="27" t="s">
        <v>18</v>
      </c>
      <c r="I46" s="12" t="s">
        <v>24</v>
      </c>
      <c r="J46" s="73" t="s">
        <v>19</v>
      </c>
      <c r="K46" s="29" t="s">
        <v>20</v>
      </c>
      <c r="L46" s="28" t="s">
        <v>21</v>
      </c>
      <c r="M46" s="39" t="s">
        <v>22</v>
      </c>
      <c r="N46" s="12" t="s">
        <v>7</v>
      </c>
      <c r="O46" s="39" t="s">
        <v>23</v>
      </c>
      <c r="P46" s="13"/>
      <c r="Q46" s="4"/>
      <c r="S46" s="11" t="s">
        <v>3</v>
      </c>
      <c r="T46" s="27" t="s">
        <v>9</v>
      </c>
      <c r="U46" s="162" t="s">
        <v>39</v>
      </c>
      <c r="V46" s="163" t="s">
        <v>40</v>
      </c>
      <c r="W46" s="163" t="s">
        <v>41</v>
      </c>
      <c r="X46" s="163" t="s">
        <v>42</v>
      </c>
      <c r="Y46" s="164" t="s">
        <v>43</v>
      </c>
      <c r="Z46" s="85" t="s">
        <v>21</v>
      </c>
      <c r="AA46" s="65" t="s">
        <v>46</v>
      </c>
      <c r="AB46" s="65" t="s">
        <v>7</v>
      </c>
      <c r="AC46" s="85" t="s">
        <v>167</v>
      </c>
      <c r="AD46" s="121" t="s">
        <v>107</v>
      </c>
      <c r="AE46" s="121" t="s">
        <v>106</v>
      </c>
      <c r="AF46" s="39" t="s">
        <v>23</v>
      </c>
      <c r="AG46" s="13"/>
      <c r="AI46" s="4"/>
    </row>
    <row r="47" spans="1:35" s="308" customFormat="1" x14ac:dyDescent="0.25">
      <c r="B47" s="306">
        <v>1</v>
      </c>
      <c r="C47" s="307" t="s">
        <v>10</v>
      </c>
      <c r="D47" s="294">
        <f>'Reporte Componentes R1'!F73</f>
        <v>0</v>
      </c>
      <c r="E47" s="295">
        <f>'Reporte Componentes R1'!G73</f>
        <v>0</v>
      </c>
      <c r="F47" s="295">
        <f>'Reporte Componentes R1'!H73</f>
        <v>0</v>
      </c>
      <c r="G47" s="295">
        <f>'Reporte Componentes R1'!I73</f>
        <v>0</v>
      </c>
      <c r="H47" s="295">
        <f>'Reporte Componentes R1'!J73</f>
        <v>0</v>
      </c>
      <c r="I47" s="295">
        <f>'Reporte Componentes R1'!K73</f>
        <v>0</v>
      </c>
      <c r="J47" s="291">
        <v>0</v>
      </c>
      <c r="K47" s="296">
        <f>D47-E47-F47-G47-H47-I47-J47</f>
        <v>0</v>
      </c>
      <c r="L47" s="297">
        <v>0</v>
      </c>
      <c r="M47" s="296">
        <f>K47-L47</f>
        <v>0</v>
      </c>
      <c r="N47" s="297">
        <f>'Reporte Componentes R1'!L73</f>
        <v>0</v>
      </c>
      <c r="O47" s="296">
        <f>M47+N47</f>
        <v>0</v>
      </c>
      <c r="Q47" s="309"/>
      <c r="S47" s="306">
        <v>1</v>
      </c>
      <c r="T47" s="307" t="s">
        <v>10</v>
      </c>
      <c r="U47" s="310">
        <f>'Reporte Componentes R1'!M73</f>
        <v>0</v>
      </c>
      <c r="V47" s="311">
        <f>'Reporte Componentes R1'!N73</f>
        <v>0</v>
      </c>
      <c r="W47" s="311">
        <f>'Reporte Componentes R1'!O73</f>
        <v>0</v>
      </c>
      <c r="X47" s="311">
        <f>'Reporte Componentes R1'!P73</f>
        <v>0</v>
      </c>
      <c r="Y47" s="312">
        <f>'Reporte Componentes R1'!Q73</f>
        <v>0</v>
      </c>
      <c r="Z47" s="313">
        <f>-L47</f>
        <v>0</v>
      </c>
      <c r="AA47" s="314">
        <f>'Reporte Componentes R1'!R73+'Reporte Componentes R1'!S73</f>
        <v>0</v>
      </c>
      <c r="AB47" s="297">
        <f>N47</f>
        <v>0</v>
      </c>
      <c r="AC47" s="314">
        <v>0</v>
      </c>
      <c r="AD47" s="294">
        <f>-J47+AE47</f>
        <v>0</v>
      </c>
      <c r="AE47" s="294">
        <f>'Reporte Componentes R1'!F74</f>
        <v>0</v>
      </c>
      <c r="AF47" s="316">
        <f>SUM(U47:AD47)</f>
        <v>0</v>
      </c>
      <c r="AG47" s="314">
        <f>(AF47-O47)</f>
        <v>0</v>
      </c>
      <c r="AH47" s="308" t="b">
        <f>INT(AG47)=0</f>
        <v>1</v>
      </c>
      <c r="AI47" s="309"/>
    </row>
    <row r="48" spans="1:35" s="308" customFormat="1" x14ac:dyDescent="0.25">
      <c r="B48" s="317">
        <v>2</v>
      </c>
      <c r="C48" s="318" t="s">
        <v>11</v>
      </c>
      <c r="D48" s="294">
        <f>'Reporte Componentes R1'!F203</f>
        <v>0</v>
      </c>
      <c r="E48" s="295">
        <f>'Reporte Componentes R1'!G203</f>
        <v>0</v>
      </c>
      <c r="F48" s="295">
        <f>'Reporte Componentes R1'!H203</f>
        <v>0</v>
      </c>
      <c r="G48" s="295">
        <f>'Reporte Componentes R1'!I203</f>
        <v>0</v>
      </c>
      <c r="H48" s="295">
        <f>'Reporte Componentes R1'!J203</f>
        <v>0</v>
      </c>
      <c r="I48" s="295">
        <f>'Reporte Componentes R1'!K203</f>
        <v>0</v>
      </c>
      <c r="J48" s="291">
        <v>0</v>
      </c>
      <c r="K48" s="298">
        <f t="shared" ref="K48:K51" si="14">D48-E48-F48-G48-H48-I48-J48</f>
        <v>0</v>
      </c>
      <c r="L48" s="297">
        <v>0</v>
      </c>
      <c r="M48" s="298">
        <f>K48-L48</f>
        <v>0</v>
      </c>
      <c r="N48" s="297">
        <f>'Reporte Componentes R1'!L203</f>
        <v>0</v>
      </c>
      <c r="O48" s="298">
        <f t="shared" ref="O48:O51" si="15">M48+N48</f>
        <v>0</v>
      </c>
      <c r="Q48" s="309"/>
      <c r="S48" s="317">
        <v>2</v>
      </c>
      <c r="T48" s="318" t="s">
        <v>11</v>
      </c>
      <c r="U48" s="319">
        <f>'Reporte Componentes R1'!M203</f>
        <v>0</v>
      </c>
      <c r="V48" s="320">
        <f>'Reporte Componentes R1'!N203</f>
        <v>0</v>
      </c>
      <c r="W48" s="320">
        <f>'Reporte Componentes R1'!O203</f>
        <v>0</v>
      </c>
      <c r="X48" s="320">
        <f>'Reporte Componentes R1'!P203</f>
        <v>0</v>
      </c>
      <c r="Y48" s="321">
        <f>'Reporte Componentes R1'!Q203</f>
        <v>0</v>
      </c>
      <c r="Z48" s="322">
        <f>-L48</f>
        <v>0</v>
      </c>
      <c r="AA48" s="323">
        <f>'Reporte Componentes R1'!R203+'Reporte Componentes R1'!S203+'Reporte Componentes R1'!T203</f>
        <v>0</v>
      </c>
      <c r="AB48" s="297">
        <f>N48</f>
        <v>0</v>
      </c>
      <c r="AC48" s="323">
        <v>0</v>
      </c>
      <c r="AD48" s="294">
        <f t="shared" ref="AD48:AD51" si="16">-J48+AE48</f>
        <v>0</v>
      </c>
      <c r="AE48" s="294">
        <f>'Reporte Componentes R1'!F204</f>
        <v>0</v>
      </c>
      <c r="AF48" s="325">
        <f>SUM(U48:AD48)</f>
        <v>0</v>
      </c>
      <c r="AG48" s="326">
        <f>(AF48-O48)</f>
        <v>0</v>
      </c>
      <c r="AH48" s="308" t="b">
        <f t="shared" ref="AH48:AH51" si="17">INT(AG48)=0</f>
        <v>1</v>
      </c>
      <c r="AI48" s="309"/>
    </row>
    <row r="49" spans="1:35" s="308" customFormat="1" x14ac:dyDescent="0.25">
      <c r="B49" s="317">
        <v>3</v>
      </c>
      <c r="C49" s="318" t="s">
        <v>12</v>
      </c>
      <c r="D49" s="294">
        <f>'Reporte Componentes R1'!F343</f>
        <v>0</v>
      </c>
      <c r="E49" s="295">
        <f>'Reporte Componentes R1'!G343</f>
        <v>0</v>
      </c>
      <c r="F49" s="295">
        <f>'Reporte Componentes R1'!H343</f>
        <v>0</v>
      </c>
      <c r="G49" s="295">
        <f>'Reporte Componentes R1'!I343</f>
        <v>0</v>
      </c>
      <c r="H49" s="295">
        <f>'Reporte Componentes R1'!J343</f>
        <v>0</v>
      </c>
      <c r="I49" s="295">
        <f>'Reporte Componentes R1'!K343</f>
        <v>0</v>
      </c>
      <c r="J49" s="291">
        <v>0</v>
      </c>
      <c r="K49" s="298">
        <f t="shared" si="14"/>
        <v>0</v>
      </c>
      <c r="L49" s="297">
        <v>0</v>
      </c>
      <c r="M49" s="298">
        <f>K49-L49</f>
        <v>0</v>
      </c>
      <c r="N49" s="297">
        <f>'Reporte Componentes R1'!L343</f>
        <v>0</v>
      </c>
      <c r="O49" s="298">
        <f t="shared" si="15"/>
        <v>0</v>
      </c>
      <c r="Q49" s="309"/>
      <c r="S49" s="317">
        <v>3</v>
      </c>
      <c r="T49" s="318" t="s">
        <v>12</v>
      </c>
      <c r="U49" s="319">
        <f>'Reporte Componentes R1'!M343</f>
        <v>0</v>
      </c>
      <c r="V49" s="320">
        <f>'Reporte Componentes R1'!N343</f>
        <v>0</v>
      </c>
      <c r="W49" s="320">
        <f>'Reporte Componentes R1'!O343</f>
        <v>0</v>
      </c>
      <c r="X49" s="320">
        <f>'Reporte Componentes R1'!P343</f>
        <v>0</v>
      </c>
      <c r="Y49" s="321">
        <f>'Reporte Componentes R1'!Q343</f>
        <v>0</v>
      </c>
      <c r="Z49" s="322">
        <f>-L49</f>
        <v>0</v>
      </c>
      <c r="AA49" s="323">
        <f>'Reporte Componentes R1'!R343+'Reporte Componentes R1'!S343+'Reporte Componentes R1'!T343</f>
        <v>0</v>
      </c>
      <c r="AB49" s="297">
        <f>N49</f>
        <v>0</v>
      </c>
      <c r="AC49" s="323">
        <v>0</v>
      </c>
      <c r="AD49" s="294">
        <f t="shared" si="16"/>
        <v>0</v>
      </c>
      <c r="AE49" s="294">
        <f>'Reporte Componentes R1'!F344</f>
        <v>0</v>
      </c>
      <c r="AF49" s="325">
        <f t="shared" ref="AF49:AF51" si="18">SUM(U49:AD49)</f>
        <v>0</v>
      </c>
      <c r="AG49" s="326">
        <f t="shared" ref="AG49:AG51" si="19">(AF49-O49)</f>
        <v>0</v>
      </c>
      <c r="AH49" s="308" t="b">
        <f t="shared" si="17"/>
        <v>1</v>
      </c>
      <c r="AI49" s="309"/>
    </row>
    <row r="50" spans="1:35" s="308" customFormat="1" x14ac:dyDescent="0.25">
      <c r="B50" s="317">
        <v>4</v>
      </c>
      <c r="C50" s="318" t="s">
        <v>13</v>
      </c>
      <c r="D50" s="294">
        <f>'Reporte Componentes R1'!F464</f>
        <v>0</v>
      </c>
      <c r="E50" s="295">
        <f>'Reporte Componentes R1'!G464</f>
        <v>0</v>
      </c>
      <c r="F50" s="295">
        <f>'Reporte Componentes R1'!H464</f>
        <v>0</v>
      </c>
      <c r="G50" s="295">
        <f>'Reporte Componentes R1'!I464</f>
        <v>0</v>
      </c>
      <c r="H50" s="295">
        <f>'Reporte Componentes R1'!J464</f>
        <v>0</v>
      </c>
      <c r="I50" s="295">
        <f>'Reporte Componentes R1'!K464</f>
        <v>0</v>
      </c>
      <c r="J50" s="291">
        <v>0</v>
      </c>
      <c r="K50" s="298">
        <f t="shared" si="14"/>
        <v>0</v>
      </c>
      <c r="L50" s="297">
        <v>0</v>
      </c>
      <c r="M50" s="298">
        <f>K50-L50</f>
        <v>0</v>
      </c>
      <c r="N50" s="297">
        <f>'Reporte Componentes R1'!L464</f>
        <v>0</v>
      </c>
      <c r="O50" s="298">
        <f t="shared" si="15"/>
        <v>0</v>
      </c>
      <c r="Q50" s="309"/>
      <c r="S50" s="317">
        <v>4</v>
      </c>
      <c r="T50" s="318" t="s">
        <v>13</v>
      </c>
      <c r="U50" s="319">
        <f>'Reporte Componentes R1'!M464</f>
        <v>0</v>
      </c>
      <c r="V50" s="320">
        <f>'Reporte Componentes R1'!N464</f>
        <v>0</v>
      </c>
      <c r="W50" s="320">
        <f>'Reporte Componentes R1'!O464</f>
        <v>0</v>
      </c>
      <c r="X50" s="320">
        <f>'Reporte Componentes R1'!P464</f>
        <v>0</v>
      </c>
      <c r="Y50" s="321">
        <f>'Reporte Componentes R1'!Q464</f>
        <v>0</v>
      </c>
      <c r="Z50" s="322">
        <f>-L50</f>
        <v>0</v>
      </c>
      <c r="AA50" s="323">
        <f>'Reporte Componentes R1'!R464+'Reporte Componentes R1'!S464</f>
        <v>0</v>
      </c>
      <c r="AB50" s="297">
        <f>N50</f>
        <v>0</v>
      </c>
      <c r="AC50" s="323">
        <v>0</v>
      </c>
      <c r="AD50" s="294">
        <f t="shared" si="16"/>
        <v>0</v>
      </c>
      <c r="AE50" s="294">
        <f>'Reporte Componentes R1'!F465</f>
        <v>0</v>
      </c>
      <c r="AF50" s="325">
        <f t="shared" si="18"/>
        <v>0</v>
      </c>
      <c r="AG50" s="326">
        <f t="shared" si="19"/>
        <v>0</v>
      </c>
      <c r="AH50" s="308" t="b">
        <f t="shared" si="17"/>
        <v>1</v>
      </c>
      <c r="AI50" s="309"/>
    </row>
    <row r="51" spans="1:35" s="308" customFormat="1" ht="12" thickBot="1" x14ac:dyDescent="0.3">
      <c r="B51" s="327">
        <v>5</v>
      </c>
      <c r="C51" s="328" t="s">
        <v>14</v>
      </c>
      <c r="D51" s="299">
        <f>'Reporte Componentes R1'!F546</f>
        <v>0</v>
      </c>
      <c r="E51" s="300">
        <f>'Reporte Componentes R1'!G546</f>
        <v>0</v>
      </c>
      <c r="F51" s="300">
        <f>'Reporte Componentes R1'!H546</f>
        <v>0</v>
      </c>
      <c r="G51" s="300">
        <f>'Reporte Componentes R1'!I546</f>
        <v>0</v>
      </c>
      <c r="H51" s="300">
        <f>'Reporte Componentes R1'!J546</f>
        <v>0</v>
      </c>
      <c r="I51" s="300">
        <f>'Reporte Componentes R1'!K546</f>
        <v>0</v>
      </c>
      <c r="J51" s="292">
        <v>0</v>
      </c>
      <c r="K51" s="298">
        <f t="shared" si="14"/>
        <v>0</v>
      </c>
      <c r="L51" s="297">
        <v>0</v>
      </c>
      <c r="M51" s="301">
        <f>K51-L51</f>
        <v>0</v>
      </c>
      <c r="N51" s="302">
        <f>'Reporte Componentes R1'!L546</f>
        <v>0</v>
      </c>
      <c r="O51" s="301">
        <f t="shared" si="15"/>
        <v>0</v>
      </c>
      <c r="Q51" s="309"/>
      <c r="S51" s="327">
        <v>5</v>
      </c>
      <c r="T51" s="328" t="s">
        <v>14</v>
      </c>
      <c r="U51" s="299">
        <f>'Reporte Componentes R1'!M546</f>
        <v>0</v>
      </c>
      <c r="V51" s="300">
        <f>'Reporte Componentes R1'!N546</f>
        <v>0</v>
      </c>
      <c r="W51" s="300">
        <f>'Reporte Componentes R1'!O546</f>
        <v>0</v>
      </c>
      <c r="X51" s="300">
        <f>'Reporte Componentes R1'!P546</f>
        <v>0</v>
      </c>
      <c r="Y51" s="292">
        <f>'Reporte Componentes R1'!Q546</f>
        <v>0</v>
      </c>
      <c r="Z51" s="322">
        <f>-L51</f>
        <v>0</v>
      </c>
      <c r="AA51" s="323">
        <f>'Reporte Componentes R1'!R546+'Reporte Componentes R1'!S546+'Reporte Componentes R1'!T546</f>
        <v>0</v>
      </c>
      <c r="AB51" s="297">
        <f>N51</f>
        <v>0</v>
      </c>
      <c r="AC51" s="323">
        <v>0</v>
      </c>
      <c r="AD51" s="294">
        <f t="shared" si="16"/>
        <v>0</v>
      </c>
      <c r="AE51" s="294">
        <f>'Reporte Componentes R1'!F547</f>
        <v>0</v>
      </c>
      <c r="AF51" s="325">
        <f t="shared" si="18"/>
        <v>0</v>
      </c>
      <c r="AG51" s="329">
        <f t="shared" si="19"/>
        <v>0</v>
      </c>
      <c r="AH51" s="308" t="b">
        <f t="shared" si="17"/>
        <v>1</v>
      </c>
      <c r="AI51" s="309"/>
    </row>
    <row r="52" spans="1:35" s="308" customFormat="1" ht="13.5" thickBot="1" x14ac:dyDescent="0.35">
      <c r="B52" s="330"/>
      <c r="C52" s="331" t="s">
        <v>2</v>
      </c>
      <c r="D52" s="293">
        <f t="shared" ref="D52:O52" si="20">SUM(D47:D51)</f>
        <v>0</v>
      </c>
      <c r="E52" s="293">
        <f t="shared" si="20"/>
        <v>0</v>
      </c>
      <c r="F52" s="293">
        <f t="shared" si="20"/>
        <v>0</v>
      </c>
      <c r="G52" s="293">
        <f t="shared" ref="G52" si="21">SUM(G47:G51)</f>
        <v>0</v>
      </c>
      <c r="H52" s="293">
        <f t="shared" si="20"/>
        <v>0</v>
      </c>
      <c r="I52" s="293">
        <f t="shared" si="20"/>
        <v>0</v>
      </c>
      <c r="J52" s="293">
        <f t="shared" si="20"/>
        <v>0</v>
      </c>
      <c r="K52" s="303">
        <f t="shared" si="20"/>
        <v>0</v>
      </c>
      <c r="L52" s="304">
        <f t="shared" si="20"/>
        <v>0</v>
      </c>
      <c r="M52" s="305">
        <f t="shared" si="20"/>
        <v>0</v>
      </c>
      <c r="N52" s="304">
        <f t="shared" si="20"/>
        <v>0</v>
      </c>
      <c r="O52" s="305">
        <f t="shared" si="20"/>
        <v>0</v>
      </c>
      <c r="P52" s="332"/>
      <c r="Q52" s="309"/>
      <c r="S52" s="330"/>
      <c r="T52" s="331" t="s">
        <v>2</v>
      </c>
      <c r="U52" s="333">
        <f>SUM(U47:U51)</f>
        <v>0</v>
      </c>
      <c r="V52" s="333">
        <f t="shared" ref="V52:AG52" si="22">SUM(V47:V51)</f>
        <v>0</v>
      </c>
      <c r="W52" s="333">
        <f t="shared" si="22"/>
        <v>0</v>
      </c>
      <c r="X52" s="333">
        <f t="shared" si="22"/>
        <v>0</v>
      </c>
      <c r="Y52" s="333">
        <f t="shared" si="22"/>
        <v>0</v>
      </c>
      <c r="Z52" s="293">
        <f t="shared" si="22"/>
        <v>0</v>
      </c>
      <c r="AA52" s="293">
        <f t="shared" si="22"/>
        <v>0</v>
      </c>
      <c r="AB52" s="293">
        <f t="shared" si="22"/>
        <v>0</v>
      </c>
      <c r="AC52" s="293">
        <f t="shared" ref="AC52" si="23">SUM(AC47:AC51)</f>
        <v>0</v>
      </c>
      <c r="AD52" s="293">
        <f>SUM(AD47:AD51)</f>
        <v>0</v>
      </c>
      <c r="AE52" s="293">
        <f>SUM(AE47:AE51)</f>
        <v>0</v>
      </c>
      <c r="AF52" s="334">
        <f t="shared" si="22"/>
        <v>0</v>
      </c>
      <c r="AG52" s="335">
        <f t="shared" si="22"/>
        <v>0</v>
      </c>
      <c r="AH52" s="308" t="b">
        <f>INT(AG52)=0</f>
        <v>1</v>
      </c>
      <c r="AI52" s="309"/>
    </row>
    <row r="53" spans="1:35" ht="12" thickBot="1" x14ac:dyDescent="0.3">
      <c r="B53" s="2"/>
      <c r="C53" s="2"/>
      <c r="D53" s="24"/>
      <c r="E53" s="24"/>
      <c r="F53" s="24"/>
      <c r="G53" s="24"/>
      <c r="H53" s="24"/>
      <c r="I53" s="24"/>
      <c r="K53" s="24"/>
      <c r="L53" s="24"/>
      <c r="M53" s="24"/>
      <c r="N53" s="24"/>
      <c r="O53" s="24"/>
      <c r="Q53" s="4"/>
      <c r="S53" s="2"/>
      <c r="T53" s="2"/>
      <c r="U53" s="24"/>
      <c r="V53" s="24"/>
      <c r="W53" s="24"/>
      <c r="X53" s="24"/>
      <c r="Y53" s="24"/>
      <c r="AF53" s="24"/>
      <c r="AI53" s="4"/>
    </row>
    <row r="54" spans="1:35" ht="12" thickBot="1" x14ac:dyDescent="0.3">
      <c r="B54" s="2"/>
      <c r="C54" s="2"/>
      <c r="D54" s="24" t="s">
        <v>1</v>
      </c>
      <c r="E54" s="24"/>
      <c r="F54" s="24"/>
      <c r="G54" s="24"/>
      <c r="H54" s="24"/>
      <c r="I54" s="24"/>
      <c r="K54" s="24"/>
      <c r="L54" s="24"/>
      <c r="M54" s="24"/>
      <c r="N54" s="24"/>
      <c r="O54" s="24"/>
      <c r="Q54" s="4"/>
      <c r="Y54" s="86">
        <f>SUM(U52:Y52)</f>
        <v>0</v>
      </c>
      <c r="AA54" s="1" t="s">
        <v>1</v>
      </c>
      <c r="AB54" s="1" t="s">
        <v>1</v>
      </c>
      <c r="AD54" s="1" t="s">
        <v>1</v>
      </c>
      <c r="AF54" s="1" t="s">
        <v>1</v>
      </c>
      <c r="AI54" s="4"/>
    </row>
    <row r="55" spans="1:35" ht="12" thickBot="1" x14ac:dyDescent="0.3">
      <c r="B55" s="2"/>
      <c r="C55" s="2"/>
      <c r="D55" s="24" t="s">
        <v>1</v>
      </c>
      <c r="E55" s="33"/>
      <c r="F55" s="33"/>
      <c r="G55" s="33"/>
      <c r="H55" s="33"/>
      <c r="I55" s="24"/>
      <c r="K55" s="24"/>
      <c r="L55" s="24"/>
      <c r="M55" s="24"/>
      <c r="N55" s="24"/>
      <c r="O55" s="24"/>
      <c r="Q55" s="4"/>
      <c r="AI55" s="4"/>
    </row>
    <row r="56" spans="1:35" x14ac:dyDescent="0.25">
      <c r="B56" s="2"/>
      <c r="C56" s="2"/>
      <c r="D56" s="24" t="s">
        <v>1</v>
      </c>
      <c r="E56" s="24" t="s">
        <v>1</v>
      </c>
      <c r="F56" s="24" t="s">
        <v>25</v>
      </c>
      <c r="G56" s="24"/>
      <c r="H56" s="24"/>
      <c r="I56" s="24"/>
      <c r="K56" s="24"/>
      <c r="L56" s="24"/>
      <c r="M56" s="24"/>
      <c r="N56" s="24"/>
      <c r="O56" s="24"/>
      <c r="Q56" s="4"/>
      <c r="AI56" s="4"/>
    </row>
    <row r="57" spans="1:35" x14ac:dyDescent="0.25">
      <c r="A57" s="4"/>
      <c r="B57" s="34"/>
      <c r="C57" s="34"/>
      <c r="D57" s="35"/>
      <c r="E57" s="35"/>
      <c r="F57" s="35"/>
      <c r="G57" s="35"/>
      <c r="H57" s="35"/>
      <c r="I57" s="35"/>
      <c r="J57" s="4"/>
      <c r="K57" s="35"/>
      <c r="L57" s="35"/>
      <c r="M57" s="35"/>
      <c r="N57" s="35"/>
      <c r="O57" s="35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</row>
    <row r="58" spans="1:35" ht="12" thickBot="1" x14ac:dyDescent="0.3">
      <c r="Q58" s="4"/>
      <c r="AI58" s="4"/>
    </row>
    <row r="59" spans="1:35" x14ac:dyDescent="0.25">
      <c r="B59" s="5"/>
      <c r="C59" s="3" t="s">
        <v>1</v>
      </c>
      <c r="D59" s="6" t="s">
        <v>1</v>
      </c>
      <c r="E59" s="3"/>
      <c r="F59" s="3"/>
      <c r="G59" s="3"/>
      <c r="H59" s="3" t="s">
        <v>1</v>
      </c>
      <c r="I59" s="3"/>
      <c r="J59" s="3"/>
      <c r="K59" s="3"/>
      <c r="L59" s="3"/>
      <c r="M59" s="3"/>
      <c r="N59" s="3"/>
      <c r="O59" s="7"/>
      <c r="P59" s="2"/>
      <c r="Q59" s="4"/>
      <c r="S59" s="5"/>
      <c r="T59" s="3" t="s">
        <v>1</v>
      </c>
      <c r="U59" s="6" t="s">
        <v>1</v>
      </c>
      <c r="V59" s="3"/>
      <c r="W59" s="3"/>
      <c r="X59" s="3" t="s">
        <v>1</v>
      </c>
      <c r="Y59" s="3"/>
      <c r="Z59" s="3"/>
      <c r="AA59" s="3"/>
      <c r="AB59" s="3"/>
      <c r="AC59" s="3"/>
      <c r="AD59" s="3"/>
      <c r="AE59" s="3"/>
      <c r="AF59" s="7"/>
      <c r="AG59" s="2"/>
      <c r="AI59" s="4"/>
    </row>
    <row r="60" spans="1:35" ht="14" x14ac:dyDescent="0.3">
      <c r="B60" s="8"/>
      <c r="F60" s="26" t="s">
        <v>8</v>
      </c>
      <c r="G60" s="26"/>
      <c r="I60" s="26" t="s">
        <v>16</v>
      </c>
      <c r="J60" s="25"/>
      <c r="M60" s="2" t="s">
        <v>15</v>
      </c>
      <c r="N60" s="50">
        <f>N3</f>
        <v>2026071</v>
      </c>
      <c r="O60" s="10"/>
      <c r="P60" s="2"/>
      <c r="Q60" s="4"/>
      <c r="S60" s="8"/>
      <c r="U60" s="26" t="s">
        <v>8</v>
      </c>
      <c r="W60" s="26" t="s">
        <v>16</v>
      </c>
      <c r="X60" s="25"/>
      <c r="Y60" s="2"/>
      <c r="AA60" s="2" t="s">
        <v>15</v>
      </c>
      <c r="AD60" s="84">
        <f>N60</f>
        <v>2026071</v>
      </c>
      <c r="AE60" s="84"/>
      <c r="AF60" s="48"/>
      <c r="AG60" s="2"/>
      <c r="AI60" s="4"/>
    </row>
    <row r="61" spans="1:35" ht="15.5" x14ac:dyDescent="0.35">
      <c r="B61" s="8"/>
      <c r="F61" s="36" t="s">
        <v>29</v>
      </c>
      <c r="G61" s="36"/>
      <c r="O61" s="10"/>
      <c r="P61" s="2"/>
      <c r="Q61" s="4"/>
      <c r="S61" s="8"/>
      <c r="T61" s="26" t="s">
        <v>1</v>
      </c>
      <c r="U61" s="36" t="s">
        <v>29</v>
      </c>
      <c r="Y61" s="2" t="s">
        <v>1</v>
      </c>
      <c r="AA61" s="50" t="s">
        <v>1</v>
      </c>
      <c r="AB61" s="2"/>
      <c r="AC61" s="2"/>
      <c r="AD61" s="2"/>
      <c r="AE61" s="2"/>
      <c r="AF61" s="10" t="s">
        <v>1</v>
      </c>
      <c r="AG61" s="2"/>
      <c r="AI61" s="4"/>
    </row>
    <row r="62" spans="1:35" ht="14" x14ac:dyDescent="0.3">
      <c r="B62" s="8"/>
      <c r="F62" s="2" t="s">
        <v>30</v>
      </c>
      <c r="G62" s="2"/>
      <c r="M62" s="2" t="s">
        <v>1</v>
      </c>
      <c r="O62" s="10"/>
      <c r="P62" s="2"/>
      <c r="Q62" s="4"/>
      <c r="S62" s="8"/>
      <c r="T62" s="49" t="s">
        <v>1</v>
      </c>
      <c r="U62" s="2" t="s">
        <v>30</v>
      </c>
      <c r="AF62" s="44"/>
      <c r="AG62" s="2"/>
      <c r="AI62" s="4"/>
    </row>
    <row r="63" spans="1:35" ht="15.5" x14ac:dyDescent="0.35">
      <c r="B63" s="8"/>
      <c r="C63" s="591" t="s">
        <v>17</v>
      </c>
      <c r="D63" s="9">
        <f>D6</f>
        <v>46220</v>
      </c>
      <c r="F63" s="41" t="s">
        <v>33</v>
      </c>
      <c r="G63" s="41"/>
      <c r="H63" s="2"/>
      <c r="J63" s="2"/>
      <c r="O63" s="10"/>
      <c r="P63" s="2"/>
      <c r="Q63" s="4"/>
      <c r="S63" s="8"/>
      <c r="T63" s="41" t="s">
        <v>1</v>
      </c>
      <c r="U63" s="41" t="s">
        <v>33</v>
      </c>
      <c r="V63" s="2"/>
      <c r="X63" s="2"/>
      <c r="Y63" s="2"/>
      <c r="AF63" s="48"/>
      <c r="AG63" s="2"/>
      <c r="AI63" s="4"/>
    </row>
    <row r="64" spans="1:35" ht="12" thickBot="1" x14ac:dyDescent="0.3">
      <c r="B64" s="8"/>
      <c r="C64" s="591" t="s">
        <v>0</v>
      </c>
      <c r="D64" s="241">
        <f>D7</f>
        <v>0.58333333333333337</v>
      </c>
      <c r="F64" s="2" t="s">
        <v>27</v>
      </c>
      <c r="G64" s="9">
        <f>G7</f>
        <v>46204</v>
      </c>
      <c r="J64" s="2" t="s">
        <v>28</v>
      </c>
      <c r="K64" s="9">
        <f>K7</f>
        <v>46218</v>
      </c>
      <c r="O64" s="10"/>
      <c r="P64" s="2"/>
      <c r="Q64" s="4"/>
      <c r="S64" s="8"/>
      <c r="U64" s="1" t="str">
        <f>F64</f>
        <v>Fecha Desde:</v>
      </c>
      <c r="V64" s="9">
        <f>G64</f>
        <v>46204</v>
      </c>
      <c r="W64" s="1" t="s">
        <v>1</v>
      </c>
      <c r="X64" s="1" t="str">
        <f>J64</f>
        <v>Feha Hasta:</v>
      </c>
      <c r="Y64" s="9">
        <f>K64</f>
        <v>46218</v>
      </c>
      <c r="Z64" s="1" t="s">
        <v>1</v>
      </c>
      <c r="AF64" s="48"/>
      <c r="AG64" s="2"/>
      <c r="AI64" s="4"/>
    </row>
    <row r="65" spans="1:35" ht="72" customHeight="1" thickBot="1" x14ac:dyDescent="0.3">
      <c r="B65" s="11" t="s">
        <v>3</v>
      </c>
      <c r="C65" s="27" t="s">
        <v>9</v>
      </c>
      <c r="D65" s="11" t="s">
        <v>4</v>
      </c>
      <c r="E65" s="12" t="s">
        <v>5</v>
      </c>
      <c r="F65" s="27" t="s">
        <v>6</v>
      </c>
      <c r="G65" s="27" t="s">
        <v>159</v>
      </c>
      <c r="H65" s="27" t="s">
        <v>18</v>
      </c>
      <c r="I65" s="12" t="s">
        <v>24</v>
      </c>
      <c r="J65" s="73" t="s">
        <v>19</v>
      </c>
      <c r="K65" s="29" t="s">
        <v>20</v>
      </c>
      <c r="L65" s="28" t="s">
        <v>21</v>
      </c>
      <c r="M65" s="39" t="s">
        <v>22</v>
      </c>
      <c r="N65" s="12" t="s">
        <v>7</v>
      </c>
      <c r="O65" s="39" t="s">
        <v>23</v>
      </c>
      <c r="P65" s="13"/>
      <c r="Q65" s="4"/>
      <c r="S65" s="11" t="s">
        <v>3</v>
      </c>
      <c r="T65" s="27" t="s">
        <v>9</v>
      </c>
      <c r="U65" s="162" t="s">
        <v>39</v>
      </c>
      <c r="V65" s="163" t="s">
        <v>40</v>
      </c>
      <c r="W65" s="163" t="s">
        <v>41</v>
      </c>
      <c r="X65" s="163" t="s">
        <v>42</v>
      </c>
      <c r="Y65" s="164" t="s">
        <v>43</v>
      </c>
      <c r="Z65" s="85" t="s">
        <v>21</v>
      </c>
      <c r="AA65" s="65" t="s">
        <v>46</v>
      </c>
      <c r="AB65" s="65" t="s">
        <v>7</v>
      </c>
      <c r="AC65" s="85" t="s">
        <v>167</v>
      </c>
      <c r="AD65" s="121" t="s">
        <v>107</v>
      </c>
      <c r="AE65" s="121" t="s">
        <v>106</v>
      </c>
      <c r="AF65" s="39" t="s">
        <v>23</v>
      </c>
      <c r="AG65" s="13"/>
      <c r="AI65" s="4"/>
    </row>
    <row r="66" spans="1:35" s="308" customFormat="1" x14ac:dyDescent="0.25">
      <c r="B66" s="306">
        <v>1</v>
      </c>
      <c r="C66" s="307" t="s">
        <v>10</v>
      </c>
      <c r="D66" s="294">
        <f>'Reversion Pagos R4'!D82</f>
        <v>0</v>
      </c>
      <c r="E66" s="295">
        <f>'Reversion Pagos R4'!E82</f>
        <v>0</v>
      </c>
      <c r="F66" s="295">
        <f>'Reversion Pagos R4'!F82</f>
        <v>0</v>
      </c>
      <c r="G66" s="295">
        <f>'Reversion Pagos R4'!G82</f>
        <v>0</v>
      </c>
      <c r="H66" s="295">
        <f>'Reversion Pagos R4'!H82</f>
        <v>0</v>
      </c>
      <c r="I66" s="295">
        <f>'Reversion Pagos R4'!I82</f>
        <v>0</v>
      </c>
      <c r="J66" s="291">
        <v>0</v>
      </c>
      <c r="K66" s="296">
        <f>D66-E66-F66-G66-H66-I66-J66</f>
        <v>0</v>
      </c>
      <c r="L66" s="297">
        <v>0</v>
      </c>
      <c r="M66" s="296">
        <f>K66-L66</f>
        <v>0</v>
      </c>
      <c r="N66" s="297">
        <f>'Reversion Pagos R4'!P82</f>
        <v>0</v>
      </c>
      <c r="O66" s="296">
        <f>M66+N66</f>
        <v>0</v>
      </c>
      <c r="Q66" s="309"/>
      <c r="S66" s="306">
        <v>1</v>
      </c>
      <c r="T66" s="307" t="s">
        <v>10</v>
      </c>
      <c r="U66" s="310">
        <f>'Reversion Pagos R4'!J82</f>
        <v>0</v>
      </c>
      <c r="V66" s="311">
        <f>'Reversion Pagos R4'!K82</f>
        <v>0</v>
      </c>
      <c r="W66" s="311">
        <f>'Reversion Pagos R4'!L82</f>
        <v>0</v>
      </c>
      <c r="X66" s="311">
        <f>'Reversion Pagos R4'!M82</f>
        <v>0</v>
      </c>
      <c r="Y66" s="311">
        <f>'Reversion Pagos R4'!N82</f>
        <v>0</v>
      </c>
      <c r="Z66" s="313">
        <f>-L66</f>
        <v>0</v>
      </c>
      <c r="AA66" s="314">
        <f>'Reversion Pagos R4'!O82+'Reversion Pagos R4'!Q82</f>
        <v>0</v>
      </c>
      <c r="AB66" s="297">
        <f>N66</f>
        <v>0</v>
      </c>
      <c r="AC66" s="314">
        <v>0</v>
      </c>
      <c r="AD66" s="294">
        <f>-J66+AE66</f>
        <v>0</v>
      </c>
      <c r="AE66" s="294">
        <f>'Reversion Pagos R4'!D83</f>
        <v>0</v>
      </c>
      <c r="AF66" s="316">
        <f>SUM(U66:AD66)</f>
        <v>0</v>
      </c>
      <c r="AG66" s="314">
        <f>(AF66-O66)</f>
        <v>0</v>
      </c>
      <c r="AH66" s="308" t="b">
        <f>INT(AG66)=0</f>
        <v>1</v>
      </c>
      <c r="AI66" s="309"/>
    </row>
    <row r="67" spans="1:35" s="308" customFormat="1" x14ac:dyDescent="0.25">
      <c r="B67" s="317">
        <v>2</v>
      </c>
      <c r="C67" s="318" t="s">
        <v>11</v>
      </c>
      <c r="D67" s="294">
        <f>'Reversion Pagos R4'!D176</f>
        <v>0</v>
      </c>
      <c r="E67" s="295">
        <f>'Reversion Pagos R4'!E176</f>
        <v>0</v>
      </c>
      <c r="F67" s="295">
        <f>'Reversion Pagos R4'!F176</f>
        <v>0</v>
      </c>
      <c r="G67" s="295">
        <f>'Reversion Pagos R4'!G176</f>
        <v>0</v>
      </c>
      <c r="H67" s="295">
        <f>'Reversion Pagos R4'!H176</f>
        <v>0</v>
      </c>
      <c r="I67" s="295">
        <f>'Reversion Pagos R4'!I176</f>
        <v>0</v>
      </c>
      <c r="J67" s="291">
        <v>0</v>
      </c>
      <c r="K67" s="298">
        <f t="shared" ref="K67:K70" si="24">D67-E67-F67-G67-H67-I67-J67</f>
        <v>0</v>
      </c>
      <c r="L67" s="297">
        <v>0</v>
      </c>
      <c r="M67" s="298">
        <f>K67-L67</f>
        <v>0</v>
      </c>
      <c r="N67" s="297">
        <f>'Reversion Pagos R4'!P176</f>
        <v>0</v>
      </c>
      <c r="O67" s="298">
        <f t="shared" ref="O67:O70" si="25">M67+N67</f>
        <v>0</v>
      </c>
      <c r="Q67" s="309"/>
      <c r="S67" s="317">
        <v>2</v>
      </c>
      <c r="T67" s="318" t="s">
        <v>11</v>
      </c>
      <c r="U67" s="319">
        <f>'Reversion Pagos R4'!J176</f>
        <v>0</v>
      </c>
      <c r="V67" s="320">
        <f>'Reversion Pagos R4'!K176</f>
        <v>0</v>
      </c>
      <c r="W67" s="320">
        <f>'Reversion Pagos R4'!L176</f>
        <v>0</v>
      </c>
      <c r="X67" s="320">
        <f>'Reversion Pagos R4'!M176</f>
        <v>0</v>
      </c>
      <c r="Y67" s="321">
        <f>'Reversion Pagos R4'!N176</f>
        <v>0</v>
      </c>
      <c r="Z67" s="322">
        <f t="shared" ref="Z67:Z70" si="26">-L67</f>
        <v>0</v>
      </c>
      <c r="AA67" s="323">
        <f>'Reversion Pagos R4'!O176</f>
        <v>0</v>
      </c>
      <c r="AB67" s="297">
        <f t="shared" ref="AB67:AB70" si="27">N67</f>
        <v>0</v>
      </c>
      <c r="AC67" s="323">
        <v>0</v>
      </c>
      <c r="AD67" s="294">
        <f t="shared" ref="AD67:AD70" si="28">-J67+AE67</f>
        <v>0</v>
      </c>
      <c r="AE67" s="294">
        <f>'Reversion Pagos R4'!D177</f>
        <v>0</v>
      </c>
      <c r="AF67" s="325">
        <f>SUM(U67:AD67)</f>
        <v>0</v>
      </c>
      <c r="AG67" s="326">
        <f>(AF67-O67)</f>
        <v>0</v>
      </c>
      <c r="AH67" s="308" t="b">
        <f t="shared" ref="AH67:AH70" si="29">INT(AG67)=0</f>
        <v>1</v>
      </c>
      <c r="AI67" s="309"/>
    </row>
    <row r="68" spans="1:35" s="308" customFormat="1" x14ac:dyDescent="0.25">
      <c r="B68" s="317">
        <v>3</v>
      </c>
      <c r="C68" s="318" t="s">
        <v>12</v>
      </c>
      <c r="D68" s="294">
        <f>'Reversion Pagos R4'!D213</f>
        <v>0</v>
      </c>
      <c r="E68" s="295">
        <f>'Reversion Pagos R4'!E213</f>
        <v>0</v>
      </c>
      <c r="F68" s="295">
        <f>'Reversion Pagos R4'!F213</f>
        <v>0</v>
      </c>
      <c r="G68" s="295">
        <f>'Reversion Pagos R4'!G213</f>
        <v>0</v>
      </c>
      <c r="H68" s="295">
        <f>'Reversion Pagos R4'!H213</f>
        <v>0</v>
      </c>
      <c r="I68" s="295">
        <f>'Reversion Pagos R4'!I213</f>
        <v>0</v>
      </c>
      <c r="J68" s="291">
        <v>0</v>
      </c>
      <c r="K68" s="298">
        <f t="shared" si="24"/>
        <v>0</v>
      </c>
      <c r="L68" s="297">
        <v>0</v>
      </c>
      <c r="M68" s="298">
        <f>K68-L68</f>
        <v>0</v>
      </c>
      <c r="N68" s="297">
        <f>'Reversion Pagos R4'!P213</f>
        <v>0</v>
      </c>
      <c r="O68" s="298">
        <f t="shared" si="25"/>
        <v>0</v>
      </c>
      <c r="Q68" s="309"/>
      <c r="S68" s="317">
        <v>3</v>
      </c>
      <c r="T68" s="318" t="s">
        <v>12</v>
      </c>
      <c r="U68" s="319">
        <f>'Reversion Pagos R4'!J213</f>
        <v>0</v>
      </c>
      <c r="V68" s="320">
        <f>'Reversion Pagos R4'!K213</f>
        <v>0</v>
      </c>
      <c r="W68" s="320">
        <f>'Reversion Pagos R4'!L213</f>
        <v>0</v>
      </c>
      <c r="X68" s="320">
        <f>'Reversion Pagos R4'!M213</f>
        <v>0</v>
      </c>
      <c r="Y68" s="321">
        <f>'Reversion Pagos R4'!N213</f>
        <v>0</v>
      </c>
      <c r="Z68" s="322">
        <f t="shared" si="26"/>
        <v>0</v>
      </c>
      <c r="AA68" s="323">
        <f>'Reversion Pagos R4'!O213</f>
        <v>0</v>
      </c>
      <c r="AB68" s="297">
        <f t="shared" si="27"/>
        <v>0</v>
      </c>
      <c r="AC68" s="323">
        <v>0</v>
      </c>
      <c r="AD68" s="294">
        <f t="shared" si="28"/>
        <v>0</v>
      </c>
      <c r="AE68" s="294">
        <f>'Reversion Pagos R4'!D214</f>
        <v>0</v>
      </c>
      <c r="AF68" s="325">
        <f t="shared" ref="AF68:AF70" si="30">SUM(U68:AD68)</f>
        <v>0</v>
      </c>
      <c r="AG68" s="326">
        <f t="shared" ref="AG68:AG70" si="31">(AF68-O68)</f>
        <v>0</v>
      </c>
      <c r="AH68" s="308" t="b">
        <f t="shared" si="29"/>
        <v>1</v>
      </c>
      <c r="AI68" s="309"/>
    </row>
    <row r="69" spans="1:35" s="308" customFormat="1" x14ac:dyDescent="0.25">
      <c r="B69" s="317">
        <v>4</v>
      </c>
      <c r="C69" s="318" t="s">
        <v>13</v>
      </c>
      <c r="D69" s="294">
        <f>'Reversion Pagos R4'!D327</f>
        <v>0</v>
      </c>
      <c r="E69" s="295">
        <f>'Reversion Pagos R4'!E327</f>
        <v>0</v>
      </c>
      <c r="F69" s="295">
        <f>'Reversion Pagos R4'!F327</f>
        <v>0</v>
      </c>
      <c r="G69" s="295">
        <f>'Reversion Pagos R4'!G327</f>
        <v>0</v>
      </c>
      <c r="H69" s="295">
        <f>'Reversion Pagos R4'!H327</f>
        <v>0</v>
      </c>
      <c r="I69" s="295">
        <f>'Reversion Pagos R4'!I327</f>
        <v>0</v>
      </c>
      <c r="J69" s="291">
        <v>0</v>
      </c>
      <c r="K69" s="298">
        <f t="shared" si="24"/>
        <v>0</v>
      </c>
      <c r="L69" s="297">
        <v>0</v>
      </c>
      <c r="M69" s="298">
        <f>K69-L69</f>
        <v>0</v>
      </c>
      <c r="N69" s="297">
        <f>'Reversion Pagos R4'!P327</f>
        <v>0</v>
      </c>
      <c r="O69" s="298">
        <f t="shared" si="25"/>
        <v>0</v>
      </c>
      <c r="Q69" s="309"/>
      <c r="S69" s="317">
        <v>4</v>
      </c>
      <c r="T69" s="318" t="s">
        <v>13</v>
      </c>
      <c r="U69" s="319">
        <f>'Reversion Pagos R4'!J327</f>
        <v>0</v>
      </c>
      <c r="V69" s="320">
        <f>'Reversion Pagos R4'!K327</f>
        <v>0</v>
      </c>
      <c r="W69" s="320">
        <f>'Reversion Pagos R4'!L327</f>
        <v>0</v>
      </c>
      <c r="X69" s="320">
        <f>'Reversion Pagos R4'!M327</f>
        <v>0</v>
      </c>
      <c r="Y69" s="321">
        <f>'Reversion Pagos R4'!N327</f>
        <v>0</v>
      </c>
      <c r="Z69" s="322">
        <f t="shared" si="26"/>
        <v>0</v>
      </c>
      <c r="AA69" s="323">
        <f>'Reversion Pagos R4'!O327</f>
        <v>0</v>
      </c>
      <c r="AB69" s="297">
        <f t="shared" si="27"/>
        <v>0</v>
      </c>
      <c r="AC69" s="323">
        <v>0</v>
      </c>
      <c r="AD69" s="294">
        <f t="shared" si="28"/>
        <v>0</v>
      </c>
      <c r="AE69" s="294">
        <f>'Reversion Pagos R4'!D328</f>
        <v>0</v>
      </c>
      <c r="AF69" s="325">
        <f>SUM(U69:AD69)</f>
        <v>0</v>
      </c>
      <c r="AG69" s="326">
        <f>(AF69-O69)</f>
        <v>0</v>
      </c>
      <c r="AH69" s="308" t="b">
        <f t="shared" si="29"/>
        <v>1</v>
      </c>
      <c r="AI69" s="309"/>
    </row>
    <row r="70" spans="1:35" s="308" customFormat="1" ht="12" thickBot="1" x14ac:dyDescent="0.3">
      <c r="B70" s="327">
        <v>5</v>
      </c>
      <c r="C70" s="328" t="s">
        <v>14</v>
      </c>
      <c r="D70" s="299">
        <f>'Reversion Pagos R4'!D362</f>
        <v>0</v>
      </c>
      <c r="E70" s="300">
        <f>'Reversion Pagos R4'!E362</f>
        <v>0</v>
      </c>
      <c r="F70" s="300">
        <f>'Reversion Pagos R4'!F362</f>
        <v>0</v>
      </c>
      <c r="G70" s="300">
        <f>'Reversion Pagos R4'!G362</f>
        <v>0</v>
      </c>
      <c r="H70" s="300">
        <f>'Reversion Pagos R4'!H362</f>
        <v>0</v>
      </c>
      <c r="I70" s="300">
        <f>'Reversion Pagos R4'!I362</f>
        <v>0</v>
      </c>
      <c r="J70" s="292">
        <v>0</v>
      </c>
      <c r="K70" s="298">
        <f t="shared" si="24"/>
        <v>0</v>
      </c>
      <c r="L70" s="297">
        <v>0</v>
      </c>
      <c r="M70" s="301">
        <f>K70-L70</f>
        <v>0</v>
      </c>
      <c r="N70" s="297">
        <f>'Reversion Pagos R4'!P362</f>
        <v>0</v>
      </c>
      <c r="O70" s="301">
        <f t="shared" si="25"/>
        <v>0</v>
      </c>
      <c r="Q70" s="309"/>
      <c r="S70" s="327">
        <v>5</v>
      </c>
      <c r="T70" s="328" t="s">
        <v>14</v>
      </c>
      <c r="U70" s="299">
        <f>'Reversion Pagos R4'!J362</f>
        <v>0</v>
      </c>
      <c r="V70" s="300">
        <f>'Reversion Pagos R4'!K362</f>
        <v>0</v>
      </c>
      <c r="W70" s="300">
        <f>'Reversion Pagos R4'!L362</f>
        <v>0</v>
      </c>
      <c r="X70" s="300">
        <f>'Reversion Pagos R4'!M362</f>
        <v>0</v>
      </c>
      <c r="Y70" s="292">
        <f>'Reversion Pagos R4'!N362</f>
        <v>0</v>
      </c>
      <c r="Z70" s="322">
        <f t="shared" si="26"/>
        <v>0</v>
      </c>
      <c r="AA70" s="323">
        <f>'Reversion Pagos R4'!O362</f>
        <v>0</v>
      </c>
      <c r="AB70" s="297">
        <f t="shared" si="27"/>
        <v>0</v>
      </c>
      <c r="AC70" s="323">
        <v>0</v>
      </c>
      <c r="AD70" s="294">
        <f t="shared" si="28"/>
        <v>0</v>
      </c>
      <c r="AE70" s="294">
        <f>'Reversion Pagos R4'!D363</f>
        <v>0</v>
      </c>
      <c r="AF70" s="325">
        <f t="shared" si="30"/>
        <v>0</v>
      </c>
      <c r="AG70" s="329">
        <f t="shared" si="31"/>
        <v>0</v>
      </c>
      <c r="AH70" s="308" t="b">
        <f t="shared" si="29"/>
        <v>1</v>
      </c>
      <c r="AI70" s="309"/>
    </row>
    <row r="71" spans="1:35" s="308" customFormat="1" ht="13.5" thickBot="1" x14ac:dyDescent="0.35">
      <c r="B71" s="330"/>
      <c r="C71" s="331" t="s">
        <v>2</v>
      </c>
      <c r="D71" s="293">
        <f t="shared" ref="D71:O71" si="32">SUM(D66:D70)</f>
        <v>0</v>
      </c>
      <c r="E71" s="293">
        <f t="shared" si="32"/>
        <v>0</v>
      </c>
      <c r="F71" s="293">
        <f t="shared" si="32"/>
        <v>0</v>
      </c>
      <c r="G71" s="293">
        <f t="shared" si="32"/>
        <v>0</v>
      </c>
      <c r="H71" s="293">
        <f t="shared" si="32"/>
        <v>0</v>
      </c>
      <c r="I71" s="293">
        <f t="shared" si="32"/>
        <v>0</v>
      </c>
      <c r="J71" s="293">
        <f t="shared" si="32"/>
        <v>0</v>
      </c>
      <c r="K71" s="303">
        <f t="shared" si="32"/>
        <v>0</v>
      </c>
      <c r="L71" s="304">
        <f t="shared" si="32"/>
        <v>0</v>
      </c>
      <c r="M71" s="305">
        <f t="shared" si="32"/>
        <v>0</v>
      </c>
      <c r="N71" s="304">
        <f t="shared" si="32"/>
        <v>0</v>
      </c>
      <c r="O71" s="305">
        <f t="shared" si="32"/>
        <v>0</v>
      </c>
      <c r="P71" s="332"/>
      <c r="Q71" s="309"/>
      <c r="S71" s="330"/>
      <c r="T71" s="331" t="s">
        <v>2</v>
      </c>
      <c r="U71" s="333">
        <f>SUM(U66:U70)</f>
        <v>0</v>
      </c>
      <c r="V71" s="333">
        <f t="shared" ref="V71:AG71" si="33">SUM(V66:V70)</f>
        <v>0</v>
      </c>
      <c r="W71" s="333">
        <f t="shared" si="33"/>
        <v>0</v>
      </c>
      <c r="X71" s="333">
        <f t="shared" si="33"/>
        <v>0</v>
      </c>
      <c r="Y71" s="333">
        <f t="shared" si="33"/>
        <v>0</v>
      </c>
      <c r="Z71" s="293">
        <f t="shared" si="33"/>
        <v>0</v>
      </c>
      <c r="AA71" s="293">
        <f>SUM(AA66:AA70)</f>
        <v>0</v>
      </c>
      <c r="AB71" s="293">
        <f t="shared" si="33"/>
        <v>0</v>
      </c>
      <c r="AC71" s="293">
        <f t="shared" si="33"/>
        <v>0</v>
      </c>
      <c r="AD71" s="293">
        <f>SUM(AD66:AD70)</f>
        <v>0</v>
      </c>
      <c r="AE71" s="293">
        <f>SUM(AE66:AE70)</f>
        <v>0</v>
      </c>
      <c r="AF71" s="334">
        <f t="shared" si="33"/>
        <v>0</v>
      </c>
      <c r="AG71" s="335">
        <f t="shared" si="33"/>
        <v>0</v>
      </c>
      <c r="AH71" s="308" t="b">
        <f>INT(AG71)=0</f>
        <v>1</v>
      </c>
      <c r="AI71" s="309"/>
    </row>
    <row r="72" spans="1:35" ht="12" thickBot="1" x14ac:dyDescent="0.3">
      <c r="B72" s="2"/>
      <c r="C72" s="2"/>
      <c r="D72" s="24"/>
      <c r="E72" s="24"/>
      <c r="F72" s="24"/>
      <c r="G72" s="24"/>
      <c r="H72" s="24"/>
      <c r="I72" s="24"/>
      <c r="K72" s="24"/>
      <c r="L72" s="24"/>
      <c r="M72" s="24"/>
      <c r="N72" s="24"/>
      <c r="O72" s="24"/>
      <c r="Q72" s="4"/>
      <c r="S72" s="2"/>
      <c r="T72" s="2"/>
      <c r="U72" s="24"/>
      <c r="V72" s="24"/>
      <c r="W72" s="24"/>
      <c r="X72" s="24"/>
      <c r="Y72" s="24"/>
      <c r="AF72" s="24"/>
      <c r="AI72" s="4"/>
    </row>
    <row r="73" spans="1:35" ht="12" thickBot="1" x14ac:dyDescent="0.3">
      <c r="B73" s="2"/>
      <c r="C73" s="2"/>
      <c r="D73" s="24" t="s">
        <v>1</v>
      </c>
      <c r="E73" s="24"/>
      <c r="F73" s="24"/>
      <c r="G73" s="24"/>
      <c r="H73" s="24"/>
      <c r="I73" s="24"/>
      <c r="K73" s="24"/>
      <c r="L73" s="24"/>
      <c r="M73" s="24"/>
      <c r="N73" s="24"/>
      <c r="O73" s="24"/>
      <c r="Q73" s="4"/>
      <c r="Y73" s="86">
        <f>SUM(U71:Y71)</f>
        <v>0</v>
      </c>
      <c r="AA73" s="1" t="s">
        <v>1</v>
      </c>
      <c r="AB73" s="1" t="s">
        <v>1</v>
      </c>
      <c r="AD73" s="1" t="s">
        <v>1</v>
      </c>
      <c r="AF73" s="1" t="s">
        <v>1</v>
      </c>
      <c r="AI73" s="4"/>
    </row>
    <row r="74" spans="1:35" ht="12" thickBot="1" x14ac:dyDescent="0.3">
      <c r="B74" s="2"/>
      <c r="C74" s="2"/>
      <c r="D74" s="24" t="s">
        <v>1</v>
      </c>
      <c r="E74" s="33"/>
      <c r="F74" s="33"/>
      <c r="G74" s="33"/>
      <c r="H74" s="33"/>
      <c r="I74" s="24"/>
      <c r="K74" s="24"/>
      <c r="L74" s="24"/>
      <c r="M74" s="24"/>
      <c r="N74" s="24"/>
      <c r="O74" s="24"/>
      <c r="Q74" s="4"/>
      <c r="AI74" s="4"/>
    </row>
    <row r="75" spans="1:35" x14ac:dyDescent="0.25">
      <c r="B75" s="2"/>
      <c r="C75" s="2"/>
      <c r="D75" s="24" t="s">
        <v>1</v>
      </c>
      <c r="E75" s="24" t="s">
        <v>1</v>
      </c>
      <c r="F75" s="24" t="s">
        <v>25</v>
      </c>
      <c r="G75" s="24"/>
      <c r="H75" s="24"/>
      <c r="I75" s="24"/>
      <c r="K75" s="24"/>
      <c r="L75" s="24"/>
      <c r="M75" s="24"/>
      <c r="N75" s="24"/>
      <c r="O75" s="24"/>
      <c r="Q75" s="4"/>
      <c r="AI75" s="4"/>
    </row>
    <row r="76" spans="1:35" x14ac:dyDescent="0.25">
      <c r="A76" s="4"/>
      <c r="B76" s="34"/>
      <c r="C76" s="34"/>
      <c r="D76" s="35"/>
      <c r="E76" s="35"/>
      <c r="F76" s="35"/>
      <c r="G76" s="35"/>
      <c r="H76" s="35"/>
      <c r="I76" s="35"/>
      <c r="J76" s="4"/>
      <c r="K76" s="35"/>
      <c r="L76" s="35"/>
      <c r="M76" s="35"/>
      <c r="N76" s="35"/>
      <c r="O76" s="35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</row>
    <row r="77" spans="1:35" ht="12" thickBot="1" x14ac:dyDescent="0.3">
      <c r="Q77" s="4"/>
      <c r="AI77" s="4"/>
    </row>
    <row r="78" spans="1:35" x14ac:dyDescent="0.25">
      <c r="B78" s="5"/>
      <c r="C78" s="3" t="s">
        <v>1</v>
      </c>
      <c r="D78" s="6" t="s">
        <v>1</v>
      </c>
      <c r="E78" s="3"/>
      <c r="F78" s="3"/>
      <c r="G78" s="3"/>
      <c r="H78" s="3" t="s">
        <v>1</v>
      </c>
      <c r="I78" s="3"/>
      <c r="J78" s="3"/>
      <c r="K78" s="3"/>
      <c r="L78" s="3"/>
      <c r="M78" s="3"/>
      <c r="N78" s="3"/>
      <c r="O78" s="7"/>
      <c r="P78" s="2"/>
      <c r="Q78" s="4"/>
      <c r="S78" s="5"/>
      <c r="T78" s="3" t="s">
        <v>1</v>
      </c>
      <c r="U78" s="6" t="s">
        <v>1</v>
      </c>
      <c r="V78" s="3"/>
      <c r="W78" s="3"/>
      <c r="X78" s="3" t="s">
        <v>1</v>
      </c>
      <c r="Y78" s="3"/>
      <c r="Z78" s="3"/>
      <c r="AA78" s="3"/>
      <c r="AB78" s="3"/>
      <c r="AC78" s="3"/>
      <c r="AD78" s="3"/>
      <c r="AE78" s="3"/>
      <c r="AF78" s="7"/>
      <c r="AG78" s="2"/>
      <c r="AI78" s="4"/>
    </row>
    <row r="79" spans="1:35" ht="14" x14ac:dyDescent="0.3">
      <c r="B79" s="8"/>
      <c r="F79" s="26" t="s">
        <v>8</v>
      </c>
      <c r="G79" s="26"/>
      <c r="I79" s="26" t="s">
        <v>16</v>
      </c>
      <c r="J79" s="25"/>
      <c r="M79" s="2" t="s">
        <v>15</v>
      </c>
      <c r="N79" s="50">
        <f>N3</f>
        <v>2026071</v>
      </c>
      <c r="O79" s="10"/>
      <c r="P79" s="2"/>
      <c r="Q79" s="4"/>
      <c r="S79" s="8"/>
      <c r="U79" s="26" t="s">
        <v>8</v>
      </c>
      <c r="W79" s="26" t="s">
        <v>16</v>
      </c>
      <c r="X79" s="25"/>
      <c r="Y79" s="2"/>
      <c r="AA79" s="2" t="s">
        <v>15</v>
      </c>
      <c r="AD79" s="84">
        <f>N79</f>
        <v>2026071</v>
      </c>
      <c r="AE79" s="84"/>
      <c r="AF79" s="48"/>
      <c r="AG79" s="2"/>
      <c r="AI79" s="4"/>
    </row>
    <row r="80" spans="1:35" ht="15.5" x14ac:dyDescent="0.35">
      <c r="B80" s="8"/>
      <c r="F80" s="36" t="s">
        <v>29</v>
      </c>
      <c r="G80" s="36"/>
      <c r="O80" s="10"/>
      <c r="P80" s="2"/>
      <c r="Q80" s="4"/>
      <c r="S80" s="8"/>
      <c r="T80" s="26" t="s">
        <v>1</v>
      </c>
      <c r="U80" s="36" t="s">
        <v>29</v>
      </c>
      <c r="Y80" s="2" t="s">
        <v>1</v>
      </c>
      <c r="AA80" s="50" t="s">
        <v>1</v>
      </c>
      <c r="AB80" s="2"/>
      <c r="AC80" s="2"/>
      <c r="AD80" s="2"/>
      <c r="AE80" s="2"/>
      <c r="AF80" s="10" t="s">
        <v>1</v>
      </c>
      <c r="AG80" s="2"/>
      <c r="AI80" s="4"/>
    </row>
    <row r="81" spans="1:35" ht="14" x14ac:dyDescent="0.3">
      <c r="B81" s="8"/>
      <c r="F81" s="2" t="s">
        <v>30</v>
      </c>
      <c r="G81" s="2"/>
      <c r="M81" s="2" t="s">
        <v>1</v>
      </c>
      <c r="O81" s="10"/>
      <c r="P81" s="2"/>
      <c r="Q81" s="4"/>
      <c r="S81" s="8"/>
      <c r="T81" s="49" t="s">
        <v>1</v>
      </c>
      <c r="U81" s="2" t="s">
        <v>30</v>
      </c>
      <c r="AF81" s="44"/>
      <c r="AG81" s="2"/>
      <c r="AI81" s="4"/>
    </row>
    <row r="82" spans="1:35" ht="15.5" x14ac:dyDescent="0.35">
      <c r="B82" s="8"/>
      <c r="C82" s="591" t="s">
        <v>17</v>
      </c>
      <c r="D82" s="9">
        <f>D6</f>
        <v>46220</v>
      </c>
      <c r="F82" s="41" t="s">
        <v>126</v>
      </c>
      <c r="G82" s="41"/>
      <c r="H82" s="2"/>
      <c r="J82" s="2"/>
      <c r="O82" s="10"/>
      <c r="P82" s="2"/>
      <c r="Q82" s="4"/>
      <c r="S82" s="8"/>
      <c r="T82" s="41" t="s">
        <v>1</v>
      </c>
      <c r="U82" s="41" t="s">
        <v>34</v>
      </c>
      <c r="V82" s="2"/>
      <c r="X82" s="2"/>
      <c r="Y82" s="2"/>
      <c r="AF82" s="48"/>
      <c r="AG82" s="2"/>
      <c r="AI82" s="4"/>
    </row>
    <row r="83" spans="1:35" ht="12" thickBot="1" x14ac:dyDescent="0.3">
      <c r="B83" s="8"/>
      <c r="C83" s="591" t="s">
        <v>0</v>
      </c>
      <c r="D83" s="241">
        <f>D7</f>
        <v>0.58333333333333337</v>
      </c>
      <c r="F83" s="2" t="s">
        <v>27</v>
      </c>
      <c r="G83" s="9">
        <f>G7</f>
        <v>46204</v>
      </c>
      <c r="J83" s="2" t="s">
        <v>28</v>
      </c>
      <c r="K83" s="9">
        <f>K7</f>
        <v>46218</v>
      </c>
      <c r="O83" s="10"/>
      <c r="P83" s="2"/>
      <c r="Q83" s="4"/>
      <c r="S83" s="8"/>
      <c r="U83" s="1" t="str">
        <f>F83</f>
        <v>Fecha Desde:</v>
      </c>
      <c r="V83" s="9">
        <f>G83</f>
        <v>46204</v>
      </c>
      <c r="W83" s="1" t="s">
        <v>1</v>
      </c>
      <c r="X83" s="1" t="str">
        <f>J83</f>
        <v>Feha Hasta:</v>
      </c>
      <c r="Y83" s="9">
        <f>K83</f>
        <v>46218</v>
      </c>
      <c r="Z83" s="1" t="s">
        <v>1</v>
      </c>
      <c r="AF83" s="48"/>
      <c r="AG83" s="2"/>
      <c r="AI83" s="4"/>
    </row>
    <row r="84" spans="1:35" ht="72" customHeight="1" thickBot="1" x14ac:dyDescent="0.3">
      <c r="B84" s="11" t="s">
        <v>3</v>
      </c>
      <c r="C84" s="27" t="s">
        <v>9</v>
      </c>
      <c r="D84" s="11" t="s">
        <v>4</v>
      </c>
      <c r="E84" s="12" t="s">
        <v>5</v>
      </c>
      <c r="F84" s="27" t="s">
        <v>6</v>
      </c>
      <c r="G84" s="27" t="s">
        <v>159</v>
      </c>
      <c r="H84" s="27" t="s">
        <v>18</v>
      </c>
      <c r="I84" s="12" t="s">
        <v>24</v>
      </c>
      <c r="J84" s="73" t="s">
        <v>19</v>
      </c>
      <c r="K84" s="29" t="s">
        <v>20</v>
      </c>
      <c r="L84" s="28" t="s">
        <v>21</v>
      </c>
      <c r="M84" s="39" t="s">
        <v>22</v>
      </c>
      <c r="N84" s="12" t="s">
        <v>7</v>
      </c>
      <c r="O84" s="39" t="s">
        <v>23</v>
      </c>
      <c r="P84" s="13"/>
      <c r="Q84" s="4"/>
      <c r="S84" s="11" t="s">
        <v>3</v>
      </c>
      <c r="T84" s="27" t="s">
        <v>9</v>
      </c>
      <c r="U84" s="162" t="s">
        <v>39</v>
      </c>
      <c r="V84" s="163" t="s">
        <v>40</v>
      </c>
      <c r="W84" s="163" t="s">
        <v>41</v>
      </c>
      <c r="X84" s="163" t="s">
        <v>42</v>
      </c>
      <c r="Y84" s="164" t="s">
        <v>43</v>
      </c>
      <c r="Z84" s="85" t="s">
        <v>21</v>
      </c>
      <c r="AA84" s="65" t="s">
        <v>46</v>
      </c>
      <c r="AB84" s="65" t="s">
        <v>7</v>
      </c>
      <c r="AC84" s="85" t="s">
        <v>167</v>
      </c>
      <c r="AD84" s="121" t="s">
        <v>105</v>
      </c>
      <c r="AE84" s="121" t="s">
        <v>104</v>
      </c>
      <c r="AF84" s="39" t="s">
        <v>23</v>
      </c>
      <c r="AG84" s="13"/>
      <c r="AI84" s="4"/>
    </row>
    <row r="85" spans="1:35" s="308" customFormat="1" x14ac:dyDescent="0.25">
      <c r="B85" s="306">
        <v>1</v>
      </c>
      <c r="C85" s="307" t="s">
        <v>10</v>
      </c>
      <c r="D85" s="294">
        <v>0</v>
      </c>
      <c r="E85" s="295">
        <v>0</v>
      </c>
      <c r="F85" s="295">
        <v>0</v>
      </c>
      <c r="G85" s="295">
        <v>0</v>
      </c>
      <c r="H85" s="295">
        <v>0</v>
      </c>
      <c r="I85" s="295">
        <v>0</v>
      </c>
      <c r="J85" s="291">
        <v>0</v>
      </c>
      <c r="K85" s="296">
        <f>D85-E85-F85-G85-H85-I85-J85</f>
        <v>0</v>
      </c>
      <c r="L85" s="297">
        <v>0</v>
      </c>
      <c r="M85" s="296">
        <f>K85-L85</f>
        <v>0</v>
      </c>
      <c r="N85" s="297">
        <v>0</v>
      </c>
      <c r="O85" s="296">
        <f>M85+N85</f>
        <v>0</v>
      </c>
      <c r="Q85" s="309"/>
      <c r="S85" s="306">
        <v>1</v>
      </c>
      <c r="T85" s="307" t="s">
        <v>10</v>
      </c>
      <c r="U85" s="310">
        <v>0</v>
      </c>
      <c r="V85" s="311">
        <v>0</v>
      </c>
      <c r="W85" s="311">
        <v>0</v>
      </c>
      <c r="X85" s="311">
        <v>0</v>
      </c>
      <c r="Y85" s="312">
        <v>0</v>
      </c>
      <c r="Z85" s="313">
        <f>-L85</f>
        <v>0</v>
      </c>
      <c r="AA85" s="314">
        <v>0</v>
      </c>
      <c r="AB85" s="297">
        <f>N85</f>
        <v>0</v>
      </c>
      <c r="AC85" s="314">
        <v>0</v>
      </c>
      <c r="AD85" s="294">
        <f>-J85+AE85</f>
        <v>0</v>
      </c>
      <c r="AE85" s="294">
        <v>0</v>
      </c>
      <c r="AF85" s="316">
        <f>SUM(U85:AD85)</f>
        <v>0</v>
      </c>
      <c r="AG85" s="314">
        <f>AF85-O85</f>
        <v>0</v>
      </c>
      <c r="AH85" s="308" t="b">
        <f>INT(AG85)=0</f>
        <v>1</v>
      </c>
      <c r="AI85" s="309"/>
    </row>
    <row r="86" spans="1:35" s="308" customFormat="1" x14ac:dyDescent="0.25">
      <c r="B86" s="317">
        <v>2</v>
      </c>
      <c r="C86" s="318" t="s">
        <v>11</v>
      </c>
      <c r="D86" s="294">
        <v>0</v>
      </c>
      <c r="E86" s="295">
        <v>0</v>
      </c>
      <c r="F86" s="295">
        <v>0</v>
      </c>
      <c r="G86" s="295">
        <v>0</v>
      </c>
      <c r="H86" s="295">
        <v>0</v>
      </c>
      <c r="I86" s="295">
        <v>0</v>
      </c>
      <c r="J86" s="291">
        <v>0</v>
      </c>
      <c r="K86" s="298">
        <f t="shared" ref="K86:K89" si="34">D86-E86-F86-G86-H86-I86-J86</f>
        <v>0</v>
      </c>
      <c r="L86" s="297">
        <v>0</v>
      </c>
      <c r="M86" s="298">
        <f>K86-L86</f>
        <v>0</v>
      </c>
      <c r="N86" s="297">
        <v>0</v>
      </c>
      <c r="O86" s="298">
        <f t="shared" ref="O86:O89" si="35">M86+N86</f>
        <v>0</v>
      </c>
      <c r="Q86" s="309"/>
      <c r="S86" s="317">
        <v>2</v>
      </c>
      <c r="T86" s="318" t="s">
        <v>11</v>
      </c>
      <c r="U86" s="319">
        <v>0</v>
      </c>
      <c r="V86" s="320">
        <v>0</v>
      </c>
      <c r="W86" s="320">
        <v>0</v>
      </c>
      <c r="X86" s="320">
        <v>0</v>
      </c>
      <c r="Y86" s="321">
        <v>0</v>
      </c>
      <c r="Z86" s="322">
        <f>-L86</f>
        <v>0</v>
      </c>
      <c r="AA86" s="323">
        <v>0</v>
      </c>
      <c r="AB86" s="297">
        <f>N86</f>
        <v>0</v>
      </c>
      <c r="AC86" s="323">
        <v>0</v>
      </c>
      <c r="AD86" s="294">
        <f t="shared" ref="AD86:AD89" si="36">-J86+AE86</f>
        <v>0</v>
      </c>
      <c r="AE86" s="294">
        <v>0</v>
      </c>
      <c r="AF86" s="325">
        <f>SUM(U86:AD86)</f>
        <v>0</v>
      </c>
      <c r="AG86" s="326">
        <f>AF86-O86</f>
        <v>0</v>
      </c>
      <c r="AH86" s="308" t="b">
        <f t="shared" ref="AH86:AH89" si="37">INT(AG86)=0</f>
        <v>1</v>
      </c>
      <c r="AI86" s="309"/>
    </row>
    <row r="87" spans="1:35" s="308" customFormat="1" x14ac:dyDescent="0.25">
      <c r="B87" s="317">
        <v>3</v>
      </c>
      <c r="C87" s="318" t="s">
        <v>12</v>
      </c>
      <c r="D87" s="294">
        <v>0</v>
      </c>
      <c r="E87" s="295">
        <v>0</v>
      </c>
      <c r="F87" s="295">
        <v>0</v>
      </c>
      <c r="G87" s="295">
        <v>0</v>
      </c>
      <c r="H87" s="295">
        <v>0</v>
      </c>
      <c r="I87" s="295">
        <v>0</v>
      </c>
      <c r="J87" s="291">
        <v>0</v>
      </c>
      <c r="K87" s="298">
        <f t="shared" si="34"/>
        <v>0</v>
      </c>
      <c r="L87" s="297">
        <v>0</v>
      </c>
      <c r="M87" s="298">
        <f>K87-L87</f>
        <v>0</v>
      </c>
      <c r="N87" s="297">
        <v>0</v>
      </c>
      <c r="O87" s="298">
        <f t="shared" si="35"/>
        <v>0</v>
      </c>
      <c r="Q87" s="309"/>
      <c r="S87" s="317">
        <v>3</v>
      </c>
      <c r="T87" s="318" t="s">
        <v>12</v>
      </c>
      <c r="U87" s="319">
        <v>0</v>
      </c>
      <c r="V87" s="320">
        <v>0</v>
      </c>
      <c r="W87" s="320">
        <v>0</v>
      </c>
      <c r="X87" s="320">
        <v>0</v>
      </c>
      <c r="Y87" s="321">
        <v>0</v>
      </c>
      <c r="Z87" s="322">
        <f>-L87</f>
        <v>0</v>
      </c>
      <c r="AA87" s="323">
        <v>0</v>
      </c>
      <c r="AB87" s="297">
        <f>N87</f>
        <v>0</v>
      </c>
      <c r="AC87" s="323">
        <v>0</v>
      </c>
      <c r="AD87" s="294">
        <f t="shared" si="36"/>
        <v>0</v>
      </c>
      <c r="AE87" s="294">
        <v>0</v>
      </c>
      <c r="AF87" s="325">
        <f t="shared" ref="AF87:AF89" si="38">SUM(U87:AD87)</f>
        <v>0</v>
      </c>
      <c r="AG87" s="326">
        <f>AF87-O87</f>
        <v>0</v>
      </c>
      <c r="AH87" s="308" t="b">
        <f t="shared" si="37"/>
        <v>1</v>
      </c>
      <c r="AI87" s="309"/>
    </row>
    <row r="88" spans="1:35" s="308" customFormat="1" x14ac:dyDescent="0.25">
      <c r="B88" s="317">
        <v>4</v>
      </c>
      <c r="C88" s="318" t="s">
        <v>13</v>
      </c>
      <c r="D88" s="294">
        <v>0</v>
      </c>
      <c r="E88" s="295">
        <v>0</v>
      </c>
      <c r="F88" s="295">
        <v>0</v>
      </c>
      <c r="G88" s="295">
        <v>0</v>
      </c>
      <c r="H88" s="295">
        <v>0</v>
      </c>
      <c r="I88" s="295">
        <v>0</v>
      </c>
      <c r="J88" s="291">
        <v>0</v>
      </c>
      <c r="K88" s="298">
        <f t="shared" si="34"/>
        <v>0</v>
      </c>
      <c r="L88" s="297">
        <v>0</v>
      </c>
      <c r="M88" s="298">
        <f>K88-L88</f>
        <v>0</v>
      </c>
      <c r="N88" s="297">
        <v>0</v>
      </c>
      <c r="O88" s="298">
        <f t="shared" si="35"/>
        <v>0</v>
      </c>
      <c r="Q88" s="309"/>
      <c r="S88" s="317">
        <v>4</v>
      </c>
      <c r="T88" s="318" t="s">
        <v>13</v>
      </c>
      <c r="U88" s="319">
        <v>0</v>
      </c>
      <c r="V88" s="320">
        <v>0</v>
      </c>
      <c r="W88" s="320">
        <v>0</v>
      </c>
      <c r="X88" s="320">
        <v>0</v>
      </c>
      <c r="Y88" s="321">
        <v>0</v>
      </c>
      <c r="Z88" s="322">
        <f>-L88</f>
        <v>0</v>
      </c>
      <c r="AA88" s="323">
        <v>0</v>
      </c>
      <c r="AB88" s="297">
        <f>N88</f>
        <v>0</v>
      </c>
      <c r="AC88" s="323">
        <v>0</v>
      </c>
      <c r="AD88" s="294">
        <f t="shared" si="36"/>
        <v>0</v>
      </c>
      <c r="AE88" s="294">
        <v>0</v>
      </c>
      <c r="AF88" s="325">
        <f t="shared" si="38"/>
        <v>0</v>
      </c>
      <c r="AG88" s="326">
        <f>AF88-O88</f>
        <v>0</v>
      </c>
      <c r="AH88" s="308" t="b">
        <f t="shared" si="37"/>
        <v>1</v>
      </c>
      <c r="AI88" s="309"/>
    </row>
    <row r="89" spans="1:35" s="308" customFormat="1" ht="12" thickBot="1" x14ac:dyDescent="0.3">
      <c r="B89" s="327">
        <v>5</v>
      </c>
      <c r="C89" s="328" t="s">
        <v>14</v>
      </c>
      <c r="D89" s="299">
        <v>0</v>
      </c>
      <c r="E89" s="300">
        <v>0</v>
      </c>
      <c r="F89" s="300">
        <v>0</v>
      </c>
      <c r="G89" s="300">
        <v>0</v>
      </c>
      <c r="H89" s="300">
        <v>0</v>
      </c>
      <c r="I89" s="300">
        <v>0</v>
      </c>
      <c r="J89" s="292">
        <v>0</v>
      </c>
      <c r="K89" s="298">
        <f t="shared" si="34"/>
        <v>0</v>
      </c>
      <c r="L89" s="297">
        <v>0</v>
      </c>
      <c r="M89" s="301">
        <f>K89-L89</f>
        <v>0</v>
      </c>
      <c r="N89" s="302">
        <v>0</v>
      </c>
      <c r="O89" s="301">
        <f t="shared" si="35"/>
        <v>0</v>
      </c>
      <c r="Q89" s="309"/>
      <c r="S89" s="327">
        <v>5</v>
      </c>
      <c r="T89" s="328" t="s">
        <v>14</v>
      </c>
      <c r="U89" s="299">
        <v>0</v>
      </c>
      <c r="V89" s="300">
        <v>0</v>
      </c>
      <c r="W89" s="300">
        <v>0</v>
      </c>
      <c r="X89" s="300">
        <v>0</v>
      </c>
      <c r="Y89" s="292">
        <v>0</v>
      </c>
      <c r="Z89" s="322">
        <f>-L89</f>
        <v>0</v>
      </c>
      <c r="AA89" s="323">
        <v>0</v>
      </c>
      <c r="AB89" s="297">
        <f>N89</f>
        <v>0</v>
      </c>
      <c r="AC89" s="323">
        <v>0</v>
      </c>
      <c r="AD89" s="294">
        <f t="shared" si="36"/>
        <v>0</v>
      </c>
      <c r="AE89" s="294">
        <v>0</v>
      </c>
      <c r="AF89" s="325">
        <f t="shared" si="38"/>
        <v>0</v>
      </c>
      <c r="AG89" s="329">
        <f>AF89-O89</f>
        <v>0</v>
      </c>
      <c r="AH89" s="308" t="b">
        <f t="shared" si="37"/>
        <v>1</v>
      </c>
      <c r="AI89" s="309"/>
    </row>
    <row r="90" spans="1:35" s="308" customFormat="1" ht="13.5" thickBot="1" x14ac:dyDescent="0.35">
      <c r="B90" s="330"/>
      <c r="C90" s="331" t="s">
        <v>2</v>
      </c>
      <c r="D90" s="293">
        <f t="shared" ref="D90:O90" si="39">SUM(D85:D89)</f>
        <v>0</v>
      </c>
      <c r="E90" s="293">
        <f t="shared" si="39"/>
        <v>0</v>
      </c>
      <c r="F90" s="293">
        <f t="shared" si="39"/>
        <v>0</v>
      </c>
      <c r="G90" s="293">
        <f t="shared" si="39"/>
        <v>0</v>
      </c>
      <c r="H90" s="293">
        <f t="shared" si="39"/>
        <v>0</v>
      </c>
      <c r="I90" s="293">
        <f t="shared" si="39"/>
        <v>0</v>
      </c>
      <c r="J90" s="293">
        <f t="shared" si="39"/>
        <v>0</v>
      </c>
      <c r="K90" s="303">
        <f t="shared" si="39"/>
        <v>0</v>
      </c>
      <c r="L90" s="304">
        <f t="shared" si="39"/>
        <v>0</v>
      </c>
      <c r="M90" s="305">
        <f t="shared" si="39"/>
        <v>0</v>
      </c>
      <c r="N90" s="304">
        <f t="shared" si="39"/>
        <v>0</v>
      </c>
      <c r="O90" s="305">
        <f t="shared" si="39"/>
        <v>0</v>
      </c>
      <c r="P90" s="332"/>
      <c r="Q90" s="309"/>
      <c r="S90" s="330"/>
      <c r="T90" s="331" t="s">
        <v>2</v>
      </c>
      <c r="U90" s="333">
        <f>SUM(U85:U89)</f>
        <v>0</v>
      </c>
      <c r="V90" s="333">
        <f t="shared" ref="V90:AG90" si="40">SUM(V85:V89)</f>
        <v>0</v>
      </c>
      <c r="W90" s="333">
        <f t="shared" si="40"/>
        <v>0</v>
      </c>
      <c r="X90" s="333">
        <f t="shared" si="40"/>
        <v>0</v>
      </c>
      <c r="Y90" s="333">
        <f t="shared" si="40"/>
        <v>0</v>
      </c>
      <c r="Z90" s="293">
        <f t="shared" si="40"/>
        <v>0</v>
      </c>
      <c r="AA90" s="293">
        <f t="shared" si="40"/>
        <v>0</v>
      </c>
      <c r="AB90" s="293">
        <f t="shared" si="40"/>
        <v>0</v>
      </c>
      <c r="AC90" s="293">
        <f t="shared" si="40"/>
        <v>0</v>
      </c>
      <c r="AD90" s="293">
        <f t="shared" si="40"/>
        <v>0</v>
      </c>
      <c r="AE90" s="293">
        <f t="shared" si="40"/>
        <v>0</v>
      </c>
      <c r="AF90" s="334">
        <f t="shared" si="40"/>
        <v>0</v>
      </c>
      <c r="AG90" s="335">
        <f t="shared" si="40"/>
        <v>0</v>
      </c>
      <c r="AH90" s="308" t="b">
        <f>INT(AG90)=0</f>
        <v>1</v>
      </c>
      <c r="AI90" s="309"/>
    </row>
    <row r="91" spans="1:35" ht="12" thickBot="1" x14ac:dyDescent="0.3">
      <c r="B91" s="2"/>
      <c r="C91" s="2"/>
      <c r="D91" s="24"/>
      <c r="E91" s="24"/>
      <c r="F91" s="24"/>
      <c r="G91" s="24"/>
      <c r="H91" s="24"/>
      <c r="I91" s="24"/>
      <c r="K91" s="24"/>
      <c r="L91" s="24"/>
      <c r="M91" s="24"/>
      <c r="N91" s="24"/>
      <c r="O91" s="24"/>
      <c r="Q91" s="4"/>
      <c r="S91" s="2"/>
      <c r="T91" s="2"/>
      <c r="U91" s="24"/>
      <c r="V91" s="24"/>
      <c r="W91" s="24"/>
      <c r="X91" s="24"/>
      <c r="Y91" s="24"/>
      <c r="AF91" s="24"/>
      <c r="AI91" s="4"/>
    </row>
    <row r="92" spans="1:35" ht="12" thickBot="1" x14ac:dyDescent="0.3">
      <c r="B92" s="2"/>
      <c r="C92" s="2"/>
      <c r="D92" s="24" t="s">
        <v>1</v>
      </c>
      <c r="E92" s="24"/>
      <c r="F92" s="24"/>
      <c r="G92" s="24"/>
      <c r="H92" s="24"/>
      <c r="I92" s="24"/>
      <c r="K92" s="24"/>
      <c r="L92" s="24"/>
      <c r="M92" s="24"/>
      <c r="N92" s="24"/>
      <c r="O92" s="24"/>
      <c r="Q92" s="4"/>
      <c r="Y92" s="86">
        <f>SUM(U90:Y90)</f>
        <v>0</v>
      </c>
      <c r="AA92" s="1" t="s">
        <v>1</v>
      </c>
      <c r="AB92" s="1" t="s">
        <v>1</v>
      </c>
      <c r="AD92" s="1" t="s">
        <v>1</v>
      </c>
      <c r="AF92" s="1" t="s">
        <v>1</v>
      </c>
      <c r="AI92" s="4"/>
    </row>
    <row r="93" spans="1:35" ht="12" thickBot="1" x14ac:dyDescent="0.3">
      <c r="B93" s="2"/>
      <c r="C93" s="2"/>
      <c r="D93" s="24" t="s">
        <v>1</v>
      </c>
      <c r="E93" s="33"/>
      <c r="F93" s="33"/>
      <c r="G93" s="33"/>
      <c r="H93" s="33"/>
      <c r="I93" s="24"/>
      <c r="K93" s="24"/>
      <c r="L93" s="24"/>
      <c r="M93" s="24"/>
      <c r="N93" s="24"/>
      <c r="O93" s="24"/>
      <c r="Q93" s="4"/>
      <c r="AI93" s="4"/>
    </row>
    <row r="94" spans="1:35" x14ac:dyDescent="0.25">
      <c r="B94" s="2"/>
      <c r="C94" s="2"/>
      <c r="D94" s="24" t="s">
        <v>1</v>
      </c>
      <c r="E94" s="24" t="s">
        <v>1</v>
      </c>
      <c r="F94" s="24" t="s">
        <v>25</v>
      </c>
      <c r="G94" s="24"/>
      <c r="H94" s="24"/>
      <c r="I94" s="24"/>
      <c r="K94" s="24"/>
      <c r="L94" s="24"/>
      <c r="M94" s="24"/>
      <c r="N94" s="24"/>
      <c r="O94" s="24"/>
      <c r="Q94" s="4"/>
      <c r="AI94" s="4"/>
    </row>
    <row r="95" spans="1:35" x14ac:dyDescent="0.25">
      <c r="A95" s="4"/>
      <c r="B95" s="34"/>
      <c r="C95" s="34"/>
      <c r="D95" s="35"/>
      <c r="E95" s="35"/>
      <c r="F95" s="35"/>
      <c r="G95" s="35"/>
      <c r="H95" s="35"/>
      <c r="I95" s="35"/>
      <c r="J95" s="4"/>
      <c r="K95" s="35"/>
      <c r="L95" s="35"/>
      <c r="M95" s="35"/>
      <c r="N95" s="35"/>
      <c r="O95" s="35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</row>
    <row r="96" spans="1:35" ht="12" thickBot="1" x14ac:dyDescent="0.3">
      <c r="Q96" s="4"/>
      <c r="AI96" s="4"/>
    </row>
    <row r="97" spans="2:36" x14ac:dyDescent="0.25">
      <c r="B97" s="5"/>
      <c r="C97" s="3" t="s">
        <v>1</v>
      </c>
      <c r="D97" s="6" t="s">
        <v>1</v>
      </c>
      <c r="E97" s="3"/>
      <c r="F97" s="3"/>
      <c r="G97" s="3"/>
      <c r="H97" s="3" t="s">
        <v>1</v>
      </c>
      <c r="I97" s="3"/>
      <c r="J97" s="3"/>
      <c r="K97" s="3"/>
      <c r="L97" s="3"/>
      <c r="M97" s="3"/>
      <c r="N97" s="3"/>
      <c r="O97" s="7"/>
      <c r="P97" s="2"/>
      <c r="Q97" s="4"/>
      <c r="S97" s="5"/>
      <c r="T97" s="3" t="s">
        <v>1</v>
      </c>
      <c r="U97" s="6" t="s">
        <v>1</v>
      </c>
      <c r="V97" s="3"/>
      <c r="W97" s="3"/>
      <c r="X97" s="3" t="s">
        <v>1</v>
      </c>
      <c r="Y97" s="3"/>
      <c r="Z97" s="3"/>
      <c r="AA97" s="3"/>
      <c r="AB97" s="3"/>
      <c r="AC97" s="3"/>
      <c r="AD97" s="3"/>
      <c r="AE97" s="3"/>
      <c r="AF97" s="7"/>
      <c r="AG97" s="2"/>
      <c r="AI97" s="4"/>
    </row>
    <row r="98" spans="2:36" ht="14" x14ac:dyDescent="0.3">
      <c r="B98" s="8"/>
      <c r="F98" s="26" t="s">
        <v>8</v>
      </c>
      <c r="G98" s="26"/>
      <c r="I98" s="26" t="s">
        <v>16</v>
      </c>
      <c r="J98" s="25"/>
      <c r="M98" s="2" t="s">
        <v>15</v>
      </c>
      <c r="N98" s="50">
        <f>N3</f>
        <v>2026071</v>
      </c>
      <c r="O98" s="10"/>
      <c r="P98" s="2"/>
      <c r="Q98" s="4"/>
      <c r="S98" s="8"/>
      <c r="U98" s="26" t="s">
        <v>8</v>
      </c>
      <c r="W98" s="26" t="s">
        <v>16</v>
      </c>
      <c r="X98" s="25"/>
      <c r="Y98" s="2"/>
      <c r="AA98" s="2" t="s">
        <v>15</v>
      </c>
      <c r="AD98" s="84">
        <f>N98</f>
        <v>2026071</v>
      </c>
      <c r="AE98" s="84"/>
      <c r="AF98" s="48"/>
      <c r="AG98" s="2"/>
      <c r="AI98" s="4"/>
    </row>
    <row r="99" spans="2:36" ht="15.5" x14ac:dyDescent="0.35">
      <c r="B99" s="8"/>
      <c r="F99" s="36" t="s">
        <v>29</v>
      </c>
      <c r="G99" s="36"/>
      <c r="O99" s="10"/>
      <c r="P99" s="2"/>
      <c r="Q99" s="4"/>
      <c r="S99" s="8"/>
      <c r="T99" s="26" t="s">
        <v>1</v>
      </c>
      <c r="U99" s="36" t="s">
        <v>29</v>
      </c>
      <c r="Y99" s="2" t="s">
        <v>1</v>
      </c>
      <c r="AA99" s="50" t="s">
        <v>1</v>
      </c>
      <c r="AB99" s="2"/>
      <c r="AC99" s="2"/>
      <c r="AD99" s="2"/>
      <c r="AE99" s="2"/>
      <c r="AF99" s="10" t="s">
        <v>1</v>
      </c>
      <c r="AG99" s="2"/>
      <c r="AI99" s="4"/>
    </row>
    <row r="100" spans="2:36" ht="14" x14ac:dyDescent="0.3">
      <c r="B100" s="8"/>
      <c r="F100" s="2" t="s">
        <v>30</v>
      </c>
      <c r="G100" s="2"/>
      <c r="L100" s="91"/>
      <c r="M100" s="2" t="s">
        <v>1</v>
      </c>
      <c r="O100" s="10"/>
      <c r="P100" s="2"/>
      <c r="Q100" s="4"/>
      <c r="S100" s="8"/>
      <c r="T100" s="49" t="s">
        <v>1</v>
      </c>
      <c r="U100" s="2" t="s">
        <v>30</v>
      </c>
      <c r="AF100" s="44"/>
      <c r="AG100" s="2"/>
      <c r="AI100" s="4"/>
    </row>
    <row r="101" spans="2:36" ht="15.5" x14ac:dyDescent="0.35">
      <c r="B101" s="8"/>
      <c r="C101" s="591" t="s">
        <v>17</v>
      </c>
      <c r="D101" s="9">
        <f>D6</f>
        <v>46220</v>
      </c>
      <c r="F101" s="58" t="s">
        <v>220</v>
      </c>
      <c r="G101" s="58"/>
      <c r="H101" s="59"/>
      <c r="I101" s="60"/>
      <c r="J101" s="59"/>
      <c r="K101" s="60"/>
      <c r="L101" s="91"/>
      <c r="O101" s="10"/>
      <c r="P101" s="2"/>
      <c r="Q101" s="4"/>
      <c r="S101" s="8"/>
      <c r="T101" s="41" t="s">
        <v>1</v>
      </c>
      <c r="U101" s="58" t="s">
        <v>221</v>
      </c>
      <c r="V101" s="59"/>
      <c r="W101" s="60"/>
      <c r="X101" s="59"/>
      <c r="Y101" s="2"/>
      <c r="AF101" s="48"/>
      <c r="AG101" s="2"/>
      <c r="AI101" s="4"/>
    </row>
    <row r="102" spans="2:36" ht="18" thickBot="1" x14ac:dyDescent="0.5">
      <c r="B102" s="8"/>
      <c r="C102" s="591" t="s">
        <v>0</v>
      </c>
      <c r="D102" s="241">
        <f>D7</f>
        <v>0.58333333333333337</v>
      </c>
      <c r="F102" s="2" t="s">
        <v>27</v>
      </c>
      <c r="G102" s="9">
        <f>G7</f>
        <v>46204</v>
      </c>
      <c r="J102" s="2" t="s">
        <v>28</v>
      </c>
      <c r="K102" s="9">
        <f>K7</f>
        <v>46218</v>
      </c>
      <c r="L102" s="92"/>
      <c r="O102" s="10"/>
      <c r="P102" s="2"/>
      <c r="Q102" s="4"/>
      <c r="S102" s="8"/>
      <c r="U102" s="1" t="str">
        <f>F102</f>
        <v>Fecha Desde:</v>
      </c>
      <c r="V102" s="9">
        <f>G102</f>
        <v>46204</v>
      </c>
      <c r="W102" s="1" t="s">
        <v>1</v>
      </c>
      <c r="X102" s="1" t="str">
        <f>J102</f>
        <v>Feha Hasta:</v>
      </c>
      <c r="Y102" s="9">
        <f>K102</f>
        <v>46218</v>
      </c>
      <c r="Z102" s="1" t="s">
        <v>1</v>
      </c>
      <c r="AF102" s="48"/>
      <c r="AG102" s="2"/>
      <c r="AI102" s="4"/>
      <c r="AJ102" s="112" t="s">
        <v>1</v>
      </c>
    </row>
    <row r="103" spans="2:36" ht="72" customHeight="1" thickBot="1" x14ac:dyDescent="0.3">
      <c r="B103" s="11" t="s">
        <v>3</v>
      </c>
      <c r="C103" s="27" t="s">
        <v>9</v>
      </c>
      <c r="D103" s="11" t="s">
        <v>4</v>
      </c>
      <c r="E103" s="12" t="s">
        <v>5</v>
      </c>
      <c r="F103" s="27" t="s">
        <v>6</v>
      </c>
      <c r="G103" s="27" t="s">
        <v>159</v>
      </c>
      <c r="H103" s="27" t="s">
        <v>18</v>
      </c>
      <c r="I103" s="12" t="s">
        <v>24</v>
      </c>
      <c r="J103" s="73" t="s">
        <v>19</v>
      </c>
      <c r="K103" s="29" t="s">
        <v>20</v>
      </c>
      <c r="L103" s="28" t="s">
        <v>21</v>
      </c>
      <c r="M103" s="39" t="s">
        <v>22</v>
      </c>
      <c r="N103" s="12" t="s">
        <v>7</v>
      </c>
      <c r="O103" s="39" t="s">
        <v>23</v>
      </c>
      <c r="P103" s="13"/>
      <c r="Q103" s="4"/>
      <c r="S103" s="11" t="s">
        <v>3</v>
      </c>
      <c r="T103" s="27" t="s">
        <v>9</v>
      </c>
      <c r="U103" s="162" t="s">
        <v>39</v>
      </c>
      <c r="V103" s="163" t="s">
        <v>40</v>
      </c>
      <c r="W103" s="163" t="s">
        <v>41</v>
      </c>
      <c r="X103" s="163" t="s">
        <v>42</v>
      </c>
      <c r="Y103" s="164" t="s">
        <v>43</v>
      </c>
      <c r="Z103" s="85" t="s">
        <v>21</v>
      </c>
      <c r="AA103" s="65" t="s">
        <v>46</v>
      </c>
      <c r="AB103" s="65" t="s">
        <v>7</v>
      </c>
      <c r="AC103" s="85" t="s">
        <v>167</v>
      </c>
      <c r="AD103" s="121" t="s">
        <v>105</v>
      </c>
      <c r="AE103" s="121" t="s">
        <v>104</v>
      </c>
      <c r="AF103" s="39" t="s">
        <v>23</v>
      </c>
      <c r="AG103" s="13"/>
      <c r="AI103" s="4"/>
    </row>
    <row r="104" spans="2:36" s="308" customFormat="1" x14ac:dyDescent="0.25">
      <c r="B104" s="306">
        <v>1</v>
      </c>
      <c r="C104" s="307" t="s">
        <v>10</v>
      </c>
      <c r="D104" s="294">
        <f t="shared" ref="D104:J108" si="41">D9+D28+D47+D66+D85</f>
        <v>0</v>
      </c>
      <c r="E104" s="295">
        <f t="shared" si="41"/>
        <v>0</v>
      </c>
      <c r="F104" s="295">
        <f t="shared" si="41"/>
        <v>0</v>
      </c>
      <c r="G104" s="295">
        <f t="shared" si="41"/>
        <v>0</v>
      </c>
      <c r="H104" s="295">
        <f t="shared" si="41"/>
        <v>0</v>
      </c>
      <c r="I104" s="295">
        <f t="shared" si="41"/>
        <v>0</v>
      </c>
      <c r="J104" s="291">
        <f t="shared" si="41"/>
        <v>0</v>
      </c>
      <c r="K104" s="296">
        <f>D104-E104-F104-G104-H104-I104-J104</f>
        <v>0</v>
      </c>
      <c r="L104" s="297">
        <f>L9+L28+L47+L66+L85</f>
        <v>0</v>
      </c>
      <c r="M104" s="296">
        <f>K104-L104</f>
        <v>0</v>
      </c>
      <c r="N104" s="297">
        <f>N9+N28+N47+N66+N85</f>
        <v>0</v>
      </c>
      <c r="O104" s="296">
        <f>M104+N104</f>
        <v>0</v>
      </c>
      <c r="Q104" s="309"/>
      <c r="S104" s="306">
        <v>1</v>
      </c>
      <c r="T104" s="307" t="s">
        <v>10</v>
      </c>
      <c r="U104" s="310">
        <f t="shared" ref="U104:AB108" si="42">U9+U28+U47+U66+U85</f>
        <v>0</v>
      </c>
      <c r="V104" s="311">
        <f t="shared" si="42"/>
        <v>0</v>
      </c>
      <c r="W104" s="311">
        <f t="shared" si="42"/>
        <v>0</v>
      </c>
      <c r="X104" s="311">
        <f t="shared" si="42"/>
        <v>0</v>
      </c>
      <c r="Y104" s="312">
        <f t="shared" si="42"/>
        <v>0</v>
      </c>
      <c r="Z104" s="313">
        <f t="shared" si="42"/>
        <v>0</v>
      </c>
      <c r="AA104" s="314">
        <f t="shared" si="42"/>
        <v>0</v>
      </c>
      <c r="AB104" s="297">
        <f t="shared" si="42"/>
        <v>0</v>
      </c>
      <c r="AC104" s="314">
        <f t="shared" ref="AC104" si="43">AC9+AC28+AC47+AC66+AC85</f>
        <v>0</v>
      </c>
      <c r="AD104" s="294">
        <f>-J104+AE104</f>
        <v>0</v>
      </c>
      <c r="AE104" s="294">
        <f>AE9+AE28+AE47+AE66+AE85</f>
        <v>0</v>
      </c>
      <c r="AF104" s="316">
        <f>SUM(U104:AD104)</f>
        <v>0</v>
      </c>
      <c r="AG104" s="314">
        <f>AF104-O104</f>
        <v>0</v>
      </c>
      <c r="AH104" s="1" t="b">
        <f t="shared" ref="AH104:AH109" si="44">INT(ABS(AG104))=0</f>
        <v>1</v>
      </c>
      <c r="AI104" s="309"/>
    </row>
    <row r="105" spans="2:36" s="308" customFormat="1" x14ac:dyDescent="0.25">
      <c r="B105" s="317">
        <v>2</v>
      </c>
      <c r="C105" s="318" t="s">
        <v>11</v>
      </c>
      <c r="D105" s="294">
        <f t="shared" si="41"/>
        <v>0</v>
      </c>
      <c r="E105" s="295">
        <f t="shared" si="41"/>
        <v>0</v>
      </c>
      <c r="F105" s="295">
        <f t="shared" si="41"/>
        <v>0</v>
      </c>
      <c r="G105" s="295">
        <f t="shared" si="41"/>
        <v>0</v>
      </c>
      <c r="H105" s="295">
        <f t="shared" si="41"/>
        <v>0</v>
      </c>
      <c r="I105" s="295">
        <f t="shared" si="41"/>
        <v>0</v>
      </c>
      <c r="J105" s="291">
        <f t="shared" si="41"/>
        <v>0</v>
      </c>
      <c r="K105" s="298">
        <f t="shared" ref="K105:K108" si="45">D105-E105-F105-G105-H105-I105-J105</f>
        <v>0</v>
      </c>
      <c r="L105" s="297">
        <f>L10+L29+L48+L67+L86</f>
        <v>0</v>
      </c>
      <c r="M105" s="298">
        <f>K105-L105</f>
        <v>0</v>
      </c>
      <c r="N105" s="297">
        <f>N10+N29+N48+N67+N86</f>
        <v>0</v>
      </c>
      <c r="O105" s="298">
        <f t="shared" ref="O105:O108" si="46">M105+N105</f>
        <v>0</v>
      </c>
      <c r="Q105" s="309"/>
      <c r="S105" s="317">
        <v>2</v>
      </c>
      <c r="T105" s="318" t="s">
        <v>11</v>
      </c>
      <c r="U105" s="319">
        <f t="shared" si="42"/>
        <v>0</v>
      </c>
      <c r="V105" s="320">
        <f t="shared" si="42"/>
        <v>0</v>
      </c>
      <c r="W105" s="320">
        <f t="shared" si="42"/>
        <v>0</v>
      </c>
      <c r="X105" s="320">
        <f t="shared" si="42"/>
        <v>0</v>
      </c>
      <c r="Y105" s="321">
        <f t="shared" si="42"/>
        <v>0</v>
      </c>
      <c r="Z105" s="322">
        <f t="shared" si="42"/>
        <v>0</v>
      </c>
      <c r="AA105" s="323">
        <f t="shared" si="42"/>
        <v>0</v>
      </c>
      <c r="AB105" s="297">
        <f t="shared" si="42"/>
        <v>0</v>
      </c>
      <c r="AC105" s="323">
        <f t="shared" ref="AC105" si="47">AC10+AC29+AC48+AC67+AC86</f>
        <v>0</v>
      </c>
      <c r="AD105" s="294">
        <f t="shared" ref="AD105:AD107" si="48">-J105+AE105</f>
        <v>0</v>
      </c>
      <c r="AE105" s="294">
        <f>AE10+AE29+AE48+AE67+AE86</f>
        <v>0</v>
      </c>
      <c r="AF105" s="325">
        <f>SUM(U105:AD105)</f>
        <v>0</v>
      </c>
      <c r="AG105" s="326">
        <f>AF105-O105</f>
        <v>0</v>
      </c>
      <c r="AH105" s="1" t="b">
        <f t="shared" si="44"/>
        <v>1</v>
      </c>
      <c r="AI105" s="309"/>
    </row>
    <row r="106" spans="2:36" s="308" customFormat="1" x14ac:dyDescent="0.25">
      <c r="B106" s="317">
        <v>3</v>
      </c>
      <c r="C106" s="318" t="s">
        <v>12</v>
      </c>
      <c r="D106" s="294">
        <f t="shared" si="41"/>
        <v>0</v>
      </c>
      <c r="E106" s="295">
        <f t="shared" si="41"/>
        <v>0</v>
      </c>
      <c r="F106" s="295">
        <f t="shared" si="41"/>
        <v>0</v>
      </c>
      <c r="G106" s="295">
        <f t="shared" si="41"/>
        <v>0</v>
      </c>
      <c r="H106" s="295">
        <f t="shared" si="41"/>
        <v>0</v>
      </c>
      <c r="I106" s="295">
        <f t="shared" si="41"/>
        <v>0</v>
      </c>
      <c r="J106" s="291">
        <f t="shared" si="41"/>
        <v>0</v>
      </c>
      <c r="K106" s="298">
        <f t="shared" si="45"/>
        <v>0</v>
      </c>
      <c r="L106" s="297">
        <f>L11+L30+L49+L68+L87</f>
        <v>0</v>
      </c>
      <c r="M106" s="298">
        <f>K106-L106</f>
        <v>0</v>
      </c>
      <c r="N106" s="297">
        <f>N11+N30+N49+N68+N87</f>
        <v>0</v>
      </c>
      <c r="O106" s="298">
        <f t="shared" si="46"/>
        <v>0</v>
      </c>
      <c r="Q106" s="309"/>
      <c r="S106" s="317">
        <v>3</v>
      </c>
      <c r="T106" s="318" t="s">
        <v>12</v>
      </c>
      <c r="U106" s="319">
        <f t="shared" si="42"/>
        <v>0</v>
      </c>
      <c r="V106" s="320">
        <f t="shared" si="42"/>
        <v>0</v>
      </c>
      <c r="W106" s="320">
        <f t="shared" si="42"/>
        <v>0</v>
      </c>
      <c r="X106" s="320">
        <f t="shared" si="42"/>
        <v>0</v>
      </c>
      <c r="Y106" s="321">
        <f t="shared" si="42"/>
        <v>0</v>
      </c>
      <c r="Z106" s="322">
        <f t="shared" si="42"/>
        <v>0</v>
      </c>
      <c r="AA106" s="323">
        <f t="shared" si="42"/>
        <v>0</v>
      </c>
      <c r="AB106" s="297">
        <f t="shared" si="42"/>
        <v>0</v>
      </c>
      <c r="AC106" s="323">
        <f t="shared" ref="AC106" si="49">AC11+AC30+AC49+AC68+AC87</f>
        <v>0</v>
      </c>
      <c r="AD106" s="294">
        <f t="shared" si="48"/>
        <v>0</v>
      </c>
      <c r="AE106" s="294">
        <f>AE11+AE30+AE49+AE68+AE87</f>
        <v>0</v>
      </c>
      <c r="AF106" s="325">
        <f>SUM(U106:AD106)</f>
        <v>0</v>
      </c>
      <c r="AG106" s="326">
        <f>AF106-O106</f>
        <v>0</v>
      </c>
      <c r="AH106" s="1" t="b">
        <f t="shared" si="44"/>
        <v>1</v>
      </c>
      <c r="AI106" s="309"/>
    </row>
    <row r="107" spans="2:36" s="308" customFormat="1" x14ac:dyDescent="0.25">
      <c r="B107" s="317">
        <v>4</v>
      </c>
      <c r="C107" s="318" t="s">
        <v>13</v>
      </c>
      <c r="D107" s="294">
        <f t="shared" si="41"/>
        <v>0</v>
      </c>
      <c r="E107" s="295">
        <f t="shared" si="41"/>
        <v>0</v>
      </c>
      <c r="F107" s="295">
        <f t="shared" si="41"/>
        <v>0</v>
      </c>
      <c r="G107" s="295">
        <f t="shared" si="41"/>
        <v>0</v>
      </c>
      <c r="H107" s="295">
        <f t="shared" si="41"/>
        <v>0</v>
      </c>
      <c r="I107" s="295">
        <f t="shared" si="41"/>
        <v>0</v>
      </c>
      <c r="J107" s="291">
        <f t="shared" si="41"/>
        <v>0</v>
      </c>
      <c r="K107" s="298">
        <f t="shared" si="45"/>
        <v>0</v>
      </c>
      <c r="L107" s="297">
        <f>L12+L31+L50+L69+L88</f>
        <v>0</v>
      </c>
      <c r="M107" s="298">
        <f>K107-L107</f>
        <v>0</v>
      </c>
      <c r="N107" s="297">
        <f>N12+N31+N50+N69+N88</f>
        <v>0</v>
      </c>
      <c r="O107" s="298">
        <f t="shared" si="46"/>
        <v>0</v>
      </c>
      <c r="Q107" s="309"/>
      <c r="S107" s="317">
        <v>4</v>
      </c>
      <c r="T107" s="318" t="s">
        <v>13</v>
      </c>
      <c r="U107" s="319">
        <f t="shared" si="42"/>
        <v>0</v>
      </c>
      <c r="V107" s="320">
        <f t="shared" si="42"/>
        <v>0</v>
      </c>
      <c r="W107" s="320">
        <f t="shared" si="42"/>
        <v>0</v>
      </c>
      <c r="X107" s="320">
        <f t="shared" si="42"/>
        <v>0</v>
      </c>
      <c r="Y107" s="321">
        <f t="shared" si="42"/>
        <v>0</v>
      </c>
      <c r="Z107" s="322">
        <f t="shared" si="42"/>
        <v>0</v>
      </c>
      <c r="AA107" s="323">
        <f t="shared" si="42"/>
        <v>0</v>
      </c>
      <c r="AB107" s="297">
        <f t="shared" si="42"/>
        <v>0</v>
      </c>
      <c r="AC107" s="323">
        <f t="shared" ref="AC107" si="50">AC12+AC31+AC50+AC69+AC88</f>
        <v>0</v>
      </c>
      <c r="AD107" s="294">
        <f t="shared" si="48"/>
        <v>0</v>
      </c>
      <c r="AE107" s="294">
        <f>AE12+AE31+AE50+AE69+AE88</f>
        <v>0</v>
      </c>
      <c r="AF107" s="325">
        <f>SUM(U107:AD107)</f>
        <v>0</v>
      </c>
      <c r="AG107" s="326">
        <f>AF107-O107</f>
        <v>0</v>
      </c>
      <c r="AH107" s="1" t="b">
        <f t="shared" si="44"/>
        <v>1</v>
      </c>
      <c r="AI107" s="309"/>
    </row>
    <row r="108" spans="2:36" s="308" customFormat="1" ht="12" thickBot="1" x14ac:dyDescent="0.3">
      <c r="B108" s="327">
        <v>5</v>
      </c>
      <c r="C108" s="328" t="s">
        <v>14</v>
      </c>
      <c r="D108" s="299">
        <f>D13+D32+D51+D70+D89</f>
        <v>0</v>
      </c>
      <c r="E108" s="300">
        <f t="shared" si="41"/>
        <v>0</v>
      </c>
      <c r="F108" s="300">
        <f t="shared" si="41"/>
        <v>0</v>
      </c>
      <c r="G108" s="300">
        <f t="shared" si="41"/>
        <v>0</v>
      </c>
      <c r="H108" s="300">
        <f t="shared" si="41"/>
        <v>0</v>
      </c>
      <c r="I108" s="300">
        <f t="shared" si="41"/>
        <v>0</v>
      </c>
      <c r="J108" s="292">
        <f t="shared" si="41"/>
        <v>0</v>
      </c>
      <c r="K108" s="298">
        <f t="shared" si="45"/>
        <v>0</v>
      </c>
      <c r="L108" s="297">
        <f>L13+L32+L51+L70+L89</f>
        <v>0</v>
      </c>
      <c r="M108" s="301">
        <f>K108-L108</f>
        <v>0</v>
      </c>
      <c r="N108" s="302">
        <f>N13+N32+N51+N70+N89</f>
        <v>0</v>
      </c>
      <c r="O108" s="301">
        <f t="shared" si="46"/>
        <v>0</v>
      </c>
      <c r="Q108" s="309"/>
      <c r="S108" s="327">
        <v>5</v>
      </c>
      <c r="T108" s="328" t="s">
        <v>14</v>
      </c>
      <c r="U108" s="299">
        <f t="shared" si="42"/>
        <v>0</v>
      </c>
      <c r="V108" s="300">
        <f t="shared" si="42"/>
        <v>0</v>
      </c>
      <c r="W108" s="300">
        <f t="shared" si="42"/>
        <v>0</v>
      </c>
      <c r="X108" s="300">
        <f t="shared" si="42"/>
        <v>0</v>
      </c>
      <c r="Y108" s="292">
        <f t="shared" si="42"/>
        <v>0</v>
      </c>
      <c r="Z108" s="322">
        <f t="shared" si="42"/>
        <v>0</v>
      </c>
      <c r="AA108" s="323">
        <f t="shared" si="42"/>
        <v>0</v>
      </c>
      <c r="AB108" s="297">
        <f t="shared" si="42"/>
        <v>0</v>
      </c>
      <c r="AC108" s="323">
        <f t="shared" ref="AC108" si="51">AC13+AC32+AC51+AC70+AC89</f>
        <v>0</v>
      </c>
      <c r="AD108" s="294">
        <f>-J108+AE108</f>
        <v>0</v>
      </c>
      <c r="AE108" s="294">
        <f>AE13+AE32+AE51+AE70+AE89</f>
        <v>0</v>
      </c>
      <c r="AF108" s="325">
        <f>SUM(U108:AD108)</f>
        <v>0</v>
      </c>
      <c r="AG108" s="329">
        <f>AF108-O108</f>
        <v>0</v>
      </c>
      <c r="AH108" s="1" t="b">
        <f t="shared" si="44"/>
        <v>1</v>
      </c>
      <c r="AI108" s="309"/>
    </row>
    <row r="109" spans="2:36" s="308" customFormat="1" ht="13.5" thickBot="1" x14ac:dyDescent="0.35">
      <c r="B109" s="330"/>
      <c r="C109" s="331" t="s">
        <v>2</v>
      </c>
      <c r="D109" s="293">
        <f t="shared" ref="D109:O109" si="52">SUM(D104:D108)</f>
        <v>0</v>
      </c>
      <c r="E109" s="293">
        <f t="shared" si="52"/>
        <v>0</v>
      </c>
      <c r="F109" s="293">
        <f t="shared" si="52"/>
        <v>0</v>
      </c>
      <c r="G109" s="293">
        <f t="shared" si="52"/>
        <v>0</v>
      </c>
      <c r="H109" s="293">
        <f t="shared" si="52"/>
        <v>0</v>
      </c>
      <c r="I109" s="293">
        <f t="shared" si="52"/>
        <v>0</v>
      </c>
      <c r="J109" s="293">
        <f t="shared" si="52"/>
        <v>0</v>
      </c>
      <c r="K109" s="303">
        <f t="shared" si="52"/>
        <v>0</v>
      </c>
      <c r="L109" s="304">
        <f t="shared" si="52"/>
        <v>0</v>
      </c>
      <c r="M109" s="305">
        <f t="shared" si="52"/>
        <v>0</v>
      </c>
      <c r="N109" s="304">
        <f t="shared" si="52"/>
        <v>0</v>
      </c>
      <c r="O109" s="305">
        <f t="shared" si="52"/>
        <v>0</v>
      </c>
      <c r="P109" s="332"/>
      <c r="Q109" s="309"/>
      <c r="S109" s="330"/>
      <c r="T109" s="331" t="s">
        <v>2</v>
      </c>
      <c r="U109" s="333">
        <f>SUM(U104:U108)</f>
        <v>0</v>
      </c>
      <c r="V109" s="333">
        <f t="shared" ref="V109:AF109" si="53">SUM(V104:V108)</f>
        <v>0</v>
      </c>
      <c r="W109" s="333">
        <f t="shared" si="53"/>
        <v>0</v>
      </c>
      <c r="X109" s="333">
        <f t="shared" si="53"/>
        <v>0</v>
      </c>
      <c r="Y109" s="333">
        <f t="shared" si="53"/>
        <v>0</v>
      </c>
      <c r="Z109" s="293">
        <f t="shared" si="53"/>
        <v>0</v>
      </c>
      <c r="AA109" s="293">
        <f t="shared" si="53"/>
        <v>0</v>
      </c>
      <c r="AB109" s="293">
        <f t="shared" si="53"/>
        <v>0</v>
      </c>
      <c r="AC109" s="293">
        <f t="shared" ref="AC109" si="54">SUM(AC104:AC108)</f>
        <v>0</v>
      </c>
      <c r="AD109" s="293">
        <f t="shared" si="53"/>
        <v>0</v>
      </c>
      <c r="AE109" s="293">
        <f>SUM(AE104:AE108)</f>
        <v>0</v>
      </c>
      <c r="AF109" s="334">
        <f t="shared" si="53"/>
        <v>0</v>
      </c>
      <c r="AG109" s="335">
        <f>SUM(AG104:AG108)</f>
        <v>0</v>
      </c>
      <c r="AH109" s="1" t="b">
        <f t="shared" si="44"/>
        <v>1</v>
      </c>
      <c r="AI109" s="309"/>
    </row>
    <row r="110" spans="2:36" ht="12" thickBot="1" x14ac:dyDescent="0.3">
      <c r="B110" s="2"/>
      <c r="C110" s="2"/>
      <c r="D110" s="165"/>
      <c r="E110" s="24"/>
      <c r="F110" s="24"/>
      <c r="G110" s="24"/>
      <c r="H110" s="24"/>
      <c r="I110" s="24"/>
      <c r="J110" s="165"/>
      <c r="K110" s="24"/>
      <c r="L110" s="24"/>
      <c r="M110" s="24"/>
      <c r="N110" s="24"/>
      <c r="O110" s="24"/>
      <c r="Q110" s="4"/>
      <c r="S110" s="2"/>
      <c r="T110" s="2"/>
      <c r="U110" s="24"/>
      <c r="V110" s="24"/>
      <c r="W110" s="24"/>
      <c r="X110" s="24"/>
      <c r="Y110" s="24"/>
      <c r="AF110" s="24"/>
      <c r="AI110" s="4"/>
    </row>
    <row r="111" spans="2:36" ht="12" thickBot="1" x14ac:dyDescent="0.3">
      <c r="B111" s="2"/>
      <c r="C111" s="2"/>
      <c r="D111" s="24"/>
      <c r="E111" s="24"/>
      <c r="F111" s="24"/>
      <c r="G111" s="24"/>
      <c r="H111" s="24"/>
      <c r="I111" s="24"/>
      <c r="J111" s="24"/>
      <c r="K111" s="24"/>
      <c r="L111" s="24"/>
      <c r="M111" s="24"/>
      <c r="N111" s="24"/>
      <c r="O111" s="24"/>
      <c r="Q111" s="4"/>
      <c r="Y111" s="86">
        <f>SUM(U109:Y109)</f>
        <v>0</v>
      </c>
      <c r="AA111" s="1" t="s">
        <v>1</v>
      </c>
      <c r="AB111" s="1" t="s">
        <v>1</v>
      </c>
      <c r="AD111" s="1" t="s">
        <v>1</v>
      </c>
      <c r="AF111" s="1" t="s">
        <v>1</v>
      </c>
      <c r="AI111" s="4"/>
    </row>
    <row r="112" spans="2:36" ht="12" thickBot="1" x14ac:dyDescent="0.3">
      <c r="B112" s="2"/>
      <c r="C112" s="2"/>
      <c r="D112" s="24" t="s">
        <v>1</v>
      </c>
      <c r="E112" s="33"/>
      <c r="F112" s="33"/>
      <c r="G112" s="33"/>
      <c r="H112" s="33"/>
      <c r="I112" s="24"/>
      <c r="K112" s="24"/>
      <c r="L112" s="24"/>
      <c r="M112" s="24"/>
      <c r="N112" s="24"/>
      <c r="O112" s="24"/>
      <c r="Q112" s="4"/>
      <c r="U112" s="33"/>
      <c r="V112" s="33"/>
      <c r="W112" s="33"/>
      <c r="X112" s="33"/>
      <c r="AI112" s="4"/>
    </row>
    <row r="113" spans="1:35" x14ac:dyDescent="0.25">
      <c r="B113" s="2"/>
      <c r="C113" s="2"/>
      <c r="D113" s="24" t="s">
        <v>1</v>
      </c>
      <c r="E113" s="24" t="s">
        <v>1</v>
      </c>
      <c r="F113" s="24" t="s">
        <v>25</v>
      </c>
      <c r="G113" s="24"/>
      <c r="H113" s="24"/>
      <c r="I113" s="24"/>
      <c r="J113" s="24" t="s">
        <v>189</v>
      </c>
      <c r="L113" s="24"/>
      <c r="M113" s="24"/>
      <c r="N113" s="24"/>
      <c r="O113" s="24"/>
      <c r="Q113" s="4"/>
      <c r="U113" s="24" t="s">
        <v>1</v>
      </c>
      <c r="V113" s="24" t="s">
        <v>25</v>
      </c>
      <c r="W113" s="24"/>
      <c r="X113" s="24"/>
      <c r="AI113" s="4"/>
    </row>
    <row r="114" spans="1:35" x14ac:dyDescent="0.25">
      <c r="A114" s="52"/>
      <c r="B114" s="53"/>
      <c r="C114" s="53"/>
      <c r="D114" s="54"/>
      <c r="E114" s="54"/>
      <c r="F114" s="54"/>
      <c r="G114" s="54"/>
      <c r="H114" s="54"/>
      <c r="I114" s="54"/>
      <c r="J114" s="52"/>
      <c r="K114" s="54"/>
      <c r="L114" s="54"/>
      <c r="M114" s="54"/>
      <c r="N114" s="54"/>
      <c r="O114" s="54"/>
      <c r="P114" s="52"/>
      <c r="Q114" s="52"/>
      <c r="R114" s="52"/>
      <c r="S114" s="52"/>
      <c r="T114" s="52"/>
      <c r="U114" s="52"/>
      <c r="V114" s="52"/>
      <c r="W114" s="52"/>
      <c r="X114" s="52"/>
      <c r="Y114" s="52"/>
      <c r="Z114" s="52"/>
      <c r="AA114" s="52"/>
      <c r="AB114" s="52"/>
      <c r="AC114" s="52"/>
      <c r="AD114" s="52"/>
      <c r="AE114" s="52"/>
      <c r="AF114" s="52"/>
      <c r="AG114" s="52"/>
      <c r="AH114" s="52"/>
      <c r="AI114" s="52"/>
    </row>
    <row r="115" spans="1:35" ht="12" thickBot="1" x14ac:dyDescent="0.3">
      <c r="Q115" s="4"/>
    </row>
    <row r="116" spans="1:35" x14ac:dyDescent="0.25">
      <c r="B116" s="5"/>
      <c r="C116" s="3" t="s">
        <v>1</v>
      </c>
      <c r="D116" s="6" t="s">
        <v>1</v>
      </c>
      <c r="E116" s="3"/>
      <c r="F116" s="3"/>
      <c r="G116" s="3"/>
      <c r="H116" s="3" t="s">
        <v>1</v>
      </c>
      <c r="I116" s="3"/>
      <c r="J116" s="3"/>
      <c r="K116" s="3"/>
      <c r="L116" s="3"/>
      <c r="M116" s="3"/>
      <c r="N116" s="3"/>
      <c r="O116" s="7"/>
      <c r="P116" s="2"/>
      <c r="Q116" s="35"/>
    </row>
    <row r="117" spans="1:35" ht="14" x14ac:dyDescent="0.3">
      <c r="B117" s="8"/>
      <c r="C117" s="2"/>
      <c r="D117" s="9"/>
      <c r="F117" s="26" t="s">
        <v>8</v>
      </c>
      <c r="G117" s="26"/>
      <c r="I117" s="26" t="s">
        <v>16</v>
      </c>
      <c r="J117" s="25"/>
      <c r="L117" s="2" t="s">
        <v>15</v>
      </c>
      <c r="M117" s="50">
        <f>N3</f>
        <v>2026071</v>
      </c>
      <c r="O117" s="10"/>
      <c r="P117" s="2"/>
      <c r="Q117" s="4"/>
    </row>
    <row r="118" spans="1:35" ht="15.5" x14ac:dyDescent="0.35">
      <c r="B118" s="8"/>
      <c r="C118" s="2"/>
      <c r="D118" s="57"/>
      <c r="F118" s="36" t="s">
        <v>29</v>
      </c>
      <c r="G118" s="36"/>
      <c r="O118" s="10"/>
      <c r="P118" s="2"/>
      <c r="Q118" s="4"/>
    </row>
    <row r="119" spans="1:35" x14ac:dyDescent="0.25">
      <c r="B119" s="8"/>
      <c r="F119" s="2" t="s">
        <v>30</v>
      </c>
      <c r="G119" s="2"/>
      <c r="M119" s="2" t="s">
        <v>1</v>
      </c>
      <c r="O119" s="10"/>
      <c r="P119" s="2"/>
      <c r="Q119" s="4"/>
    </row>
    <row r="120" spans="1:35" x14ac:dyDescent="0.25">
      <c r="B120" s="8"/>
      <c r="I120" s="2"/>
      <c r="J120" s="2"/>
      <c r="O120" s="10"/>
      <c r="P120" s="2"/>
      <c r="Q120" s="4"/>
    </row>
    <row r="121" spans="1:35" ht="15.5" x14ac:dyDescent="0.35">
      <c r="B121" s="8"/>
      <c r="F121" s="41" t="s">
        <v>37</v>
      </c>
      <c r="G121" s="41"/>
      <c r="H121" s="2"/>
      <c r="J121" s="2"/>
      <c r="O121" s="10"/>
      <c r="P121" s="2"/>
      <c r="Q121" s="4"/>
    </row>
    <row r="122" spans="1:35" x14ac:dyDescent="0.25">
      <c r="B122" s="8"/>
      <c r="F122" s="2" t="s">
        <v>27</v>
      </c>
      <c r="G122" s="9">
        <f>G7</f>
        <v>46204</v>
      </c>
      <c r="J122" s="2" t="s">
        <v>28</v>
      </c>
      <c r="K122" s="9">
        <f>K7</f>
        <v>46218</v>
      </c>
      <c r="O122" s="10"/>
      <c r="P122" s="2"/>
      <c r="Q122" s="4"/>
    </row>
    <row r="123" spans="1:35" ht="12" thickBot="1" x14ac:dyDescent="0.3">
      <c r="B123" s="8"/>
      <c r="C123" s="2" t="s">
        <v>1</v>
      </c>
      <c r="D123" s="2" t="s">
        <v>1</v>
      </c>
      <c r="J123" s="1" t="s">
        <v>1</v>
      </c>
      <c r="O123" s="44"/>
      <c r="P123" s="2"/>
      <c r="Q123" s="4"/>
    </row>
    <row r="124" spans="1:35" ht="46.5" thickBot="1" x14ac:dyDescent="0.3">
      <c r="B124" s="11" t="s">
        <v>3</v>
      </c>
      <c r="C124" s="12" t="s">
        <v>9</v>
      </c>
      <c r="D124" s="12" t="s">
        <v>38</v>
      </c>
      <c r="E124" s="73" t="s">
        <v>48</v>
      </c>
      <c r="G124" s="104" t="s">
        <v>47</v>
      </c>
      <c r="H124" s="73" t="s">
        <v>56</v>
      </c>
      <c r="I124" s="73" t="s">
        <v>130</v>
      </c>
      <c r="J124" s="73" t="s">
        <v>171</v>
      </c>
      <c r="K124" s="73" t="s">
        <v>143</v>
      </c>
      <c r="L124" s="73" t="s">
        <v>144</v>
      </c>
      <c r="O124" s="44"/>
      <c r="P124" s="13"/>
      <c r="Q124" s="4"/>
    </row>
    <row r="125" spans="1:35" s="308" customFormat="1" x14ac:dyDescent="0.25">
      <c r="B125" s="337">
        <v>1</v>
      </c>
      <c r="C125" s="338" t="s">
        <v>10</v>
      </c>
      <c r="D125" s="311">
        <f>'ANTICIPOS USUARIOS'!R3</f>
        <v>0</v>
      </c>
      <c r="E125" s="312">
        <v>0</v>
      </c>
      <c r="G125" s="339">
        <f>D47+N47</f>
        <v>0</v>
      </c>
      <c r="H125" s="313">
        <f>D28+N28</f>
        <v>0</v>
      </c>
      <c r="I125" s="312">
        <f>D85+N85</f>
        <v>0</v>
      </c>
      <c r="J125" s="312">
        <f>D66+N66</f>
        <v>0</v>
      </c>
      <c r="K125" s="312">
        <f>'ANTICIPOS USUARIOS'!R12</f>
        <v>0</v>
      </c>
      <c r="L125" s="312">
        <f>-'ANTICIPOS USUARIOS'!R21</f>
        <v>0</v>
      </c>
      <c r="O125" s="340"/>
      <c r="Q125" s="309"/>
    </row>
    <row r="126" spans="1:35" s="308" customFormat="1" x14ac:dyDescent="0.25">
      <c r="B126" s="317">
        <v>2</v>
      </c>
      <c r="C126" s="341" t="s">
        <v>11</v>
      </c>
      <c r="D126" s="295">
        <f>'ANTICIPOS USUARIOS'!R4</f>
        <v>0</v>
      </c>
      <c r="E126" s="291">
        <v>0</v>
      </c>
      <c r="G126" s="342">
        <f>D48+N48</f>
        <v>0</v>
      </c>
      <c r="H126" s="343">
        <f>D29+N29</f>
        <v>0</v>
      </c>
      <c r="I126" s="291">
        <f>D86+N86</f>
        <v>0</v>
      </c>
      <c r="J126" s="291">
        <f t="shared" ref="J126:J129" si="55">D67+N67</f>
        <v>0</v>
      </c>
      <c r="K126" s="291">
        <f>'ANTICIPOS USUARIOS'!R13</f>
        <v>0</v>
      </c>
      <c r="L126" s="291">
        <f>-'ANTICIPOS USUARIOS'!R22</f>
        <v>0</v>
      </c>
      <c r="O126" s="340"/>
      <c r="Q126" s="309"/>
    </row>
    <row r="127" spans="1:35" s="308" customFormat="1" x14ac:dyDescent="0.25">
      <c r="B127" s="317">
        <v>3</v>
      </c>
      <c r="C127" s="341" t="s">
        <v>12</v>
      </c>
      <c r="D127" s="295">
        <f>'ANTICIPOS USUARIOS'!R5</f>
        <v>0</v>
      </c>
      <c r="E127" s="291">
        <v>0</v>
      </c>
      <c r="G127" s="342">
        <f>D49+N49</f>
        <v>0</v>
      </c>
      <c r="H127" s="343">
        <f>D30+N30</f>
        <v>0</v>
      </c>
      <c r="I127" s="291">
        <f>D87+N87</f>
        <v>0</v>
      </c>
      <c r="J127" s="291">
        <f t="shared" si="55"/>
        <v>0</v>
      </c>
      <c r="K127" s="291">
        <f>'ANTICIPOS USUARIOS'!R14</f>
        <v>0</v>
      </c>
      <c r="L127" s="291">
        <f>-'ANTICIPOS USUARIOS'!R23</f>
        <v>0</v>
      </c>
      <c r="O127" s="340"/>
      <c r="Q127" s="309"/>
    </row>
    <row r="128" spans="1:35" s="308" customFormat="1" x14ac:dyDescent="0.25">
      <c r="B128" s="317">
        <v>4</v>
      </c>
      <c r="C128" s="341" t="s">
        <v>13</v>
      </c>
      <c r="D128" s="295">
        <f>'ANTICIPOS USUARIOS'!R6</f>
        <v>0</v>
      </c>
      <c r="E128" s="291">
        <v>0</v>
      </c>
      <c r="G128" s="342">
        <f>D50+N50</f>
        <v>0</v>
      </c>
      <c r="H128" s="343">
        <f>D31+N31</f>
        <v>0</v>
      </c>
      <c r="I128" s="291">
        <f>D88+N88</f>
        <v>0</v>
      </c>
      <c r="J128" s="291">
        <f t="shared" si="55"/>
        <v>0</v>
      </c>
      <c r="K128" s="291">
        <f>'ANTICIPOS USUARIOS'!R15</f>
        <v>0</v>
      </c>
      <c r="L128" s="291">
        <f>-'ANTICIPOS USUARIOS'!R24</f>
        <v>0</v>
      </c>
      <c r="O128" s="340"/>
      <c r="Q128" s="309"/>
    </row>
    <row r="129" spans="1:19" s="308" customFormat="1" x14ac:dyDescent="0.25">
      <c r="B129" s="344">
        <v>5</v>
      </c>
      <c r="C129" s="345" t="s">
        <v>14</v>
      </c>
      <c r="D129" s="295">
        <f>'ANTICIPOS USUARIOS'!R7</f>
        <v>0</v>
      </c>
      <c r="E129" s="347">
        <v>0</v>
      </c>
      <c r="G129" s="342">
        <f>D51+N51</f>
        <v>0</v>
      </c>
      <c r="H129" s="343">
        <f>D32+N32</f>
        <v>0</v>
      </c>
      <c r="I129" s="291">
        <f>D89+N89</f>
        <v>0</v>
      </c>
      <c r="J129" s="291">
        <f t="shared" si="55"/>
        <v>0</v>
      </c>
      <c r="K129" s="291">
        <f>'ANTICIPOS USUARIOS'!R16</f>
        <v>0</v>
      </c>
      <c r="L129" s="291">
        <f>-'ANTICIPOS USUARIOS'!R25</f>
        <v>0</v>
      </c>
      <c r="O129" s="340"/>
      <c r="Q129" s="309"/>
    </row>
    <row r="130" spans="1:19" s="308" customFormat="1" ht="12" thickBot="1" x14ac:dyDescent="0.3">
      <c r="B130" s="327" t="s">
        <v>89</v>
      </c>
      <c r="C130" s="348" t="s">
        <v>113</v>
      </c>
      <c r="D130" s="300"/>
      <c r="E130" s="292">
        <f>'Recaudo EAAB + Ciud Limp'!D26</f>
        <v>0</v>
      </c>
      <c r="G130" s="349"/>
      <c r="H130" s="350"/>
      <c r="I130" s="292"/>
      <c r="J130" s="292"/>
      <c r="K130" s="292"/>
      <c r="L130" s="292"/>
      <c r="O130" s="340"/>
      <c r="Q130" s="309"/>
    </row>
    <row r="131" spans="1:19" s="308" customFormat="1" ht="12" thickBot="1" x14ac:dyDescent="0.3">
      <c r="B131" s="351"/>
      <c r="C131" s="352" t="s">
        <v>2</v>
      </c>
      <c r="D131" s="353">
        <f>SUM(D125:D130)</f>
        <v>0</v>
      </c>
      <c r="E131" s="353">
        <f>SUM(E125:E130)</f>
        <v>0</v>
      </c>
      <c r="F131" s="354"/>
      <c r="G131" s="353">
        <f t="shared" ref="G131" si="56">SUM(G125:G129)</f>
        <v>0</v>
      </c>
      <c r="H131" s="353">
        <f>SUM(H125:H130)</f>
        <v>0</v>
      </c>
      <c r="I131" s="353">
        <f>SUM(I125:I130)</f>
        <v>0</v>
      </c>
      <c r="J131" s="353">
        <f>SUM(J125:J130)</f>
        <v>0</v>
      </c>
      <c r="K131" s="353">
        <f>SUM(K125:K130)</f>
        <v>0</v>
      </c>
      <c r="L131" s="353">
        <f>SUM(L125:L130)</f>
        <v>0</v>
      </c>
      <c r="M131" s="354"/>
      <c r="N131" s="354"/>
      <c r="O131" s="355"/>
      <c r="P131" s="332"/>
      <c r="Q131" s="309"/>
    </row>
    <row r="132" spans="1:19" x14ac:dyDescent="0.25">
      <c r="B132" s="2"/>
      <c r="C132" s="2"/>
      <c r="D132" s="24"/>
      <c r="Q132" s="4"/>
    </row>
    <row r="133" spans="1:19" x14ac:dyDescent="0.25">
      <c r="B133" s="2"/>
      <c r="C133" s="2"/>
      <c r="D133" s="24"/>
      <c r="L133" s="1" t="s">
        <v>1</v>
      </c>
      <c r="Q133" s="4"/>
    </row>
    <row r="134" spans="1:19" ht="12" thickBot="1" x14ac:dyDescent="0.3">
      <c r="B134" s="2"/>
      <c r="C134" s="2"/>
      <c r="D134" s="24"/>
      <c r="E134" s="33"/>
      <c r="F134" s="33"/>
      <c r="G134" s="33"/>
      <c r="H134" s="33"/>
      <c r="I134" s="24"/>
      <c r="K134" s="24"/>
      <c r="L134" s="24" t="s">
        <v>1</v>
      </c>
      <c r="M134" s="24" t="s">
        <v>1</v>
      </c>
      <c r="N134" s="24"/>
      <c r="O134" s="24"/>
      <c r="Q134" s="4"/>
    </row>
    <row r="135" spans="1:19" x14ac:dyDescent="0.25">
      <c r="B135" s="2"/>
      <c r="C135" s="2"/>
      <c r="D135" s="24"/>
      <c r="E135" s="24" t="s">
        <v>1</v>
      </c>
      <c r="F135" s="42" t="s">
        <v>36</v>
      </c>
      <c r="G135" s="42"/>
      <c r="H135" s="42"/>
      <c r="I135" s="24"/>
      <c r="K135" s="24"/>
      <c r="L135" s="24"/>
      <c r="M135" s="24"/>
      <c r="N135" s="24"/>
      <c r="O135" s="24"/>
      <c r="Q135" s="4"/>
    </row>
    <row r="136" spans="1:19" x14ac:dyDescent="0.25">
      <c r="A136" s="52"/>
      <c r="B136" s="53"/>
      <c r="C136" s="53"/>
      <c r="D136" s="54"/>
      <c r="E136" s="54"/>
      <c r="F136" s="54"/>
      <c r="G136" s="54"/>
      <c r="H136" s="54"/>
      <c r="I136" s="54"/>
      <c r="J136" s="52"/>
      <c r="K136" s="54"/>
      <c r="L136" s="54"/>
      <c r="M136" s="54"/>
      <c r="N136" s="54"/>
      <c r="O136" s="54"/>
      <c r="P136" s="52"/>
      <c r="Q136" s="4"/>
    </row>
    <row r="137" spans="1:19" x14ac:dyDescent="0.25">
      <c r="B137" s="2"/>
      <c r="C137" s="2"/>
      <c r="D137" s="24"/>
      <c r="E137" s="24"/>
      <c r="F137" s="24"/>
      <c r="G137" s="24"/>
      <c r="H137" s="24"/>
      <c r="I137" s="24"/>
      <c r="K137" s="24"/>
      <c r="L137" s="24"/>
      <c r="M137" s="24"/>
      <c r="N137" s="24"/>
      <c r="O137" s="24"/>
      <c r="Q137" s="4"/>
    </row>
    <row r="138" spans="1:19" x14ac:dyDescent="0.25">
      <c r="B138" s="2"/>
      <c r="C138" s="59" t="s">
        <v>49</v>
      </c>
      <c r="D138" s="64"/>
      <c r="E138" s="24"/>
      <c r="F138" s="24"/>
      <c r="G138" s="24"/>
      <c r="H138" s="24"/>
      <c r="I138" s="24"/>
      <c r="K138" s="24"/>
      <c r="L138" s="24"/>
      <c r="M138" s="24"/>
      <c r="N138" s="24"/>
      <c r="O138" s="24"/>
      <c r="Q138" s="35"/>
    </row>
    <row r="139" spans="1:19" x14ac:dyDescent="0.25">
      <c r="B139" s="2"/>
      <c r="C139" s="2"/>
      <c r="D139" s="24"/>
      <c r="E139" s="24"/>
      <c r="F139" s="24"/>
      <c r="G139" s="24"/>
      <c r="H139" s="24"/>
      <c r="I139" s="24"/>
      <c r="K139" s="24"/>
      <c r="L139" s="24"/>
      <c r="M139" s="24"/>
      <c r="N139" s="24"/>
      <c r="O139" s="24"/>
      <c r="Q139" s="35"/>
    </row>
    <row r="140" spans="1:19" ht="18.75" customHeight="1" thickBot="1" x14ac:dyDescent="0.3">
      <c r="B140" s="2"/>
      <c r="C140" s="2"/>
      <c r="D140" s="24"/>
      <c r="E140" s="24"/>
      <c r="F140" s="24"/>
      <c r="G140" s="24"/>
      <c r="H140" s="24"/>
      <c r="J140" s="24"/>
      <c r="K140" s="24"/>
      <c r="M140" s="24"/>
      <c r="N140" s="24"/>
      <c r="O140" s="24"/>
      <c r="P140" s="24"/>
      <c r="Q140" s="35"/>
    </row>
    <row r="141" spans="1:19" ht="46.5" thickBot="1" x14ac:dyDescent="0.3">
      <c r="B141" s="104" t="s">
        <v>3</v>
      </c>
      <c r="C141" s="105" t="s">
        <v>9</v>
      </c>
      <c r="D141" s="105" t="s">
        <v>44</v>
      </c>
      <c r="E141" s="105" t="s">
        <v>45</v>
      </c>
      <c r="F141" s="105" t="s">
        <v>31</v>
      </c>
      <c r="G141" s="105" t="s">
        <v>91</v>
      </c>
      <c r="H141" s="105" t="s">
        <v>128</v>
      </c>
      <c r="I141" s="105" t="s">
        <v>127</v>
      </c>
      <c r="J141" s="105" t="s">
        <v>47</v>
      </c>
      <c r="K141" s="105" t="s">
        <v>51</v>
      </c>
      <c r="L141" s="1" t="s">
        <v>1</v>
      </c>
      <c r="M141" s="56"/>
      <c r="N141" s="56"/>
      <c r="O141" s="56"/>
      <c r="P141" s="24"/>
      <c r="Q141" s="35"/>
      <c r="R141" s="24"/>
    </row>
    <row r="142" spans="1:19" s="308" customFormat="1" x14ac:dyDescent="0.25">
      <c r="B142" s="337">
        <v>1</v>
      </c>
      <c r="C142" s="338" t="s">
        <v>10</v>
      </c>
      <c r="D142" s="311">
        <f>D104+N104+D125+E125</f>
        <v>0</v>
      </c>
      <c r="E142" s="311">
        <f>'Recaudo EAAB + Ciud Limp'!D21</f>
        <v>0</v>
      </c>
      <c r="F142" s="311">
        <f>D28+N28</f>
        <v>0</v>
      </c>
      <c r="G142" s="311">
        <f>D66+N66</f>
        <v>0</v>
      </c>
      <c r="H142" s="311">
        <f>D85+N85</f>
        <v>0</v>
      </c>
      <c r="I142" s="311">
        <v>0</v>
      </c>
      <c r="J142" s="311">
        <f t="shared" ref="J142:K146" si="57">G125</f>
        <v>0</v>
      </c>
      <c r="K142" s="312">
        <f t="shared" si="57"/>
        <v>0</v>
      </c>
      <c r="L142" s="528">
        <f>D142-E142-F142-G142-J142-H142-I142</f>
        <v>0</v>
      </c>
      <c r="M142" s="1" t="b">
        <f t="shared" ref="M142:M147" si="58">INT(ABS(L142))=0</f>
        <v>1</v>
      </c>
      <c r="P142" s="363"/>
      <c r="Q142" s="364"/>
      <c r="R142" s="363"/>
      <c r="S142" s="1"/>
    </row>
    <row r="143" spans="1:19" s="308" customFormat="1" x14ac:dyDescent="0.25">
      <c r="B143" s="317">
        <v>2</v>
      </c>
      <c r="C143" s="341" t="s">
        <v>11</v>
      </c>
      <c r="D143" s="320">
        <f>D105+N105+D126+E126</f>
        <v>0</v>
      </c>
      <c r="E143" s="320">
        <f>'Recaudo EAAB + Ciud Limp'!D22</f>
        <v>0</v>
      </c>
      <c r="F143" s="320">
        <f>D29+N29</f>
        <v>0</v>
      </c>
      <c r="G143" s="320">
        <f>D67+N67</f>
        <v>0</v>
      </c>
      <c r="H143" s="320">
        <f>D86+N86</f>
        <v>0</v>
      </c>
      <c r="I143" s="320">
        <v>0</v>
      </c>
      <c r="J143" s="320">
        <f t="shared" si="57"/>
        <v>0</v>
      </c>
      <c r="K143" s="321">
        <f t="shared" si="57"/>
        <v>0</v>
      </c>
      <c r="L143" s="528">
        <f>D143-E143-F143-G143-J143-H143-I143</f>
        <v>0</v>
      </c>
      <c r="M143" s="1" t="b">
        <f t="shared" si="58"/>
        <v>1</v>
      </c>
      <c r="P143" s="363"/>
      <c r="Q143" s="364"/>
      <c r="R143" s="363"/>
      <c r="S143" s="1"/>
    </row>
    <row r="144" spans="1:19" s="308" customFormat="1" x14ac:dyDescent="0.25">
      <c r="B144" s="317">
        <v>3</v>
      </c>
      <c r="C144" s="341" t="s">
        <v>12</v>
      </c>
      <c r="D144" s="320">
        <f>D106+N106+D127+E127</f>
        <v>0</v>
      </c>
      <c r="E144" s="320">
        <f>'Recaudo EAAB + Ciud Limp'!D23</f>
        <v>0</v>
      </c>
      <c r="F144" s="320">
        <f>D30+N30</f>
        <v>0</v>
      </c>
      <c r="G144" s="320">
        <f>D68+N68</f>
        <v>0</v>
      </c>
      <c r="H144" s="320">
        <f>D87+N87</f>
        <v>0</v>
      </c>
      <c r="I144" s="320">
        <v>0</v>
      </c>
      <c r="J144" s="320">
        <f t="shared" si="57"/>
        <v>0</v>
      </c>
      <c r="K144" s="321">
        <f t="shared" si="57"/>
        <v>0</v>
      </c>
      <c r="L144" s="528">
        <f>D144-E144-F144-G144-J144-H144-I144</f>
        <v>0</v>
      </c>
      <c r="M144" s="1" t="b">
        <f t="shared" si="58"/>
        <v>1</v>
      </c>
      <c r="P144" s="363"/>
      <c r="Q144" s="364"/>
      <c r="R144" s="363"/>
      <c r="S144" s="1"/>
    </row>
    <row r="145" spans="1:20" s="308" customFormat="1" x14ac:dyDescent="0.25">
      <c r="B145" s="317">
        <v>4</v>
      </c>
      <c r="C145" s="341" t="s">
        <v>13</v>
      </c>
      <c r="D145" s="320">
        <f>D107+N107+D128+E128</f>
        <v>0</v>
      </c>
      <c r="E145" s="320">
        <f>'Recaudo EAAB + Ciud Limp'!D24</f>
        <v>0</v>
      </c>
      <c r="F145" s="320">
        <f>D31+N31</f>
        <v>0</v>
      </c>
      <c r="G145" s="320">
        <f>D69+N69</f>
        <v>0</v>
      </c>
      <c r="H145" s="320">
        <f>D88+N88</f>
        <v>0</v>
      </c>
      <c r="I145" s="320">
        <v>0</v>
      </c>
      <c r="J145" s="320">
        <f t="shared" si="57"/>
        <v>0</v>
      </c>
      <c r="K145" s="321">
        <f t="shared" si="57"/>
        <v>0</v>
      </c>
      <c r="L145" s="528">
        <f>D145-E145-F145-G145-J145-H145-I145</f>
        <v>0</v>
      </c>
      <c r="M145" s="1" t="b">
        <f t="shared" si="58"/>
        <v>1</v>
      </c>
      <c r="P145" s="363"/>
      <c r="Q145" s="364"/>
      <c r="R145" s="363"/>
      <c r="S145" s="1"/>
    </row>
    <row r="146" spans="1:20" s="308" customFormat="1" ht="12" thickBot="1" x14ac:dyDescent="0.3">
      <c r="B146" s="344">
        <v>5</v>
      </c>
      <c r="C146" s="345" t="s">
        <v>14</v>
      </c>
      <c r="D146" s="359">
        <f>D108+N108+D129+E129</f>
        <v>0</v>
      </c>
      <c r="E146" s="320">
        <f>'Recaudo EAAB + Ciud Limp'!D25</f>
        <v>0</v>
      </c>
      <c r="F146" s="359">
        <f>D32+N32</f>
        <v>0</v>
      </c>
      <c r="G146" s="359">
        <f>D70+N70</f>
        <v>0</v>
      </c>
      <c r="H146" s="359">
        <f>D89+N89</f>
        <v>0</v>
      </c>
      <c r="I146" s="359">
        <v>0</v>
      </c>
      <c r="J146" s="359">
        <f t="shared" si="57"/>
        <v>0</v>
      </c>
      <c r="K146" s="361">
        <f t="shared" si="57"/>
        <v>0</v>
      </c>
      <c r="L146" s="528">
        <f>D146-E146-F146-G146-J146-H146-I146</f>
        <v>0</v>
      </c>
      <c r="M146" s="1" t="b">
        <f t="shared" si="58"/>
        <v>1</v>
      </c>
      <c r="P146" s="363"/>
      <c r="Q146" s="364"/>
      <c r="R146" s="363"/>
      <c r="S146" s="1"/>
    </row>
    <row r="147" spans="1:20" s="308" customFormat="1" ht="12" thickBot="1" x14ac:dyDescent="0.3">
      <c r="B147" s="330"/>
      <c r="C147" s="331" t="s">
        <v>2</v>
      </c>
      <c r="D147" s="365">
        <f>SUM(D142:D146)</f>
        <v>0</v>
      </c>
      <c r="E147" s="365">
        <f>SUM(E142:E146)</f>
        <v>0</v>
      </c>
      <c r="F147" s="365">
        <f t="shared" ref="F147:K147" si="59">SUM(F142:F146)</f>
        <v>0</v>
      </c>
      <c r="G147" s="365">
        <f t="shared" si="59"/>
        <v>0</v>
      </c>
      <c r="H147" s="365">
        <f t="shared" si="59"/>
        <v>0</v>
      </c>
      <c r="I147" s="365">
        <f t="shared" si="59"/>
        <v>0</v>
      </c>
      <c r="J147" s="365">
        <f t="shared" si="59"/>
        <v>0</v>
      </c>
      <c r="K147" s="365">
        <f t="shared" si="59"/>
        <v>0</v>
      </c>
      <c r="L147" s="528">
        <f>SUM(L142:L146)</f>
        <v>0</v>
      </c>
      <c r="M147" s="1" t="b">
        <f t="shared" si="58"/>
        <v>1</v>
      </c>
      <c r="P147" s="363"/>
      <c r="Q147" s="364"/>
      <c r="R147" s="363"/>
      <c r="S147" s="1"/>
    </row>
    <row r="148" spans="1:20" x14ac:dyDescent="0.25">
      <c r="B148" s="2"/>
      <c r="H148" s="55"/>
      <c r="L148" s="24"/>
      <c r="M148" s="24"/>
      <c r="N148" s="24"/>
      <c r="O148" s="24"/>
      <c r="P148" s="24"/>
      <c r="Q148" s="35"/>
    </row>
    <row r="149" spans="1:20" ht="21.75" customHeight="1" x14ac:dyDescent="0.25">
      <c r="B149" s="2"/>
      <c r="C149" s="2"/>
      <c r="D149" s="24"/>
      <c r="F149" s="24"/>
      <c r="G149" s="24"/>
      <c r="H149" s="24"/>
      <c r="I149" s="24"/>
      <c r="K149" s="24"/>
      <c r="L149" s="24"/>
      <c r="M149" s="24"/>
      <c r="N149" s="24"/>
      <c r="O149" s="24"/>
      <c r="Q149" s="35"/>
    </row>
    <row r="150" spans="1:20" x14ac:dyDescent="0.25">
      <c r="B150" s="2"/>
      <c r="C150" s="2"/>
      <c r="D150" s="24"/>
      <c r="E150" s="24"/>
      <c r="F150" s="24"/>
      <c r="G150" s="24"/>
      <c r="H150" s="24"/>
      <c r="I150" s="24"/>
      <c r="J150" s="55"/>
      <c r="K150" s="24"/>
      <c r="L150" s="24"/>
      <c r="M150" s="24"/>
      <c r="N150" s="24"/>
      <c r="O150" s="24"/>
      <c r="Q150" s="35"/>
      <c r="T150" s="24"/>
    </row>
    <row r="151" spans="1:20" x14ac:dyDescent="0.25">
      <c r="A151" s="52"/>
      <c r="B151" s="53"/>
      <c r="C151" s="53"/>
      <c r="D151" s="54"/>
      <c r="E151" s="54"/>
      <c r="F151" s="54"/>
      <c r="G151" s="54"/>
      <c r="H151" s="54"/>
      <c r="I151" s="54"/>
      <c r="J151" s="52"/>
      <c r="K151" s="54"/>
      <c r="L151" s="54"/>
      <c r="M151" s="54"/>
      <c r="N151" s="54"/>
      <c r="O151" s="54"/>
      <c r="P151" s="52"/>
      <c r="Q151" s="54"/>
      <c r="T151" s="24"/>
    </row>
    <row r="152" spans="1:20" x14ac:dyDescent="0.25">
      <c r="N152" s="24"/>
      <c r="O152" s="24"/>
      <c r="Q152" s="24"/>
      <c r="T152" s="24"/>
    </row>
    <row r="153" spans="1:20" x14ac:dyDescent="0.25">
      <c r="N153" s="24"/>
      <c r="O153" s="24"/>
      <c r="Q153" s="24"/>
      <c r="T153" s="24"/>
    </row>
    <row r="154" spans="1:20" x14ac:dyDescent="0.25">
      <c r="N154" s="24"/>
      <c r="O154" s="24"/>
      <c r="Q154" s="24"/>
      <c r="T154" s="24"/>
    </row>
    <row r="155" spans="1:20" x14ac:dyDescent="0.25">
      <c r="N155" s="24"/>
      <c r="O155" s="24"/>
      <c r="Q155" s="24"/>
      <c r="T155" s="24"/>
    </row>
    <row r="156" spans="1:20" x14ac:dyDescent="0.25">
      <c r="N156" s="24"/>
      <c r="O156" s="24"/>
      <c r="Q156" s="24"/>
      <c r="T156" s="24"/>
    </row>
    <row r="157" spans="1:20" x14ac:dyDescent="0.25">
      <c r="N157" s="24"/>
      <c r="O157" s="24"/>
      <c r="Q157" s="24"/>
      <c r="T157" s="24"/>
    </row>
    <row r="158" spans="1:20" x14ac:dyDescent="0.25">
      <c r="N158" s="24"/>
      <c r="O158" s="24"/>
      <c r="Q158" s="24"/>
      <c r="T158" s="24"/>
    </row>
    <row r="159" spans="1:20" x14ac:dyDescent="0.25">
      <c r="N159" s="24"/>
      <c r="O159" s="24"/>
      <c r="Q159" s="24"/>
      <c r="T159" s="24"/>
    </row>
    <row r="160" spans="1:20" x14ac:dyDescent="0.25">
      <c r="N160" s="24"/>
      <c r="O160" s="24"/>
      <c r="Q160" s="24"/>
      <c r="T160" s="24"/>
    </row>
    <row r="161" spans="14:20" x14ac:dyDescent="0.25">
      <c r="N161" s="24"/>
      <c r="O161" s="24"/>
      <c r="Q161" s="24"/>
      <c r="T161" s="24"/>
    </row>
    <row r="162" spans="14:20" x14ac:dyDescent="0.25">
      <c r="N162" s="24"/>
      <c r="O162" s="24"/>
      <c r="Q162" s="24"/>
      <c r="T162" s="24"/>
    </row>
    <row r="163" spans="14:20" x14ac:dyDescent="0.25">
      <c r="N163" s="24"/>
      <c r="O163" s="24"/>
      <c r="Q163" s="24"/>
      <c r="T163" s="24"/>
    </row>
    <row r="164" spans="14:20" x14ac:dyDescent="0.25">
      <c r="N164" s="24"/>
      <c r="O164" s="24"/>
      <c r="Q164" s="24"/>
      <c r="T164" s="24"/>
    </row>
    <row r="165" spans="14:20" x14ac:dyDescent="0.25">
      <c r="N165" s="24"/>
      <c r="O165" s="24"/>
      <c r="Q165" s="24"/>
      <c r="T165" s="24"/>
    </row>
    <row r="166" spans="14:20" x14ac:dyDescent="0.25">
      <c r="Q166" s="24"/>
      <c r="T166" s="24"/>
    </row>
    <row r="167" spans="14:20" x14ac:dyDescent="0.25">
      <c r="Q167" s="24"/>
    </row>
  </sheetData>
  <conditionalFormatting sqref="L142:L147">
    <cfRule type="expression" dxfId="18" priority="11">
      <formula>$L$142&lt;&gt;0</formula>
    </cfRule>
  </conditionalFormatting>
  <conditionalFormatting sqref="M142:M147">
    <cfRule type="cellIs" dxfId="17" priority="3" operator="notEqual">
      <formula>TRUE</formula>
    </cfRule>
  </conditionalFormatting>
  <conditionalFormatting sqref="AH9:AH14">
    <cfRule type="cellIs" dxfId="16" priority="10" operator="notEqual">
      <formula>TRUE</formula>
    </cfRule>
  </conditionalFormatting>
  <conditionalFormatting sqref="AH28:AH33">
    <cfRule type="cellIs" dxfId="15" priority="9" operator="notEqual">
      <formula>TRUE</formula>
    </cfRule>
  </conditionalFormatting>
  <conditionalFormatting sqref="AH47:AH52">
    <cfRule type="cellIs" dxfId="14" priority="8" operator="notEqual">
      <formula>TRUE</formula>
    </cfRule>
  </conditionalFormatting>
  <conditionalFormatting sqref="AH66:AH71">
    <cfRule type="cellIs" dxfId="13" priority="7" operator="notEqual">
      <formula>TRUE</formula>
    </cfRule>
  </conditionalFormatting>
  <conditionalFormatting sqref="AH85:AH90">
    <cfRule type="cellIs" dxfId="12" priority="6" operator="notEqual">
      <formula>TRUE</formula>
    </cfRule>
  </conditionalFormatting>
  <conditionalFormatting sqref="AH104:AH109">
    <cfRule type="cellIs" dxfId="11" priority="1" operator="notEqual">
      <formula>TRUE</formula>
    </cfRule>
  </conditionalFormatting>
  <printOptions horizontalCentered="1" verticalCentered="1"/>
  <pageMargins left="0.55118110236220474" right="0.74803149606299213" top="0.98425196850393704" bottom="0.78740157480314965" header="0" footer="0"/>
  <pageSetup scale="19" orientation="landscape" r:id="rId1"/>
  <headerFooter alignWithMargins="0"/>
  <drawing r:id="rId2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tabColor rgb="FFFFFF00"/>
  </sheetPr>
  <dimension ref="B1:P16"/>
  <sheetViews>
    <sheetView zoomScale="90" zoomScaleNormal="90" workbookViewId="0">
      <selection activeCell="G20" sqref="G20"/>
    </sheetView>
  </sheetViews>
  <sheetFormatPr baseColWidth="10" defaultRowHeight="12.5" x14ac:dyDescent="0.25"/>
  <cols>
    <col min="1" max="1" width="3" customWidth="1"/>
    <col min="2" max="2" width="4.26953125" bestFit="1" customWidth="1"/>
    <col min="3" max="3" width="16.7265625" customWidth="1"/>
    <col min="4" max="4" width="14.26953125" customWidth="1"/>
    <col min="5" max="7" width="17.7265625" customWidth="1"/>
    <col min="8" max="8" width="18.26953125" customWidth="1"/>
    <col min="9" max="9" width="15.7265625" customWidth="1"/>
    <col min="10" max="10" width="16.453125" customWidth="1"/>
    <col min="11" max="11" width="15.7265625" customWidth="1"/>
    <col min="12" max="13" width="18.26953125" customWidth="1"/>
    <col min="14" max="14" width="15.7265625" customWidth="1"/>
    <col min="15" max="15" width="14.26953125" customWidth="1"/>
    <col min="16" max="16" width="14.453125" customWidth="1"/>
  </cols>
  <sheetData>
    <row r="1" spans="2:16" ht="13" thickBot="1" x14ac:dyDescent="0.3"/>
    <row r="2" spans="2:16" ht="35" thickBot="1" x14ac:dyDescent="0.3">
      <c r="B2" s="11" t="s">
        <v>3</v>
      </c>
      <c r="C2" s="28" t="s">
        <v>55</v>
      </c>
      <c r="D2" s="28" t="s">
        <v>50</v>
      </c>
      <c r="E2" s="28" t="s">
        <v>57</v>
      </c>
      <c r="F2" s="28" t="s">
        <v>129</v>
      </c>
      <c r="G2" s="28" t="s">
        <v>130</v>
      </c>
      <c r="H2" s="131" t="s">
        <v>52</v>
      </c>
      <c r="I2" s="12" t="s">
        <v>58</v>
      </c>
      <c r="J2" s="12" t="s">
        <v>59</v>
      </c>
      <c r="K2" s="12" t="s">
        <v>53</v>
      </c>
      <c r="L2" s="27" t="s">
        <v>60</v>
      </c>
      <c r="M2" s="65" t="s">
        <v>92</v>
      </c>
      <c r="N2" s="132" t="s">
        <v>54</v>
      </c>
    </row>
    <row r="3" spans="2:16" s="358" customFormat="1" x14ac:dyDescent="0.25">
      <c r="B3" s="306">
        <v>1</v>
      </c>
      <c r="C3" s="295">
        <f>'Recaudo EAAB + Ciud Limp'!D21</f>
        <v>0</v>
      </c>
      <c r="D3" s="295">
        <f>'REMUNERACION_EAAB-CL'!G125</f>
        <v>0</v>
      </c>
      <c r="E3" s="295">
        <f>'REMUNERACION_EAAB-CL'!H125</f>
        <v>0</v>
      </c>
      <c r="F3" s="295">
        <v>0</v>
      </c>
      <c r="G3" s="295">
        <f>'REMUNERACION_EAAB-CL'!I125</f>
        <v>0</v>
      </c>
      <c r="H3" s="343">
        <f t="shared" ref="H3:H8" si="0">SUM(C3:G3)</f>
        <v>0</v>
      </c>
      <c r="I3" s="294">
        <f>'REMUNERACION_EAAB-CL'!D104</f>
        <v>0</v>
      </c>
      <c r="J3" s="295">
        <f>'REMUNERACION_EAAB-CL'!N104</f>
        <v>0</v>
      </c>
      <c r="K3" s="295">
        <f>'REMUNERACION_EAAB-CL'!D125</f>
        <v>0</v>
      </c>
      <c r="L3" s="356">
        <f>'REMUNERACION_EAAB-CL'!E125</f>
        <v>0</v>
      </c>
      <c r="M3" s="295">
        <f>-'REMUNERACION_EAAB-CL'!D66+'REMUNERACION_EAAB-CL'!N66</f>
        <v>0</v>
      </c>
      <c r="N3" s="291">
        <f>SUM(I3:M3)</f>
        <v>0</v>
      </c>
      <c r="O3" s="357">
        <f t="shared" ref="O3:O8" si="1">H3-N3</f>
        <v>0</v>
      </c>
      <c r="P3" s="1" t="b">
        <f>INT(O3)=0</f>
        <v>1</v>
      </c>
    </row>
    <row r="4" spans="2:16" s="358" customFormat="1" x14ac:dyDescent="0.25">
      <c r="B4" s="317">
        <v>2</v>
      </c>
      <c r="C4" s="320">
        <f>'Recaudo EAAB + Ciud Limp'!D22</f>
        <v>0</v>
      </c>
      <c r="D4" s="295">
        <f>'REMUNERACION_EAAB-CL'!G126</f>
        <v>0</v>
      </c>
      <c r="E4" s="295">
        <f>'REMUNERACION_EAAB-CL'!H126</f>
        <v>0</v>
      </c>
      <c r="F4" s="295">
        <v>0</v>
      </c>
      <c r="G4" s="295">
        <f>'REMUNERACION_EAAB-CL'!I126</f>
        <v>0</v>
      </c>
      <c r="H4" s="343">
        <f t="shared" si="0"/>
        <v>0</v>
      </c>
      <c r="I4" s="294">
        <f>'REMUNERACION_EAAB-CL'!D105</f>
        <v>0</v>
      </c>
      <c r="J4" s="295">
        <f>'REMUNERACION_EAAB-CL'!N105</f>
        <v>0</v>
      </c>
      <c r="K4" s="295">
        <f>'REMUNERACION_EAAB-CL'!D126</f>
        <v>0</v>
      </c>
      <c r="L4" s="356">
        <f>'REMUNERACION_EAAB-CL'!E126</f>
        <v>0</v>
      </c>
      <c r="M4" s="295">
        <f>-'REMUNERACION_EAAB-CL'!D67+'REMUNERACION_EAAB-CL'!N67</f>
        <v>0</v>
      </c>
      <c r="N4" s="321">
        <f>SUM(I4:M4)</f>
        <v>0</v>
      </c>
      <c r="O4" s="357">
        <f t="shared" si="1"/>
        <v>0</v>
      </c>
      <c r="P4" s="1" t="b">
        <f t="shared" ref="P4:P9" si="2">INT(O4)=0</f>
        <v>1</v>
      </c>
    </row>
    <row r="5" spans="2:16" s="358" customFormat="1" x14ac:dyDescent="0.25">
      <c r="B5" s="317">
        <v>3</v>
      </c>
      <c r="C5" s="320">
        <f>'Recaudo EAAB + Ciud Limp'!D23</f>
        <v>0</v>
      </c>
      <c r="D5" s="295">
        <f>'REMUNERACION_EAAB-CL'!G127</f>
        <v>0</v>
      </c>
      <c r="E5" s="295">
        <f>'REMUNERACION_EAAB-CL'!H127</f>
        <v>0</v>
      </c>
      <c r="F5" s="295">
        <v>0</v>
      </c>
      <c r="G5" s="295">
        <f>'REMUNERACION_EAAB-CL'!I127</f>
        <v>0</v>
      </c>
      <c r="H5" s="343">
        <f t="shared" si="0"/>
        <v>0</v>
      </c>
      <c r="I5" s="294">
        <f>'REMUNERACION_EAAB-CL'!D106</f>
        <v>0</v>
      </c>
      <c r="J5" s="295">
        <f>'REMUNERACION_EAAB-CL'!N106</f>
        <v>0</v>
      </c>
      <c r="K5" s="295">
        <f>'REMUNERACION_EAAB-CL'!D127</f>
        <v>0</v>
      </c>
      <c r="L5" s="356">
        <f>'REMUNERACION_EAAB-CL'!E127</f>
        <v>0</v>
      </c>
      <c r="M5" s="295">
        <f>-'REMUNERACION_EAAB-CL'!D68+'REMUNERACION_EAAB-CL'!N68</f>
        <v>0</v>
      </c>
      <c r="N5" s="321">
        <f>SUM(I5:M5)</f>
        <v>0</v>
      </c>
      <c r="O5" s="357">
        <f>H5-N5</f>
        <v>0</v>
      </c>
      <c r="P5" s="1" t="b">
        <f t="shared" si="2"/>
        <v>1</v>
      </c>
    </row>
    <row r="6" spans="2:16" s="358" customFormat="1" x14ac:dyDescent="0.25">
      <c r="B6" s="317">
        <v>4</v>
      </c>
      <c r="C6" s="320">
        <f>'Recaudo EAAB + Ciud Limp'!D24</f>
        <v>0</v>
      </c>
      <c r="D6" s="295">
        <f>'REMUNERACION_EAAB-CL'!G128</f>
        <v>0</v>
      </c>
      <c r="E6" s="295">
        <f>'REMUNERACION_EAAB-CL'!H128</f>
        <v>0</v>
      </c>
      <c r="F6" s="295">
        <v>0</v>
      </c>
      <c r="G6" s="295">
        <f>'REMUNERACION_EAAB-CL'!I128</f>
        <v>0</v>
      </c>
      <c r="H6" s="343">
        <f t="shared" si="0"/>
        <v>0</v>
      </c>
      <c r="I6" s="294">
        <f>'REMUNERACION_EAAB-CL'!D107</f>
        <v>0</v>
      </c>
      <c r="J6" s="295">
        <f>'REMUNERACION_EAAB-CL'!N107</f>
        <v>0</v>
      </c>
      <c r="K6" s="295">
        <f>'REMUNERACION_EAAB-CL'!D128</f>
        <v>0</v>
      </c>
      <c r="L6" s="356">
        <f>'REMUNERACION_EAAB-CL'!E128</f>
        <v>0</v>
      </c>
      <c r="M6" s="295">
        <f>-'REMUNERACION_EAAB-CL'!D69+'REMUNERACION_EAAB-CL'!N69</f>
        <v>0</v>
      </c>
      <c r="N6" s="321">
        <f t="shared" ref="N6:N7" si="3">SUM(I6:M6)</f>
        <v>0</v>
      </c>
      <c r="O6" s="357">
        <f t="shared" si="1"/>
        <v>0</v>
      </c>
      <c r="P6" s="1" t="b">
        <f t="shared" si="2"/>
        <v>1</v>
      </c>
    </row>
    <row r="7" spans="2:16" s="358" customFormat="1" x14ac:dyDescent="0.25">
      <c r="B7" s="317">
        <v>5</v>
      </c>
      <c r="C7" s="320">
        <f>'Recaudo EAAB + Ciud Limp'!D25</f>
        <v>0</v>
      </c>
      <c r="D7" s="295">
        <f>'REMUNERACION_EAAB-CL'!G129</f>
        <v>0</v>
      </c>
      <c r="E7" s="295">
        <f>'REMUNERACION_EAAB-CL'!H129</f>
        <v>0</v>
      </c>
      <c r="F7" s="295">
        <v>0</v>
      </c>
      <c r="G7" s="295">
        <f>'REMUNERACION_EAAB-CL'!I129</f>
        <v>0</v>
      </c>
      <c r="H7" s="343">
        <f t="shared" si="0"/>
        <v>0</v>
      </c>
      <c r="I7" s="294">
        <f>'REMUNERACION_EAAB-CL'!D108</f>
        <v>0</v>
      </c>
      <c r="J7" s="295">
        <f>'REMUNERACION_EAAB-CL'!N108</f>
        <v>0</v>
      </c>
      <c r="K7" s="295">
        <f>'REMUNERACION_EAAB-CL'!D129</f>
        <v>0</v>
      </c>
      <c r="L7" s="356">
        <f>'REMUNERACION_EAAB-CL'!E129</f>
        <v>0</v>
      </c>
      <c r="M7" s="295">
        <f>-'REMUNERACION_EAAB-CL'!D70+'REMUNERACION_EAAB-CL'!N70</f>
        <v>0</v>
      </c>
      <c r="N7" s="321">
        <f t="shared" si="3"/>
        <v>0</v>
      </c>
      <c r="O7" s="357">
        <f>H7-N7</f>
        <v>0</v>
      </c>
      <c r="P7" s="1" t="b">
        <f t="shared" si="2"/>
        <v>1</v>
      </c>
    </row>
    <row r="8" spans="2:16" s="358" customFormat="1" ht="13" thickBot="1" x14ac:dyDescent="0.3">
      <c r="B8" s="344" t="s">
        <v>89</v>
      </c>
      <c r="C8" s="320">
        <f>'Recaudo EAAB + Ciud Limp'!D26</f>
        <v>0</v>
      </c>
      <c r="D8" s="359">
        <v>0</v>
      </c>
      <c r="E8" s="359">
        <v>0</v>
      </c>
      <c r="F8" s="359">
        <v>0</v>
      </c>
      <c r="G8" s="359">
        <v>0</v>
      </c>
      <c r="H8" s="343">
        <f t="shared" si="0"/>
        <v>0</v>
      </c>
      <c r="I8" s="360">
        <v>0</v>
      </c>
      <c r="J8" s="346">
        <v>0</v>
      </c>
      <c r="K8" s="346">
        <v>0</v>
      </c>
      <c r="L8" s="356">
        <f>'REMUNERACION_EAAB-CL'!E130</f>
        <v>0</v>
      </c>
      <c r="M8" s="295">
        <v>0</v>
      </c>
      <c r="N8" s="361">
        <f>SUM(I8:L8)-M8</f>
        <v>0</v>
      </c>
      <c r="O8" s="357">
        <f t="shared" si="1"/>
        <v>0</v>
      </c>
      <c r="P8" s="1" t="b">
        <f t="shared" si="2"/>
        <v>1</v>
      </c>
    </row>
    <row r="9" spans="2:16" s="358" customFormat="1" ht="13" thickBot="1" x14ac:dyDescent="0.3">
      <c r="B9" s="330"/>
      <c r="C9" s="293">
        <f>SUM(C3:C8)</f>
        <v>0</v>
      </c>
      <c r="D9" s="293">
        <f t="shared" ref="D9:M9" si="4">SUM(D3:D8)</f>
        <v>0</v>
      </c>
      <c r="E9" s="293">
        <f t="shared" si="4"/>
        <v>0</v>
      </c>
      <c r="F9" s="293">
        <f t="shared" si="4"/>
        <v>0</v>
      </c>
      <c r="G9" s="293">
        <f t="shared" si="4"/>
        <v>0</v>
      </c>
      <c r="H9" s="293">
        <f t="shared" si="4"/>
        <v>0</v>
      </c>
      <c r="I9" s="293">
        <f t="shared" si="4"/>
        <v>0</v>
      </c>
      <c r="J9" s="293">
        <f t="shared" si="4"/>
        <v>0</v>
      </c>
      <c r="K9" s="293">
        <f t="shared" si="4"/>
        <v>0</v>
      </c>
      <c r="L9" s="293">
        <f t="shared" si="4"/>
        <v>0</v>
      </c>
      <c r="M9" s="293">
        <f t="shared" si="4"/>
        <v>0</v>
      </c>
      <c r="N9" s="293">
        <f>SUM(N3:N8)</f>
        <v>0</v>
      </c>
      <c r="O9" s="362">
        <f>SUM(O3:O8)</f>
        <v>0</v>
      </c>
      <c r="P9" s="1" t="b">
        <f t="shared" si="2"/>
        <v>1</v>
      </c>
    </row>
    <row r="11" spans="2:16" ht="13" x14ac:dyDescent="0.3">
      <c r="B11" s="102" t="s">
        <v>89</v>
      </c>
      <c r="C11" s="103" t="s">
        <v>90</v>
      </c>
      <c r="M11" s="141"/>
      <c r="O11" s="137"/>
    </row>
    <row r="12" spans="2:16" x14ac:dyDescent="0.25">
      <c r="C12" s="143"/>
    </row>
    <row r="13" spans="2:16" x14ac:dyDescent="0.25">
      <c r="B13" s="142"/>
      <c r="C13" s="103" t="s">
        <v>1</v>
      </c>
    </row>
    <row r="14" spans="2:16" x14ac:dyDescent="0.25">
      <c r="C14" s="245">
        <f>'Valida - Control Recaudo'!E3+'Valida - Control Recaudo'!E5</f>
        <v>0</v>
      </c>
    </row>
    <row r="15" spans="2:16" x14ac:dyDescent="0.25">
      <c r="C15" s="249" t="b">
        <f>C14=C9</f>
        <v>1</v>
      </c>
    </row>
    <row r="16" spans="2:16" x14ac:dyDescent="0.25">
      <c r="C16" s="212" t="s">
        <v>1</v>
      </c>
    </row>
  </sheetData>
  <conditionalFormatting sqref="C15">
    <cfRule type="cellIs" dxfId="10" priority="6" operator="notEqual">
      <formula>TRUE</formula>
    </cfRule>
  </conditionalFormatting>
  <conditionalFormatting sqref="P3:P9">
    <cfRule type="cellIs" dxfId="9" priority="4" operator="notEqual">
      <formula>TRUE</formula>
    </cfRule>
  </conditionalFormatting>
  <pageMargins left="0.7" right="0.7" top="0.75" bottom="0.75" header="0.3" footer="0.3"/>
  <pageSetup orientation="portrait"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tabColor rgb="FFFFFF00"/>
    <pageSetUpPr fitToPage="1"/>
  </sheetPr>
  <dimension ref="A1:AI52"/>
  <sheetViews>
    <sheetView topLeftCell="A8" zoomScale="98" zoomScaleNormal="98" workbookViewId="0"/>
  </sheetViews>
  <sheetFormatPr baseColWidth="10" defaultColWidth="11.453125" defaultRowHeight="11.5" x14ac:dyDescent="0.25"/>
  <cols>
    <col min="1" max="1" width="3" style="1" customWidth="1"/>
    <col min="2" max="2" width="4.453125" style="1" bestFit="1" customWidth="1"/>
    <col min="3" max="3" width="36.7265625" style="1" customWidth="1"/>
    <col min="4" max="4" width="15.26953125" style="1" customWidth="1"/>
    <col min="5" max="5" width="16" style="1" customWidth="1"/>
    <col min="6" max="7" width="14.7265625" style="1" customWidth="1"/>
    <col min="8" max="8" width="16.26953125" style="1" customWidth="1"/>
    <col min="9" max="9" width="20.26953125" style="1" bestFit="1" customWidth="1"/>
    <col min="10" max="10" width="15.54296875" style="1" customWidth="1"/>
    <col min="11" max="11" width="17.54296875" style="1" customWidth="1"/>
    <col min="12" max="12" width="16.54296875" style="1" customWidth="1"/>
    <col min="13" max="13" width="19.7265625" style="1" customWidth="1"/>
    <col min="14" max="14" width="15.26953125" style="1" customWidth="1"/>
    <col min="15" max="15" width="16.7265625" style="1" customWidth="1"/>
    <col min="16" max="16" width="3.7265625" style="1" customWidth="1"/>
    <col min="17" max="17" width="2.7265625" style="1" customWidth="1"/>
    <col min="18" max="18" width="4.54296875" style="1" customWidth="1"/>
    <col min="19" max="19" width="11.26953125" style="1" customWidth="1"/>
    <col min="20" max="20" width="39.453125" style="1" customWidth="1"/>
    <col min="21" max="21" width="19.26953125" style="1" customWidth="1"/>
    <col min="22" max="22" width="17.7265625" style="1" customWidth="1"/>
    <col min="23" max="23" width="16.453125" style="1" customWidth="1"/>
    <col min="24" max="24" width="17.26953125" style="1" customWidth="1"/>
    <col min="25" max="25" width="15.7265625" style="1" customWidth="1"/>
    <col min="26" max="26" width="16" style="1" customWidth="1"/>
    <col min="27" max="27" width="15" style="1" customWidth="1"/>
    <col min="28" max="29" width="16.7265625" style="1" customWidth="1"/>
    <col min="30" max="31" width="15.453125" style="1" customWidth="1"/>
    <col min="32" max="32" width="16.26953125" style="1" customWidth="1"/>
    <col min="33" max="33" width="18.26953125" style="1" customWidth="1"/>
    <col min="34" max="34" width="13.7265625" style="1" customWidth="1"/>
    <col min="35" max="35" width="3.453125" style="1" customWidth="1"/>
    <col min="36" max="16384" width="11.453125" style="1"/>
  </cols>
  <sheetData>
    <row r="1" spans="2:35" ht="12" thickBot="1" x14ac:dyDescent="0.3">
      <c r="Q1" s="4"/>
      <c r="AI1" s="4"/>
    </row>
    <row r="2" spans="2:35" x14ac:dyDescent="0.25">
      <c r="B2" s="5"/>
      <c r="C2" s="3" t="s">
        <v>1</v>
      </c>
      <c r="D2" s="6" t="s">
        <v>1</v>
      </c>
      <c r="E2" s="3"/>
      <c r="F2" s="3"/>
      <c r="G2" s="3"/>
      <c r="H2" s="3" t="s">
        <v>1</v>
      </c>
      <c r="I2" s="3"/>
      <c r="J2" s="3"/>
      <c r="K2" s="3"/>
      <c r="L2" s="3"/>
      <c r="M2" s="3"/>
      <c r="N2" s="3"/>
      <c r="O2" s="7"/>
      <c r="P2" s="2"/>
      <c r="Q2" s="4"/>
      <c r="S2" s="5"/>
      <c r="T2" s="3" t="s">
        <v>1</v>
      </c>
      <c r="U2" s="6" t="s">
        <v>1</v>
      </c>
      <c r="V2" s="3"/>
      <c r="W2" s="3"/>
      <c r="X2" s="3" t="s">
        <v>1</v>
      </c>
      <c r="Y2" s="3"/>
      <c r="Z2" s="3"/>
      <c r="AA2" s="3"/>
      <c r="AB2" s="3"/>
      <c r="AC2" s="3"/>
      <c r="AD2" s="3"/>
      <c r="AE2" s="3"/>
      <c r="AF2" s="7"/>
      <c r="AG2" s="2"/>
      <c r="AI2" s="4"/>
    </row>
    <row r="3" spans="2:35" ht="14" x14ac:dyDescent="0.3">
      <c r="B3" s="8"/>
      <c r="F3" s="26" t="s">
        <v>8</v>
      </c>
      <c r="G3" s="26"/>
      <c r="I3" s="26" t="s">
        <v>16</v>
      </c>
      <c r="J3" s="25"/>
      <c r="M3" s="2" t="s">
        <v>15</v>
      </c>
      <c r="N3" s="50">
        <f>'CONSOLIDADO_TOTAL RECAUDO'!N98</f>
        <v>2026071</v>
      </c>
      <c r="O3" s="10"/>
      <c r="P3" s="2"/>
      <c r="Q3" s="4"/>
      <c r="S3" s="8"/>
      <c r="U3" s="26" t="s">
        <v>8</v>
      </c>
      <c r="W3" s="26" t="s">
        <v>16</v>
      </c>
      <c r="X3" s="25"/>
      <c r="Y3" s="2"/>
      <c r="AA3" s="2" t="s">
        <v>15</v>
      </c>
      <c r="AD3" s="84">
        <f>N3</f>
        <v>2026071</v>
      </c>
      <c r="AE3" s="84"/>
      <c r="AF3" s="48"/>
      <c r="AG3" s="2"/>
      <c r="AI3" s="4"/>
    </row>
    <row r="4" spans="2:35" ht="15.5" x14ac:dyDescent="0.35">
      <c r="B4" s="8"/>
      <c r="F4" s="36" t="s">
        <v>29</v>
      </c>
      <c r="G4" s="36"/>
      <c r="O4" s="10"/>
      <c r="P4" s="2"/>
      <c r="Q4" s="4"/>
      <c r="S4" s="8"/>
      <c r="T4" s="26" t="s">
        <v>1</v>
      </c>
      <c r="U4" s="36" t="s">
        <v>29</v>
      </c>
      <c r="Y4" s="2" t="s">
        <v>1</v>
      </c>
      <c r="AA4" s="50" t="s">
        <v>1</v>
      </c>
      <c r="AB4" s="2"/>
      <c r="AC4" s="2"/>
      <c r="AD4" s="2"/>
      <c r="AE4" s="2"/>
      <c r="AF4" s="10" t="s">
        <v>1</v>
      </c>
      <c r="AG4" s="2"/>
      <c r="AI4" s="4"/>
    </row>
    <row r="5" spans="2:35" ht="14" x14ac:dyDescent="0.3">
      <c r="B5" s="8"/>
      <c r="F5" s="2" t="s">
        <v>30</v>
      </c>
      <c r="G5" s="2"/>
      <c r="M5" s="2" t="s">
        <v>1</v>
      </c>
      <c r="O5" s="10"/>
      <c r="P5" s="2"/>
      <c r="Q5" s="4"/>
      <c r="S5" s="8"/>
      <c r="T5" s="49" t="s">
        <v>1</v>
      </c>
      <c r="U5" s="2" t="s">
        <v>30</v>
      </c>
      <c r="AF5" s="44"/>
      <c r="AG5" s="2"/>
      <c r="AI5" s="4"/>
    </row>
    <row r="6" spans="2:35" ht="15.5" x14ac:dyDescent="0.35">
      <c r="B6" s="8"/>
      <c r="C6" s="591" t="s">
        <v>17</v>
      </c>
      <c r="D6" s="9">
        <f>'CONSOLIDADO_TOTAL RECAUDO'!D101</f>
        <v>46220</v>
      </c>
      <c r="F6" s="58" t="str">
        <f>'REMUNERACION_EAAB-CL'!F101</f>
        <v>REPORTE CONSOLIDADO TOTAL DE RECAUDO //EAAB-CIUDAD LIMPIA*</v>
      </c>
      <c r="G6" s="58"/>
      <c r="H6" s="59"/>
      <c r="I6" s="60"/>
      <c r="J6" s="59"/>
      <c r="O6" s="10"/>
      <c r="P6" s="2"/>
      <c r="Q6" s="4"/>
      <c r="S6" s="8"/>
      <c r="T6" s="41" t="s">
        <v>1</v>
      </c>
      <c r="U6" s="58" t="str">
        <f>'REMUNERACION_EAAB-CL'!U101</f>
        <v>REPORTE DETALLADO SUBBOLSA RBL DISCRIMINADO POR ACTIVIDADES //EAAB-CIUDAD LIMPIA*</v>
      </c>
      <c r="V6" s="59"/>
      <c r="W6" s="60"/>
      <c r="X6" s="59"/>
      <c r="Y6" s="2"/>
      <c r="AF6" s="48"/>
      <c r="AG6" s="2"/>
      <c r="AI6" s="4"/>
    </row>
    <row r="7" spans="2:35" ht="12" thickBot="1" x14ac:dyDescent="0.3">
      <c r="B7" s="8"/>
      <c r="C7" s="2" t="s">
        <v>0</v>
      </c>
      <c r="D7" s="241">
        <f>'CONSOLIDADO_TOTAL RECAUDO'!D102</f>
        <v>0.58333333333333337</v>
      </c>
      <c r="F7" s="2" t="s">
        <v>27</v>
      </c>
      <c r="G7" s="9">
        <f>'CONSOLIDADO_TOTAL RECAUDO'!G102</f>
        <v>46204</v>
      </c>
      <c r="J7" s="2" t="s">
        <v>28</v>
      </c>
      <c r="K7" s="9">
        <f>'CONSOLIDADO_TOTAL RECAUDO'!K102</f>
        <v>46218</v>
      </c>
      <c r="O7" s="10"/>
      <c r="P7" s="2"/>
      <c r="Q7" s="4"/>
      <c r="S7" s="8"/>
      <c r="U7" s="1" t="str">
        <f>F7</f>
        <v>Fecha Desde:</v>
      </c>
      <c r="V7" s="9">
        <f>G7</f>
        <v>46204</v>
      </c>
      <c r="W7" s="1" t="s">
        <v>1</v>
      </c>
      <c r="X7" s="1" t="str">
        <f>J7</f>
        <v>Feha Hasta:</v>
      </c>
      <c r="Y7" s="9">
        <f>K7</f>
        <v>46218</v>
      </c>
      <c r="Z7" s="1" t="s">
        <v>1</v>
      </c>
      <c r="AF7" s="48"/>
      <c r="AG7" s="2"/>
      <c r="AI7" s="4"/>
    </row>
    <row r="8" spans="2:35" ht="69.5" thickBot="1" x14ac:dyDescent="0.3">
      <c r="B8" s="11" t="s">
        <v>3</v>
      </c>
      <c r="C8" s="27" t="s">
        <v>9</v>
      </c>
      <c r="D8" s="11" t="s">
        <v>4</v>
      </c>
      <c r="E8" s="12" t="s">
        <v>5</v>
      </c>
      <c r="F8" s="12" t="s">
        <v>6</v>
      </c>
      <c r="G8" s="27" t="s">
        <v>159</v>
      </c>
      <c r="H8" s="12" t="s">
        <v>18</v>
      </c>
      <c r="I8" s="12" t="s">
        <v>24</v>
      </c>
      <c r="J8" s="73" t="s">
        <v>19</v>
      </c>
      <c r="K8" s="29" t="s">
        <v>20</v>
      </c>
      <c r="L8" s="28" t="s">
        <v>21</v>
      </c>
      <c r="M8" s="39" t="s">
        <v>22</v>
      </c>
      <c r="N8" s="12" t="s">
        <v>7</v>
      </c>
      <c r="O8" s="39" t="s">
        <v>23</v>
      </c>
      <c r="P8" s="13"/>
      <c r="Q8" s="4"/>
      <c r="S8" s="11" t="s">
        <v>3</v>
      </c>
      <c r="T8" s="27" t="s">
        <v>9</v>
      </c>
      <c r="U8" s="80" t="s">
        <v>39</v>
      </c>
      <c r="V8" s="51" t="s">
        <v>40</v>
      </c>
      <c r="W8" s="51" t="s">
        <v>41</v>
      </c>
      <c r="X8" s="51" t="s">
        <v>42</v>
      </c>
      <c r="Y8" s="81" t="s">
        <v>43</v>
      </c>
      <c r="Z8" s="85" t="s">
        <v>21</v>
      </c>
      <c r="AA8" s="65" t="s">
        <v>46</v>
      </c>
      <c r="AB8" s="65" t="s">
        <v>7</v>
      </c>
      <c r="AC8" s="85" t="s">
        <v>167</v>
      </c>
      <c r="AD8" s="27" t="s">
        <v>105</v>
      </c>
      <c r="AE8" s="27" t="s">
        <v>104</v>
      </c>
      <c r="AF8" s="39" t="s">
        <v>23</v>
      </c>
      <c r="AG8" s="13"/>
      <c r="AI8" s="4"/>
    </row>
    <row r="9" spans="2:35" s="308" customFormat="1" x14ac:dyDescent="0.25">
      <c r="B9" s="306">
        <v>1</v>
      </c>
      <c r="C9" s="307" t="s">
        <v>10</v>
      </c>
      <c r="D9" s="294">
        <f>'REMUNERACION_EAAB-CL'!D104</f>
        <v>0</v>
      </c>
      <c r="E9" s="294">
        <f>'REMUNERACION_EAAB-CL'!E104</f>
        <v>0</v>
      </c>
      <c r="F9" s="294">
        <f>'REMUNERACION_EAAB-CL'!F104</f>
        <v>0</v>
      </c>
      <c r="G9" s="294">
        <f>'REMUNERACION_EAAB-CL'!G104</f>
        <v>0</v>
      </c>
      <c r="H9" s="294">
        <f>'REMUNERACION_EAAB-CL'!H104</f>
        <v>0</v>
      </c>
      <c r="I9" s="294">
        <f>'REMUNERACION_EAAB-CL'!I104</f>
        <v>0</v>
      </c>
      <c r="J9" s="294">
        <f>'REMUNERACION_EAAB-CL'!J104</f>
        <v>0</v>
      </c>
      <c r="K9" s="296">
        <f>D9-E9-F9-G9-H9-I9-J9</f>
        <v>0</v>
      </c>
      <c r="L9" s="294">
        <f>'REMUNERACION_EAAB-CL'!L104</f>
        <v>0</v>
      </c>
      <c r="M9" s="296">
        <f>K9-L9</f>
        <v>0</v>
      </c>
      <c r="N9" s="294">
        <f>'REMUNERACION_EAAB-CL'!N104</f>
        <v>0</v>
      </c>
      <c r="O9" s="296">
        <f>M9+N9</f>
        <v>0</v>
      </c>
      <c r="Q9" s="309"/>
      <c r="S9" s="306">
        <v>1</v>
      </c>
      <c r="T9" s="307" t="s">
        <v>10</v>
      </c>
      <c r="U9" s="294">
        <f>'REMUNERACION_EAAB-CL'!U104</f>
        <v>0</v>
      </c>
      <c r="V9" s="294">
        <f>'REMUNERACION_EAAB-CL'!V104</f>
        <v>0</v>
      </c>
      <c r="W9" s="294">
        <f>'REMUNERACION_EAAB-CL'!W104</f>
        <v>0</v>
      </c>
      <c r="X9" s="294">
        <f>'REMUNERACION_EAAB-CL'!X104</f>
        <v>0</v>
      </c>
      <c r="Y9" s="294">
        <f>'REMUNERACION_EAAB-CL'!Y104</f>
        <v>0</v>
      </c>
      <c r="Z9" s="294">
        <f>'REMUNERACION_EAAB-CL'!Z104</f>
        <v>0</v>
      </c>
      <c r="AA9" s="294">
        <f>'REMUNERACION_EAAB-CL'!AA104</f>
        <v>0</v>
      </c>
      <c r="AB9" s="294">
        <f>'REMUNERACION_EAAB-CL'!AB104</f>
        <v>0</v>
      </c>
      <c r="AC9" s="294">
        <f>'REMUNERACION_EAAB-CL'!AC104</f>
        <v>0</v>
      </c>
      <c r="AD9" s="294">
        <f>'REMUNERACION_EAAB-CL'!AD104</f>
        <v>0</v>
      </c>
      <c r="AE9" s="294">
        <f>'REMUNERACION_EAAB-CL'!AE104</f>
        <v>0</v>
      </c>
      <c r="AF9" s="366">
        <f>SUM(U9:AD9)</f>
        <v>0</v>
      </c>
      <c r="AG9" s="367">
        <f>AF9-O9</f>
        <v>0</v>
      </c>
      <c r="AH9" s="1" t="b">
        <f>INT(AG9)=0</f>
        <v>1</v>
      </c>
      <c r="AI9" s="309"/>
    </row>
    <row r="10" spans="2:35" s="308" customFormat="1" x14ac:dyDescent="0.25">
      <c r="B10" s="317">
        <v>2</v>
      </c>
      <c r="C10" s="318" t="s">
        <v>11</v>
      </c>
      <c r="D10" s="294">
        <f>'REMUNERACION_EAAB-CL'!D105</f>
        <v>0</v>
      </c>
      <c r="E10" s="294">
        <f>'REMUNERACION_EAAB-CL'!E105</f>
        <v>0</v>
      </c>
      <c r="F10" s="294">
        <f>'REMUNERACION_EAAB-CL'!F105</f>
        <v>0</v>
      </c>
      <c r="G10" s="294">
        <f>'REMUNERACION_EAAB-CL'!G105</f>
        <v>0</v>
      </c>
      <c r="H10" s="294">
        <f>'REMUNERACION_EAAB-CL'!H105</f>
        <v>0</v>
      </c>
      <c r="I10" s="294">
        <f>'REMUNERACION_EAAB-CL'!I105</f>
        <v>0</v>
      </c>
      <c r="J10" s="294">
        <f>'REMUNERACION_EAAB-CL'!J105</f>
        <v>0</v>
      </c>
      <c r="K10" s="298">
        <f t="shared" ref="K10:K13" si="0">D10-E10-F10-G10-H10-I10-J10</f>
        <v>0</v>
      </c>
      <c r="L10" s="294">
        <f>'REMUNERACION_EAAB-CL'!L105</f>
        <v>0</v>
      </c>
      <c r="M10" s="298">
        <f>K10-L10</f>
        <v>0</v>
      </c>
      <c r="N10" s="294">
        <f>'REMUNERACION_EAAB-CL'!N105</f>
        <v>0</v>
      </c>
      <c r="O10" s="298">
        <f t="shared" ref="O10:O13" si="1">M10+N10</f>
        <v>0</v>
      </c>
      <c r="Q10" s="309"/>
      <c r="S10" s="317">
        <v>2</v>
      </c>
      <c r="T10" s="318" t="s">
        <v>11</v>
      </c>
      <c r="U10" s="294">
        <f>'REMUNERACION_EAAB-CL'!U105</f>
        <v>0</v>
      </c>
      <c r="V10" s="294">
        <f>'REMUNERACION_EAAB-CL'!V105</f>
        <v>0</v>
      </c>
      <c r="W10" s="294">
        <f>'REMUNERACION_EAAB-CL'!W105</f>
        <v>0</v>
      </c>
      <c r="X10" s="294">
        <f>'REMUNERACION_EAAB-CL'!X105</f>
        <v>0</v>
      </c>
      <c r="Y10" s="294">
        <f>'REMUNERACION_EAAB-CL'!Y105</f>
        <v>0</v>
      </c>
      <c r="Z10" s="294">
        <f>'REMUNERACION_EAAB-CL'!Z105</f>
        <v>0</v>
      </c>
      <c r="AA10" s="294">
        <f>'REMUNERACION_EAAB-CL'!AA105</f>
        <v>0</v>
      </c>
      <c r="AB10" s="294">
        <f>'REMUNERACION_EAAB-CL'!AB105</f>
        <v>0</v>
      </c>
      <c r="AC10" s="294">
        <f>'REMUNERACION_EAAB-CL'!AC105</f>
        <v>0</v>
      </c>
      <c r="AD10" s="294">
        <f>'REMUNERACION_EAAB-CL'!AD105</f>
        <v>0</v>
      </c>
      <c r="AE10" s="294">
        <f>'REMUNERACION_EAAB-CL'!AE105</f>
        <v>0</v>
      </c>
      <c r="AF10" s="368">
        <f>SUM(U10:AD10)</f>
        <v>0</v>
      </c>
      <c r="AG10" s="369">
        <f>AF10-O10</f>
        <v>0</v>
      </c>
      <c r="AH10" s="1" t="b">
        <f t="shared" ref="AH10:AH14" si="2">INT(AG10)=0</f>
        <v>1</v>
      </c>
      <c r="AI10" s="309"/>
    </row>
    <row r="11" spans="2:35" s="308" customFormat="1" x14ac:dyDescent="0.25">
      <c r="B11" s="317">
        <v>3</v>
      </c>
      <c r="C11" s="318" t="s">
        <v>12</v>
      </c>
      <c r="D11" s="294">
        <f>'REMUNERACION_EAAB-CL'!D106</f>
        <v>0</v>
      </c>
      <c r="E11" s="294">
        <f>'REMUNERACION_EAAB-CL'!E106</f>
        <v>0</v>
      </c>
      <c r="F11" s="294">
        <f>'REMUNERACION_EAAB-CL'!F106</f>
        <v>0</v>
      </c>
      <c r="G11" s="294">
        <f>'REMUNERACION_EAAB-CL'!G106</f>
        <v>0</v>
      </c>
      <c r="H11" s="294">
        <f>'REMUNERACION_EAAB-CL'!H106</f>
        <v>0</v>
      </c>
      <c r="I11" s="294">
        <f>'REMUNERACION_EAAB-CL'!I106</f>
        <v>0</v>
      </c>
      <c r="J11" s="294">
        <f>'REMUNERACION_EAAB-CL'!J106</f>
        <v>0</v>
      </c>
      <c r="K11" s="298">
        <f t="shared" si="0"/>
        <v>0</v>
      </c>
      <c r="L11" s="294">
        <f>'REMUNERACION_EAAB-CL'!L106</f>
        <v>0</v>
      </c>
      <c r="M11" s="298">
        <f>K11-L11</f>
        <v>0</v>
      </c>
      <c r="N11" s="294">
        <f>'REMUNERACION_EAAB-CL'!N106</f>
        <v>0</v>
      </c>
      <c r="O11" s="298">
        <f t="shared" si="1"/>
        <v>0</v>
      </c>
      <c r="Q11" s="309"/>
      <c r="S11" s="317">
        <v>3</v>
      </c>
      <c r="T11" s="318" t="s">
        <v>12</v>
      </c>
      <c r="U11" s="294">
        <f>'REMUNERACION_EAAB-CL'!U106</f>
        <v>0</v>
      </c>
      <c r="V11" s="294">
        <f>'REMUNERACION_EAAB-CL'!V106</f>
        <v>0</v>
      </c>
      <c r="W11" s="294">
        <f>'REMUNERACION_EAAB-CL'!W106</f>
        <v>0</v>
      </c>
      <c r="X11" s="294">
        <f>'REMUNERACION_EAAB-CL'!X106</f>
        <v>0</v>
      </c>
      <c r="Y11" s="294">
        <f>'REMUNERACION_EAAB-CL'!Y106</f>
        <v>0</v>
      </c>
      <c r="Z11" s="294">
        <f>'REMUNERACION_EAAB-CL'!Z106</f>
        <v>0</v>
      </c>
      <c r="AA11" s="294">
        <f>'REMUNERACION_EAAB-CL'!AA106</f>
        <v>0</v>
      </c>
      <c r="AB11" s="294">
        <f>'REMUNERACION_EAAB-CL'!AB106</f>
        <v>0</v>
      </c>
      <c r="AC11" s="294">
        <f>'REMUNERACION_EAAB-CL'!AC106</f>
        <v>0</v>
      </c>
      <c r="AD11" s="294">
        <f>'REMUNERACION_EAAB-CL'!AD106</f>
        <v>0</v>
      </c>
      <c r="AE11" s="294">
        <f>'REMUNERACION_EAAB-CL'!AE106</f>
        <v>0</v>
      </c>
      <c r="AF11" s="368">
        <f>SUM(U11:AD11)</f>
        <v>0</v>
      </c>
      <c r="AG11" s="369">
        <f>AF11-O11</f>
        <v>0</v>
      </c>
      <c r="AH11" s="1" t="b">
        <f t="shared" si="2"/>
        <v>1</v>
      </c>
      <c r="AI11" s="309"/>
    </row>
    <row r="12" spans="2:35" s="308" customFormat="1" x14ac:dyDescent="0.25">
      <c r="B12" s="317">
        <v>4</v>
      </c>
      <c r="C12" s="318" t="s">
        <v>13</v>
      </c>
      <c r="D12" s="294">
        <f>'REMUNERACION_EAAB-CL'!D107</f>
        <v>0</v>
      </c>
      <c r="E12" s="294">
        <f>'REMUNERACION_EAAB-CL'!E107</f>
        <v>0</v>
      </c>
      <c r="F12" s="294">
        <f>'REMUNERACION_EAAB-CL'!F107</f>
        <v>0</v>
      </c>
      <c r="G12" s="294">
        <f>'REMUNERACION_EAAB-CL'!G107</f>
        <v>0</v>
      </c>
      <c r="H12" s="294">
        <f>'REMUNERACION_EAAB-CL'!H107</f>
        <v>0</v>
      </c>
      <c r="I12" s="294">
        <f>'REMUNERACION_EAAB-CL'!I107</f>
        <v>0</v>
      </c>
      <c r="J12" s="294">
        <f>'REMUNERACION_EAAB-CL'!J107</f>
        <v>0</v>
      </c>
      <c r="K12" s="298">
        <f t="shared" si="0"/>
        <v>0</v>
      </c>
      <c r="L12" s="294">
        <f>'REMUNERACION_EAAB-CL'!L107</f>
        <v>0</v>
      </c>
      <c r="M12" s="298">
        <f>K12-L12</f>
        <v>0</v>
      </c>
      <c r="N12" s="294">
        <f>'REMUNERACION_EAAB-CL'!N107</f>
        <v>0</v>
      </c>
      <c r="O12" s="298">
        <f t="shared" si="1"/>
        <v>0</v>
      </c>
      <c r="Q12" s="309"/>
      <c r="S12" s="317">
        <v>4</v>
      </c>
      <c r="T12" s="318" t="s">
        <v>13</v>
      </c>
      <c r="U12" s="294">
        <f>'REMUNERACION_EAAB-CL'!U107</f>
        <v>0</v>
      </c>
      <c r="V12" s="294">
        <f>'REMUNERACION_EAAB-CL'!V107</f>
        <v>0</v>
      </c>
      <c r="W12" s="294">
        <f>'REMUNERACION_EAAB-CL'!W107</f>
        <v>0</v>
      </c>
      <c r="X12" s="294">
        <f>'REMUNERACION_EAAB-CL'!X107</f>
        <v>0</v>
      </c>
      <c r="Y12" s="294">
        <f>'REMUNERACION_EAAB-CL'!Y107</f>
        <v>0</v>
      </c>
      <c r="Z12" s="294">
        <f>'REMUNERACION_EAAB-CL'!Z107</f>
        <v>0</v>
      </c>
      <c r="AA12" s="294">
        <f>'REMUNERACION_EAAB-CL'!AA107</f>
        <v>0</v>
      </c>
      <c r="AB12" s="294">
        <f>'REMUNERACION_EAAB-CL'!AB107</f>
        <v>0</v>
      </c>
      <c r="AC12" s="294">
        <f>'REMUNERACION_EAAB-CL'!AC107</f>
        <v>0</v>
      </c>
      <c r="AD12" s="294">
        <f>'REMUNERACION_EAAB-CL'!AD107</f>
        <v>0</v>
      </c>
      <c r="AE12" s="294">
        <f>'REMUNERACION_EAAB-CL'!AE107</f>
        <v>0</v>
      </c>
      <c r="AF12" s="368">
        <f>SUM(U12:AD12)</f>
        <v>0</v>
      </c>
      <c r="AG12" s="369">
        <f>AF12-O12</f>
        <v>0</v>
      </c>
      <c r="AH12" s="1" t="b">
        <f t="shared" si="2"/>
        <v>1</v>
      </c>
      <c r="AI12" s="309"/>
    </row>
    <row r="13" spans="2:35" s="308" customFormat="1" ht="12" thickBot="1" x14ac:dyDescent="0.3">
      <c r="B13" s="327">
        <v>5</v>
      </c>
      <c r="C13" s="328" t="s">
        <v>14</v>
      </c>
      <c r="D13" s="294">
        <f>'REMUNERACION_EAAB-CL'!D108</f>
        <v>0</v>
      </c>
      <c r="E13" s="294">
        <f>'REMUNERACION_EAAB-CL'!E108</f>
        <v>0</v>
      </c>
      <c r="F13" s="294">
        <f>'REMUNERACION_EAAB-CL'!F108</f>
        <v>0</v>
      </c>
      <c r="G13" s="294">
        <f>'REMUNERACION_EAAB-CL'!G108</f>
        <v>0</v>
      </c>
      <c r="H13" s="294">
        <f>'REMUNERACION_EAAB-CL'!H108</f>
        <v>0</v>
      </c>
      <c r="I13" s="294">
        <f>'REMUNERACION_EAAB-CL'!I108</f>
        <v>0</v>
      </c>
      <c r="J13" s="294">
        <f>'REMUNERACION_EAAB-CL'!J108</f>
        <v>0</v>
      </c>
      <c r="K13" s="298">
        <f t="shared" si="0"/>
        <v>0</v>
      </c>
      <c r="L13" s="294">
        <f>'REMUNERACION_EAAB-CL'!L108</f>
        <v>0</v>
      </c>
      <c r="M13" s="301">
        <f>K13-L13</f>
        <v>0</v>
      </c>
      <c r="N13" s="294">
        <f>'REMUNERACION_EAAB-CL'!N108</f>
        <v>0</v>
      </c>
      <c r="O13" s="301">
        <f t="shared" si="1"/>
        <v>0</v>
      </c>
      <c r="Q13" s="309"/>
      <c r="S13" s="327">
        <v>5</v>
      </c>
      <c r="T13" s="328" t="s">
        <v>14</v>
      </c>
      <c r="U13" s="294">
        <f>'REMUNERACION_EAAB-CL'!U108</f>
        <v>0</v>
      </c>
      <c r="V13" s="294">
        <f>'REMUNERACION_EAAB-CL'!V108</f>
        <v>0</v>
      </c>
      <c r="W13" s="294">
        <f>'REMUNERACION_EAAB-CL'!W108</f>
        <v>0</v>
      </c>
      <c r="X13" s="294">
        <f>'REMUNERACION_EAAB-CL'!X108</f>
        <v>0</v>
      </c>
      <c r="Y13" s="294">
        <f>'REMUNERACION_EAAB-CL'!Y108</f>
        <v>0</v>
      </c>
      <c r="Z13" s="294">
        <f>'REMUNERACION_EAAB-CL'!Z108</f>
        <v>0</v>
      </c>
      <c r="AA13" s="294">
        <f>'REMUNERACION_EAAB-CL'!AA108</f>
        <v>0</v>
      </c>
      <c r="AB13" s="294">
        <f>'REMUNERACION_EAAB-CL'!AB108</f>
        <v>0</v>
      </c>
      <c r="AC13" s="294">
        <f>'REMUNERACION_EAAB-CL'!AC108</f>
        <v>0</v>
      </c>
      <c r="AD13" s="294">
        <f>'REMUNERACION_EAAB-CL'!AD108</f>
        <v>0</v>
      </c>
      <c r="AE13" s="294">
        <f>'REMUNERACION_EAAB-CL'!AE108</f>
        <v>0</v>
      </c>
      <c r="AF13" s="368">
        <f>SUM(U13:AD13)</f>
        <v>0</v>
      </c>
      <c r="AG13" s="369">
        <f>AF13-O13</f>
        <v>0</v>
      </c>
      <c r="AH13" s="1" t="b">
        <f t="shared" si="2"/>
        <v>1</v>
      </c>
      <c r="AI13" s="309"/>
    </row>
    <row r="14" spans="2:35" s="308" customFormat="1" ht="13.5" thickBot="1" x14ac:dyDescent="0.35">
      <c r="B14" s="330"/>
      <c r="C14" s="331" t="s">
        <v>2</v>
      </c>
      <c r="D14" s="293">
        <f t="shared" ref="D14:O14" si="3">SUM(D9:D13)</f>
        <v>0</v>
      </c>
      <c r="E14" s="293">
        <f t="shared" si="3"/>
        <v>0</v>
      </c>
      <c r="F14" s="293">
        <f t="shared" si="3"/>
        <v>0</v>
      </c>
      <c r="G14" s="293">
        <f t="shared" si="3"/>
        <v>0</v>
      </c>
      <c r="H14" s="293">
        <f t="shared" si="3"/>
        <v>0</v>
      </c>
      <c r="I14" s="293">
        <f t="shared" si="3"/>
        <v>0</v>
      </c>
      <c r="J14" s="293">
        <f t="shared" si="3"/>
        <v>0</v>
      </c>
      <c r="K14" s="303">
        <f t="shared" si="3"/>
        <v>0</v>
      </c>
      <c r="L14" s="304">
        <f t="shared" si="3"/>
        <v>0</v>
      </c>
      <c r="M14" s="305">
        <f t="shared" si="3"/>
        <v>0</v>
      </c>
      <c r="N14" s="304">
        <f t="shared" si="3"/>
        <v>0</v>
      </c>
      <c r="O14" s="305">
        <f t="shared" si="3"/>
        <v>0</v>
      </c>
      <c r="P14" s="332"/>
      <c r="Q14" s="309"/>
      <c r="S14" s="330"/>
      <c r="T14" s="331" t="s">
        <v>2</v>
      </c>
      <c r="U14" s="293">
        <f>SUM(U9:U13)</f>
        <v>0</v>
      </c>
      <c r="V14" s="293">
        <f t="shared" ref="V14:AG14" si="4">SUM(V9:V13)</f>
        <v>0</v>
      </c>
      <c r="W14" s="293">
        <f t="shared" si="4"/>
        <v>0</v>
      </c>
      <c r="X14" s="293">
        <f t="shared" si="4"/>
        <v>0</v>
      </c>
      <c r="Y14" s="293">
        <f t="shared" si="4"/>
        <v>0</v>
      </c>
      <c r="Z14" s="293">
        <f t="shared" si="4"/>
        <v>0</v>
      </c>
      <c r="AA14" s="293">
        <f t="shared" si="4"/>
        <v>0</v>
      </c>
      <c r="AB14" s="293">
        <f t="shared" si="4"/>
        <v>0</v>
      </c>
      <c r="AC14" s="293">
        <f t="shared" si="4"/>
        <v>0</v>
      </c>
      <c r="AD14" s="293">
        <f t="shared" si="4"/>
        <v>0</v>
      </c>
      <c r="AE14" s="293">
        <f>SUM(AE9:AE13)</f>
        <v>0</v>
      </c>
      <c r="AF14" s="334">
        <f t="shared" si="4"/>
        <v>0</v>
      </c>
      <c r="AG14" s="293">
        <f t="shared" si="4"/>
        <v>0</v>
      </c>
      <c r="AH14" s="1" t="b">
        <f t="shared" si="2"/>
        <v>1</v>
      </c>
      <c r="AI14" s="309"/>
    </row>
    <row r="15" spans="2:35" ht="12" thickBot="1" x14ac:dyDescent="0.3">
      <c r="B15" s="2"/>
      <c r="C15" s="2"/>
      <c r="D15" s="24"/>
      <c r="E15" s="24"/>
      <c r="F15" s="24"/>
      <c r="G15" s="24"/>
      <c r="H15" s="24"/>
      <c r="I15" s="24"/>
      <c r="K15" s="24"/>
      <c r="L15" s="24"/>
      <c r="M15" s="24"/>
      <c r="N15" s="24"/>
      <c r="O15" s="24"/>
      <c r="Q15" s="4"/>
      <c r="S15" s="2"/>
      <c r="T15" s="2"/>
      <c r="U15" s="24"/>
      <c r="V15" s="24"/>
      <c r="W15" s="24"/>
      <c r="X15" s="24"/>
      <c r="Y15" s="24"/>
      <c r="AF15" s="24"/>
      <c r="AI15" s="4"/>
    </row>
    <row r="16" spans="2:35" ht="12" thickBot="1" x14ac:dyDescent="0.3">
      <c r="B16" s="2"/>
      <c r="C16" s="2"/>
      <c r="D16" s="24" t="s">
        <v>1</v>
      </c>
      <c r="E16" s="24"/>
      <c r="F16" s="24"/>
      <c r="G16" s="24"/>
      <c r="H16" s="24"/>
      <c r="I16" s="24"/>
      <c r="K16" s="24"/>
      <c r="L16" s="24"/>
      <c r="M16" s="24"/>
      <c r="N16" s="24"/>
      <c r="O16" s="24"/>
      <c r="Q16" s="4"/>
      <c r="Y16" s="86">
        <f>SUM(U14:Y14)</f>
        <v>0</v>
      </c>
      <c r="AA16" s="1" t="s">
        <v>1</v>
      </c>
      <c r="AB16" s="1" t="s">
        <v>1</v>
      </c>
      <c r="AD16" s="1" t="s">
        <v>1</v>
      </c>
      <c r="AF16" s="1" t="s">
        <v>1</v>
      </c>
      <c r="AI16" s="4"/>
    </row>
    <row r="17" spans="1:35" ht="64.5" customHeight="1" thickBot="1" x14ac:dyDescent="0.3">
      <c r="B17" s="2"/>
      <c r="C17" s="2"/>
      <c r="D17" s="24" t="s">
        <v>1</v>
      </c>
      <c r="E17" s="33"/>
      <c r="F17" s="33"/>
      <c r="G17" s="33"/>
      <c r="H17" s="33"/>
      <c r="I17" s="24"/>
      <c r="K17" s="24"/>
      <c r="L17" s="24"/>
      <c r="M17" s="24"/>
      <c r="N17" s="24"/>
      <c r="O17" s="24"/>
      <c r="Q17" s="4"/>
      <c r="U17" s="33"/>
      <c r="V17" s="33"/>
      <c r="W17" s="33"/>
      <c r="X17" s="33"/>
      <c r="AI17" s="4"/>
    </row>
    <row r="18" spans="1:35" x14ac:dyDescent="0.25">
      <c r="B18" s="2"/>
      <c r="C18" s="2"/>
      <c r="D18" s="24" t="s">
        <v>1</v>
      </c>
      <c r="E18" s="24" t="s">
        <v>1</v>
      </c>
      <c r="F18" s="24" t="s">
        <v>25</v>
      </c>
      <c r="G18" s="24"/>
      <c r="H18" s="24"/>
      <c r="I18" s="24"/>
      <c r="J18" s="24" t="s">
        <v>189</v>
      </c>
      <c r="K18" s="24"/>
      <c r="L18" s="24"/>
      <c r="M18" s="24"/>
      <c r="N18" s="24"/>
      <c r="O18" s="24"/>
      <c r="Q18" s="4"/>
      <c r="U18" s="24" t="s">
        <v>1</v>
      </c>
      <c r="V18" s="24" t="s">
        <v>25</v>
      </c>
      <c r="W18" s="24"/>
      <c r="X18" s="24"/>
      <c r="AI18" s="4"/>
    </row>
    <row r="19" spans="1:35" x14ac:dyDescent="0.25">
      <c r="A19" s="52"/>
      <c r="B19" s="53"/>
      <c r="C19" s="53"/>
      <c r="D19" s="54"/>
      <c r="E19" s="54"/>
      <c r="F19" s="54"/>
      <c r="G19" s="54"/>
      <c r="H19" s="54"/>
      <c r="I19" s="54"/>
      <c r="J19" s="52"/>
      <c r="K19" s="54"/>
      <c r="L19" s="54"/>
      <c r="M19" s="54"/>
      <c r="N19" s="54"/>
      <c r="O19" s="54"/>
      <c r="P19" s="52"/>
      <c r="Q19" s="52"/>
      <c r="R19" s="52"/>
      <c r="S19" s="52"/>
      <c r="T19" s="52"/>
      <c r="U19" s="52"/>
      <c r="V19" s="52"/>
      <c r="W19" s="52"/>
      <c r="X19" s="52"/>
      <c r="Y19" s="52"/>
      <c r="Z19" s="52"/>
      <c r="AA19" s="52"/>
      <c r="AB19" s="52"/>
      <c r="AC19" s="52"/>
      <c r="AD19" s="52"/>
      <c r="AE19" s="52"/>
      <c r="AF19" s="52"/>
      <c r="AG19" s="52"/>
      <c r="AH19" s="52"/>
      <c r="AI19" s="52"/>
    </row>
    <row r="20" spans="1:35" ht="12" thickBot="1" x14ac:dyDescent="0.3">
      <c r="Q20" s="4"/>
    </row>
    <row r="21" spans="1:35" x14ac:dyDescent="0.25">
      <c r="B21" s="5"/>
      <c r="C21" s="3" t="s">
        <v>1</v>
      </c>
      <c r="D21" s="6" t="s">
        <v>1</v>
      </c>
      <c r="E21" s="3"/>
      <c r="F21" s="3"/>
      <c r="G21" s="3"/>
      <c r="H21" s="3" t="s">
        <v>1</v>
      </c>
      <c r="I21" s="3"/>
      <c r="J21" s="3"/>
      <c r="K21" s="3"/>
      <c r="L21" s="3"/>
      <c r="M21" s="3"/>
      <c r="N21" s="3"/>
      <c r="O21" s="7"/>
      <c r="P21" s="2"/>
      <c r="Q21" s="35"/>
    </row>
    <row r="22" spans="1:35" ht="14" x14ac:dyDescent="0.3">
      <c r="B22" s="8"/>
      <c r="C22" s="2"/>
      <c r="D22" s="9"/>
      <c r="F22" s="26" t="s">
        <v>8</v>
      </c>
      <c r="G22" s="26"/>
      <c r="I22" s="26" t="s">
        <v>16</v>
      </c>
      <c r="J22" s="25"/>
      <c r="M22" s="2" t="s">
        <v>15</v>
      </c>
      <c r="N22" s="50">
        <f>'CONSOLIDADO_TOTAL RECAUDO'!M117</f>
        <v>2026071</v>
      </c>
      <c r="O22" s="10"/>
      <c r="P22" s="2"/>
      <c r="Q22" s="4"/>
    </row>
    <row r="23" spans="1:35" ht="15.5" x14ac:dyDescent="0.35">
      <c r="B23" s="8"/>
      <c r="C23" s="2"/>
      <c r="D23" s="57"/>
      <c r="F23" s="36" t="s">
        <v>29</v>
      </c>
      <c r="G23" s="36"/>
      <c r="O23" s="10"/>
      <c r="P23" s="2"/>
      <c r="Q23" s="4"/>
    </row>
    <row r="24" spans="1:35" x14ac:dyDescent="0.25">
      <c r="B24" s="8"/>
      <c r="F24" s="2" t="s">
        <v>30</v>
      </c>
      <c r="G24" s="2"/>
      <c r="M24" s="2" t="s">
        <v>1</v>
      </c>
      <c r="O24" s="10"/>
      <c r="P24" s="2"/>
      <c r="Q24" s="4"/>
    </row>
    <row r="25" spans="1:35" x14ac:dyDescent="0.25">
      <c r="B25" s="8"/>
      <c r="I25" s="2"/>
      <c r="J25" s="2"/>
      <c r="O25" s="10"/>
      <c r="P25" s="2"/>
      <c r="Q25" s="4"/>
    </row>
    <row r="26" spans="1:35" ht="15.5" x14ac:dyDescent="0.35">
      <c r="B26" s="8"/>
      <c r="F26" s="41" t="s">
        <v>37</v>
      </c>
      <c r="G26" s="41"/>
      <c r="H26" s="2"/>
      <c r="J26" s="2"/>
      <c r="O26" s="10"/>
      <c r="P26" s="2"/>
      <c r="Q26" s="4"/>
    </row>
    <row r="27" spans="1:35" x14ac:dyDescent="0.25">
      <c r="B27" s="8"/>
      <c r="F27" s="2" t="s">
        <v>27</v>
      </c>
      <c r="G27" s="2"/>
      <c r="H27" s="9">
        <f>'CONSOLIDADO_TOTAL RECAUDO'!G122</f>
        <v>46204</v>
      </c>
      <c r="J27" s="2" t="s">
        <v>28</v>
      </c>
      <c r="K27" s="9">
        <f>'CONSOLIDADO_TOTAL RECAUDO'!K122</f>
        <v>46218</v>
      </c>
      <c r="O27" s="10"/>
      <c r="P27" s="2"/>
      <c r="Q27" s="4"/>
    </row>
    <row r="28" spans="1:35" ht="12" thickBot="1" x14ac:dyDescent="0.3">
      <c r="B28" s="8"/>
      <c r="C28" s="2" t="s">
        <v>1</v>
      </c>
      <c r="D28" s="2" t="s">
        <v>1</v>
      </c>
      <c r="J28" s="1" t="s">
        <v>1</v>
      </c>
      <c r="O28" s="44"/>
      <c r="P28" s="2"/>
      <c r="Q28" s="4"/>
    </row>
    <row r="29" spans="1:35" ht="46.5" thickBot="1" x14ac:dyDescent="0.3">
      <c r="B29" s="11" t="s">
        <v>3</v>
      </c>
      <c r="C29" s="12" t="s">
        <v>9</v>
      </c>
      <c r="D29" s="105" t="s">
        <v>38</v>
      </c>
      <c r="E29" s="105" t="s">
        <v>48</v>
      </c>
      <c r="G29" s="104" t="s">
        <v>47</v>
      </c>
      <c r="H29" s="73" t="s">
        <v>56</v>
      </c>
      <c r="I29" s="73" t="s">
        <v>130</v>
      </c>
      <c r="J29" s="73" t="s">
        <v>171</v>
      </c>
      <c r="K29" s="73" t="s">
        <v>143</v>
      </c>
      <c r="L29" s="73" t="s">
        <v>144</v>
      </c>
      <c r="O29" s="44"/>
      <c r="P29" s="13"/>
      <c r="Q29" s="4"/>
    </row>
    <row r="30" spans="1:35" s="308" customFormat="1" x14ac:dyDescent="0.25">
      <c r="B30" s="337">
        <v>1</v>
      </c>
      <c r="C30" s="370" t="s">
        <v>10</v>
      </c>
      <c r="D30" s="310">
        <f>'REMUNERACION_EAAB-CL'!D125</f>
        <v>0</v>
      </c>
      <c r="E30" s="312">
        <f>'REMUNERACION_EAAB-CL'!E125</f>
        <v>0</v>
      </c>
      <c r="G30" s="339">
        <f>'REMUNERACION_EAAB-CL'!G125</f>
        <v>0</v>
      </c>
      <c r="H30" s="313">
        <f>'REMUNERACION_EAAB-CL'!H125</f>
        <v>0</v>
      </c>
      <c r="I30" s="312">
        <f>'REMUNERACION_EAAB-CL'!I125</f>
        <v>0</v>
      </c>
      <c r="J30" s="312">
        <f>'REMUNERACION_EAAB-CL'!J125</f>
        <v>0</v>
      </c>
      <c r="K30" s="312">
        <f>'REMUNERACION_EAAB-CL'!K125</f>
        <v>0</v>
      </c>
      <c r="L30" s="312">
        <f>'REMUNERACION_EAAB-CL'!L125</f>
        <v>0</v>
      </c>
      <c r="O30" s="340"/>
      <c r="Q30" s="309"/>
    </row>
    <row r="31" spans="1:35" s="308" customFormat="1" x14ac:dyDescent="0.25">
      <c r="B31" s="317">
        <v>2</v>
      </c>
      <c r="C31" s="318" t="s">
        <v>11</v>
      </c>
      <c r="D31" s="319">
        <f>'REMUNERACION_EAAB-CL'!D126</f>
        <v>0</v>
      </c>
      <c r="E31" s="321">
        <f>'REMUNERACION_EAAB-CL'!E126</f>
        <v>0</v>
      </c>
      <c r="G31" s="342">
        <f>'REMUNERACION_EAAB-CL'!G126</f>
        <v>0</v>
      </c>
      <c r="H31" s="343">
        <f>'REMUNERACION_EAAB-CL'!H126</f>
        <v>0</v>
      </c>
      <c r="I31" s="291">
        <f>'REMUNERACION_EAAB-CL'!I126</f>
        <v>0</v>
      </c>
      <c r="J31" s="291">
        <f>'REMUNERACION_EAAB-CL'!J126</f>
        <v>0</v>
      </c>
      <c r="K31" s="291">
        <f>'REMUNERACION_EAAB-CL'!K126</f>
        <v>0</v>
      </c>
      <c r="L31" s="291">
        <f>'REMUNERACION_EAAB-CL'!L126</f>
        <v>0</v>
      </c>
      <c r="O31" s="340"/>
      <c r="Q31" s="309"/>
    </row>
    <row r="32" spans="1:35" s="308" customFormat="1" x14ac:dyDescent="0.25">
      <c r="B32" s="317">
        <v>3</v>
      </c>
      <c r="C32" s="318" t="s">
        <v>12</v>
      </c>
      <c r="D32" s="319">
        <f>'REMUNERACION_EAAB-CL'!D127</f>
        <v>0</v>
      </c>
      <c r="E32" s="321">
        <f>'REMUNERACION_EAAB-CL'!E127</f>
        <v>0</v>
      </c>
      <c r="G32" s="342">
        <f>'REMUNERACION_EAAB-CL'!G127</f>
        <v>0</v>
      </c>
      <c r="H32" s="343">
        <f>'REMUNERACION_EAAB-CL'!H127</f>
        <v>0</v>
      </c>
      <c r="I32" s="291">
        <f>'REMUNERACION_EAAB-CL'!I127</f>
        <v>0</v>
      </c>
      <c r="J32" s="291">
        <f>'REMUNERACION_EAAB-CL'!J127</f>
        <v>0</v>
      </c>
      <c r="K32" s="291">
        <f>'REMUNERACION_EAAB-CL'!K127</f>
        <v>0</v>
      </c>
      <c r="L32" s="291">
        <f>'REMUNERACION_EAAB-CL'!L127</f>
        <v>0</v>
      </c>
      <c r="O32" s="340"/>
      <c r="Q32" s="309"/>
    </row>
    <row r="33" spans="1:35" s="308" customFormat="1" x14ac:dyDescent="0.25">
      <c r="B33" s="317">
        <v>4</v>
      </c>
      <c r="C33" s="318" t="s">
        <v>13</v>
      </c>
      <c r="D33" s="319">
        <f>'REMUNERACION_EAAB-CL'!D128</f>
        <v>0</v>
      </c>
      <c r="E33" s="321">
        <f>'REMUNERACION_EAAB-CL'!E128</f>
        <v>0</v>
      </c>
      <c r="G33" s="342">
        <f>'REMUNERACION_EAAB-CL'!G128</f>
        <v>0</v>
      </c>
      <c r="H33" s="343">
        <f>'REMUNERACION_EAAB-CL'!H128</f>
        <v>0</v>
      </c>
      <c r="I33" s="291">
        <f>'REMUNERACION_EAAB-CL'!I128</f>
        <v>0</v>
      </c>
      <c r="J33" s="291">
        <f>'REMUNERACION_EAAB-CL'!J128</f>
        <v>0</v>
      </c>
      <c r="K33" s="291">
        <f>'REMUNERACION_EAAB-CL'!K128</f>
        <v>0</v>
      </c>
      <c r="L33" s="291">
        <f>'REMUNERACION_EAAB-CL'!L128</f>
        <v>0</v>
      </c>
      <c r="O33" s="340"/>
      <c r="Q33" s="309"/>
    </row>
    <row r="34" spans="1:35" s="308" customFormat="1" x14ac:dyDescent="0.25">
      <c r="B34" s="344">
        <v>5</v>
      </c>
      <c r="C34" s="371" t="s">
        <v>14</v>
      </c>
      <c r="D34" s="319">
        <f>'REMUNERACION_EAAB-CL'!D129</f>
        <v>0</v>
      </c>
      <c r="E34" s="321">
        <f>'REMUNERACION_EAAB-CL'!E129</f>
        <v>0</v>
      </c>
      <c r="G34" s="342">
        <f>'REMUNERACION_EAAB-CL'!G129</f>
        <v>0</v>
      </c>
      <c r="H34" s="343">
        <f>'REMUNERACION_EAAB-CL'!H129</f>
        <v>0</v>
      </c>
      <c r="I34" s="291">
        <f>'REMUNERACION_EAAB-CL'!I129</f>
        <v>0</v>
      </c>
      <c r="J34" s="291">
        <f>'REMUNERACION_EAAB-CL'!J129</f>
        <v>0</v>
      </c>
      <c r="K34" s="291">
        <f>'REMUNERACION_EAAB-CL'!K129</f>
        <v>0</v>
      </c>
      <c r="L34" s="291">
        <f>'REMUNERACION_EAAB-CL'!L129</f>
        <v>0</v>
      </c>
      <c r="O34" s="340"/>
      <c r="Q34" s="309"/>
    </row>
    <row r="35" spans="1:35" s="308" customFormat="1" ht="12" thickBot="1" x14ac:dyDescent="0.3">
      <c r="B35" s="327" t="s">
        <v>89</v>
      </c>
      <c r="C35" s="328" t="s">
        <v>113</v>
      </c>
      <c r="D35" s="299">
        <f>'REMUNERACION_EAAB-CL'!D130</f>
        <v>0</v>
      </c>
      <c r="E35" s="292">
        <f>'REMUNERACION_EAAB-CL'!E130</f>
        <v>0</v>
      </c>
      <c r="G35" s="349"/>
      <c r="H35" s="350"/>
      <c r="I35" s="292"/>
      <c r="J35" s="292"/>
      <c r="K35" s="292"/>
      <c r="L35" s="292"/>
      <c r="O35" s="340"/>
      <c r="Q35" s="309"/>
    </row>
    <row r="36" spans="1:35" s="308" customFormat="1" ht="12" thickBot="1" x14ac:dyDescent="0.3">
      <c r="B36" s="351"/>
      <c r="C36" s="352" t="s">
        <v>2</v>
      </c>
      <c r="D36" s="353">
        <f t="shared" ref="D36:E36" si="5">SUM(D30:D34)</f>
        <v>0</v>
      </c>
      <c r="E36" s="353">
        <f t="shared" si="5"/>
        <v>0</v>
      </c>
      <c r="F36" s="354"/>
      <c r="G36" s="353">
        <f t="shared" ref="G36:L36" si="6">SUM(G30:G34)</f>
        <v>0</v>
      </c>
      <c r="H36" s="353">
        <f t="shared" si="6"/>
        <v>0</v>
      </c>
      <c r="I36" s="353">
        <f t="shared" si="6"/>
        <v>0</v>
      </c>
      <c r="J36" s="353">
        <f t="shared" si="6"/>
        <v>0</v>
      </c>
      <c r="K36" s="353">
        <f t="shared" si="6"/>
        <v>0</v>
      </c>
      <c r="L36" s="353">
        <f t="shared" si="6"/>
        <v>0</v>
      </c>
      <c r="M36" s="354"/>
      <c r="N36" s="354"/>
      <c r="O36" s="355"/>
      <c r="P36" s="332"/>
      <c r="Q36" s="309"/>
    </row>
    <row r="37" spans="1:35" x14ac:dyDescent="0.25">
      <c r="B37" s="2"/>
      <c r="C37" s="2"/>
      <c r="D37" s="24"/>
      <c r="Q37" s="4"/>
      <c r="AI37" s="308"/>
    </row>
    <row r="38" spans="1:35" x14ac:dyDescent="0.25">
      <c r="B38" s="2"/>
      <c r="C38" s="2"/>
      <c r="D38" s="24"/>
      <c r="L38" s="1" t="s">
        <v>1</v>
      </c>
      <c r="Q38" s="4"/>
      <c r="AI38" s="308"/>
    </row>
    <row r="39" spans="1:35" ht="64.5" customHeight="1" thickBot="1" x14ac:dyDescent="0.3">
      <c r="B39" s="2"/>
      <c r="C39" s="2"/>
      <c r="D39" s="24"/>
      <c r="E39" s="33"/>
      <c r="F39" s="33"/>
      <c r="G39" s="33"/>
      <c r="H39" s="33"/>
      <c r="I39" s="24"/>
      <c r="K39" s="24"/>
      <c r="L39" s="24" t="s">
        <v>1</v>
      </c>
      <c r="M39" s="24" t="s">
        <v>1</v>
      </c>
      <c r="N39" s="24"/>
      <c r="O39" s="24"/>
      <c r="Q39" s="4"/>
      <c r="AI39" s="308"/>
    </row>
    <row r="40" spans="1:35" x14ac:dyDescent="0.25">
      <c r="B40" s="2"/>
      <c r="C40" s="2"/>
      <c r="D40" s="24"/>
      <c r="E40" s="24" t="s">
        <v>1</v>
      </c>
      <c r="F40" s="42" t="s">
        <v>36</v>
      </c>
      <c r="G40" s="42"/>
      <c r="H40" s="42"/>
      <c r="I40" s="24"/>
      <c r="K40" s="24"/>
      <c r="L40" s="24"/>
      <c r="M40" s="24"/>
      <c r="N40" s="24"/>
      <c r="O40" s="24"/>
      <c r="Q40" s="4"/>
    </row>
    <row r="41" spans="1:35" x14ac:dyDescent="0.25">
      <c r="A41" s="52"/>
      <c r="B41" s="53"/>
      <c r="C41" s="53"/>
      <c r="D41" s="54"/>
      <c r="E41" s="54"/>
      <c r="F41" s="54"/>
      <c r="G41" s="54"/>
      <c r="H41" s="54"/>
      <c r="I41" s="54"/>
      <c r="J41" s="52"/>
      <c r="K41" s="54"/>
      <c r="L41" s="54"/>
      <c r="M41" s="54"/>
      <c r="N41" s="54"/>
      <c r="O41" s="54"/>
      <c r="P41" s="52"/>
      <c r="Q41" s="4"/>
    </row>
    <row r="42" spans="1:35" x14ac:dyDescent="0.25">
      <c r="N42" s="24"/>
      <c r="O42" s="24"/>
      <c r="Q42" s="24"/>
      <c r="T42" s="24"/>
    </row>
    <row r="43" spans="1:35" x14ac:dyDescent="0.25">
      <c r="N43" s="24"/>
      <c r="O43" s="24"/>
      <c r="Q43" s="24"/>
      <c r="T43" s="24"/>
    </row>
    <row r="44" spans="1:35" x14ac:dyDescent="0.25">
      <c r="D44" s="270" t="b">
        <f>D14='REMUNERACION_EAAB-CL'!D109</f>
        <v>1</v>
      </c>
      <c r="E44" s="270" t="b">
        <f>E14='REMUNERACION_EAAB-CL'!E109</f>
        <v>1</v>
      </c>
      <c r="F44" s="270" t="b">
        <f>F14='REMUNERACION_EAAB-CL'!F109</f>
        <v>1</v>
      </c>
      <c r="G44" s="270" t="b">
        <f>G14='REMUNERACION_EAAB-CL'!G109</f>
        <v>1</v>
      </c>
      <c r="H44" s="270" t="b">
        <f>H14='REMUNERACION_EAAB-CL'!H109</f>
        <v>1</v>
      </c>
      <c r="I44" s="270" t="b">
        <f>I14='REMUNERACION_EAAB-CL'!I109</f>
        <v>1</v>
      </c>
      <c r="J44" s="270" t="b">
        <f>J14='REMUNERACION_EAAB-CL'!J109</f>
        <v>1</v>
      </c>
      <c r="K44" s="270" t="b">
        <f>K14='REMUNERACION_EAAB-CL'!K109</f>
        <v>1</v>
      </c>
      <c r="L44" s="270" t="b">
        <f>L14='REMUNERACION_EAAB-CL'!L109</f>
        <v>1</v>
      </c>
      <c r="M44" s="270" t="b">
        <f>M14='REMUNERACION_EAAB-CL'!M109</f>
        <v>1</v>
      </c>
      <c r="N44" s="270" t="b">
        <f>N14='REMUNERACION_EAAB-CL'!N109</f>
        <v>1</v>
      </c>
      <c r="O44" s="270" t="b">
        <f>O14='REMUNERACION_EAAB-CL'!O109</f>
        <v>1</v>
      </c>
      <c r="Q44" s="24"/>
      <c r="T44" s="24"/>
    </row>
    <row r="45" spans="1:35" x14ac:dyDescent="0.25">
      <c r="D45" s="270" t="b">
        <f>D36='REMUNERACION_EAAB-CL'!D131</f>
        <v>1</v>
      </c>
      <c r="E45" s="270" t="b">
        <f>E36='REMUNERACION_EAAB-CL'!E131</f>
        <v>1</v>
      </c>
      <c r="F45" s="270" t="b">
        <f>F36='REMUNERACION_EAAB-CL'!F131</f>
        <v>1</v>
      </c>
      <c r="G45" s="270" t="b">
        <f>G36='REMUNERACION_EAAB-CL'!G131</f>
        <v>1</v>
      </c>
      <c r="H45" s="270" t="b">
        <f>H36='REMUNERACION_EAAB-CL'!H131</f>
        <v>1</v>
      </c>
      <c r="I45" s="270" t="b">
        <f>I36='REMUNERACION_EAAB-CL'!I131</f>
        <v>1</v>
      </c>
      <c r="J45" s="270" t="b">
        <f>J36='REMUNERACION_EAAB-CL'!J131</f>
        <v>1</v>
      </c>
      <c r="K45" s="270" t="b">
        <f>K36='REMUNERACION_EAAB-CL'!K131</f>
        <v>1</v>
      </c>
      <c r="L45" s="270" t="b">
        <f>L36='REMUNERACION_EAAB-CL'!L131</f>
        <v>1</v>
      </c>
      <c r="M45" s="270" t="b">
        <f>M36='REMUNERACION_EAAB-CL'!M131</f>
        <v>1</v>
      </c>
      <c r="N45" s="270" t="b">
        <f>N36='REMUNERACION_EAAB-CL'!N131</f>
        <v>1</v>
      </c>
      <c r="O45" s="270" t="b">
        <f>O36='REMUNERACION_EAAB-CL'!O131</f>
        <v>1</v>
      </c>
      <c r="Q45" s="24"/>
      <c r="T45" s="24"/>
    </row>
    <row r="46" spans="1:35" x14ac:dyDescent="0.25">
      <c r="N46" s="24"/>
      <c r="O46" s="24"/>
      <c r="Q46" s="24"/>
      <c r="T46" s="24"/>
    </row>
    <row r="47" spans="1:35" x14ac:dyDescent="0.25">
      <c r="N47" s="24"/>
      <c r="O47" s="24"/>
      <c r="Q47" s="24"/>
      <c r="T47" s="24"/>
    </row>
    <row r="48" spans="1:35" x14ac:dyDescent="0.25">
      <c r="N48" s="24"/>
      <c r="O48" s="24"/>
      <c r="Q48" s="24"/>
      <c r="T48" s="24"/>
    </row>
    <row r="49" spans="14:20" x14ac:dyDescent="0.25">
      <c r="N49" s="24"/>
      <c r="O49" s="24"/>
      <c r="Q49" s="24"/>
      <c r="T49" s="24"/>
    </row>
    <row r="50" spans="14:20" x14ac:dyDescent="0.25">
      <c r="N50" s="24"/>
      <c r="O50" s="24"/>
      <c r="Q50" s="24"/>
      <c r="T50" s="24"/>
    </row>
    <row r="51" spans="14:20" x14ac:dyDescent="0.25">
      <c r="Q51" s="24"/>
      <c r="T51" s="24"/>
    </row>
    <row r="52" spans="14:20" x14ac:dyDescent="0.25">
      <c r="Q52" s="24"/>
    </row>
  </sheetData>
  <conditionalFormatting sqref="AH9:AH14">
    <cfRule type="cellIs" dxfId="8" priority="2" operator="notEqual">
      <formula>TRUE</formula>
    </cfRule>
  </conditionalFormatting>
  <printOptions horizontalCentered="1" verticalCentered="1"/>
  <pageMargins left="0.55118110236220474" right="0.74803149606299213" top="0.59055118110236227" bottom="0.78740157480314965" header="0" footer="0"/>
  <pageSetup scale="24" orientation="landscape" r:id="rId1"/>
  <headerFooter alignWithMargins="0"/>
  <drawing r:id="rId2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1700FB-0ECC-41B8-9748-81AD38759882}">
  <sheetPr>
    <tabColor rgb="FFFF0000"/>
  </sheetPr>
  <dimension ref="B1:T39"/>
  <sheetViews>
    <sheetView topLeftCell="A11" workbookViewId="0">
      <selection sqref="A1:A1048576"/>
    </sheetView>
  </sheetViews>
  <sheetFormatPr baseColWidth="10" defaultColWidth="11.453125" defaultRowHeight="14.5" x14ac:dyDescent="0.35"/>
  <cols>
    <col min="1" max="1" width="2.7265625" style="602" customWidth="1"/>
    <col min="2" max="2" width="7.26953125" style="602" customWidth="1"/>
    <col min="3" max="3" width="42.7265625" style="602" customWidth="1"/>
    <col min="4" max="15" width="28.54296875" style="602" customWidth="1"/>
    <col min="16" max="16384" width="11.453125" style="602"/>
  </cols>
  <sheetData>
    <row r="1" spans="2:20" customFormat="1" ht="12.5" x14ac:dyDescent="0.25"/>
    <row r="2" spans="2:20" customFormat="1" ht="12.5" x14ac:dyDescent="0.25">
      <c r="T2" s="142"/>
    </row>
    <row r="3" spans="2:20" customFormat="1" x14ac:dyDescent="0.25">
      <c r="F3" s="654" t="s">
        <v>8</v>
      </c>
      <c r="H3" s="654" t="s">
        <v>16</v>
      </c>
      <c r="L3" s="654" t="s">
        <v>228</v>
      </c>
      <c r="M3" s="654" t="s">
        <v>338</v>
      </c>
      <c r="T3" s="142"/>
    </row>
    <row r="4" spans="2:20" customFormat="1" x14ac:dyDescent="0.25">
      <c r="F4" s="654" t="s">
        <v>29</v>
      </c>
    </row>
    <row r="5" spans="2:20" customFormat="1" x14ac:dyDescent="0.25">
      <c r="F5" s="654" t="s">
        <v>229</v>
      </c>
    </row>
    <row r="6" spans="2:20" customFormat="1" x14ac:dyDescent="0.25">
      <c r="C6" s="654" t="s">
        <v>230</v>
      </c>
      <c r="D6" s="654" t="s">
        <v>339</v>
      </c>
      <c r="F6" s="654" t="s">
        <v>231</v>
      </c>
    </row>
    <row r="7" spans="2:20" customFormat="1" x14ac:dyDescent="0.25">
      <c r="C7" s="654" t="s">
        <v>232</v>
      </c>
      <c r="D7" s="654" t="s">
        <v>340</v>
      </c>
      <c r="F7" s="654" t="s">
        <v>27</v>
      </c>
      <c r="G7" s="654" t="s">
        <v>341</v>
      </c>
      <c r="I7" s="654" t="s">
        <v>233</v>
      </c>
      <c r="J7" s="654" t="s">
        <v>342</v>
      </c>
    </row>
    <row r="8" spans="2:20" customFormat="1" ht="43.5" x14ac:dyDescent="0.25">
      <c r="B8" s="655" t="s">
        <v>3</v>
      </c>
      <c r="C8" s="655" t="s">
        <v>234</v>
      </c>
      <c r="D8" s="655" t="s">
        <v>235</v>
      </c>
      <c r="E8" s="655" t="s">
        <v>236</v>
      </c>
      <c r="F8" s="655" t="s">
        <v>237</v>
      </c>
      <c r="G8" s="655" t="s">
        <v>238</v>
      </c>
      <c r="H8" s="655" t="s">
        <v>239</v>
      </c>
      <c r="I8" s="655" t="s">
        <v>240</v>
      </c>
      <c r="J8" s="655" t="s">
        <v>241</v>
      </c>
      <c r="K8" s="655" t="s">
        <v>242</v>
      </c>
      <c r="L8" s="655" t="s">
        <v>243</v>
      </c>
      <c r="M8" s="655" t="s">
        <v>244</v>
      </c>
      <c r="N8" s="655" t="s">
        <v>245</v>
      </c>
      <c r="O8" s="655" t="s">
        <v>246</v>
      </c>
    </row>
    <row r="9" spans="2:20" customFormat="1" ht="12.5" x14ac:dyDescent="0.25">
      <c r="B9" s="634" t="s">
        <v>115</v>
      </c>
      <c r="C9" s="634" t="s">
        <v>10</v>
      </c>
      <c r="D9" s="635">
        <v>16758167585</v>
      </c>
      <c r="E9" s="635">
        <v>988160722</v>
      </c>
      <c r="F9" s="635">
        <v>555411898</v>
      </c>
      <c r="G9" s="635">
        <v>292236840</v>
      </c>
      <c r="H9" s="635">
        <v>4880357965</v>
      </c>
      <c r="I9" s="635">
        <v>169199343</v>
      </c>
      <c r="J9" s="635">
        <v>2032363679</v>
      </c>
      <c r="K9" s="635">
        <v>7840437138</v>
      </c>
      <c r="L9" s="635">
        <v>189185987</v>
      </c>
      <c r="M9" s="635">
        <v>7651251151</v>
      </c>
      <c r="N9" s="635">
        <v>18251001</v>
      </c>
      <c r="O9" s="635">
        <v>7669502152</v>
      </c>
    </row>
    <row r="10" spans="2:20" customFormat="1" ht="12.5" x14ac:dyDescent="0.25">
      <c r="B10" s="634" t="s">
        <v>116</v>
      </c>
      <c r="C10" s="634" t="s">
        <v>11</v>
      </c>
      <c r="D10" s="635">
        <v>12227292053</v>
      </c>
      <c r="E10" s="635">
        <v>1022509821</v>
      </c>
      <c r="F10" s="635">
        <v>566681379</v>
      </c>
      <c r="G10" s="635">
        <v>294336273</v>
      </c>
      <c r="H10" s="635">
        <v>3920443031</v>
      </c>
      <c r="I10" s="635">
        <v>148791798</v>
      </c>
      <c r="J10" s="635">
        <v>-5011515654</v>
      </c>
      <c r="K10" s="635">
        <v>11286045405</v>
      </c>
      <c r="L10" s="635">
        <v>266580255</v>
      </c>
      <c r="M10" s="635">
        <v>11019465150</v>
      </c>
      <c r="N10" s="635">
        <v>31737182</v>
      </c>
      <c r="O10" s="635">
        <v>11051202332</v>
      </c>
    </row>
    <row r="11" spans="2:20" customFormat="1" ht="12.5" x14ac:dyDescent="0.25">
      <c r="B11" s="634" t="s">
        <v>117</v>
      </c>
      <c r="C11" s="634" t="s">
        <v>247</v>
      </c>
      <c r="D11" s="635">
        <v>10127195599</v>
      </c>
      <c r="E11" s="635">
        <v>683351449</v>
      </c>
      <c r="F11" s="635">
        <v>385271020</v>
      </c>
      <c r="G11" s="635">
        <v>202303826</v>
      </c>
      <c r="H11" s="635">
        <v>2648824915</v>
      </c>
      <c r="I11" s="635">
        <v>99138796</v>
      </c>
      <c r="J11" s="635">
        <v>-1196822411</v>
      </c>
      <c r="K11" s="635">
        <v>7305128005</v>
      </c>
      <c r="L11" s="635">
        <v>154788535</v>
      </c>
      <c r="M11" s="635">
        <v>7150339470</v>
      </c>
      <c r="N11" s="635">
        <v>32320230</v>
      </c>
      <c r="O11" s="635">
        <v>7182659700</v>
      </c>
    </row>
    <row r="12" spans="2:20" customFormat="1" ht="12.5" x14ac:dyDescent="0.25">
      <c r="B12" s="634" t="s">
        <v>248</v>
      </c>
      <c r="C12" s="634" t="s">
        <v>13</v>
      </c>
      <c r="D12" s="635">
        <v>10553776376</v>
      </c>
      <c r="E12" s="635">
        <v>641608153</v>
      </c>
      <c r="F12" s="635">
        <v>359218635</v>
      </c>
      <c r="G12" s="635">
        <v>188422221</v>
      </c>
      <c r="H12" s="635">
        <v>2357497428</v>
      </c>
      <c r="I12" s="635">
        <v>91014665</v>
      </c>
      <c r="J12" s="635">
        <v>35955816</v>
      </c>
      <c r="K12" s="635">
        <v>6880059458</v>
      </c>
      <c r="L12" s="635">
        <v>120391083</v>
      </c>
      <c r="M12" s="635">
        <v>6759668375</v>
      </c>
      <c r="N12" s="635">
        <v>22968514</v>
      </c>
      <c r="O12" s="635">
        <v>6782636889</v>
      </c>
    </row>
    <row r="13" spans="2:20" customFormat="1" ht="12.5" x14ac:dyDescent="0.25">
      <c r="B13" s="634" t="s">
        <v>118</v>
      </c>
      <c r="C13" s="634" t="s">
        <v>14</v>
      </c>
      <c r="D13" s="635">
        <v>8543663209</v>
      </c>
      <c r="E13" s="635">
        <v>498629121</v>
      </c>
      <c r="F13" s="635">
        <v>280164624</v>
      </c>
      <c r="G13" s="635">
        <v>144388148</v>
      </c>
      <c r="H13" s="635">
        <v>1825147101</v>
      </c>
      <c r="I13" s="635">
        <v>70674343</v>
      </c>
      <c r="J13" s="635">
        <v>-1210425628</v>
      </c>
      <c r="K13" s="635">
        <v>6935085499</v>
      </c>
      <c r="L13" s="635">
        <v>128990445</v>
      </c>
      <c r="M13" s="635">
        <v>6806095054</v>
      </c>
      <c r="N13" s="635">
        <v>27242694</v>
      </c>
      <c r="O13" s="635">
        <v>6833337748</v>
      </c>
    </row>
    <row r="14" spans="2:20" customFormat="1" ht="12.5" x14ac:dyDescent="0.25">
      <c r="B14" s="634" t="s">
        <v>249</v>
      </c>
      <c r="C14" s="634" t="s">
        <v>70</v>
      </c>
      <c r="D14" s="635">
        <v>58210094822</v>
      </c>
      <c r="E14" s="635">
        <v>3834259266</v>
      </c>
      <c r="F14" s="635">
        <v>2146747556</v>
      </c>
      <c r="G14" s="635">
        <v>1121687308</v>
      </c>
      <c r="H14" s="635">
        <v>15632270440</v>
      </c>
      <c r="I14" s="635">
        <v>578818945</v>
      </c>
      <c r="J14" s="635">
        <v>-5350444198</v>
      </c>
      <c r="K14" s="635">
        <v>40246755505</v>
      </c>
      <c r="L14" s="635">
        <v>859936305</v>
      </c>
      <c r="M14" s="635">
        <v>39386819200</v>
      </c>
      <c r="N14" s="635">
        <v>132519621</v>
      </c>
      <c r="O14" s="635">
        <v>39519338821</v>
      </c>
    </row>
    <row r="15" spans="2:20" customFormat="1" ht="12.5" x14ac:dyDescent="0.25"/>
    <row r="16" spans="2:20" customFormat="1" ht="12.5" x14ac:dyDescent="0.25">
      <c r="C16" s="656" t="s">
        <v>337</v>
      </c>
    </row>
    <row r="18" spans="2:15" x14ac:dyDescent="0.35">
      <c r="E18" s="604" t="s">
        <v>250</v>
      </c>
    </row>
    <row r="19" spans="2:15" x14ac:dyDescent="0.35">
      <c r="F19" s="604" t="s">
        <v>25</v>
      </c>
    </row>
    <row r="22" spans="2:15" ht="34.5" x14ac:dyDescent="0.35">
      <c r="C22" s="639" t="s">
        <v>9</v>
      </c>
      <c r="D22" s="639" t="s">
        <v>4</v>
      </c>
      <c r="E22" s="639" t="s">
        <v>5</v>
      </c>
      <c r="F22" s="639" t="s">
        <v>6</v>
      </c>
      <c r="G22" s="639" t="s">
        <v>159</v>
      </c>
      <c r="H22" s="639" t="s">
        <v>18</v>
      </c>
      <c r="I22" s="639" t="s">
        <v>24</v>
      </c>
      <c r="J22" s="639" t="s">
        <v>19</v>
      </c>
      <c r="K22" s="640" t="s">
        <v>20</v>
      </c>
      <c r="L22" s="639" t="s">
        <v>21</v>
      </c>
      <c r="M22" s="640" t="s">
        <v>22</v>
      </c>
      <c r="N22" s="639" t="s">
        <v>7</v>
      </c>
      <c r="O22" s="640" t="s">
        <v>23</v>
      </c>
    </row>
    <row r="23" spans="2:15" x14ac:dyDescent="0.35">
      <c r="B23" s="603" t="s">
        <v>115</v>
      </c>
      <c r="C23" s="603" t="s">
        <v>10</v>
      </c>
      <c r="D23" s="641">
        <f>D9-'CONSOLIDADO_TOTAL RECAUDO'!D104</f>
        <v>0.39999961853027344</v>
      </c>
      <c r="E23" s="641">
        <f>E9-'CONSOLIDADO_TOTAL RECAUDO'!E104</f>
        <v>0.44000017642974854</v>
      </c>
      <c r="F23" s="641">
        <f>F9-'CONSOLIDADO_TOTAL RECAUDO'!F104</f>
        <v>0.4299999475479126</v>
      </c>
      <c r="G23" s="641">
        <f>G9-'CONSOLIDADO_TOTAL RECAUDO'!G104</f>
        <v>0.20000004768371582</v>
      </c>
      <c r="H23" s="641">
        <f>H9-'CONSOLIDADO_TOTAL RECAUDO'!H104</f>
        <v>-0.22000026702880859</v>
      </c>
      <c r="I23" s="641">
        <f>I9-'CONSOLIDADO_TOTAL RECAUDO'!I104</f>
        <v>-0.41999998688697815</v>
      </c>
      <c r="J23" s="641">
        <f>J9-'CONSOLIDADO_TOTAL RECAUDO'!J104</f>
        <v>0.16000032424926758</v>
      </c>
      <c r="K23" s="641">
        <f>K9-'CONSOLIDADO_TOTAL RECAUDO'!K104</f>
        <v>-0.19000053405761719</v>
      </c>
      <c r="L23" s="641">
        <f>L9-'CONSOLIDADO_TOTAL RECAUDO'!L104</f>
        <v>0</v>
      </c>
      <c r="M23" s="641">
        <f>M9-'CONSOLIDADO_TOTAL RECAUDO'!M104</f>
        <v>-0.19000053405761719</v>
      </c>
      <c r="N23" s="641">
        <f>N9-'CONSOLIDADO_TOTAL RECAUDO'!N104</f>
        <v>6.0000002384185791E-2</v>
      </c>
      <c r="O23" s="641">
        <f>O9-'CONSOLIDADO_TOTAL RECAUDO'!O104</f>
        <v>-0.13000011444091797</v>
      </c>
    </row>
    <row r="24" spans="2:15" x14ac:dyDescent="0.35">
      <c r="B24" s="603" t="s">
        <v>116</v>
      </c>
      <c r="C24" s="603" t="s">
        <v>11</v>
      </c>
      <c r="D24" s="641">
        <f>D10-'CONSOLIDADO_TOTAL RECAUDO'!D105</f>
        <v>0.26999855041503906</v>
      </c>
      <c r="E24" s="641">
        <f>E10-'CONSOLIDADO_TOTAL RECAUDO'!E105</f>
        <v>-4.9999833106994629E-2</v>
      </c>
      <c r="F24" s="641">
        <f>F10-'CONSOLIDADO_TOTAL RECAUDO'!F105</f>
        <v>-0.41999995708465576</v>
      </c>
      <c r="G24" s="641">
        <f>G10-'CONSOLIDADO_TOTAL RECAUDO'!G105</f>
        <v>0.43999999761581421</v>
      </c>
      <c r="H24" s="641">
        <f>H10-'CONSOLIDADO_TOTAL RECAUDO'!H105</f>
        <v>0.47000026702880859</v>
      </c>
      <c r="I24" s="641">
        <f>I10-'CONSOLIDADO_TOTAL RECAUDO'!I105</f>
        <v>-7.0000022649765015E-2</v>
      </c>
      <c r="J24" s="641">
        <f>J10-'CONSOLIDADO_TOTAL RECAUDO'!J105</f>
        <v>-0.41000080108642578</v>
      </c>
      <c r="K24" s="641">
        <f>K10-'CONSOLIDADO_TOTAL RECAUDO'!K105</f>
        <v>0.30999755859375</v>
      </c>
      <c r="L24" s="641">
        <f>L10-'CONSOLIDADO_TOTAL RECAUDO'!L105</f>
        <v>0</v>
      </c>
      <c r="M24" s="641">
        <f>M10-'CONSOLIDADO_TOTAL RECAUDO'!M105</f>
        <v>0.30999755859375</v>
      </c>
      <c r="N24" s="641">
        <f>N10-'CONSOLIDADO_TOTAL RECAUDO'!N105</f>
        <v>0.19000000134110451</v>
      </c>
      <c r="O24" s="641">
        <f>O10-'CONSOLIDADO_TOTAL RECAUDO'!O105</f>
        <v>0.49999809265136719</v>
      </c>
    </row>
    <row r="25" spans="2:15" x14ac:dyDescent="0.35">
      <c r="B25" s="603" t="s">
        <v>117</v>
      </c>
      <c r="C25" s="603" t="s">
        <v>247</v>
      </c>
      <c r="D25" s="641">
        <f>D11-'CONSOLIDADO_TOTAL RECAUDO'!D106</f>
        <v>0.24999809265136719</v>
      </c>
      <c r="E25" s="641">
        <f>E11-'CONSOLIDADO_TOTAL RECAUDO'!E106</f>
        <v>0.15999984741210938</v>
      </c>
      <c r="F25" s="641">
        <f>F11-'CONSOLIDADO_TOTAL RECAUDO'!F106</f>
        <v>0.46999990940093994</v>
      </c>
      <c r="G25" s="641">
        <f>G11-'CONSOLIDADO_TOTAL RECAUDO'!G106</f>
        <v>0.40999999642372131</v>
      </c>
      <c r="H25" s="641">
        <f>H11-'CONSOLIDADO_TOTAL RECAUDO'!H106</f>
        <v>1.0000228881835938E-2</v>
      </c>
      <c r="I25" s="641">
        <f>I11-'CONSOLIDADO_TOTAL RECAUDO'!I106</f>
        <v>-0.16000001132488251</v>
      </c>
      <c r="J25" s="641">
        <f>J11-'CONSOLIDADO_TOTAL RECAUDO'!J106</f>
        <v>0.31000018119812012</v>
      </c>
      <c r="K25" s="641">
        <f>K11-'CONSOLIDADO_TOTAL RECAUDO'!K106</f>
        <v>4.9998283386230469E-2</v>
      </c>
      <c r="L25" s="641">
        <f>L11-'CONSOLIDADO_TOTAL RECAUDO'!L106</f>
        <v>0</v>
      </c>
      <c r="M25" s="641">
        <f>M11-'CONSOLIDADO_TOTAL RECAUDO'!M106</f>
        <v>4.9998283386230469E-2</v>
      </c>
      <c r="N25" s="641">
        <f>N11-'CONSOLIDADO_TOTAL RECAUDO'!N106</f>
        <v>-0.17999999970197678</v>
      </c>
      <c r="O25" s="641">
        <f>O11-'CONSOLIDADO_TOTAL RECAUDO'!O106</f>
        <v>-0.13000202178955078</v>
      </c>
    </row>
    <row r="26" spans="2:15" x14ac:dyDescent="0.35">
      <c r="B26" s="603" t="s">
        <v>248</v>
      </c>
      <c r="C26" s="603" t="s">
        <v>13</v>
      </c>
      <c r="D26" s="641">
        <f>D12-'CONSOLIDADO_TOTAL RECAUDO'!D107</f>
        <v>0.40999794006347656</v>
      </c>
      <c r="E26" s="641">
        <f>E12-'CONSOLIDADO_TOTAL RECAUDO'!E107</f>
        <v>0.33999991416931152</v>
      </c>
      <c r="F26" s="641">
        <f>F12-'CONSOLIDADO_TOTAL RECAUDO'!F107</f>
        <v>0.4100000262260437</v>
      </c>
      <c r="G26" s="641">
        <f>G12-'CONSOLIDADO_TOTAL RECAUDO'!G107</f>
        <v>0.13999998569488525</v>
      </c>
      <c r="H26" s="641">
        <f>H12-'CONSOLIDADO_TOTAL RECAUDO'!H107</f>
        <v>-4.0000438690185547E-2</v>
      </c>
      <c r="I26" s="641">
        <f>I12-'CONSOLIDADO_TOTAL RECAUDO'!I107</f>
        <v>-3.0000001192092896E-2</v>
      </c>
      <c r="J26" s="641">
        <f>J12-'CONSOLIDADO_TOTAL RECAUDO'!J107</f>
        <v>-3.9999961853027344E-2</v>
      </c>
      <c r="K26" s="641">
        <f>K12-'CONSOLIDADO_TOTAL RECAUDO'!K107</f>
        <v>-0.37000083923339844</v>
      </c>
      <c r="L26" s="641">
        <f>L12-'CONSOLIDADO_TOTAL RECAUDO'!L107</f>
        <v>0</v>
      </c>
      <c r="M26" s="641">
        <f>M12-'CONSOLIDADO_TOTAL RECAUDO'!M107</f>
        <v>-0.37000083923339844</v>
      </c>
      <c r="N26" s="641">
        <f>N12-'CONSOLIDADO_TOTAL RECAUDO'!N107</f>
        <v>0.42999999970197678</v>
      </c>
      <c r="O26" s="641">
        <f>O12-'CONSOLIDADO_TOTAL RECAUDO'!O107</f>
        <v>5.9999465942382813E-2</v>
      </c>
    </row>
    <row r="27" spans="2:15" x14ac:dyDescent="0.35">
      <c r="B27" s="603" t="s">
        <v>118</v>
      </c>
      <c r="C27" s="603" t="s">
        <v>14</v>
      </c>
      <c r="D27" s="641">
        <f>D13-'CONSOLIDADO_TOTAL RECAUDO'!D108</f>
        <v>0.17000007629394531</v>
      </c>
      <c r="E27" s="641">
        <f>E13-'CONSOLIDADO_TOTAL RECAUDO'!E108</f>
        <v>-0.49000000953674316</v>
      </c>
      <c r="F27" s="641">
        <f>F13-'CONSOLIDADO_TOTAL RECAUDO'!F108</f>
        <v>0.34999996423721313</v>
      </c>
      <c r="G27" s="641">
        <f>G13-'CONSOLIDADO_TOTAL RECAUDO'!G108</f>
        <v>-0.44999998807907104</v>
      </c>
      <c r="H27" s="641">
        <f>H13-'CONSOLIDADO_TOTAL RECAUDO'!H108</f>
        <v>0.26999998092651367</v>
      </c>
      <c r="I27" s="641">
        <f>I13-'CONSOLIDADO_TOTAL RECAUDO'!I108</f>
        <v>-0.47999998927116394</v>
      </c>
      <c r="J27" s="641">
        <f>J13-'CONSOLIDADO_TOTAL RECAUDO'!J108</f>
        <v>0.31000018119812012</v>
      </c>
      <c r="K27" s="641">
        <f>K13-'CONSOLIDADO_TOTAL RECAUDO'!K108</f>
        <v>-0.34000110626220703</v>
      </c>
      <c r="L27" s="641">
        <f>L13-'CONSOLIDADO_TOTAL RECAUDO'!L108</f>
        <v>0</v>
      </c>
      <c r="M27" s="641">
        <f>M13-'CONSOLIDADO_TOTAL RECAUDO'!M108</f>
        <v>-0.34000110626220703</v>
      </c>
      <c r="N27" s="641">
        <f>N13-'CONSOLIDADO_TOTAL RECAUDO'!N108</f>
        <v>0.37000000104308128</v>
      </c>
      <c r="O27" s="641">
        <f>O13-'CONSOLIDADO_TOTAL RECAUDO'!O108</f>
        <v>2.9998779296875E-2</v>
      </c>
    </row>
    <row r="28" spans="2:15" x14ac:dyDescent="0.35">
      <c r="B28" s="603" t="s">
        <v>249</v>
      </c>
      <c r="C28" s="603" t="s">
        <v>70</v>
      </c>
      <c r="D28" s="641">
        <f>D14-'CONSOLIDADO_TOTAL RECAUDO'!D109</f>
        <v>1.4999923706054688</v>
      </c>
      <c r="E28" s="641">
        <f>E14-'CONSOLIDADO_TOTAL RECAUDO'!E109</f>
        <v>0.40000057220458984</v>
      </c>
      <c r="F28" s="641">
        <f>F14-'CONSOLIDADO_TOTAL RECAUDO'!F109</f>
        <v>1.2400000095367432</v>
      </c>
      <c r="G28" s="641">
        <f>G14-'CONSOLIDADO_TOTAL RECAUDO'!G109</f>
        <v>0.74000000953674316</v>
      </c>
      <c r="H28" s="641">
        <f>H14-'CONSOLIDADO_TOTAL RECAUDO'!H109</f>
        <v>0.48999977111816406</v>
      </c>
      <c r="I28" s="641">
        <f>I14-'CONSOLIDADO_TOTAL RECAUDO'!I109</f>
        <v>-1.1600000858306885</v>
      </c>
      <c r="J28" s="641">
        <f>J14-'CONSOLIDADO_TOTAL RECAUDO'!J109</f>
        <v>0.32999992370605469</v>
      </c>
      <c r="K28" s="641">
        <f>K14-'CONSOLIDADO_TOTAL RECAUDO'!K109</f>
        <v>-0.540008544921875</v>
      </c>
      <c r="L28" s="641">
        <f>L14-'CONSOLIDADO_TOTAL RECAUDO'!L109</f>
        <v>0</v>
      </c>
      <c r="M28" s="641">
        <f>M14-'CONSOLIDADO_TOTAL RECAUDO'!M109</f>
        <v>-0.540008544921875</v>
      </c>
      <c r="N28" s="641">
        <f>N14-'CONSOLIDADO_TOTAL RECAUDO'!N109</f>
        <v>0.87000000476837158</v>
      </c>
      <c r="O28" s="641">
        <f>O14-'CONSOLIDADO_TOTAL RECAUDO'!O109</f>
        <v>0.32999420166015625</v>
      </c>
    </row>
    <row r="31" spans="2:15" ht="34.5" x14ac:dyDescent="0.35">
      <c r="C31" s="639" t="s">
        <v>9</v>
      </c>
      <c r="D31" s="639" t="s">
        <v>4</v>
      </c>
      <c r="E31" s="639" t="s">
        <v>5</v>
      </c>
      <c r="F31" s="639" t="s">
        <v>6</v>
      </c>
      <c r="G31" s="639" t="s">
        <v>159</v>
      </c>
      <c r="H31" s="639" t="s">
        <v>18</v>
      </c>
      <c r="I31" s="639" t="s">
        <v>24</v>
      </c>
      <c r="J31" s="706" t="s">
        <v>19</v>
      </c>
      <c r="K31" s="640" t="s">
        <v>20</v>
      </c>
      <c r="L31" s="706" t="s">
        <v>21</v>
      </c>
      <c r="M31" s="640" t="s">
        <v>22</v>
      </c>
      <c r="N31" s="639" t="s">
        <v>7</v>
      </c>
      <c r="O31" s="640" t="s">
        <v>23</v>
      </c>
    </row>
    <row r="32" spans="2:15" x14ac:dyDescent="0.35">
      <c r="B32" s="603" t="s">
        <v>115</v>
      </c>
      <c r="C32" s="341" t="s">
        <v>10</v>
      </c>
      <c r="D32" s="644" t="b">
        <f>+D23+'Reporte Componentes R1'!F46+'Rem. Anticipos R2'!E41+'Reversion Pagos R4'!D67+'Reporte Componentes R1'!F48=D9</f>
        <v>1</v>
      </c>
      <c r="E32" s="644" t="b">
        <f>+E23+'Reporte Componentes R1'!G46+'Rem. Anticipos R2'!F41+'Reversion Pagos R4'!E67+'Reporte Componentes R1'!G48=E9</f>
        <v>1</v>
      </c>
      <c r="F32" s="644" t="b">
        <f>+F23+'Reporte Componentes R1'!H46+'Rem. Anticipos R2'!G41+'Reversion Pagos R4'!F67+'Reporte Componentes R1'!H48=F9</f>
        <v>1</v>
      </c>
      <c r="G32" s="644" t="b">
        <f>+G23+'Reporte Componentes R1'!I46+'Rem. Anticipos R2'!H41+'Reversion Pagos R4'!G67+'Reporte Componentes R1'!I48=G9</f>
        <v>1</v>
      </c>
      <c r="H32" s="644" t="b">
        <f>+H23+'Reporte Componentes R1'!J46+'Rem. Anticipos R2'!I41+'Reversion Pagos R4'!H67+'Reporte Componentes R1'!J48=H9</f>
        <v>1</v>
      </c>
      <c r="I32" s="644" t="b">
        <f>+I23+'Reporte Componentes R1'!K46+'Rem. Anticipos R2'!J41+'Reversion Pagos R4'!I67+'Reporte Componentes R1'!K48=I9</f>
        <v>1</v>
      </c>
      <c r="J32" s="644" t="b">
        <f>+'BCE SC POR FACT.'!F3+J23=J9</f>
        <v>1</v>
      </c>
      <c r="K32" s="644" t="b">
        <f>('Reporte Componentes R1'!F46+'Rem. Anticipos R2'!E41+'Reversion Pagos R4'!D67+'Reporte Componentes R1'!F48-('Reporte Componentes R1'!G46+'Rem. Anticipos R2'!F41+'Reversion Pagos R4'!E67+'Reporte Componentes R1'!G48+'Reporte Componentes R1'!H46+'Rem. Anticipos R2'!G41+'Reversion Pagos R4'!F67+'Reporte Componentes R1'!H48+'Reporte Componentes R1'!I46+'Rem. Anticipos R2'!H41+'Reversion Pagos R4'!G67+'Reporte Componentes R1'!I48+'Reporte Componentes R1'!J46+'Rem. Anticipos R2'!I41+'Reversion Pagos R4'!H67+'Reporte Componentes R1'!J48+'Reporte Componentes R1'!K46+'Rem. Anticipos R2'!J41+'Reversion Pagos R4'!I67+'Reporte Componentes R1'!K48+'BCE SC POR FACT.'!F3)+K23)=K9</f>
        <v>1</v>
      </c>
      <c r="L32" s="695" t="b">
        <f>INTERVENTORIA!I4+L23=L9</f>
        <v>1</v>
      </c>
      <c r="M32" s="641" t="b">
        <f>((('Reporte Componentes R1'!F46+'Rem. Anticipos R2'!E41+'Reversion Pagos R4'!D67+'Reporte Componentes R1'!F48-('Reporte Componentes R1'!G46+'Rem. Anticipos R2'!F41+'Reversion Pagos R4'!E67+'Reporte Componentes R1'!G48+'Reporte Componentes R1'!H46+'Rem. Anticipos R2'!G41+'Reversion Pagos R4'!F67+'Reporte Componentes R1'!H48+'Reporte Componentes R1'!I46+'Rem. Anticipos R2'!H41+'Reversion Pagos R4'!G67+'Reporte Componentes R1'!I48+'Reporte Componentes R1'!J46+'Rem. Anticipos R2'!I41+'Reversion Pagos R4'!H67+'Reporte Componentes R1'!J48+'Reporte Componentes R1'!K46+'Rem. Anticipos R2'!J41+'Reversion Pagos R4'!I67+'Reporte Componentes R1'!K48+'BCE SC POR FACT.'!F3))-INTERVENTORIA!O4)+M23)=M9</f>
        <v>1</v>
      </c>
      <c r="N32" s="641" t="b">
        <f>'Reporte Componentes R1'!L46+'Rem. Anticipos R2'!K41+'Reversion Pagos R4'!P67+'Reporte Componentes R1'!L48+N23=N9</f>
        <v>1</v>
      </c>
      <c r="O32" s="641" t="b">
        <f>((('Reporte Componentes R1'!F46+'Rem. Anticipos R2'!E41+'Reversion Pagos R4'!D67+'Reporte Componentes R1'!F48-('Reporte Componentes R1'!G46+'Rem. Anticipos R2'!F41+'Reversion Pagos R4'!E67+'Reporte Componentes R1'!G48+'Reporte Componentes R1'!H46+'Rem. Anticipos R2'!G41+'Reversion Pagos R4'!F67+'Reporte Componentes R1'!H48+'Reporte Componentes R1'!I46+'Rem. Anticipos R2'!H41+'Reversion Pagos R4'!G67+'Reporte Componentes R1'!I48+'Reporte Componentes R1'!J46+'Rem. Anticipos R2'!I41+'Reversion Pagos R4'!H67+'Reporte Componentes R1'!J48+'Reporte Componentes R1'!K46+'Rem. Anticipos R2'!J41+'Reversion Pagos R4'!I67+'Reporte Componentes R1'!K48+'BCE SC POR FACT.'!F3))-INTERVENTORIA!O4))+'Reporte Componentes R1'!L46+'Rem. Anticipos R2'!K41+'Reversion Pagos R4'!P67+'Reporte Componentes R1'!L48+O23=O9</f>
        <v>1</v>
      </c>
    </row>
    <row r="33" spans="2:15" x14ac:dyDescent="0.35">
      <c r="B33" s="603" t="s">
        <v>116</v>
      </c>
      <c r="C33" s="341" t="s">
        <v>11</v>
      </c>
      <c r="D33" s="644" t="b">
        <f>+D24+'Reporte Componentes R1'!F176+'Rem. Anticipos R2'!E135+'Reversion Pagos R4'!D161+'Reporte Componentes R1'!F178=D10</f>
        <v>1</v>
      </c>
      <c r="E33" s="644" t="b">
        <f>+E24+'Reporte Componentes R1'!G176+'Rem. Anticipos R2'!F135+'Reversion Pagos R4'!E161+'Reporte Componentes R1'!G178=E10</f>
        <v>1</v>
      </c>
      <c r="F33" s="644" t="b">
        <f>+F24+'Reporte Componentes R1'!H176+'Rem. Anticipos R2'!G135+'Reversion Pagos R4'!F161+'Reporte Componentes R1'!H178=F10</f>
        <v>1</v>
      </c>
      <c r="G33" s="644" t="b">
        <f>+G24+'Reporte Componentes R1'!I176+'Rem. Anticipos R2'!H135+'Reversion Pagos R4'!G161+'Reporte Componentes R1'!I178=G10</f>
        <v>1</v>
      </c>
      <c r="H33" s="644" t="b">
        <f>+H24+'Reporte Componentes R1'!J176+'Rem. Anticipos R2'!I135+'Reversion Pagos R4'!H161+'Reporte Componentes R1'!J178=H10</f>
        <v>1</v>
      </c>
      <c r="I33" s="644" t="b">
        <f>+I24+'Reporte Componentes R1'!K176+'Rem. Anticipos R2'!J135+'Reversion Pagos R4'!I161+'Reporte Componentes R1'!K178=I10</f>
        <v>1</v>
      </c>
      <c r="J33" s="644" t="b">
        <f>+'BCE SC POR FACT.'!F4+J24=J10</f>
        <v>1</v>
      </c>
      <c r="K33" s="641" t="b">
        <f>('Reporte Componentes R1'!F176+'Rem. Anticipos R2'!E135+'Reversion Pagos R4'!D161+'Reporte Componentes R1'!F178-('Reporte Componentes R1'!G176+'Rem. Anticipos R2'!F135+'Reversion Pagos R4'!E161+'Reporte Componentes R1'!G178+'Reporte Componentes R1'!H176+'Rem. Anticipos R2'!G135+'Reversion Pagos R4'!F161+'Reporte Componentes R1'!H178+'Reporte Componentes R1'!I176+'Rem. Anticipos R2'!H135+'Reversion Pagos R4'!G161+'Reporte Componentes R1'!I178+'Reporte Componentes R1'!J176+'Rem. Anticipos R2'!I135+'Reversion Pagos R4'!H161+'Reporte Componentes R1'!J178+'Reporte Componentes R1'!K176+'Rem. Anticipos R2'!J135+'Reversion Pagos R4'!I161+'Reporte Componentes R1'!K178+'BCE SC POR FACT.'!F4)+K24)=K10</f>
        <v>1</v>
      </c>
      <c r="L33" s="695" t="b">
        <f>INTERVENTORIA!I5+L24=L10</f>
        <v>1</v>
      </c>
      <c r="M33" s="641" t="b">
        <f>((('Reporte Componentes R1'!F176+'Rem. Anticipos R2'!E135+'Reversion Pagos R4'!D161+'Reporte Componentes R1'!F178-('Reporte Componentes R1'!G176+'Rem. Anticipos R2'!F135+'Reversion Pagos R4'!E161+'Reporte Componentes R1'!G178+'Reporte Componentes R1'!H176+'Rem. Anticipos R2'!G135+'Reversion Pagos R4'!F161+'Reporte Componentes R1'!H178+'Reporte Componentes R1'!I176+'Rem. Anticipos R2'!H135+'Reversion Pagos R4'!G161+'Reporte Componentes R1'!I178+'Reporte Componentes R1'!J176+'Rem. Anticipos R2'!I135+'Reversion Pagos R4'!H161+'Reporte Componentes R1'!J178+'Reporte Componentes R1'!K176+'Rem. Anticipos R2'!J135+'Reversion Pagos R4'!I161+'Reporte Componentes R1'!K178+'BCE SC POR FACT.'!F4))+M24)-INTERVENTORIA!O5)=M10</f>
        <v>1</v>
      </c>
      <c r="N33" s="641" t="b">
        <f>+'Reporte Componentes R1'!L176+'Rem. Anticipos R2'!K135+'Reversion Pagos R4'!P161+'Reporte Componentes R1'!L178+N24=N10</f>
        <v>1</v>
      </c>
      <c r="O33" s="641" t="b">
        <f>((('Reporte Componentes R1'!F176+'Rem. Anticipos R2'!E135+'Reversion Pagos R4'!D161+'Reporte Componentes R1'!F178-('Reporte Componentes R1'!G176+'Rem. Anticipos R2'!F135+'Reversion Pagos R4'!E161+'Reporte Componentes R1'!G178+'Reporte Componentes R1'!H176+'Rem. Anticipos R2'!G135+'Reversion Pagos R4'!F161+'Reporte Componentes R1'!H178+'Reporte Componentes R1'!I176+'Rem. Anticipos R2'!H135+'Reversion Pagos R4'!G161+'Reporte Componentes R1'!I178+'Reporte Componentes R1'!J176+'Rem. Anticipos R2'!I135+'Reversion Pagos R4'!H161+'Reporte Componentes R1'!J178+'Reporte Componentes R1'!K176+'Rem. Anticipos R2'!J135+'Reversion Pagos R4'!I161+'Reporte Componentes R1'!K178+'BCE SC POR FACT.'!F4)))-INTERVENTORIA!O5)+O24+'Reporte Componentes R1'!L176+'Rem. Anticipos R2'!K135+'Reversion Pagos R4'!P161+'Reporte Componentes R1'!L178=O10</f>
        <v>1</v>
      </c>
    </row>
    <row r="34" spans="2:15" x14ac:dyDescent="0.35">
      <c r="B34" s="603" t="s">
        <v>117</v>
      </c>
      <c r="C34" s="341" t="s">
        <v>12</v>
      </c>
      <c r="D34" s="644" t="b">
        <f>+'Reporte Componentes R1'!F316+'Reporte Componentes R1'!F318+'Rem. Anticipos R2'!E247+'Reversion Pagos R4'!D198+D25=D11</f>
        <v>1</v>
      </c>
      <c r="E34" s="644" t="b">
        <f>+'Reporte Componentes R1'!G316+'Reporte Componentes R1'!G318+'Rem. Anticipos R2'!F247+'Reversion Pagos R4'!E198+E25=E11</f>
        <v>1</v>
      </c>
      <c r="F34" s="644" t="b">
        <f>+'Reporte Componentes R1'!H316+'Reporte Componentes R1'!H318+'Rem. Anticipos R2'!G247+'Reversion Pagos R4'!F198+F25=F11</f>
        <v>1</v>
      </c>
      <c r="G34" s="644" t="b">
        <f>+'Reporte Componentes R1'!I316+'Reporte Componentes R1'!I318+'Rem. Anticipos R2'!H247+'Reversion Pagos R4'!G198+G25=G11</f>
        <v>1</v>
      </c>
      <c r="H34" s="644" t="b">
        <f>+'Reporte Componentes R1'!J316+'Reporte Componentes R1'!J318+'Rem. Anticipos R2'!I247+'Reversion Pagos R4'!H198+H25=H11</f>
        <v>1</v>
      </c>
      <c r="I34" s="644" t="b">
        <f>+'Reporte Componentes R1'!K316+'Reporte Componentes R1'!K318+'Rem. Anticipos R2'!J247+'Reversion Pagos R4'!I198+I25=I11</f>
        <v>1</v>
      </c>
      <c r="J34" s="644" t="b">
        <f>+'BCE SC POR FACT.'!F5+J25=J11</f>
        <v>1</v>
      </c>
      <c r="K34" s="641" t="b">
        <f>+'Reporte Componentes R1'!F316+'Reporte Componentes R1'!F318+'Rem. Anticipos R2'!E247+'Reversion Pagos R4'!D198-('Reporte Componentes R1'!G316+'Reporte Componentes R1'!G318+'Rem. Anticipos R2'!F247+'Reversion Pagos R4'!E198+'Reporte Componentes R1'!H316+'Reporte Componentes R1'!H318+'Rem. Anticipos R2'!G247+'Reversion Pagos R4'!F198+'Reporte Componentes R1'!I316+'Reporte Componentes R1'!I318+'Rem. Anticipos R2'!H247+'Reversion Pagos R4'!G198+'Reporte Componentes R1'!J316+'Reporte Componentes R1'!J318+'Rem. Anticipos R2'!I247+'Reversion Pagos R4'!H198+'Reporte Componentes R1'!K316+'Reporte Componentes R1'!K318+'Rem. Anticipos R2'!J247+'Reversion Pagos R4'!I198+'BCE SC POR FACT.'!F5)+K25=K11</f>
        <v>1</v>
      </c>
      <c r="L34" s="695" t="b">
        <f>INTERVENTORIA!I6+L25=L11</f>
        <v>1</v>
      </c>
      <c r="M34" s="641" t="b">
        <f>((('Reporte Componentes R1'!F316+'Reporte Componentes R1'!F318+'Rem. Anticipos R2'!E247+'Reversion Pagos R4'!D198-('Reporte Componentes R1'!G316+'Reporte Componentes R1'!G318+'Rem. Anticipos R2'!F247+'Reversion Pagos R4'!E198+'Reporte Componentes R1'!H316+'Reporte Componentes R1'!H318+'Rem. Anticipos R2'!G247+'Reversion Pagos R4'!F198+'Reporte Componentes R1'!I316+'Reporte Componentes R1'!I318+'Rem. Anticipos R2'!H247+'Reversion Pagos R4'!G198+'Reporte Componentes R1'!J316+'Reporte Componentes R1'!J318+'Rem. Anticipos R2'!I247+'Reversion Pagos R4'!H198+'Reporte Componentes R1'!K316+'Reporte Componentes R1'!K318+'Rem. Anticipos R2'!J247+'Reversion Pagos R4'!I198+'BCE SC POR FACT.'!F5))+M25)-INTERVENTORIA!O6)=M11</f>
        <v>1</v>
      </c>
      <c r="N34" s="641" t="b">
        <f>+'Reporte Componentes R1'!L316+'Reporte Componentes R1'!L318+'Rem. Anticipos R2'!K247+'Reversion Pagos R4'!P198+N25=N11</f>
        <v>1</v>
      </c>
      <c r="O34" s="641" t="b">
        <f>((('Reporte Componentes R1'!F316+'Reporte Componentes R1'!F318+'Rem. Anticipos R2'!E247+'Reversion Pagos R4'!D198-('Reporte Componentes R1'!G316+'Reporte Componentes R1'!G318+'Rem. Anticipos R2'!F247+'Reversion Pagos R4'!E198+'Reporte Componentes R1'!H316+'Reporte Componentes R1'!H318+'Rem. Anticipos R2'!G247+'Reversion Pagos R4'!F198+'Reporte Componentes R1'!I316+'Reporte Componentes R1'!I318+'Rem. Anticipos R2'!H247+'Reversion Pagos R4'!G198+'Reporte Componentes R1'!J316+'Reporte Componentes R1'!J318+'Rem. Anticipos R2'!I247+'Reversion Pagos R4'!H198+'Reporte Componentes R1'!K316+'Reporte Componentes R1'!K318+'Rem. Anticipos R2'!J247+'Reversion Pagos R4'!I198+'BCE SC POR FACT.'!F5)))-INTERVENTORIA!O6)++'Reporte Componentes R1'!L316+'Reporte Componentes R1'!L318+'Rem. Anticipos R2'!K247+'Reversion Pagos R4'!P198+O25=O11</f>
        <v>1</v>
      </c>
    </row>
    <row r="35" spans="2:15" x14ac:dyDescent="0.35">
      <c r="B35" s="603" t="s">
        <v>248</v>
      </c>
      <c r="C35" s="341" t="s">
        <v>13</v>
      </c>
      <c r="D35" s="644" t="b">
        <f>+'Reporte Componentes R1'!F437+'Reporte Componentes R1'!F439+'Rem. Anticipos R2'!E343+'Reversion Pagos R4'!D312+D26=D12</f>
        <v>1</v>
      </c>
      <c r="E35" s="644" t="b">
        <f>+'Reporte Componentes R1'!G437+'Reporte Componentes R1'!G439+'Rem. Anticipos R2'!F343+'Reversion Pagos R4'!E312+E26=E12</f>
        <v>1</v>
      </c>
      <c r="F35" s="644" t="b">
        <f>+'Reporte Componentes R1'!H437+'Reporte Componentes R1'!H439+'Rem. Anticipos R2'!G343+'Reversion Pagos R4'!F312+F26=F12</f>
        <v>1</v>
      </c>
      <c r="G35" s="644" t="b">
        <f>+'Reporte Componentes R1'!I437+'Reporte Componentes R1'!I439+'Rem. Anticipos R2'!H343+'Reversion Pagos R4'!G312+G26=G12</f>
        <v>1</v>
      </c>
      <c r="H35" s="644" t="b">
        <f>+'Reporte Componentes R1'!J437+'Reporte Componentes R1'!J439+'Rem. Anticipos R2'!I343+'Reversion Pagos R4'!H312+H26=H12</f>
        <v>1</v>
      </c>
      <c r="I35" s="644" t="b">
        <f>+'Reporte Componentes R1'!K437+'Reporte Componentes R1'!K439+'Rem. Anticipos R2'!J343+'Reversion Pagos R4'!I312+I26=I12</f>
        <v>1</v>
      </c>
      <c r="J35" s="644" t="b">
        <f>+J26+'BCE SC POR FACT.'!F6=J12</f>
        <v>1</v>
      </c>
      <c r="K35" s="641" t="b">
        <f>+'Reporte Componentes R1'!F437+'Reporte Componentes R1'!F439+'Rem. Anticipos R2'!E343+'Reversion Pagos R4'!D312-('Reporte Componentes R1'!G437+'Reporte Componentes R1'!G439+'Rem. Anticipos R2'!F343+'Reversion Pagos R4'!E312+'Reporte Componentes R1'!H437+'Reporte Componentes R1'!H439+'Rem. Anticipos R2'!G343+'Reversion Pagos R4'!F312+'Reporte Componentes R1'!I437+'Reporte Componentes R1'!I439+'Rem. Anticipos R2'!H343+'Reversion Pagos R4'!G312+'Reporte Componentes R1'!J437+'Reporte Componentes R1'!J439+'Rem. Anticipos R2'!I343+'Reversion Pagos R4'!H312+'Reporte Componentes R1'!K437+'Reporte Componentes R1'!K439+'Rem. Anticipos R2'!J343+'Reversion Pagos R4'!I312+'BCE SC POR FACT.'!F6)+K26=K12</f>
        <v>1</v>
      </c>
      <c r="L35" s="695" t="b">
        <f>INTERVENTORIA!I7+L26=L12</f>
        <v>1</v>
      </c>
      <c r="M35" s="641" t="b">
        <f>((('Reporte Componentes R1'!F437+'Reporte Componentes R1'!F439+'Rem. Anticipos R2'!E343+'Reversion Pagos R4'!D312-('Reporte Componentes R1'!G437+'Reporte Componentes R1'!G439+'Rem. Anticipos R2'!F343+'Reversion Pagos R4'!E312+'Reporte Componentes R1'!H437+'Reporte Componentes R1'!H439+'Rem. Anticipos R2'!G343+'Reversion Pagos R4'!F312+'Reporte Componentes R1'!I437+'Reporte Componentes R1'!I439+'Rem. Anticipos R2'!H343+'Reversion Pagos R4'!G312+'Reporte Componentes R1'!J437+'Reporte Componentes R1'!J439+'Rem. Anticipos R2'!I343+'Reversion Pagos R4'!H312+'Reporte Componentes R1'!K437+'Reporte Componentes R1'!K439+'Rem. Anticipos R2'!J343+'Reversion Pagos R4'!I312+'BCE SC POR FACT.'!F6))+M26)-INTERVENTORIA!O7)=M12</f>
        <v>1</v>
      </c>
      <c r="N35" s="641" t="b">
        <f>+'Reporte Componentes R1'!L437+'Reporte Componentes R1'!L439+'Rem. Anticipos R2'!K343+'Reversion Pagos R4'!P312+N26=N12</f>
        <v>1</v>
      </c>
      <c r="O35" s="641" t="b">
        <f>((('Reporte Componentes R1'!F437+'Reporte Componentes R1'!F439+'Rem. Anticipos R2'!E343+'Reversion Pagos R4'!D312-('Reporte Componentes R1'!G437+'Reporte Componentes R1'!G439+'Rem. Anticipos R2'!F343+'Reversion Pagos R4'!E312+'Reporte Componentes R1'!H437+'Reporte Componentes R1'!H439+'Rem. Anticipos R2'!G343+'Reversion Pagos R4'!F312+'Reporte Componentes R1'!I437+'Reporte Componentes R1'!I439+'Rem. Anticipos R2'!H343+'Reversion Pagos R4'!G312+'Reporte Componentes R1'!J437+'Reporte Componentes R1'!J439+'Rem. Anticipos R2'!I343+'Reversion Pagos R4'!H312+'Reporte Componentes R1'!K437+'Reporte Componentes R1'!K439+'Rem. Anticipos R2'!J343+'Reversion Pagos R4'!I312+'BCE SC POR FACT.'!F6)))-INTERVENTORIA!O7)+'Reporte Componentes R1'!L437+'Reporte Componentes R1'!L439+'Rem. Anticipos R2'!K343+'Reversion Pagos R4'!P312+O26=O12</f>
        <v>1</v>
      </c>
    </row>
    <row r="36" spans="2:15" x14ac:dyDescent="0.35">
      <c r="B36" s="603" t="s">
        <v>118</v>
      </c>
      <c r="C36" s="341" t="s">
        <v>14</v>
      </c>
      <c r="D36" s="644" t="b">
        <f>+D27+'Reporte Componentes R1'!F519+'Reporte Componentes R1'!F521+'Rem. Anticipos R2'!E413+'Reversion Pagos R4'!D347=D13</f>
        <v>1</v>
      </c>
      <c r="E36" s="644" t="b">
        <f>+E27+'Reporte Componentes R1'!G519+'Reporte Componentes R1'!G521+'Rem. Anticipos R2'!F413+'Reversion Pagos R4'!E347=E13</f>
        <v>1</v>
      </c>
      <c r="F36" s="644" t="b">
        <f>+F27+'Reporte Componentes R1'!H519+'Reporte Componentes R1'!H521+'Rem. Anticipos R2'!G413+'Reversion Pagos R4'!F347=F13</f>
        <v>1</v>
      </c>
      <c r="G36" s="644" t="b">
        <f>+G27+'Reporte Componentes R1'!I519+'Reporte Componentes R1'!I521+'Rem. Anticipos R2'!H413+'Reversion Pagos R4'!G347=G13</f>
        <v>1</v>
      </c>
      <c r="H36" s="644" t="b">
        <f>+H27+'Reporte Componentes R1'!J519+'Reporte Componentes R1'!J521+'Rem. Anticipos R2'!I413+'Reversion Pagos R4'!H347=H13</f>
        <v>1</v>
      </c>
      <c r="I36" s="644" t="b">
        <f>+I27+'Reporte Componentes R1'!K519+'Reporte Componentes R1'!K521+'Rem. Anticipos R2'!J413+'Reversion Pagos R4'!I347=I13</f>
        <v>1</v>
      </c>
      <c r="J36" s="644" t="b">
        <f>+'BCE SC POR FACT.'!F7+J27=J13</f>
        <v>1</v>
      </c>
      <c r="K36" s="641" t="b">
        <f>+'Reporte Componentes R1'!F519+'Reporte Componentes R1'!F521+'Rem. Anticipos R2'!E413+'Reversion Pagos R4'!D347-('Reporte Componentes R1'!G519+'Reporte Componentes R1'!G521+'Rem. Anticipos R2'!F413+'Reversion Pagos R4'!E347+'Reporte Componentes R1'!H519+'Reporte Componentes R1'!H521+'Rem. Anticipos R2'!G413+'Reversion Pagos R4'!F347+'Reporte Componentes R1'!I519+'Reporte Componentes R1'!I521+'Rem. Anticipos R2'!H413+'Reversion Pagos R4'!G347+'Reporte Componentes R1'!J519+'Reporte Componentes R1'!J521+'Rem. Anticipos R2'!I413+'Reversion Pagos R4'!H347+'Reporte Componentes R1'!K519+'Reporte Componentes R1'!K521+'Rem. Anticipos R2'!J413+'Reversion Pagos R4'!I347+'BCE SC POR FACT.'!F7)+K27=K13</f>
        <v>1</v>
      </c>
      <c r="L36" s="695" t="b">
        <f>INTERVENTORIA!I8+L27=L13</f>
        <v>1</v>
      </c>
      <c r="M36" s="641" t="b">
        <f>((('Reporte Componentes R1'!F519+'Reporte Componentes R1'!F521+'Rem. Anticipos R2'!E413+'Reversion Pagos R4'!D347-('Reporte Componentes R1'!G519+'Reporte Componentes R1'!G521+'Rem. Anticipos R2'!F413+'Reversion Pagos R4'!E347+'Reporte Componentes R1'!H519+'Reporte Componentes R1'!H521+'Rem. Anticipos R2'!G413+'Reversion Pagos R4'!F347+'Reporte Componentes R1'!I519+'Reporte Componentes R1'!I521+'Rem. Anticipos R2'!H413+'Reversion Pagos R4'!G347+'Reporte Componentes R1'!J519+'Reporte Componentes R1'!J521+'Rem. Anticipos R2'!I413+'Reversion Pagos R4'!H347+'Reporte Componentes R1'!K519+'Reporte Componentes R1'!K521+'Rem. Anticipos R2'!J413+'Reversion Pagos R4'!I347+'BCE SC POR FACT.'!F7))+M27)-INTERVENTORIA!O8)=M13</f>
        <v>1</v>
      </c>
      <c r="N36" s="641" t="b">
        <f>+'Reporte Componentes R1'!L519+'Reporte Componentes R1'!L521+'Rem. Anticipos R2'!K413+'Reversion Pagos R4'!P347+N27=N13</f>
        <v>1</v>
      </c>
      <c r="O36" s="641" t="b">
        <f>((('Reporte Componentes R1'!F519+'Reporte Componentes R1'!F521+'Rem. Anticipos R2'!E413+'Reversion Pagos R4'!D347-('Reporte Componentes R1'!G519+'Reporte Componentes R1'!G521+'Rem. Anticipos R2'!F413+'Reversion Pagos R4'!E347+'Reporte Componentes R1'!H519+'Reporte Componentes R1'!H521+'Rem. Anticipos R2'!G413+'Reversion Pagos R4'!F347+'Reporte Componentes R1'!I519+'Reporte Componentes R1'!I521+'Rem. Anticipos R2'!H413+'Reversion Pagos R4'!G347+'Reporte Componentes R1'!J519+'Reporte Componentes R1'!J521+'Rem. Anticipos R2'!I413+'Reversion Pagos R4'!H347+'Reporte Componentes R1'!K519+'Reporte Componentes R1'!K521+'Rem. Anticipos R2'!J413+'Reversion Pagos R4'!I347+'BCE SC POR FACT.'!F7)))-INTERVENTORIA!O8)+'Reporte Componentes R1'!L519+'Reporte Componentes R1'!L521+'Rem. Anticipos R2'!K413+'Reversion Pagos R4'!P347+O27=O13</f>
        <v>1</v>
      </c>
    </row>
    <row r="38" spans="2:15" x14ac:dyDescent="0.35">
      <c r="N38" s="645"/>
    </row>
    <row r="39" spans="2:15" x14ac:dyDescent="0.35">
      <c r="L39" s="694"/>
    </row>
  </sheetData>
  <conditionalFormatting sqref="D32:K36 M32:O36">
    <cfRule type="cellIs" dxfId="7" priority="1" operator="notEqual">
      <formula>TRUE</formula>
    </cfRule>
  </conditionalFormatting>
  <conditionalFormatting sqref="D23:O28">
    <cfRule type="cellIs" dxfId="6" priority="4" operator="lessThan">
      <formula>-1.5</formula>
    </cfRule>
    <cfRule type="cellIs" dxfId="5" priority="6" operator="greaterThan">
      <formula>1.5</formula>
    </cfRule>
  </conditionalFormatting>
  <pageMargins left="0.7" right="0.7" top="0.75" bottom="0.75" header="0.3" footer="0.3"/>
  <drawing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95EC5F-2F5B-4020-A70E-0620EAB168D4}">
  <dimension ref="B1:P32"/>
  <sheetViews>
    <sheetView workbookViewId="0"/>
  </sheetViews>
  <sheetFormatPr baseColWidth="10" defaultColWidth="11.453125" defaultRowHeight="14.5" x14ac:dyDescent="0.35"/>
  <cols>
    <col min="1" max="1" width="2.7265625" style="602" customWidth="1"/>
    <col min="2" max="2" width="7.26953125" style="602" customWidth="1"/>
    <col min="3" max="3" width="42.7265625" style="602" customWidth="1"/>
    <col min="4" max="15" width="28.54296875" style="602" customWidth="1"/>
    <col min="16" max="16384" width="11.453125" style="602"/>
  </cols>
  <sheetData>
    <row r="1" spans="2:15" customFormat="1" ht="12.5" x14ac:dyDescent="0.25"/>
    <row r="2" spans="2:15" customFormat="1" ht="12.5" x14ac:dyDescent="0.25"/>
    <row r="3" spans="2:15" customFormat="1" x14ac:dyDescent="0.25">
      <c r="F3" s="654" t="s">
        <v>8</v>
      </c>
      <c r="H3" s="654" t="s">
        <v>16</v>
      </c>
      <c r="J3" s="654" t="s">
        <v>228</v>
      </c>
      <c r="K3" s="654" t="s">
        <v>338</v>
      </c>
    </row>
    <row r="4" spans="2:15" customFormat="1" x14ac:dyDescent="0.25">
      <c r="F4" s="654" t="s">
        <v>29</v>
      </c>
    </row>
    <row r="5" spans="2:15" customFormat="1" x14ac:dyDescent="0.25">
      <c r="F5" s="654" t="s">
        <v>229</v>
      </c>
    </row>
    <row r="6" spans="2:15" customFormat="1" x14ac:dyDescent="0.25">
      <c r="C6" s="654" t="s">
        <v>230</v>
      </c>
      <c r="D6" s="654" t="s">
        <v>339</v>
      </c>
      <c r="F6" s="654" t="s">
        <v>231</v>
      </c>
    </row>
    <row r="7" spans="2:15" customFormat="1" x14ac:dyDescent="0.25">
      <c r="C7" s="654" t="s">
        <v>232</v>
      </c>
      <c r="D7" s="654" t="s">
        <v>340</v>
      </c>
      <c r="F7" s="654" t="s">
        <v>27</v>
      </c>
      <c r="G7" s="654" t="s">
        <v>341</v>
      </c>
      <c r="I7" s="654" t="s">
        <v>233</v>
      </c>
      <c r="J7" s="654" t="s">
        <v>342</v>
      </c>
    </row>
    <row r="8" spans="2:15" customFormat="1" ht="43.5" x14ac:dyDescent="0.25">
      <c r="B8" s="655" t="s">
        <v>3</v>
      </c>
      <c r="C8" s="655" t="s">
        <v>234</v>
      </c>
      <c r="D8" s="655" t="s">
        <v>251</v>
      </c>
      <c r="E8" s="655" t="s">
        <v>252</v>
      </c>
      <c r="F8" s="655" t="s">
        <v>253</v>
      </c>
      <c r="G8" s="655" t="s">
        <v>254</v>
      </c>
      <c r="H8" s="655" t="s">
        <v>255</v>
      </c>
      <c r="I8" s="655" t="s">
        <v>256</v>
      </c>
      <c r="J8" s="655" t="s">
        <v>257</v>
      </c>
      <c r="K8" s="655" t="s">
        <v>245</v>
      </c>
      <c r="L8" s="655" t="s">
        <v>258</v>
      </c>
      <c r="M8" s="655" t="s">
        <v>259</v>
      </c>
      <c r="N8" s="655" t="s">
        <v>246</v>
      </c>
      <c r="O8" s="655" t="s">
        <v>260</v>
      </c>
    </row>
    <row r="9" spans="2:15" customFormat="1" ht="12.5" x14ac:dyDescent="0.25">
      <c r="B9" s="634" t="s">
        <v>115</v>
      </c>
      <c r="C9" s="634" t="s">
        <v>10</v>
      </c>
      <c r="D9" s="635">
        <v>1487625256</v>
      </c>
      <c r="E9" s="635">
        <v>1438826390</v>
      </c>
      <c r="F9" s="635">
        <v>6807621660</v>
      </c>
      <c r="G9" s="635">
        <v>2690145853</v>
      </c>
      <c r="H9" s="635">
        <v>276081629</v>
      </c>
      <c r="I9" s="635">
        <v>-189185987</v>
      </c>
      <c r="J9" s="635">
        <v>41276</v>
      </c>
      <c r="K9" s="635">
        <v>18251001</v>
      </c>
      <c r="L9" s="635">
        <v>-2827541246</v>
      </c>
      <c r="M9" s="635">
        <v>-4859904925</v>
      </c>
      <c r="N9" s="635">
        <v>7669502152</v>
      </c>
      <c r="O9" s="635">
        <v>0</v>
      </c>
    </row>
    <row r="10" spans="2:15" customFormat="1" ht="12.5" x14ac:dyDescent="0.25">
      <c r="B10" s="634" t="s">
        <v>116</v>
      </c>
      <c r="C10" s="634" t="s">
        <v>11</v>
      </c>
      <c r="D10" s="635">
        <v>1309435017</v>
      </c>
      <c r="E10" s="635">
        <v>1311565792</v>
      </c>
      <c r="F10" s="635">
        <v>6106223772</v>
      </c>
      <c r="G10" s="635">
        <v>1997333517</v>
      </c>
      <c r="H10" s="635">
        <v>243030438</v>
      </c>
      <c r="I10" s="635">
        <v>-266580255</v>
      </c>
      <c r="J10" s="635">
        <v>-15867</v>
      </c>
      <c r="K10" s="635">
        <v>31737182</v>
      </c>
      <c r="L10" s="635">
        <v>-4693042918</v>
      </c>
      <c r="M10" s="635">
        <v>318472736</v>
      </c>
      <c r="N10" s="635">
        <v>11051202332</v>
      </c>
      <c r="O10" s="635">
        <v>0</v>
      </c>
    </row>
    <row r="11" spans="2:15" customFormat="1" ht="12.5" x14ac:dyDescent="0.25">
      <c r="B11" s="634" t="s">
        <v>117</v>
      </c>
      <c r="C11" s="634" t="s">
        <v>247</v>
      </c>
      <c r="D11" s="635">
        <v>870759491</v>
      </c>
      <c r="E11" s="635">
        <v>854526400</v>
      </c>
      <c r="F11" s="635">
        <v>4040692002</v>
      </c>
      <c r="G11" s="635">
        <v>1586798974</v>
      </c>
      <c r="H11" s="635">
        <v>161842789</v>
      </c>
      <c r="I11" s="635">
        <v>-154788535</v>
      </c>
      <c r="J11" s="635">
        <v>80571</v>
      </c>
      <c r="K11" s="635">
        <v>32320230</v>
      </c>
      <c r="L11" s="635">
        <v>-1406394634</v>
      </c>
      <c r="M11" s="635">
        <v>-209572222</v>
      </c>
      <c r="N11" s="635">
        <v>7182659700</v>
      </c>
      <c r="O11" s="635">
        <v>0</v>
      </c>
    </row>
    <row r="12" spans="2:15" customFormat="1" ht="12.5" x14ac:dyDescent="0.25">
      <c r="B12" s="634" t="s">
        <v>248</v>
      </c>
      <c r="C12" s="634" t="s">
        <v>13</v>
      </c>
      <c r="D12" s="635">
        <v>797893067</v>
      </c>
      <c r="E12" s="635">
        <v>788665130</v>
      </c>
      <c r="F12" s="635">
        <v>4058126442</v>
      </c>
      <c r="G12" s="635">
        <v>1696956588</v>
      </c>
      <c r="H12" s="635">
        <v>148960039</v>
      </c>
      <c r="I12" s="635">
        <v>-120391083</v>
      </c>
      <c r="J12" s="635">
        <v>-160437</v>
      </c>
      <c r="K12" s="635">
        <v>22968514</v>
      </c>
      <c r="L12" s="635">
        <v>-574425555</v>
      </c>
      <c r="M12" s="635">
        <v>-610381371</v>
      </c>
      <c r="N12" s="635">
        <v>6782636889</v>
      </c>
      <c r="O12" s="635">
        <v>0</v>
      </c>
    </row>
    <row r="13" spans="2:15" customFormat="1" ht="12.5" x14ac:dyDescent="0.25">
      <c r="B13" s="634" t="s">
        <v>118</v>
      </c>
      <c r="C13" s="634" t="s">
        <v>14</v>
      </c>
      <c r="D13" s="635">
        <v>621050089</v>
      </c>
      <c r="E13" s="635">
        <v>606049442</v>
      </c>
      <c r="F13" s="635">
        <v>3118159751</v>
      </c>
      <c r="G13" s="635">
        <v>1451607786</v>
      </c>
      <c r="H13" s="635">
        <v>115299099</v>
      </c>
      <c r="I13" s="635">
        <v>-128990445</v>
      </c>
      <c r="J13" s="635">
        <v>-78807</v>
      </c>
      <c r="K13" s="635">
        <v>27242694</v>
      </c>
      <c r="L13" s="635">
        <v>-187427488</v>
      </c>
      <c r="M13" s="635">
        <v>1022998141</v>
      </c>
      <c r="N13" s="635">
        <v>6833337748</v>
      </c>
      <c r="O13" s="635">
        <v>0</v>
      </c>
    </row>
    <row r="14" spans="2:15" customFormat="1" ht="12.5" x14ac:dyDescent="0.25">
      <c r="B14" s="634" t="s">
        <v>249</v>
      </c>
      <c r="C14" s="634" t="s">
        <v>70</v>
      </c>
      <c r="D14" s="635">
        <v>5086762920</v>
      </c>
      <c r="E14" s="635">
        <v>4999633154</v>
      </c>
      <c r="F14" s="635">
        <v>24130823627</v>
      </c>
      <c r="G14" s="635">
        <v>9422842718</v>
      </c>
      <c r="H14" s="635">
        <v>945213994</v>
      </c>
      <c r="I14" s="635">
        <v>-859936305</v>
      </c>
      <c r="J14" s="635">
        <v>-133264</v>
      </c>
      <c r="K14" s="635">
        <v>132519621</v>
      </c>
      <c r="L14" s="635">
        <v>-9688831841</v>
      </c>
      <c r="M14" s="635">
        <v>-4338387641</v>
      </c>
      <c r="N14" s="635">
        <v>39519338821</v>
      </c>
      <c r="O14" s="635">
        <v>0</v>
      </c>
    </row>
    <row r="16" spans="2:15" x14ac:dyDescent="0.35">
      <c r="B16" s="603" t="s">
        <v>115</v>
      </c>
      <c r="C16" s="603" t="s">
        <v>10</v>
      </c>
      <c r="D16" s="641">
        <f>D9-'CONSOLIDADO_TOTAL RECAUDO'!U104</f>
        <v>0.24000000953674316</v>
      </c>
      <c r="E16" s="641">
        <f>E9-'CONSOLIDADO_TOTAL RECAUDO'!V104</f>
        <v>0.26999998092651367</v>
      </c>
      <c r="F16" s="641">
        <f>F9-'CONSOLIDADO_TOTAL RECAUDO'!W104</f>
        <v>-0.15999984741210938</v>
      </c>
      <c r="G16" s="641">
        <f>G9-'CONSOLIDADO_TOTAL RECAUDO'!X104</f>
        <v>1.9999504089355469E-2</v>
      </c>
      <c r="H16" s="641">
        <f>H9-'CONSOLIDADO_TOTAL RECAUDO'!Y104</f>
        <v>0.4100000262260437</v>
      </c>
      <c r="I16" s="641">
        <f>I9-'CONSOLIDADO_TOTAL RECAUDO'!Z104</f>
        <v>0</v>
      </c>
      <c r="J16" s="641">
        <f>J9-'CONSOLIDADO_TOTAL RECAUDO'!AA104-'CONSOLIDADO_TOTAL RECAUDO'!AC104</f>
        <v>-0.20000000000754881</v>
      </c>
      <c r="K16" s="641">
        <f>K9-'CONSOLIDADO_TOTAL RECAUDO'!AB104</f>
        <v>6.0000002384185791E-2</v>
      </c>
      <c r="L16" s="641">
        <f>L9-'CONSOLIDADO_TOTAL RECAUDO'!AE104</f>
        <v>0.3899998664855957</v>
      </c>
      <c r="M16" s="641">
        <f>M9-'CONSOLIDADO_TOTAL RECAUDO'!AD104</f>
        <v>0.22999954223632813</v>
      </c>
      <c r="N16" s="641">
        <f>N9-'CONSOLIDADO_TOTAL RECAUDO'!AF104</f>
        <v>-0.13000297546386719</v>
      </c>
      <c r="O16" s="641">
        <f>O9-'CONSOLIDADO_TOTAL RECAUDO'!AG104</f>
        <v>0</v>
      </c>
    </row>
    <row r="17" spans="2:16" x14ac:dyDescent="0.35">
      <c r="B17" s="603" t="s">
        <v>116</v>
      </c>
      <c r="C17" s="603" t="s">
        <v>11</v>
      </c>
      <c r="D17" s="641">
        <f>D10-'CONSOLIDADO_TOTAL RECAUDO'!U105</f>
        <v>-0.37999987602233887</v>
      </c>
      <c r="E17" s="641">
        <f>E10-'CONSOLIDADO_TOTAL RECAUDO'!V105</f>
        <v>0.26000022888183594</v>
      </c>
      <c r="F17" s="641">
        <f>F10-'CONSOLIDADO_TOTAL RECAUDO'!W105</f>
        <v>0.17999935150146484</v>
      </c>
      <c r="G17" s="641">
        <f>G10-'CONSOLIDADO_TOTAL RECAUDO'!X105</f>
        <v>0.27999997138977051</v>
      </c>
      <c r="H17" s="641">
        <f>H10-'CONSOLIDADO_TOTAL RECAUDO'!Y105</f>
        <v>-0.47999998927116394</v>
      </c>
      <c r="I17" s="641">
        <f>I10-'CONSOLIDADO_TOTAL RECAUDO'!Z105</f>
        <v>0</v>
      </c>
      <c r="J17" s="641">
        <f>J10-'CONSOLIDADO_TOTAL RECAUDO'!AA105-'CONSOLIDADO_TOTAL RECAUDO'!AC105</f>
        <v>0.12000000000065825</v>
      </c>
      <c r="K17" s="641">
        <f>K10-'CONSOLIDADO_TOTAL RECAUDO'!AB105</f>
        <v>0.19000000134110451</v>
      </c>
      <c r="L17" s="641">
        <f>L10-'CONSOLIDADO_TOTAL RECAUDO'!AE105</f>
        <v>-7.9999923706054688E-2</v>
      </c>
      <c r="M17" s="641">
        <f>M10-'CONSOLIDADO_TOTAL RECAUDO'!AD105</f>
        <v>0.33000087738037109</v>
      </c>
      <c r="N17" s="641">
        <f>N10-'CONSOLIDADO_TOTAL RECAUDO'!AF105</f>
        <v>0.50000381469726563</v>
      </c>
      <c r="O17" s="641">
        <f>O10-'CONSOLIDADO_TOTAL RECAUDO'!AG105</f>
        <v>0</v>
      </c>
    </row>
    <row r="18" spans="2:16" x14ac:dyDescent="0.35">
      <c r="B18" s="603" t="s">
        <v>117</v>
      </c>
      <c r="C18" s="603" t="s">
        <v>247</v>
      </c>
      <c r="D18" s="641">
        <f>D11-'CONSOLIDADO_TOTAL RECAUDO'!U106</f>
        <v>-0.20000004768371582</v>
      </c>
      <c r="E18" s="641">
        <f>E11-'CONSOLIDADO_TOTAL RECAUDO'!V106</f>
        <v>0.3900001049041748</v>
      </c>
      <c r="F18" s="641">
        <f>F11-'CONSOLIDADO_TOTAL RECAUDO'!W106</f>
        <v>0.19000005722045898</v>
      </c>
      <c r="G18" s="641">
        <f>G11-'CONSOLIDADO_TOTAL RECAUDO'!X106</f>
        <v>-0.27000021934509277</v>
      </c>
      <c r="H18" s="641">
        <f>H11-'CONSOLIDADO_TOTAL RECAUDO'!Y106</f>
        <v>0.11000001430511475</v>
      </c>
      <c r="I18" s="641">
        <f>I11-'CONSOLIDADO_TOTAL RECAUDO'!Z106</f>
        <v>0</v>
      </c>
      <c r="J18" s="641">
        <f>J11-'CONSOLIDADO_TOTAL RECAUDO'!AA106-'CONSOLIDADO_TOTAL RECAUDO'!AC106</f>
        <v>-0.45000000001338769</v>
      </c>
      <c r="K18" s="641">
        <f>K11-'CONSOLIDADO_TOTAL RECAUDO'!AB106</f>
        <v>-0.17999999970197678</v>
      </c>
      <c r="L18" s="641">
        <f>L11-'CONSOLIDADO_TOTAL RECAUDO'!AE106</f>
        <v>-0.40999984741210938</v>
      </c>
      <c r="M18" s="641">
        <f>M11-'CONSOLIDADO_TOTAL RECAUDO'!AD106</f>
        <v>0.27999997138977051</v>
      </c>
      <c r="N18" s="641">
        <f>N11-'CONSOLIDADO_TOTAL RECAUDO'!AF106</f>
        <v>-0.13000106811523438</v>
      </c>
      <c r="O18" s="641">
        <f>O11-'CONSOLIDADO_TOTAL RECAUDO'!AG106</f>
        <v>0</v>
      </c>
    </row>
    <row r="19" spans="2:16" x14ac:dyDescent="0.35">
      <c r="B19" s="603" t="s">
        <v>248</v>
      </c>
      <c r="C19" s="603" t="s">
        <v>13</v>
      </c>
      <c r="D19" s="641">
        <f>D12-'CONSOLIDADO_TOTAL RECAUDO'!U107</f>
        <v>-0.47000002861022949</v>
      </c>
      <c r="E19" s="641">
        <f>E12-'CONSOLIDADO_TOTAL RECAUDO'!V107</f>
        <v>-0.21000003814697266</v>
      </c>
      <c r="F19" s="641">
        <f>F12-'CONSOLIDADO_TOTAL RECAUDO'!W107</f>
        <v>0.21000051498413086</v>
      </c>
      <c r="G19" s="641">
        <f>G12-'CONSOLIDADO_TOTAL RECAUDO'!X107</f>
        <v>-0.39999985694885254</v>
      </c>
      <c r="H19" s="641">
        <f>H12-'CONSOLIDADO_TOTAL RECAUDO'!Y107</f>
        <v>-0.34000003337860107</v>
      </c>
      <c r="I19" s="641">
        <f>I12-'CONSOLIDADO_TOTAL RECAUDO'!Z107</f>
        <v>0</v>
      </c>
      <c r="J19" s="641">
        <f>J12-'CONSOLIDADO_TOTAL RECAUDO'!AA107-'CONSOLIDADO_TOTAL RECAUDO'!AC107</f>
        <v>0.47000000001397524</v>
      </c>
      <c r="K19" s="641">
        <f>K12-'CONSOLIDADO_TOTAL RECAUDO'!AB107</f>
        <v>0.42999999970197678</v>
      </c>
      <c r="L19" s="641">
        <f>L12-'CONSOLIDADO_TOTAL RECAUDO'!AE107</f>
        <v>0.32999992370605469</v>
      </c>
      <c r="M19" s="641">
        <f>M12-'CONSOLIDADO_TOTAL RECAUDO'!AD107</f>
        <v>0.36999988555908203</v>
      </c>
      <c r="N19" s="641">
        <f>N12-'CONSOLIDADO_TOTAL RECAUDO'!AF107</f>
        <v>6.0001373291015625E-2</v>
      </c>
      <c r="O19" s="641">
        <f>O12-'CONSOLIDADO_TOTAL RECAUDO'!AG107</f>
        <v>0</v>
      </c>
    </row>
    <row r="20" spans="2:16" x14ac:dyDescent="0.35">
      <c r="B20" s="603" t="s">
        <v>118</v>
      </c>
      <c r="C20" s="603" t="s">
        <v>14</v>
      </c>
      <c r="D20" s="641">
        <f>D13-'CONSOLIDADO_TOTAL RECAUDO'!U108</f>
        <v>0.19000005722045898</v>
      </c>
      <c r="E20" s="641">
        <f>E13-'CONSOLIDADO_TOTAL RECAUDO'!V108</f>
        <v>1.9999980926513672E-2</v>
      </c>
      <c r="F20" s="641">
        <f>F13-'CONSOLIDADO_TOTAL RECAUDO'!W108</f>
        <v>0.27999973297119141</v>
      </c>
      <c r="G20" s="641">
        <f>G13-'CONSOLIDADO_TOTAL RECAUDO'!X108</f>
        <v>0.33999991416931152</v>
      </c>
      <c r="H20" s="641">
        <f>H13-'CONSOLIDADO_TOTAL RECAUDO'!Y108</f>
        <v>-8.0000013113021851E-2</v>
      </c>
      <c r="I20" s="641">
        <f>I13-'CONSOLIDADO_TOTAL RECAUDO'!Z108</f>
        <v>0</v>
      </c>
      <c r="J20" s="641">
        <f>J13-'CONSOLIDADO_TOTAL RECAUDO'!AA108-'CONSOLIDADO_TOTAL RECAUDO'!AC108</f>
        <v>0.41999999999592319</v>
      </c>
      <c r="K20" s="641">
        <f>K13-'CONSOLIDADO_TOTAL RECAUDO'!AB108</f>
        <v>0.37000000104308128</v>
      </c>
      <c r="L20" s="641">
        <f>L13-'CONSOLIDADO_TOTAL RECAUDO'!AE108</f>
        <v>-0.20000001788139343</v>
      </c>
      <c r="M20" s="641">
        <f>M13-'CONSOLIDADO_TOTAL RECAUDO'!AD108</f>
        <v>0.48999977111816406</v>
      </c>
      <c r="N20" s="641">
        <f>N13-'CONSOLIDADO_TOTAL RECAUDO'!AF108</f>
        <v>2.9998779296875E-2</v>
      </c>
      <c r="O20" s="641">
        <f>O13-'CONSOLIDADO_TOTAL RECAUDO'!AG108</f>
        <v>0</v>
      </c>
    </row>
    <row r="21" spans="2:16" x14ac:dyDescent="0.35">
      <c r="B21" s="603" t="s">
        <v>249</v>
      </c>
      <c r="C21" s="603" t="s">
        <v>70</v>
      </c>
      <c r="D21" s="641">
        <f>D14-'CONSOLIDADO_TOTAL RECAUDO'!U109</f>
        <v>-0.62000083923339844</v>
      </c>
      <c r="E21" s="641">
        <f>E14-'CONSOLIDADO_TOTAL RECAUDO'!V109</f>
        <v>0.72999954223632813</v>
      </c>
      <c r="F21" s="641">
        <f>F14-'CONSOLIDADO_TOTAL RECAUDO'!W109</f>
        <v>0.70000076293945313</v>
      </c>
      <c r="G21" s="641">
        <f>G14-'CONSOLIDADO_TOTAL RECAUDO'!X109</f>
        <v>-3.0000686645507813E-2</v>
      </c>
      <c r="H21" s="641">
        <f>H14-'CONSOLIDADO_TOTAL RECAUDO'!Y109</f>
        <v>-0.37999999523162842</v>
      </c>
      <c r="I21" s="641">
        <f>I14-'CONSOLIDADO_TOTAL RECAUDO'!Z109</f>
        <v>0</v>
      </c>
      <c r="J21" s="641">
        <f>J14-'CONSOLIDADO_TOTAL RECAUDO'!AA109-'CONSOLIDADO_TOTAL RECAUDO'!AC109</f>
        <v>0.36000000000237264</v>
      </c>
      <c r="K21" s="641">
        <f>K14-'CONSOLIDADO_TOTAL RECAUDO'!AB109</f>
        <v>0.87000000476837158</v>
      </c>
      <c r="L21" s="641">
        <f>L14-'CONSOLIDADO_TOTAL RECAUDO'!AE109</f>
        <v>2.9998779296875E-2</v>
      </c>
      <c r="M21" s="641">
        <f>M14-'CONSOLIDADO_TOTAL RECAUDO'!AD109</f>
        <v>1.6999998092651367</v>
      </c>
      <c r="N21" s="641">
        <f>N14-'CONSOLIDADO_TOTAL RECAUDO'!AF109</f>
        <v>0.3300018310546875</v>
      </c>
      <c r="O21" s="641">
        <f>O14-'CONSOLIDADO_TOTAL RECAUDO'!AG109</f>
        <v>0</v>
      </c>
    </row>
    <row r="22" spans="2:16" ht="15" thickBot="1" x14ac:dyDescent="0.4">
      <c r="M22" s="645"/>
    </row>
    <row r="23" spans="2:16" ht="35" thickBot="1" x14ac:dyDescent="0.4">
      <c r="C23" s="27" t="s">
        <v>9</v>
      </c>
      <c r="D23" s="162" t="s">
        <v>39</v>
      </c>
      <c r="E23" s="573" t="s">
        <v>40</v>
      </c>
      <c r="F23" s="573" t="s">
        <v>41</v>
      </c>
      <c r="G23" s="163" t="s">
        <v>42</v>
      </c>
      <c r="H23" s="164" t="s">
        <v>43</v>
      </c>
      <c r="I23" s="547" t="s">
        <v>21</v>
      </c>
      <c r="J23" s="65" t="s">
        <v>46</v>
      </c>
      <c r="K23" s="65" t="s">
        <v>7</v>
      </c>
      <c r="L23" s="85" t="s">
        <v>167</v>
      </c>
      <c r="M23" s="121" t="s">
        <v>105</v>
      </c>
      <c r="N23" s="121" t="s">
        <v>104</v>
      </c>
      <c r="O23" s="39" t="s">
        <v>23</v>
      </c>
    </row>
    <row r="24" spans="2:16" x14ac:dyDescent="0.35">
      <c r="B24" s="603" t="s">
        <v>115</v>
      </c>
      <c r="C24" s="341" t="s">
        <v>10</v>
      </c>
      <c r="D24" s="657" t="b">
        <f>+'Reporte Componentes R1'!M46+'Reporte Componentes R1'!M48+'Rem. Anticipos R2'!L41+'Reversion Pagos R4'!J67+D16=D9</f>
        <v>1</v>
      </c>
      <c r="E24" s="641" t="b">
        <f>+'Reporte Componentes R1'!N46+'Reporte Componentes R1'!N48+'Rem. Anticipos R2'!M41+'Reversion Pagos R4'!K67+E16=E9</f>
        <v>1</v>
      </c>
      <c r="F24" s="641" t="b">
        <f>+'Reporte Componentes R1'!O46+'Reporte Componentes R1'!O48+'Rem. Anticipos R2'!N41+'Reversion Pagos R4'!L67+F16=F9</f>
        <v>1</v>
      </c>
      <c r="G24" s="641" t="b">
        <f>+'Reporte Componentes R1'!P46+'Reporte Componentes R1'!P48+'Rem. Anticipos R2'!O41+'Reversion Pagos R4'!M67+G16=G9</f>
        <v>1</v>
      </c>
      <c r="H24" s="641" t="b">
        <f>+'Reporte Componentes R1'!Q46+'Reporte Componentes R1'!Q48+'Rem. Anticipos R2'!P41+'Reversion Pagos R4'!N67+H16=H9</f>
        <v>1</v>
      </c>
      <c r="I24" s="695" t="b">
        <f>-INTERVENTORIA!O4+I16=I9</f>
        <v>1</v>
      </c>
      <c r="J24" s="641" t="b">
        <f>'Reporte Componentes R1'!R46+'Reporte Componentes R1'!V46+'Rem. Anticipos R2'!Q41+'Reporte Componentes R1'!R48+'Reporte Componentes R1'!V48+'Reversion Pagos R4'!O67+'Reporte Componentes R1'!T46+'Reporte Componentes R1'!U46+'Reporte Componentes R1'!W46+'Reporte Componentes R1'!X46+'Reporte Componentes R1'!Y46+'Reporte Componentes R1'!Z46+'Reporte Componentes R1'!S46+'Rem. Anticipos R2'!R41+'Reporte Componentes R1'!T48+'Reporte Componentes R1'!U48+'Reporte Componentes R1'!W48+'Reporte Componentes R1'!X48+'Reporte Componentes R1'!Y48+'Reporte Componentes R1'!Z48+'Reporte Componentes R1'!S48+'Reversion Pagos R4'!Q67+'Reversion Pagos R4'!R67+'AJUSTES - SF-T'!AA47+J16=J9</f>
        <v>1</v>
      </c>
      <c r="K24" s="641" t="b">
        <f>+DetRetri2026071!N32</f>
        <v>1</v>
      </c>
      <c r="L24" s="641" t="b">
        <f>'Reporte Componentes R1'!F47+'Rem. Anticipos R2'!E42+'Reporte Componentes R1'!F49+'Reversion Pagos R4'!D68+'AJUSTES - SF-T'!AD47+L16=L9</f>
        <v>1</v>
      </c>
      <c r="M24" s="641" t="b">
        <f>-'BCE SC POR FACT.'!F3+'Reporte Componentes R1'!F47+'Rem. Anticipos R2'!E42+'Reporte Componentes R1'!F49+'Reversion Pagos R4'!D68+'AJUSTES - SF-T'!AD47+M16=M9</f>
        <v>1</v>
      </c>
      <c r="N24" s="641" t="b">
        <f>'Reporte Componentes R1'!F47+'Rem. Anticipos R2'!E42+'Reporte Componentes R1'!F49+'Reversion Pagos R4'!D68+'AJUSTES - SF-T'!AD47+L16=L9</f>
        <v>1</v>
      </c>
      <c r="O24" s="641">
        <f>'Reporte Componentes R1'!M46+'Reporte Componentes R1'!M48+'Rem. Anticipos R2'!L41+'Reversion Pagos R4'!J67+'Reporte Componentes R1'!N46+'Reporte Componentes R1'!N48+'Rem. Anticipos R2'!M41+'Reversion Pagos R4'!K67+'Reporte Componentes R1'!O46+'Reporte Componentes R1'!O48+'Rem. Anticipos R2'!N41+'Reversion Pagos R4'!L67+'Reporte Componentes R1'!P46+'Reporte Componentes R1'!P48+'Rem. Anticipos R2'!O41+'Reversion Pagos R4'!M67+'Reporte Componentes R1'!Q46+'Reporte Componentes R1'!Q48+'Rem. Anticipos R2'!P41+'Reversion Pagos R4'!N67-INTERVENTORIA!I4+'Reporte Componentes R1'!R46+'Reporte Componentes R1'!V46+'Rem. Anticipos R2'!Q41+'Reporte Componentes R1'!R48+'Reporte Componentes R1'!V48+'Reversion Pagos R4'!O67+'Reporte Componentes R1'!T46+'Reporte Componentes R1'!U46+'Reporte Componentes R1'!W46+'Reporte Componentes R1'!X46+'Reporte Componentes R1'!Y46+'Reporte Componentes R1'!Z46+'Reporte Componentes R1'!S46+'Rem. Anticipos R2'!R41+'Reporte Componentes R1'!T48+'Reporte Componentes R1'!U48+'Reporte Componentes R1'!W48+'Reporte Componentes R1'!X48+'Reporte Componentes R1'!Y48+'Reporte Componentes R1'!Z48+'Reporte Componentes R1'!S48+'Reversion Pagos R4'!Q67+'Reversion Pagos R4'!R67+'AJUSTES - SF-T'!AA47+'Reporte Componentes R1'!L46+'Rem. Anticipos R2'!K41+'Reversion Pagos R4'!P67+'Reporte Componentes R1'!L48-'BCE SC POR FACT.'!F3+'Reporte Componentes R1'!F47+'Rem. Anticipos R2'!E42+'Reporte Componentes R1'!F49+'Reversion Pagos R4'!D68+'AJUSTES - SF-T'!AD47+N16-N9</f>
        <v>0</v>
      </c>
    </row>
    <row r="25" spans="2:16" x14ac:dyDescent="0.35">
      <c r="B25" s="603" t="s">
        <v>116</v>
      </c>
      <c r="C25" s="341" t="s">
        <v>11</v>
      </c>
      <c r="D25" s="647" t="b">
        <f>+'Reporte Componentes R1'!M176+'Rem. Anticipos R2'!L135+'Reversion Pagos R4'!J161+'Reporte Componentes R1'!M178+D17=D10</f>
        <v>1</v>
      </c>
      <c r="E25" s="647" t="b">
        <f>+'Reporte Componentes R1'!N176+'Rem. Anticipos R2'!M135+'Reversion Pagos R4'!K161+'Reporte Componentes R1'!N178+E17=E10</f>
        <v>1</v>
      </c>
      <c r="F25" s="647" t="b">
        <f>+'Reporte Componentes R1'!O176+'Rem. Anticipos R2'!N135+'Reversion Pagos R4'!L161+'Reporte Componentes R1'!O178+F17=F10</f>
        <v>1</v>
      </c>
      <c r="G25" s="647" t="b">
        <f>+'Reporte Componentes R1'!P176+'Rem. Anticipos R2'!O135+'Reversion Pagos R4'!M161+'Reporte Componentes R1'!P178+G17=G10</f>
        <v>1</v>
      </c>
      <c r="H25" s="647" t="b">
        <f>+'Reporte Componentes R1'!Q176+'Rem. Anticipos R2'!P135+'Reversion Pagos R4'!N161+'Reporte Componentes R1'!Q178+H17=H10</f>
        <v>1</v>
      </c>
      <c r="I25" s="695" t="b">
        <f>-INTERVENTORIA!O5+I17=I10</f>
        <v>1</v>
      </c>
      <c r="J25" s="647" t="b">
        <f>+'Reporte Componentes R1'!R176+'Reporte Componentes R1'!V176+'Rem. Anticipos R2'!Q135+'Reporte Componentes R1'!R178+'Reporte Componentes R1'!V178+'Reversion Pagos R4'!O161+'Reporte Componentes R1'!T176+'Reporte Componentes R1'!U176+'Reporte Componentes R1'!W176+'Reporte Componentes R1'!X176+'Reporte Componentes R1'!Y176+'Reporte Componentes R1'!Z176+'Reporte Componentes R1'!S176+'Rem. Anticipos R2'!R135+'Reporte Componentes R1'!T178+'Reporte Componentes R1'!U178+'Reporte Componentes R1'!W178+'Reporte Componentes R1'!X178+'Reporte Componentes R1'!Y178+'Reporte Componentes R1'!Z178+'Reporte Componentes R1'!S178+'Reversion Pagos R4'!Q161+'Reversion Pagos R4'!R161+'AJUSTES - SF-T'!AA48+J17=J10</f>
        <v>1</v>
      </c>
      <c r="K25" s="647" t="b">
        <f>+DetRetri2026071!N33</f>
        <v>1</v>
      </c>
      <c r="L25" s="641" t="b">
        <f>+'Reporte Componentes R1'!F177+'Rem. Anticipos R2'!E136+'Reporte Componentes R1'!F179+'Reversion Pagos R4'!D162+'AJUSTES - SF-T'!AD48+L17=L10</f>
        <v>1</v>
      </c>
      <c r="M25" s="653" t="b">
        <f>-'BCE SC POR FACT.'!F4+'Reporte Componentes R1'!F177+'Rem. Anticipos R2'!E136+'Reporte Componentes R1'!F179+'Reversion Pagos R4'!D162+'AJUSTES - SF-T'!AD48+M17=M10</f>
        <v>1</v>
      </c>
      <c r="N25" s="641" t="b">
        <f>'Reporte Componentes R1'!F177+'Rem. Anticipos R2'!E136+'Reporte Componentes R1'!F179+'Reversion Pagos R4'!D162+'AJUSTES - SF-T'!AD48+L17=L10</f>
        <v>1</v>
      </c>
      <c r="O25" s="641">
        <f>'Reporte Componentes R1'!M176+'Rem. Anticipos R2'!L135+'Reversion Pagos R4'!J161+'Reporte Componentes R1'!M178+'Reporte Componentes R1'!N176+'Rem. Anticipos R2'!M135+'Reversion Pagos R4'!K161+'Reporte Componentes R1'!N178+'Reporte Componentes R1'!O176+'Rem. Anticipos R2'!N135+'Reversion Pagos R4'!L161+'Reporte Componentes R1'!O178+'Reporte Componentes R1'!P176+'Rem. Anticipos R2'!O135+'Reversion Pagos R4'!M161+'Reporte Componentes R1'!P178+'Reporte Componentes R1'!Q176+'Rem. Anticipos R2'!P135+'Reversion Pagos R4'!N161+'Reporte Componentes R1'!Q178-INTERVENTORIA!I5+'Reporte Componentes R1'!R176+'Reporte Componentes R1'!V176+'Rem. Anticipos R2'!Q135+'Reporte Componentes R1'!R178+'Reporte Componentes R1'!V178+'Reversion Pagos R4'!O161+'Reporte Componentes R1'!T176+'Reporte Componentes R1'!U176+'Reporte Componentes R1'!W176+'Reporte Componentes R1'!X176+'Reporte Componentes R1'!Y176+'Reporte Componentes R1'!Z176+'Reporte Componentes R1'!S176+'Rem. Anticipos R2'!R135+'Reporte Componentes R1'!T178+'Reporte Componentes R1'!U178+'Reporte Componentes R1'!W178+'Reporte Componentes R1'!X178+'Reporte Componentes R1'!Y178+'Reporte Componentes R1'!Z178+'Reporte Componentes R1'!S178+'Reversion Pagos R4'!Q161+'Reversion Pagos R4'!R161+'AJUSTES - SF-T'!AA48+'Reporte Componentes R1'!L176+'Rem. Anticipos R2'!K135+'Reversion Pagos R4'!P161+'Reporte Componentes R1'!L178-'BCE SC POR FACT.'!F4+'Reporte Componentes R1'!F177+'Rem. Anticipos R2'!E136+'Reporte Componentes R1'!F179+'Reversion Pagos R4'!D162+'AJUSTES - SF-T'!AD48+N17-N10</f>
        <v>0</v>
      </c>
      <c r="P25" s="646"/>
    </row>
    <row r="26" spans="2:16" x14ac:dyDescent="0.35">
      <c r="B26" s="603" t="s">
        <v>117</v>
      </c>
      <c r="C26" s="341" t="s">
        <v>12</v>
      </c>
      <c r="D26" s="641" t="b">
        <f>+'Reporte Componentes R1'!M316+'Reporte Componentes R1'!M318+'Rem. Anticipos R2'!L247+'Reversion Pagos R4'!J198+D18=D11</f>
        <v>1</v>
      </c>
      <c r="E26" s="641" t="b">
        <f>+'Reporte Componentes R1'!N316+'Reporte Componentes R1'!N318+'Rem. Anticipos R2'!M247+'Reversion Pagos R4'!K198+E18=E11</f>
        <v>1</v>
      </c>
      <c r="F26" s="641" t="b">
        <f>+'Reporte Componentes R1'!O316+'Reporte Componentes R1'!O318+'Rem. Anticipos R2'!N247+'Reversion Pagos R4'!L198+F18=F11</f>
        <v>1</v>
      </c>
      <c r="G26" s="641" t="b">
        <f>+'Reporte Componentes R1'!P316+'Reporte Componentes R1'!P318+'Rem. Anticipos R2'!O247+'Reversion Pagos R4'!M198+G18=G11</f>
        <v>1</v>
      </c>
      <c r="H26" s="641" t="b">
        <f>+'Reporte Componentes R1'!Q316+'Reporte Componentes R1'!Q318+'Rem. Anticipos R2'!P247+'Reversion Pagos R4'!N198+H18=H11</f>
        <v>1</v>
      </c>
      <c r="I26" s="695" t="b">
        <f>-INTERVENTORIA!O6+I18=I11</f>
        <v>1</v>
      </c>
      <c r="J26" s="641" t="b">
        <f>+'Reporte Componentes R1'!R316+'Reporte Componentes R1'!V316+'Rem. Anticipos R2'!Q247+'Reporte Componentes R1'!R318+'Reporte Componentes R1'!V318+'Reversion Pagos R4'!O198+'Reporte Componentes R1'!T316+'Reporte Componentes R1'!U316+'Reporte Componentes R1'!W316+'Reporte Componentes R1'!X316+'Reporte Componentes R1'!Y316+'Reporte Componentes R1'!Z316+'Reporte Componentes R1'!S316+'Rem. Anticipos R2'!R247+'Reporte Componentes R1'!T318+'Reporte Componentes R1'!U318+'Reporte Componentes R1'!W318+'Reporte Componentes R1'!X318+'Reporte Componentes R1'!Y318+'Reporte Componentes R1'!Z318+'Reporte Componentes R1'!S318+'Reversion Pagos R4'!Q198+'Reversion Pagos R4'!R198+'AJUSTES - SF-T'!AA49+J18=J11</f>
        <v>1</v>
      </c>
      <c r="K26" s="641" t="b">
        <f>+DetRetri2026071!N34</f>
        <v>1</v>
      </c>
      <c r="L26" s="641" t="b">
        <f>+'Reporte Componentes R1'!F317+'Rem. Anticipos R2'!E248+'Reporte Componentes R1'!F319+'Reversion Pagos R4'!D199+'AJUSTES - SF-T'!AD49+L18=L11</f>
        <v>1</v>
      </c>
      <c r="M26" s="712">
        <f>-'BCE SC POR FACT.'!F5+'Reporte Componentes R1'!F317+'Rem. Anticipos R2'!E248+'Reporte Componentes R1'!F319+'Reversion Pagos R4'!D199+'AJUSTES - SF-T'!AD49+M18-M11</f>
        <v>0</v>
      </c>
      <c r="N26" s="641" t="b">
        <f>'Reporte Componentes R1'!F317+'Rem. Anticipos R2'!E248+'Reporte Componentes R1'!F319+'Reversion Pagos R4'!D199+'AJUSTES - SF-T'!AD49+L18=L11</f>
        <v>1</v>
      </c>
      <c r="O26" s="709" t="b">
        <f>'Reporte Componentes R1'!M316+'Reporte Componentes R1'!M318+'Rem. Anticipos R2'!L247+'Reversion Pagos R4'!J198+'Reporte Componentes R1'!N316+'Reporte Componentes R1'!N318+'Rem. Anticipos R2'!M247+'Reversion Pagos R4'!K198+'Reporte Componentes R1'!O316+'Reporte Componentes R1'!O318+'Rem. Anticipos R2'!N247+'Reversion Pagos R4'!L198+'Reporte Componentes R1'!P316+'Reporte Componentes R1'!P318+'Rem. Anticipos R2'!O247+'Reversion Pagos R4'!M198+'Reporte Componentes R1'!Q316+'Reporte Componentes R1'!Q318+'Rem. Anticipos R2'!P247+'Reversion Pagos R4'!N198-INTERVENTORIA!I6+'Reporte Componentes R1'!R316+'Reporte Componentes R1'!V316+'Rem. Anticipos R2'!Q247+'Reporte Componentes R1'!R318+'Reporte Componentes R1'!V318+'Reversion Pagos R4'!O198+'Reporte Componentes R1'!T316+'Reporte Componentes R1'!U316+'Reporte Componentes R1'!W316+'Reporte Componentes R1'!X316+'Reporte Componentes R1'!Y316+'Reporte Componentes R1'!Z316+'Reporte Componentes R1'!S316+'Rem. Anticipos R2'!R247+'Reporte Componentes R1'!T318+'Reporte Componentes R1'!U318+'Reporte Componentes R1'!W318+'Reporte Componentes R1'!X318+'Reporte Componentes R1'!Y318+'Reporte Componentes R1'!Z318+'Reporte Componentes R1'!S318+'Reversion Pagos R4'!Q198+'Reversion Pagos R4'!R198+'AJUSTES - SF-T'!AA49+'Reporte Componentes R1'!L316+'Reporte Componentes R1'!L318+'Rem. Anticipos R2'!K247+'Reversion Pagos R4'!P198-'BCE SC POR FACT.'!F5+'Reporte Componentes R1'!F317+'Rem. Anticipos R2'!E248+'Reporte Componentes R1'!F319+'Reversion Pagos R4'!D199+'AJUSTES - SF-T'!AD49+N18=N11</f>
        <v>1</v>
      </c>
    </row>
    <row r="27" spans="2:16" x14ac:dyDescent="0.35">
      <c r="B27" s="603" t="s">
        <v>248</v>
      </c>
      <c r="C27" s="341" t="s">
        <v>13</v>
      </c>
      <c r="D27" s="641" t="b">
        <f>+'Reporte Componentes R1'!M437+'Reporte Componentes R1'!M439+'Rem. Anticipos R2'!L343+'Reversion Pagos R4'!J312+D19=D12</f>
        <v>1</v>
      </c>
      <c r="E27" s="641" t="b">
        <f>+'Reporte Componentes R1'!N437+'Reporte Componentes R1'!N439+'Rem. Anticipos R2'!M343+'Reversion Pagos R4'!K312+E19=E12</f>
        <v>1</v>
      </c>
      <c r="F27" s="641" t="b">
        <f>+'Reporte Componentes R1'!O437+'Reporte Componentes R1'!O439+'Rem. Anticipos R2'!N343+'Reversion Pagos R4'!L312+F19=F12</f>
        <v>1</v>
      </c>
      <c r="G27" s="641" t="b">
        <f>+'Reporte Componentes R1'!P437+'Reporte Componentes R1'!P439+'Rem. Anticipos R2'!O343+'Reversion Pagos R4'!M312+G19=G12</f>
        <v>1</v>
      </c>
      <c r="H27" s="641" t="b">
        <f>+'Reporte Componentes R1'!Q437+'Reporte Componentes R1'!Q439+'Rem. Anticipos R2'!P343+'Reversion Pagos R4'!N312+H19=H12</f>
        <v>1</v>
      </c>
      <c r="I27" s="695" t="b">
        <f>-INTERVENTORIA!O7+I19=I12</f>
        <v>1</v>
      </c>
      <c r="J27" s="641" t="b">
        <f>+'Reporte Componentes R1'!R437+'Reporte Componentes R1'!V437+'Rem. Anticipos R2'!Q343+'Reporte Componentes R1'!R439+'Reporte Componentes R1'!V439+'Reversion Pagos R4'!O312+'Reporte Componentes R1'!T437+'Reporte Componentes R1'!U437+'Reporte Componentes R1'!W437+'Reporte Componentes R1'!X437+'Reporte Componentes R1'!Y437+'Reporte Componentes R1'!Z437+'Reporte Componentes R1'!S437+'Rem. Anticipos R2'!R343+'Reporte Componentes R1'!T439+'Reporte Componentes R1'!U439+'Reporte Componentes R1'!W439+'Reporte Componentes R1'!X439+'Reporte Componentes R1'!Y439+'Reporte Componentes R1'!Z439+'Reporte Componentes R1'!S439+'Reversion Pagos R4'!Q312+'Reversion Pagos R4'!R312+'AJUSTES - SF-T'!AA50+J19=J12</f>
        <v>1</v>
      </c>
      <c r="K27" s="641" t="b">
        <f>+DetRetri2026071!N35</f>
        <v>1</v>
      </c>
      <c r="L27" s="641" t="b">
        <f>+'Reporte Componentes R1'!F438+'Rem. Anticipos R2'!E344+'Reporte Componentes R1'!F440+'Reversion Pagos R4'!D313+'AJUSTES - SF-T'!AD50+L19=L12</f>
        <v>1</v>
      </c>
      <c r="M27" s="641" t="b">
        <f>-'BCE SC POR FACT.'!F6+'Reporte Componentes R1'!F438+'Rem. Anticipos R2'!E344+'Reporte Componentes R1'!F440+'Reversion Pagos R4'!D313+'AJUSTES - SF-T'!AD50+M19=M12</f>
        <v>1</v>
      </c>
      <c r="N27" s="641" t="b">
        <f>'Reporte Componentes R1'!F438+'Rem. Anticipos R2'!E344+'Reporte Componentes R1'!F440+'Reversion Pagos R4'!D313+'AJUSTES - SF-T'!AD50+L19=L12</f>
        <v>1</v>
      </c>
      <c r="O27" s="709" t="b">
        <f>'Reporte Componentes R1'!M437+'Reporte Componentes R1'!M439+'Rem. Anticipos R2'!L343+'Reversion Pagos R4'!J312+'Reporte Componentes R1'!N437+'Reporte Componentes R1'!N439+'Rem. Anticipos R2'!M343+'Reversion Pagos R4'!K312+'Reporte Componentes R1'!O437+'Reporte Componentes R1'!O439+'Rem. Anticipos R2'!N343+'Reversion Pagos R4'!L312+'Reporte Componentes R1'!P437+'Reporte Componentes R1'!P439+'Rem. Anticipos R2'!O343+'Reversion Pagos R4'!M312+'Reporte Componentes R1'!Q437+'Reporte Componentes R1'!Q439+'Rem. Anticipos R2'!P343+'Reversion Pagos R4'!N312-INTERVENTORIA!I7+'Reporte Componentes R1'!R437+'Reporte Componentes R1'!V437+'Rem. Anticipos R2'!Q343+'Reporte Componentes R1'!R439+'Reporte Componentes R1'!V439+'Reversion Pagos R4'!O312+'Reporte Componentes R1'!T437+'Reporte Componentes R1'!U437+'Reporte Componentes R1'!W437+'Reporte Componentes R1'!X437+'Reporte Componentes R1'!Y437+'Reporte Componentes R1'!Z437+'Reporte Componentes R1'!S437+'Rem. Anticipos R2'!R343+'Reporte Componentes R1'!T439+'Reporte Componentes R1'!U439+'Reporte Componentes R1'!W439+'Reporte Componentes R1'!X439+'Reporte Componentes R1'!Y439+'Reporte Componentes R1'!Z439+'Reporte Componentes R1'!S439+'Reversion Pagos R4'!Q312+'Reversion Pagos R4'!R312+'AJUSTES - SF-T'!AA50+'Reporte Componentes R1'!L437+'Reporte Componentes R1'!L439+'Rem. Anticipos R2'!K343+'Reversion Pagos R4'!P312-'BCE SC POR FACT.'!F6+'Reporte Componentes R1'!F438+'Rem. Anticipos R2'!E344+'Reporte Componentes R1'!F440+'Reversion Pagos R4'!D313+'AJUSTES - SF-T'!AD50+N19=N12</f>
        <v>1</v>
      </c>
    </row>
    <row r="28" spans="2:16" x14ac:dyDescent="0.35">
      <c r="B28" s="603" t="s">
        <v>118</v>
      </c>
      <c r="C28" s="341" t="s">
        <v>14</v>
      </c>
      <c r="D28" s="641" t="b">
        <f>+'Reporte Componentes R1'!M519+'Reporte Componentes R1'!M521+'Rem. Anticipos R2'!L413+'Reversion Pagos R4'!J347+D20=D13</f>
        <v>1</v>
      </c>
      <c r="E28" s="641" t="b">
        <f>+'Reporte Componentes R1'!N519+'Reporte Componentes R1'!N521+'Rem. Anticipos R2'!M413+'Reversion Pagos R4'!K347+E20=E13</f>
        <v>1</v>
      </c>
      <c r="F28" s="641" t="b">
        <f>+'Reporte Componentes R1'!O519+'Reporte Componentes R1'!O521+'Rem. Anticipos R2'!N413+'Reversion Pagos R4'!L347+F20=F13</f>
        <v>1</v>
      </c>
      <c r="G28" s="641" t="b">
        <f>+'Reporte Componentes R1'!P519+'Reporte Componentes R1'!P521+'Rem. Anticipos R2'!O413+'Reversion Pagos R4'!M347+G20=G13</f>
        <v>1</v>
      </c>
      <c r="H28" s="641" t="b">
        <f>+'Reporte Componentes R1'!Q519+'Reporte Componentes R1'!Q521+'Rem. Anticipos R2'!P413+'Reversion Pagos R4'!N347+H20=H13</f>
        <v>1</v>
      </c>
      <c r="I28" s="695" t="b">
        <f>-INTERVENTORIA!I8+O20=I13</f>
        <v>1</v>
      </c>
      <c r="J28" s="643" t="b">
        <f>+'Reporte Componentes R1'!R519+'Reporte Componentes R1'!V519+'Rem. Anticipos R2'!Q413+'Reporte Componentes R1'!R521+'Reporte Componentes R1'!V521+'Reversion Pagos R4'!O347+'Reporte Componentes R1'!T519+'Reporte Componentes R1'!U519+'Reporte Componentes R1'!W519+'Reporte Componentes R1'!X519+'Reporte Componentes R1'!Y519+'Reporte Componentes R1'!Z519+'Reporte Componentes R1'!S519+'Rem. Anticipos R2'!R413+'Reporte Componentes R1'!T521+'Reporte Componentes R1'!U521+'Reporte Componentes R1'!W521+'Reporte Componentes R1'!X521+'Reporte Componentes R1'!Y521+'Reporte Componentes R1'!Z521+'Reporte Componentes R1'!S521+'Reversion Pagos R4'!Q347+'Reversion Pagos R4'!R347+'AJUSTES - SF-T'!AA51+J20=J13</f>
        <v>1</v>
      </c>
      <c r="K28" s="641" t="b">
        <f>+DetRetri2026071!N36</f>
        <v>1</v>
      </c>
      <c r="L28" s="641" t="b">
        <f>+'Reporte Componentes R1'!F520+'Rem. Anticipos R2'!E414+'Reporte Componentes R1'!F522+'Reversion Pagos R4'!D348+'AJUSTES - SF-T'!AD51+L20=L13</f>
        <v>1</v>
      </c>
      <c r="M28" s="641" t="b">
        <f>-'BCE SC POR FACT.'!F7+'Reporte Componentes R1'!F520+'Rem. Anticipos R2'!E414+'Reporte Componentes R1'!F522+'Reversion Pagos R4'!D348+'AJUSTES - SF-T'!AD51+M20=M13</f>
        <v>1</v>
      </c>
      <c r="N28" s="641" t="b">
        <f>'Reporte Componentes R1'!F520+'Rem. Anticipos R2'!E414+'Reporte Componentes R1'!F522+'Reversion Pagos R4'!D348+'AJUSTES - SF-T'!AD51+L20=L13</f>
        <v>1</v>
      </c>
      <c r="O28" s="641" t="b">
        <f>'Reporte Componentes R1'!M519+'Reporte Componentes R1'!M521+'Rem. Anticipos R2'!L413+'Reversion Pagos R4'!J347+'Reporte Componentes R1'!N519+'Reporte Componentes R1'!N521+'Rem. Anticipos R2'!M413+'Reversion Pagos R4'!K347+'Reporte Componentes R1'!O519+'Reporte Componentes R1'!O521+'Rem. Anticipos R2'!N413+'Reversion Pagos R4'!L347+'Reporte Componentes R1'!P519+'Reporte Componentes R1'!P521+'Rem. Anticipos R2'!O413+'Reversion Pagos R4'!M347+'Reporte Componentes R1'!Q519+'Reporte Componentes R1'!Q521+'Rem. Anticipos R2'!P413+'Reversion Pagos R4'!N347-INTERVENTORIA!I8+'Reporte Componentes R1'!R519+'Reporte Componentes R1'!V519+'Rem. Anticipos R2'!Q413+'Reporte Componentes R1'!R521+'Reporte Componentes R1'!V521+'Reversion Pagos R4'!O347+'Reporte Componentes R1'!T519+'Reporte Componentes R1'!U519+'Reporte Componentes R1'!W519+'Reporte Componentes R1'!X519+'Reporte Componentes R1'!Y519+'Reporte Componentes R1'!Z519+'Reporte Componentes R1'!S519+'Rem. Anticipos R2'!R413+'Reporte Componentes R1'!T521+'Reporte Componentes R1'!U521+'Reporte Componentes R1'!W521+'Reporte Componentes R1'!X521+'Reporte Componentes R1'!Y521+'Reporte Componentes R1'!Z521+'Reporte Componentes R1'!S521+'Reversion Pagos R4'!Q347+'Reversion Pagos R4'!R347+'AJUSTES - SF-T'!AA51+'Reporte Componentes R1'!L519+'Reporte Componentes R1'!L521+'Rem. Anticipos R2'!K413+'Reversion Pagos R4'!P347-'BCE SC POR FACT.'!F7+'Reporte Componentes R1'!F520+'Rem. Anticipos R2'!E414+'Reporte Componentes R1'!F522+'Reversion Pagos R4'!D348+'AJUSTES - SF-T'!AD51+N20=N13</f>
        <v>1</v>
      </c>
    </row>
    <row r="29" spans="2:16" x14ac:dyDescent="0.35">
      <c r="C29" s="642" t="s">
        <v>2</v>
      </c>
      <c r="D29" s="641" t="b">
        <f>'Reporte Componentes R1'!M46+'Reporte Componentes R1'!M48+'Rem. Anticipos R2'!L41+'Reversion Pagos R4'!J67+'Reporte Componentes R1'!M176+'Rem. Anticipos R2'!L135+'Reversion Pagos R4'!J161+'Reporte Componentes R1'!M178+'Reporte Componentes R1'!M316+'Reporte Componentes R1'!M318+'Rem. Anticipos R2'!L247+'Reversion Pagos R4'!J198+'Reporte Componentes R1'!M437+'Reporte Componentes R1'!M439+'Rem. Anticipos R2'!L343+'Reversion Pagos R4'!J312+'Reporte Componentes R1'!M519+'Reporte Componentes R1'!M521+'Rem. Anticipos R2'!L413+'Reversion Pagos R4'!J347+D21=D14</f>
        <v>1</v>
      </c>
      <c r="E29" s="641" t="b">
        <f>'Reporte Componentes R1'!N46+'Reporte Componentes R1'!N48+'Rem. Anticipos R2'!M41+'Reversion Pagos R4'!K67+'Reporte Componentes R1'!N176+'Rem. Anticipos R2'!M135+'Reversion Pagos R4'!K161+'Reporte Componentes R1'!N178+'Reporte Componentes R1'!N316+'Reporte Componentes R1'!N318+'Rem. Anticipos R2'!M247+'Reversion Pagos R4'!K198+'Reporte Componentes R1'!N437+'Reporte Componentes R1'!N439+'Rem. Anticipos R2'!M343+'Reversion Pagos R4'!K312+'Reporte Componentes R1'!N519+'Reporte Componentes R1'!N521+'Rem. Anticipos R2'!M413+'Reversion Pagos R4'!K347+E21=E14</f>
        <v>1</v>
      </c>
      <c r="F29" s="641" t="b">
        <f>'Reporte Componentes R1'!O46+'Reporte Componentes R1'!O48+'Rem. Anticipos R2'!N41+'Reversion Pagos R4'!L67+'Reporte Componentes R1'!O176+'Rem. Anticipos R2'!N135+'Reversion Pagos R4'!L161+'Reporte Componentes R1'!O178+'Reporte Componentes R1'!O316+'Reporte Componentes R1'!O318+'Rem. Anticipos R2'!N247+'Reversion Pagos R4'!L198+'Reporte Componentes R1'!O437+'Reporte Componentes R1'!O439+'Rem. Anticipos R2'!N343+'Reversion Pagos R4'!L312+'Reporte Componentes R1'!O519+'Reporte Componentes R1'!O521+'Rem. Anticipos R2'!N413+'Reversion Pagos R4'!L347+F21=F14</f>
        <v>1</v>
      </c>
      <c r="G29" s="641" t="b">
        <f>'Reporte Componentes R1'!P46+'Reporte Componentes R1'!P48+'Rem. Anticipos R2'!O41+'Reversion Pagos R4'!M67+'Reporte Componentes R1'!P176+'Rem. Anticipos R2'!O135+'Reversion Pagos R4'!M161+'Reporte Componentes R1'!P178+'Reporte Componentes R1'!P316+'Reporte Componentes R1'!P318+'Rem. Anticipos R2'!O247+'Reversion Pagos R4'!M198+'Reporte Componentes R1'!P437+'Reporte Componentes R1'!P439+'Rem. Anticipos R2'!O343+'Reversion Pagos R4'!M312+'Reporte Componentes R1'!P519+'Reporte Componentes R1'!P521+'Rem. Anticipos R2'!O413+'Reversion Pagos R4'!M347+G21=G14</f>
        <v>1</v>
      </c>
      <c r="H29" s="641" t="b">
        <f>'Reporte Componentes R1'!Q46+'Reporte Componentes R1'!Q48+'Rem. Anticipos R2'!P41+'Reversion Pagos R4'!N67+'Reporte Componentes R1'!Q176+'Rem. Anticipos R2'!P135+'Reversion Pagos R4'!N161+'Reporte Componentes R1'!Q178+'Reporte Componentes R1'!Q316+'Reporte Componentes R1'!Q318+'Rem. Anticipos R2'!P247+'Reversion Pagos R4'!N198+'Reporte Componentes R1'!Q437+'Reporte Componentes R1'!Q439+'Rem. Anticipos R2'!P343+'Reversion Pagos R4'!N312+'Reporte Componentes R1'!Q519+'Reporte Componentes R1'!Q521+'Rem. Anticipos R2'!P413+'Reversion Pagos R4'!N347+H21=H14</f>
        <v>1</v>
      </c>
      <c r="I29" s="695" t="b">
        <f>-INTERVENTORIA!O9+I21=I14</f>
        <v>1</v>
      </c>
      <c r="J29" s="641">
        <f>'Reporte Componentes R1'!R46+'Reporte Componentes R1'!V46+'Rem. Anticipos R2'!Q41+'Reporte Componentes R1'!R48+'Reporte Componentes R1'!V48+'Reversion Pagos R4'!O67+'Reporte Componentes R1'!T46+'Reporte Componentes R1'!U46+'Reporte Componentes R1'!W46+'Reporte Componentes R1'!X46+'Reporte Componentes R1'!Y46+'Reporte Componentes R1'!Z46+'Reporte Componentes R1'!S46+'Rem. Anticipos R2'!R41+'Reporte Componentes R1'!T48+'Reporte Componentes R1'!U48+'Reporte Componentes R1'!W48+'Reporte Componentes R1'!X48+'Reporte Componentes R1'!Y48+'Reporte Componentes R1'!Z48+'Reporte Componentes R1'!S48+'Reversion Pagos R4'!Q67+'Reversion Pagos R4'!R67+'AJUSTES - SF-T'!AA47+'Reporte Componentes R1'!R176+'Reporte Componentes R1'!V176+'Rem. Anticipos R2'!Q135+'Reporte Componentes R1'!R178+'Reporte Componentes R1'!V178+'Reversion Pagos R4'!O161+'Reporte Componentes R1'!T176+'Reporte Componentes R1'!U176+'Reporte Componentes R1'!W176+'Reporte Componentes R1'!X176+'Reporte Componentes R1'!Y176+'Reporte Componentes R1'!Z176+'Reporte Componentes R1'!S176+'Rem. Anticipos R2'!R135+'Reporte Componentes R1'!T178+'Reporte Componentes R1'!U178+'Reporte Componentes R1'!W178+'Reporte Componentes R1'!X178+'Reporte Componentes R1'!Y178+'Reporte Componentes R1'!Z178+'Reporte Componentes R1'!S178+'Reversion Pagos R4'!Q161+'Reversion Pagos R4'!R161+'AJUSTES - SF-T'!AA48+'Reporte Componentes R1'!R316+'Reporte Componentes R1'!V316+'Rem. Anticipos R2'!Q247+'Reporte Componentes R1'!R318+'Reporte Componentes R1'!V318+'Reversion Pagos R4'!O198+'Reporte Componentes R1'!T316+'Reporte Componentes R1'!U316+'Reporte Componentes R1'!W316+'Reporte Componentes R1'!X316+'Reporte Componentes R1'!Y316+'Reporte Componentes R1'!Z316+'Reporte Componentes R1'!S316+'Rem. Anticipos R2'!R247+'Reporte Componentes R1'!T318+'Reporte Componentes R1'!U318+'Reporte Componentes R1'!W318+'Reporte Componentes R1'!X318+'Reporte Componentes R1'!Y318+'Reporte Componentes R1'!Z318+'Reporte Componentes R1'!S318+'Reversion Pagos R4'!Q198+'Reversion Pagos R4'!R198+'AJUSTES - SF-T'!AA49+'Reporte Componentes R1'!R437+'Reporte Componentes R1'!V437+'Rem. Anticipos R2'!Q343+'Reporte Componentes R1'!R439+'Reporte Componentes R1'!V439+'Reversion Pagos R4'!O312+'Reporte Componentes R1'!T437+'Reporte Componentes R1'!U437+'Reporte Componentes R1'!W437+'Reporte Componentes R1'!X437+'Reporte Componentes R1'!Y437+'Reporte Componentes R1'!Z437+'Reporte Componentes R1'!S437+'Rem. Anticipos R2'!R343+'Reporte Componentes R1'!T439+'Reporte Componentes R1'!U439+'Reporte Componentes R1'!W439+'Reporte Componentes R1'!X439+'Reporte Componentes R1'!Y439+'Reporte Componentes R1'!Z439+'Reporte Componentes R1'!S439+'Reversion Pagos R4'!Q312+'Reversion Pagos R4'!R312+'AJUSTES - SF-T'!AA50+'Reporte Componentes R1'!R519+'Reporte Componentes R1'!V519+'Rem. Anticipos R2'!Q413+'Reporte Componentes R1'!R521+'Reporte Componentes R1'!V521+'Reversion Pagos R4'!O347+'Reporte Componentes R1'!T519+'Reporte Componentes R1'!U519+'Reporte Componentes R1'!W519+'Reporte Componentes R1'!X519+'Reporte Componentes R1'!Y519+'Reporte Componentes R1'!Z519+'Reporte Componentes R1'!S519+'Rem. Anticipos R2'!R413+'Reporte Componentes R1'!T521+'Reporte Componentes R1'!U521+'Reporte Componentes R1'!W521+'Reporte Componentes R1'!X521+'Reporte Componentes R1'!Y521+'Reporte Componentes R1'!Z521+'Reporte Componentes R1'!S521+'Reversion Pagos R4'!Q347+'Reversion Pagos R4'!R347+'AJUSTES - SF-T'!AA51+J21-J14</f>
        <v>0</v>
      </c>
      <c r="K29" s="641" t="b">
        <f>'Reporte Componentes R1'!L46+'Rem. Anticipos R2'!K41+'Reversion Pagos R4'!P67+'Reporte Componentes R1'!L48+'Reporte Componentes R1'!L176+'Rem. Anticipos R2'!K135+'Reversion Pagos R4'!P161+'Reporte Componentes R1'!L178+'Reporte Componentes R1'!L316+'Reporte Componentes R1'!L318+'Rem. Anticipos R2'!K247+'Reversion Pagos R4'!P198+'Reporte Componentes R1'!L437+'Reporte Componentes R1'!L439+'Rem. Anticipos R2'!K343+'Reversion Pagos R4'!P312+'Reporte Componentes R1'!L519+'Reporte Componentes R1'!L521+'Rem. Anticipos R2'!K413+'Reversion Pagos R4'!P347+K21=K14</f>
        <v>1</v>
      </c>
      <c r="L29" s="708" t="b">
        <f>'Reporte Componentes R1'!F47+'Rem. Anticipos R2'!E42+'Reporte Componentes R1'!F49+'Reversion Pagos R4'!D68+'AJUSTES - SF-T'!AD47+'Reporte Componentes R1'!F177+'Rem. Anticipos R2'!E136+'Reporte Componentes R1'!F179+'Reversion Pagos R4'!D162+'AJUSTES - SF-T'!AD48+'Reporte Componentes R1'!F317+'Rem. Anticipos R2'!E248+'Reporte Componentes R1'!F319+'Reversion Pagos R4'!D199+'AJUSTES - SF-T'!AD49+'Reporte Componentes R1'!F438+'Rem. Anticipos R2'!E344+'Reporte Componentes R1'!F440+'Reversion Pagos R4'!D313+'AJUSTES - SF-T'!AD50+'Reporte Componentes R1'!F520+'Rem. Anticipos R2'!E414+'Reporte Componentes R1'!F522+'Reversion Pagos R4'!D348+'AJUSTES - SF-T'!AD51+L21=L14</f>
        <v>1</v>
      </c>
      <c r="M29" s="641" t="b">
        <f>-'BCE SC POR FACT.'!F3+'Reporte Componentes R1'!F47+'Rem. Anticipos R2'!E42+'Reporte Componentes R1'!F49+'Reversion Pagos R4'!D68+'AJUSTES - SF-T'!AD47-'BCE SC POR FACT.'!F4+'Reporte Componentes R1'!F177+'Rem. Anticipos R2'!E136+'Reporte Componentes R1'!F179+'Reversion Pagos R4'!D162+'AJUSTES - SF-T'!AD48-'BCE SC POR FACT.'!F5+'Reporte Componentes R1'!F317+'Rem. Anticipos R2'!E248+'Reporte Componentes R1'!F319+'Reversion Pagos R4'!D199+'AJUSTES - SF-T'!AD49-'BCE SC POR FACT.'!F6+'Reporte Componentes R1'!F438+'Rem. Anticipos R2'!E344+'Reporte Componentes R1'!F440+'Reversion Pagos R4'!D313+'AJUSTES - SF-T'!AD50-'BCE SC POR FACT.'!F7+'Reporte Componentes R1'!F520+'Rem. Anticipos R2'!E414+'Reporte Componentes R1'!F522+'Reversion Pagos R4'!D348+'AJUSTES - SF-T'!AD51+M21=M14</f>
        <v>1</v>
      </c>
      <c r="N29" s="641" t="b">
        <f>'Reporte Componentes R1'!F47+'Rem. Anticipos R2'!E42+'Reporte Componentes R1'!F49+'Reversion Pagos R4'!D68+'AJUSTES - SF-T'!AD47+'Reporte Componentes R1'!F177+'Rem. Anticipos R2'!E136+'Reporte Componentes R1'!F179+'Reversion Pagos R4'!D162+'AJUSTES - SF-T'!AD48+'Reporte Componentes R1'!F317+'Rem. Anticipos R2'!E248+'Reporte Componentes R1'!F319+'Reversion Pagos R4'!D199+'AJUSTES - SF-T'!AD49+'Reporte Componentes R1'!F438+'Rem. Anticipos R2'!E344+'Reporte Componentes R1'!F440+'Reversion Pagos R4'!D313+'AJUSTES - SF-T'!AD50+'Reporte Componentes R1'!F520+'Rem. Anticipos R2'!E414+'Reporte Componentes R1'!F522+'Reversion Pagos R4'!D348+'AJUSTES - SF-T'!AD51+L21=L14</f>
        <v>1</v>
      </c>
      <c r="O29" s="641" t="b">
        <f>'Reporte Componentes R1'!M46+'Reporte Componentes R1'!M48+'Rem. Anticipos R2'!L41+'Reversion Pagos R4'!J67+'Reporte Componentes R1'!N46+'Reporte Componentes R1'!N48+'Rem. Anticipos R2'!M41+'Reversion Pagos R4'!K67+'Reporte Componentes R1'!O46+'Reporte Componentes R1'!O48+'Rem. Anticipos R2'!N41+'Reversion Pagos R4'!L67+'Reporte Componentes R1'!P46+'Reporte Componentes R1'!P48+'Rem. Anticipos R2'!O41+'Reversion Pagos R4'!M67+'Reporte Componentes R1'!Q46+'Reporte Componentes R1'!Q48+'Rem. Anticipos R2'!P41+'Reversion Pagos R4'!N67-INTERVENTORIA!K15+'Reporte Componentes R1'!R46+'Reporte Componentes R1'!V46+'Rem. Anticipos R2'!Q41+'Reporte Componentes R1'!R48+'Reporte Componentes R1'!V48+'Reversion Pagos R4'!O67+'Reporte Componentes R1'!T46+'Reporte Componentes R1'!U46+'Reporte Componentes R1'!W46+'Reporte Componentes R1'!X46+'Reporte Componentes R1'!Y46+'Reporte Componentes R1'!Z46+'Reporte Componentes R1'!S46+'Rem. Anticipos R2'!R41+'Reporte Componentes R1'!T48+'Reporte Componentes R1'!U48+'Reporte Componentes R1'!W48+'Reporte Componentes R1'!X48+'Reporte Componentes R1'!Y48+'Reporte Componentes R1'!Z48+'Reporte Componentes R1'!S48+'Reversion Pagos R4'!Q67+'Reversion Pagos R4'!R67+'AJUSTES - SF-T'!AA47+'Reporte Componentes R1'!L46+'Rem. Anticipos R2'!K41+'Reversion Pagos R4'!P67+'Reporte Componentes R1'!L48-'BCE SC POR FACT.'!F3+'Reporte Componentes R1'!F47+'Rem. Anticipos R2'!E42+'Reporte Componentes R1'!F49+'Reversion Pagos R4'!D68+'AJUSTES - SF-T'!AD47+'Reporte Componentes R1'!M176+'Rem. Anticipos R2'!L135+'Reversion Pagos R4'!J161+'Reporte Componentes R1'!M178+'Reporte Componentes R1'!N176+'Rem. Anticipos R2'!M135+'Reversion Pagos R4'!K161+'Reporte Componentes R1'!N178+'Reporte Componentes R1'!O176+'Rem. Anticipos R2'!N135+'Reversion Pagos R4'!L161+'Reporte Componentes R1'!O178+'Reporte Componentes R1'!P176+'Rem. Anticipos R2'!O135+'Reversion Pagos R4'!M161+'Reporte Componentes R1'!P178+'Reporte Componentes R1'!Q176+'Rem. Anticipos R2'!P135+'Reversion Pagos R4'!N161+'Reporte Componentes R1'!Q178-INTERVENTORIA!K16+'Reporte Componentes R1'!R176+'Reporte Componentes R1'!V176+'Rem. Anticipos R2'!Q135+'Reporte Componentes R1'!R178+'Reporte Componentes R1'!V178+'Reversion Pagos R4'!O161+'Reporte Componentes R1'!T176+'Reporte Componentes R1'!U176+'Reporte Componentes R1'!W176+'Reporte Componentes R1'!X176+'Reporte Componentes R1'!Y176+'Reporte Componentes R1'!Z176+'Reporte Componentes R1'!S176+'Rem. Anticipos R2'!R135+'Reporte Componentes R1'!T178+'Reporte Componentes R1'!U178+'Reporte Componentes R1'!W178+'Reporte Componentes R1'!X178+'Reporte Componentes R1'!Y178+'Reporte Componentes R1'!Z178+'Reporte Componentes R1'!S178+'Reversion Pagos R4'!Q161+'Reversion Pagos R4'!R161+'AJUSTES - SF-T'!AA48+'Reporte Componentes R1'!L176+'Rem. Anticipos R2'!K135+'Reversion Pagos R4'!P161+'Reporte Componentes R1'!L178-'BCE SC POR FACT.'!F4+'Reporte Componentes R1'!F177+'Rem. Anticipos R2'!E136+'Reporte Componentes R1'!F179+'Reversion Pagos R4'!D162+'AJUSTES - SF-T'!AD48+'Reporte Componentes R1'!M316+'Reporte Componentes R1'!M318+'Rem. Anticipos R2'!L247+'Reversion Pagos R4'!J198+'Reporte Componentes R1'!N316+'Reporte Componentes R1'!N318+'Rem. Anticipos R2'!M247+'Reversion Pagos R4'!K198+'Reporte Componentes R1'!O316+'Reporte Componentes R1'!O318+'Rem. Anticipos R2'!N247+'Reversion Pagos R4'!L198+'Reporte Componentes R1'!P316+'Reporte Componentes R1'!P318+'Rem. Anticipos R2'!O247+'Reversion Pagos R4'!M198+'Reporte Componentes R1'!Q316+'Reporte Componentes R1'!Q318+'Rem. Anticipos R2'!P247+'Reversion Pagos R4'!N198-INTERVENTORIA!K17+'Reporte Componentes R1'!R316+'Reporte Componentes R1'!V316+'Rem. Anticipos R2'!Q247+'Reporte Componentes R1'!R318+'Reporte Componentes R1'!V318+'Reversion Pagos R4'!O198+'Reporte Componentes R1'!T316+'Reporte Componentes R1'!U316+'Reporte Componentes R1'!W316+'Reporte Componentes R1'!X316+'Reporte Componentes R1'!Y316+'Reporte Componentes R1'!Z316+'Reporte Componentes R1'!S316+'Rem. Anticipos R2'!R247+'Reporte Componentes R1'!T318+'Reporte Componentes R1'!U318+'Reporte Componentes R1'!W318+'Reporte Componentes R1'!X318+'Reporte Componentes R1'!Y318+'Reporte Componentes R1'!Z318+'Reporte Componentes R1'!S318+'Reversion Pagos R4'!Q198+'Reversion Pagos R4'!R198+'AJUSTES - SF-T'!AA49+'Reporte Componentes R1'!L316+'Reporte Componentes R1'!L318+'Rem. Anticipos R2'!K247+'Reversion Pagos R4'!P198-'BCE SC POR FACT.'!F5+'Reporte Componentes R1'!F317+'Rem. Anticipos R2'!E248+'Reporte Componentes R1'!F319+'Reversion Pagos R4'!D199+'AJUSTES - SF-T'!AD49+'Reporte Componentes R1'!M437+'Reporte Componentes R1'!M439+'Rem. Anticipos R2'!L343+'Reversion Pagos R4'!J312+'Reporte Componentes R1'!N437+'Reporte Componentes R1'!N439+'Rem. Anticipos R2'!M343+'Reversion Pagos R4'!K312+'Reporte Componentes R1'!O437+'Reporte Componentes R1'!O439+'Rem. Anticipos R2'!N343+'Reversion Pagos R4'!L312+'Reporte Componentes R1'!P437+'Reporte Componentes R1'!P439+'Rem. Anticipos R2'!O343+'Reversion Pagos R4'!M312+'Reporte Componentes R1'!Q437+'Reporte Componentes R1'!Q439+'Rem. Anticipos R2'!P343+'Reversion Pagos R4'!N312-INTERVENTORIA!K18+'Reporte Componentes R1'!R437+'Reporte Componentes R1'!V437+'Rem. Anticipos R2'!Q343+'Reporte Componentes R1'!R439+'Reporte Componentes R1'!V439+'Reversion Pagos R4'!O312+'Reporte Componentes R1'!T437+'Reporte Componentes R1'!U437+'Reporte Componentes R1'!W437+'Reporte Componentes R1'!X437+'Reporte Componentes R1'!Y437+'Reporte Componentes R1'!Z437+'Reporte Componentes R1'!S437+'Rem. Anticipos R2'!R343+'Reporte Componentes R1'!T439+'Reporte Componentes R1'!U439+'Reporte Componentes R1'!W439+'Reporte Componentes R1'!X439+'Reporte Componentes R1'!Y439+'Reporte Componentes R1'!Z439+'Reporte Componentes R1'!S439+'Reversion Pagos R4'!Q312+'Reversion Pagos R4'!R312+'AJUSTES - SF-T'!AA50+'Reporte Componentes R1'!L437+'Reporte Componentes R1'!L439+'Rem. Anticipos R2'!K343+'Reversion Pagos R4'!P312-'BCE SC POR FACT.'!F6+'Reporte Componentes R1'!F438+'Rem. Anticipos R2'!E344+'Reporte Componentes R1'!F440+'Reversion Pagos R4'!D313+'AJUSTES - SF-T'!AD50+'Reporte Componentes R1'!M519+'Reporte Componentes R1'!M521+'Rem. Anticipos R2'!L413+'Reversion Pagos R4'!J347+'Reporte Componentes R1'!N519+'Reporte Componentes R1'!N521+'Rem. Anticipos R2'!M413+'Reversion Pagos R4'!K347+'Reporte Componentes R1'!O519+'Reporte Componentes R1'!O521+'Rem. Anticipos R2'!N413+'Reversion Pagos R4'!L347+'Reporte Componentes R1'!P519+'Reporte Componentes R1'!P521+'Rem. Anticipos R2'!O413+'Reversion Pagos R4'!M347+'Reporte Componentes R1'!Q519+'Reporte Componentes R1'!Q521+'Rem. Anticipos R2'!P413+'Reversion Pagos R4'!N347-INTERVENTORIA!Q19+'Reporte Componentes R1'!R519+'Reporte Componentes R1'!V519+'Rem. Anticipos R2'!Q413+'Reporte Componentes R1'!R521+'Reporte Componentes R1'!V521+'Reversion Pagos R4'!O347+'Reporte Componentes R1'!T519+'Reporte Componentes R1'!U519+'Reporte Componentes R1'!W519+'Reporte Componentes R1'!X519+'Reporte Componentes R1'!Y519+'Reporte Componentes R1'!Z519+'Reporte Componentes R1'!S519+'Rem. Anticipos R2'!R413+'Reporte Componentes R1'!T521+'Reporte Componentes R1'!U521+'Reporte Componentes R1'!W521+'Reporte Componentes R1'!X521+'Reporte Componentes R1'!Y521+'Reporte Componentes R1'!Z521+'Reporte Componentes R1'!S521+'Reversion Pagos R4'!Q347+'Reversion Pagos R4'!R347+'AJUSTES - SF-T'!AA51+'Reporte Componentes R1'!L519+'Reporte Componentes R1'!L521+'Rem. Anticipos R2'!K413+'Reversion Pagos R4'!P347-'BCE SC POR FACT.'!F7+'Reporte Componentes R1'!F520+'Rem. Anticipos R2'!E414+'Reporte Componentes R1'!F522+'Reversion Pagos R4'!D348+'AJUSTES - SF-T'!AD51+N21=N14</f>
        <v>1</v>
      </c>
    </row>
    <row r="30" spans="2:16" x14ac:dyDescent="0.35">
      <c r="M30" s="648"/>
    </row>
    <row r="31" spans="2:16" x14ac:dyDescent="0.35">
      <c r="I31" s="694"/>
      <c r="J31" s="696"/>
    </row>
    <row r="32" spans="2:16" x14ac:dyDescent="0.35">
      <c r="J32" s="697"/>
    </row>
  </sheetData>
  <conditionalFormatting sqref="D24:H29 J24:L29">
    <cfRule type="cellIs" dxfId="4" priority="2" operator="notEqual">
      <formula>TRUE</formula>
    </cfRule>
  </conditionalFormatting>
  <conditionalFormatting sqref="M24:O28">
    <cfRule type="cellIs" dxfId="3" priority="1" operator="notEqual">
      <formula>TRUE</formula>
    </cfRule>
  </conditionalFormatting>
  <pageMargins left="0.7" right="0.7" top="0.75" bottom="0.75" header="0.3" footer="0.3"/>
  <pageSetup paperSize="9" orientation="portrait" r:id="rId1"/>
  <drawing r:id="rId2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AM125"/>
  <sheetViews>
    <sheetView topLeftCell="A95" zoomScaleNormal="100" workbookViewId="0">
      <selection activeCell="K125" sqref="K125"/>
    </sheetView>
  </sheetViews>
  <sheetFormatPr baseColWidth="10" defaultColWidth="11.453125" defaultRowHeight="11.5" x14ac:dyDescent="0.25"/>
  <cols>
    <col min="1" max="1" width="3" style="1" customWidth="1"/>
    <col min="2" max="2" width="4.453125" style="1" bestFit="1" customWidth="1"/>
    <col min="3" max="3" width="36.7265625" style="1" customWidth="1"/>
    <col min="4" max="4" width="13.7265625" style="1" bestFit="1" customWidth="1"/>
    <col min="5" max="5" width="16" style="1" customWidth="1"/>
    <col min="6" max="7" width="14.7265625" style="1" customWidth="1"/>
    <col min="8" max="8" width="16.26953125" style="1" customWidth="1"/>
    <col min="9" max="9" width="20.26953125" style="1" bestFit="1" customWidth="1"/>
    <col min="10" max="10" width="15.54296875" style="1" customWidth="1"/>
    <col min="11" max="11" width="17.54296875" style="1" customWidth="1"/>
    <col min="12" max="12" width="17" style="1" bestFit="1" customWidth="1"/>
    <col min="13" max="13" width="19.7265625" style="1" customWidth="1"/>
    <col min="14" max="14" width="15.26953125" style="1" customWidth="1"/>
    <col min="15" max="15" width="16.7265625" style="1" customWidth="1"/>
    <col min="16" max="16" width="3.7265625" style="1" customWidth="1"/>
    <col min="17" max="17" width="2.7265625" style="1" customWidth="1"/>
    <col min="18" max="18" width="4.54296875" style="1" customWidth="1"/>
    <col min="19" max="19" width="11.26953125" style="1" customWidth="1"/>
    <col min="20" max="20" width="37.54296875" style="1" bestFit="1" customWidth="1"/>
    <col min="21" max="21" width="19.26953125" style="1" customWidth="1"/>
    <col min="22" max="22" width="17.7265625" style="1" customWidth="1"/>
    <col min="23" max="23" width="16.453125" style="1" customWidth="1"/>
    <col min="24" max="24" width="17.26953125" style="1" customWidth="1"/>
    <col min="25" max="25" width="15.7265625" style="1" customWidth="1"/>
    <col min="26" max="26" width="16" style="1" customWidth="1"/>
    <col min="27" max="27" width="15" style="1" customWidth="1"/>
    <col min="28" max="29" width="16.7265625" style="1" customWidth="1"/>
    <col min="30" max="31" width="15.453125" style="1" customWidth="1"/>
    <col min="32" max="32" width="16.26953125" style="1" customWidth="1"/>
    <col min="33" max="33" width="18.26953125" style="1" customWidth="1"/>
    <col min="34" max="34" width="13.7265625" style="1" customWidth="1"/>
    <col min="35" max="35" width="3.453125" style="1" customWidth="1"/>
    <col min="36" max="36" width="13.7265625" style="1" bestFit="1" customWidth="1"/>
    <col min="37" max="16384" width="11.453125" style="1"/>
  </cols>
  <sheetData>
    <row r="1" spans="2:39" ht="12" thickBot="1" x14ac:dyDescent="0.3">
      <c r="Q1" s="4"/>
      <c r="AI1" s="4"/>
    </row>
    <row r="2" spans="2:39" x14ac:dyDescent="0.25">
      <c r="B2" s="5"/>
      <c r="C2" s="3"/>
      <c r="D2" s="6"/>
      <c r="E2" s="3"/>
      <c r="F2" s="3"/>
      <c r="G2" s="3"/>
      <c r="H2" s="3" t="s">
        <v>1</v>
      </c>
      <c r="I2" s="3"/>
      <c r="J2" s="3"/>
      <c r="K2" s="3"/>
      <c r="L2" s="3"/>
      <c r="M2" s="3"/>
      <c r="N2" s="3"/>
      <c r="O2" s="7"/>
      <c r="P2" s="2"/>
      <c r="Q2" s="4"/>
      <c r="S2" s="5"/>
      <c r="T2" s="3" t="s">
        <v>1</v>
      </c>
      <c r="U2" s="6" t="s">
        <v>1</v>
      </c>
      <c r="V2" s="3"/>
      <c r="W2" s="3"/>
      <c r="X2" s="3" t="s">
        <v>1</v>
      </c>
      <c r="Y2" s="3"/>
      <c r="Z2" s="3"/>
      <c r="AA2" s="3"/>
      <c r="AB2" s="3"/>
      <c r="AC2" s="3"/>
      <c r="AD2" s="3"/>
      <c r="AE2" s="3"/>
      <c r="AF2" s="7"/>
      <c r="AG2" s="2"/>
      <c r="AI2" s="4"/>
    </row>
    <row r="3" spans="2:39" ht="14" x14ac:dyDescent="0.3">
      <c r="B3" s="8"/>
      <c r="F3" s="26" t="s">
        <v>8</v>
      </c>
      <c r="G3" s="26"/>
      <c r="I3" s="26" t="s">
        <v>16</v>
      </c>
      <c r="J3" s="25"/>
      <c r="M3" s="2"/>
      <c r="N3" s="50"/>
      <c r="O3" s="10"/>
      <c r="P3" s="2"/>
      <c r="Q3" s="4"/>
      <c r="S3" s="8"/>
      <c r="U3" s="26" t="s">
        <v>8</v>
      </c>
      <c r="W3" s="26" t="s">
        <v>16</v>
      </c>
      <c r="X3" s="25"/>
      <c r="Y3" s="2"/>
      <c r="AA3" s="2"/>
      <c r="AD3" s="50"/>
      <c r="AE3" s="84"/>
      <c r="AF3" s="48"/>
      <c r="AG3" s="2"/>
      <c r="AI3" s="4"/>
    </row>
    <row r="4" spans="2:39" ht="15.5" x14ac:dyDescent="0.35">
      <c r="B4" s="8"/>
      <c r="F4" s="36" t="s">
        <v>29</v>
      </c>
      <c r="G4" s="36"/>
      <c r="O4" s="10"/>
      <c r="P4" s="2"/>
      <c r="Q4" s="4"/>
      <c r="S4" s="8"/>
      <c r="T4" s="26" t="s">
        <v>1</v>
      </c>
      <c r="U4" s="36" t="s">
        <v>29</v>
      </c>
      <c r="Y4" s="2" t="s">
        <v>1</v>
      </c>
      <c r="AA4" s="50" t="s">
        <v>1</v>
      </c>
      <c r="AB4" s="2"/>
      <c r="AC4" s="2"/>
      <c r="AD4" s="2"/>
      <c r="AE4" s="2"/>
      <c r="AF4" s="10" t="s">
        <v>1</v>
      </c>
      <c r="AG4" s="2"/>
      <c r="AI4" s="4"/>
    </row>
    <row r="5" spans="2:39" ht="14" x14ac:dyDescent="0.3">
      <c r="B5" s="8"/>
      <c r="F5" s="2" t="s">
        <v>30</v>
      </c>
      <c r="G5" s="2"/>
      <c r="M5" s="2" t="s">
        <v>1</v>
      </c>
      <c r="O5" s="10"/>
      <c r="P5" s="2"/>
      <c r="Q5" s="4"/>
      <c r="S5" s="8"/>
      <c r="T5" s="49" t="s">
        <v>1</v>
      </c>
      <c r="U5" s="2" t="s">
        <v>30</v>
      </c>
      <c r="AF5" s="44"/>
      <c r="AG5" s="2"/>
      <c r="AI5" s="4"/>
    </row>
    <row r="6" spans="2:39" ht="15.5" x14ac:dyDescent="0.35">
      <c r="B6" s="8"/>
      <c r="C6" s="2"/>
      <c r="D6" s="9"/>
      <c r="F6" s="474" t="s">
        <v>121</v>
      </c>
      <c r="G6" s="474"/>
      <c r="H6" s="475"/>
      <c r="I6" s="476"/>
      <c r="J6" s="2"/>
      <c r="O6" s="10"/>
      <c r="P6" s="2"/>
      <c r="Q6" s="4"/>
      <c r="S6" s="8"/>
      <c r="T6" s="41" t="s">
        <v>1</v>
      </c>
      <c r="U6" s="41" t="s">
        <v>35</v>
      </c>
      <c r="V6" s="2"/>
      <c r="X6" s="2"/>
      <c r="Y6" s="2"/>
      <c r="AF6" s="48"/>
      <c r="AG6" s="2"/>
      <c r="AI6" s="4"/>
    </row>
    <row r="7" spans="2:39" ht="12" thickBot="1" x14ac:dyDescent="0.3">
      <c r="B7" s="8"/>
      <c r="C7" s="2"/>
      <c r="D7" s="241"/>
      <c r="F7" s="2"/>
      <c r="G7" s="9"/>
      <c r="H7" s="9"/>
      <c r="J7" s="2"/>
      <c r="K7" s="9"/>
      <c r="O7" s="10"/>
      <c r="P7" s="2"/>
      <c r="Q7" s="4"/>
      <c r="S7" s="8"/>
      <c r="V7" s="9"/>
      <c r="Y7" s="9"/>
      <c r="AF7" s="48"/>
      <c r="AG7" s="2"/>
      <c r="AI7" s="4"/>
      <c r="AJ7" s="1" t="s">
        <v>1</v>
      </c>
    </row>
    <row r="8" spans="2:39" ht="72" customHeight="1" thickBot="1" x14ac:dyDescent="0.3">
      <c r="B8" s="11" t="s">
        <v>3</v>
      </c>
      <c r="C8" s="27" t="s">
        <v>9</v>
      </c>
      <c r="D8" s="11" t="s">
        <v>4</v>
      </c>
      <c r="E8" s="12" t="s">
        <v>5</v>
      </c>
      <c r="F8" s="27" t="s">
        <v>6</v>
      </c>
      <c r="G8" s="271" t="s">
        <v>159</v>
      </c>
      <c r="H8" s="27" t="s">
        <v>18</v>
      </c>
      <c r="I8" s="12" t="s">
        <v>24</v>
      </c>
      <c r="J8" s="73" t="s">
        <v>19</v>
      </c>
      <c r="K8" s="29" t="s">
        <v>20</v>
      </c>
      <c r="L8" s="28" t="s">
        <v>21</v>
      </c>
      <c r="M8" s="39" t="s">
        <v>22</v>
      </c>
      <c r="N8" s="12" t="s">
        <v>7</v>
      </c>
      <c r="O8" s="39" t="s">
        <v>23</v>
      </c>
      <c r="P8" s="13"/>
      <c r="Q8" s="4"/>
      <c r="S8" s="11" t="s">
        <v>3</v>
      </c>
      <c r="T8" s="27" t="s">
        <v>9</v>
      </c>
      <c r="U8" s="162" t="s">
        <v>39</v>
      </c>
      <c r="V8" s="163" t="s">
        <v>40</v>
      </c>
      <c r="W8" s="163" t="s">
        <v>41</v>
      </c>
      <c r="X8" s="163" t="s">
        <v>42</v>
      </c>
      <c r="Y8" s="164" t="s">
        <v>43</v>
      </c>
      <c r="Z8" s="85" t="s">
        <v>21</v>
      </c>
      <c r="AA8" s="65" t="s">
        <v>46</v>
      </c>
      <c r="AB8" s="65" t="s">
        <v>7</v>
      </c>
      <c r="AC8" s="85" t="s">
        <v>167</v>
      </c>
      <c r="AD8" s="121" t="s">
        <v>105</v>
      </c>
      <c r="AE8" s="121" t="s">
        <v>104</v>
      </c>
      <c r="AF8" s="39" t="s">
        <v>23</v>
      </c>
      <c r="AG8" s="276"/>
      <c r="AI8" s="4"/>
    </row>
    <row r="9" spans="2:39" s="308" customFormat="1" x14ac:dyDescent="0.25">
      <c r="B9" s="306">
        <v>1</v>
      </c>
      <c r="C9" s="307" t="s">
        <v>10</v>
      </c>
      <c r="D9" s="294">
        <f>'CONSOLIDADO_TOTAL RECAUDO'!D104</f>
        <v>16758167584.6</v>
      </c>
      <c r="E9" s="295">
        <f>'CONSOLIDADO_TOTAL RECAUDO'!E104</f>
        <v>988160721.55999982</v>
      </c>
      <c r="F9" s="295">
        <f>'CONSOLIDADO_TOTAL RECAUDO'!F104</f>
        <v>555411897.57000005</v>
      </c>
      <c r="G9" s="295">
        <f>'CONSOLIDADO_TOTAL RECAUDO'!G104</f>
        <v>292236839.79999995</v>
      </c>
      <c r="H9" s="295">
        <f>'CONSOLIDADO_TOTAL RECAUDO'!H104</f>
        <v>4880357965.2200003</v>
      </c>
      <c r="I9" s="295">
        <f>'CONSOLIDADO_TOTAL RECAUDO'!I104</f>
        <v>169199343.41999999</v>
      </c>
      <c r="J9" s="291">
        <f>'CONSOLIDADO_TOTAL RECAUDO'!J104</f>
        <v>2032363678.8399997</v>
      </c>
      <c r="K9" s="296">
        <f>'CONSOLIDADO_TOTAL RECAUDO'!K104</f>
        <v>7840437138.1900005</v>
      </c>
      <c r="L9" s="297">
        <f>'CONSOLIDADO_TOTAL RECAUDO'!L104</f>
        <v>189185987</v>
      </c>
      <c r="M9" s="296">
        <f>'CONSOLIDADO_TOTAL RECAUDO'!M104</f>
        <v>7651251151.1900005</v>
      </c>
      <c r="N9" s="297">
        <f>'CONSOLIDADO_TOTAL RECAUDO'!N104</f>
        <v>18251000.939999998</v>
      </c>
      <c r="O9" s="296">
        <f>'CONSOLIDADO_TOTAL RECAUDO'!O104</f>
        <v>7669502152.1300001</v>
      </c>
      <c r="Q9" s="309"/>
      <c r="S9" s="306">
        <v>1</v>
      </c>
      <c r="T9" s="307" t="s">
        <v>10</v>
      </c>
      <c r="U9" s="310">
        <f>'CONSOLIDADO_TOTAL RECAUDO'!U104</f>
        <v>1487625255.76</v>
      </c>
      <c r="V9" s="311">
        <f>'CONSOLIDADO_TOTAL RECAUDO'!V104</f>
        <v>1438826389.73</v>
      </c>
      <c r="W9" s="311">
        <f>'CONSOLIDADO_TOTAL RECAUDO'!W104</f>
        <v>6807621660.1599998</v>
      </c>
      <c r="X9" s="311">
        <f>'CONSOLIDADO_TOTAL RECAUDO'!X104</f>
        <v>2690145852.9800005</v>
      </c>
      <c r="Y9" s="312">
        <f>'CONSOLIDADO_TOTAL RECAUDO'!Y104</f>
        <v>276081628.58999997</v>
      </c>
      <c r="Z9" s="313">
        <f>'CONSOLIDADO_TOTAL RECAUDO'!Z104</f>
        <v>-189185987</v>
      </c>
      <c r="AA9" s="314">
        <f>'CONSOLIDADO_TOTAL RECAUDO'!AA104</f>
        <v>40996.930000000008</v>
      </c>
      <c r="AB9" s="297">
        <f>'CONSOLIDADO_TOTAL RECAUDO'!AB104</f>
        <v>18251000.939999998</v>
      </c>
      <c r="AC9" s="314">
        <f>'CONSOLIDADO_TOTAL RECAUDO'!AC104</f>
        <v>279.27</v>
      </c>
      <c r="AD9" s="294">
        <f>'CONSOLIDADO_TOTAL RECAUDO'!AD104</f>
        <v>-4859904925.2299995</v>
      </c>
      <c r="AE9" s="294">
        <f>'CONSOLIDADO_TOTAL RECAUDO'!AE104</f>
        <v>-2827541246.3899999</v>
      </c>
      <c r="AF9" s="316">
        <f>'CONSOLIDADO_TOTAL RECAUDO'!AF104</f>
        <v>7669502152.130003</v>
      </c>
      <c r="AG9" s="524">
        <f>'CONSOLIDADO_TOTAL RECAUDO'!AG104</f>
        <v>0</v>
      </c>
      <c r="AH9" s="1" t="s">
        <v>1</v>
      </c>
      <c r="AI9" s="309"/>
      <c r="AM9" s="336"/>
    </row>
    <row r="10" spans="2:39" s="308" customFormat="1" x14ac:dyDescent="0.25">
      <c r="B10" s="317">
        <v>2</v>
      </c>
      <c r="C10" s="318" t="s">
        <v>11</v>
      </c>
      <c r="D10" s="294">
        <f>'CONSOLIDADO_TOTAL RECAUDO'!D105</f>
        <v>12227292052.730001</v>
      </c>
      <c r="E10" s="295">
        <f>'CONSOLIDADO_TOTAL RECAUDO'!E105</f>
        <v>1022509821.0499998</v>
      </c>
      <c r="F10" s="295">
        <f>'CONSOLIDADO_TOTAL RECAUDO'!F105</f>
        <v>566681379.41999996</v>
      </c>
      <c r="G10" s="295">
        <f>'CONSOLIDADO_TOTAL RECAUDO'!G105</f>
        <v>294336272.56</v>
      </c>
      <c r="H10" s="295">
        <f>'CONSOLIDADO_TOTAL RECAUDO'!H105</f>
        <v>3920443030.5299997</v>
      </c>
      <c r="I10" s="295">
        <f>'CONSOLIDADO_TOTAL RECAUDO'!I105</f>
        <v>148791798.07000002</v>
      </c>
      <c r="J10" s="291">
        <f>'CONSOLIDADO_TOTAL RECAUDO'!J105</f>
        <v>-5011515653.5899992</v>
      </c>
      <c r="K10" s="298">
        <f>'CONSOLIDADO_TOTAL RECAUDO'!K105</f>
        <v>11286045404.690002</v>
      </c>
      <c r="L10" s="297">
        <f>'CONSOLIDADO_TOTAL RECAUDO'!L105</f>
        <v>266580255</v>
      </c>
      <c r="M10" s="298">
        <f>'CONSOLIDADO_TOTAL RECAUDO'!M105</f>
        <v>11019465149.690002</v>
      </c>
      <c r="N10" s="297">
        <f>'CONSOLIDADO_TOTAL RECAUDO'!N105</f>
        <v>31737181.809999999</v>
      </c>
      <c r="O10" s="298">
        <f>'CONSOLIDADO_TOTAL RECAUDO'!O105</f>
        <v>11051202331.500002</v>
      </c>
      <c r="Q10" s="309"/>
      <c r="S10" s="317">
        <v>2</v>
      </c>
      <c r="T10" s="318" t="s">
        <v>11</v>
      </c>
      <c r="U10" s="319">
        <f>'CONSOLIDADO_TOTAL RECAUDO'!U105</f>
        <v>1309435017.3799999</v>
      </c>
      <c r="V10" s="320">
        <f>'CONSOLIDADO_TOTAL RECAUDO'!V105</f>
        <v>1311565791.7399998</v>
      </c>
      <c r="W10" s="320">
        <f>'CONSOLIDADO_TOTAL RECAUDO'!W105</f>
        <v>6106223771.8200006</v>
      </c>
      <c r="X10" s="320">
        <f>'CONSOLIDADO_TOTAL RECAUDO'!X105</f>
        <v>1997333516.72</v>
      </c>
      <c r="Y10" s="321">
        <f>'CONSOLIDADO_TOTAL RECAUDO'!Y105</f>
        <v>243030438.47999999</v>
      </c>
      <c r="Z10" s="322">
        <f>'CONSOLIDADO_TOTAL RECAUDO'!Z105</f>
        <v>-266580255</v>
      </c>
      <c r="AA10" s="323">
        <f>'CONSOLIDADO_TOTAL RECAUDO'!AA105</f>
        <v>-15758.28</v>
      </c>
      <c r="AB10" s="297">
        <f>'CONSOLIDADO_TOTAL RECAUDO'!AB105</f>
        <v>31737181.809999999</v>
      </c>
      <c r="AC10" s="323">
        <f>'CONSOLIDADO_TOTAL RECAUDO'!AC105</f>
        <v>-108.84</v>
      </c>
      <c r="AD10" s="294">
        <f>'CONSOLIDADO_TOTAL RECAUDO'!AD105</f>
        <v>318472735.66999912</v>
      </c>
      <c r="AE10" s="294">
        <f>'CONSOLIDADO_TOTAL RECAUDO'!AE105</f>
        <v>-4693042917.9200001</v>
      </c>
      <c r="AF10" s="325">
        <f>'CONSOLIDADO_TOTAL RECAUDO'!AF105</f>
        <v>11051202331.499996</v>
      </c>
      <c r="AG10" s="525">
        <f>'CONSOLIDADO_TOTAL RECAUDO'!AG105</f>
        <v>0</v>
      </c>
      <c r="AH10" s="1" t="s">
        <v>1</v>
      </c>
      <c r="AI10" s="309"/>
      <c r="AM10" s="336"/>
    </row>
    <row r="11" spans="2:39" s="308" customFormat="1" x14ac:dyDescent="0.25">
      <c r="B11" s="317">
        <v>3</v>
      </c>
      <c r="C11" s="318" t="s">
        <v>12</v>
      </c>
      <c r="D11" s="294">
        <f>'CONSOLIDADO_TOTAL RECAUDO'!D106</f>
        <v>10127195598.750002</v>
      </c>
      <c r="E11" s="295">
        <f>'CONSOLIDADO_TOTAL RECAUDO'!E106</f>
        <v>683351448.84000015</v>
      </c>
      <c r="F11" s="295">
        <f>'CONSOLIDADO_TOTAL RECAUDO'!F106</f>
        <v>385271019.53000009</v>
      </c>
      <c r="G11" s="295">
        <f>'CONSOLIDADO_TOTAL RECAUDO'!G106</f>
        <v>202303825.59</v>
      </c>
      <c r="H11" s="295">
        <f>'CONSOLIDADO_TOTAL RECAUDO'!H106</f>
        <v>2648824914.9899998</v>
      </c>
      <c r="I11" s="295">
        <f>'CONSOLIDADO_TOTAL RECAUDO'!I106</f>
        <v>99138796.160000011</v>
      </c>
      <c r="J11" s="291">
        <f>'CONSOLIDADO_TOTAL RECAUDO'!J106</f>
        <v>-1196822411.3100002</v>
      </c>
      <c r="K11" s="298">
        <f>'CONSOLIDADO_TOTAL RECAUDO'!K106</f>
        <v>7305128004.9500017</v>
      </c>
      <c r="L11" s="297">
        <f>'CONSOLIDADO_TOTAL RECAUDO'!L106</f>
        <v>154788535</v>
      </c>
      <c r="M11" s="298">
        <f>'CONSOLIDADO_TOTAL RECAUDO'!M106</f>
        <v>7150339469.9500017</v>
      </c>
      <c r="N11" s="297">
        <f>'CONSOLIDADO_TOTAL RECAUDO'!N106</f>
        <v>32320230.18</v>
      </c>
      <c r="O11" s="298">
        <f>'CONSOLIDADO_TOTAL RECAUDO'!O106</f>
        <v>7182659700.130002</v>
      </c>
      <c r="Q11" s="309"/>
      <c r="S11" s="317">
        <v>3</v>
      </c>
      <c r="T11" s="318" t="s">
        <v>12</v>
      </c>
      <c r="U11" s="319">
        <f>'CONSOLIDADO_TOTAL RECAUDO'!U106</f>
        <v>870759491.20000005</v>
      </c>
      <c r="V11" s="320">
        <f>'CONSOLIDADO_TOTAL RECAUDO'!V106</f>
        <v>854526399.6099999</v>
      </c>
      <c r="W11" s="320">
        <f>'CONSOLIDADO_TOTAL RECAUDO'!W106</f>
        <v>4040692001.8099999</v>
      </c>
      <c r="X11" s="320">
        <f>'CONSOLIDADO_TOTAL RECAUDO'!X106</f>
        <v>1586798974.2700002</v>
      </c>
      <c r="Y11" s="321">
        <f>'CONSOLIDADO_TOTAL RECAUDO'!Y106</f>
        <v>161842788.88999999</v>
      </c>
      <c r="Z11" s="322">
        <f>'CONSOLIDADO_TOTAL RECAUDO'!Z106</f>
        <v>-154788535</v>
      </c>
      <c r="AA11" s="323">
        <f>'CONSOLIDADO_TOTAL RECAUDO'!AA106</f>
        <v>80568.780000000013</v>
      </c>
      <c r="AB11" s="297">
        <f>'CONSOLIDADO_TOTAL RECAUDO'!AB106</f>
        <v>32320230.18</v>
      </c>
      <c r="AC11" s="323">
        <f>'CONSOLIDADO_TOTAL RECAUDO'!AC106</f>
        <v>2.67</v>
      </c>
      <c r="AD11" s="294">
        <f>'CONSOLIDADO_TOTAL RECAUDO'!AD106</f>
        <v>-209572222.27999997</v>
      </c>
      <c r="AE11" s="294">
        <f>'CONSOLIDADO_TOTAL RECAUDO'!AE106</f>
        <v>-1406394633.5900002</v>
      </c>
      <c r="AF11" s="325">
        <f>'CONSOLIDADO_TOTAL RECAUDO'!AF106</f>
        <v>7182659700.1300011</v>
      </c>
      <c r="AG11" s="525">
        <f>'CONSOLIDADO_TOTAL RECAUDO'!AG106</f>
        <v>0</v>
      </c>
      <c r="AH11" s="1" t="s">
        <v>1</v>
      </c>
      <c r="AI11" s="309"/>
      <c r="AM11" s="336"/>
    </row>
    <row r="12" spans="2:39" s="308" customFormat="1" x14ac:dyDescent="0.25">
      <c r="B12" s="317">
        <v>4</v>
      </c>
      <c r="C12" s="318" t="s">
        <v>13</v>
      </c>
      <c r="D12" s="294">
        <f>'CONSOLIDADO_TOTAL RECAUDO'!D107</f>
        <v>10553776375.590002</v>
      </c>
      <c r="E12" s="295">
        <f>'CONSOLIDADO_TOTAL RECAUDO'!E107</f>
        <v>641608152.66000009</v>
      </c>
      <c r="F12" s="295">
        <f>'CONSOLIDADO_TOTAL RECAUDO'!F107</f>
        <v>359218634.58999997</v>
      </c>
      <c r="G12" s="295">
        <f>'CONSOLIDADO_TOTAL RECAUDO'!G107</f>
        <v>188422220.86000001</v>
      </c>
      <c r="H12" s="295">
        <f>'CONSOLIDADO_TOTAL RECAUDO'!H107</f>
        <v>2357497428.0400004</v>
      </c>
      <c r="I12" s="295">
        <f>'CONSOLIDADO_TOTAL RECAUDO'!I107</f>
        <v>91014665.030000001</v>
      </c>
      <c r="J12" s="291">
        <f>'CONSOLIDADO_TOTAL RECAUDO'!J107</f>
        <v>35955816.039999962</v>
      </c>
      <c r="K12" s="298">
        <f>'CONSOLIDADO_TOTAL RECAUDO'!K107</f>
        <v>6880059458.3700008</v>
      </c>
      <c r="L12" s="297">
        <f>'CONSOLIDADO_TOTAL RECAUDO'!L107</f>
        <v>120391083</v>
      </c>
      <c r="M12" s="298">
        <f>'CONSOLIDADO_TOTAL RECAUDO'!M107</f>
        <v>6759668375.3700008</v>
      </c>
      <c r="N12" s="297">
        <f>'CONSOLIDADO_TOTAL RECAUDO'!N107</f>
        <v>22968513.57</v>
      </c>
      <c r="O12" s="298">
        <f>'CONSOLIDADO_TOTAL RECAUDO'!O107</f>
        <v>6782636888.9400005</v>
      </c>
      <c r="Q12" s="309"/>
      <c r="S12" s="317">
        <v>4</v>
      </c>
      <c r="T12" s="318" t="s">
        <v>13</v>
      </c>
      <c r="U12" s="319">
        <f>'CONSOLIDADO_TOTAL RECAUDO'!U107</f>
        <v>797893067.47000003</v>
      </c>
      <c r="V12" s="320">
        <f>'CONSOLIDADO_TOTAL RECAUDO'!V107</f>
        <v>788665130.21000004</v>
      </c>
      <c r="W12" s="320">
        <f>'CONSOLIDADO_TOTAL RECAUDO'!W107</f>
        <v>4058126441.7899995</v>
      </c>
      <c r="X12" s="320">
        <f>'CONSOLIDADO_TOTAL RECAUDO'!X107</f>
        <v>1696956588.3999999</v>
      </c>
      <c r="Y12" s="321">
        <f>'CONSOLIDADO_TOTAL RECAUDO'!Y107</f>
        <v>148960039.34000003</v>
      </c>
      <c r="Z12" s="322">
        <f>'CONSOLIDADO_TOTAL RECAUDO'!Z107</f>
        <v>-120391083</v>
      </c>
      <c r="AA12" s="323">
        <f>'CONSOLIDADO_TOTAL RECAUDO'!AA107</f>
        <v>-160388.64000000001</v>
      </c>
      <c r="AB12" s="297">
        <f>'CONSOLIDADO_TOTAL RECAUDO'!AB107</f>
        <v>22968513.57</v>
      </c>
      <c r="AC12" s="323">
        <f>'CONSOLIDADO_TOTAL RECAUDO'!AC107</f>
        <v>-48.830000000000005</v>
      </c>
      <c r="AD12" s="294">
        <f>'CONSOLIDADO_TOTAL RECAUDO'!AD107</f>
        <v>-610381371.36999989</v>
      </c>
      <c r="AE12" s="294">
        <f>'CONSOLIDADO_TOTAL RECAUDO'!AE107</f>
        <v>-574425555.32999992</v>
      </c>
      <c r="AF12" s="325">
        <f>'CONSOLIDADO_TOTAL RECAUDO'!AF107</f>
        <v>6782636888.9399986</v>
      </c>
      <c r="AG12" s="525">
        <f>'CONSOLIDADO_TOTAL RECAUDO'!AG107</f>
        <v>0</v>
      </c>
      <c r="AH12" s="1" t="s">
        <v>1</v>
      </c>
      <c r="AI12" s="309"/>
      <c r="AM12" s="336"/>
    </row>
    <row r="13" spans="2:39" s="308" customFormat="1" ht="12" thickBot="1" x14ac:dyDescent="0.3">
      <c r="B13" s="327">
        <v>5</v>
      </c>
      <c r="C13" s="328" t="s">
        <v>14</v>
      </c>
      <c r="D13" s="299">
        <f>'CONSOLIDADO_TOTAL RECAUDO'!D108</f>
        <v>8543663208.8299999</v>
      </c>
      <c r="E13" s="300">
        <f>'CONSOLIDADO_TOTAL RECAUDO'!E108</f>
        <v>498629121.49000001</v>
      </c>
      <c r="F13" s="300">
        <f>'CONSOLIDADO_TOTAL RECAUDO'!F108</f>
        <v>280164623.65000004</v>
      </c>
      <c r="G13" s="300">
        <f>'CONSOLIDADO_TOTAL RECAUDO'!G108</f>
        <v>144388148.44999999</v>
      </c>
      <c r="H13" s="300">
        <f>'CONSOLIDADO_TOTAL RECAUDO'!H108</f>
        <v>1825147100.73</v>
      </c>
      <c r="I13" s="300">
        <f>'CONSOLIDADO_TOTAL RECAUDO'!I108</f>
        <v>70674343.479999989</v>
      </c>
      <c r="J13" s="292">
        <f>'CONSOLIDADO_TOTAL RECAUDO'!J108</f>
        <v>-1210425628.3100002</v>
      </c>
      <c r="K13" s="298">
        <f>'CONSOLIDADO_TOTAL RECAUDO'!K108</f>
        <v>6935085499.3400011</v>
      </c>
      <c r="L13" s="297">
        <f>'CONSOLIDADO_TOTAL RECAUDO'!L108</f>
        <v>128990445</v>
      </c>
      <c r="M13" s="301">
        <f>'CONSOLIDADO_TOTAL RECAUDO'!M108</f>
        <v>6806095054.3400011</v>
      </c>
      <c r="N13" s="302">
        <f>'CONSOLIDADO_TOTAL RECAUDO'!N108</f>
        <v>27242693.629999999</v>
      </c>
      <c r="O13" s="301">
        <f>'CONSOLIDADO_TOTAL RECAUDO'!O108</f>
        <v>6833337747.9700012</v>
      </c>
      <c r="Q13" s="309"/>
      <c r="S13" s="327">
        <v>5</v>
      </c>
      <c r="T13" s="328" t="s">
        <v>14</v>
      </c>
      <c r="U13" s="299">
        <f>'CONSOLIDADO_TOTAL RECAUDO'!U108</f>
        <v>621050088.80999994</v>
      </c>
      <c r="V13" s="300">
        <f>'CONSOLIDADO_TOTAL RECAUDO'!V108</f>
        <v>606049441.98000002</v>
      </c>
      <c r="W13" s="300">
        <f>'CONSOLIDADO_TOTAL RECAUDO'!W108</f>
        <v>3118159750.7200003</v>
      </c>
      <c r="X13" s="300">
        <f>'CONSOLIDADO_TOTAL RECAUDO'!X108</f>
        <v>1451607785.6600001</v>
      </c>
      <c r="Y13" s="292">
        <f>'CONSOLIDADO_TOTAL RECAUDO'!Y108</f>
        <v>115299099.08000001</v>
      </c>
      <c r="Z13" s="322">
        <f>'CONSOLIDADO_TOTAL RECAUDO'!Z108</f>
        <v>-128990445</v>
      </c>
      <c r="AA13" s="323">
        <f>'CONSOLIDADO_TOTAL RECAUDO'!AA108</f>
        <v>-78703.73</v>
      </c>
      <c r="AB13" s="297">
        <f>'CONSOLIDADO_TOTAL RECAUDO'!AB108</f>
        <v>27242693.629999999</v>
      </c>
      <c r="AC13" s="323">
        <f>'CONSOLIDADO_TOTAL RECAUDO'!AC108</f>
        <v>-103.69</v>
      </c>
      <c r="AD13" s="294">
        <f>'CONSOLIDADO_TOTAL RECAUDO'!AD108</f>
        <v>1022998140.5100002</v>
      </c>
      <c r="AE13" s="294">
        <f>'CONSOLIDADO_TOTAL RECAUDO'!AE108</f>
        <v>-187427487.79999998</v>
      </c>
      <c r="AF13" s="325">
        <f>'CONSOLIDADO_TOTAL RECAUDO'!AF108</f>
        <v>6833337747.9700012</v>
      </c>
      <c r="AG13" s="526">
        <f>'CONSOLIDADO_TOTAL RECAUDO'!AG108</f>
        <v>0</v>
      </c>
      <c r="AH13" s="1" t="s">
        <v>1</v>
      </c>
      <c r="AI13" s="309"/>
      <c r="AM13" s="336"/>
    </row>
    <row r="14" spans="2:39" s="308" customFormat="1" ht="13.5" thickBot="1" x14ac:dyDescent="0.35">
      <c r="B14" s="330"/>
      <c r="C14" s="331" t="s">
        <v>2</v>
      </c>
      <c r="D14" s="293">
        <f>'CONSOLIDADO_TOTAL RECAUDO'!D109</f>
        <v>58210094820.500008</v>
      </c>
      <c r="E14" s="293">
        <f>'CONSOLIDADO_TOTAL RECAUDO'!E109</f>
        <v>3834259265.5999994</v>
      </c>
      <c r="F14" s="293">
        <f>'CONSOLIDADO_TOTAL RECAUDO'!F109</f>
        <v>2146747554.76</v>
      </c>
      <c r="G14" s="293">
        <f>'CONSOLIDADO_TOTAL RECAUDO'!G109</f>
        <v>1121687307.26</v>
      </c>
      <c r="H14" s="293">
        <f>'CONSOLIDADO_TOTAL RECAUDO'!H109</f>
        <v>15632270439.51</v>
      </c>
      <c r="I14" s="293">
        <f>'CONSOLIDADO_TOTAL RECAUDO'!I109</f>
        <v>578818946.16000009</v>
      </c>
      <c r="J14" s="293">
        <f>'CONSOLIDADO_TOTAL RECAUDO'!J109</f>
        <v>-5350444198.3299999</v>
      </c>
      <c r="K14" s="303">
        <f>'CONSOLIDADO_TOTAL RECAUDO'!K109</f>
        <v>40246755505.540009</v>
      </c>
      <c r="L14" s="304">
        <f>'CONSOLIDADO_TOTAL RECAUDO'!L109</f>
        <v>859936305</v>
      </c>
      <c r="M14" s="305">
        <f>'CONSOLIDADO_TOTAL RECAUDO'!M109</f>
        <v>39386819200.540009</v>
      </c>
      <c r="N14" s="304">
        <f>'CONSOLIDADO_TOTAL RECAUDO'!N109</f>
        <v>132519620.13</v>
      </c>
      <c r="O14" s="305">
        <f>'CONSOLIDADO_TOTAL RECAUDO'!O109</f>
        <v>39519338820.670006</v>
      </c>
      <c r="P14" s="332"/>
      <c r="Q14" s="309"/>
      <c r="S14" s="330"/>
      <c r="T14" s="331" t="s">
        <v>2</v>
      </c>
      <c r="U14" s="333">
        <f>'CONSOLIDADO_TOTAL RECAUDO'!U109</f>
        <v>5086762920.6200008</v>
      </c>
      <c r="V14" s="333">
        <f>'CONSOLIDADO_TOTAL RECAUDO'!V109</f>
        <v>4999633153.2700005</v>
      </c>
      <c r="W14" s="333">
        <f>'CONSOLIDADO_TOTAL RECAUDO'!W109</f>
        <v>24130823626.299999</v>
      </c>
      <c r="X14" s="333">
        <f>'CONSOLIDADO_TOTAL RECAUDO'!X109</f>
        <v>9422842718.0300007</v>
      </c>
      <c r="Y14" s="333">
        <f>'CONSOLIDADO_TOTAL RECAUDO'!Y109</f>
        <v>945213994.38</v>
      </c>
      <c r="Z14" s="293">
        <f>'CONSOLIDADO_TOTAL RECAUDO'!Z109</f>
        <v>-859936305</v>
      </c>
      <c r="AA14" s="293">
        <f>'CONSOLIDADO_TOTAL RECAUDO'!AA109</f>
        <v>-133284.94</v>
      </c>
      <c r="AB14" s="293">
        <f>'CONSOLIDADO_TOTAL RECAUDO'!AB109</f>
        <v>132519620.13</v>
      </c>
      <c r="AC14" s="293">
        <f>'CONSOLIDADO_TOTAL RECAUDO'!AC109</f>
        <v>20.579999999999956</v>
      </c>
      <c r="AD14" s="293">
        <f>'CONSOLIDADO_TOTAL RECAUDO'!AD109</f>
        <v>-4338387642.6999998</v>
      </c>
      <c r="AE14" s="293">
        <f>'CONSOLIDADO_TOTAL RECAUDO'!AE109</f>
        <v>-9688831841.0299988</v>
      </c>
      <c r="AF14" s="334">
        <f>'CONSOLIDADO_TOTAL RECAUDO'!AF109</f>
        <v>39519338820.669998</v>
      </c>
      <c r="AG14" s="527">
        <f>'CONSOLIDADO_TOTAL RECAUDO'!AG109</f>
        <v>0</v>
      </c>
      <c r="AH14" s="1" t="s">
        <v>1</v>
      </c>
      <c r="AI14" s="309"/>
      <c r="AM14" s="336"/>
    </row>
    <row r="15" spans="2:39" x14ac:dyDescent="0.25">
      <c r="B15" s="2"/>
      <c r="C15" s="2"/>
      <c r="D15" s="451"/>
      <c r="E15" s="451"/>
      <c r="F15" s="451"/>
      <c r="G15" s="451"/>
      <c r="H15" s="451"/>
      <c r="I15" s="451"/>
      <c r="K15" s="451"/>
      <c r="L15" s="451"/>
      <c r="M15" s="451"/>
      <c r="N15" s="451"/>
      <c r="O15" s="451"/>
      <c r="Q15" s="4"/>
      <c r="S15" s="2"/>
      <c r="T15" s="2"/>
      <c r="U15" s="451"/>
      <c r="V15" s="451"/>
      <c r="W15" s="451"/>
      <c r="X15" s="451"/>
      <c r="Y15" s="451"/>
      <c r="AF15" s="451"/>
      <c r="AH15" s="1" t="s">
        <v>1</v>
      </c>
      <c r="AI15" s="4"/>
    </row>
    <row r="16" spans="2:39" x14ac:dyDescent="0.25">
      <c r="B16" s="2"/>
      <c r="C16" s="2" t="s">
        <v>1</v>
      </c>
      <c r="D16" s="542"/>
      <c r="E16" s="542"/>
      <c r="F16" s="542"/>
      <c r="G16" s="542"/>
      <c r="H16" s="542"/>
      <c r="I16" s="542"/>
      <c r="K16" s="542"/>
      <c r="L16" s="542"/>
      <c r="M16" s="542"/>
      <c r="N16" s="542"/>
      <c r="O16" s="542"/>
      <c r="Q16" s="4"/>
      <c r="T16" s="1" t="s">
        <v>1</v>
      </c>
      <c r="U16" s="1" t="s">
        <v>1</v>
      </c>
      <c r="V16" s="1" t="s">
        <v>1</v>
      </c>
      <c r="W16" s="1" t="s">
        <v>1</v>
      </c>
      <c r="X16" s="1" t="s">
        <v>1</v>
      </c>
      <c r="Y16" s="1" t="s">
        <v>1</v>
      </c>
      <c r="Z16" s="1" t="s">
        <v>1</v>
      </c>
      <c r="AA16" s="1" t="s">
        <v>1</v>
      </c>
      <c r="AB16" s="1" t="s">
        <v>1</v>
      </c>
      <c r="AC16" s="1" t="s">
        <v>1</v>
      </c>
      <c r="AD16" s="1" t="s">
        <v>1</v>
      </c>
      <c r="AE16" s="1" t="s">
        <v>1</v>
      </c>
      <c r="AF16" s="1" t="s">
        <v>1</v>
      </c>
      <c r="AG16" s="1" t="s">
        <v>1</v>
      </c>
      <c r="AH16" s="1" t="s">
        <v>1</v>
      </c>
      <c r="AI16" s="4"/>
    </row>
    <row r="17" spans="1:39" x14ac:dyDescent="0.25">
      <c r="A17" s="4"/>
      <c r="B17" s="34"/>
      <c r="C17" s="34"/>
      <c r="D17" s="477"/>
      <c r="E17" s="477"/>
      <c r="F17" s="477"/>
      <c r="G17" s="477"/>
      <c r="H17" s="477"/>
      <c r="I17" s="477"/>
      <c r="J17" s="4"/>
      <c r="K17" s="477"/>
      <c r="L17" s="477"/>
      <c r="M17" s="477"/>
      <c r="N17" s="477"/>
      <c r="O17" s="477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</row>
    <row r="18" spans="1:39" ht="12" thickBot="1" x14ac:dyDescent="0.3">
      <c r="Q18" s="4"/>
      <c r="AI18" s="4"/>
    </row>
    <row r="19" spans="1:39" x14ac:dyDescent="0.25">
      <c r="B19" s="5"/>
      <c r="C19" s="3" t="s">
        <v>1</v>
      </c>
      <c r="D19" s="6" t="s">
        <v>1</v>
      </c>
      <c r="E19" s="3"/>
      <c r="F19" s="3"/>
      <c r="G19" s="3"/>
      <c r="H19" s="3" t="s">
        <v>1</v>
      </c>
      <c r="I19" s="3"/>
      <c r="J19" s="3"/>
      <c r="K19" s="3"/>
      <c r="L19" s="3"/>
      <c r="M19" s="3"/>
      <c r="N19" s="3"/>
      <c r="O19" s="7"/>
      <c r="P19" s="2"/>
      <c r="Q19" s="4"/>
      <c r="S19" s="5"/>
      <c r="T19" s="3" t="s">
        <v>1</v>
      </c>
      <c r="U19" s="6" t="s">
        <v>1</v>
      </c>
      <c r="V19" s="3"/>
      <c r="W19" s="3"/>
      <c r="X19" s="3" t="s">
        <v>1</v>
      </c>
      <c r="Y19" s="3"/>
      <c r="Z19" s="3"/>
      <c r="AA19" s="3"/>
      <c r="AB19" s="3"/>
      <c r="AC19" s="3"/>
      <c r="AD19" s="3"/>
      <c r="AE19" s="3"/>
      <c r="AF19" s="7"/>
      <c r="AG19" s="2"/>
      <c r="AI19" s="4"/>
    </row>
    <row r="20" spans="1:39" ht="14" x14ac:dyDescent="0.3">
      <c r="B20" s="8"/>
      <c r="F20" s="26" t="s">
        <v>8</v>
      </c>
      <c r="G20" s="26"/>
      <c r="I20" s="26" t="s">
        <v>16</v>
      </c>
      <c r="J20" s="25"/>
      <c r="M20" s="2"/>
      <c r="N20" s="50"/>
      <c r="O20" s="10"/>
      <c r="P20" s="2"/>
      <c r="Q20" s="4"/>
      <c r="S20" s="8"/>
      <c r="U20" s="26" t="s">
        <v>8</v>
      </c>
      <c r="W20" s="26" t="s">
        <v>16</v>
      </c>
      <c r="X20" s="25"/>
      <c r="Y20" s="2"/>
      <c r="AA20" s="2"/>
      <c r="AD20" s="50"/>
      <c r="AE20" s="84"/>
      <c r="AF20" s="48"/>
      <c r="AG20" s="2"/>
      <c r="AI20" s="4"/>
    </row>
    <row r="21" spans="1:39" ht="15.5" x14ac:dyDescent="0.35">
      <c r="B21" s="8"/>
      <c r="F21" s="36" t="s">
        <v>29</v>
      </c>
      <c r="G21" s="36"/>
      <c r="O21" s="10"/>
      <c r="P21" s="2"/>
      <c r="Q21" s="4"/>
      <c r="S21" s="8"/>
      <c r="T21" s="26" t="s">
        <v>1</v>
      </c>
      <c r="U21" s="36" t="s">
        <v>29</v>
      </c>
      <c r="Y21" s="2" t="s">
        <v>1</v>
      </c>
      <c r="AA21" s="50"/>
      <c r="AB21" s="2"/>
      <c r="AC21" s="2"/>
      <c r="AD21" s="2"/>
      <c r="AE21" s="2"/>
      <c r="AF21" s="10" t="s">
        <v>1</v>
      </c>
      <c r="AG21" s="2"/>
      <c r="AI21" s="4"/>
    </row>
    <row r="22" spans="1:39" ht="14" x14ac:dyDescent="0.3">
      <c r="B22" s="8"/>
      <c r="F22" s="2" t="s">
        <v>30</v>
      </c>
      <c r="G22" s="2"/>
      <c r="M22" s="2" t="s">
        <v>1</v>
      </c>
      <c r="O22" s="10"/>
      <c r="P22" s="2"/>
      <c r="Q22" s="4"/>
      <c r="S22" s="8"/>
      <c r="T22" s="49" t="s">
        <v>1</v>
      </c>
      <c r="U22" s="2" t="s">
        <v>30</v>
      </c>
      <c r="AF22" s="44"/>
      <c r="AG22" s="2"/>
      <c r="AI22" s="4"/>
    </row>
    <row r="23" spans="1:39" ht="15.5" x14ac:dyDescent="0.35">
      <c r="B23" s="8"/>
      <c r="C23" s="2"/>
      <c r="D23" s="9"/>
      <c r="F23" s="478" t="s">
        <v>186</v>
      </c>
      <c r="G23" s="478"/>
      <c r="H23" s="34"/>
      <c r="I23" s="4"/>
      <c r="J23" s="34"/>
      <c r="O23" s="10"/>
      <c r="P23" s="2"/>
      <c r="Q23" s="4"/>
      <c r="S23" s="8"/>
      <c r="T23" s="41" t="s">
        <v>1</v>
      </c>
      <c r="U23" s="41" t="s">
        <v>35</v>
      </c>
      <c r="V23" s="2"/>
      <c r="X23" s="2"/>
      <c r="Y23" s="2"/>
      <c r="AF23" s="48"/>
      <c r="AG23" s="2"/>
      <c r="AI23" s="4"/>
    </row>
    <row r="24" spans="1:39" ht="12" thickBot="1" x14ac:dyDescent="0.3">
      <c r="B24" s="8"/>
      <c r="C24" s="2"/>
      <c r="D24" s="241"/>
      <c r="F24" s="2"/>
      <c r="G24" s="9"/>
      <c r="H24" s="9"/>
      <c r="J24" s="2"/>
      <c r="K24" s="9"/>
      <c r="O24" s="10"/>
      <c r="P24" s="2"/>
      <c r="Q24" s="4"/>
      <c r="S24" s="8"/>
      <c r="V24" s="9"/>
      <c r="Y24" s="9"/>
      <c r="AF24" s="48"/>
      <c r="AG24" s="2"/>
      <c r="AI24" s="4"/>
      <c r="AJ24" s="1" t="s">
        <v>1</v>
      </c>
    </row>
    <row r="25" spans="1:39" ht="69.5" thickBot="1" x14ac:dyDescent="0.3">
      <c r="B25" s="11" t="s">
        <v>3</v>
      </c>
      <c r="C25" s="27" t="s">
        <v>9</v>
      </c>
      <c r="D25" s="11" t="s">
        <v>4</v>
      </c>
      <c r="E25" s="12" t="s">
        <v>5</v>
      </c>
      <c r="F25" s="12" t="s">
        <v>6</v>
      </c>
      <c r="G25" s="27" t="s">
        <v>159</v>
      </c>
      <c r="H25" s="12" t="s">
        <v>18</v>
      </c>
      <c r="I25" s="12" t="s">
        <v>24</v>
      </c>
      <c r="J25" s="73" t="s">
        <v>19</v>
      </c>
      <c r="K25" s="29" t="s">
        <v>20</v>
      </c>
      <c r="L25" s="28" t="s">
        <v>21</v>
      </c>
      <c r="M25" s="39" t="s">
        <v>22</v>
      </c>
      <c r="N25" s="12" t="s">
        <v>7</v>
      </c>
      <c r="O25" s="39" t="s">
        <v>23</v>
      </c>
      <c r="P25" s="13"/>
      <c r="Q25" s="4"/>
      <c r="S25" s="11" t="s">
        <v>3</v>
      </c>
      <c r="T25" s="27" t="s">
        <v>9</v>
      </c>
      <c r="U25" s="80" t="s">
        <v>39</v>
      </c>
      <c r="V25" s="51" t="s">
        <v>40</v>
      </c>
      <c r="W25" s="51" t="s">
        <v>41</v>
      </c>
      <c r="X25" s="51" t="s">
        <v>42</v>
      </c>
      <c r="Y25" s="81" t="s">
        <v>43</v>
      </c>
      <c r="Z25" s="85" t="s">
        <v>21</v>
      </c>
      <c r="AA25" s="65" t="s">
        <v>46</v>
      </c>
      <c r="AB25" s="65" t="s">
        <v>7</v>
      </c>
      <c r="AC25" s="85" t="s">
        <v>167</v>
      </c>
      <c r="AD25" s="121" t="s">
        <v>105</v>
      </c>
      <c r="AE25" s="121" t="s">
        <v>104</v>
      </c>
      <c r="AF25" s="39" t="s">
        <v>23</v>
      </c>
      <c r="AG25" s="13"/>
      <c r="AI25" s="4"/>
    </row>
    <row r="26" spans="1:39" s="308" customFormat="1" x14ac:dyDescent="0.25">
      <c r="B26" s="306">
        <v>1</v>
      </c>
      <c r="C26" s="307" t="s">
        <v>10</v>
      </c>
      <c r="D26" s="294">
        <f>'REMUNERACION Reciprocidad EAAB'!D104</f>
        <v>0</v>
      </c>
      <c r="E26" s="295">
        <f>'REMUNERACION Reciprocidad EAAB'!E104</f>
        <v>0</v>
      </c>
      <c r="F26" s="295">
        <f>'REMUNERACION Reciprocidad EAAB'!F104</f>
        <v>0</v>
      </c>
      <c r="G26" s="295">
        <f>'REMUNERACION Reciprocidad EAAB'!G104</f>
        <v>0</v>
      </c>
      <c r="H26" s="295">
        <f>'REMUNERACION Reciprocidad EAAB'!H104</f>
        <v>0</v>
      </c>
      <c r="I26" s="295">
        <f>'REMUNERACION Reciprocidad EAAB'!I104</f>
        <v>0</v>
      </c>
      <c r="J26" s="291">
        <f>'REMUNERACION Reciprocidad EAAB'!J104</f>
        <v>0</v>
      </c>
      <c r="K26" s="296">
        <f>'REMUNERACION Reciprocidad EAAB'!K104</f>
        <v>0</v>
      </c>
      <c r="L26" s="297">
        <f>'REMUNERACION Reciprocidad EAAB'!L104</f>
        <v>0</v>
      </c>
      <c r="M26" s="296">
        <f>'REMUNERACION Reciprocidad EAAB'!M104</f>
        <v>0</v>
      </c>
      <c r="N26" s="297">
        <f>'REMUNERACION Reciprocidad EAAB'!N104</f>
        <v>0</v>
      </c>
      <c r="O26" s="296">
        <f>'REMUNERACION Reciprocidad EAAB'!O104</f>
        <v>0</v>
      </c>
      <c r="Q26" s="309"/>
      <c r="S26" s="306">
        <v>1</v>
      </c>
      <c r="T26" s="307" t="s">
        <v>10</v>
      </c>
      <c r="U26" s="310">
        <f>'REMUNERACION Reciprocidad EAAB'!U104</f>
        <v>0</v>
      </c>
      <c r="V26" s="311">
        <f>'REMUNERACION Reciprocidad EAAB'!V104</f>
        <v>0</v>
      </c>
      <c r="W26" s="311">
        <f>'REMUNERACION Reciprocidad EAAB'!W104</f>
        <v>0</v>
      </c>
      <c r="X26" s="311">
        <f>'REMUNERACION Reciprocidad EAAB'!X104</f>
        <v>0</v>
      </c>
      <c r="Y26" s="312">
        <f>'REMUNERACION Reciprocidad EAAB'!Y104</f>
        <v>0</v>
      </c>
      <c r="Z26" s="313">
        <f>'REMUNERACION Reciprocidad EAAB'!Z104</f>
        <v>0</v>
      </c>
      <c r="AA26" s="314">
        <f>'REMUNERACION Reciprocidad EAAB'!AA104</f>
        <v>0</v>
      </c>
      <c r="AB26" s="297">
        <f>'REMUNERACION Reciprocidad EAAB'!AB104</f>
        <v>0</v>
      </c>
      <c r="AC26" s="314">
        <f>'REMUNERACION Reciprocidad EAAB'!AC104</f>
        <v>0</v>
      </c>
      <c r="AD26" s="294">
        <f>'REMUNERACION Reciprocidad EAAB'!AD104</f>
        <v>0</v>
      </c>
      <c r="AE26" s="294">
        <f>'REMUNERACION Reciprocidad EAAB'!AE104</f>
        <v>0</v>
      </c>
      <c r="AF26" s="316">
        <f>'REMUNERACION Reciprocidad EAAB'!AF104</f>
        <v>0</v>
      </c>
      <c r="AG26" s="524">
        <f>'REMUNERACION Reciprocidad EAAB'!AG104</f>
        <v>0</v>
      </c>
      <c r="AH26" s="1"/>
      <c r="AI26" s="309"/>
      <c r="AM26" s="336"/>
    </row>
    <row r="27" spans="1:39" s="308" customFormat="1" x14ac:dyDescent="0.25">
      <c r="B27" s="317">
        <v>2</v>
      </c>
      <c r="C27" s="318" t="s">
        <v>11</v>
      </c>
      <c r="D27" s="294">
        <f>'REMUNERACION Reciprocidad EAAB'!D105</f>
        <v>46373126.629999995</v>
      </c>
      <c r="E27" s="295">
        <f>'REMUNERACION Reciprocidad EAAB'!E105</f>
        <v>4158139.0000000005</v>
      </c>
      <c r="F27" s="295">
        <f>'REMUNERACION Reciprocidad EAAB'!F105</f>
        <v>2420063.96</v>
      </c>
      <c r="G27" s="295">
        <f>'REMUNERACION Reciprocidad EAAB'!G105</f>
        <v>850315.18</v>
      </c>
      <c r="H27" s="295">
        <f>'REMUNERACION Reciprocidad EAAB'!H105</f>
        <v>17472217.539999999</v>
      </c>
      <c r="I27" s="295">
        <f>'REMUNERACION Reciprocidad EAAB'!I105</f>
        <v>607377.93999999994</v>
      </c>
      <c r="J27" s="291">
        <f>'REMUNERACION Reciprocidad EAAB'!J105</f>
        <v>0</v>
      </c>
      <c r="K27" s="298">
        <f>'REMUNERACION Reciprocidad EAAB'!K105</f>
        <v>20865013.009999994</v>
      </c>
      <c r="L27" s="297">
        <f>'REMUNERACION Reciprocidad EAAB'!L105</f>
        <v>0</v>
      </c>
      <c r="M27" s="298">
        <f>'REMUNERACION Reciprocidad EAAB'!M105</f>
        <v>20865013.009999994</v>
      </c>
      <c r="N27" s="297">
        <f>'REMUNERACION Reciprocidad EAAB'!N105</f>
        <v>0</v>
      </c>
      <c r="O27" s="298">
        <f>'REMUNERACION Reciprocidad EAAB'!O105</f>
        <v>20865013.009999994</v>
      </c>
      <c r="Q27" s="309"/>
      <c r="S27" s="317">
        <v>2</v>
      </c>
      <c r="T27" s="318" t="s">
        <v>11</v>
      </c>
      <c r="U27" s="319">
        <f>'REMUNERACION Reciprocidad EAAB'!U105</f>
        <v>5673196.9500000002</v>
      </c>
      <c r="V27" s="320">
        <f>'REMUNERACION Reciprocidad EAAB'!V105</f>
        <v>5228043.83</v>
      </c>
      <c r="W27" s="320">
        <f>'REMUNERACION Reciprocidad EAAB'!W105</f>
        <v>22283113.059999999</v>
      </c>
      <c r="X27" s="320">
        <f>'REMUNERACION Reciprocidad EAAB'!X105</f>
        <v>8198077.5499999998</v>
      </c>
      <c r="Y27" s="321">
        <f>'REMUNERACION Reciprocidad EAAB'!Y105</f>
        <v>734557.09</v>
      </c>
      <c r="Z27" s="322">
        <f>'REMUNERACION Reciprocidad EAAB'!Z105</f>
        <v>0</v>
      </c>
      <c r="AA27" s="323">
        <f>'REMUNERACION Reciprocidad EAAB'!AA105</f>
        <v>-115.77000000000001</v>
      </c>
      <c r="AB27" s="297">
        <f>'REMUNERACION Reciprocidad EAAB'!AB105</f>
        <v>0</v>
      </c>
      <c r="AC27" s="323">
        <f>'REMUNERACION Reciprocidad EAAB'!AC105</f>
        <v>0</v>
      </c>
      <c r="AD27" s="294">
        <f>'REMUNERACION Reciprocidad EAAB'!AD105</f>
        <v>-21251859.700000003</v>
      </c>
      <c r="AE27" s="294">
        <f>'REMUNERACION Reciprocidad EAAB'!AE105</f>
        <v>-21251859.700000003</v>
      </c>
      <c r="AF27" s="325">
        <f>'REMUNERACION Reciprocidad EAAB'!AF105</f>
        <v>20865013.009999998</v>
      </c>
      <c r="AG27" s="525">
        <f>'REMUNERACION Reciprocidad EAAB'!AG105</f>
        <v>0</v>
      </c>
      <c r="AH27" s="1"/>
      <c r="AI27" s="309"/>
      <c r="AM27" s="336"/>
    </row>
    <row r="28" spans="1:39" s="308" customFormat="1" x14ac:dyDescent="0.25">
      <c r="B28" s="317">
        <v>3</v>
      </c>
      <c r="C28" s="318" t="s">
        <v>12</v>
      </c>
      <c r="D28" s="294">
        <f>'REMUNERACION Reciprocidad EAAB'!D106</f>
        <v>0</v>
      </c>
      <c r="E28" s="295">
        <f>'REMUNERACION Reciprocidad EAAB'!E106</f>
        <v>0</v>
      </c>
      <c r="F28" s="295">
        <f>'REMUNERACION Reciprocidad EAAB'!F106</f>
        <v>0</v>
      </c>
      <c r="G28" s="295">
        <f>'REMUNERACION Reciprocidad EAAB'!G106</f>
        <v>0</v>
      </c>
      <c r="H28" s="295">
        <f>'REMUNERACION Reciprocidad EAAB'!H106</f>
        <v>0</v>
      </c>
      <c r="I28" s="295">
        <f>'REMUNERACION Reciprocidad EAAB'!I106</f>
        <v>0</v>
      </c>
      <c r="J28" s="291">
        <f>'REMUNERACION Reciprocidad EAAB'!J106</f>
        <v>0</v>
      </c>
      <c r="K28" s="298">
        <f>'REMUNERACION Reciprocidad EAAB'!K106</f>
        <v>0</v>
      </c>
      <c r="L28" s="297">
        <f>'REMUNERACION Reciprocidad EAAB'!L106</f>
        <v>0</v>
      </c>
      <c r="M28" s="298">
        <f>'REMUNERACION Reciprocidad EAAB'!M106</f>
        <v>0</v>
      </c>
      <c r="N28" s="297">
        <f>'REMUNERACION Reciprocidad EAAB'!N106</f>
        <v>0</v>
      </c>
      <c r="O28" s="298">
        <f>'REMUNERACION Reciprocidad EAAB'!O106</f>
        <v>0</v>
      </c>
      <c r="Q28" s="309"/>
      <c r="S28" s="317">
        <v>3</v>
      </c>
      <c r="T28" s="318" t="s">
        <v>12</v>
      </c>
      <c r="U28" s="319">
        <f>'REMUNERACION Reciprocidad EAAB'!U106</f>
        <v>0</v>
      </c>
      <c r="V28" s="320">
        <f>'REMUNERACION Reciprocidad EAAB'!V106</f>
        <v>0</v>
      </c>
      <c r="W28" s="320">
        <f>'REMUNERACION Reciprocidad EAAB'!W106</f>
        <v>0</v>
      </c>
      <c r="X28" s="320">
        <f>'REMUNERACION Reciprocidad EAAB'!X106</f>
        <v>0</v>
      </c>
      <c r="Y28" s="321">
        <f>'REMUNERACION Reciprocidad EAAB'!Y106</f>
        <v>0</v>
      </c>
      <c r="Z28" s="322">
        <f>'REMUNERACION Reciprocidad EAAB'!Z106</f>
        <v>0</v>
      </c>
      <c r="AA28" s="323">
        <f>'REMUNERACION Reciprocidad EAAB'!AA106</f>
        <v>0</v>
      </c>
      <c r="AB28" s="297">
        <f>'REMUNERACION Reciprocidad EAAB'!AB106</f>
        <v>0</v>
      </c>
      <c r="AC28" s="323">
        <f>'REMUNERACION Reciprocidad EAAB'!AC106</f>
        <v>0</v>
      </c>
      <c r="AD28" s="294">
        <f>'REMUNERACION Reciprocidad EAAB'!AD106</f>
        <v>0</v>
      </c>
      <c r="AE28" s="294">
        <f>'REMUNERACION Reciprocidad EAAB'!AE106</f>
        <v>0</v>
      </c>
      <c r="AF28" s="325">
        <f>'REMUNERACION Reciprocidad EAAB'!AF106</f>
        <v>0</v>
      </c>
      <c r="AG28" s="525">
        <f>'REMUNERACION Reciprocidad EAAB'!AG106</f>
        <v>0</v>
      </c>
      <c r="AH28" s="1"/>
      <c r="AI28" s="309"/>
      <c r="AM28" s="336"/>
    </row>
    <row r="29" spans="1:39" s="308" customFormat="1" x14ac:dyDescent="0.25">
      <c r="B29" s="317">
        <v>4</v>
      </c>
      <c r="C29" s="318" t="s">
        <v>13</v>
      </c>
      <c r="D29" s="294">
        <f>'REMUNERACION Reciprocidad EAAB'!D107</f>
        <v>11605438.260000002</v>
      </c>
      <c r="E29" s="295">
        <f>'REMUNERACION Reciprocidad EAAB'!E107</f>
        <v>868507.7</v>
      </c>
      <c r="F29" s="295">
        <f>'REMUNERACION Reciprocidad EAAB'!F107</f>
        <v>465064.46</v>
      </c>
      <c r="G29" s="295">
        <f>'REMUNERACION Reciprocidad EAAB'!G107</f>
        <v>198481.49</v>
      </c>
      <c r="H29" s="295">
        <f>'REMUNERACION Reciprocidad EAAB'!H107</f>
        <v>2422341.04</v>
      </c>
      <c r="I29" s="295">
        <f>'REMUNERACION Reciprocidad EAAB'!I107</f>
        <v>86529.63</v>
      </c>
      <c r="J29" s="291">
        <f>'REMUNERACION Reciprocidad EAAB'!J107</f>
        <v>0</v>
      </c>
      <c r="K29" s="298">
        <f>'REMUNERACION Reciprocidad EAAB'!K107</f>
        <v>7564513.9400000013</v>
      </c>
      <c r="L29" s="297">
        <f>'REMUNERACION Reciprocidad EAAB'!L107</f>
        <v>0</v>
      </c>
      <c r="M29" s="298">
        <f>'REMUNERACION Reciprocidad EAAB'!M107</f>
        <v>7564513.9400000013</v>
      </c>
      <c r="N29" s="297">
        <f>'REMUNERACION Reciprocidad EAAB'!N107</f>
        <v>0</v>
      </c>
      <c r="O29" s="298">
        <f>'REMUNERACION Reciprocidad EAAB'!O107</f>
        <v>7564513.9400000013</v>
      </c>
      <c r="Q29" s="309"/>
      <c r="S29" s="317">
        <v>4</v>
      </c>
      <c r="T29" s="318" t="s">
        <v>13</v>
      </c>
      <c r="U29" s="319">
        <f>'REMUNERACION Reciprocidad EAAB'!U107</f>
        <v>767640.19</v>
      </c>
      <c r="V29" s="320">
        <f>'REMUNERACION Reciprocidad EAAB'!V107</f>
        <v>744104.27</v>
      </c>
      <c r="W29" s="320">
        <f>'REMUNERACION Reciprocidad EAAB'!W107</f>
        <v>3251640.6599999997</v>
      </c>
      <c r="X29" s="320">
        <f>'REMUNERACION Reciprocidad EAAB'!X107</f>
        <v>2242956.21</v>
      </c>
      <c r="Y29" s="321">
        <f>'REMUNERACION Reciprocidad EAAB'!Y107</f>
        <v>121179.42</v>
      </c>
      <c r="Z29" s="322">
        <f>'REMUNERACION Reciprocidad EAAB'!Z107</f>
        <v>0</v>
      </c>
      <c r="AA29" s="323">
        <f>'REMUNERACION Reciprocidad EAAB'!AA107</f>
        <v>-68.779999999999987</v>
      </c>
      <c r="AB29" s="297">
        <f>'REMUNERACION Reciprocidad EAAB'!AB107</f>
        <v>0</v>
      </c>
      <c r="AC29" s="323">
        <f>'REMUNERACION Reciprocidad EAAB'!AC107</f>
        <v>0</v>
      </c>
      <c r="AD29" s="294">
        <f>'REMUNERACION Reciprocidad EAAB'!AD107</f>
        <v>437061.97000000003</v>
      </c>
      <c r="AE29" s="294">
        <f>'REMUNERACION Reciprocidad EAAB'!AE107</f>
        <v>437061.97000000003</v>
      </c>
      <c r="AF29" s="325">
        <f>'REMUNERACION Reciprocidad EAAB'!AF107</f>
        <v>7564513.9399999985</v>
      </c>
      <c r="AG29" s="525">
        <f>'REMUNERACION Reciprocidad EAAB'!AG107</f>
        <v>0</v>
      </c>
      <c r="AH29" s="1"/>
      <c r="AI29" s="309"/>
      <c r="AM29" s="336"/>
    </row>
    <row r="30" spans="1:39" s="308" customFormat="1" ht="12" thickBot="1" x14ac:dyDescent="0.3">
      <c r="B30" s="327">
        <v>5</v>
      </c>
      <c r="C30" s="328" t="s">
        <v>14</v>
      </c>
      <c r="D30" s="299">
        <f>'REMUNERACION Reciprocidad EAAB'!D108</f>
        <v>0</v>
      </c>
      <c r="E30" s="300">
        <f>'REMUNERACION Reciprocidad EAAB'!E108</f>
        <v>0</v>
      </c>
      <c r="F30" s="300">
        <f>'REMUNERACION Reciprocidad EAAB'!F108</f>
        <v>0</v>
      </c>
      <c r="G30" s="300">
        <f>'REMUNERACION Reciprocidad EAAB'!G108</f>
        <v>0</v>
      </c>
      <c r="H30" s="300">
        <f>'REMUNERACION Reciprocidad EAAB'!H108</f>
        <v>0</v>
      </c>
      <c r="I30" s="300">
        <f>'REMUNERACION Reciprocidad EAAB'!I108</f>
        <v>0</v>
      </c>
      <c r="J30" s="292">
        <f>'REMUNERACION Reciprocidad EAAB'!J108</f>
        <v>0</v>
      </c>
      <c r="K30" s="298">
        <f>'REMUNERACION Reciprocidad EAAB'!K108</f>
        <v>0</v>
      </c>
      <c r="L30" s="297">
        <f>'REMUNERACION Reciprocidad EAAB'!L108</f>
        <v>0</v>
      </c>
      <c r="M30" s="301">
        <f>'REMUNERACION Reciprocidad EAAB'!M108</f>
        <v>0</v>
      </c>
      <c r="N30" s="302">
        <f>'REMUNERACION Reciprocidad EAAB'!N108</f>
        <v>0</v>
      </c>
      <c r="O30" s="301">
        <f>'REMUNERACION Reciprocidad EAAB'!O108</f>
        <v>0</v>
      </c>
      <c r="Q30" s="309"/>
      <c r="S30" s="327">
        <v>5</v>
      </c>
      <c r="T30" s="328" t="s">
        <v>14</v>
      </c>
      <c r="U30" s="299">
        <f>'REMUNERACION Reciprocidad EAAB'!U108</f>
        <v>0</v>
      </c>
      <c r="V30" s="300">
        <f>'REMUNERACION Reciprocidad EAAB'!V108</f>
        <v>0</v>
      </c>
      <c r="W30" s="300">
        <f>'REMUNERACION Reciprocidad EAAB'!W108</f>
        <v>0</v>
      </c>
      <c r="X30" s="300">
        <f>'REMUNERACION Reciprocidad EAAB'!X108</f>
        <v>0</v>
      </c>
      <c r="Y30" s="292">
        <f>'REMUNERACION Reciprocidad EAAB'!Y108</f>
        <v>0</v>
      </c>
      <c r="Z30" s="322">
        <f>'REMUNERACION Reciprocidad EAAB'!Z108</f>
        <v>0</v>
      </c>
      <c r="AA30" s="323">
        <f>'REMUNERACION Reciprocidad EAAB'!AA108</f>
        <v>0</v>
      </c>
      <c r="AB30" s="297">
        <f>'REMUNERACION Reciprocidad EAAB'!AB108</f>
        <v>0</v>
      </c>
      <c r="AC30" s="323">
        <f>'REMUNERACION Reciprocidad EAAB'!AC108</f>
        <v>0</v>
      </c>
      <c r="AD30" s="294">
        <f>'REMUNERACION Reciprocidad EAAB'!AD108</f>
        <v>0</v>
      </c>
      <c r="AE30" s="294">
        <f>'REMUNERACION Reciprocidad EAAB'!AE108</f>
        <v>0</v>
      </c>
      <c r="AF30" s="325">
        <f>'REMUNERACION Reciprocidad EAAB'!AF108</f>
        <v>0</v>
      </c>
      <c r="AG30" s="526">
        <f>'REMUNERACION Reciprocidad EAAB'!AG108</f>
        <v>0</v>
      </c>
      <c r="AH30" s="1"/>
      <c r="AI30" s="309"/>
      <c r="AM30" s="336"/>
    </row>
    <row r="31" spans="1:39" s="308" customFormat="1" ht="13.5" thickBot="1" x14ac:dyDescent="0.35">
      <c r="B31" s="330"/>
      <c r="C31" s="331" t="s">
        <v>2</v>
      </c>
      <c r="D31" s="293">
        <f>'REMUNERACION Reciprocidad EAAB'!D109</f>
        <v>57978564.890000001</v>
      </c>
      <c r="E31" s="293">
        <f>'REMUNERACION Reciprocidad EAAB'!E109</f>
        <v>5026646.7</v>
      </c>
      <c r="F31" s="293">
        <f>'REMUNERACION Reciprocidad EAAB'!F109</f>
        <v>2885128.42</v>
      </c>
      <c r="G31" s="293">
        <f>'REMUNERACION Reciprocidad EAAB'!G109</f>
        <v>1048796.67</v>
      </c>
      <c r="H31" s="293">
        <f>'REMUNERACION Reciprocidad EAAB'!H109</f>
        <v>19894558.579999998</v>
      </c>
      <c r="I31" s="293">
        <f>'REMUNERACION Reciprocidad EAAB'!I109</f>
        <v>693907.57</v>
      </c>
      <c r="J31" s="293">
        <f>'REMUNERACION Reciprocidad EAAB'!J109</f>
        <v>0</v>
      </c>
      <c r="K31" s="303">
        <f>'REMUNERACION Reciprocidad EAAB'!K109</f>
        <v>28429526.949999996</v>
      </c>
      <c r="L31" s="304">
        <f>'REMUNERACION Reciprocidad EAAB'!L109</f>
        <v>0</v>
      </c>
      <c r="M31" s="305">
        <f>'REMUNERACION Reciprocidad EAAB'!M109</f>
        <v>28429526.949999996</v>
      </c>
      <c r="N31" s="304">
        <f>'REMUNERACION Reciprocidad EAAB'!N109</f>
        <v>0</v>
      </c>
      <c r="O31" s="305">
        <f>'REMUNERACION Reciprocidad EAAB'!O109</f>
        <v>28429526.949999996</v>
      </c>
      <c r="P31" s="332"/>
      <c r="Q31" s="309"/>
      <c r="S31" s="330"/>
      <c r="T31" s="331" t="s">
        <v>2</v>
      </c>
      <c r="U31" s="333">
        <f>'REMUNERACION Reciprocidad EAAB'!U109</f>
        <v>6440837.1400000006</v>
      </c>
      <c r="V31" s="333">
        <f>'REMUNERACION Reciprocidad EAAB'!V109</f>
        <v>5972148.0999999996</v>
      </c>
      <c r="W31" s="333">
        <f>'REMUNERACION Reciprocidad EAAB'!W109</f>
        <v>25534753.719999999</v>
      </c>
      <c r="X31" s="333">
        <f>'REMUNERACION Reciprocidad EAAB'!X109</f>
        <v>10441033.76</v>
      </c>
      <c r="Y31" s="333">
        <f>'REMUNERACION Reciprocidad EAAB'!Y109</f>
        <v>855736.51</v>
      </c>
      <c r="Z31" s="293">
        <f>'REMUNERACION Reciprocidad EAAB'!Z109</f>
        <v>0</v>
      </c>
      <c r="AA31" s="293">
        <f>'REMUNERACION Reciprocidad EAAB'!AA109</f>
        <v>-184.55</v>
      </c>
      <c r="AB31" s="293">
        <f>'REMUNERACION Reciprocidad EAAB'!AB109</f>
        <v>0</v>
      </c>
      <c r="AC31" s="293">
        <f>'REMUNERACION Reciprocidad EAAB'!AC109</f>
        <v>0</v>
      </c>
      <c r="AD31" s="293">
        <f>'REMUNERACION Reciprocidad EAAB'!AD109</f>
        <v>-20814797.730000004</v>
      </c>
      <c r="AE31" s="293">
        <f>'REMUNERACION Reciprocidad EAAB'!AE109</f>
        <v>-20814797.730000004</v>
      </c>
      <c r="AF31" s="334">
        <f>'REMUNERACION Reciprocidad EAAB'!AF109</f>
        <v>28429526.949999996</v>
      </c>
      <c r="AG31" s="527">
        <f>'REMUNERACION Reciprocidad EAAB'!AG109</f>
        <v>0</v>
      </c>
      <c r="AH31" s="1"/>
      <c r="AI31" s="309"/>
      <c r="AM31" s="336"/>
    </row>
    <row r="32" spans="1:39" x14ac:dyDescent="0.25">
      <c r="B32" s="2"/>
      <c r="C32" s="2"/>
      <c r="D32" s="451"/>
      <c r="E32" s="451"/>
      <c r="F32" s="451"/>
      <c r="G32" s="451"/>
      <c r="H32" s="451"/>
      <c r="I32" s="451"/>
      <c r="K32" s="451"/>
      <c r="L32" s="451"/>
      <c r="M32" s="451"/>
      <c r="N32" s="451"/>
      <c r="O32" s="451"/>
      <c r="Q32" s="4"/>
      <c r="S32" s="2"/>
      <c r="T32" s="2"/>
      <c r="U32" s="451"/>
      <c r="V32" s="451"/>
      <c r="W32" s="451"/>
      <c r="X32" s="451"/>
      <c r="Y32" s="451"/>
      <c r="AF32" s="451"/>
      <c r="AI32" s="4"/>
    </row>
    <row r="33" spans="1:39" x14ac:dyDescent="0.25">
      <c r="B33" s="2"/>
      <c r="C33" s="2"/>
      <c r="D33" s="542"/>
      <c r="E33" s="542"/>
      <c r="F33" s="542"/>
      <c r="G33" s="542"/>
      <c r="H33" s="542"/>
      <c r="I33" s="542"/>
      <c r="K33" s="542"/>
      <c r="L33" s="542"/>
      <c r="M33" s="542"/>
      <c r="N33" s="542"/>
      <c r="O33" s="542"/>
      <c r="Q33" s="4"/>
      <c r="AI33" s="4"/>
    </row>
    <row r="34" spans="1:39" x14ac:dyDescent="0.25">
      <c r="A34" s="4"/>
      <c r="B34" s="34"/>
      <c r="C34" s="34"/>
      <c r="D34" s="477"/>
      <c r="E34" s="477"/>
      <c r="F34" s="477"/>
      <c r="G34" s="477"/>
      <c r="H34" s="477"/>
      <c r="I34" s="477"/>
      <c r="J34" s="4"/>
      <c r="K34" s="477"/>
      <c r="L34" s="477"/>
      <c r="M34" s="477"/>
      <c r="N34" s="477"/>
      <c r="O34" s="477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</row>
    <row r="35" spans="1:39" ht="12" thickBot="1" x14ac:dyDescent="0.3">
      <c r="Q35" s="4"/>
      <c r="AI35" s="4"/>
    </row>
    <row r="36" spans="1:39" x14ac:dyDescent="0.25">
      <c r="B36" s="5"/>
      <c r="C36" s="3" t="s">
        <v>1</v>
      </c>
      <c r="D36" s="6" t="s">
        <v>1</v>
      </c>
      <c r="E36" s="3"/>
      <c r="F36" s="3"/>
      <c r="G36" s="3"/>
      <c r="H36" s="3" t="s">
        <v>1</v>
      </c>
      <c r="I36" s="3"/>
      <c r="J36" s="3"/>
      <c r="K36" s="3"/>
      <c r="L36" s="3"/>
      <c r="M36" s="3"/>
      <c r="N36" s="3"/>
      <c r="O36" s="7"/>
      <c r="P36" s="2"/>
      <c r="Q36" s="4"/>
      <c r="S36" s="5"/>
      <c r="T36" s="3" t="s">
        <v>1</v>
      </c>
      <c r="U36" s="6" t="s">
        <v>1</v>
      </c>
      <c r="V36" s="3"/>
      <c r="W36" s="3"/>
      <c r="X36" s="3" t="s">
        <v>1</v>
      </c>
      <c r="Y36" s="3"/>
      <c r="Z36" s="3"/>
      <c r="AA36" s="3"/>
      <c r="AB36" s="3"/>
      <c r="AC36" s="3"/>
      <c r="AD36" s="3"/>
      <c r="AE36" s="3"/>
      <c r="AF36" s="7"/>
      <c r="AG36" s="2"/>
      <c r="AI36" s="4"/>
    </row>
    <row r="37" spans="1:39" ht="14" x14ac:dyDescent="0.3">
      <c r="B37" s="8"/>
      <c r="F37" s="26" t="s">
        <v>8</v>
      </c>
      <c r="G37" s="26"/>
      <c r="I37" s="26" t="s">
        <v>16</v>
      </c>
      <c r="J37" s="25"/>
      <c r="M37" s="2"/>
      <c r="N37" s="50"/>
      <c r="O37" s="10"/>
      <c r="P37" s="2"/>
      <c r="Q37" s="4"/>
      <c r="S37" s="8"/>
      <c r="U37" s="26" t="s">
        <v>8</v>
      </c>
      <c r="W37" s="26" t="s">
        <v>16</v>
      </c>
      <c r="X37" s="25"/>
      <c r="Y37" s="2"/>
      <c r="AA37" s="2" t="s">
        <v>1</v>
      </c>
      <c r="AD37" s="84" t="s">
        <v>1</v>
      </c>
      <c r="AE37" s="84"/>
      <c r="AF37" s="48"/>
      <c r="AG37" s="2"/>
      <c r="AI37" s="4"/>
    </row>
    <row r="38" spans="1:39" ht="15.5" x14ac:dyDescent="0.35">
      <c r="B38" s="8"/>
      <c r="F38" s="36" t="s">
        <v>29</v>
      </c>
      <c r="G38" s="36"/>
      <c r="O38" s="10"/>
      <c r="P38" s="2"/>
      <c r="Q38" s="4"/>
      <c r="S38" s="8"/>
      <c r="T38" s="26" t="s">
        <v>1</v>
      </c>
      <c r="U38" s="36" t="s">
        <v>29</v>
      </c>
      <c r="Y38" s="2" t="s">
        <v>1</v>
      </c>
      <c r="AA38" s="50" t="s">
        <v>1</v>
      </c>
      <c r="AB38" s="2"/>
      <c r="AC38" s="2"/>
      <c r="AD38" s="2"/>
      <c r="AE38" s="2"/>
      <c r="AF38" s="10" t="s">
        <v>1</v>
      </c>
      <c r="AG38" s="2"/>
      <c r="AI38" s="4"/>
    </row>
    <row r="39" spans="1:39" ht="14" x14ac:dyDescent="0.3">
      <c r="B39" s="8"/>
      <c r="F39" s="2" t="s">
        <v>30</v>
      </c>
      <c r="G39" s="2"/>
      <c r="L39" s="91"/>
      <c r="M39" s="2" t="s">
        <v>1</v>
      </c>
      <c r="O39" s="10"/>
      <c r="P39" s="2"/>
      <c r="Q39" s="4"/>
      <c r="S39" s="8"/>
      <c r="T39" s="49" t="s">
        <v>1</v>
      </c>
      <c r="U39" s="2" t="s">
        <v>30</v>
      </c>
      <c r="AF39" s="44"/>
      <c r="AG39" s="2"/>
      <c r="AI39" s="4"/>
    </row>
    <row r="40" spans="1:39" ht="15.5" x14ac:dyDescent="0.35">
      <c r="B40" s="8"/>
      <c r="C40" s="2"/>
      <c r="D40" s="9"/>
      <c r="F40" s="58" t="s">
        <v>162</v>
      </c>
      <c r="G40" s="58"/>
      <c r="H40" s="59"/>
      <c r="I40" s="60"/>
      <c r="J40" s="59"/>
      <c r="L40" s="91"/>
      <c r="O40" s="10"/>
      <c r="P40" s="2"/>
      <c r="Q40" s="4"/>
      <c r="S40" s="8"/>
      <c r="T40" s="41" t="s">
        <v>1</v>
      </c>
      <c r="U40" s="58" t="s">
        <v>35</v>
      </c>
      <c r="V40" s="59"/>
      <c r="W40" s="60"/>
      <c r="X40" s="59"/>
      <c r="Y40" s="2"/>
      <c r="AF40" s="48"/>
      <c r="AG40" s="2"/>
      <c r="AI40" s="4"/>
    </row>
    <row r="41" spans="1:39" ht="18" thickBot="1" x14ac:dyDescent="0.5">
      <c r="B41" s="8"/>
      <c r="C41" s="2"/>
      <c r="D41" s="241"/>
      <c r="F41" s="2"/>
      <c r="G41" s="9"/>
      <c r="J41" s="2"/>
      <c r="K41" s="9"/>
      <c r="L41" s="92"/>
      <c r="O41" s="10"/>
      <c r="P41" s="2"/>
      <c r="Q41" s="4"/>
      <c r="S41" s="8"/>
      <c r="V41" s="9"/>
      <c r="Y41" s="9"/>
      <c r="Z41" s="1" t="s">
        <v>1</v>
      </c>
      <c r="AF41" s="48"/>
      <c r="AG41" s="2"/>
      <c r="AI41" s="4"/>
      <c r="AJ41" s="112" t="s">
        <v>1</v>
      </c>
    </row>
    <row r="42" spans="1:39" ht="72" customHeight="1" thickBot="1" x14ac:dyDescent="0.3">
      <c r="B42" s="11" t="s">
        <v>3</v>
      </c>
      <c r="C42" s="27" t="s">
        <v>9</v>
      </c>
      <c r="D42" s="11" t="s">
        <v>4</v>
      </c>
      <c r="E42" s="12" t="s">
        <v>5</v>
      </c>
      <c r="F42" s="27" t="s">
        <v>6</v>
      </c>
      <c r="G42" s="27" t="s">
        <v>159</v>
      </c>
      <c r="H42" s="27" t="s">
        <v>18</v>
      </c>
      <c r="I42" s="12" t="s">
        <v>24</v>
      </c>
      <c r="J42" s="73" t="s">
        <v>19</v>
      </c>
      <c r="K42" s="29" t="s">
        <v>20</v>
      </c>
      <c r="L42" s="28" t="s">
        <v>21</v>
      </c>
      <c r="M42" s="39" t="s">
        <v>22</v>
      </c>
      <c r="N42" s="12" t="s">
        <v>7</v>
      </c>
      <c r="O42" s="39" t="s">
        <v>23</v>
      </c>
      <c r="P42" s="13"/>
      <c r="Q42" s="4"/>
      <c r="S42" s="11" t="s">
        <v>3</v>
      </c>
      <c r="T42" s="27" t="s">
        <v>9</v>
      </c>
      <c r="U42" s="162" t="s">
        <v>39</v>
      </c>
      <c r="V42" s="163" t="s">
        <v>40</v>
      </c>
      <c r="W42" s="163" t="s">
        <v>41</v>
      </c>
      <c r="X42" s="163" t="s">
        <v>42</v>
      </c>
      <c r="Y42" s="164" t="s">
        <v>43</v>
      </c>
      <c r="Z42" s="85" t="s">
        <v>21</v>
      </c>
      <c r="AA42" s="65" t="s">
        <v>46</v>
      </c>
      <c r="AB42" s="65" t="s">
        <v>7</v>
      </c>
      <c r="AC42" s="85" t="s">
        <v>167</v>
      </c>
      <c r="AD42" s="121" t="s">
        <v>105</v>
      </c>
      <c r="AE42" s="121" t="s">
        <v>104</v>
      </c>
      <c r="AF42" s="39" t="s">
        <v>23</v>
      </c>
      <c r="AG42" s="13"/>
      <c r="AI42" s="4"/>
    </row>
    <row r="43" spans="1:39" s="308" customFormat="1" x14ac:dyDescent="0.25">
      <c r="B43" s="306">
        <v>1</v>
      </c>
      <c r="C43" s="307" t="s">
        <v>10</v>
      </c>
      <c r="D43" s="294">
        <f>REMUNERACION_ENEL!D104</f>
        <v>16232100830.950001</v>
      </c>
      <c r="E43" s="295">
        <f>REMUNERACION_ENEL!E104</f>
        <v>916530913.37</v>
      </c>
      <c r="F43" s="295">
        <f>REMUNERACION_ENEL!F104</f>
        <v>517033839.41000003</v>
      </c>
      <c r="G43" s="295">
        <f>REMUNERACION_ENEL!G104</f>
        <v>271457219.63</v>
      </c>
      <c r="H43" s="295">
        <f>REMUNERACION_ENEL!H104</f>
        <v>4844687061.9700003</v>
      </c>
      <c r="I43" s="295">
        <f>REMUNERACION_ENEL!I104</f>
        <v>168046170.34999999</v>
      </c>
      <c r="J43" s="291">
        <f>REMUNERACION_ENEL!J104</f>
        <v>2032363678.8399997</v>
      </c>
      <c r="K43" s="296">
        <f>REMUNERACION_ENEL!K104</f>
        <v>7481981947.3799992</v>
      </c>
      <c r="L43" s="297">
        <f>REMUNERACION_ENEL!L104</f>
        <v>189185987</v>
      </c>
      <c r="M43" s="296">
        <f>REMUNERACION_ENEL!M104</f>
        <v>7292795960.3799992</v>
      </c>
      <c r="N43" s="297">
        <f>REMUNERACION_ENEL!N104</f>
        <v>14379206.41</v>
      </c>
      <c r="O43" s="296">
        <f>REMUNERACION_ENEL!O104</f>
        <v>7307175166.789999</v>
      </c>
      <c r="Q43" s="309"/>
      <c r="S43" s="306">
        <v>1</v>
      </c>
      <c r="T43" s="307" t="s">
        <v>10</v>
      </c>
      <c r="U43" s="310">
        <f>REMUNERACION_ENEL!U104</f>
        <v>1477461878.54</v>
      </c>
      <c r="V43" s="311">
        <f>REMUNERACION_ENEL!V104</f>
        <v>1426970483.8800001</v>
      </c>
      <c r="W43" s="311">
        <f>REMUNERACION_ENEL!W104</f>
        <v>6752471622.5100002</v>
      </c>
      <c r="X43" s="311">
        <f>REMUNERACION_ENEL!X104</f>
        <v>2493818966.8099999</v>
      </c>
      <c r="Y43" s="312">
        <f>REMUNERACION_ENEL!Y104</f>
        <v>274199713.71999997</v>
      </c>
      <c r="Z43" s="313">
        <f>REMUNERACION_ENEL!Z104</f>
        <v>-189185987</v>
      </c>
      <c r="AA43" s="314">
        <f>REMUNERACION_ENEL!AA104</f>
        <v>40813.750000000007</v>
      </c>
      <c r="AB43" s="297">
        <f>REMUNERACION_ENEL!AB104</f>
        <v>14379206.41</v>
      </c>
      <c r="AC43" s="314">
        <f>REMUNERACION_ENEL!AC104</f>
        <v>279.22000000000003</v>
      </c>
      <c r="AD43" s="294">
        <f>REMUNERACION_ENEL!AD104</f>
        <v>-4942981811.0499992</v>
      </c>
      <c r="AE43" s="294">
        <f>REMUNERACION_ENEL!AE104</f>
        <v>-2910618132.21</v>
      </c>
      <c r="AF43" s="316">
        <f>REMUNERACION_ENEL!AF104</f>
        <v>7307175166.789999</v>
      </c>
      <c r="AG43" s="524">
        <f>REMUNERACION_ENEL!AG104</f>
        <v>0</v>
      </c>
      <c r="AH43" s="1"/>
      <c r="AI43" s="309"/>
      <c r="AM43" s="336"/>
    </row>
    <row r="44" spans="1:39" s="308" customFormat="1" x14ac:dyDescent="0.25">
      <c r="B44" s="317">
        <v>2</v>
      </c>
      <c r="C44" s="318" t="s">
        <v>11</v>
      </c>
      <c r="D44" s="294">
        <f>REMUNERACION_ENEL!D105</f>
        <v>11786725243.449999</v>
      </c>
      <c r="E44" s="295">
        <f>REMUNERACION_ENEL!E105</f>
        <v>966963311.46000004</v>
      </c>
      <c r="F44" s="295">
        <f>REMUNERACION_ENEL!F105</f>
        <v>535847687.71000004</v>
      </c>
      <c r="G44" s="295">
        <f>REMUNERACION_ENEL!G105</f>
        <v>278506129.25</v>
      </c>
      <c r="H44" s="295">
        <f>REMUNERACION_ENEL!H105</f>
        <v>3833233485.1500001</v>
      </c>
      <c r="I44" s="295">
        <f>REMUNERACION_ENEL!I105</f>
        <v>146152813.62</v>
      </c>
      <c r="J44" s="291">
        <f>REMUNERACION_ENEL!J105</f>
        <v>-5011515653.5899992</v>
      </c>
      <c r="K44" s="298">
        <f>REMUNERACION_ENEL!K105</f>
        <v>11037537469.849998</v>
      </c>
      <c r="L44" s="297">
        <f>REMUNERACION_ENEL!L105</f>
        <v>266580255</v>
      </c>
      <c r="M44" s="298">
        <f>REMUNERACION_ENEL!M105</f>
        <v>10770957214.849998</v>
      </c>
      <c r="N44" s="297">
        <f>REMUNERACION_ENEL!N105</f>
        <v>23317118.710000001</v>
      </c>
      <c r="O44" s="298">
        <f>REMUNERACION_ENEL!O105</f>
        <v>10794274333.559998</v>
      </c>
      <c r="Q44" s="309"/>
      <c r="S44" s="317">
        <v>2</v>
      </c>
      <c r="T44" s="318" t="s">
        <v>11</v>
      </c>
      <c r="U44" s="319">
        <f>REMUNERACION_ENEL!U105</f>
        <v>1285570029.8</v>
      </c>
      <c r="V44" s="320">
        <f>REMUNERACION_ENEL!V105</f>
        <v>1283269330.75</v>
      </c>
      <c r="W44" s="320">
        <f>REMUNERACION_ENEL!W105</f>
        <v>5981019964.0100002</v>
      </c>
      <c r="X44" s="320">
        <f>REMUNERACION_ENEL!X105</f>
        <v>1886968382.1299999</v>
      </c>
      <c r="Y44" s="321">
        <f>REMUNERACION_ENEL!Y105</f>
        <v>238978529.28</v>
      </c>
      <c r="Z44" s="322">
        <f>REMUNERACION_ENEL!Z105</f>
        <v>-266580255</v>
      </c>
      <c r="AA44" s="323">
        <f>REMUNERACION_ENEL!AA105</f>
        <v>-14642.68</v>
      </c>
      <c r="AB44" s="297">
        <f>REMUNERACION_ENEL!AB105</f>
        <v>23317118.710000001</v>
      </c>
      <c r="AC44" s="323">
        <f>REMUNERACION_ENEL!AC105</f>
        <v>-121.11999999999999</v>
      </c>
      <c r="AD44" s="294">
        <f>REMUNERACION_ENEL!AD105</f>
        <v>361745997.67999935</v>
      </c>
      <c r="AE44" s="294">
        <f>REMUNERACION_ENEL!AE105</f>
        <v>-4649769655.9099998</v>
      </c>
      <c r="AF44" s="325">
        <f>REMUNERACION_ENEL!AF105</f>
        <v>10794274333.559998</v>
      </c>
      <c r="AG44" s="525">
        <f>REMUNERACION_ENEL!AG105</f>
        <v>0</v>
      </c>
      <c r="AH44" s="1"/>
      <c r="AI44" s="309"/>
      <c r="AM44" s="336"/>
    </row>
    <row r="45" spans="1:39" s="308" customFormat="1" x14ac:dyDescent="0.25">
      <c r="B45" s="317">
        <v>3</v>
      </c>
      <c r="C45" s="318" t="s">
        <v>12</v>
      </c>
      <c r="D45" s="294">
        <f>REMUNERACION_ENEL!D106</f>
        <v>9673573573.9799995</v>
      </c>
      <c r="E45" s="295">
        <f>REMUNERACION_ENEL!E106</f>
        <v>626613616.64999998</v>
      </c>
      <c r="F45" s="295">
        <f>REMUNERACION_ENEL!F106</f>
        <v>353412752.11000001</v>
      </c>
      <c r="G45" s="295">
        <f>REMUNERACION_ENEL!G106</f>
        <v>185553985.95000002</v>
      </c>
      <c r="H45" s="295">
        <f>REMUNERACION_ENEL!H106</f>
        <v>2632443245.1900001</v>
      </c>
      <c r="I45" s="295">
        <f>REMUNERACION_ENEL!I106</f>
        <v>98564065.760000005</v>
      </c>
      <c r="J45" s="291">
        <f>REMUNERACION_ENEL!J106</f>
        <v>-1196822411.3100002</v>
      </c>
      <c r="K45" s="298">
        <f>REMUNERACION_ENEL!K106</f>
        <v>6973808319.6300001</v>
      </c>
      <c r="L45" s="297">
        <f>REMUNERACION_ENEL!L106</f>
        <v>154788535</v>
      </c>
      <c r="M45" s="298">
        <f>REMUNERACION_ENEL!M106</f>
        <v>6819019784.6300001</v>
      </c>
      <c r="N45" s="297">
        <f>REMUNERACION_ENEL!N106</f>
        <v>15466157.32</v>
      </c>
      <c r="O45" s="298">
        <f>REMUNERACION_ENEL!O106</f>
        <v>6834485941.9499998</v>
      </c>
      <c r="Q45" s="309"/>
      <c r="S45" s="317">
        <v>3</v>
      </c>
      <c r="T45" s="318" t="s">
        <v>12</v>
      </c>
      <c r="U45" s="319">
        <f>REMUNERACION_ENEL!U106</f>
        <v>865731503.60000002</v>
      </c>
      <c r="V45" s="320">
        <f>REMUNERACION_ENEL!V106</f>
        <v>848283274.05999994</v>
      </c>
      <c r="W45" s="320">
        <f>REMUNERACION_ENEL!W106</f>
        <v>4011853742.9500003</v>
      </c>
      <c r="X45" s="320">
        <f>REMUNERACION_ENEL!X106</f>
        <v>1455041108.97</v>
      </c>
      <c r="Y45" s="321">
        <f>REMUNERACION_ENEL!Y106</f>
        <v>160902849.89999998</v>
      </c>
      <c r="Z45" s="322">
        <f>REMUNERACION_ENEL!Z106</f>
        <v>-154788535</v>
      </c>
      <c r="AA45" s="323">
        <f>REMUNERACION_ENEL!AA106</f>
        <v>81550.969999999987</v>
      </c>
      <c r="AB45" s="297">
        <f>REMUNERACION_ENEL!AB106</f>
        <v>15466157.32</v>
      </c>
      <c r="AC45" s="323">
        <f>REMUNERACION_ENEL!AC106</f>
        <v>1.7</v>
      </c>
      <c r="AD45" s="294">
        <f>REMUNERACION_ENEL!AD106</f>
        <v>-368085712.51999974</v>
      </c>
      <c r="AE45" s="294">
        <f>REMUNERACION_ENEL!AE106</f>
        <v>-1564908123.8299999</v>
      </c>
      <c r="AF45" s="325">
        <f>REMUNERACION_ENEL!AF106</f>
        <v>6834485941.9500008</v>
      </c>
      <c r="AG45" s="525">
        <f>REMUNERACION_ENEL!AG106</f>
        <v>0</v>
      </c>
      <c r="AH45" s="1"/>
      <c r="AI45" s="309"/>
      <c r="AM45" s="336"/>
    </row>
    <row r="46" spans="1:39" s="308" customFormat="1" x14ac:dyDescent="0.25">
      <c r="B46" s="317">
        <v>4</v>
      </c>
      <c r="C46" s="318" t="s">
        <v>13</v>
      </c>
      <c r="D46" s="294">
        <f>REMUNERACION_ENEL!D107</f>
        <v>10316982159.119999</v>
      </c>
      <c r="E46" s="295">
        <f>REMUNERACION_ENEL!E107</f>
        <v>622367965.5999999</v>
      </c>
      <c r="F46" s="295">
        <f>REMUNERACION_ENEL!F107</f>
        <v>349239018.45999992</v>
      </c>
      <c r="G46" s="295">
        <f>REMUNERACION_ENEL!G107</f>
        <v>183552296.74000001</v>
      </c>
      <c r="H46" s="295">
        <f>REMUNERACION_ENEL!H107</f>
        <v>2320555985.4500003</v>
      </c>
      <c r="I46" s="295">
        <f>REMUNERACION_ENEL!I107</f>
        <v>89671215.210000008</v>
      </c>
      <c r="J46" s="291">
        <f>REMUNERACION_ENEL!J107</f>
        <v>35955816.039999962</v>
      </c>
      <c r="K46" s="298">
        <f>REMUNERACION_ENEL!K107</f>
        <v>6715639861.6199989</v>
      </c>
      <c r="L46" s="297">
        <f>REMUNERACION_ENEL!L107</f>
        <v>120391083</v>
      </c>
      <c r="M46" s="298">
        <f>REMUNERACION_ENEL!M107</f>
        <v>6595248778.6199989</v>
      </c>
      <c r="N46" s="297">
        <f>REMUNERACION_ENEL!N107</f>
        <v>21942346.68</v>
      </c>
      <c r="O46" s="298">
        <f>REMUNERACION_ENEL!O107</f>
        <v>6617191125.2999992</v>
      </c>
      <c r="Q46" s="309"/>
      <c r="S46" s="317">
        <v>4</v>
      </c>
      <c r="T46" s="318" t="s">
        <v>13</v>
      </c>
      <c r="U46" s="319">
        <f>REMUNERACION_ENEL!U107</f>
        <v>786010223.37</v>
      </c>
      <c r="V46" s="320">
        <f>REMUNERACION_ENEL!V107</f>
        <v>775050744.24000001</v>
      </c>
      <c r="W46" s="320">
        <f>REMUNERACION_ENEL!W107</f>
        <v>3986410962.1299996</v>
      </c>
      <c r="X46" s="320">
        <f>REMUNERACION_ENEL!X107</f>
        <v>1646808377.22</v>
      </c>
      <c r="Y46" s="321">
        <f>REMUNERACION_ENEL!Y107</f>
        <v>146783164.39999998</v>
      </c>
      <c r="Z46" s="322">
        <f>REMUNERACION_ENEL!Z107</f>
        <v>-120391083</v>
      </c>
      <c r="AA46" s="323">
        <f>REMUNERACION_ENEL!AA107</f>
        <v>-160463.04999999999</v>
      </c>
      <c r="AB46" s="297">
        <f>REMUNERACION_ENEL!AB107</f>
        <v>21942346.68</v>
      </c>
      <c r="AC46" s="323">
        <f>REMUNERACION_ENEL!AC107</f>
        <v>-49.220000000000006</v>
      </c>
      <c r="AD46" s="294">
        <f>REMUNERACION_ENEL!AD107</f>
        <v>-625263097.47000003</v>
      </c>
      <c r="AE46" s="294">
        <f>REMUNERACION_ENEL!AE107</f>
        <v>-589307281.43000007</v>
      </c>
      <c r="AF46" s="325">
        <f>REMUNERACION_ENEL!AF107</f>
        <v>6617191125.2999992</v>
      </c>
      <c r="AG46" s="525">
        <f>REMUNERACION_ENEL!AG107</f>
        <v>0</v>
      </c>
      <c r="AH46" s="1"/>
      <c r="AI46" s="309"/>
      <c r="AM46" s="336"/>
    </row>
    <row r="47" spans="1:39" s="308" customFormat="1" ht="12" thickBot="1" x14ac:dyDescent="0.3">
      <c r="B47" s="327">
        <v>5</v>
      </c>
      <c r="C47" s="328" t="s">
        <v>14</v>
      </c>
      <c r="D47" s="299">
        <f>REMUNERACION_ENEL!D108</f>
        <v>8254384246.3100004</v>
      </c>
      <c r="E47" s="300">
        <f>REMUNERACION_ENEL!E108</f>
        <v>475627046.11000001</v>
      </c>
      <c r="F47" s="300">
        <f>REMUNERACION_ENEL!F108</f>
        <v>267561735.20000005</v>
      </c>
      <c r="G47" s="300">
        <f>REMUNERACION_ENEL!G108</f>
        <v>137679167.59</v>
      </c>
      <c r="H47" s="300">
        <f>REMUNERACION_ENEL!H108</f>
        <v>1784022365.2299998</v>
      </c>
      <c r="I47" s="300">
        <f>REMUNERACION_ENEL!I108</f>
        <v>68980642.959999993</v>
      </c>
      <c r="J47" s="292">
        <f>REMUNERACION_ENEL!J108</f>
        <v>-1210425628.3100002</v>
      </c>
      <c r="K47" s="298">
        <f>REMUNERACION_ENEL!K108</f>
        <v>6730938917.5300016</v>
      </c>
      <c r="L47" s="297">
        <f>REMUNERACION_ENEL!L108</f>
        <v>128990445</v>
      </c>
      <c r="M47" s="301">
        <f>REMUNERACION_ENEL!M108</f>
        <v>6601948472.5300016</v>
      </c>
      <c r="N47" s="302">
        <f>REMUNERACION_ENEL!N108</f>
        <v>11140806.82</v>
      </c>
      <c r="O47" s="301">
        <f>REMUNERACION_ENEL!O108</f>
        <v>6613089279.3500013</v>
      </c>
      <c r="Q47" s="309"/>
      <c r="S47" s="327">
        <v>5</v>
      </c>
      <c r="T47" s="328" t="s">
        <v>14</v>
      </c>
      <c r="U47" s="299">
        <f>REMUNERACION_ENEL!U108</f>
        <v>606253168.47000003</v>
      </c>
      <c r="V47" s="300">
        <f>REMUNERACION_ENEL!V108</f>
        <v>590811095.5</v>
      </c>
      <c r="W47" s="300">
        <f>REMUNERACION_ENEL!W108</f>
        <v>3038777765.9200006</v>
      </c>
      <c r="X47" s="300">
        <f>REMUNERACION_ENEL!X108</f>
        <v>1384086123.6100001</v>
      </c>
      <c r="Y47" s="292">
        <f>REMUNERACION_ENEL!Y108</f>
        <v>112517910.67999999</v>
      </c>
      <c r="Z47" s="322">
        <f>REMUNERACION_ENEL!Z108</f>
        <v>-128990445</v>
      </c>
      <c r="AA47" s="323">
        <f>REMUNERACION_ENEL!AA108</f>
        <v>-80674.010000000009</v>
      </c>
      <c r="AB47" s="297">
        <f>REMUNERACION_ENEL!AB108</f>
        <v>11140806.82</v>
      </c>
      <c r="AC47" s="323">
        <f>REMUNERACION_ENEL!AC108</f>
        <v>-37.239999999999995</v>
      </c>
      <c r="AD47" s="294">
        <f>REMUNERACION_ENEL!AD108</f>
        <v>998573564.60000014</v>
      </c>
      <c r="AE47" s="294">
        <f>REMUNERACION_ENEL!AE108</f>
        <v>-211852063.71000001</v>
      </c>
      <c r="AF47" s="325">
        <f>REMUNERACION_ENEL!AF108</f>
        <v>6613089279.3500004</v>
      </c>
      <c r="AG47" s="526">
        <f>REMUNERACION_ENEL!AG108</f>
        <v>0</v>
      </c>
      <c r="AH47" s="1"/>
      <c r="AI47" s="309"/>
      <c r="AM47" s="336"/>
    </row>
    <row r="48" spans="1:39" s="308" customFormat="1" ht="13.5" thickBot="1" x14ac:dyDescent="0.35">
      <c r="B48" s="330"/>
      <c r="C48" s="331" t="s">
        <v>2</v>
      </c>
      <c r="D48" s="293">
        <f>REMUNERACION_ENEL!D109</f>
        <v>56263766053.809998</v>
      </c>
      <c r="E48" s="293">
        <f>REMUNERACION_ENEL!E109</f>
        <v>3608102853.1900001</v>
      </c>
      <c r="F48" s="293">
        <f>REMUNERACION_ENEL!F109</f>
        <v>2023095032.8900001</v>
      </c>
      <c r="G48" s="293">
        <f>REMUNERACION_ENEL!G109</f>
        <v>1056748799.1600001</v>
      </c>
      <c r="H48" s="293">
        <f>REMUNERACION_ENEL!H109</f>
        <v>15414942142.990002</v>
      </c>
      <c r="I48" s="293">
        <f>REMUNERACION_ENEL!I109</f>
        <v>571414907.9000001</v>
      </c>
      <c r="J48" s="293">
        <f>REMUNERACION_ENEL!J109</f>
        <v>-5350444198.3299999</v>
      </c>
      <c r="K48" s="303">
        <f>REMUNERACION_ENEL!K109</f>
        <v>38939906516.009995</v>
      </c>
      <c r="L48" s="304">
        <f>REMUNERACION_ENEL!L109</f>
        <v>859936305</v>
      </c>
      <c r="M48" s="305">
        <f>REMUNERACION_ENEL!M109</f>
        <v>38079970211.009995</v>
      </c>
      <c r="N48" s="304">
        <f>REMUNERACION_ENEL!N109</f>
        <v>86245635.939999998</v>
      </c>
      <c r="O48" s="305">
        <f>REMUNERACION_ENEL!O109</f>
        <v>38166215846.949997</v>
      </c>
      <c r="P48" s="332"/>
      <c r="Q48" s="309"/>
      <c r="S48" s="330"/>
      <c r="T48" s="331" t="s">
        <v>2</v>
      </c>
      <c r="U48" s="333">
        <f>REMUNERACION_ENEL!U109</f>
        <v>5021026803.7800007</v>
      </c>
      <c r="V48" s="333">
        <f>REMUNERACION_ENEL!V109</f>
        <v>4924384928.4300003</v>
      </c>
      <c r="W48" s="333">
        <f>REMUNERACION_ENEL!W109</f>
        <v>23770534057.520004</v>
      </c>
      <c r="X48" s="333">
        <f>REMUNERACION_ENEL!X109</f>
        <v>8866722958.7399998</v>
      </c>
      <c r="Y48" s="333">
        <f>REMUNERACION_ENEL!Y109</f>
        <v>933382167.9799999</v>
      </c>
      <c r="Z48" s="293">
        <f>REMUNERACION_ENEL!Z109</f>
        <v>-859936305</v>
      </c>
      <c r="AA48" s="293">
        <f>REMUNERACION_ENEL!AA109</f>
        <v>-133415.02000000002</v>
      </c>
      <c r="AB48" s="293">
        <f>REMUNERACION_ENEL!AB109</f>
        <v>86245635.939999998</v>
      </c>
      <c r="AC48" s="293">
        <f>REMUNERACION_ENEL!AC109</f>
        <v>73.340000000000018</v>
      </c>
      <c r="AD48" s="293">
        <f>REMUNERACION_ENEL!AD109</f>
        <v>-4576011058.7599993</v>
      </c>
      <c r="AE48" s="293">
        <f>REMUNERACION_ENEL!AE109</f>
        <v>-9926455257.0900002</v>
      </c>
      <c r="AF48" s="334">
        <f>REMUNERACION_ENEL!AF109</f>
        <v>38166215846.949997</v>
      </c>
      <c r="AG48" s="527">
        <f>REMUNERACION_ENEL!AG109</f>
        <v>0</v>
      </c>
      <c r="AH48" s="1"/>
      <c r="AI48" s="309"/>
      <c r="AM48" s="336"/>
    </row>
    <row r="49" spans="1:39" x14ac:dyDescent="0.25">
      <c r="B49" s="2"/>
      <c r="C49" s="2"/>
      <c r="D49" s="451"/>
      <c r="E49" s="451"/>
      <c r="F49" s="451"/>
      <c r="G49" s="451"/>
      <c r="H49" s="451"/>
      <c r="I49" s="451"/>
      <c r="K49" s="451"/>
      <c r="L49" s="451"/>
      <c r="M49" s="451"/>
      <c r="N49" s="451"/>
      <c r="O49" s="451"/>
      <c r="Q49" s="4"/>
      <c r="S49" s="2"/>
      <c r="T49" s="2"/>
      <c r="U49" s="451"/>
      <c r="V49" s="451"/>
      <c r="W49" s="451"/>
      <c r="X49" s="451"/>
      <c r="Y49" s="451"/>
      <c r="AF49" s="451"/>
      <c r="AI49" s="4"/>
    </row>
    <row r="50" spans="1:39" x14ac:dyDescent="0.25">
      <c r="B50" s="2"/>
      <c r="C50" s="2"/>
      <c r="D50" s="542"/>
      <c r="E50" s="542"/>
      <c r="F50" s="542"/>
      <c r="G50" s="542"/>
      <c r="H50" s="542"/>
      <c r="I50" s="542"/>
      <c r="K50" s="542"/>
      <c r="L50" s="542"/>
      <c r="M50" s="542"/>
      <c r="N50" s="542"/>
      <c r="O50" s="542"/>
      <c r="Q50" s="4"/>
      <c r="AI50" s="4"/>
    </row>
    <row r="51" spans="1:39" x14ac:dyDescent="0.25">
      <c r="A51" s="4"/>
      <c r="B51" s="34"/>
      <c r="C51" s="34"/>
      <c r="D51" s="477"/>
      <c r="E51" s="477"/>
      <c r="F51" s="477"/>
      <c r="G51" s="477"/>
      <c r="H51" s="477"/>
      <c r="I51" s="477"/>
      <c r="J51" s="4"/>
      <c r="K51" s="477"/>
      <c r="L51" s="477"/>
      <c r="M51" s="477"/>
      <c r="N51" s="477"/>
      <c r="O51" s="477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4"/>
    </row>
    <row r="52" spans="1:39" ht="12" thickBot="1" x14ac:dyDescent="0.3">
      <c r="B52" s="2"/>
      <c r="C52" s="2"/>
      <c r="D52" s="542"/>
      <c r="E52" s="542"/>
      <c r="F52" s="542"/>
      <c r="G52" s="542"/>
      <c r="H52" s="542"/>
      <c r="I52" s="542"/>
      <c r="K52" s="542"/>
      <c r="L52" s="542"/>
      <c r="M52" s="542"/>
      <c r="N52" s="542"/>
      <c r="O52" s="542"/>
    </row>
    <row r="53" spans="1:39" x14ac:dyDescent="0.25">
      <c r="B53" s="5"/>
      <c r="C53" s="3" t="s">
        <v>1</v>
      </c>
      <c r="D53" s="6" t="s">
        <v>1</v>
      </c>
      <c r="E53" s="3"/>
      <c r="F53" s="3"/>
      <c r="G53" s="3"/>
      <c r="H53" s="3" t="s">
        <v>1</v>
      </c>
      <c r="I53" s="3"/>
      <c r="J53" s="3"/>
      <c r="K53" s="3"/>
      <c r="L53" s="3"/>
      <c r="M53" s="3"/>
      <c r="N53" s="3"/>
      <c r="O53" s="7"/>
      <c r="P53" s="2"/>
      <c r="Q53" s="4"/>
      <c r="S53" s="5"/>
      <c r="T53" s="3" t="s">
        <v>1</v>
      </c>
      <c r="U53" s="6" t="s">
        <v>1</v>
      </c>
      <c r="V53" s="3"/>
      <c r="W53" s="3"/>
      <c r="X53" s="3" t="s">
        <v>1</v>
      </c>
      <c r="Y53" s="3"/>
      <c r="Z53" s="3"/>
      <c r="AA53" s="3"/>
      <c r="AB53" s="3"/>
      <c r="AC53" s="3"/>
      <c r="AD53" s="3"/>
      <c r="AE53" s="3"/>
      <c r="AF53" s="7"/>
      <c r="AG53" s="2"/>
      <c r="AI53" s="4"/>
    </row>
    <row r="54" spans="1:39" ht="14" x14ac:dyDescent="0.3">
      <c r="B54" s="8"/>
      <c r="F54" s="26" t="s">
        <v>8</v>
      </c>
      <c r="G54" s="26"/>
      <c r="I54" s="26" t="s">
        <v>16</v>
      </c>
      <c r="J54" s="25"/>
      <c r="M54" s="2"/>
      <c r="N54" s="50"/>
      <c r="O54" s="10"/>
      <c r="P54" s="2"/>
      <c r="Q54" s="4"/>
      <c r="S54" s="8"/>
      <c r="U54" s="26" t="s">
        <v>8</v>
      </c>
      <c r="W54" s="26" t="s">
        <v>16</v>
      </c>
      <c r="X54" s="25"/>
      <c r="Y54" s="2"/>
      <c r="AA54" s="2" t="s">
        <v>1</v>
      </c>
      <c r="AD54" s="84" t="s">
        <v>1</v>
      </c>
      <c r="AE54" s="84"/>
      <c r="AF54" s="48"/>
      <c r="AG54" s="2"/>
      <c r="AI54" s="4"/>
    </row>
    <row r="55" spans="1:39" ht="15.5" x14ac:dyDescent="0.35">
      <c r="B55" s="8"/>
      <c r="F55" s="36" t="s">
        <v>29</v>
      </c>
      <c r="G55" s="36"/>
      <c r="O55" s="10"/>
      <c r="P55" s="2"/>
      <c r="Q55" s="4"/>
      <c r="S55" s="8"/>
      <c r="T55" s="26" t="s">
        <v>1</v>
      </c>
      <c r="U55" s="36" t="s">
        <v>29</v>
      </c>
      <c r="Y55" s="2" t="s">
        <v>1</v>
      </c>
      <c r="AA55" s="50" t="s">
        <v>1</v>
      </c>
      <c r="AB55" s="2"/>
      <c r="AC55" s="2"/>
      <c r="AD55" s="2"/>
      <c r="AE55" s="2"/>
      <c r="AF55" s="10" t="s">
        <v>1</v>
      </c>
      <c r="AG55" s="2"/>
      <c r="AI55" s="4"/>
    </row>
    <row r="56" spans="1:39" ht="14" x14ac:dyDescent="0.3">
      <c r="B56" s="8"/>
      <c r="F56" s="2" t="s">
        <v>30</v>
      </c>
      <c r="G56" s="2"/>
      <c r="L56" s="91"/>
      <c r="M56" s="2" t="s">
        <v>1</v>
      </c>
      <c r="O56" s="10"/>
      <c r="P56" s="2"/>
      <c r="Q56" s="4"/>
      <c r="S56" s="8"/>
      <c r="T56" s="49" t="s">
        <v>1</v>
      </c>
      <c r="U56" s="2" t="s">
        <v>30</v>
      </c>
      <c r="AF56" s="44"/>
      <c r="AG56" s="2"/>
      <c r="AI56" s="4"/>
    </row>
    <row r="57" spans="1:39" ht="15.5" x14ac:dyDescent="0.35">
      <c r="B57" s="8"/>
      <c r="C57" s="2"/>
      <c r="D57" s="9"/>
      <c r="F57" s="58" t="s">
        <v>329</v>
      </c>
      <c r="G57" s="58"/>
      <c r="H57" s="59"/>
      <c r="I57" s="60"/>
      <c r="J57" s="59"/>
      <c r="L57" s="91"/>
      <c r="O57" s="10"/>
      <c r="P57" s="2"/>
      <c r="Q57" s="4"/>
      <c r="S57" s="8"/>
      <c r="T57" s="41" t="s">
        <v>1</v>
      </c>
      <c r="U57" s="58" t="s">
        <v>35</v>
      </c>
      <c r="V57" s="59"/>
      <c r="W57" s="60"/>
      <c r="X57" s="59"/>
      <c r="Y57" s="2"/>
      <c r="AF57" s="48"/>
      <c r="AG57" s="2"/>
      <c r="AI57" s="4"/>
    </row>
    <row r="58" spans="1:39" ht="18" thickBot="1" x14ac:dyDescent="0.5">
      <c r="B58" s="8"/>
      <c r="C58" s="2"/>
      <c r="D58" s="241"/>
      <c r="F58" s="2"/>
      <c r="G58" s="9"/>
      <c r="J58" s="2"/>
      <c r="K58" s="9"/>
      <c r="L58" s="92"/>
      <c r="O58" s="10"/>
      <c r="P58" s="2"/>
      <c r="Q58" s="4"/>
      <c r="S58" s="8"/>
      <c r="V58" s="9"/>
      <c r="Y58" s="9"/>
      <c r="Z58" s="1" t="s">
        <v>1</v>
      </c>
      <c r="AF58" s="48"/>
      <c r="AG58" s="2"/>
      <c r="AI58" s="4"/>
      <c r="AJ58" s="112" t="s">
        <v>1</v>
      </c>
    </row>
    <row r="59" spans="1:39" ht="72" customHeight="1" thickBot="1" x14ac:dyDescent="0.3">
      <c r="B59" s="11" t="s">
        <v>3</v>
      </c>
      <c r="C59" s="27" t="s">
        <v>9</v>
      </c>
      <c r="D59" s="11" t="s">
        <v>4</v>
      </c>
      <c r="E59" s="12" t="s">
        <v>5</v>
      </c>
      <c r="F59" s="27" t="s">
        <v>6</v>
      </c>
      <c r="G59" s="27" t="s">
        <v>159</v>
      </c>
      <c r="H59" s="27" t="s">
        <v>18</v>
      </c>
      <c r="I59" s="12" t="s">
        <v>24</v>
      </c>
      <c r="J59" s="73" t="s">
        <v>19</v>
      </c>
      <c r="K59" s="29" t="s">
        <v>20</v>
      </c>
      <c r="L59" s="28" t="s">
        <v>21</v>
      </c>
      <c r="M59" s="39" t="s">
        <v>22</v>
      </c>
      <c r="N59" s="12" t="s">
        <v>7</v>
      </c>
      <c r="O59" s="39" t="s">
        <v>23</v>
      </c>
      <c r="P59" s="13"/>
      <c r="Q59" s="4"/>
      <c r="S59" s="11" t="s">
        <v>3</v>
      </c>
      <c r="T59" s="27" t="s">
        <v>9</v>
      </c>
      <c r="U59" s="162" t="s">
        <v>39</v>
      </c>
      <c r="V59" s="163" t="s">
        <v>40</v>
      </c>
      <c r="W59" s="163" t="s">
        <v>41</v>
      </c>
      <c r="X59" s="163" t="s">
        <v>42</v>
      </c>
      <c r="Y59" s="164" t="s">
        <v>43</v>
      </c>
      <c r="Z59" s="85" t="s">
        <v>21</v>
      </c>
      <c r="AA59" s="65" t="s">
        <v>46</v>
      </c>
      <c r="AB59" s="65" t="s">
        <v>7</v>
      </c>
      <c r="AC59" s="85" t="s">
        <v>167</v>
      </c>
      <c r="AD59" s="121" t="s">
        <v>105</v>
      </c>
      <c r="AE59" s="121" t="s">
        <v>104</v>
      </c>
      <c r="AF59" s="39" t="s">
        <v>23</v>
      </c>
      <c r="AG59" s="13"/>
      <c r="AI59" s="4"/>
    </row>
    <row r="60" spans="1:39" s="308" customFormat="1" x14ac:dyDescent="0.25">
      <c r="B60" s="306">
        <v>1</v>
      </c>
      <c r="C60" s="307" t="s">
        <v>10</v>
      </c>
      <c r="D60" s="294">
        <f>REMUNERACION_ENERBIT!D104</f>
        <v>0</v>
      </c>
      <c r="E60" s="294">
        <f>REMUNERACION_ENERBIT!E104</f>
        <v>0</v>
      </c>
      <c r="F60" s="294">
        <f>REMUNERACION_ENERBIT!F104</f>
        <v>0</v>
      </c>
      <c r="G60" s="294">
        <f>REMUNERACION_ENERBIT!G104</f>
        <v>0</v>
      </c>
      <c r="H60" s="294">
        <f>REMUNERACION_ENERBIT!H104</f>
        <v>0</v>
      </c>
      <c r="I60" s="294">
        <f>REMUNERACION_ENERBIT!I104</f>
        <v>0</v>
      </c>
      <c r="J60" s="294">
        <f>REMUNERACION_ENERBIT!J104</f>
        <v>0</v>
      </c>
      <c r="K60" s="296">
        <f>REMUNERACION_ENERBIT!K104</f>
        <v>0</v>
      </c>
      <c r="L60" s="297">
        <f>REMUNERACION_ENERBIT!L104</f>
        <v>0</v>
      </c>
      <c r="M60" s="296">
        <f>REMUNERACION_ENERBIT!M104</f>
        <v>0</v>
      </c>
      <c r="N60" s="297">
        <f>REMUNERACION_ENERBIT!N104</f>
        <v>0</v>
      </c>
      <c r="O60" s="296">
        <f>REMUNERACION_ENERBIT!O104</f>
        <v>0</v>
      </c>
      <c r="Q60" s="309"/>
      <c r="S60" s="306">
        <v>1</v>
      </c>
      <c r="T60" s="307" t="s">
        <v>10</v>
      </c>
      <c r="U60" s="310">
        <f>REMUNERACION_ENERBIT!U104</f>
        <v>0</v>
      </c>
      <c r="V60" s="311">
        <f>REMUNERACION_ENERBIT!V104</f>
        <v>0</v>
      </c>
      <c r="W60" s="311">
        <f>REMUNERACION_ENERBIT!W104</f>
        <v>0</v>
      </c>
      <c r="X60" s="311">
        <f>REMUNERACION_ENERBIT!X104</f>
        <v>0</v>
      </c>
      <c r="Y60" s="312">
        <f>REMUNERACION_ENERBIT!Y104</f>
        <v>0</v>
      </c>
      <c r="Z60" s="312">
        <f>REMUNERACION_ENERBIT!Z104</f>
        <v>0</v>
      </c>
      <c r="AA60" s="312">
        <f>REMUNERACION_ENERBIT!AA104</f>
        <v>0</v>
      </c>
      <c r="AB60" s="312">
        <f>REMUNERACION_ENERBIT!AB104</f>
        <v>0</v>
      </c>
      <c r="AC60" s="312">
        <f>REMUNERACION_ENERBIT!AC104</f>
        <v>0</v>
      </c>
      <c r="AD60" s="312">
        <f>REMUNERACION_ENERBIT!AD104</f>
        <v>0</v>
      </c>
      <c r="AE60" s="312">
        <f>REMUNERACION_ENERBIT!AE104</f>
        <v>0</v>
      </c>
      <c r="AF60" s="316">
        <f>REMUNERACION_ENERBIT!AF104</f>
        <v>0</v>
      </c>
      <c r="AG60" s="524">
        <f>REMUNERACION_ENEL!AG121</f>
        <v>0</v>
      </c>
      <c r="AH60" s="1"/>
      <c r="AI60" s="309"/>
      <c r="AM60" s="336"/>
    </row>
    <row r="61" spans="1:39" s="308" customFormat="1" x14ac:dyDescent="0.25">
      <c r="B61" s="317">
        <v>2</v>
      </c>
      <c r="C61" s="318" t="s">
        <v>11</v>
      </c>
      <c r="D61" s="294">
        <f>REMUNERACION_ENERBIT!D105</f>
        <v>0</v>
      </c>
      <c r="E61" s="294">
        <f>REMUNERACION_ENERBIT!E105</f>
        <v>0</v>
      </c>
      <c r="F61" s="294">
        <f>REMUNERACION_ENERBIT!F105</f>
        <v>0</v>
      </c>
      <c r="G61" s="294">
        <f>REMUNERACION_ENERBIT!G105</f>
        <v>0</v>
      </c>
      <c r="H61" s="294">
        <f>REMUNERACION_ENERBIT!H105</f>
        <v>0</v>
      </c>
      <c r="I61" s="294">
        <f>REMUNERACION_ENERBIT!I105</f>
        <v>0</v>
      </c>
      <c r="J61" s="294">
        <f>REMUNERACION_ENERBIT!J105</f>
        <v>0</v>
      </c>
      <c r="K61" s="298">
        <f>REMUNERACION_ENERBIT!K105</f>
        <v>0</v>
      </c>
      <c r="L61" s="297">
        <f>REMUNERACION_ENERBIT!L105</f>
        <v>0</v>
      </c>
      <c r="M61" s="298">
        <f>REMUNERACION_ENERBIT!M105</f>
        <v>0</v>
      </c>
      <c r="N61" s="297">
        <f>REMUNERACION_ENERBIT!N105</f>
        <v>0</v>
      </c>
      <c r="O61" s="298">
        <f>REMUNERACION_ENERBIT!O105</f>
        <v>0</v>
      </c>
      <c r="Q61" s="309"/>
      <c r="S61" s="317">
        <v>2</v>
      </c>
      <c r="T61" s="318" t="s">
        <v>11</v>
      </c>
      <c r="U61" s="319">
        <f>REMUNERACION_ENERBIT!U105</f>
        <v>0</v>
      </c>
      <c r="V61" s="320">
        <f>REMUNERACION_ENERBIT!V105</f>
        <v>0</v>
      </c>
      <c r="W61" s="320">
        <f>REMUNERACION_ENERBIT!W105</f>
        <v>0</v>
      </c>
      <c r="X61" s="320">
        <f>REMUNERACION_ENERBIT!X105</f>
        <v>0</v>
      </c>
      <c r="Y61" s="321">
        <f>REMUNERACION_ENERBIT!Y105</f>
        <v>0</v>
      </c>
      <c r="Z61" s="321">
        <f>REMUNERACION_ENERBIT!Z105</f>
        <v>0</v>
      </c>
      <c r="AA61" s="321">
        <f>REMUNERACION_ENERBIT!AA105</f>
        <v>0</v>
      </c>
      <c r="AB61" s="321">
        <f>REMUNERACION_ENERBIT!AB105</f>
        <v>0</v>
      </c>
      <c r="AC61" s="321">
        <f>REMUNERACION_ENERBIT!AC105</f>
        <v>0</v>
      </c>
      <c r="AD61" s="321">
        <f>REMUNERACION_ENERBIT!AD105</f>
        <v>0</v>
      </c>
      <c r="AE61" s="321">
        <f>REMUNERACION_ENERBIT!AE105</f>
        <v>0</v>
      </c>
      <c r="AF61" s="325">
        <f>REMUNERACION_ENERBIT!AF105</f>
        <v>0</v>
      </c>
      <c r="AG61" s="525">
        <f>REMUNERACION_ENEL!AG122</f>
        <v>0</v>
      </c>
      <c r="AH61" s="1"/>
      <c r="AI61" s="309"/>
      <c r="AM61" s="336"/>
    </row>
    <row r="62" spans="1:39" s="308" customFormat="1" x14ac:dyDescent="0.25">
      <c r="B62" s="317">
        <v>3</v>
      </c>
      <c r="C62" s="318" t="s">
        <v>12</v>
      </c>
      <c r="D62" s="294">
        <f>REMUNERACION_ENERBIT!D106</f>
        <v>0</v>
      </c>
      <c r="E62" s="294">
        <f>REMUNERACION_ENERBIT!E106</f>
        <v>0</v>
      </c>
      <c r="F62" s="294">
        <f>REMUNERACION_ENERBIT!F106</f>
        <v>0</v>
      </c>
      <c r="G62" s="294">
        <f>REMUNERACION_ENERBIT!G106</f>
        <v>0</v>
      </c>
      <c r="H62" s="294">
        <f>REMUNERACION_ENERBIT!H106</f>
        <v>0</v>
      </c>
      <c r="I62" s="294">
        <f>REMUNERACION_ENERBIT!I106</f>
        <v>0</v>
      </c>
      <c r="J62" s="294">
        <f>REMUNERACION_ENERBIT!J106</f>
        <v>0</v>
      </c>
      <c r="K62" s="298">
        <f>REMUNERACION_ENERBIT!K106</f>
        <v>0</v>
      </c>
      <c r="L62" s="297">
        <f>REMUNERACION_ENERBIT!L106</f>
        <v>0</v>
      </c>
      <c r="M62" s="298">
        <f>REMUNERACION_ENERBIT!M106</f>
        <v>0</v>
      </c>
      <c r="N62" s="297">
        <f>REMUNERACION_ENERBIT!N106</f>
        <v>0</v>
      </c>
      <c r="O62" s="298">
        <f>REMUNERACION_ENERBIT!O106</f>
        <v>0</v>
      </c>
      <c r="Q62" s="309"/>
      <c r="S62" s="317">
        <v>3</v>
      </c>
      <c r="T62" s="318" t="s">
        <v>12</v>
      </c>
      <c r="U62" s="319">
        <f>REMUNERACION_ENERBIT!U106</f>
        <v>0</v>
      </c>
      <c r="V62" s="320">
        <f>REMUNERACION_ENERBIT!V106</f>
        <v>0</v>
      </c>
      <c r="W62" s="320">
        <f>REMUNERACION_ENERBIT!W106</f>
        <v>0</v>
      </c>
      <c r="X62" s="320">
        <f>REMUNERACION_ENERBIT!X106</f>
        <v>0</v>
      </c>
      <c r="Y62" s="321">
        <f>REMUNERACION_ENERBIT!Y106</f>
        <v>0</v>
      </c>
      <c r="Z62" s="321">
        <f>REMUNERACION_ENERBIT!Z106</f>
        <v>0</v>
      </c>
      <c r="AA62" s="321">
        <f>REMUNERACION_ENERBIT!AA106</f>
        <v>0</v>
      </c>
      <c r="AB62" s="321">
        <f>REMUNERACION_ENERBIT!AB106</f>
        <v>0</v>
      </c>
      <c r="AC62" s="321">
        <f>REMUNERACION_ENERBIT!AC106</f>
        <v>0</v>
      </c>
      <c r="AD62" s="321">
        <f>REMUNERACION_ENERBIT!AD106</f>
        <v>0</v>
      </c>
      <c r="AE62" s="321">
        <f>REMUNERACION_ENERBIT!AE106</f>
        <v>0</v>
      </c>
      <c r="AF62" s="325">
        <f>REMUNERACION_ENERBIT!AF106</f>
        <v>0</v>
      </c>
      <c r="AG62" s="525">
        <f>REMUNERACION_ENEL!AG123</f>
        <v>0</v>
      </c>
      <c r="AH62" s="1"/>
      <c r="AI62" s="309"/>
      <c r="AM62" s="336"/>
    </row>
    <row r="63" spans="1:39" s="308" customFormat="1" x14ac:dyDescent="0.25">
      <c r="B63" s="317">
        <v>4</v>
      </c>
      <c r="C63" s="318" t="s">
        <v>13</v>
      </c>
      <c r="D63" s="294">
        <f>REMUNERACION_ENERBIT!D107</f>
        <v>0</v>
      </c>
      <c r="E63" s="294">
        <f>REMUNERACION_ENERBIT!E107</f>
        <v>0</v>
      </c>
      <c r="F63" s="294">
        <f>REMUNERACION_ENERBIT!F107</f>
        <v>0</v>
      </c>
      <c r="G63" s="294">
        <f>REMUNERACION_ENERBIT!G107</f>
        <v>0</v>
      </c>
      <c r="H63" s="294">
        <f>REMUNERACION_ENERBIT!H107</f>
        <v>0</v>
      </c>
      <c r="I63" s="294">
        <f>REMUNERACION_ENERBIT!I107</f>
        <v>0</v>
      </c>
      <c r="J63" s="294">
        <f>REMUNERACION_ENERBIT!J107</f>
        <v>0</v>
      </c>
      <c r="K63" s="298">
        <f>REMUNERACION_ENERBIT!K107</f>
        <v>0</v>
      </c>
      <c r="L63" s="297">
        <f>REMUNERACION_ENERBIT!L107</f>
        <v>0</v>
      </c>
      <c r="M63" s="298">
        <f>REMUNERACION_ENERBIT!M107</f>
        <v>0</v>
      </c>
      <c r="N63" s="297">
        <f>REMUNERACION_ENERBIT!N107</f>
        <v>0</v>
      </c>
      <c r="O63" s="298">
        <f>REMUNERACION_ENERBIT!O107</f>
        <v>0</v>
      </c>
      <c r="Q63" s="309"/>
      <c r="S63" s="317">
        <v>4</v>
      </c>
      <c r="T63" s="318" t="s">
        <v>13</v>
      </c>
      <c r="U63" s="319">
        <f>REMUNERACION_ENERBIT!U107</f>
        <v>0</v>
      </c>
      <c r="V63" s="320">
        <f>REMUNERACION_ENERBIT!V107</f>
        <v>0</v>
      </c>
      <c r="W63" s="320">
        <f>REMUNERACION_ENERBIT!W107</f>
        <v>0</v>
      </c>
      <c r="X63" s="320">
        <f>REMUNERACION_ENERBIT!X107</f>
        <v>0</v>
      </c>
      <c r="Y63" s="321">
        <f>REMUNERACION_ENERBIT!Y107</f>
        <v>0</v>
      </c>
      <c r="Z63" s="321">
        <f>REMUNERACION_ENERBIT!Z107</f>
        <v>0</v>
      </c>
      <c r="AA63" s="321">
        <f>REMUNERACION_ENERBIT!AA107</f>
        <v>0</v>
      </c>
      <c r="AB63" s="321">
        <f>REMUNERACION_ENERBIT!AB107</f>
        <v>0</v>
      </c>
      <c r="AC63" s="321">
        <f>REMUNERACION_ENERBIT!AC107</f>
        <v>0</v>
      </c>
      <c r="AD63" s="321">
        <f>REMUNERACION_ENERBIT!AD107</f>
        <v>0</v>
      </c>
      <c r="AE63" s="321">
        <f>REMUNERACION_ENERBIT!AE107</f>
        <v>0</v>
      </c>
      <c r="AF63" s="325">
        <f>REMUNERACION_ENERBIT!AF107</f>
        <v>0</v>
      </c>
      <c r="AG63" s="525">
        <f>REMUNERACION_ENEL!AG124</f>
        <v>0</v>
      </c>
      <c r="AH63" s="1"/>
      <c r="AI63" s="309"/>
      <c r="AM63" s="336"/>
    </row>
    <row r="64" spans="1:39" s="308" customFormat="1" ht="12" thickBot="1" x14ac:dyDescent="0.3">
      <c r="B64" s="327">
        <v>5</v>
      </c>
      <c r="C64" s="328" t="s">
        <v>14</v>
      </c>
      <c r="D64" s="294">
        <f>REMUNERACION_ENERBIT!D108</f>
        <v>126372775.04000001</v>
      </c>
      <c r="E64" s="294">
        <f>REMUNERACION_ENERBIT!E108</f>
        <v>8720551.6300000008</v>
      </c>
      <c r="F64" s="294">
        <f>REMUNERACION_ENERBIT!F108</f>
        <v>4857263.71</v>
      </c>
      <c r="G64" s="294">
        <f>REMUNERACION_ENERBIT!G108</f>
        <v>2598417</v>
      </c>
      <c r="H64" s="294">
        <f>REMUNERACION_ENERBIT!H108</f>
        <v>30682714.440000001</v>
      </c>
      <c r="I64" s="294">
        <f>REMUNERACION_ENERBIT!I108</f>
        <v>1156017.44</v>
      </c>
      <c r="J64" s="294">
        <f>REMUNERACION_ENERBIT!J108</f>
        <v>0</v>
      </c>
      <c r="K64" s="298">
        <f>REMUNERACION_ENERBIT!K108</f>
        <v>78357810.820000023</v>
      </c>
      <c r="L64" s="297">
        <f>REMUNERACION_ENERBIT!L108</f>
        <v>0</v>
      </c>
      <c r="M64" s="301">
        <f>REMUNERACION_ENERBIT!M108</f>
        <v>78357810.820000023</v>
      </c>
      <c r="N64" s="302">
        <f>REMUNERACION_ENERBIT!N108</f>
        <v>139.96</v>
      </c>
      <c r="O64" s="301">
        <f>REMUNERACION_ENERBIT!O108</f>
        <v>78357950.780000016</v>
      </c>
      <c r="Q64" s="309"/>
      <c r="S64" s="327">
        <v>5</v>
      </c>
      <c r="T64" s="328" t="s">
        <v>14</v>
      </c>
      <c r="U64" s="299">
        <f>REMUNERACION_ENERBIT!U108</f>
        <v>10077020.48</v>
      </c>
      <c r="V64" s="300">
        <f>REMUNERACION_ENERBIT!V108</f>
        <v>9898566.1699999999</v>
      </c>
      <c r="W64" s="300">
        <f>REMUNERACION_ENERBIT!W108</f>
        <v>52291951.810000002</v>
      </c>
      <c r="X64" s="300">
        <f>REMUNERACION_ENERBIT!X108</f>
        <v>25048291.640000001</v>
      </c>
      <c r="Y64" s="292">
        <f>REMUNERACION_ENERBIT!Y108</f>
        <v>1891089.15</v>
      </c>
      <c r="Z64" s="292">
        <f>REMUNERACION_ENERBIT!Z108</f>
        <v>0</v>
      </c>
      <c r="AA64" s="292">
        <f>REMUNERACION_ENERBIT!AA108</f>
        <v>2097.96</v>
      </c>
      <c r="AB64" s="292">
        <f>REMUNERACION_ENERBIT!AB108</f>
        <v>139.96</v>
      </c>
      <c r="AC64" s="292">
        <f>REMUNERACION_ENERBIT!AC108</f>
        <v>-0.02</v>
      </c>
      <c r="AD64" s="292">
        <f>REMUNERACION_ENERBIT!AD108</f>
        <v>-20851206.370000001</v>
      </c>
      <c r="AE64" s="292">
        <f>REMUNERACION_ENERBIT!AE108</f>
        <v>-20851206.370000001</v>
      </c>
      <c r="AF64" s="325">
        <f>REMUNERACION_ENERBIT!AF108</f>
        <v>78357950.780000001</v>
      </c>
      <c r="AG64" s="526">
        <f>REMUNERACION_ENEL!AG125</f>
        <v>0</v>
      </c>
      <c r="AH64" s="1"/>
      <c r="AI64" s="309"/>
      <c r="AM64" s="336"/>
    </row>
    <row r="65" spans="1:39" s="308" customFormat="1" ht="13.5" thickBot="1" x14ac:dyDescent="0.35">
      <c r="B65" s="330"/>
      <c r="C65" s="331" t="s">
        <v>2</v>
      </c>
      <c r="D65" s="293">
        <f>REMUNERACION_ENERBIT!D109</f>
        <v>126372775.04000001</v>
      </c>
      <c r="E65" s="293">
        <f>REMUNERACION_ENERBIT!E109</f>
        <v>8720551.6300000008</v>
      </c>
      <c r="F65" s="293">
        <f>REMUNERACION_ENERBIT!F109</f>
        <v>4857263.71</v>
      </c>
      <c r="G65" s="293">
        <f>REMUNERACION_ENERBIT!G109</f>
        <v>2598417</v>
      </c>
      <c r="H65" s="293">
        <f>REMUNERACION_ENERBIT!H109</f>
        <v>30682714.440000001</v>
      </c>
      <c r="I65" s="293">
        <f>REMUNERACION_ENERBIT!I109</f>
        <v>1156017.44</v>
      </c>
      <c r="J65" s="293">
        <f>REMUNERACION_ENERBIT!J109</f>
        <v>0</v>
      </c>
      <c r="K65" s="303">
        <f>REMUNERACION_ENERBIT!K109</f>
        <v>78357810.820000023</v>
      </c>
      <c r="L65" s="304">
        <f>REMUNERACION_ENERBIT!L109</f>
        <v>0</v>
      </c>
      <c r="M65" s="305">
        <f>REMUNERACION_ENERBIT!M109</f>
        <v>78357810.820000023</v>
      </c>
      <c r="N65" s="304">
        <f>REMUNERACION_ENERBIT!N109</f>
        <v>139.96</v>
      </c>
      <c r="O65" s="305">
        <f>REMUNERACION_ENERBIT!O109</f>
        <v>78357950.780000016</v>
      </c>
      <c r="P65" s="332"/>
      <c r="Q65" s="309"/>
      <c r="S65" s="330"/>
      <c r="T65" s="331" t="s">
        <v>2</v>
      </c>
      <c r="U65" s="333">
        <f>REMUNERACION_ENERBIT!U109</f>
        <v>10077020.48</v>
      </c>
      <c r="V65" s="333">
        <f>REMUNERACION_ENERBIT!V109</f>
        <v>9898566.1699999999</v>
      </c>
      <c r="W65" s="333">
        <f>REMUNERACION_ENERBIT!W109</f>
        <v>52291951.810000002</v>
      </c>
      <c r="X65" s="333">
        <f>REMUNERACION_ENERBIT!X109</f>
        <v>25048291.640000001</v>
      </c>
      <c r="Y65" s="333">
        <f>REMUNERACION_ENERBIT!Y109</f>
        <v>1891089.15</v>
      </c>
      <c r="Z65" s="333">
        <f>REMUNERACION_ENERBIT!Z109</f>
        <v>0</v>
      </c>
      <c r="AA65" s="333">
        <f>REMUNERACION_ENERBIT!AA109</f>
        <v>2097.96</v>
      </c>
      <c r="AB65" s="333">
        <f>REMUNERACION_ENERBIT!AB109</f>
        <v>139.96</v>
      </c>
      <c r="AC65" s="333">
        <f>REMUNERACION_ENERBIT!AC109</f>
        <v>-0.02</v>
      </c>
      <c r="AD65" s="333">
        <f>REMUNERACION_ENERBIT!AD109</f>
        <v>-20851206.370000001</v>
      </c>
      <c r="AE65" s="333">
        <f>REMUNERACION_ENERBIT!AE109</f>
        <v>-20851206.370000001</v>
      </c>
      <c r="AF65" s="334">
        <f>REMUNERACION_ENERBIT!AF109</f>
        <v>78357950.780000001</v>
      </c>
      <c r="AG65" s="527">
        <f>REMUNERACION_ENEL!AG126</f>
        <v>0</v>
      </c>
      <c r="AH65" s="1"/>
      <c r="AI65" s="309"/>
      <c r="AM65" s="336"/>
    </row>
    <row r="66" spans="1:39" x14ac:dyDescent="0.25">
      <c r="B66" s="2"/>
      <c r="C66" s="2"/>
      <c r="D66" s="451"/>
      <c r="E66" s="451"/>
      <c r="F66" s="451"/>
      <c r="G66" s="451"/>
      <c r="H66" s="451"/>
      <c r="I66" s="451"/>
      <c r="K66" s="451"/>
      <c r="L66" s="451"/>
      <c r="M66" s="451"/>
      <c r="N66" s="451"/>
      <c r="O66" s="451"/>
      <c r="Q66" s="4"/>
      <c r="S66" s="2"/>
      <c r="T66" s="2"/>
      <c r="U66" s="451"/>
      <c r="V66" s="451"/>
      <c r="W66" s="451"/>
      <c r="X66" s="451"/>
      <c r="Y66" s="451"/>
      <c r="AF66" s="451"/>
      <c r="AI66" s="4"/>
    </row>
    <row r="67" spans="1:39" x14ac:dyDescent="0.25">
      <c r="B67" s="2"/>
      <c r="C67" s="2"/>
      <c r="D67" s="542"/>
      <c r="E67" s="542"/>
      <c r="F67" s="542"/>
      <c r="G67" s="542"/>
      <c r="H67" s="542"/>
      <c r="I67" s="542"/>
      <c r="K67" s="542"/>
      <c r="L67" s="542"/>
      <c r="M67" s="542"/>
      <c r="N67" s="542"/>
      <c r="O67" s="542"/>
      <c r="Q67" s="4"/>
      <c r="AI67" s="4"/>
    </row>
    <row r="68" spans="1:39" ht="12" thickBot="1" x14ac:dyDescent="0.3">
      <c r="A68" s="4"/>
      <c r="B68" s="34"/>
      <c r="C68" s="34"/>
      <c r="D68" s="477"/>
      <c r="E68" s="477"/>
      <c r="F68" s="477"/>
      <c r="G68" s="477"/>
      <c r="H68" s="477"/>
      <c r="I68" s="477"/>
      <c r="J68" s="4"/>
      <c r="K68" s="477"/>
      <c r="L68" s="477"/>
      <c r="M68" s="477"/>
      <c r="N68" s="477"/>
      <c r="O68" s="477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</row>
    <row r="69" spans="1:39" x14ac:dyDescent="0.25">
      <c r="B69" s="5"/>
      <c r="C69" s="3" t="s">
        <v>1</v>
      </c>
      <c r="D69" s="6" t="s">
        <v>1</v>
      </c>
      <c r="E69" s="3"/>
      <c r="F69" s="3"/>
      <c r="G69" s="3"/>
      <c r="H69" s="3" t="s">
        <v>1</v>
      </c>
      <c r="I69" s="3"/>
      <c r="J69" s="3"/>
      <c r="K69" s="3"/>
      <c r="L69" s="3"/>
      <c r="M69" s="3"/>
      <c r="N69" s="3"/>
      <c r="O69" s="7"/>
      <c r="P69" s="2"/>
      <c r="Q69" s="4"/>
      <c r="S69" s="5"/>
      <c r="T69" s="3" t="s">
        <v>1</v>
      </c>
      <c r="U69" s="6" t="s">
        <v>1</v>
      </c>
      <c r="V69" s="3"/>
      <c r="W69" s="3"/>
      <c r="X69" s="3" t="s">
        <v>1</v>
      </c>
      <c r="Y69" s="3"/>
      <c r="Z69" s="3"/>
      <c r="AA69" s="3"/>
      <c r="AB69" s="3"/>
      <c r="AC69" s="3"/>
      <c r="AD69" s="3"/>
      <c r="AE69" s="3"/>
      <c r="AF69" s="7"/>
      <c r="AG69" s="2"/>
      <c r="AI69" s="4"/>
    </row>
    <row r="70" spans="1:39" ht="14" x14ac:dyDescent="0.3">
      <c r="B70" s="8"/>
      <c r="F70" s="26" t="s">
        <v>8</v>
      </c>
      <c r="G70" s="26"/>
      <c r="I70" s="26" t="s">
        <v>16</v>
      </c>
      <c r="J70" s="25"/>
      <c r="M70" s="2"/>
      <c r="N70" s="50"/>
      <c r="O70" s="10"/>
      <c r="P70" s="2"/>
      <c r="Q70" s="4"/>
      <c r="S70" s="8"/>
      <c r="U70" s="26" t="s">
        <v>8</v>
      </c>
      <c r="W70" s="26" t="s">
        <v>16</v>
      </c>
      <c r="X70" s="25"/>
      <c r="Y70" s="2"/>
      <c r="AA70" s="2"/>
      <c r="AD70" s="50"/>
      <c r="AE70" s="84"/>
      <c r="AF70" s="48"/>
      <c r="AG70" s="2"/>
      <c r="AI70" s="4"/>
    </row>
    <row r="71" spans="1:39" ht="15.5" x14ac:dyDescent="0.35">
      <c r="B71" s="8"/>
      <c r="F71" s="36" t="s">
        <v>29</v>
      </c>
      <c r="G71" s="36"/>
      <c r="O71" s="10"/>
      <c r="P71" s="2"/>
      <c r="Q71" s="4"/>
      <c r="S71" s="8"/>
      <c r="T71" s="26" t="s">
        <v>1</v>
      </c>
      <c r="U71" s="36" t="s">
        <v>29</v>
      </c>
      <c r="Y71" s="2" t="s">
        <v>1</v>
      </c>
      <c r="AA71" s="50" t="s">
        <v>1</v>
      </c>
      <c r="AB71" s="2"/>
      <c r="AC71" s="2"/>
      <c r="AD71" s="2"/>
      <c r="AE71" s="2"/>
      <c r="AF71" s="10" t="s">
        <v>1</v>
      </c>
      <c r="AG71" s="2"/>
      <c r="AI71" s="4"/>
    </row>
    <row r="72" spans="1:39" ht="14" x14ac:dyDescent="0.3">
      <c r="B72" s="8"/>
      <c r="F72" s="2" t="s">
        <v>30</v>
      </c>
      <c r="G72" s="2"/>
      <c r="M72" s="2" t="s">
        <v>1</v>
      </c>
      <c r="O72" s="10"/>
      <c r="P72" s="2"/>
      <c r="Q72" s="4"/>
      <c r="S72" s="8"/>
      <c r="T72" s="49" t="s">
        <v>1</v>
      </c>
      <c r="U72" s="2" t="s">
        <v>30</v>
      </c>
      <c r="AF72" s="44"/>
      <c r="AG72" s="2"/>
      <c r="AI72" s="4"/>
    </row>
    <row r="73" spans="1:39" ht="15.5" x14ac:dyDescent="0.35">
      <c r="B73" s="8"/>
      <c r="C73" s="2"/>
      <c r="D73" s="9"/>
      <c r="F73" s="479" t="s">
        <v>187</v>
      </c>
      <c r="G73" s="479"/>
      <c r="H73" s="480"/>
      <c r="I73" s="481"/>
      <c r="J73" s="480"/>
      <c r="O73" s="10"/>
      <c r="P73" s="2"/>
      <c r="Q73" s="4"/>
      <c r="S73" s="8"/>
      <c r="T73" s="41" t="s">
        <v>1</v>
      </c>
      <c r="U73" s="41" t="s">
        <v>35</v>
      </c>
      <c r="V73" s="2"/>
      <c r="X73" s="2"/>
      <c r="Y73" s="2"/>
      <c r="AF73" s="48"/>
      <c r="AG73" s="2"/>
      <c r="AI73" s="4"/>
    </row>
    <row r="74" spans="1:39" ht="12" thickBot="1" x14ac:dyDescent="0.3">
      <c r="B74" s="8"/>
      <c r="C74" s="2"/>
      <c r="D74" s="241"/>
      <c r="F74" s="2"/>
      <c r="G74" s="9"/>
      <c r="H74" s="9"/>
      <c r="J74" s="2"/>
      <c r="K74" s="9"/>
      <c r="O74" s="10"/>
      <c r="P74" s="2"/>
      <c r="Q74" s="4"/>
      <c r="S74" s="8"/>
      <c r="V74" s="9"/>
      <c r="Y74" s="9"/>
      <c r="AF74" s="48"/>
      <c r="AG74" s="2"/>
      <c r="AI74" s="4"/>
      <c r="AJ74" s="1" t="s">
        <v>1</v>
      </c>
    </row>
    <row r="75" spans="1:39" ht="69.5" thickBot="1" x14ac:dyDescent="0.3">
      <c r="B75" s="11" t="s">
        <v>3</v>
      </c>
      <c r="C75" s="27" t="s">
        <v>9</v>
      </c>
      <c r="D75" s="11" t="s">
        <v>4</v>
      </c>
      <c r="E75" s="12" t="s">
        <v>5</v>
      </c>
      <c r="F75" s="12" t="s">
        <v>6</v>
      </c>
      <c r="G75" s="27" t="s">
        <v>159</v>
      </c>
      <c r="H75" s="12" t="s">
        <v>18</v>
      </c>
      <c r="I75" s="12" t="s">
        <v>24</v>
      </c>
      <c r="J75" s="73" t="s">
        <v>19</v>
      </c>
      <c r="K75" s="29" t="s">
        <v>20</v>
      </c>
      <c r="L75" s="28" t="s">
        <v>21</v>
      </c>
      <c r="M75" s="39" t="s">
        <v>22</v>
      </c>
      <c r="N75" s="12" t="s">
        <v>7</v>
      </c>
      <c r="O75" s="39" t="s">
        <v>23</v>
      </c>
      <c r="P75" s="13"/>
      <c r="Q75" s="4"/>
      <c r="S75" s="11" t="s">
        <v>3</v>
      </c>
      <c r="T75" s="27" t="s">
        <v>9</v>
      </c>
      <c r="U75" s="80" t="s">
        <v>39</v>
      </c>
      <c r="V75" s="51" t="s">
        <v>40</v>
      </c>
      <c r="W75" s="51" t="s">
        <v>41</v>
      </c>
      <c r="X75" s="51" t="s">
        <v>42</v>
      </c>
      <c r="Y75" s="81" t="s">
        <v>43</v>
      </c>
      <c r="Z75" s="85" t="s">
        <v>21</v>
      </c>
      <c r="AA75" s="65" t="s">
        <v>46</v>
      </c>
      <c r="AB75" s="65" t="s">
        <v>7</v>
      </c>
      <c r="AC75" s="85" t="s">
        <v>167</v>
      </c>
      <c r="AD75" s="121" t="s">
        <v>105</v>
      </c>
      <c r="AE75" s="121" t="s">
        <v>104</v>
      </c>
      <c r="AF75" s="39" t="s">
        <v>23</v>
      </c>
      <c r="AG75" s="13"/>
      <c r="AI75" s="4"/>
    </row>
    <row r="76" spans="1:39" s="308" customFormat="1" x14ac:dyDescent="0.25">
      <c r="B76" s="306">
        <v>1</v>
      </c>
      <c r="C76" s="307" t="s">
        <v>10</v>
      </c>
      <c r="D76" s="294">
        <f>'REMUNERACION_OCCIDENTE_ Directa'!D104</f>
        <v>526066753.64999998</v>
      </c>
      <c r="E76" s="295">
        <f>'REMUNERACION_OCCIDENTE_ Directa'!E104</f>
        <v>71629808.189999998</v>
      </c>
      <c r="F76" s="295">
        <f>'REMUNERACION_OCCIDENTE_ Directa'!F104</f>
        <v>38378058.160000004</v>
      </c>
      <c r="G76" s="295">
        <f>'REMUNERACION_OCCIDENTE_ Directa'!G104</f>
        <v>20779620.170000002</v>
      </c>
      <c r="H76" s="295">
        <f>'REMUNERACION_OCCIDENTE_ Directa'!H104</f>
        <v>35670903.249999993</v>
      </c>
      <c r="I76" s="295">
        <f>'REMUNERACION_OCCIDENTE_ Directa'!I104</f>
        <v>1153173.07</v>
      </c>
      <c r="J76" s="291">
        <f>'REMUNERACION_OCCIDENTE_ Directa'!J104</f>
        <v>0</v>
      </c>
      <c r="K76" s="296">
        <f>'REMUNERACION_OCCIDENTE_ Directa'!K104</f>
        <v>358455190.80999994</v>
      </c>
      <c r="L76" s="297">
        <f>'REMUNERACION_OCCIDENTE_ Directa'!L104</f>
        <v>0</v>
      </c>
      <c r="M76" s="296">
        <f>'REMUNERACION_OCCIDENTE_ Directa'!M104</f>
        <v>358455190.80999994</v>
      </c>
      <c r="N76" s="297">
        <f>'REMUNERACION_OCCIDENTE_ Directa'!N104</f>
        <v>3871794.53</v>
      </c>
      <c r="O76" s="296">
        <f>'REMUNERACION_OCCIDENTE_ Directa'!O104</f>
        <v>362326985.33999991</v>
      </c>
      <c r="Q76" s="309"/>
      <c r="S76" s="306">
        <v>1</v>
      </c>
      <c r="T76" s="307" t="s">
        <v>10</v>
      </c>
      <c r="U76" s="310">
        <f>'REMUNERACION_OCCIDENTE_ Directa'!U104</f>
        <v>10163377.220000001</v>
      </c>
      <c r="V76" s="311">
        <f>'REMUNERACION_OCCIDENTE_ Directa'!V104</f>
        <v>11855905.85</v>
      </c>
      <c r="W76" s="311">
        <f>'REMUNERACION_OCCIDENTE_ Directa'!W104</f>
        <v>55150037.649999991</v>
      </c>
      <c r="X76" s="311">
        <f>'REMUNERACION_OCCIDENTE_ Directa'!X104</f>
        <v>196326886.16999999</v>
      </c>
      <c r="Y76" s="312">
        <f>'REMUNERACION_OCCIDENTE_ Directa'!Y104</f>
        <v>1881914.87</v>
      </c>
      <c r="Z76" s="313">
        <f>'REMUNERACION_OCCIDENTE_ Directa'!Z104</f>
        <v>0</v>
      </c>
      <c r="AA76" s="314">
        <f>'REMUNERACION_OCCIDENTE_ Directa'!AA104</f>
        <v>183.17999999999998</v>
      </c>
      <c r="AB76" s="297">
        <f>'REMUNERACION_OCCIDENTE_ Directa'!AB104</f>
        <v>3871794.53</v>
      </c>
      <c r="AC76" s="314">
        <f>'REMUNERACION_OCCIDENTE_ Directa'!AC104</f>
        <v>0.05</v>
      </c>
      <c r="AD76" s="294">
        <f>'REMUNERACION_OCCIDENTE_ Directa'!AD104</f>
        <v>83076885.819999993</v>
      </c>
      <c r="AE76" s="294">
        <f>'REMUNERACION_OCCIDENTE_ Directa'!AE104</f>
        <v>83076885.819999993</v>
      </c>
      <c r="AF76" s="316">
        <f>'REMUNERACION_OCCIDENTE_ Directa'!AF104</f>
        <v>362326985.33999997</v>
      </c>
      <c r="AG76" s="524">
        <f>'REMUNERACION_OCCIDENTE_ Directa'!AG104</f>
        <v>0</v>
      </c>
      <c r="AH76" s="1"/>
      <c r="AI76" s="309"/>
      <c r="AM76" s="336"/>
    </row>
    <row r="77" spans="1:39" s="308" customFormat="1" x14ac:dyDescent="0.25">
      <c r="B77" s="317">
        <v>2</v>
      </c>
      <c r="C77" s="318" t="s">
        <v>11</v>
      </c>
      <c r="D77" s="294">
        <f>'REMUNERACION_OCCIDENTE_ Directa'!D105</f>
        <v>394193682.65000004</v>
      </c>
      <c r="E77" s="295">
        <f>'REMUNERACION_OCCIDENTE_ Directa'!E105</f>
        <v>51388370.589999996</v>
      </c>
      <c r="F77" s="295">
        <f>'REMUNERACION_OCCIDENTE_ Directa'!F105</f>
        <v>28413627.75</v>
      </c>
      <c r="G77" s="295">
        <f>'REMUNERACION_OCCIDENTE_ Directa'!G105</f>
        <v>14979828.130000001</v>
      </c>
      <c r="H77" s="295">
        <f>'REMUNERACION_OCCIDENTE_ Directa'!H105</f>
        <v>69737327.839999989</v>
      </c>
      <c r="I77" s="295">
        <f>'REMUNERACION_OCCIDENTE_ Directa'!I105</f>
        <v>2031606.51</v>
      </c>
      <c r="J77" s="291">
        <f>'REMUNERACION_OCCIDENTE_ Directa'!J105</f>
        <v>0</v>
      </c>
      <c r="K77" s="298">
        <f>'REMUNERACION_OCCIDENTE_ Directa'!K105</f>
        <v>227642921.8300001</v>
      </c>
      <c r="L77" s="297">
        <f>'REMUNERACION_OCCIDENTE_ Directa'!L105</f>
        <v>0</v>
      </c>
      <c r="M77" s="298">
        <f>'REMUNERACION_OCCIDENTE_ Directa'!M105</f>
        <v>227642921.8300001</v>
      </c>
      <c r="N77" s="297">
        <f>'REMUNERACION_OCCIDENTE_ Directa'!N105</f>
        <v>8420063.0999999996</v>
      </c>
      <c r="O77" s="298">
        <f>'REMUNERACION_OCCIDENTE_ Directa'!O105</f>
        <v>236062984.9300001</v>
      </c>
      <c r="Q77" s="309"/>
      <c r="S77" s="317">
        <v>2</v>
      </c>
      <c r="T77" s="318" t="s">
        <v>11</v>
      </c>
      <c r="U77" s="319">
        <f>'REMUNERACION_OCCIDENTE_ Directa'!U105</f>
        <v>18191790.630000003</v>
      </c>
      <c r="V77" s="320">
        <f>'REMUNERACION_OCCIDENTE_ Directa'!V105</f>
        <v>23068417.159999996</v>
      </c>
      <c r="W77" s="320">
        <f>'REMUNERACION_OCCIDENTE_ Directa'!W105</f>
        <v>102920694.75</v>
      </c>
      <c r="X77" s="320">
        <f>'REMUNERACION_OCCIDENTE_ Directa'!X105</f>
        <v>102167057.04000001</v>
      </c>
      <c r="Y77" s="321">
        <f>'REMUNERACION_OCCIDENTE_ Directa'!Y105</f>
        <v>3317352.1100000003</v>
      </c>
      <c r="Z77" s="322">
        <f>'REMUNERACION_OCCIDENTE_ Directa'!Z105</f>
        <v>0</v>
      </c>
      <c r="AA77" s="323">
        <f>'REMUNERACION_OCCIDENTE_ Directa'!AA105</f>
        <v>-999.82999999999993</v>
      </c>
      <c r="AB77" s="297">
        <f>'REMUNERACION_OCCIDENTE_ Directa'!AB105</f>
        <v>8420063.0999999996</v>
      </c>
      <c r="AC77" s="323">
        <f>'REMUNERACION_OCCIDENTE_ Directa'!AC105</f>
        <v>12.280000000000001</v>
      </c>
      <c r="AD77" s="294">
        <f>'REMUNERACION_OCCIDENTE_ Directa'!AD105</f>
        <v>-22021402.310000002</v>
      </c>
      <c r="AE77" s="294">
        <f>'REMUNERACION_OCCIDENTE_ Directa'!AE105</f>
        <v>-22021402.310000002</v>
      </c>
      <c r="AF77" s="325">
        <f>'REMUNERACION_OCCIDENTE_ Directa'!AF105</f>
        <v>236062984.92999998</v>
      </c>
      <c r="AG77" s="525">
        <f>'REMUNERACION_OCCIDENTE_ Directa'!AG105</f>
        <v>0</v>
      </c>
      <c r="AH77" s="1"/>
      <c r="AI77" s="309"/>
      <c r="AM77" s="336"/>
    </row>
    <row r="78" spans="1:39" s="308" customFormat="1" x14ac:dyDescent="0.25">
      <c r="B78" s="317">
        <v>3</v>
      </c>
      <c r="C78" s="318" t="s">
        <v>12</v>
      </c>
      <c r="D78" s="294">
        <f>'REMUNERACION_OCCIDENTE_ Directa'!D106</f>
        <v>453622024.76999992</v>
      </c>
      <c r="E78" s="295">
        <f>'REMUNERACION_OCCIDENTE_ Directa'!E106</f>
        <v>56737832.189999998</v>
      </c>
      <c r="F78" s="295">
        <f>'REMUNERACION_OCCIDENTE_ Directa'!F106</f>
        <v>31858267.420000002</v>
      </c>
      <c r="G78" s="295">
        <f>'REMUNERACION_OCCIDENTE_ Directa'!G106</f>
        <v>16749839.639999999</v>
      </c>
      <c r="H78" s="295">
        <f>'REMUNERACION_OCCIDENTE_ Directa'!H106</f>
        <v>16381669.799999997</v>
      </c>
      <c r="I78" s="295">
        <f>'REMUNERACION_OCCIDENTE_ Directa'!I106</f>
        <v>574730.4</v>
      </c>
      <c r="J78" s="291">
        <f>'REMUNERACION_OCCIDENTE_ Directa'!J106</f>
        <v>0</v>
      </c>
      <c r="K78" s="298">
        <f>'REMUNERACION_OCCIDENTE_ Directa'!K106</f>
        <v>331319685.31999993</v>
      </c>
      <c r="L78" s="297">
        <f>'REMUNERACION_OCCIDENTE_ Directa'!L106</f>
        <v>0</v>
      </c>
      <c r="M78" s="298">
        <f>'REMUNERACION_OCCIDENTE_ Directa'!M106</f>
        <v>331319685.31999993</v>
      </c>
      <c r="N78" s="297">
        <f>'REMUNERACION_OCCIDENTE_ Directa'!N106</f>
        <v>16854072.859999999</v>
      </c>
      <c r="O78" s="298">
        <f>'REMUNERACION_OCCIDENTE_ Directa'!O106</f>
        <v>348173758.17999995</v>
      </c>
      <c r="Q78" s="309"/>
      <c r="S78" s="317">
        <v>3</v>
      </c>
      <c r="T78" s="318" t="s">
        <v>12</v>
      </c>
      <c r="U78" s="319">
        <f>'REMUNERACION_OCCIDENTE_ Directa'!U106</f>
        <v>5027987.5999999996</v>
      </c>
      <c r="V78" s="320">
        <f>'REMUNERACION_OCCIDENTE_ Directa'!V106</f>
        <v>6243125.5499999998</v>
      </c>
      <c r="W78" s="320">
        <f>'REMUNERACION_OCCIDENTE_ Directa'!W106</f>
        <v>28838258.860000003</v>
      </c>
      <c r="X78" s="320">
        <f>'REMUNERACION_OCCIDENTE_ Directa'!X106</f>
        <v>131757865.3</v>
      </c>
      <c r="Y78" s="321">
        <f>'REMUNERACION_OCCIDENTE_ Directa'!Y106</f>
        <v>939938.99</v>
      </c>
      <c r="Z78" s="322">
        <f>'REMUNERACION_OCCIDENTE_ Directa'!Z106</f>
        <v>0</v>
      </c>
      <c r="AA78" s="323">
        <f>'REMUNERACION_OCCIDENTE_ Directa'!AA106</f>
        <v>-982.18999999999994</v>
      </c>
      <c r="AB78" s="297">
        <f>'REMUNERACION_OCCIDENTE_ Directa'!AB106</f>
        <v>16854072.859999999</v>
      </c>
      <c r="AC78" s="323">
        <f>'REMUNERACION_OCCIDENTE_ Directa'!AC106</f>
        <v>0.97</v>
      </c>
      <c r="AD78" s="294">
        <f>'REMUNERACION_OCCIDENTE_ Directa'!AD106</f>
        <v>158513490.24000001</v>
      </c>
      <c r="AE78" s="294">
        <f>'REMUNERACION_OCCIDENTE_ Directa'!AE106</f>
        <v>158513490.24000001</v>
      </c>
      <c r="AF78" s="325">
        <f>'REMUNERACION_OCCIDENTE_ Directa'!AF106</f>
        <v>348173758.18000007</v>
      </c>
      <c r="AG78" s="525">
        <f>'REMUNERACION_OCCIDENTE_ Directa'!AG106</f>
        <v>0</v>
      </c>
      <c r="AH78" s="1"/>
      <c r="AI78" s="309"/>
      <c r="AM78" s="336"/>
    </row>
    <row r="79" spans="1:39" s="308" customFormat="1" x14ac:dyDescent="0.25">
      <c r="B79" s="317">
        <v>4</v>
      </c>
      <c r="C79" s="318" t="s">
        <v>13</v>
      </c>
      <c r="D79" s="294">
        <f>'REMUNERACION_OCCIDENTE_ Directa'!D107</f>
        <v>225188778.21000001</v>
      </c>
      <c r="E79" s="295">
        <f>'REMUNERACION_OCCIDENTE_ Directa'!E107</f>
        <v>18371679.360000003</v>
      </c>
      <c r="F79" s="295">
        <f>'REMUNERACION_OCCIDENTE_ Directa'!F107</f>
        <v>9514551.6699999999</v>
      </c>
      <c r="G79" s="295">
        <f>'REMUNERACION_OCCIDENTE_ Directa'!G107</f>
        <v>4671442.63</v>
      </c>
      <c r="H79" s="295">
        <f>'REMUNERACION_OCCIDENTE_ Directa'!H107</f>
        <v>34519101.550000004</v>
      </c>
      <c r="I79" s="295">
        <f>'REMUNERACION_OCCIDENTE_ Directa'!I107</f>
        <v>1256920.1900000002</v>
      </c>
      <c r="J79" s="291">
        <f>'REMUNERACION_OCCIDENTE_ Directa'!J107</f>
        <v>0</v>
      </c>
      <c r="K79" s="298">
        <f>'REMUNERACION_OCCIDENTE_ Directa'!K107</f>
        <v>156855082.81</v>
      </c>
      <c r="L79" s="297">
        <f>'REMUNERACION_OCCIDENTE_ Directa'!L107</f>
        <v>0</v>
      </c>
      <c r="M79" s="298">
        <f>'REMUNERACION_OCCIDENTE_ Directa'!M107</f>
        <v>156855082.81</v>
      </c>
      <c r="N79" s="297">
        <f>'REMUNERACION_OCCIDENTE_ Directa'!N107</f>
        <v>1026166.89</v>
      </c>
      <c r="O79" s="298">
        <f>'REMUNERACION_OCCIDENTE_ Directa'!O107</f>
        <v>157881249.69999999</v>
      </c>
      <c r="Q79" s="309"/>
      <c r="S79" s="317">
        <v>4</v>
      </c>
      <c r="T79" s="318" t="s">
        <v>13</v>
      </c>
      <c r="U79" s="319">
        <f>'REMUNERACION_OCCIDENTE_ Directa'!U107</f>
        <v>11115203.909999998</v>
      </c>
      <c r="V79" s="320">
        <f>'REMUNERACION_OCCIDENTE_ Directa'!V107</f>
        <v>12870281.699999999</v>
      </c>
      <c r="W79" s="320">
        <f>'REMUNERACION_OCCIDENTE_ Directa'!W107</f>
        <v>68463838.999999985</v>
      </c>
      <c r="X79" s="320">
        <f>'REMUNERACION_OCCIDENTE_ Directa'!X107</f>
        <v>47905254.969999991</v>
      </c>
      <c r="Y79" s="321">
        <f>'REMUNERACION_OCCIDENTE_ Directa'!Y107</f>
        <v>2055695.5200000003</v>
      </c>
      <c r="Z79" s="322">
        <f>'REMUNERACION_OCCIDENTE_ Directa'!Z107</f>
        <v>0</v>
      </c>
      <c r="AA79" s="323">
        <f>'REMUNERACION_OCCIDENTE_ Directa'!AA107</f>
        <v>143.19</v>
      </c>
      <c r="AB79" s="297">
        <f>'REMUNERACION_OCCIDENTE_ Directa'!AB107</f>
        <v>1026166.89</v>
      </c>
      <c r="AC79" s="323">
        <f>'REMUNERACION_OCCIDENTE_ Directa'!AC107</f>
        <v>0.39</v>
      </c>
      <c r="AD79" s="294">
        <f>'REMUNERACION_OCCIDENTE_ Directa'!AD107</f>
        <v>14444664.130000001</v>
      </c>
      <c r="AE79" s="294">
        <f>'REMUNERACION_OCCIDENTE_ Directa'!AE107</f>
        <v>14444664.130000001</v>
      </c>
      <c r="AF79" s="325">
        <f>'REMUNERACION_OCCIDENTE_ Directa'!AF107</f>
        <v>157881249.69999996</v>
      </c>
      <c r="AG79" s="525">
        <f>'REMUNERACION_OCCIDENTE_ Directa'!AG107</f>
        <v>0</v>
      </c>
      <c r="AH79" s="1"/>
      <c r="AI79" s="309"/>
      <c r="AM79" s="336"/>
    </row>
    <row r="80" spans="1:39" s="308" customFormat="1" ht="12" thickBot="1" x14ac:dyDescent="0.3">
      <c r="B80" s="327">
        <v>5</v>
      </c>
      <c r="C80" s="328" t="s">
        <v>14</v>
      </c>
      <c r="D80" s="299">
        <f>'REMUNERACION_OCCIDENTE_ Directa'!D108</f>
        <v>162906187.47999999</v>
      </c>
      <c r="E80" s="300">
        <f>'REMUNERACION_OCCIDENTE_ Directa'!E108</f>
        <v>14281523.75</v>
      </c>
      <c r="F80" s="300">
        <f>'REMUNERACION_OCCIDENTE_ Directa'!F108</f>
        <v>7745624.7399999993</v>
      </c>
      <c r="G80" s="300">
        <f>'REMUNERACION_OCCIDENTE_ Directa'!G108</f>
        <v>4110563.86</v>
      </c>
      <c r="H80" s="300">
        <f>'REMUNERACION_OCCIDENTE_ Directa'!H108</f>
        <v>10442021.060000002</v>
      </c>
      <c r="I80" s="300">
        <f>'REMUNERACION_OCCIDENTE_ Directa'!I108</f>
        <v>537683.07999999996</v>
      </c>
      <c r="J80" s="292">
        <f>'REMUNERACION_OCCIDENTE_ Directa'!J108</f>
        <v>0</v>
      </c>
      <c r="K80" s="298">
        <f>'REMUNERACION_OCCIDENTE_ Directa'!K108</f>
        <v>125788770.98999996</v>
      </c>
      <c r="L80" s="297">
        <f>'REMUNERACION_OCCIDENTE_ Directa'!L108</f>
        <v>0</v>
      </c>
      <c r="M80" s="301">
        <f>'REMUNERACION_OCCIDENTE_ Directa'!M108</f>
        <v>125788770.98999996</v>
      </c>
      <c r="N80" s="302">
        <f>'REMUNERACION_OCCIDENTE_ Directa'!N108</f>
        <v>16101746.85</v>
      </c>
      <c r="O80" s="301">
        <f>'REMUNERACION_OCCIDENTE_ Directa'!O108</f>
        <v>141890517.83999997</v>
      </c>
      <c r="Q80" s="309"/>
      <c r="S80" s="327">
        <v>5</v>
      </c>
      <c r="T80" s="328" t="s">
        <v>14</v>
      </c>
      <c r="U80" s="299">
        <f>'REMUNERACION_OCCIDENTE_ Directa'!U108</f>
        <v>4719899.8599999994</v>
      </c>
      <c r="V80" s="300">
        <f>'REMUNERACION_OCCIDENTE_ Directa'!V108</f>
        <v>5339780.3100000005</v>
      </c>
      <c r="W80" s="300">
        <f>'REMUNERACION_OCCIDENTE_ Directa'!W108</f>
        <v>27090032.990000002</v>
      </c>
      <c r="X80" s="300">
        <f>'REMUNERACION_OCCIDENTE_ Directa'!X108</f>
        <v>42473370.409999996</v>
      </c>
      <c r="Y80" s="292">
        <f>'REMUNERACION_OCCIDENTE_ Directa'!Y108</f>
        <v>890099.25</v>
      </c>
      <c r="Z80" s="322">
        <f>'REMUNERACION_OCCIDENTE_ Directa'!Z108</f>
        <v>0</v>
      </c>
      <c r="AA80" s="323">
        <f>'REMUNERACION_OCCIDENTE_ Directa'!AA108</f>
        <v>-127.68</v>
      </c>
      <c r="AB80" s="297">
        <f>'REMUNERACION_OCCIDENTE_ Directa'!AB108</f>
        <v>16101746.85</v>
      </c>
      <c r="AC80" s="323">
        <f>'REMUNERACION_OCCIDENTE_ Directa'!AC108</f>
        <v>-66.430000000000007</v>
      </c>
      <c r="AD80" s="294">
        <f>'REMUNERACION_OCCIDENTE_ Directa'!AD108</f>
        <v>45275782.279999994</v>
      </c>
      <c r="AE80" s="294">
        <f>'REMUNERACION_OCCIDENTE_ Directa'!AE108</f>
        <v>45275782.279999994</v>
      </c>
      <c r="AF80" s="325">
        <f>'REMUNERACION_OCCIDENTE_ Directa'!AF108</f>
        <v>141890517.83999997</v>
      </c>
      <c r="AG80" s="526">
        <f>'REMUNERACION_OCCIDENTE_ Directa'!AG108</f>
        <v>0</v>
      </c>
      <c r="AH80" s="1"/>
      <c r="AI80" s="309"/>
      <c r="AM80" s="336"/>
    </row>
    <row r="81" spans="1:39" s="308" customFormat="1" ht="13.5" thickBot="1" x14ac:dyDescent="0.35">
      <c r="B81" s="330"/>
      <c r="C81" s="331" t="s">
        <v>2</v>
      </c>
      <c r="D81" s="293">
        <f>'REMUNERACION_OCCIDENTE_ Directa'!D109</f>
        <v>1761977426.76</v>
      </c>
      <c r="E81" s="293">
        <f>'REMUNERACION_OCCIDENTE_ Directa'!E109</f>
        <v>212409214.08000001</v>
      </c>
      <c r="F81" s="293">
        <f>'REMUNERACION_OCCIDENTE_ Directa'!F109</f>
        <v>115910129.74000001</v>
      </c>
      <c r="G81" s="293">
        <f>'REMUNERACION_OCCIDENTE_ Directa'!G109</f>
        <v>61291294.430000007</v>
      </c>
      <c r="H81" s="293">
        <f>'REMUNERACION_OCCIDENTE_ Directa'!H109</f>
        <v>166751023.49999997</v>
      </c>
      <c r="I81" s="293">
        <f>'REMUNERACION_OCCIDENTE_ Directa'!I109</f>
        <v>5554113.25</v>
      </c>
      <c r="J81" s="293">
        <f>'REMUNERACION_OCCIDENTE_ Directa'!J109</f>
        <v>0</v>
      </c>
      <c r="K81" s="303">
        <f>'REMUNERACION_OCCIDENTE_ Directa'!K109</f>
        <v>1200061651.76</v>
      </c>
      <c r="L81" s="304">
        <f>'REMUNERACION_OCCIDENTE_ Directa'!L109</f>
        <v>0</v>
      </c>
      <c r="M81" s="305">
        <f>'REMUNERACION_OCCIDENTE_ Directa'!M109</f>
        <v>1200061651.76</v>
      </c>
      <c r="N81" s="304">
        <f>'REMUNERACION_OCCIDENTE_ Directa'!N109</f>
        <v>46273844.229999997</v>
      </c>
      <c r="O81" s="305">
        <f>'REMUNERACION_OCCIDENTE_ Directa'!O109</f>
        <v>1246335495.9899998</v>
      </c>
      <c r="P81" s="332"/>
      <c r="Q81" s="309"/>
      <c r="S81" s="330"/>
      <c r="T81" s="331" t="s">
        <v>2</v>
      </c>
      <c r="U81" s="333">
        <f>'REMUNERACION_OCCIDENTE_ Directa'!U109</f>
        <v>49218259.219999999</v>
      </c>
      <c r="V81" s="333">
        <f>'REMUNERACION_OCCIDENTE_ Directa'!V109</f>
        <v>59377510.569999993</v>
      </c>
      <c r="W81" s="333">
        <f>'REMUNERACION_OCCIDENTE_ Directa'!W109</f>
        <v>282462863.25</v>
      </c>
      <c r="X81" s="333">
        <f>'REMUNERACION_OCCIDENTE_ Directa'!X109</f>
        <v>520630433.88999999</v>
      </c>
      <c r="Y81" s="333">
        <f>'REMUNERACION_OCCIDENTE_ Directa'!Y109</f>
        <v>9085000.7400000021</v>
      </c>
      <c r="Z81" s="293">
        <f>'REMUNERACION_OCCIDENTE_ Directa'!Z109</f>
        <v>0</v>
      </c>
      <c r="AA81" s="293">
        <f>'REMUNERACION_OCCIDENTE_ Directa'!AA109</f>
        <v>-1783.33</v>
      </c>
      <c r="AB81" s="293">
        <f>'REMUNERACION_OCCIDENTE_ Directa'!AB109</f>
        <v>46273844.229999997</v>
      </c>
      <c r="AC81" s="293">
        <f>'REMUNERACION_OCCIDENTE_ Directa'!AC109</f>
        <v>-52.74</v>
      </c>
      <c r="AD81" s="293">
        <f>'REMUNERACION_OCCIDENTE_ Directa'!AD109</f>
        <v>279289420.15999997</v>
      </c>
      <c r="AE81" s="293">
        <f>'REMUNERACION_OCCIDENTE_ Directa'!AE109</f>
        <v>279289420.15999997</v>
      </c>
      <c r="AF81" s="334">
        <f>'REMUNERACION_OCCIDENTE_ Directa'!AF109</f>
        <v>1246335495.99</v>
      </c>
      <c r="AG81" s="527">
        <f>'REMUNERACION_OCCIDENTE_ Directa'!AG109</f>
        <v>0</v>
      </c>
      <c r="AH81" s="1"/>
      <c r="AI81" s="309"/>
      <c r="AM81" s="336"/>
    </row>
    <row r="82" spans="1:39" ht="12" thickBot="1" x14ac:dyDescent="0.3">
      <c r="B82" s="2"/>
      <c r="C82" s="2"/>
      <c r="D82" s="451"/>
      <c r="E82" s="451"/>
      <c r="F82" s="451"/>
      <c r="G82" s="451"/>
      <c r="H82" s="451"/>
      <c r="I82" s="451"/>
      <c r="K82" s="451"/>
      <c r="L82" s="451"/>
      <c r="M82" s="451"/>
      <c r="N82" s="451"/>
      <c r="O82" s="451"/>
      <c r="Q82" s="4"/>
      <c r="S82" s="2"/>
      <c r="T82" s="2"/>
      <c r="U82" s="451"/>
      <c r="V82" s="451"/>
      <c r="W82" s="451"/>
      <c r="X82" s="451"/>
      <c r="Y82" s="451"/>
      <c r="AF82" s="451"/>
      <c r="AI82" s="4"/>
    </row>
    <row r="83" spans="1:39" ht="12" thickBot="1" x14ac:dyDescent="0.3">
      <c r="B83" s="2"/>
      <c r="C83" s="2"/>
      <c r="D83" s="451"/>
      <c r="E83" s="451"/>
      <c r="F83" s="451"/>
      <c r="G83" s="451"/>
      <c r="H83" s="451"/>
      <c r="I83" s="451"/>
      <c r="K83" s="451"/>
      <c r="L83" s="451"/>
      <c r="M83" s="451"/>
      <c r="N83" s="451"/>
      <c r="O83" s="451"/>
      <c r="Q83" s="4"/>
      <c r="Y83" s="452"/>
      <c r="AI83" s="4"/>
    </row>
    <row r="84" spans="1:39" x14ac:dyDescent="0.25">
      <c r="A84" s="4"/>
      <c r="B84" s="34"/>
      <c r="C84" s="34"/>
      <c r="D84" s="477"/>
      <c r="E84" s="477"/>
      <c r="F84" s="477"/>
      <c r="G84" s="477"/>
      <c r="H84" s="477"/>
      <c r="I84" s="477"/>
      <c r="J84" s="4"/>
      <c r="K84" s="477"/>
      <c r="L84" s="477"/>
      <c r="M84" s="477"/>
      <c r="N84" s="477"/>
      <c r="O84" s="477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</row>
    <row r="85" spans="1:39" ht="12" thickBot="1" x14ac:dyDescent="0.3">
      <c r="Q85" s="4"/>
      <c r="AI85" s="4"/>
    </row>
    <row r="86" spans="1:39" x14ac:dyDescent="0.25">
      <c r="B86" s="5"/>
      <c r="C86" s="3" t="s">
        <v>1</v>
      </c>
      <c r="D86" s="6" t="s">
        <v>1</v>
      </c>
      <c r="E86" s="3"/>
      <c r="F86" s="3"/>
      <c r="G86" s="3"/>
      <c r="H86" s="3" t="s">
        <v>1</v>
      </c>
      <c r="I86" s="3"/>
      <c r="J86" s="3"/>
      <c r="K86" s="3"/>
      <c r="L86" s="3"/>
      <c r="M86" s="3"/>
      <c r="N86" s="3"/>
      <c r="O86" s="7"/>
      <c r="P86" s="2"/>
      <c r="Q86" s="4"/>
      <c r="S86" s="5"/>
      <c r="T86" s="3" t="s">
        <v>1</v>
      </c>
      <c r="U86" s="6" t="s">
        <v>1</v>
      </c>
      <c r="V86" s="3"/>
      <c r="W86" s="3"/>
      <c r="X86" s="3" t="s">
        <v>1</v>
      </c>
      <c r="Y86" s="3"/>
      <c r="Z86" s="3"/>
      <c r="AA86" s="3"/>
      <c r="AB86" s="3"/>
      <c r="AC86" s="3"/>
      <c r="AD86" s="3"/>
      <c r="AE86" s="3"/>
      <c r="AF86" s="7"/>
      <c r="AG86" s="2"/>
      <c r="AI86" s="4"/>
    </row>
    <row r="87" spans="1:39" ht="14" x14ac:dyDescent="0.3">
      <c r="B87" s="8"/>
      <c r="F87" s="26" t="s">
        <v>8</v>
      </c>
      <c r="G87" s="26"/>
      <c r="I87" s="26" t="s">
        <v>16</v>
      </c>
      <c r="J87" s="25"/>
      <c r="M87" s="2"/>
      <c r="N87" s="50"/>
      <c r="O87" s="10"/>
      <c r="P87" s="2"/>
      <c r="Q87" s="4"/>
      <c r="S87" s="8"/>
      <c r="U87" s="26" t="s">
        <v>8</v>
      </c>
      <c r="W87" s="26" t="s">
        <v>16</v>
      </c>
      <c r="X87" s="25"/>
      <c r="Y87" s="2"/>
      <c r="AA87" s="2"/>
      <c r="AD87" s="50"/>
      <c r="AE87" s="84"/>
      <c r="AF87" s="48"/>
      <c r="AG87" s="2"/>
      <c r="AI87" s="4"/>
    </row>
    <row r="88" spans="1:39" ht="15.5" x14ac:dyDescent="0.35">
      <c r="B88" s="8"/>
      <c r="F88" s="36" t="s">
        <v>29</v>
      </c>
      <c r="G88" s="36"/>
      <c r="O88" s="10"/>
      <c r="P88" s="2"/>
      <c r="Q88" s="4"/>
      <c r="S88" s="8"/>
      <c r="T88" s="26" t="s">
        <v>1</v>
      </c>
      <c r="U88" s="36" t="s">
        <v>29</v>
      </c>
      <c r="Y88" s="2" t="s">
        <v>1</v>
      </c>
      <c r="AA88" s="50" t="s">
        <v>1</v>
      </c>
      <c r="AB88" s="2"/>
      <c r="AC88" s="2"/>
      <c r="AD88" s="2"/>
      <c r="AE88" s="2"/>
      <c r="AF88" s="10" t="s">
        <v>1</v>
      </c>
      <c r="AG88" s="2"/>
      <c r="AI88" s="4"/>
    </row>
    <row r="89" spans="1:39" ht="14" x14ac:dyDescent="0.3">
      <c r="B89" s="8"/>
      <c r="F89" s="2" t="s">
        <v>30</v>
      </c>
      <c r="G89" s="2"/>
      <c r="L89" s="91"/>
      <c r="M89" s="2" t="s">
        <v>1</v>
      </c>
      <c r="O89" s="10"/>
      <c r="P89" s="2"/>
      <c r="Q89" s="4"/>
      <c r="S89" s="8"/>
      <c r="T89" s="49" t="s">
        <v>1</v>
      </c>
      <c r="U89" s="2" t="s">
        <v>30</v>
      </c>
      <c r="AF89" s="44"/>
      <c r="AG89" s="2"/>
      <c r="AI89" s="4"/>
    </row>
    <row r="90" spans="1:39" ht="15.5" x14ac:dyDescent="0.35">
      <c r="B90" s="8"/>
      <c r="C90" s="2"/>
      <c r="D90" s="9"/>
      <c r="F90" s="58" t="s">
        <v>188</v>
      </c>
      <c r="G90" s="58"/>
      <c r="H90" s="59"/>
      <c r="I90" s="60"/>
      <c r="J90" s="59"/>
      <c r="K90" s="60"/>
      <c r="L90" s="91"/>
      <c r="O90" s="10"/>
      <c r="P90" s="2"/>
      <c r="Q90" s="4"/>
      <c r="S90" s="8"/>
      <c r="T90" s="41" t="s">
        <v>1</v>
      </c>
      <c r="U90" s="58" t="s">
        <v>35</v>
      </c>
      <c r="V90" s="59"/>
      <c r="W90" s="60"/>
      <c r="X90" s="59"/>
      <c r="Y90" s="2"/>
      <c r="AF90" s="48"/>
      <c r="AG90" s="2"/>
      <c r="AI90" s="4"/>
    </row>
    <row r="91" spans="1:39" ht="18" thickBot="1" x14ac:dyDescent="0.5">
      <c r="B91" s="8"/>
      <c r="C91" s="2"/>
      <c r="D91" s="241"/>
      <c r="F91" s="2"/>
      <c r="G91" s="9"/>
      <c r="J91" s="2"/>
      <c r="K91" s="9"/>
      <c r="L91" s="92"/>
      <c r="O91" s="10"/>
      <c r="P91" s="2"/>
      <c r="Q91" s="4"/>
      <c r="S91" s="8"/>
      <c r="V91" s="9"/>
      <c r="Y91" s="9"/>
      <c r="AF91" s="48"/>
      <c r="AG91" s="2"/>
      <c r="AI91" s="4"/>
      <c r="AJ91" s="112" t="s">
        <v>1</v>
      </c>
    </row>
    <row r="92" spans="1:39" ht="72" customHeight="1" thickBot="1" x14ac:dyDescent="0.3">
      <c r="B92" s="11" t="s">
        <v>3</v>
      </c>
      <c r="C92" s="27" t="s">
        <v>9</v>
      </c>
      <c r="D92" s="11" t="s">
        <v>4</v>
      </c>
      <c r="E92" s="12" t="s">
        <v>5</v>
      </c>
      <c r="F92" s="27" t="s">
        <v>6</v>
      </c>
      <c r="G92" s="27" t="s">
        <v>159</v>
      </c>
      <c r="H92" s="27" t="s">
        <v>18</v>
      </c>
      <c r="I92" s="12" t="s">
        <v>24</v>
      </c>
      <c r="J92" s="73" t="s">
        <v>19</v>
      </c>
      <c r="K92" s="29" t="s">
        <v>20</v>
      </c>
      <c r="L92" s="28" t="s">
        <v>21</v>
      </c>
      <c r="M92" s="39" t="s">
        <v>22</v>
      </c>
      <c r="N92" s="12" t="s">
        <v>7</v>
      </c>
      <c r="O92" s="39" t="s">
        <v>23</v>
      </c>
      <c r="P92" s="13"/>
      <c r="Q92" s="4"/>
      <c r="S92" s="11" t="s">
        <v>3</v>
      </c>
      <c r="T92" s="27" t="s">
        <v>9</v>
      </c>
      <c r="U92" s="162" t="s">
        <v>39</v>
      </c>
      <c r="V92" s="163" t="s">
        <v>40</v>
      </c>
      <c r="W92" s="163" t="s">
        <v>41</v>
      </c>
      <c r="X92" s="163" t="s">
        <v>42</v>
      </c>
      <c r="Y92" s="164" t="s">
        <v>43</v>
      </c>
      <c r="Z92" s="85" t="s">
        <v>21</v>
      </c>
      <c r="AA92" s="65" t="s">
        <v>46</v>
      </c>
      <c r="AB92" s="65" t="s">
        <v>7</v>
      </c>
      <c r="AC92" s="85" t="s">
        <v>167</v>
      </c>
      <c r="AD92" s="121" t="s">
        <v>105</v>
      </c>
      <c r="AE92" s="121" t="s">
        <v>104</v>
      </c>
      <c r="AF92" s="39" t="s">
        <v>23</v>
      </c>
      <c r="AG92" s="13"/>
      <c r="AI92" s="4"/>
    </row>
    <row r="93" spans="1:39" s="308" customFormat="1" x14ac:dyDescent="0.25">
      <c r="B93" s="306">
        <v>1</v>
      </c>
      <c r="C93" s="307" t="s">
        <v>10</v>
      </c>
      <c r="D93" s="294">
        <f>'REMUNERACION_EAAB-CL'!D104</f>
        <v>0</v>
      </c>
      <c r="E93" s="295">
        <f>'REMUNERACION_EAAB-CL'!E104</f>
        <v>0</v>
      </c>
      <c r="F93" s="295">
        <f>'REMUNERACION_EAAB-CL'!F104</f>
        <v>0</v>
      </c>
      <c r="G93" s="295">
        <f>'REMUNERACION_EAAB-CL'!G104</f>
        <v>0</v>
      </c>
      <c r="H93" s="295">
        <f>'REMUNERACION_EAAB-CL'!H104</f>
        <v>0</v>
      </c>
      <c r="I93" s="295">
        <f>'REMUNERACION_EAAB-CL'!I104</f>
        <v>0</v>
      </c>
      <c r="J93" s="291">
        <f>'REMUNERACION_EAAB-CL'!J104</f>
        <v>0</v>
      </c>
      <c r="K93" s="296">
        <f>'REMUNERACION_EAAB-CL'!K104</f>
        <v>0</v>
      </c>
      <c r="L93" s="297">
        <f>'REMUNERACION_EAAB-CL'!L104</f>
        <v>0</v>
      </c>
      <c r="M93" s="296">
        <f>'REMUNERACION_EAAB-CL'!M104</f>
        <v>0</v>
      </c>
      <c r="N93" s="297">
        <f>'REMUNERACION_EAAB-CL'!N104</f>
        <v>0</v>
      </c>
      <c r="O93" s="296">
        <f>'REMUNERACION_EAAB-CL'!O104</f>
        <v>0</v>
      </c>
      <c r="Q93" s="309"/>
      <c r="S93" s="306">
        <v>1</v>
      </c>
      <c r="T93" s="307" t="s">
        <v>10</v>
      </c>
      <c r="U93" s="310">
        <f>'REMUNERACION_EAAB-CL'!U104</f>
        <v>0</v>
      </c>
      <c r="V93" s="311">
        <f>'REMUNERACION_EAAB-CL'!V104</f>
        <v>0</v>
      </c>
      <c r="W93" s="311">
        <f>'REMUNERACION_EAAB-CL'!W104</f>
        <v>0</v>
      </c>
      <c r="X93" s="311">
        <f>'REMUNERACION_EAAB-CL'!X104</f>
        <v>0</v>
      </c>
      <c r="Y93" s="312">
        <f>'REMUNERACION_EAAB-CL'!Y104</f>
        <v>0</v>
      </c>
      <c r="Z93" s="313">
        <f>'REMUNERACION_EAAB-CL'!Z104</f>
        <v>0</v>
      </c>
      <c r="AA93" s="314">
        <f>'REMUNERACION_EAAB-CL'!AA104</f>
        <v>0</v>
      </c>
      <c r="AB93" s="297">
        <f>'REMUNERACION_EAAB-CL'!AB104</f>
        <v>0</v>
      </c>
      <c r="AC93" s="314">
        <f>'REMUNERACION_EAAB-CL'!AC104</f>
        <v>0</v>
      </c>
      <c r="AD93" s="294">
        <f>'REMUNERACION_EAAB-CL'!AD104</f>
        <v>0</v>
      </c>
      <c r="AE93" s="294">
        <f>'REMUNERACION_EAAB-CL'!AE104</f>
        <v>0</v>
      </c>
      <c r="AF93" s="316">
        <f>'REMUNERACION_EAAB-CL'!AF104</f>
        <v>0</v>
      </c>
      <c r="AG93" s="524">
        <f>'REMUNERACION_EAAB-CL'!AG104</f>
        <v>0</v>
      </c>
      <c r="AH93" s="1"/>
      <c r="AI93" s="309"/>
      <c r="AM93" s="336"/>
    </row>
    <row r="94" spans="1:39" s="308" customFormat="1" x14ac:dyDescent="0.25">
      <c r="B94" s="317">
        <v>2</v>
      </c>
      <c r="C94" s="318" t="s">
        <v>11</v>
      </c>
      <c r="D94" s="294">
        <f>'REMUNERACION_EAAB-CL'!D105</f>
        <v>0</v>
      </c>
      <c r="E94" s="295">
        <f>'REMUNERACION_EAAB-CL'!E105</f>
        <v>0</v>
      </c>
      <c r="F94" s="295">
        <f>'REMUNERACION_EAAB-CL'!F105</f>
        <v>0</v>
      </c>
      <c r="G94" s="295">
        <f>'REMUNERACION_EAAB-CL'!G105</f>
        <v>0</v>
      </c>
      <c r="H94" s="295">
        <f>'REMUNERACION_EAAB-CL'!H105</f>
        <v>0</v>
      </c>
      <c r="I94" s="295">
        <f>'REMUNERACION_EAAB-CL'!I105</f>
        <v>0</v>
      </c>
      <c r="J94" s="291">
        <f>'REMUNERACION_EAAB-CL'!J105</f>
        <v>0</v>
      </c>
      <c r="K94" s="298">
        <f>'REMUNERACION_EAAB-CL'!K105</f>
        <v>0</v>
      </c>
      <c r="L94" s="297">
        <f>'REMUNERACION_EAAB-CL'!L105</f>
        <v>0</v>
      </c>
      <c r="M94" s="298">
        <f>'REMUNERACION_EAAB-CL'!M105</f>
        <v>0</v>
      </c>
      <c r="N94" s="297">
        <f>'REMUNERACION_EAAB-CL'!N105</f>
        <v>0</v>
      </c>
      <c r="O94" s="298">
        <f>'REMUNERACION_EAAB-CL'!O105</f>
        <v>0</v>
      </c>
      <c r="Q94" s="309"/>
      <c r="S94" s="317">
        <v>2</v>
      </c>
      <c r="T94" s="318" t="s">
        <v>11</v>
      </c>
      <c r="U94" s="319">
        <f>'REMUNERACION_EAAB-CL'!U105</f>
        <v>0</v>
      </c>
      <c r="V94" s="320">
        <f>'REMUNERACION_EAAB-CL'!V105</f>
        <v>0</v>
      </c>
      <c r="W94" s="320">
        <f>'REMUNERACION_EAAB-CL'!W105</f>
        <v>0</v>
      </c>
      <c r="X94" s="320">
        <f>'REMUNERACION_EAAB-CL'!X105</f>
        <v>0</v>
      </c>
      <c r="Y94" s="321">
        <f>'REMUNERACION_EAAB-CL'!Y105</f>
        <v>0</v>
      </c>
      <c r="Z94" s="322">
        <f>'REMUNERACION_EAAB-CL'!Z105</f>
        <v>0</v>
      </c>
      <c r="AA94" s="323">
        <f>'REMUNERACION_EAAB-CL'!AA105</f>
        <v>0</v>
      </c>
      <c r="AB94" s="297">
        <f>'REMUNERACION_EAAB-CL'!AB105</f>
        <v>0</v>
      </c>
      <c r="AC94" s="323">
        <f>'REMUNERACION_EAAB-CL'!AC105</f>
        <v>0</v>
      </c>
      <c r="AD94" s="294">
        <f>'REMUNERACION_EAAB-CL'!AD105</f>
        <v>0</v>
      </c>
      <c r="AE94" s="294">
        <f>'REMUNERACION_EAAB-CL'!AE105</f>
        <v>0</v>
      </c>
      <c r="AF94" s="325">
        <f>'REMUNERACION_EAAB-CL'!AF105</f>
        <v>0</v>
      </c>
      <c r="AG94" s="525">
        <f>'REMUNERACION_EAAB-CL'!AG105</f>
        <v>0</v>
      </c>
      <c r="AH94" s="1"/>
      <c r="AI94" s="309"/>
      <c r="AM94" s="336"/>
    </row>
    <row r="95" spans="1:39" s="308" customFormat="1" x14ac:dyDescent="0.25">
      <c r="B95" s="317">
        <v>3</v>
      </c>
      <c r="C95" s="318" t="s">
        <v>12</v>
      </c>
      <c r="D95" s="294">
        <f>'REMUNERACION_EAAB-CL'!D106</f>
        <v>0</v>
      </c>
      <c r="E95" s="295">
        <f>'REMUNERACION_EAAB-CL'!E106</f>
        <v>0</v>
      </c>
      <c r="F95" s="295">
        <f>'REMUNERACION_EAAB-CL'!F106</f>
        <v>0</v>
      </c>
      <c r="G95" s="295">
        <f>'REMUNERACION_EAAB-CL'!G106</f>
        <v>0</v>
      </c>
      <c r="H95" s="295">
        <f>'REMUNERACION_EAAB-CL'!H106</f>
        <v>0</v>
      </c>
      <c r="I95" s="295">
        <f>'REMUNERACION_EAAB-CL'!I106</f>
        <v>0</v>
      </c>
      <c r="J95" s="291">
        <f>'REMUNERACION_EAAB-CL'!J106</f>
        <v>0</v>
      </c>
      <c r="K95" s="298">
        <f>'REMUNERACION_EAAB-CL'!K106</f>
        <v>0</v>
      </c>
      <c r="L95" s="297">
        <f>'REMUNERACION_EAAB-CL'!L106</f>
        <v>0</v>
      </c>
      <c r="M95" s="298">
        <f>'REMUNERACION_EAAB-CL'!M106</f>
        <v>0</v>
      </c>
      <c r="N95" s="297">
        <f>'REMUNERACION_EAAB-CL'!N106</f>
        <v>0</v>
      </c>
      <c r="O95" s="298">
        <f>'REMUNERACION_EAAB-CL'!O106</f>
        <v>0</v>
      </c>
      <c r="Q95" s="309"/>
      <c r="S95" s="317">
        <v>3</v>
      </c>
      <c r="T95" s="318" t="s">
        <v>12</v>
      </c>
      <c r="U95" s="319">
        <f>'REMUNERACION_EAAB-CL'!U106</f>
        <v>0</v>
      </c>
      <c r="V95" s="320">
        <f>'REMUNERACION_EAAB-CL'!V106</f>
        <v>0</v>
      </c>
      <c r="W95" s="320">
        <f>'REMUNERACION_EAAB-CL'!W106</f>
        <v>0</v>
      </c>
      <c r="X95" s="320">
        <f>'REMUNERACION_EAAB-CL'!X106</f>
        <v>0</v>
      </c>
      <c r="Y95" s="321">
        <f>'REMUNERACION_EAAB-CL'!Y106</f>
        <v>0</v>
      </c>
      <c r="Z95" s="322">
        <f>'REMUNERACION_EAAB-CL'!Z106</f>
        <v>0</v>
      </c>
      <c r="AA95" s="323">
        <f>'REMUNERACION_EAAB-CL'!AA106</f>
        <v>0</v>
      </c>
      <c r="AB95" s="297">
        <f>'REMUNERACION_EAAB-CL'!AB106</f>
        <v>0</v>
      </c>
      <c r="AC95" s="323">
        <f>'REMUNERACION_EAAB-CL'!AC106</f>
        <v>0</v>
      </c>
      <c r="AD95" s="294">
        <f>'REMUNERACION_EAAB-CL'!AD106</f>
        <v>0</v>
      </c>
      <c r="AE95" s="294">
        <f>'REMUNERACION_EAAB-CL'!AE106</f>
        <v>0</v>
      </c>
      <c r="AF95" s="325">
        <f>'REMUNERACION_EAAB-CL'!AF106</f>
        <v>0</v>
      </c>
      <c r="AG95" s="525">
        <f>'REMUNERACION_EAAB-CL'!AG106</f>
        <v>0</v>
      </c>
      <c r="AH95" s="1"/>
      <c r="AI95" s="309"/>
      <c r="AM95" s="336"/>
    </row>
    <row r="96" spans="1:39" s="308" customFormat="1" x14ac:dyDescent="0.25">
      <c r="B96" s="317">
        <v>4</v>
      </c>
      <c r="C96" s="318" t="s">
        <v>13</v>
      </c>
      <c r="D96" s="294">
        <f>'REMUNERACION_EAAB-CL'!D107</f>
        <v>0</v>
      </c>
      <c r="E96" s="295">
        <f>'REMUNERACION_EAAB-CL'!E107</f>
        <v>0</v>
      </c>
      <c r="F96" s="295">
        <f>'REMUNERACION_EAAB-CL'!F107</f>
        <v>0</v>
      </c>
      <c r="G96" s="295">
        <f>'REMUNERACION_EAAB-CL'!G107</f>
        <v>0</v>
      </c>
      <c r="H96" s="295">
        <f>'REMUNERACION_EAAB-CL'!H107</f>
        <v>0</v>
      </c>
      <c r="I96" s="295">
        <f>'REMUNERACION_EAAB-CL'!I107</f>
        <v>0</v>
      </c>
      <c r="J96" s="291">
        <f>'REMUNERACION_EAAB-CL'!J107</f>
        <v>0</v>
      </c>
      <c r="K96" s="298">
        <f>'REMUNERACION_EAAB-CL'!K107</f>
        <v>0</v>
      </c>
      <c r="L96" s="297">
        <f>'REMUNERACION_EAAB-CL'!L107</f>
        <v>0</v>
      </c>
      <c r="M96" s="298">
        <f>'REMUNERACION_EAAB-CL'!M107</f>
        <v>0</v>
      </c>
      <c r="N96" s="297">
        <f>'REMUNERACION_EAAB-CL'!N107</f>
        <v>0</v>
      </c>
      <c r="O96" s="298">
        <f>'REMUNERACION_EAAB-CL'!O107</f>
        <v>0</v>
      </c>
      <c r="Q96" s="309"/>
      <c r="S96" s="317">
        <v>4</v>
      </c>
      <c r="T96" s="318" t="s">
        <v>13</v>
      </c>
      <c r="U96" s="319">
        <f>'REMUNERACION_EAAB-CL'!U107</f>
        <v>0</v>
      </c>
      <c r="V96" s="320">
        <f>'REMUNERACION_EAAB-CL'!V107</f>
        <v>0</v>
      </c>
      <c r="W96" s="320">
        <f>'REMUNERACION_EAAB-CL'!W107</f>
        <v>0</v>
      </c>
      <c r="X96" s="320">
        <f>'REMUNERACION_EAAB-CL'!X107</f>
        <v>0</v>
      </c>
      <c r="Y96" s="321">
        <f>'REMUNERACION_EAAB-CL'!Y107</f>
        <v>0</v>
      </c>
      <c r="Z96" s="322">
        <f>'REMUNERACION_EAAB-CL'!Z107</f>
        <v>0</v>
      </c>
      <c r="AA96" s="323">
        <f>'REMUNERACION_EAAB-CL'!AA107</f>
        <v>0</v>
      </c>
      <c r="AB96" s="297">
        <f>'REMUNERACION_EAAB-CL'!AB107</f>
        <v>0</v>
      </c>
      <c r="AC96" s="323">
        <f>'REMUNERACION_EAAB-CL'!AC107</f>
        <v>0</v>
      </c>
      <c r="AD96" s="294">
        <f>'REMUNERACION_EAAB-CL'!AD107</f>
        <v>0</v>
      </c>
      <c r="AE96" s="294">
        <f>'REMUNERACION_EAAB-CL'!AE107</f>
        <v>0</v>
      </c>
      <c r="AF96" s="325">
        <f>'REMUNERACION_EAAB-CL'!AF107</f>
        <v>0</v>
      </c>
      <c r="AG96" s="525">
        <f>'REMUNERACION_EAAB-CL'!AG107</f>
        <v>0</v>
      </c>
      <c r="AH96" s="1"/>
      <c r="AI96" s="309"/>
      <c r="AM96" s="336"/>
    </row>
    <row r="97" spans="1:39" s="308" customFormat="1" ht="12" thickBot="1" x14ac:dyDescent="0.3">
      <c r="B97" s="327">
        <v>5</v>
      </c>
      <c r="C97" s="328" t="s">
        <v>14</v>
      </c>
      <c r="D97" s="299">
        <f>'REMUNERACION_EAAB-CL'!D108</f>
        <v>0</v>
      </c>
      <c r="E97" s="300">
        <f>'REMUNERACION_EAAB-CL'!E108</f>
        <v>0</v>
      </c>
      <c r="F97" s="300">
        <f>'REMUNERACION_EAAB-CL'!F108</f>
        <v>0</v>
      </c>
      <c r="G97" s="300">
        <f>'REMUNERACION_EAAB-CL'!G108</f>
        <v>0</v>
      </c>
      <c r="H97" s="300">
        <f>'REMUNERACION_EAAB-CL'!H108</f>
        <v>0</v>
      </c>
      <c r="I97" s="300">
        <f>'REMUNERACION_EAAB-CL'!I108</f>
        <v>0</v>
      </c>
      <c r="J97" s="292">
        <f>'REMUNERACION_EAAB-CL'!J108</f>
        <v>0</v>
      </c>
      <c r="K97" s="298">
        <f>'REMUNERACION_EAAB-CL'!K108</f>
        <v>0</v>
      </c>
      <c r="L97" s="297">
        <f>'REMUNERACION_EAAB-CL'!L108</f>
        <v>0</v>
      </c>
      <c r="M97" s="301">
        <f>'REMUNERACION_EAAB-CL'!M108</f>
        <v>0</v>
      </c>
      <c r="N97" s="302">
        <f>'REMUNERACION_EAAB-CL'!N108</f>
        <v>0</v>
      </c>
      <c r="O97" s="301">
        <f>'REMUNERACION_EAAB-CL'!O108</f>
        <v>0</v>
      </c>
      <c r="Q97" s="309"/>
      <c r="S97" s="327">
        <v>5</v>
      </c>
      <c r="T97" s="328" t="s">
        <v>14</v>
      </c>
      <c r="U97" s="299">
        <f>'REMUNERACION_EAAB-CL'!U108</f>
        <v>0</v>
      </c>
      <c r="V97" s="300">
        <f>'REMUNERACION_EAAB-CL'!V108</f>
        <v>0</v>
      </c>
      <c r="W97" s="300">
        <f>'REMUNERACION_EAAB-CL'!W108</f>
        <v>0</v>
      </c>
      <c r="X97" s="300">
        <f>'REMUNERACION_EAAB-CL'!X108</f>
        <v>0</v>
      </c>
      <c r="Y97" s="292">
        <f>'REMUNERACION_EAAB-CL'!Y108</f>
        <v>0</v>
      </c>
      <c r="Z97" s="322">
        <f>'REMUNERACION_EAAB-CL'!Z108</f>
        <v>0</v>
      </c>
      <c r="AA97" s="323">
        <f>'REMUNERACION_EAAB-CL'!AA108</f>
        <v>0</v>
      </c>
      <c r="AB97" s="297">
        <f>'REMUNERACION_EAAB-CL'!AB108</f>
        <v>0</v>
      </c>
      <c r="AC97" s="323">
        <f>'REMUNERACION_EAAB-CL'!AC108</f>
        <v>0</v>
      </c>
      <c r="AD97" s="294">
        <f>'REMUNERACION_EAAB-CL'!AD108</f>
        <v>0</v>
      </c>
      <c r="AE97" s="294">
        <f>'REMUNERACION_EAAB-CL'!AE108</f>
        <v>0</v>
      </c>
      <c r="AF97" s="325">
        <f>'REMUNERACION_EAAB-CL'!AF108</f>
        <v>0</v>
      </c>
      <c r="AG97" s="526">
        <f>'REMUNERACION_EAAB-CL'!AG108</f>
        <v>0</v>
      </c>
      <c r="AH97" s="1"/>
      <c r="AI97" s="309"/>
      <c r="AM97" s="336"/>
    </row>
    <row r="98" spans="1:39" s="308" customFormat="1" ht="13.5" thickBot="1" x14ac:dyDescent="0.35">
      <c r="B98" s="330"/>
      <c r="C98" s="331" t="s">
        <v>2</v>
      </c>
      <c r="D98" s="293">
        <f>'REMUNERACION_EAAB-CL'!D109</f>
        <v>0</v>
      </c>
      <c r="E98" s="293">
        <f>'REMUNERACION_EAAB-CL'!E109</f>
        <v>0</v>
      </c>
      <c r="F98" s="293">
        <f>'REMUNERACION_EAAB-CL'!F109</f>
        <v>0</v>
      </c>
      <c r="G98" s="293">
        <f>'REMUNERACION_EAAB-CL'!G109</f>
        <v>0</v>
      </c>
      <c r="H98" s="293">
        <f>'REMUNERACION_EAAB-CL'!H109</f>
        <v>0</v>
      </c>
      <c r="I98" s="293">
        <f>'REMUNERACION_EAAB-CL'!I109</f>
        <v>0</v>
      </c>
      <c r="J98" s="293">
        <f>'REMUNERACION_EAAB-CL'!J109</f>
        <v>0</v>
      </c>
      <c r="K98" s="303">
        <f>'REMUNERACION_EAAB-CL'!K109</f>
        <v>0</v>
      </c>
      <c r="L98" s="304">
        <f>'REMUNERACION_EAAB-CL'!L109</f>
        <v>0</v>
      </c>
      <c r="M98" s="305">
        <f>'REMUNERACION_EAAB-CL'!M109</f>
        <v>0</v>
      </c>
      <c r="N98" s="304">
        <f>'REMUNERACION_EAAB-CL'!N109</f>
        <v>0</v>
      </c>
      <c r="O98" s="305">
        <f>'REMUNERACION_EAAB-CL'!O109</f>
        <v>0</v>
      </c>
      <c r="P98" s="332"/>
      <c r="Q98" s="309"/>
      <c r="S98" s="330"/>
      <c r="T98" s="331" t="s">
        <v>2</v>
      </c>
      <c r="U98" s="333">
        <f>'REMUNERACION_EAAB-CL'!U109</f>
        <v>0</v>
      </c>
      <c r="V98" s="333">
        <f>'REMUNERACION_EAAB-CL'!V109</f>
        <v>0</v>
      </c>
      <c r="W98" s="333">
        <f>'REMUNERACION_EAAB-CL'!W109</f>
        <v>0</v>
      </c>
      <c r="X98" s="333">
        <f>'REMUNERACION_EAAB-CL'!X109</f>
        <v>0</v>
      </c>
      <c r="Y98" s="333">
        <f>'REMUNERACION_EAAB-CL'!Y109</f>
        <v>0</v>
      </c>
      <c r="Z98" s="293">
        <f>'REMUNERACION_EAAB-CL'!Z109</f>
        <v>0</v>
      </c>
      <c r="AA98" s="293">
        <f>'REMUNERACION_EAAB-CL'!AA109</f>
        <v>0</v>
      </c>
      <c r="AB98" s="293">
        <f>'REMUNERACION_EAAB-CL'!AB109</f>
        <v>0</v>
      </c>
      <c r="AC98" s="293">
        <f>'REMUNERACION_EAAB-CL'!AC109</f>
        <v>0</v>
      </c>
      <c r="AD98" s="293">
        <f>'REMUNERACION_EAAB-CL'!AD109</f>
        <v>0</v>
      </c>
      <c r="AE98" s="293">
        <f>'REMUNERACION_EAAB-CL'!AE109</f>
        <v>0</v>
      </c>
      <c r="AF98" s="334">
        <f>'REMUNERACION_EAAB-CL'!AF109</f>
        <v>0</v>
      </c>
      <c r="AG98" s="527">
        <f>'REMUNERACION_EAAB-CL'!AG109</f>
        <v>0</v>
      </c>
      <c r="AH98" s="1"/>
      <c r="AI98" s="309"/>
      <c r="AM98" s="336"/>
    </row>
    <row r="99" spans="1:39" ht="12" thickBot="1" x14ac:dyDescent="0.3">
      <c r="B99" s="2"/>
      <c r="C99" s="2"/>
      <c r="D99" s="165"/>
      <c r="E99" s="451"/>
      <c r="F99" s="451"/>
      <c r="G99" s="451"/>
      <c r="H99" s="451"/>
      <c r="I99" s="451"/>
      <c r="J99" s="165"/>
      <c r="K99" s="451"/>
      <c r="L99" s="451"/>
      <c r="M99" s="451"/>
      <c r="N99" s="451"/>
      <c r="O99" s="451"/>
      <c r="Q99" s="4"/>
      <c r="S99" s="2"/>
      <c r="T99" s="2"/>
      <c r="U99" s="451"/>
      <c r="V99" s="451"/>
      <c r="W99" s="451"/>
      <c r="X99" s="451"/>
      <c r="Y99" s="451"/>
      <c r="AF99" s="451"/>
      <c r="AI99" s="4"/>
    </row>
    <row r="100" spans="1:39" ht="12" thickBot="1" x14ac:dyDescent="0.3">
      <c r="B100" s="2"/>
      <c r="C100" s="2"/>
      <c r="D100" s="451"/>
      <c r="E100" s="451"/>
      <c r="F100" s="451"/>
      <c r="G100" s="451"/>
      <c r="H100" s="451"/>
      <c r="I100" s="451"/>
      <c r="K100" s="451"/>
      <c r="L100" s="451"/>
      <c r="M100" s="451"/>
      <c r="N100" s="451"/>
      <c r="O100" s="451"/>
      <c r="Q100" s="4"/>
      <c r="Y100" s="452"/>
      <c r="AI100" s="4"/>
    </row>
    <row r="101" spans="1:39" x14ac:dyDescent="0.25">
      <c r="A101" s="4"/>
      <c r="B101" s="34"/>
      <c r="C101" s="34"/>
      <c r="D101" s="477"/>
      <c r="E101" s="477"/>
      <c r="F101" s="477"/>
      <c r="G101" s="477"/>
      <c r="H101" s="477"/>
      <c r="I101" s="477"/>
      <c r="J101" s="4"/>
      <c r="K101" s="477"/>
      <c r="L101" s="477"/>
      <c r="M101" s="477"/>
      <c r="N101" s="477"/>
      <c r="O101" s="477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</row>
    <row r="102" spans="1:39" ht="12" thickBot="1" x14ac:dyDescent="0.3">
      <c r="Q102" s="4"/>
      <c r="AI102" s="4"/>
    </row>
    <row r="103" spans="1:39" x14ac:dyDescent="0.25">
      <c r="B103" s="5"/>
      <c r="C103" s="3" t="s">
        <v>1</v>
      </c>
      <c r="D103" s="6" t="s">
        <v>1</v>
      </c>
      <c r="E103" s="3"/>
      <c r="F103" s="3"/>
      <c r="G103" s="3"/>
      <c r="H103" s="3" t="s">
        <v>1</v>
      </c>
      <c r="I103" s="3"/>
      <c r="J103" s="3"/>
      <c r="K103" s="3"/>
      <c r="L103" s="3"/>
      <c r="M103" s="3"/>
      <c r="N103" s="3"/>
      <c r="O103" s="7"/>
      <c r="P103" s="2"/>
      <c r="Q103" s="4"/>
      <c r="S103" s="5"/>
      <c r="T103" s="3" t="s">
        <v>1</v>
      </c>
      <c r="U103" s="6" t="s">
        <v>1</v>
      </c>
      <c r="V103" s="3"/>
      <c r="W103" s="3"/>
      <c r="X103" s="3" t="s">
        <v>1</v>
      </c>
      <c r="Y103" s="3"/>
      <c r="Z103" s="3"/>
      <c r="AA103" s="3"/>
      <c r="AB103" s="3"/>
      <c r="AC103" s="3"/>
      <c r="AD103" s="3"/>
      <c r="AE103" s="3"/>
      <c r="AF103" s="7"/>
      <c r="AG103" s="2"/>
      <c r="AI103" s="4"/>
    </row>
    <row r="104" spans="1:39" ht="14" x14ac:dyDescent="0.3">
      <c r="B104" s="8"/>
      <c r="F104" s="26" t="s">
        <v>8</v>
      </c>
      <c r="G104" s="26"/>
      <c r="I104" s="26" t="s">
        <v>16</v>
      </c>
      <c r="J104" s="25"/>
      <c r="M104" s="2"/>
      <c r="N104" s="50"/>
      <c r="O104" s="10"/>
      <c r="P104" s="2"/>
      <c r="Q104" s="4"/>
      <c r="S104" s="8"/>
      <c r="U104" s="26" t="s">
        <v>8</v>
      </c>
      <c r="W104" s="26" t="s">
        <v>16</v>
      </c>
      <c r="X104" s="25"/>
      <c r="Y104" s="2"/>
      <c r="AA104" s="2"/>
      <c r="AD104" s="50"/>
      <c r="AE104" s="84"/>
      <c r="AF104" s="48"/>
      <c r="AG104" s="2"/>
      <c r="AI104" s="4"/>
    </row>
    <row r="105" spans="1:39" ht="15.5" x14ac:dyDescent="0.35">
      <c r="B105" s="8"/>
      <c r="F105" s="36" t="s">
        <v>29</v>
      </c>
      <c r="G105" s="36"/>
      <c r="O105" s="10"/>
      <c r="P105" s="2"/>
      <c r="Q105" s="4"/>
      <c r="S105" s="8"/>
      <c r="T105" s="26" t="s">
        <v>1</v>
      </c>
      <c r="U105" s="36" t="s">
        <v>29</v>
      </c>
      <c r="Y105" s="2" t="s">
        <v>1</v>
      </c>
      <c r="AA105" s="50" t="s">
        <v>1</v>
      </c>
      <c r="AB105" s="2"/>
      <c r="AC105" s="2"/>
      <c r="AD105" s="2"/>
      <c r="AE105" s="2"/>
      <c r="AF105" s="10" t="s">
        <v>1</v>
      </c>
      <c r="AG105" s="2"/>
      <c r="AI105" s="4"/>
    </row>
    <row r="106" spans="1:39" ht="14" x14ac:dyDescent="0.3">
      <c r="B106" s="8"/>
      <c r="F106" s="2" t="s">
        <v>30</v>
      </c>
      <c r="G106" s="2"/>
      <c r="M106" s="2" t="s">
        <v>1</v>
      </c>
      <c r="O106" s="10"/>
      <c r="P106" s="2"/>
      <c r="Q106" s="4"/>
      <c r="S106" s="8"/>
      <c r="T106" s="49" t="s">
        <v>1</v>
      </c>
      <c r="U106" s="2" t="s">
        <v>30</v>
      </c>
      <c r="AF106" s="44"/>
      <c r="AG106" s="2"/>
      <c r="AI106" s="4"/>
    </row>
    <row r="107" spans="1:39" ht="15.5" x14ac:dyDescent="0.35">
      <c r="B107" s="8"/>
      <c r="C107" s="2"/>
      <c r="D107" s="9"/>
      <c r="F107" s="41" t="s">
        <v>190</v>
      </c>
      <c r="G107" s="41"/>
      <c r="H107" s="2"/>
      <c r="J107" s="2"/>
      <c r="O107" s="10"/>
      <c r="P107" s="2"/>
      <c r="Q107" s="4"/>
      <c r="S107" s="8"/>
      <c r="T107" s="41" t="s">
        <v>1</v>
      </c>
      <c r="U107" s="41" t="s">
        <v>190</v>
      </c>
      <c r="V107" s="2"/>
      <c r="X107" s="2"/>
      <c r="Y107" s="2"/>
      <c r="AF107" s="48"/>
      <c r="AG107" s="2"/>
      <c r="AI107" s="4"/>
    </row>
    <row r="108" spans="1:39" ht="12" thickBot="1" x14ac:dyDescent="0.3">
      <c r="B108" s="8"/>
      <c r="C108" s="2"/>
      <c r="D108" s="241"/>
      <c r="F108" s="2"/>
      <c r="G108" s="9"/>
      <c r="J108" s="2"/>
      <c r="K108" s="9"/>
      <c r="O108" s="10"/>
      <c r="P108" s="2"/>
      <c r="Q108" s="4"/>
      <c r="S108" s="8"/>
      <c r="V108" s="9"/>
      <c r="Y108" s="9"/>
      <c r="Z108" s="1" t="s">
        <v>1</v>
      </c>
      <c r="AF108" s="48"/>
      <c r="AG108" s="2"/>
      <c r="AI108" s="4"/>
    </row>
    <row r="109" spans="1:39" ht="69.5" thickBot="1" x14ac:dyDescent="0.3">
      <c r="B109" s="11" t="s">
        <v>3</v>
      </c>
      <c r="C109" s="27" t="s">
        <v>9</v>
      </c>
      <c r="D109" s="104" t="s">
        <v>4</v>
      </c>
      <c r="E109" s="105" t="s">
        <v>5</v>
      </c>
      <c r="F109" s="105" t="s">
        <v>6</v>
      </c>
      <c r="G109" s="543" t="s">
        <v>159</v>
      </c>
      <c r="H109" s="105" t="s">
        <v>18</v>
      </c>
      <c r="I109" s="105" t="s">
        <v>24</v>
      </c>
      <c r="J109" s="147" t="s">
        <v>19</v>
      </c>
      <c r="K109" s="39" t="s">
        <v>20</v>
      </c>
      <c r="L109" s="544" t="s">
        <v>21</v>
      </c>
      <c r="M109" s="39" t="s">
        <v>22</v>
      </c>
      <c r="N109" s="105" t="s">
        <v>7</v>
      </c>
      <c r="O109" s="39" t="s">
        <v>23</v>
      </c>
      <c r="P109" s="13"/>
      <c r="Q109" s="4"/>
      <c r="S109" s="11" t="s">
        <v>3</v>
      </c>
      <c r="T109" s="27" t="s">
        <v>9</v>
      </c>
      <c r="U109" s="162" t="s">
        <v>39</v>
      </c>
      <c r="V109" s="163" t="s">
        <v>40</v>
      </c>
      <c r="W109" s="163" t="s">
        <v>41</v>
      </c>
      <c r="X109" s="163" t="s">
        <v>42</v>
      </c>
      <c r="Y109" s="164" t="s">
        <v>43</v>
      </c>
      <c r="Z109" s="547" t="s">
        <v>21</v>
      </c>
      <c r="AA109" s="383" t="s">
        <v>46</v>
      </c>
      <c r="AB109" s="383" t="s">
        <v>7</v>
      </c>
      <c r="AC109" s="547" t="s">
        <v>167</v>
      </c>
      <c r="AD109" s="543" t="s">
        <v>105</v>
      </c>
      <c r="AE109" s="543" t="s">
        <v>104</v>
      </c>
      <c r="AF109" s="39" t="s">
        <v>23</v>
      </c>
      <c r="AG109" s="13"/>
      <c r="AI109" s="4"/>
    </row>
    <row r="110" spans="1:39" x14ac:dyDescent="0.25">
      <c r="B110" s="14">
        <v>1</v>
      </c>
      <c r="C110" s="61" t="s">
        <v>10</v>
      </c>
      <c r="D110" s="545">
        <f>D9-(D26+D60+D43+D76+D93)</f>
        <v>0</v>
      </c>
      <c r="E110" s="545">
        <f t="shared" ref="E110:O110" si="0">E9-(E26+E60+E43+E76+E93)</f>
        <v>0</v>
      </c>
      <c r="F110" s="545">
        <f t="shared" si="0"/>
        <v>0</v>
      </c>
      <c r="G110" s="545">
        <f t="shared" si="0"/>
        <v>0</v>
      </c>
      <c r="H110" s="545">
        <f t="shared" si="0"/>
        <v>0</v>
      </c>
      <c r="I110" s="545">
        <f t="shared" si="0"/>
        <v>0</v>
      </c>
      <c r="J110" s="545">
        <f t="shared" si="0"/>
        <v>0</v>
      </c>
      <c r="K110" s="545">
        <f t="shared" si="0"/>
        <v>0</v>
      </c>
      <c r="L110" s="545">
        <f t="shared" si="0"/>
        <v>0</v>
      </c>
      <c r="M110" s="545">
        <f t="shared" si="0"/>
        <v>0</v>
      </c>
      <c r="N110" s="545">
        <f t="shared" si="0"/>
        <v>0</v>
      </c>
      <c r="O110" s="545">
        <f t="shared" si="0"/>
        <v>0</v>
      </c>
      <c r="P110" s="483"/>
      <c r="Q110" s="484"/>
      <c r="R110" s="483"/>
      <c r="S110" s="485">
        <v>1</v>
      </c>
      <c r="T110" s="486" t="s">
        <v>10</v>
      </c>
      <c r="U110" s="545">
        <f>U9-(U26+U43+U60++U76+U93)</f>
        <v>0</v>
      </c>
      <c r="V110" s="545">
        <f t="shared" ref="V110:AF110" si="1">V9-(V26+V43+V60++V76+V93)</f>
        <v>0</v>
      </c>
      <c r="W110" s="545">
        <f t="shared" si="1"/>
        <v>0</v>
      </c>
      <c r="X110" s="545">
        <f t="shared" si="1"/>
        <v>0</v>
      </c>
      <c r="Y110" s="545">
        <f t="shared" si="1"/>
        <v>0</v>
      </c>
      <c r="Z110" s="545">
        <f t="shared" si="1"/>
        <v>0</v>
      </c>
      <c r="AA110" s="545">
        <f t="shared" si="1"/>
        <v>0</v>
      </c>
      <c r="AB110" s="545">
        <f t="shared" si="1"/>
        <v>0</v>
      </c>
      <c r="AC110" s="545">
        <f t="shared" si="1"/>
        <v>0</v>
      </c>
      <c r="AD110" s="545">
        <f t="shared" si="1"/>
        <v>0</v>
      </c>
      <c r="AE110" s="545">
        <f t="shared" si="1"/>
        <v>0</v>
      </c>
      <c r="AF110" s="545">
        <f t="shared" si="1"/>
        <v>0</v>
      </c>
      <c r="AG110" s="545">
        <f t="shared" ref="AG110" si="2">AG9-(AG26+AG43+AG60++AG76+AG93)</f>
        <v>0</v>
      </c>
      <c r="AI110" s="484"/>
      <c r="AJ110" s="483"/>
    </row>
    <row r="111" spans="1:39" x14ac:dyDescent="0.25">
      <c r="B111" s="16">
        <v>2</v>
      </c>
      <c r="C111" s="62" t="s">
        <v>11</v>
      </c>
      <c r="D111" s="482">
        <f t="shared" ref="D111:O115" si="3">D10-(D27+D61+D44+D77+D94)</f>
        <v>0</v>
      </c>
      <c r="E111" s="482">
        <f t="shared" si="3"/>
        <v>0</v>
      </c>
      <c r="F111" s="482">
        <f t="shared" si="3"/>
        <v>0</v>
      </c>
      <c r="G111" s="482">
        <f t="shared" si="3"/>
        <v>0</v>
      </c>
      <c r="H111" s="482">
        <f t="shared" si="3"/>
        <v>0</v>
      </c>
      <c r="I111" s="482">
        <f t="shared" si="3"/>
        <v>0</v>
      </c>
      <c r="J111" s="482">
        <f t="shared" si="3"/>
        <v>0</v>
      </c>
      <c r="K111" s="482">
        <f t="shared" si="3"/>
        <v>0</v>
      </c>
      <c r="L111" s="482">
        <f t="shared" si="3"/>
        <v>0</v>
      </c>
      <c r="M111" s="482">
        <f t="shared" si="3"/>
        <v>0</v>
      </c>
      <c r="N111" s="482">
        <f t="shared" si="3"/>
        <v>0</v>
      </c>
      <c r="O111" s="482">
        <f t="shared" si="3"/>
        <v>0</v>
      </c>
      <c r="P111" s="483"/>
      <c r="Q111" s="484"/>
      <c r="R111" s="483"/>
      <c r="S111" s="487">
        <v>2</v>
      </c>
      <c r="T111" s="488" t="s">
        <v>11</v>
      </c>
      <c r="U111" s="482">
        <f t="shared" ref="U111:AF115" si="4">U10-(U27+U44+U61++U77+U94)</f>
        <v>0</v>
      </c>
      <c r="V111" s="482">
        <f t="shared" si="4"/>
        <v>0</v>
      </c>
      <c r="W111" s="482">
        <f t="shared" si="4"/>
        <v>0</v>
      </c>
      <c r="X111" s="482">
        <f t="shared" si="4"/>
        <v>0</v>
      </c>
      <c r="Y111" s="482">
        <f t="shared" si="4"/>
        <v>0</v>
      </c>
      <c r="Z111" s="482">
        <f t="shared" si="4"/>
        <v>0</v>
      </c>
      <c r="AA111" s="482">
        <f t="shared" si="4"/>
        <v>0</v>
      </c>
      <c r="AB111" s="482">
        <f t="shared" si="4"/>
        <v>0</v>
      </c>
      <c r="AC111" s="482">
        <f t="shared" si="4"/>
        <v>0</v>
      </c>
      <c r="AD111" s="482">
        <f t="shared" si="4"/>
        <v>0</v>
      </c>
      <c r="AE111" s="482">
        <f t="shared" si="4"/>
        <v>0</v>
      </c>
      <c r="AF111" s="482">
        <f t="shared" si="4"/>
        <v>0</v>
      </c>
      <c r="AG111" s="482">
        <f t="shared" ref="AG111" si="5">AG10-(AG27+AG44+AG61++AG77+AG94)</f>
        <v>0</v>
      </c>
      <c r="AI111" s="484"/>
      <c r="AJ111" s="483"/>
    </row>
    <row r="112" spans="1:39" x14ac:dyDescent="0.25">
      <c r="B112" s="16">
        <v>3</v>
      </c>
      <c r="C112" s="62" t="s">
        <v>12</v>
      </c>
      <c r="D112" s="482">
        <f t="shared" si="3"/>
        <v>0</v>
      </c>
      <c r="E112" s="482">
        <f t="shared" si="3"/>
        <v>0</v>
      </c>
      <c r="F112" s="482">
        <f t="shared" si="3"/>
        <v>0</v>
      </c>
      <c r="G112" s="482">
        <f t="shared" si="3"/>
        <v>0</v>
      </c>
      <c r="H112" s="482">
        <f t="shared" si="3"/>
        <v>0</v>
      </c>
      <c r="I112" s="482">
        <f t="shared" si="3"/>
        <v>0</v>
      </c>
      <c r="J112" s="482">
        <f t="shared" si="3"/>
        <v>0</v>
      </c>
      <c r="K112" s="482">
        <f t="shared" si="3"/>
        <v>0</v>
      </c>
      <c r="L112" s="482">
        <f t="shared" si="3"/>
        <v>0</v>
      </c>
      <c r="M112" s="482">
        <f t="shared" si="3"/>
        <v>0</v>
      </c>
      <c r="N112" s="482">
        <f t="shared" si="3"/>
        <v>0</v>
      </c>
      <c r="O112" s="482">
        <f t="shared" si="3"/>
        <v>0</v>
      </c>
      <c r="P112" s="483"/>
      <c r="Q112" s="484"/>
      <c r="R112" s="483"/>
      <c r="S112" s="487">
        <v>3</v>
      </c>
      <c r="T112" s="488" t="s">
        <v>12</v>
      </c>
      <c r="U112" s="482">
        <f t="shared" si="4"/>
        <v>0</v>
      </c>
      <c r="V112" s="482">
        <f t="shared" si="4"/>
        <v>0</v>
      </c>
      <c r="W112" s="482">
        <f t="shared" si="4"/>
        <v>0</v>
      </c>
      <c r="X112" s="482">
        <f t="shared" si="4"/>
        <v>0</v>
      </c>
      <c r="Y112" s="482">
        <f t="shared" si="4"/>
        <v>0</v>
      </c>
      <c r="Z112" s="482">
        <f t="shared" si="4"/>
        <v>0</v>
      </c>
      <c r="AA112" s="482">
        <f t="shared" si="4"/>
        <v>0</v>
      </c>
      <c r="AB112" s="482">
        <f t="shared" si="4"/>
        <v>0</v>
      </c>
      <c r="AC112" s="482">
        <f t="shared" si="4"/>
        <v>0</v>
      </c>
      <c r="AD112" s="482">
        <f t="shared" si="4"/>
        <v>-2.384185791015625E-7</v>
      </c>
      <c r="AE112" s="482">
        <f t="shared" si="4"/>
        <v>0</v>
      </c>
      <c r="AF112" s="482">
        <f t="shared" ref="AF112" si="6">AF11-(AF28+AF45+AF62++AF78+AF95)</f>
        <v>0</v>
      </c>
      <c r="AG112" s="482">
        <f t="shared" ref="AG112" si="7">AG11-(AG28+AG45+AG62++AG78+AG95)</f>
        <v>0</v>
      </c>
      <c r="AI112" s="484"/>
      <c r="AJ112" s="483"/>
    </row>
    <row r="113" spans="1:36" x14ac:dyDescent="0.25">
      <c r="B113" s="16">
        <v>4</v>
      </c>
      <c r="C113" s="62" t="s">
        <v>13</v>
      </c>
      <c r="D113" s="482">
        <f t="shared" si="3"/>
        <v>0</v>
      </c>
      <c r="E113" s="482">
        <f t="shared" si="3"/>
        <v>0</v>
      </c>
      <c r="F113" s="482">
        <f t="shared" si="3"/>
        <v>0</v>
      </c>
      <c r="G113" s="482">
        <f t="shared" si="3"/>
        <v>0</v>
      </c>
      <c r="H113" s="482">
        <f t="shared" si="3"/>
        <v>0</v>
      </c>
      <c r="I113" s="482">
        <f t="shared" si="3"/>
        <v>0</v>
      </c>
      <c r="J113" s="482">
        <f t="shared" si="3"/>
        <v>0</v>
      </c>
      <c r="K113" s="482">
        <f t="shared" si="3"/>
        <v>0</v>
      </c>
      <c r="L113" s="482">
        <f t="shared" si="3"/>
        <v>0</v>
      </c>
      <c r="M113" s="482">
        <f t="shared" si="3"/>
        <v>0</v>
      </c>
      <c r="N113" s="482">
        <f t="shared" si="3"/>
        <v>0</v>
      </c>
      <c r="O113" s="482">
        <f t="shared" si="3"/>
        <v>0</v>
      </c>
      <c r="P113" s="483"/>
      <c r="Q113" s="484"/>
      <c r="R113" s="483"/>
      <c r="S113" s="487">
        <v>4</v>
      </c>
      <c r="T113" s="488" t="s">
        <v>13</v>
      </c>
      <c r="U113" s="482">
        <f t="shared" si="4"/>
        <v>0</v>
      </c>
      <c r="V113" s="482">
        <f t="shared" si="4"/>
        <v>0</v>
      </c>
      <c r="W113" s="482">
        <f t="shared" si="4"/>
        <v>0</v>
      </c>
      <c r="X113" s="482">
        <f t="shared" si="4"/>
        <v>0</v>
      </c>
      <c r="Y113" s="482">
        <f t="shared" si="4"/>
        <v>0</v>
      </c>
      <c r="Z113" s="482">
        <f t="shared" si="4"/>
        <v>0</v>
      </c>
      <c r="AA113" s="482">
        <f t="shared" si="4"/>
        <v>0</v>
      </c>
      <c r="AB113" s="482">
        <f t="shared" si="4"/>
        <v>0</v>
      </c>
      <c r="AC113" s="482">
        <f t="shared" si="4"/>
        <v>0</v>
      </c>
      <c r="AD113" s="482">
        <f t="shared" si="4"/>
        <v>0</v>
      </c>
      <c r="AE113" s="482">
        <f t="shared" si="4"/>
        <v>0</v>
      </c>
      <c r="AF113" s="482">
        <f t="shared" ref="AF113" si="8">AF12-(AF29+AF46+AF63++AF79+AF96)</f>
        <v>0</v>
      </c>
      <c r="AG113" s="482">
        <f t="shared" ref="AG113" si="9">AG12-(AG29+AG46+AG63++AG79+AG96)</f>
        <v>0</v>
      </c>
      <c r="AI113" s="484"/>
      <c r="AJ113" s="483"/>
    </row>
    <row r="114" spans="1:36" ht="12" thickBot="1" x14ac:dyDescent="0.3">
      <c r="B114" s="19">
        <v>5</v>
      </c>
      <c r="C114" s="63" t="s">
        <v>14</v>
      </c>
      <c r="D114" s="482">
        <f t="shared" si="3"/>
        <v>0</v>
      </c>
      <c r="E114" s="482">
        <f t="shared" si="3"/>
        <v>0</v>
      </c>
      <c r="F114" s="482">
        <f t="shared" si="3"/>
        <v>0</v>
      </c>
      <c r="G114" s="482">
        <f t="shared" si="3"/>
        <v>0</v>
      </c>
      <c r="H114" s="482">
        <f t="shared" si="3"/>
        <v>0</v>
      </c>
      <c r="I114" s="482">
        <f t="shared" si="3"/>
        <v>0</v>
      </c>
      <c r="J114" s="482">
        <f t="shared" si="3"/>
        <v>0</v>
      </c>
      <c r="K114" s="482">
        <f t="shared" si="3"/>
        <v>0</v>
      </c>
      <c r="L114" s="482">
        <f t="shared" si="3"/>
        <v>0</v>
      </c>
      <c r="M114" s="482">
        <f t="shared" si="3"/>
        <v>0</v>
      </c>
      <c r="N114" s="482">
        <f t="shared" si="3"/>
        <v>0</v>
      </c>
      <c r="O114" s="482">
        <f t="shared" si="3"/>
        <v>0</v>
      </c>
      <c r="P114" s="483"/>
      <c r="Q114" s="484"/>
      <c r="R114" s="483"/>
      <c r="S114" s="489">
        <v>5</v>
      </c>
      <c r="T114" s="490" t="s">
        <v>14</v>
      </c>
      <c r="U114" s="482">
        <f t="shared" si="4"/>
        <v>0</v>
      </c>
      <c r="V114" s="482">
        <f t="shared" si="4"/>
        <v>0</v>
      </c>
      <c r="W114" s="482">
        <f t="shared" si="4"/>
        <v>0</v>
      </c>
      <c r="X114" s="482">
        <f t="shared" si="4"/>
        <v>0</v>
      </c>
      <c r="Y114" s="482">
        <f t="shared" si="4"/>
        <v>0</v>
      </c>
      <c r="Z114" s="482">
        <f t="shared" si="4"/>
        <v>0</v>
      </c>
      <c r="AA114" s="482">
        <f t="shared" si="4"/>
        <v>0</v>
      </c>
      <c r="AB114" s="482">
        <f t="shared" si="4"/>
        <v>0</v>
      </c>
      <c r="AC114" s="482">
        <f t="shared" si="4"/>
        <v>0</v>
      </c>
      <c r="AD114" s="482">
        <f t="shared" si="4"/>
        <v>0</v>
      </c>
      <c r="AE114" s="482">
        <f t="shared" si="4"/>
        <v>0</v>
      </c>
      <c r="AF114" s="482">
        <f t="shared" ref="AF114" si="10">AF13-(AF30+AF47+AF64++AF80+AF97)</f>
        <v>0</v>
      </c>
      <c r="AG114" s="482">
        <f t="shared" ref="AG114" si="11">AG13-(AG30+AG47+AG64++AG80+AG97)</f>
        <v>0</v>
      </c>
      <c r="AI114" s="484"/>
      <c r="AJ114" s="483"/>
    </row>
    <row r="115" spans="1:36" ht="12" thickBot="1" x14ac:dyDescent="0.3">
      <c r="B115" s="21"/>
      <c r="C115" s="22" t="s">
        <v>2</v>
      </c>
      <c r="D115" s="546">
        <f t="shared" si="3"/>
        <v>0</v>
      </c>
      <c r="E115" s="546">
        <f t="shared" si="3"/>
        <v>0</v>
      </c>
      <c r="F115" s="546">
        <f t="shared" si="3"/>
        <v>0</v>
      </c>
      <c r="G115" s="546">
        <f t="shared" si="3"/>
        <v>0</v>
      </c>
      <c r="H115" s="546">
        <f t="shared" si="3"/>
        <v>0</v>
      </c>
      <c r="I115" s="546">
        <f t="shared" si="3"/>
        <v>0</v>
      </c>
      <c r="J115" s="546">
        <f t="shared" si="3"/>
        <v>0</v>
      </c>
      <c r="K115" s="546">
        <f t="shared" si="3"/>
        <v>0</v>
      </c>
      <c r="L115" s="546">
        <f t="shared" si="3"/>
        <v>0</v>
      </c>
      <c r="M115" s="546">
        <f t="shared" si="3"/>
        <v>0</v>
      </c>
      <c r="N115" s="546">
        <f t="shared" si="3"/>
        <v>0</v>
      </c>
      <c r="O115" s="546">
        <f t="shared" si="3"/>
        <v>0</v>
      </c>
      <c r="P115" s="491"/>
      <c r="Q115" s="484"/>
      <c r="R115" s="483"/>
      <c r="S115" s="492"/>
      <c r="T115" s="493" t="s">
        <v>2</v>
      </c>
      <c r="U115" s="546">
        <f t="shared" si="4"/>
        <v>0</v>
      </c>
      <c r="V115" s="546">
        <f t="shared" si="4"/>
        <v>0</v>
      </c>
      <c r="W115" s="546">
        <f t="shared" si="4"/>
        <v>0</v>
      </c>
      <c r="X115" s="546">
        <f t="shared" si="4"/>
        <v>0</v>
      </c>
      <c r="Y115" s="546">
        <f t="shared" si="4"/>
        <v>0</v>
      </c>
      <c r="Z115" s="546">
        <f t="shared" si="4"/>
        <v>0</v>
      </c>
      <c r="AA115" s="546">
        <f t="shared" si="4"/>
        <v>0</v>
      </c>
      <c r="AB115" s="546">
        <f t="shared" si="4"/>
        <v>0</v>
      </c>
      <c r="AC115" s="546">
        <f t="shared" si="4"/>
        <v>-6.3948846218409017E-14</v>
      </c>
      <c r="AD115" s="546">
        <f t="shared" si="4"/>
        <v>0</v>
      </c>
      <c r="AE115" s="546">
        <f t="shared" si="4"/>
        <v>0</v>
      </c>
      <c r="AF115" s="546">
        <f t="shared" si="4"/>
        <v>0</v>
      </c>
      <c r="AG115" s="546">
        <f t="shared" ref="AG115" si="12">AG14-(AG31+AG48+AG65++AG81+AG98)</f>
        <v>0</v>
      </c>
      <c r="AI115" s="484"/>
      <c r="AJ115" s="483"/>
    </row>
    <row r="116" spans="1:36" x14ac:dyDescent="0.25">
      <c r="B116" s="2"/>
      <c r="C116" s="2"/>
      <c r="D116" s="451"/>
      <c r="E116" s="451"/>
      <c r="F116" s="451"/>
      <c r="G116" s="451"/>
      <c r="H116" s="451"/>
      <c r="I116" s="451"/>
      <c r="K116" s="451"/>
      <c r="L116" s="451"/>
      <c r="M116" s="451"/>
      <c r="N116" s="451"/>
      <c r="O116" s="451"/>
      <c r="Q116" s="4"/>
      <c r="S116" s="2"/>
      <c r="T116" s="2"/>
      <c r="U116" s="451"/>
      <c r="V116" s="451"/>
      <c r="W116" s="451"/>
      <c r="X116" s="451"/>
      <c r="Y116" s="451"/>
      <c r="AF116" s="451"/>
      <c r="AI116" s="4"/>
    </row>
    <row r="117" spans="1:36" x14ac:dyDescent="0.25">
      <c r="B117" s="2"/>
      <c r="C117" s="2"/>
      <c r="D117" s="451" t="s">
        <v>1</v>
      </c>
      <c r="E117" s="451"/>
      <c r="F117" s="451"/>
      <c r="G117" s="451"/>
      <c r="H117" s="451"/>
      <c r="I117" s="451"/>
      <c r="K117" s="451"/>
      <c r="L117" s="451"/>
      <c r="M117" s="451"/>
      <c r="N117" s="451"/>
      <c r="O117" s="451"/>
      <c r="Q117" s="4"/>
      <c r="AA117" s="1" t="s">
        <v>1</v>
      </c>
      <c r="AB117" s="1" t="s">
        <v>1</v>
      </c>
      <c r="AD117" s="1" t="s">
        <v>1</v>
      </c>
      <c r="AF117" s="1" t="s">
        <v>1</v>
      </c>
      <c r="AI117" s="4"/>
    </row>
    <row r="118" spans="1:36" x14ac:dyDescent="0.25">
      <c r="A118" s="4"/>
      <c r="B118" s="34"/>
      <c r="C118" s="34"/>
      <c r="D118" s="477"/>
      <c r="E118" s="477"/>
      <c r="F118" s="477"/>
      <c r="G118" s="477"/>
      <c r="H118" s="477"/>
      <c r="I118" s="477"/>
      <c r="J118" s="4"/>
      <c r="K118" s="477"/>
      <c r="L118" s="477"/>
      <c r="M118" s="477"/>
      <c r="N118" s="477"/>
      <c r="O118" s="477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  <c r="AG118" s="4"/>
      <c r="AH118" s="4"/>
      <c r="AI118" s="4"/>
    </row>
    <row r="119" spans="1:36" ht="12" thickBot="1" x14ac:dyDescent="0.3">
      <c r="Q119" s="4"/>
      <c r="AI119" s="4"/>
    </row>
    <row r="120" spans="1:36" x14ac:dyDescent="0.25">
      <c r="B120" s="5"/>
      <c r="C120" s="3" t="s">
        <v>1</v>
      </c>
      <c r="D120" s="6" t="s">
        <v>1</v>
      </c>
      <c r="E120" s="3"/>
      <c r="F120" s="3"/>
      <c r="G120" s="3"/>
      <c r="H120" s="3" t="s">
        <v>1</v>
      </c>
      <c r="I120" s="3"/>
      <c r="J120" s="3"/>
      <c r="K120" s="3"/>
      <c r="L120" s="3"/>
      <c r="M120" s="3"/>
      <c r="N120" s="3"/>
      <c r="O120" s="7"/>
      <c r="P120" s="2"/>
      <c r="Q120" s="4"/>
      <c r="S120" s="5"/>
      <c r="T120" s="3" t="s">
        <v>1</v>
      </c>
      <c r="U120" s="6" t="s">
        <v>1</v>
      </c>
      <c r="V120" s="3"/>
      <c r="W120" s="3"/>
      <c r="X120" s="3" t="s">
        <v>1</v>
      </c>
      <c r="Y120" s="3"/>
      <c r="Z120" s="3"/>
      <c r="AA120" s="3"/>
      <c r="AB120" s="3"/>
      <c r="AC120" s="3"/>
      <c r="AD120" s="3"/>
      <c r="AE120" s="3"/>
      <c r="AF120" s="7"/>
      <c r="AG120" s="2"/>
      <c r="AI120" s="4"/>
    </row>
    <row r="121" spans="1:36" ht="14" x14ac:dyDescent="0.3">
      <c r="B121" s="8"/>
      <c r="F121" s="26" t="s">
        <v>8</v>
      </c>
      <c r="G121" s="26"/>
      <c r="I121" s="26" t="s">
        <v>16</v>
      </c>
      <c r="J121" s="25"/>
      <c r="M121" s="2" t="s">
        <v>15</v>
      </c>
      <c r="N121" s="50">
        <f>'REMUNERACION_EAAB-CL'!N98</f>
        <v>2026071</v>
      </c>
      <c r="O121" s="10"/>
      <c r="P121" s="2"/>
      <c r="Q121" s="4"/>
      <c r="S121" s="8"/>
      <c r="U121" s="26" t="s">
        <v>8</v>
      </c>
      <c r="W121" s="26" t="s">
        <v>16</v>
      </c>
      <c r="X121" s="25"/>
      <c r="Y121" s="2"/>
      <c r="AA121" s="2" t="s">
        <v>15</v>
      </c>
      <c r="AD121" s="84">
        <f>'REMUNERACION_EAAB-CL'!AD98</f>
        <v>2026071</v>
      </c>
      <c r="AE121" s="84"/>
      <c r="AF121" s="48"/>
      <c r="AG121" s="2"/>
      <c r="AI121" s="4"/>
    </row>
    <row r="122" spans="1:36" ht="15.5" x14ac:dyDescent="0.35">
      <c r="B122" s="8"/>
      <c r="F122" s="36" t="s">
        <v>29</v>
      </c>
      <c r="G122" s="36"/>
      <c r="O122" s="10"/>
      <c r="P122" s="2"/>
      <c r="Q122" s="4"/>
      <c r="S122" s="8"/>
      <c r="T122" s="26" t="s">
        <v>1</v>
      </c>
      <c r="U122" s="36" t="s">
        <v>29</v>
      </c>
      <c r="Y122" s="2" t="s">
        <v>1</v>
      </c>
      <c r="AA122" s="50" t="s">
        <v>1</v>
      </c>
      <c r="AB122" s="2"/>
      <c r="AC122" s="2"/>
      <c r="AD122" s="2"/>
      <c r="AE122" s="2"/>
      <c r="AF122" s="10" t="s">
        <v>1</v>
      </c>
      <c r="AG122" s="2"/>
      <c r="AI122" s="4"/>
    </row>
    <row r="123" spans="1:36" ht="14" x14ac:dyDescent="0.3">
      <c r="B123" s="8"/>
      <c r="F123" s="2" t="s">
        <v>30</v>
      </c>
      <c r="G123" s="2"/>
      <c r="L123" s="91"/>
      <c r="M123" s="2" t="s">
        <v>1</v>
      </c>
      <c r="O123" s="10"/>
      <c r="P123" s="2"/>
      <c r="Q123" s="4"/>
      <c r="S123" s="8"/>
      <c r="T123" s="49" t="s">
        <v>1</v>
      </c>
      <c r="U123" s="2" t="s">
        <v>30</v>
      </c>
      <c r="AF123" s="44"/>
      <c r="AG123" s="2"/>
      <c r="AI123" s="4"/>
    </row>
    <row r="124" spans="1:36" ht="15.5" x14ac:dyDescent="0.35">
      <c r="B124" s="8"/>
      <c r="C124" s="2" t="s">
        <v>17</v>
      </c>
      <c r="D124" s="9">
        <f>'REMUNERACION_EAAB-CL'!D101</f>
        <v>46220</v>
      </c>
      <c r="F124" s="58" t="s">
        <v>188</v>
      </c>
      <c r="G124" s="58"/>
      <c r="H124" s="59"/>
      <c r="I124" s="60"/>
      <c r="J124" s="59"/>
      <c r="K124" s="60"/>
      <c r="L124" s="91"/>
      <c r="O124" s="10"/>
      <c r="P124" s="2"/>
      <c r="Q124" s="4"/>
      <c r="S124" s="8"/>
      <c r="T124" s="41" t="s">
        <v>1</v>
      </c>
      <c r="U124" s="58" t="s">
        <v>35</v>
      </c>
      <c r="V124" s="59"/>
      <c r="W124" s="60"/>
      <c r="X124" s="59"/>
      <c r="Y124" s="2"/>
      <c r="AF124" s="48"/>
      <c r="AG124" s="2"/>
      <c r="AI124" s="4"/>
    </row>
    <row r="125" spans="1:36" ht="18" thickBot="1" x14ac:dyDescent="0.5">
      <c r="B125" s="95"/>
      <c r="C125" s="548" t="s">
        <v>0</v>
      </c>
      <c r="D125" s="549">
        <f>'REMUNERACION_EAAB-CL'!D102</f>
        <v>0.58333333333333337</v>
      </c>
      <c r="E125" s="45"/>
      <c r="F125" s="548" t="s">
        <v>27</v>
      </c>
      <c r="G125" s="550">
        <f>'REMUNERACION_EAAB-CL'!G102</f>
        <v>46204</v>
      </c>
      <c r="H125" s="45"/>
      <c r="I125" s="45"/>
      <c r="J125" s="548" t="s">
        <v>28</v>
      </c>
      <c r="K125" s="550">
        <f>'REMUNERACION_EAAB-CL'!K102</f>
        <v>46218</v>
      </c>
      <c r="L125" s="92"/>
      <c r="M125" s="45"/>
      <c r="N125" s="45"/>
      <c r="O125" s="551"/>
      <c r="P125" s="2"/>
      <c r="Q125" s="4"/>
      <c r="S125" s="95"/>
      <c r="T125" s="45"/>
      <c r="U125" s="45" t="str">
        <f>F125</f>
        <v>Fecha Desde:</v>
      </c>
      <c r="V125" s="550">
        <f>'REMUNERACION_EAAB-CL'!V102</f>
        <v>46204</v>
      </c>
      <c r="W125" s="45" t="s">
        <v>1</v>
      </c>
      <c r="X125" s="45" t="str">
        <f>J125</f>
        <v>Feha Hasta:</v>
      </c>
      <c r="Y125" s="550">
        <f>'REMUNERACION_EAAB-CL'!Y102</f>
        <v>46218</v>
      </c>
      <c r="Z125" s="45" t="s">
        <v>1</v>
      </c>
      <c r="AA125" s="45"/>
      <c r="AB125" s="45"/>
      <c r="AC125" s="45"/>
      <c r="AD125" s="45"/>
      <c r="AE125" s="45"/>
      <c r="AF125" s="552"/>
      <c r="AG125" s="2"/>
      <c r="AI125" s="4"/>
      <c r="AJ125" s="112" t="s">
        <v>1</v>
      </c>
    </row>
  </sheetData>
  <conditionalFormatting sqref="D110:O115">
    <cfRule type="cellIs" dxfId="2" priority="2" operator="notEqual">
      <formula>0</formula>
    </cfRule>
  </conditionalFormatting>
  <conditionalFormatting sqref="U110:AG115">
    <cfRule type="cellIs" dxfId="1" priority="1" operator="notEqual">
      <formula>0</formula>
    </cfRule>
  </conditionalFormatting>
  <printOptions horizontalCentered="1" verticalCentered="1"/>
  <pageMargins left="0.31496062992125984" right="0.11811023622047245" top="0.55118110236220474" bottom="0.55118110236220474" header="0.31496062992125984" footer="0.31496062992125984"/>
  <pageSetup scale="40" orientation="landscape" r:id="rId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AG101"/>
  <sheetViews>
    <sheetView topLeftCell="A84" workbookViewId="0">
      <selection activeCell="L108" sqref="L108"/>
    </sheetView>
  </sheetViews>
  <sheetFormatPr baseColWidth="10" defaultRowHeight="12.5" x14ac:dyDescent="0.25"/>
  <cols>
    <col min="1" max="1" width="2.453125" customWidth="1"/>
    <col min="3" max="3" width="36.7265625" bestFit="1" customWidth="1"/>
    <col min="4" max="4" width="12" bestFit="1" customWidth="1"/>
    <col min="5" max="5" width="12.26953125" customWidth="1"/>
    <col min="6" max="6" width="9.26953125" customWidth="1"/>
    <col min="7" max="7" width="14.7265625" customWidth="1"/>
    <col min="8" max="8" width="15.26953125" customWidth="1"/>
    <col min="9" max="9" width="20.26953125" bestFit="1" customWidth="1"/>
    <col min="10" max="10" width="15.453125" customWidth="1"/>
    <col min="11" max="11" width="17.7265625" customWidth="1"/>
    <col min="12" max="12" width="20.7265625" customWidth="1"/>
    <col min="17" max="17" width="1.26953125" customWidth="1"/>
  </cols>
  <sheetData>
    <row r="1" spans="1:33" s="1" customFormat="1" ht="12" thickBot="1" x14ac:dyDescent="0.3">
      <c r="Q1" s="4"/>
    </row>
    <row r="2" spans="1:33" s="1" customFormat="1" ht="11.5" x14ac:dyDescent="0.25">
      <c r="B2" s="5"/>
      <c r="C2" s="3" t="s">
        <v>1</v>
      </c>
      <c r="D2" s="6" t="s">
        <v>1</v>
      </c>
      <c r="E2" s="3"/>
      <c r="F2" s="3"/>
      <c r="G2" s="3"/>
      <c r="H2" s="3" t="s">
        <v>1</v>
      </c>
      <c r="I2" s="3"/>
      <c r="J2" s="3"/>
      <c r="K2" s="3"/>
      <c r="L2" s="3"/>
      <c r="M2" s="3"/>
      <c r="N2" s="3"/>
      <c r="O2" s="7"/>
      <c r="P2" s="2"/>
      <c r="Q2" s="477"/>
    </row>
    <row r="3" spans="1:33" s="1" customFormat="1" ht="15.5" x14ac:dyDescent="0.35">
      <c r="B3" s="8"/>
      <c r="F3" s="474" t="s">
        <v>37</v>
      </c>
      <c r="G3" s="474"/>
      <c r="H3" s="475"/>
      <c r="I3" s="476"/>
      <c r="J3" s="475"/>
      <c r="K3" s="476"/>
      <c r="O3" s="10"/>
      <c r="P3" s="2"/>
      <c r="Q3" s="4"/>
    </row>
    <row r="4" spans="1:33" s="1" customFormat="1" ht="12" thickBot="1" x14ac:dyDescent="0.3">
      <c r="B4" s="8"/>
      <c r="C4" s="2" t="s">
        <v>1</v>
      </c>
      <c r="D4" s="2" t="s">
        <v>1</v>
      </c>
      <c r="O4" s="44"/>
      <c r="P4" s="2"/>
      <c r="Q4" s="4"/>
      <c r="AG4" s="483"/>
    </row>
    <row r="5" spans="1:33" s="1" customFormat="1" ht="63.75" customHeight="1" thickBot="1" x14ac:dyDescent="0.3">
      <c r="B5" s="11" t="s">
        <v>3</v>
      </c>
      <c r="C5" s="12" t="s">
        <v>9</v>
      </c>
      <c r="D5" s="12" t="s">
        <v>38</v>
      </c>
      <c r="E5" s="73" t="s">
        <v>48</v>
      </c>
      <c r="G5" s="104" t="s">
        <v>47</v>
      </c>
      <c r="H5" s="73" t="s">
        <v>56</v>
      </c>
      <c r="I5" s="73" t="s">
        <v>130</v>
      </c>
      <c r="J5" s="73" t="s">
        <v>171</v>
      </c>
      <c r="K5" s="73" t="s">
        <v>143</v>
      </c>
      <c r="L5" s="73" t="s">
        <v>144</v>
      </c>
      <c r="O5" s="44"/>
      <c r="P5" s="13"/>
      <c r="Q5" s="4"/>
    </row>
    <row r="6" spans="1:33" s="308" customFormat="1" ht="11.5" x14ac:dyDescent="0.25">
      <c r="B6" s="337">
        <v>1</v>
      </c>
      <c r="C6" s="338" t="s">
        <v>10</v>
      </c>
      <c r="D6" s="311">
        <f>'CONSOLIDADO_TOTAL RECAUDO'!D125</f>
        <v>62753036.189999998</v>
      </c>
      <c r="E6" s="312">
        <f>'CONSOLIDADO_TOTAL RECAUDO'!E125</f>
        <v>0</v>
      </c>
      <c r="G6" s="339">
        <f>'CONSOLIDADO_TOTAL RECAUDO'!G125</f>
        <v>11673020</v>
      </c>
      <c r="H6" s="313">
        <f>'CONSOLIDADO_TOTAL RECAUDO'!H125</f>
        <v>54273647.379999995</v>
      </c>
      <c r="I6" s="312">
        <f>'CONSOLIDADO_TOTAL RECAUDO'!I125</f>
        <v>0</v>
      </c>
      <c r="J6" s="312">
        <f>'CONSOLIDADO_TOTAL RECAUDO'!J125</f>
        <v>-12054255.65</v>
      </c>
      <c r="K6" s="312">
        <f>'CONSOLIDADO_TOTAL RECAUDO'!K125</f>
        <v>1944280</v>
      </c>
      <c r="L6" s="312">
        <f>'CONSOLIDADO_TOTAL RECAUDO'!L125</f>
        <v>8965804.3499999996</v>
      </c>
      <c r="O6" s="340"/>
      <c r="Q6" s="309"/>
    </row>
    <row r="7" spans="1:33" s="308" customFormat="1" ht="11.5" x14ac:dyDescent="0.25">
      <c r="B7" s="317">
        <v>2</v>
      </c>
      <c r="C7" s="341" t="s">
        <v>11</v>
      </c>
      <c r="D7" s="295">
        <f>'CONSOLIDADO_TOTAL RECAUDO'!D126</f>
        <v>95260124</v>
      </c>
      <c r="E7" s="291">
        <f>'CONSOLIDADO_TOTAL RECAUDO'!E126</f>
        <v>0</v>
      </c>
      <c r="G7" s="342">
        <f>'CONSOLIDADO_TOTAL RECAUDO'!G126</f>
        <v>0</v>
      </c>
      <c r="H7" s="343">
        <f>'CONSOLIDADO_TOTAL RECAUDO'!H126</f>
        <v>79400801.25999999</v>
      </c>
      <c r="I7" s="291">
        <f>'CONSOLIDADO_TOTAL RECAUDO'!I126</f>
        <v>0</v>
      </c>
      <c r="J7" s="291">
        <f>'CONSOLIDADO_TOTAL RECAUDO'!J126</f>
        <v>-9889189.7200000007</v>
      </c>
      <c r="K7" s="291">
        <f>'CONSOLIDADO_TOTAL RECAUDO'!K126</f>
        <v>0</v>
      </c>
      <c r="L7" s="291">
        <f>'CONSOLIDADO_TOTAL RECAUDO'!L126</f>
        <v>649106.28</v>
      </c>
      <c r="O7" s="340"/>
      <c r="Q7" s="309"/>
    </row>
    <row r="8" spans="1:33" s="308" customFormat="1" ht="11.5" x14ac:dyDescent="0.25">
      <c r="B8" s="317">
        <v>3</v>
      </c>
      <c r="C8" s="341" t="s">
        <v>12</v>
      </c>
      <c r="D8" s="295">
        <f>'CONSOLIDADO_TOTAL RECAUDO'!D127</f>
        <v>23429781</v>
      </c>
      <c r="E8" s="291">
        <f>'CONSOLIDADO_TOTAL RECAUDO'!E127</f>
        <v>0</v>
      </c>
      <c r="G8" s="342">
        <f>'CONSOLIDADO_TOTAL RECAUDO'!G127</f>
        <v>10198723.07</v>
      </c>
      <c r="H8" s="343">
        <f>'CONSOLIDADO_TOTAL RECAUDO'!H127</f>
        <v>31111803.75</v>
      </c>
      <c r="I8" s="291">
        <f>'CONSOLIDADO_TOTAL RECAUDO'!I127</f>
        <v>0</v>
      </c>
      <c r="J8" s="291">
        <f>'CONSOLIDADO_TOTAL RECAUDO'!J127</f>
        <v>-16103442.890000001</v>
      </c>
      <c r="K8" s="291">
        <f>'CONSOLIDADO_TOTAL RECAUDO'!K127</f>
        <v>426786.93</v>
      </c>
      <c r="L8" s="291">
        <f>'CONSOLIDADO_TOTAL RECAUDO'!L127</f>
        <v>10201649.109999999</v>
      </c>
      <c r="O8" s="340"/>
      <c r="Q8" s="309"/>
    </row>
    <row r="9" spans="1:33" s="308" customFormat="1" ht="11.5" x14ac:dyDescent="0.25">
      <c r="B9" s="317">
        <v>4</v>
      </c>
      <c r="C9" s="341" t="s">
        <v>13</v>
      </c>
      <c r="D9" s="295">
        <f>'CONSOLIDADO_TOTAL RECAUDO'!D128</f>
        <v>55699060.600000001</v>
      </c>
      <c r="E9" s="291">
        <f>'CONSOLIDADO_TOTAL RECAUDO'!E128</f>
        <v>0</v>
      </c>
      <c r="G9" s="342">
        <f>'CONSOLIDADO_TOTAL RECAUDO'!G128</f>
        <v>5419780</v>
      </c>
      <c r="H9" s="343">
        <f>'CONSOLIDADO_TOTAL RECAUDO'!H128</f>
        <v>17236000.330000002</v>
      </c>
      <c r="I9" s="291">
        <f>'CONSOLIDADO_TOTAL RECAUDO'!I128</f>
        <v>0</v>
      </c>
      <c r="J9" s="291">
        <f>'CONSOLIDADO_TOTAL RECAUDO'!J128</f>
        <v>-21288908.57</v>
      </c>
      <c r="K9" s="291">
        <f>'CONSOLIDADO_TOTAL RECAUDO'!K128</f>
        <v>12360680</v>
      </c>
      <c r="L9" s="291">
        <f>'CONSOLIDADO_TOTAL RECAUDO'!L128</f>
        <v>489671.43000000005</v>
      </c>
      <c r="O9" s="340"/>
      <c r="Q9" s="309"/>
    </row>
    <row r="10" spans="1:33" s="308" customFormat="1" ht="11.5" x14ac:dyDescent="0.25">
      <c r="B10" s="344">
        <v>5</v>
      </c>
      <c r="C10" s="345" t="s">
        <v>14</v>
      </c>
      <c r="D10" s="295">
        <f>'CONSOLIDADO_TOTAL RECAUDO'!D129</f>
        <v>44003851</v>
      </c>
      <c r="E10" s="347">
        <f>'CONSOLIDADO_TOTAL RECAUDO'!E129</f>
        <v>0</v>
      </c>
      <c r="G10" s="342">
        <f>'CONSOLIDADO_TOTAL RECAUDO'!G129</f>
        <v>0</v>
      </c>
      <c r="H10" s="343">
        <f>'CONSOLIDADO_TOTAL RECAUDO'!H129</f>
        <v>31083151.140000001</v>
      </c>
      <c r="I10" s="291">
        <f>'CONSOLIDADO_TOTAL RECAUDO'!I129</f>
        <v>0</v>
      </c>
      <c r="J10" s="291">
        <f>'CONSOLIDADO_TOTAL RECAUDO'!J129</f>
        <v>-6421274.6799999997</v>
      </c>
      <c r="K10" s="291">
        <f>'CONSOLIDADO_TOTAL RECAUDO'!K129</f>
        <v>314490</v>
      </c>
      <c r="L10" s="291">
        <f>'CONSOLIDADO_TOTAL RECAUDO'!L129</f>
        <v>750593.32</v>
      </c>
      <c r="O10" s="340"/>
      <c r="Q10" s="309"/>
    </row>
    <row r="11" spans="1:33" s="308" customFormat="1" ht="12" thickBot="1" x14ac:dyDescent="0.3">
      <c r="B11" s="327" t="s">
        <v>89</v>
      </c>
      <c r="C11" s="348" t="s">
        <v>113</v>
      </c>
      <c r="D11" s="300">
        <f>'CONSOLIDADO_TOTAL RECAUDO'!D130</f>
        <v>0</v>
      </c>
      <c r="E11" s="292">
        <f>'CONSOLIDADO_TOTAL RECAUDO'!E130</f>
        <v>0</v>
      </c>
      <c r="G11" s="349">
        <f>'CONSOLIDADO_TOTAL RECAUDO'!G130</f>
        <v>0</v>
      </c>
      <c r="H11" s="350">
        <f>'CONSOLIDADO_TOTAL RECAUDO'!H130</f>
        <v>0</v>
      </c>
      <c r="I11" s="292">
        <f>'CONSOLIDADO_TOTAL RECAUDO'!I130</f>
        <v>0</v>
      </c>
      <c r="J11" s="292">
        <f>'CONSOLIDADO_TOTAL RECAUDO'!J130</f>
        <v>0</v>
      </c>
      <c r="K11" s="292">
        <f>'CONSOLIDADO_TOTAL RECAUDO'!K130</f>
        <v>0</v>
      </c>
      <c r="L11" s="292">
        <f>'CONSOLIDADO_TOTAL RECAUDO'!L130</f>
        <v>0</v>
      </c>
      <c r="O11" s="340"/>
      <c r="Q11" s="309"/>
    </row>
    <row r="12" spans="1:33" s="308" customFormat="1" ht="12" thickBot="1" x14ac:dyDescent="0.3">
      <c r="B12" s="351"/>
      <c r="C12" s="352" t="s">
        <v>2</v>
      </c>
      <c r="D12" s="353">
        <f>'CONSOLIDADO_TOTAL RECAUDO'!D131</f>
        <v>281145852.78999996</v>
      </c>
      <c r="E12" s="353">
        <f>'CONSOLIDADO_TOTAL RECAUDO'!E131</f>
        <v>0</v>
      </c>
      <c r="F12" s="354"/>
      <c r="G12" s="353">
        <f>'CONSOLIDADO_TOTAL RECAUDO'!G131</f>
        <v>27291523.07</v>
      </c>
      <c r="H12" s="353">
        <f>'CONSOLIDADO_TOTAL RECAUDO'!H131</f>
        <v>213105403.86000001</v>
      </c>
      <c r="I12" s="353">
        <f>'CONSOLIDADO_TOTAL RECAUDO'!I131</f>
        <v>0</v>
      </c>
      <c r="J12" s="353">
        <f>'CONSOLIDADO_TOTAL RECAUDO'!J131</f>
        <v>-65757071.510000005</v>
      </c>
      <c r="K12" s="353">
        <f>'CONSOLIDADO_TOTAL RECAUDO'!K131</f>
        <v>15046236.93</v>
      </c>
      <c r="L12" s="353">
        <f>'CONSOLIDADO_TOTAL RECAUDO'!L131</f>
        <v>21056824.489999998</v>
      </c>
      <c r="M12" s="354"/>
      <c r="N12" s="354"/>
      <c r="O12" s="355"/>
      <c r="P12" s="332"/>
      <c r="Q12" s="309"/>
    </row>
    <row r="13" spans="1:33" s="1" customFormat="1" ht="11.5" x14ac:dyDescent="0.25">
      <c r="B13" s="2"/>
      <c r="C13" s="2"/>
      <c r="D13" s="451"/>
      <c r="Q13" s="4"/>
    </row>
    <row r="14" spans="1:33" s="1" customFormat="1" ht="11.5" x14ac:dyDescent="0.25">
      <c r="B14" s="2"/>
      <c r="C14" s="2"/>
      <c r="D14" s="451"/>
      <c r="Q14" s="4"/>
    </row>
    <row r="15" spans="1:33" s="1" customFormat="1" ht="11.5" x14ac:dyDescent="0.25">
      <c r="A15" s="52"/>
      <c r="B15" s="53"/>
      <c r="C15" s="53"/>
      <c r="D15" s="457"/>
      <c r="E15" s="457"/>
      <c r="F15" s="457"/>
      <c r="G15" s="457"/>
      <c r="H15" s="457"/>
      <c r="I15" s="457"/>
      <c r="J15" s="52"/>
      <c r="K15" s="457"/>
      <c r="L15" s="457"/>
      <c r="M15" s="457"/>
      <c r="N15" s="457"/>
      <c r="O15" s="457"/>
      <c r="P15" s="52"/>
      <c r="Q15" s="4"/>
    </row>
    <row r="16" spans="1:33" ht="13" thickBot="1" x14ac:dyDescent="0.3"/>
    <row r="17" spans="1:17" s="1" customFormat="1" ht="11.5" x14ac:dyDescent="0.25">
      <c r="B17" s="5"/>
      <c r="C17" s="3" t="s">
        <v>1</v>
      </c>
      <c r="D17" s="6" t="s">
        <v>1</v>
      </c>
      <c r="E17" s="3"/>
      <c r="F17" s="3"/>
      <c r="G17" s="3"/>
      <c r="H17" s="3" t="s">
        <v>1</v>
      </c>
      <c r="I17" s="3"/>
      <c r="J17" s="3"/>
      <c r="K17" s="3"/>
      <c r="L17" s="3"/>
      <c r="M17" s="3"/>
      <c r="N17" s="3"/>
      <c r="O17" s="7"/>
      <c r="P17" s="2"/>
      <c r="Q17" s="477"/>
    </row>
    <row r="18" spans="1:17" s="1" customFormat="1" ht="15.5" x14ac:dyDescent="0.35">
      <c r="B18" s="8"/>
      <c r="F18" s="478" t="s">
        <v>191</v>
      </c>
      <c r="G18" s="478"/>
      <c r="H18" s="34"/>
      <c r="I18" s="4"/>
      <c r="J18" s="34"/>
      <c r="K18" s="4"/>
      <c r="O18" s="10"/>
      <c r="P18" s="2"/>
      <c r="Q18" s="4"/>
    </row>
    <row r="19" spans="1:17" s="1" customFormat="1" ht="12" thickBot="1" x14ac:dyDescent="0.3">
      <c r="B19" s="8"/>
      <c r="C19" s="2" t="s">
        <v>1</v>
      </c>
      <c r="D19" s="2" t="s">
        <v>1</v>
      </c>
      <c r="J19" s="1" t="s">
        <v>1</v>
      </c>
      <c r="O19" s="44"/>
      <c r="P19" s="2"/>
      <c r="Q19" s="4"/>
    </row>
    <row r="20" spans="1:17" s="1" customFormat="1" ht="60.75" customHeight="1" thickBot="1" x14ac:dyDescent="0.3">
      <c r="B20" s="11" t="s">
        <v>3</v>
      </c>
      <c r="C20" s="12" t="s">
        <v>9</v>
      </c>
      <c r="D20" s="12" t="s">
        <v>38</v>
      </c>
      <c r="E20" s="73" t="s">
        <v>48</v>
      </c>
      <c r="G20" s="104" t="s">
        <v>47</v>
      </c>
      <c r="H20" s="73" t="s">
        <v>56</v>
      </c>
      <c r="I20" s="73" t="s">
        <v>130</v>
      </c>
      <c r="J20" s="73" t="s">
        <v>171</v>
      </c>
      <c r="K20" s="73" t="s">
        <v>143</v>
      </c>
      <c r="L20" s="73" t="s">
        <v>144</v>
      </c>
      <c r="O20" s="44"/>
      <c r="P20" s="13"/>
      <c r="Q20" s="4"/>
    </row>
    <row r="21" spans="1:17" s="308" customFormat="1" ht="11.5" x14ac:dyDescent="0.25">
      <c r="B21" s="337">
        <v>1</v>
      </c>
      <c r="C21" s="338" t="s">
        <v>10</v>
      </c>
      <c r="D21" s="311">
        <f>'REMUNERACION Reciprocidad EAAB'!D125</f>
        <v>0</v>
      </c>
      <c r="E21" s="312">
        <f>'REMUNERACION Reciprocidad EAAB'!E125</f>
        <v>0</v>
      </c>
      <c r="G21" s="339">
        <f>'REMUNERACION Reciprocidad EAAB'!G125</f>
        <v>0</v>
      </c>
      <c r="H21" s="313">
        <f>'REMUNERACION Reciprocidad EAAB'!H125</f>
        <v>0</v>
      </c>
      <c r="I21" s="312">
        <f>'REMUNERACION Reciprocidad EAAB'!I125</f>
        <v>0</v>
      </c>
      <c r="J21" s="312">
        <f>'REMUNERACION Reciprocidad EAAB'!J125</f>
        <v>0</v>
      </c>
      <c r="K21" s="312">
        <f>'REMUNERACION Reciprocidad EAAB'!K125</f>
        <v>0</v>
      </c>
      <c r="L21" s="312">
        <f>'REMUNERACION Reciprocidad EAAB'!L125</f>
        <v>0</v>
      </c>
      <c r="O21" s="340"/>
      <c r="Q21" s="309"/>
    </row>
    <row r="22" spans="1:17" s="308" customFormat="1" ht="11.5" x14ac:dyDescent="0.25">
      <c r="B22" s="317">
        <v>2</v>
      </c>
      <c r="C22" s="341" t="s">
        <v>11</v>
      </c>
      <c r="D22" s="295">
        <f>'REMUNERACION Reciprocidad EAAB'!D126</f>
        <v>15775490</v>
      </c>
      <c r="E22" s="291">
        <f>'REMUNERACION Reciprocidad EAAB'!E126</f>
        <v>0</v>
      </c>
      <c r="G22" s="342">
        <f>'REMUNERACION Reciprocidad EAAB'!G126</f>
        <v>0</v>
      </c>
      <c r="H22" s="343">
        <f>'REMUNERACION Reciprocidad EAAB'!H126</f>
        <v>32822845.349999998</v>
      </c>
      <c r="I22" s="291">
        <f>'REMUNERACION Reciprocidad EAAB'!I126</f>
        <v>0</v>
      </c>
      <c r="J22" s="291">
        <f>'REMUNERACION Reciprocidad EAAB'!J126</f>
        <v>-19778.72</v>
      </c>
      <c r="K22" s="291">
        <f>'REMUNERACION Reciprocidad EAAB'!K126</f>
        <v>0</v>
      </c>
      <c r="L22" s="291">
        <f>'REMUNERACION Reciprocidad EAAB'!L126</f>
        <v>600714.28</v>
      </c>
      <c r="O22" s="340"/>
      <c r="Q22" s="309"/>
    </row>
    <row r="23" spans="1:17" s="308" customFormat="1" ht="11.5" x14ac:dyDescent="0.25">
      <c r="B23" s="317">
        <v>3</v>
      </c>
      <c r="C23" s="341" t="s">
        <v>12</v>
      </c>
      <c r="D23" s="295">
        <f>'REMUNERACION Reciprocidad EAAB'!D127</f>
        <v>0</v>
      </c>
      <c r="E23" s="291">
        <f>'REMUNERACION Reciprocidad EAAB'!E127</f>
        <v>0</v>
      </c>
      <c r="G23" s="342">
        <f>'REMUNERACION Reciprocidad EAAB'!G127</f>
        <v>0</v>
      </c>
      <c r="H23" s="343">
        <f>'REMUNERACION Reciprocidad EAAB'!H127</f>
        <v>0</v>
      </c>
      <c r="I23" s="291">
        <f>'REMUNERACION Reciprocidad EAAB'!I127</f>
        <v>0</v>
      </c>
      <c r="J23" s="291">
        <f>'REMUNERACION Reciprocidad EAAB'!J127</f>
        <v>0</v>
      </c>
      <c r="K23" s="291">
        <f>'REMUNERACION Reciprocidad EAAB'!K127</f>
        <v>0</v>
      </c>
      <c r="L23" s="291">
        <f>'REMUNERACION Reciprocidad EAAB'!L127</f>
        <v>0</v>
      </c>
      <c r="O23" s="340"/>
      <c r="Q23" s="309"/>
    </row>
    <row r="24" spans="1:17" s="308" customFormat="1" ht="11.5" x14ac:dyDescent="0.25">
      <c r="B24" s="317">
        <v>4</v>
      </c>
      <c r="C24" s="341" t="s">
        <v>13</v>
      </c>
      <c r="D24" s="295">
        <f>'REMUNERACION Reciprocidad EAAB'!D128</f>
        <v>7975330</v>
      </c>
      <c r="E24" s="291">
        <f>'REMUNERACION Reciprocidad EAAB'!E128</f>
        <v>0</v>
      </c>
      <c r="G24" s="342">
        <f>'REMUNERACION Reciprocidad EAAB'!G128</f>
        <v>0</v>
      </c>
      <c r="H24" s="343">
        <f>'REMUNERACION Reciprocidad EAAB'!H128</f>
        <v>4804828.2600000007</v>
      </c>
      <c r="I24" s="291">
        <f>'REMUNERACION Reciprocidad EAAB'!I128</f>
        <v>0</v>
      </c>
      <c r="J24" s="291">
        <f>'REMUNERACION Reciprocidad EAAB'!J128</f>
        <v>-464370</v>
      </c>
      <c r="K24" s="291">
        <f>'REMUNERACION Reciprocidad EAAB'!K128</f>
        <v>464370</v>
      </c>
      <c r="L24" s="291">
        <f>'REMUNERACION Reciprocidad EAAB'!L128</f>
        <v>0</v>
      </c>
      <c r="O24" s="340"/>
      <c r="Q24" s="309"/>
    </row>
    <row r="25" spans="1:17" s="308" customFormat="1" ht="11.5" x14ac:dyDescent="0.25">
      <c r="B25" s="344">
        <v>5</v>
      </c>
      <c r="C25" s="345" t="s">
        <v>14</v>
      </c>
      <c r="D25" s="295">
        <f>'REMUNERACION Reciprocidad EAAB'!D129</f>
        <v>0</v>
      </c>
      <c r="E25" s="347">
        <f>'REMUNERACION Reciprocidad EAAB'!E129</f>
        <v>0</v>
      </c>
      <c r="G25" s="342">
        <f>'REMUNERACION Reciprocidad EAAB'!G129</f>
        <v>0</v>
      </c>
      <c r="H25" s="343">
        <f>'REMUNERACION Reciprocidad EAAB'!H129</f>
        <v>0</v>
      </c>
      <c r="I25" s="291">
        <f>'REMUNERACION Reciprocidad EAAB'!I129</f>
        <v>0</v>
      </c>
      <c r="J25" s="291">
        <f>'REMUNERACION Reciprocidad EAAB'!J129</f>
        <v>0</v>
      </c>
      <c r="K25" s="291">
        <f>'REMUNERACION Reciprocidad EAAB'!K129</f>
        <v>0</v>
      </c>
      <c r="L25" s="291">
        <f>'REMUNERACION Reciprocidad EAAB'!L129</f>
        <v>0</v>
      </c>
      <c r="O25" s="340"/>
      <c r="Q25" s="309"/>
    </row>
    <row r="26" spans="1:17" s="308" customFormat="1" ht="12" thickBot="1" x14ac:dyDescent="0.3">
      <c r="B26" s="327" t="s">
        <v>89</v>
      </c>
      <c r="C26" s="348" t="s">
        <v>113</v>
      </c>
      <c r="D26" s="300">
        <f>'REMUNERACION Reciprocidad EAAB'!D130</f>
        <v>0</v>
      </c>
      <c r="E26" s="292">
        <f>'REMUNERACION Reciprocidad EAAB'!E130</f>
        <v>0</v>
      </c>
      <c r="G26" s="349">
        <f>'REMUNERACION Reciprocidad EAAB'!G130</f>
        <v>0</v>
      </c>
      <c r="H26" s="350">
        <f>'REMUNERACION Reciprocidad EAAB'!H130</f>
        <v>0</v>
      </c>
      <c r="I26" s="292">
        <f>'REMUNERACION Reciprocidad EAAB'!I130</f>
        <v>0</v>
      </c>
      <c r="J26" s="292">
        <f>'REMUNERACION Reciprocidad EAAB'!J130</f>
        <v>0</v>
      </c>
      <c r="K26" s="292">
        <f>'REMUNERACION Reciprocidad EAAB'!K130</f>
        <v>0</v>
      </c>
      <c r="L26" s="292">
        <f>'REMUNERACION Reciprocidad EAAB'!L130</f>
        <v>0</v>
      </c>
      <c r="O26" s="340"/>
      <c r="Q26" s="309"/>
    </row>
    <row r="27" spans="1:17" s="308" customFormat="1" ht="12" thickBot="1" x14ac:dyDescent="0.3">
      <c r="B27" s="351"/>
      <c r="C27" s="352" t="s">
        <v>2</v>
      </c>
      <c r="D27" s="353">
        <f>'REMUNERACION Reciprocidad EAAB'!D131</f>
        <v>23750820</v>
      </c>
      <c r="E27" s="353">
        <f>'REMUNERACION Reciprocidad EAAB'!E131</f>
        <v>0</v>
      </c>
      <c r="F27" s="354"/>
      <c r="G27" s="353">
        <f>'REMUNERACION Reciprocidad EAAB'!G131</f>
        <v>0</v>
      </c>
      <c r="H27" s="353">
        <f>'REMUNERACION Reciprocidad EAAB'!H131</f>
        <v>37627673.609999999</v>
      </c>
      <c r="I27" s="353">
        <f>'REMUNERACION Reciprocidad EAAB'!I131</f>
        <v>0</v>
      </c>
      <c r="J27" s="353">
        <f>'REMUNERACION Reciprocidad EAAB'!J131</f>
        <v>-484148.72</v>
      </c>
      <c r="K27" s="353">
        <f>'REMUNERACION Reciprocidad EAAB'!K131</f>
        <v>464370</v>
      </c>
      <c r="L27" s="353">
        <f>'REMUNERACION Reciprocidad EAAB'!L131</f>
        <v>600714.28</v>
      </c>
      <c r="M27" s="354"/>
      <c r="N27" s="354"/>
      <c r="O27" s="355"/>
      <c r="P27" s="332"/>
      <c r="Q27" s="309"/>
    </row>
    <row r="28" spans="1:17" s="1" customFormat="1" ht="11.5" x14ac:dyDescent="0.25">
      <c r="B28" s="2"/>
      <c r="C28" s="2"/>
      <c r="D28" s="451"/>
      <c r="Q28" s="4"/>
    </row>
    <row r="29" spans="1:17" s="1" customFormat="1" ht="11.5" x14ac:dyDescent="0.25">
      <c r="B29" s="2"/>
      <c r="C29" s="2"/>
      <c r="D29" s="451"/>
      <c r="Q29" s="4"/>
    </row>
    <row r="30" spans="1:17" s="1" customFormat="1" ht="11.5" x14ac:dyDescent="0.25">
      <c r="A30" s="52"/>
      <c r="B30" s="53"/>
      <c r="C30" s="53"/>
      <c r="D30" s="457"/>
      <c r="E30" s="457"/>
      <c r="F30" s="457"/>
      <c r="G30" s="457"/>
      <c r="H30" s="457"/>
      <c r="I30" s="457"/>
      <c r="J30" s="52"/>
      <c r="K30" s="457"/>
      <c r="L30" s="457"/>
      <c r="M30" s="457"/>
      <c r="N30" s="457"/>
      <c r="O30" s="457"/>
      <c r="P30" s="52"/>
      <c r="Q30" s="4"/>
    </row>
    <row r="32" spans="1:17" s="1" customFormat="1" ht="15.5" x14ac:dyDescent="0.35">
      <c r="B32" s="8"/>
      <c r="F32" s="494" t="s">
        <v>192</v>
      </c>
      <c r="G32" s="494"/>
      <c r="H32" s="495"/>
      <c r="I32" s="496"/>
      <c r="J32" s="495"/>
      <c r="K32" s="496"/>
      <c r="O32" s="10"/>
      <c r="P32" s="2"/>
      <c r="Q32" s="4"/>
    </row>
    <row r="33" spans="1:17" s="1" customFormat="1" ht="12" thickBot="1" x14ac:dyDescent="0.3">
      <c r="B33" s="8"/>
      <c r="C33" s="2" t="s">
        <v>1</v>
      </c>
      <c r="D33" s="2" t="s">
        <v>1</v>
      </c>
      <c r="O33" s="44"/>
      <c r="P33" s="2"/>
      <c r="Q33" s="4"/>
    </row>
    <row r="34" spans="1:17" s="1" customFormat="1" ht="57.75" customHeight="1" thickBot="1" x14ac:dyDescent="0.3">
      <c r="B34" s="11" t="s">
        <v>3</v>
      </c>
      <c r="C34" s="12" t="s">
        <v>9</v>
      </c>
      <c r="D34" s="12" t="s">
        <v>38</v>
      </c>
      <c r="E34" s="73" t="s">
        <v>48</v>
      </c>
      <c r="G34" s="104" t="s">
        <v>47</v>
      </c>
      <c r="H34" s="73" t="s">
        <v>56</v>
      </c>
      <c r="I34" s="73" t="s">
        <v>130</v>
      </c>
      <c r="J34" s="73" t="s">
        <v>171</v>
      </c>
      <c r="K34" s="73" t="s">
        <v>143</v>
      </c>
      <c r="L34" s="73" t="s">
        <v>144</v>
      </c>
      <c r="O34" s="44"/>
      <c r="P34" s="13"/>
      <c r="Q34" s="4"/>
    </row>
    <row r="35" spans="1:17" s="308" customFormat="1" ht="11.5" x14ac:dyDescent="0.25">
      <c r="B35" s="337">
        <v>1</v>
      </c>
      <c r="C35" s="338" t="s">
        <v>10</v>
      </c>
      <c r="D35" s="311">
        <f>REMUNERACION_ENEL!D125</f>
        <v>50286069</v>
      </c>
      <c r="E35" s="312">
        <f>REMUNERACION_ENEL!E125</f>
        <v>0</v>
      </c>
      <c r="G35" s="339">
        <f>REMUNERACION_ENEL!G125</f>
        <v>0</v>
      </c>
      <c r="H35" s="313">
        <f>REMUNERACION_ENEL!H125</f>
        <v>51962588.360000007</v>
      </c>
      <c r="I35" s="312">
        <f>REMUNERACION_ENEL!I125</f>
        <v>0</v>
      </c>
      <c r="J35" s="312">
        <f>REMUNERACION_ENEL!J125</f>
        <v>0</v>
      </c>
      <c r="K35" s="312">
        <f>REMUNERACION_ENEL!K125</f>
        <v>0</v>
      </c>
      <c r="L35" s="312">
        <f>REMUNERACION_ENEL!L125</f>
        <v>0</v>
      </c>
      <c r="O35" s="340"/>
      <c r="Q35" s="309"/>
    </row>
    <row r="36" spans="1:17" s="308" customFormat="1" ht="11.5" x14ac:dyDescent="0.25">
      <c r="B36" s="317">
        <v>2</v>
      </c>
      <c r="C36" s="341" t="s">
        <v>11</v>
      </c>
      <c r="D36" s="295">
        <f>REMUNERACION_ENEL!D126</f>
        <v>47435723</v>
      </c>
      <c r="E36" s="291">
        <f>REMUNERACION_ENEL!E126</f>
        <v>0</v>
      </c>
      <c r="G36" s="342">
        <f>REMUNERACION_ENEL!G126</f>
        <v>0</v>
      </c>
      <c r="H36" s="343">
        <f>REMUNERACION_ENEL!H126</f>
        <v>34136584.159999996</v>
      </c>
      <c r="I36" s="291">
        <f>REMUNERACION_ENEL!I126</f>
        <v>0</v>
      </c>
      <c r="J36" s="291">
        <f>REMUNERACION_ENEL!J126</f>
        <v>-9869411</v>
      </c>
      <c r="K36" s="291">
        <f>REMUNERACION_ENEL!K126</f>
        <v>0</v>
      </c>
      <c r="L36" s="291">
        <f>REMUNERACION_ENEL!L126</f>
        <v>48392</v>
      </c>
      <c r="O36" s="340"/>
      <c r="Q36" s="309"/>
    </row>
    <row r="37" spans="1:17" s="308" customFormat="1" ht="11.5" x14ac:dyDescent="0.25">
      <c r="B37" s="317">
        <v>3</v>
      </c>
      <c r="C37" s="341" t="s">
        <v>12</v>
      </c>
      <c r="D37" s="295">
        <f>REMUNERACION_ENEL!D127</f>
        <v>21042512</v>
      </c>
      <c r="E37" s="291">
        <f>REMUNERACION_ENEL!E127</f>
        <v>0</v>
      </c>
      <c r="G37" s="342">
        <f>REMUNERACION_ENEL!G127</f>
        <v>0</v>
      </c>
      <c r="H37" s="343">
        <f>REMUNERACION_ENEL!H127</f>
        <v>30434743.300000001</v>
      </c>
      <c r="I37" s="291">
        <f>REMUNERACION_ENEL!I127</f>
        <v>0</v>
      </c>
      <c r="J37" s="291">
        <f>REMUNERACION_ENEL!J127</f>
        <v>-5571961</v>
      </c>
      <c r="K37" s="291">
        <f>REMUNERACION_ENEL!K127</f>
        <v>0</v>
      </c>
      <c r="L37" s="291">
        <f>REMUNERACION_ENEL!L127</f>
        <v>55841</v>
      </c>
      <c r="O37" s="340"/>
      <c r="Q37" s="309"/>
    </row>
    <row r="38" spans="1:17" s="308" customFormat="1" ht="11.5" x14ac:dyDescent="0.25">
      <c r="B38" s="317">
        <v>4</v>
      </c>
      <c r="C38" s="341" t="s">
        <v>13</v>
      </c>
      <c r="D38" s="295">
        <f>REMUNERACION_ENEL!D128</f>
        <v>35795695</v>
      </c>
      <c r="E38" s="291">
        <f>REMUNERACION_ENEL!E128</f>
        <v>0</v>
      </c>
      <c r="G38" s="342">
        <f>REMUNERACION_ENEL!G128</f>
        <v>3564150</v>
      </c>
      <c r="H38" s="343">
        <f>REMUNERACION_ENEL!H128</f>
        <v>10429855.41</v>
      </c>
      <c r="I38" s="291">
        <f>REMUNERACION_ENEL!I128</f>
        <v>0</v>
      </c>
      <c r="J38" s="291">
        <f>REMUNERACION_ENEL!J128</f>
        <v>-15968186.609999999</v>
      </c>
      <c r="K38" s="291">
        <f>REMUNERACION_ENEL!K128</f>
        <v>9173160</v>
      </c>
      <c r="L38" s="291">
        <f>REMUNERACION_ENEL!L128</f>
        <v>244523.39</v>
      </c>
      <c r="O38" s="340"/>
      <c r="Q38" s="309"/>
    </row>
    <row r="39" spans="1:17" s="308" customFormat="1" ht="11.5" x14ac:dyDescent="0.25">
      <c r="B39" s="344">
        <v>5</v>
      </c>
      <c r="C39" s="345" t="s">
        <v>14</v>
      </c>
      <c r="D39" s="295">
        <f>REMUNERACION_ENEL!D129</f>
        <v>38409110</v>
      </c>
      <c r="E39" s="347">
        <f>REMUNERACION_ENEL!E129</f>
        <v>0</v>
      </c>
      <c r="G39" s="342">
        <f>REMUNERACION_ENEL!G129</f>
        <v>0</v>
      </c>
      <c r="H39" s="343">
        <f>REMUNERACION_ENEL!H129</f>
        <v>30427492.130000003</v>
      </c>
      <c r="I39" s="291">
        <f>REMUNERACION_ENEL!I129</f>
        <v>0</v>
      </c>
      <c r="J39" s="291">
        <f>REMUNERACION_ENEL!J129</f>
        <v>-5470988</v>
      </c>
      <c r="K39" s="291">
        <f>REMUNERACION_ENEL!K129</f>
        <v>0</v>
      </c>
      <c r="L39" s="291">
        <f>REMUNERACION_ENEL!L129</f>
        <v>0</v>
      </c>
      <c r="O39" s="340"/>
      <c r="Q39" s="309"/>
    </row>
    <row r="40" spans="1:17" s="308" customFormat="1" ht="12" thickBot="1" x14ac:dyDescent="0.3">
      <c r="B40" s="327" t="s">
        <v>89</v>
      </c>
      <c r="C40" s="348" t="s">
        <v>113</v>
      </c>
      <c r="D40" s="300">
        <f>REMUNERACION_ENEL!D130</f>
        <v>0</v>
      </c>
      <c r="E40" s="292">
        <f>REMUNERACION_ENEL!E130</f>
        <v>0</v>
      </c>
      <c r="G40" s="349">
        <f>REMUNERACION_ENEL!G130</f>
        <v>0</v>
      </c>
      <c r="H40" s="350">
        <f>REMUNERACION_ENEL!H130</f>
        <v>0</v>
      </c>
      <c r="I40" s="292">
        <f>REMUNERACION_ENEL!I130</f>
        <v>0</v>
      </c>
      <c r="J40" s="292">
        <f>REMUNERACION_ENEL!J130</f>
        <v>0</v>
      </c>
      <c r="K40" s="292">
        <f>REMUNERACION_ENEL!K130</f>
        <v>0</v>
      </c>
      <c r="L40" s="292">
        <f>REMUNERACION_ENEL!L130</f>
        <v>0</v>
      </c>
      <c r="O40" s="340"/>
      <c r="Q40" s="309"/>
    </row>
    <row r="41" spans="1:17" s="308" customFormat="1" ht="12" thickBot="1" x14ac:dyDescent="0.3">
      <c r="B41" s="351"/>
      <c r="C41" s="352" t="s">
        <v>2</v>
      </c>
      <c r="D41" s="353">
        <f>REMUNERACION_ENEL!D131</f>
        <v>192969109</v>
      </c>
      <c r="E41" s="353">
        <f>REMUNERACION_ENEL!E131</f>
        <v>0</v>
      </c>
      <c r="F41" s="354"/>
      <c r="G41" s="353">
        <f>REMUNERACION_ENEL!G131</f>
        <v>3564150</v>
      </c>
      <c r="H41" s="353">
        <f>REMUNERACION_ENEL!H131</f>
        <v>157391263.36000001</v>
      </c>
      <c r="I41" s="353">
        <f>REMUNERACION_ENEL!I131</f>
        <v>0</v>
      </c>
      <c r="J41" s="353">
        <f>REMUNERACION_ENEL!J131</f>
        <v>-36880546.609999999</v>
      </c>
      <c r="K41" s="353">
        <f>REMUNERACION_ENEL!K131</f>
        <v>9173160</v>
      </c>
      <c r="L41" s="353">
        <f>REMUNERACION_ENEL!L131</f>
        <v>348756.39</v>
      </c>
      <c r="M41" s="354"/>
      <c r="N41" s="354"/>
      <c r="O41" s="355"/>
      <c r="P41" s="332"/>
      <c r="Q41" s="309"/>
    </row>
    <row r="42" spans="1:17" s="1" customFormat="1" ht="11.5" x14ac:dyDescent="0.25">
      <c r="B42" s="2"/>
      <c r="C42" s="2"/>
      <c r="D42" s="451"/>
      <c r="Q42" s="4"/>
    </row>
    <row r="43" spans="1:17" s="1" customFormat="1" ht="11.5" x14ac:dyDescent="0.25">
      <c r="B43" s="2"/>
      <c r="C43" s="2"/>
      <c r="D43" s="451"/>
      <c r="Q43" s="4"/>
    </row>
    <row r="44" spans="1:17" s="1" customFormat="1" ht="11.5" x14ac:dyDescent="0.25">
      <c r="A44" s="52"/>
      <c r="B44" s="53"/>
      <c r="C44" s="53"/>
      <c r="D44" s="457"/>
      <c r="E44" s="457"/>
      <c r="F44" s="457"/>
      <c r="G44" s="457"/>
      <c r="H44" s="457"/>
      <c r="I44" s="457"/>
      <c r="J44" s="52"/>
      <c r="K44" s="457"/>
      <c r="L44" s="457"/>
      <c r="M44" s="457"/>
      <c r="N44" s="457"/>
      <c r="O44" s="457"/>
      <c r="P44" s="52"/>
      <c r="Q44" s="4"/>
    </row>
    <row r="45" spans="1:17" s="1" customFormat="1" ht="11.5" x14ac:dyDescent="0.25">
      <c r="B45" s="2"/>
      <c r="C45" s="2"/>
      <c r="D45" s="451"/>
      <c r="Q45" s="4"/>
    </row>
    <row r="46" spans="1:17" s="1" customFormat="1" ht="15.5" x14ac:dyDescent="0.35">
      <c r="B46" s="8"/>
      <c r="F46" s="494" t="s">
        <v>330</v>
      </c>
      <c r="G46" s="494"/>
      <c r="H46" s="495"/>
      <c r="I46" s="496"/>
      <c r="J46" s="495"/>
      <c r="K46" s="496"/>
      <c r="O46" s="10"/>
      <c r="P46" s="2"/>
      <c r="Q46" s="4"/>
    </row>
    <row r="47" spans="1:17" s="1" customFormat="1" ht="12" thickBot="1" x14ac:dyDescent="0.3">
      <c r="B47" s="8"/>
      <c r="C47" s="2" t="s">
        <v>1</v>
      </c>
      <c r="D47" s="2" t="s">
        <v>1</v>
      </c>
      <c r="O47" s="44"/>
      <c r="P47" s="2"/>
      <c r="Q47" s="4"/>
    </row>
    <row r="48" spans="1:17" s="1" customFormat="1" ht="57.75" customHeight="1" thickBot="1" x14ac:dyDescent="0.3">
      <c r="B48" s="11" t="s">
        <v>3</v>
      </c>
      <c r="C48" s="12" t="s">
        <v>9</v>
      </c>
      <c r="D48" s="12" t="s">
        <v>38</v>
      </c>
      <c r="E48" s="73" t="s">
        <v>48</v>
      </c>
      <c r="G48" s="104" t="s">
        <v>47</v>
      </c>
      <c r="H48" s="73" t="s">
        <v>56</v>
      </c>
      <c r="I48" s="73" t="s">
        <v>130</v>
      </c>
      <c r="J48" s="73" t="s">
        <v>171</v>
      </c>
      <c r="K48" s="73" t="s">
        <v>143</v>
      </c>
      <c r="L48" s="73" t="s">
        <v>144</v>
      </c>
      <c r="O48" s="44"/>
      <c r="P48" s="13"/>
      <c r="Q48" s="4"/>
    </row>
    <row r="49" spans="1:17" s="308" customFormat="1" ht="11.5" x14ac:dyDescent="0.25">
      <c r="B49" s="337">
        <v>1</v>
      </c>
      <c r="C49" s="338" t="s">
        <v>10</v>
      </c>
      <c r="D49" s="311">
        <f>REMUNERACION_ENERBIT!D125</f>
        <v>0</v>
      </c>
      <c r="E49" s="311">
        <f>REMUNERACION_ENERBIT!E125</f>
        <v>0</v>
      </c>
      <c r="G49" s="339">
        <f>REMUNERACION_ENERBIT!G125</f>
        <v>0</v>
      </c>
      <c r="H49" s="339">
        <f>REMUNERACION_ENERBIT!H125</f>
        <v>0</v>
      </c>
      <c r="I49" s="339">
        <f>REMUNERACION_ENERBIT!I125</f>
        <v>0</v>
      </c>
      <c r="J49" s="339">
        <f>REMUNERACION_ENERBIT!J125</f>
        <v>0</v>
      </c>
      <c r="K49" s="339">
        <f>REMUNERACION_ENERBIT!K125</f>
        <v>0</v>
      </c>
      <c r="L49" s="339">
        <f>REMUNERACION_ENERBIT!L125</f>
        <v>0</v>
      </c>
      <c r="O49" s="340"/>
      <c r="Q49" s="309"/>
    </row>
    <row r="50" spans="1:17" s="308" customFormat="1" ht="11.5" x14ac:dyDescent="0.25">
      <c r="B50" s="317">
        <v>2</v>
      </c>
      <c r="C50" s="341" t="s">
        <v>11</v>
      </c>
      <c r="D50" s="295">
        <f>REMUNERACION_ENERBIT!D126</f>
        <v>0</v>
      </c>
      <c r="E50" s="295">
        <f>REMUNERACION_ENERBIT!E126</f>
        <v>0</v>
      </c>
      <c r="G50" s="342">
        <f>REMUNERACION_ENERBIT!G126</f>
        <v>0</v>
      </c>
      <c r="H50" s="342">
        <f>REMUNERACION_ENERBIT!H126</f>
        <v>0</v>
      </c>
      <c r="I50" s="342">
        <f>REMUNERACION_ENERBIT!I126</f>
        <v>0</v>
      </c>
      <c r="J50" s="342">
        <f>REMUNERACION_ENERBIT!J126</f>
        <v>0</v>
      </c>
      <c r="K50" s="342">
        <f>REMUNERACION_ENERBIT!K126</f>
        <v>0</v>
      </c>
      <c r="L50" s="342">
        <f>REMUNERACION_ENERBIT!L126</f>
        <v>0</v>
      </c>
      <c r="O50" s="340"/>
      <c r="Q50" s="309"/>
    </row>
    <row r="51" spans="1:17" s="308" customFormat="1" ht="11.5" x14ac:dyDescent="0.25">
      <c r="B51" s="317">
        <v>3</v>
      </c>
      <c r="C51" s="341" t="s">
        <v>12</v>
      </c>
      <c r="D51" s="295">
        <f>REMUNERACION_ENERBIT!D127</f>
        <v>0</v>
      </c>
      <c r="E51" s="295">
        <f>REMUNERACION_ENERBIT!E127</f>
        <v>0</v>
      </c>
      <c r="G51" s="342">
        <f>REMUNERACION_ENERBIT!G127</f>
        <v>0</v>
      </c>
      <c r="H51" s="342">
        <f>REMUNERACION_ENERBIT!H127</f>
        <v>0</v>
      </c>
      <c r="I51" s="342">
        <f>REMUNERACION_ENERBIT!I127</f>
        <v>0</v>
      </c>
      <c r="J51" s="342">
        <f>REMUNERACION_ENERBIT!J127</f>
        <v>0</v>
      </c>
      <c r="K51" s="342">
        <f>REMUNERACION_ENERBIT!K127</f>
        <v>0</v>
      </c>
      <c r="L51" s="342">
        <f>REMUNERACION_ENERBIT!L127</f>
        <v>0</v>
      </c>
      <c r="O51" s="340"/>
      <c r="Q51" s="309"/>
    </row>
    <row r="52" spans="1:17" s="308" customFormat="1" ht="11.5" x14ac:dyDescent="0.25">
      <c r="B52" s="317">
        <v>4</v>
      </c>
      <c r="C52" s="341" t="s">
        <v>13</v>
      </c>
      <c r="D52" s="295">
        <f>REMUNERACION_ENERBIT!D128</f>
        <v>0</v>
      </c>
      <c r="E52" s="295">
        <f>REMUNERACION_ENERBIT!E128</f>
        <v>0</v>
      </c>
      <c r="G52" s="342">
        <f>REMUNERACION_ENERBIT!G128</f>
        <v>0</v>
      </c>
      <c r="H52" s="342">
        <f>REMUNERACION_ENERBIT!H128</f>
        <v>0</v>
      </c>
      <c r="I52" s="342">
        <f>REMUNERACION_ENERBIT!I128</f>
        <v>0</v>
      </c>
      <c r="J52" s="342">
        <f>REMUNERACION_ENERBIT!J128</f>
        <v>0</v>
      </c>
      <c r="K52" s="342">
        <f>REMUNERACION_ENERBIT!K128</f>
        <v>0</v>
      </c>
      <c r="L52" s="342">
        <f>REMUNERACION_ENERBIT!L128</f>
        <v>0</v>
      </c>
      <c r="O52" s="340"/>
      <c r="Q52" s="309"/>
    </row>
    <row r="53" spans="1:17" s="308" customFormat="1" ht="11.5" x14ac:dyDescent="0.25">
      <c r="B53" s="344">
        <v>5</v>
      </c>
      <c r="C53" s="345" t="s">
        <v>14</v>
      </c>
      <c r="D53" s="295">
        <f>REMUNERACION_ENERBIT!D129</f>
        <v>3163741</v>
      </c>
      <c r="E53" s="295">
        <f>REMUNERACION_ENERBIT!E129</f>
        <v>0</v>
      </c>
      <c r="G53" s="342">
        <f>REMUNERACION_ENERBIT!G129</f>
        <v>0</v>
      </c>
      <c r="H53" s="342">
        <f>REMUNERACION_ENERBIT!H129</f>
        <v>0</v>
      </c>
      <c r="I53" s="342">
        <f>REMUNERACION_ENERBIT!I129</f>
        <v>0</v>
      </c>
      <c r="J53" s="342">
        <f>REMUNERACION_ENERBIT!J129</f>
        <v>0</v>
      </c>
      <c r="K53" s="342">
        <f>REMUNERACION_ENERBIT!K129</f>
        <v>0</v>
      </c>
      <c r="L53" s="342">
        <f>REMUNERACION_ENERBIT!L129</f>
        <v>0</v>
      </c>
      <c r="O53" s="340"/>
      <c r="Q53" s="309"/>
    </row>
    <row r="54" spans="1:17" s="308" customFormat="1" ht="12" thickBot="1" x14ac:dyDescent="0.3">
      <c r="B54" s="327" t="s">
        <v>89</v>
      </c>
      <c r="C54" s="348" t="s">
        <v>113</v>
      </c>
      <c r="D54" s="300">
        <f>REMUNERACION_ENERBIT!D130</f>
        <v>0</v>
      </c>
      <c r="E54" s="300">
        <f>REMUNERACION_ENERBIT!E130</f>
        <v>0</v>
      </c>
      <c r="G54" s="349">
        <f>REMUNERACION_ENERBIT!G130</f>
        <v>0</v>
      </c>
      <c r="H54" s="349">
        <f>REMUNERACION_ENERBIT!H130</f>
        <v>0</v>
      </c>
      <c r="I54" s="349">
        <f>REMUNERACION_ENERBIT!I130</f>
        <v>0</v>
      </c>
      <c r="J54" s="349">
        <f>REMUNERACION_ENERBIT!J130</f>
        <v>0</v>
      </c>
      <c r="K54" s="349">
        <f>REMUNERACION_ENERBIT!K130</f>
        <v>0</v>
      </c>
      <c r="L54" s="349">
        <f>REMUNERACION_ENERBIT!L130</f>
        <v>0</v>
      </c>
      <c r="O54" s="340"/>
      <c r="Q54" s="309"/>
    </row>
    <row r="55" spans="1:17" s="308" customFormat="1" ht="12" thickBot="1" x14ac:dyDescent="0.3">
      <c r="B55" s="351"/>
      <c r="C55" s="352" t="s">
        <v>2</v>
      </c>
      <c r="D55" s="353">
        <f>REMUNERACION_ENERBIT!D131</f>
        <v>3163741</v>
      </c>
      <c r="E55" s="353">
        <f>REMUNERACION_ENERBIT!E131</f>
        <v>0</v>
      </c>
      <c r="F55" s="354"/>
      <c r="G55" s="353">
        <f>REMUNERACION_ENERBIT!G131</f>
        <v>0</v>
      </c>
      <c r="H55" s="353">
        <f>REMUNERACION_ENERBIT!H131</f>
        <v>0</v>
      </c>
      <c r="I55" s="353">
        <f>REMUNERACION_ENERBIT!I131</f>
        <v>0</v>
      </c>
      <c r="J55" s="353">
        <f>REMUNERACION_ENERBIT!J131</f>
        <v>0</v>
      </c>
      <c r="K55" s="353">
        <f>REMUNERACION_ENERBIT!K131</f>
        <v>0</v>
      </c>
      <c r="L55" s="353">
        <f>REMUNERACION_ENERBIT!L131</f>
        <v>0</v>
      </c>
      <c r="M55" s="354"/>
      <c r="N55" s="354"/>
      <c r="O55" s="355"/>
      <c r="P55" s="332"/>
      <c r="Q55" s="309"/>
    </row>
    <row r="56" spans="1:17" s="1" customFormat="1" ht="11.5" x14ac:dyDescent="0.25">
      <c r="B56" s="2"/>
      <c r="C56" s="2"/>
      <c r="D56" s="451"/>
      <c r="Q56" s="4"/>
    </row>
    <row r="57" spans="1:17" s="1" customFormat="1" ht="11.5" x14ac:dyDescent="0.25">
      <c r="B57" s="2"/>
      <c r="C57" s="2"/>
      <c r="D57" s="451"/>
      <c r="Q57" s="4"/>
    </row>
    <row r="58" spans="1:17" s="1" customFormat="1" ht="11.5" x14ac:dyDescent="0.25">
      <c r="A58" s="52"/>
      <c r="B58" s="53"/>
      <c r="C58" s="53"/>
      <c r="D58" s="457"/>
      <c r="E58" s="457"/>
      <c r="F58" s="457"/>
      <c r="G58" s="457"/>
      <c r="H58" s="457"/>
      <c r="I58" s="457"/>
      <c r="J58" s="52"/>
      <c r="K58" s="457"/>
      <c r="L58" s="457"/>
      <c r="M58" s="457"/>
      <c r="N58" s="457"/>
      <c r="O58" s="457"/>
      <c r="P58" s="52"/>
      <c r="Q58" s="4"/>
    </row>
    <row r="60" spans="1:17" s="1" customFormat="1" ht="15.5" x14ac:dyDescent="0.35">
      <c r="B60" s="8"/>
      <c r="F60" s="479" t="s">
        <v>193</v>
      </c>
      <c r="G60" s="479"/>
      <c r="H60" s="480"/>
      <c r="I60" s="481"/>
      <c r="J60" s="480"/>
      <c r="K60" s="481"/>
      <c r="O60" s="10"/>
      <c r="P60" s="2"/>
      <c r="Q60" s="4"/>
    </row>
    <row r="61" spans="1:17" s="1" customFormat="1" ht="12" thickBot="1" x14ac:dyDescent="0.3">
      <c r="B61" s="8"/>
      <c r="C61" s="2" t="s">
        <v>1</v>
      </c>
      <c r="D61" s="2" t="s">
        <v>1</v>
      </c>
      <c r="J61" s="1" t="s">
        <v>1</v>
      </c>
      <c r="O61" s="44"/>
      <c r="P61" s="2"/>
      <c r="Q61" s="4"/>
    </row>
    <row r="62" spans="1:17" s="1" customFormat="1" ht="60.75" customHeight="1" thickBot="1" x14ac:dyDescent="0.3">
      <c r="B62" s="11" t="s">
        <v>3</v>
      </c>
      <c r="C62" s="12" t="s">
        <v>9</v>
      </c>
      <c r="D62" s="12" t="s">
        <v>38</v>
      </c>
      <c r="E62" s="73" t="s">
        <v>48</v>
      </c>
      <c r="G62" s="104" t="s">
        <v>47</v>
      </c>
      <c r="H62" s="73" t="s">
        <v>56</v>
      </c>
      <c r="I62" s="73" t="s">
        <v>130</v>
      </c>
      <c r="J62" s="73" t="s">
        <v>171</v>
      </c>
      <c r="K62" s="73" t="s">
        <v>143</v>
      </c>
      <c r="L62" s="73" t="s">
        <v>144</v>
      </c>
      <c r="O62" s="44"/>
      <c r="P62" s="13"/>
      <c r="Q62" s="4"/>
    </row>
    <row r="63" spans="1:17" s="308" customFormat="1" ht="11.5" x14ac:dyDescent="0.25">
      <c r="B63" s="337">
        <v>1</v>
      </c>
      <c r="C63" s="338" t="s">
        <v>10</v>
      </c>
      <c r="D63" s="311">
        <f>'REMUNERACION_OCCIDENTE_ Directa'!D125</f>
        <v>12466967.189999999</v>
      </c>
      <c r="E63" s="312">
        <f>'REMUNERACION_OCCIDENTE_ Directa'!E125</f>
        <v>0</v>
      </c>
      <c r="G63" s="339">
        <f>'REMUNERACION_OCCIDENTE_ Directa'!G125</f>
        <v>11673020</v>
      </c>
      <c r="H63" s="313">
        <f>'REMUNERACION_OCCIDENTE_ Directa'!H125</f>
        <v>2311059.02</v>
      </c>
      <c r="I63" s="312">
        <f>'REMUNERACION_OCCIDENTE_ Directa'!I125</f>
        <v>0</v>
      </c>
      <c r="J63" s="312">
        <f>'REMUNERACION_OCCIDENTE_ Directa'!J125</f>
        <v>-12054255.65</v>
      </c>
      <c r="K63" s="312">
        <f>'REMUNERACION_OCCIDENTE_ Directa'!K125</f>
        <v>1944280</v>
      </c>
      <c r="L63" s="312">
        <f>'REMUNERACION_OCCIDENTE_ Directa'!L125</f>
        <v>8965804.3499999996</v>
      </c>
      <c r="O63" s="340"/>
      <c r="Q63" s="309"/>
    </row>
    <row r="64" spans="1:17" s="308" customFormat="1" ht="11.5" x14ac:dyDescent="0.25">
      <c r="B64" s="317">
        <v>2</v>
      </c>
      <c r="C64" s="341" t="s">
        <v>11</v>
      </c>
      <c r="D64" s="295">
        <f>'REMUNERACION_OCCIDENTE_ Directa'!D126</f>
        <v>32048911</v>
      </c>
      <c r="E64" s="291">
        <f>'REMUNERACION_OCCIDENTE_ Directa'!E126</f>
        <v>0</v>
      </c>
      <c r="G64" s="342">
        <f>'REMUNERACION_OCCIDENTE_ Directa'!G126</f>
        <v>0</v>
      </c>
      <c r="H64" s="343">
        <f>'REMUNERACION_OCCIDENTE_ Directa'!H126</f>
        <v>12441371.75</v>
      </c>
      <c r="I64" s="291">
        <f>'REMUNERACION_OCCIDENTE_ Directa'!I126</f>
        <v>0</v>
      </c>
      <c r="J64" s="291">
        <f>'REMUNERACION_OCCIDENTE_ Directa'!J126</f>
        <v>0</v>
      </c>
      <c r="K64" s="291">
        <f>'REMUNERACION_OCCIDENTE_ Directa'!K126</f>
        <v>0</v>
      </c>
      <c r="L64" s="291">
        <f>'REMUNERACION_OCCIDENTE_ Directa'!L126</f>
        <v>0</v>
      </c>
      <c r="O64" s="340"/>
      <c r="Q64" s="309"/>
    </row>
    <row r="65" spans="1:17" s="308" customFormat="1" ht="11.5" x14ac:dyDescent="0.25">
      <c r="B65" s="317">
        <v>3</v>
      </c>
      <c r="C65" s="341" t="s">
        <v>12</v>
      </c>
      <c r="D65" s="295">
        <f>'REMUNERACION_OCCIDENTE_ Directa'!D127</f>
        <v>2387269</v>
      </c>
      <c r="E65" s="291">
        <f>'REMUNERACION_OCCIDENTE_ Directa'!E127</f>
        <v>0</v>
      </c>
      <c r="G65" s="342">
        <f>'REMUNERACION_OCCIDENTE_ Directa'!G127</f>
        <v>10198723.07</v>
      </c>
      <c r="H65" s="343">
        <f>'REMUNERACION_OCCIDENTE_ Directa'!H127</f>
        <v>677060.45</v>
      </c>
      <c r="I65" s="291">
        <f>'REMUNERACION_OCCIDENTE_ Directa'!I127</f>
        <v>0</v>
      </c>
      <c r="J65" s="291">
        <f>'REMUNERACION_OCCIDENTE_ Directa'!J127</f>
        <v>-10531481.890000001</v>
      </c>
      <c r="K65" s="291">
        <f>'REMUNERACION_OCCIDENTE_ Directa'!K127</f>
        <v>426786.93</v>
      </c>
      <c r="L65" s="291">
        <f>'REMUNERACION_OCCIDENTE_ Directa'!L127</f>
        <v>10145808.109999999</v>
      </c>
      <c r="O65" s="340"/>
      <c r="Q65" s="309"/>
    </row>
    <row r="66" spans="1:17" s="308" customFormat="1" ht="11.5" x14ac:dyDescent="0.25">
      <c r="B66" s="317">
        <v>4</v>
      </c>
      <c r="C66" s="341" t="s">
        <v>13</v>
      </c>
      <c r="D66" s="295">
        <f>'REMUNERACION_OCCIDENTE_ Directa'!D128</f>
        <v>11928035.6</v>
      </c>
      <c r="E66" s="291">
        <f>'REMUNERACION_OCCIDENTE_ Directa'!E128</f>
        <v>0</v>
      </c>
      <c r="G66" s="342">
        <f>'REMUNERACION_OCCIDENTE_ Directa'!G128</f>
        <v>1855630</v>
      </c>
      <c r="H66" s="343">
        <f>'REMUNERACION_OCCIDENTE_ Directa'!H128</f>
        <v>2001316.6600000001</v>
      </c>
      <c r="I66" s="291">
        <f>'REMUNERACION_OCCIDENTE_ Directa'!I128</f>
        <v>0</v>
      </c>
      <c r="J66" s="291">
        <f>'REMUNERACION_OCCIDENTE_ Directa'!J128</f>
        <v>-4856351.96</v>
      </c>
      <c r="K66" s="291">
        <f>'REMUNERACION_OCCIDENTE_ Directa'!K128</f>
        <v>2723150</v>
      </c>
      <c r="L66" s="291">
        <f>'REMUNERACION_OCCIDENTE_ Directa'!L128</f>
        <v>245148.04</v>
      </c>
      <c r="O66" s="340"/>
      <c r="Q66" s="309"/>
    </row>
    <row r="67" spans="1:17" s="308" customFormat="1" ht="11.5" x14ac:dyDescent="0.25">
      <c r="B67" s="344">
        <v>5</v>
      </c>
      <c r="C67" s="345" t="s">
        <v>14</v>
      </c>
      <c r="D67" s="295">
        <f>'REMUNERACION_OCCIDENTE_ Directa'!D129</f>
        <v>2431000</v>
      </c>
      <c r="E67" s="347">
        <f>'REMUNERACION_OCCIDENTE_ Directa'!E129</f>
        <v>0</v>
      </c>
      <c r="G67" s="342">
        <f>'REMUNERACION_OCCIDENTE_ Directa'!G129</f>
        <v>0</v>
      </c>
      <c r="H67" s="343">
        <f>'REMUNERACION_OCCIDENTE_ Directa'!H129</f>
        <v>655659.01</v>
      </c>
      <c r="I67" s="291">
        <f>'REMUNERACION_OCCIDENTE_ Directa'!I129</f>
        <v>0</v>
      </c>
      <c r="J67" s="291">
        <f>'REMUNERACION_OCCIDENTE_ Directa'!J129</f>
        <v>-950286.68</v>
      </c>
      <c r="K67" s="291">
        <f>'REMUNERACION_OCCIDENTE_ Directa'!K129</f>
        <v>314490</v>
      </c>
      <c r="L67" s="291">
        <f>'REMUNERACION_OCCIDENTE_ Directa'!L129</f>
        <v>750593.32</v>
      </c>
      <c r="O67" s="340"/>
      <c r="Q67" s="309"/>
    </row>
    <row r="68" spans="1:17" s="308" customFormat="1" ht="12" thickBot="1" x14ac:dyDescent="0.3">
      <c r="B68" s="327" t="s">
        <v>89</v>
      </c>
      <c r="C68" s="348" t="s">
        <v>113</v>
      </c>
      <c r="D68" s="300">
        <f>'REMUNERACION_OCCIDENTE_ Directa'!D130</f>
        <v>0</v>
      </c>
      <c r="E68" s="292">
        <f>'REMUNERACION_OCCIDENTE_ Directa'!E130</f>
        <v>0</v>
      </c>
      <c r="G68" s="349">
        <f>'REMUNERACION_OCCIDENTE_ Directa'!G130</f>
        <v>0</v>
      </c>
      <c r="H68" s="350">
        <f>'REMUNERACION_OCCIDENTE_ Directa'!H130</f>
        <v>0</v>
      </c>
      <c r="I68" s="292">
        <f>'REMUNERACION_OCCIDENTE_ Directa'!I130</f>
        <v>0</v>
      </c>
      <c r="J68" s="292">
        <f>'REMUNERACION_OCCIDENTE_ Directa'!J130</f>
        <v>0</v>
      </c>
      <c r="K68" s="292">
        <f>'REMUNERACION_OCCIDENTE_ Directa'!K130</f>
        <v>0</v>
      </c>
      <c r="L68" s="292">
        <f>'REMUNERACION_OCCIDENTE_ Directa'!L130</f>
        <v>0</v>
      </c>
      <c r="O68" s="340"/>
      <c r="Q68" s="309"/>
    </row>
    <row r="69" spans="1:17" s="308" customFormat="1" ht="12" thickBot="1" x14ac:dyDescent="0.3">
      <c r="B69" s="351"/>
      <c r="C69" s="352" t="s">
        <v>2</v>
      </c>
      <c r="D69" s="353">
        <f>'REMUNERACION_OCCIDENTE_ Directa'!D131</f>
        <v>61262182.789999999</v>
      </c>
      <c r="E69" s="353">
        <f>'REMUNERACION_OCCIDENTE_ Directa'!E131</f>
        <v>0</v>
      </c>
      <c r="F69" s="354"/>
      <c r="G69" s="353">
        <f>'REMUNERACION_OCCIDENTE_ Directa'!G131</f>
        <v>23727373.07</v>
      </c>
      <c r="H69" s="353">
        <f>'REMUNERACION_OCCIDENTE_ Directa'!H131</f>
        <v>18086466.890000001</v>
      </c>
      <c r="I69" s="353">
        <f>'REMUNERACION_OCCIDENTE_ Directa'!I131</f>
        <v>0</v>
      </c>
      <c r="J69" s="353">
        <f>'REMUNERACION_OCCIDENTE_ Directa'!J131</f>
        <v>-28392376.18</v>
      </c>
      <c r="K69" s="353">
        <f>'REMUNERACION_OCCIDENTE_ Directa'!K131</f>
        <v>5408706.9299999997</v>
      </c>
      <c r="L69" s="353">
        <f>'REMUNERACION_OCCIDENTE_ Directa'!L131</f>
        <v>20107353.82</v>
      </c>
      <c r="M69" s="354"/>
      <c r="N69" s="354"/>
      <c r="O69" s="355"/>
      <c r="P69" s="332"/>
      <c r="Q69" s="309"/>
    </row>
    <row r="70" spans="1:17" s="1" customFormat="1" ht="11.5" x14ac:dyDescent="0.25">
      <c r="B70" s="2"/>
      <c r="C70" s="2"/>
      <c r="D70" s="451"/>
      <c r="Q70" s="4"/>
    </row>
    <row r="71" spans="1:17" s="1" customFormat="1" ht="11.5" x14ac:dyDescent="0.25">
      <c r="B71" s="2"/>
      <c r="C71" s="2"/>
      <c r="D71" s="451"/>
      <c r="Q71" s="4"/>
    </row>
    <row r="72" spans="1:17" s="1" customFormat="1" ht="11.5" x14ac:dyDescent="0.25">
      <c r="A72" s="52"/>
      <c r="B72" s="53"/>
      <c r="C72" s="53"/>
      <c r="D72" s="457"/>
      <c r="E72" s="457"/>
      <c r="F72" s="457"/>
      <c r="G72" s="457"/>
      <c r="H72" s="457"/>
      <c r="I72" s="457"/>
      <c r="J72" s="52"/>
      <c r="K72" s="457"/>
      <c r="L72" s="457"/>
      <c r="M72" s="457"/>
      <c r="N72" s="457"/>
      <c r="O72" s="457"/>
      <c r="P72" s="52"/>
      <c r="Q72" s="4"/>
    </row>
    <row r="74" spans="1:17" s="1" customFormat="1" ht="15.5" x14ac:dyDescent="0.35">
      <c r="B74" s="8"/>
      <c r="F74" s="58" t="s">
        <v>194</v>
      </c>
      <c r="G74" s="58"/>
      <c r="H74" s="59"/>
      <c r="I74" s="60"/>
      <c r="J74" s="59"/>
      <c r="K74" s="60"/>
      <c r="L74" s="60"/>
      <c r="O74" s="10"/>
      <c r="P74" s="2"/>
      <c r="Q74" s="4"/>
    </row>
    <row r="75" spans="1:17" s="1" customFormat="1" ht="12" thickBot="1" x14ac:dyDescent="0.3">
      <c r="B75" s="8"/>
      <c r="C75" s="2" t="s">
        <v>1</v>
      </c>
      <c r="D75" s="2" t="s">
        <v>1</v>
      </c>
      <c r="J75" s="1" t="s">
        <v>1</v>
      </c>
      <c r="O75" s="44"/>
      <c r="P75" s="2"/>
      <c r="Q75" s="4"/>
    </row>
    <row r="76" spans="1:17" s="1" customFormat="1" ht="62.25" customHeight="1" thickBot="1" x14ac:dyDescent="0.3">
      <c r="B76" s="11" t="s">
        <v>3</v>
      </c>
      <c r="C76" s="12" t="s">
        <v>9</v>
      </c>
      <c r="D76" s="12" t="s">
        <v>38</v>
      </c>
      <c r="E76" s="73" t="s">
        <v>48</v>
      </c>
      <c r="G76" s="104" t="s">
        <v>47</v>
      </c>
      <c r="H76" s="73" t="s">
        <v>56</v>
      </c>
      <c r="I76" s="73" t="s">
        <v>130</v>
      </c>
      <c r="J76" s="73" t="s">
        <v>171</v>
      </c>
      <c r="K76" s="73" t="s">
        <v>143</v>
      </c>
      <c r="L76" s="73" t="s">
        <v>144</v>
      </c>
      <c r="O76" s="44"/>
      <c r="P76" s="13"/>
      <c r="Q76" s="4"/>
    </row>
    <row r="77" spans="1:17" s="308" customFormat="1" ht="11.5" x14ac:dyDescent="0.25">
      <c r="B77" s="337">
        <v>1</v>
      </c>
      <c r="C77" s="338" t="s">
        <v>10</v>
      </c>
      <c r="D77" s="311">
        <f>'REMUNERACION_EAAB-CL'!D125</f>
        <v>0</v>
      </c>
      <c r="E77" s="312">
        <f>'REMUNERACION_EAAB-CL'!E125</f>
        <v>0</v>
      </c>
      <c r="G77" s="339">
        <f>'REMUNERACION_EAAB-CL'!G125</f>
        <v>0</v>
      </c>
      <c r="H77" s="313">
        <f>'REMUNERACION_EAAB-CL'!H125</f>
        <v>0</v>
      </c>
      <c r="I77" s="312">
        <f>'REMUNERACION_EAAB-CL'!I125</f>
        <v>0</v>
      </c>
      <c r="J77" s="312">
        <f>'REMUNERACION_EAAB-CL'!J125</f>
        <v>0</v>
      </c>
      <c r="K77" s="312">
        <f>'REMUNERACION_EAAB-CL'!K125</f>
        <v>0</v>
      </c>
      <c r="L77" s="312">
        <f>'REMUNERACION_EAAB-CL'!L125</f>
        <v>0</v>
      </c>
      <c r="O77" s="340"/>
      <c r="Q77" s="309"/>
    </row>
    <row r="78" spans="1:17" s="308" customFormat="1" ht="11.5" x14ac:dyDescent="0.25">
      <c r="B78" s="317">
        <v>2</v>
      </c>
      <c r="C78" s="341" t="s">
        <v>11</v>
      </c>
      <c r="D78" s="295">
        <f>'REMUNERACION_EAAB-CL'!D126</f>
        <v>0</v>
      </c>
      <c r="E78" s="291">
        <f>'REMUNERACION_EAAB-CL'!E126</f>
        <v>0</v>
      </c>
      <c r="G78" s="342">
        <f>'REMUNERACION_EAAB-CL'!G126</f>
        <v>0</v>
      </c>
      <c r="H78" s="343">
        <f>'REMUNERACION_EAAB-CL'!H126</f>
        <v>0</v>
      </c>
      <c r="I78" s="291">
        <f>'REMUNERACION_EAAB-CL'!I126</f>
        <v>0</v>
      </c>
      <c r="J78" s="291">
        <f>'REMUNERACION_EAAB-CL'!J126</f>
        <v>0</v>
      </c>
      <c r="K78" s="291">
        <f>'REMUNERACION_EAAB-CL'!K126</f>
        <v>0</v>
      </c>
      <c r="L78" s="291">
        <f>'REMUNERACION_EAAB-CL'!L126</f>
        <v>0</v>
      </c>
      <c r="O78" s="340"/>
      <c r="Q78" s="309"/>
    </row>
    <row r="79" spans="1:17" s="308" customFormat="1" ht="11.5" x14ac:dyDescent="0.25">
      <c r="B79" s="317">
        <v>3</v>
      </c>
      <c r="C79" s="341" t="s">
        <v>12</v>
      </c>
      <c r="D79" s="295">
        <f>'REMUNERACION_EAAB-CL'!D127</f>
        <v>0</v>
      </c>
      <c r="E79" s="291">
        <f>'REMUNERACION_EAAB-CL'!E127</f>
        <v>0</v>
      </c>
      <c r="G79" s="342">
        <f>'REMUNERACION_EAAB-CL'!G127</f>
        <v>0</v>
      </c>
      <c r="H79" s="343">
        <f>'REMUNERACION_EAAB-CL'!H127</f>
        <v>0</v>
      </c>
      <c r="I79" s="291">
        <f>'REMUNERACION_EAAB-CL'!I127</f>
        <v>0</v>
      </c>
      <c r="J79" s="291">
        <f>'REMUNERACION_EAAB-CL'!J127</f>
        <v>0</v>
      </c>
      <c r="K79" s="291">
        <f>'REMUNERACION_EAAB-CL'!K127</f>
        <v>0</v>
      </c>
      <c r="L79" s="291">
        <f>'REMUNERACION_EAAB-CL'!L127</f>
        <v>0</v>
      </c>
      <c r="O79" s="340"/>
      <c r="Q79" s="309"/>
    </row>
    <row r="80" spans="1:17" s="308" customFormat="1" ht="11.5" x14ac:dyDescent="0.25">
      <c r="B80" s="317">
        <v>4</v>
      </c>
      <c r="C80" s="341" t="s">
        <v>13</v>
      </c>
      <c r="D80" s="295">
        <f>'REMUNERACION_EAAB-CL'!D128</f>
        <v>0</v>
      </c>
      <c r="E80" s="291">
        <f>'REMUNERACION_EAAB-CL'!E128</f>
        <v>0</v>
      </c>
      <c r="G80" s="342">
        <f>'REMUNERACION_EAAB-CL'!G128</f>
        <v>0</v>
      </c>
      <c r="H80" s="343">
        <f>'REMUNERACION_EAAB-CL'!H128</f>
        <v>0</v>
      </c>
      <c r="I80" s="291">
        <f>'REMUNERACION_EAAB-CL'!I128</f>
        <v>0</v>
      </c>
      <c r="J80" s="291">
        <f>'REMUNERACION_EAAB-CL'!J128</f>
        <v>0</v>
      </c>
      <c r="K80" s="291">
        <f>'REMUNERACION_EAAB-CL'!K128</f>
        <v>0</v>
      </c>
      <c r="L80" s="291">
        <f>'REMUNERACION_EAAB-CL'!L128</f>
        <v>0</v>
      </c>
      <c r="O80" s="340"/>
      <c r="Q80" s="309"/>
    </row>
    <row r="81" spans="1:17" s="308" customFormat="1" ht="11.5" x14ac:dyDescent="0.25">
      <c r="B81" s="344">
        <v>5</v>
      </c>
      <c r="C81" s="345" t="s">
        <v>14</v>
      </c>
      <c r="D81" s="295">
        <f>'REMUNERACION_EAAB-CL'!D129</f>
        <v>0</v>
      </c>
      <c r="E81" s="347">
        <f>'REMUNERACION_EAAB-CL'!E129</f>
        <v>0</v>
      </c>
      <c r="G81" s="342">
        <f>'REMUNERACION_EAAB-CL'!G129</f>
        <v>0</v>
      </c>
      <c r="H81" s="343">
        <f>'REMUNERACION_EAAB-CL'!H129</f>
        <v>0</v>
      </c>
      <c r="I81" s="291">
        <f>'REMUNERACION_EAAB-CL'!I129</f>
        <v>0</v>
      </c>
      <c r="J81" s="291">
        <f>'REMUNERACION_EAAB-CL'!J129</f>
        <v>0</v>
      </c>
      <c r="K81" s="291">
        <f>'REMUNERACION_EAAB-CL'!K129</f>
        <v>0</v>
      </c>
      <c r="L81" s="291">
        <f>'REMUNERACION_EAAB-CL'!L129</f>
        <v>0</v>
      </c>
      <c r="O81" s="340"/>
      <c r="Q81" s="309"/>
    </row>
    <row r="82" spans="1:17" s="308" customFormat="1" ht="12" thickBot="1" x14ac:dyDescent="0.3">
      <c r="B82" s="327" t="s">
        <v>89</v>
      </c>
      <c r="C82" s="348" t="s">
        <v>113</v>
      </c>
      <c r="D82" s="300">
        <f>'REMUNERACION_EAAB-CL'!D130</f>
        <v>0</v>
      </c>
      <c r="E82" s="292">
        <f>'REMUNERACION_EAAB-CL'!E130</f>
        <v>0</v>
      </c>
      <c r="G82" s="349">
        <f>'REMUNERACION_EAAB-CL'!G130</f>
        <v>0</v>
      </c>
      <c r="H82" s="350">
        <f>'REMUNERACION_EAAB-CL'!H130</f>
        <v>0</v>
      </c>
      <c r="I82" s="292">
        <f>'REMUNERACION_EAAB-CL'!I130</f>
        <v>0</v>
      </c>
      <c r="J82" s="292">
        <f>'REMUNERACION_EAAB-CL'!J130</f>
        <v>0</v>
      </c>
      <c r="K82" s="292">
        <f>'REMUNERACION_EAAB-CL'!K130</f>
        <v>0</v>
      </c>
      <c r="L82" s="292">
        <f>'REMUNERACION_EAAB-CL'!L130</f>
        <v>0</v>
      </c>
      <c r="O82" s="340"/>
      <c r="Q82" s="309"/>
    </row>
    <row r="83" spans="1:17" s="308" customFormat="1" ht="12" thickBot="1" x14ac:dyDescent="0.3">
      <c r="B83" s="351"/>
      <c r="C83" s="352" t="s">
        <v>2</v>
      </c>
      <c r="D83" s="353">
        <f>'REMUNERACION_EAAB-CL'!D131</f>
        <v>0</v>
      </c>
      <c r="E83" s="353">
        <f>'REMUNERACION_EAAB-CL'!E131</f>
        <v>0</v>
      </c>
      <c r="F83" s="354"/>
      <c r="G83" s="353">
        <f>'REMUNERACION_EAAB-CL'!G131</f>
        <v>0</v>
      </c>
      <c r="H83" s="353">
        <f>'REMUNERACION_EAAB-CL'!H131</f>
        <v>0</v>
      </c>
      <c r="I83" s="353">
        <f>'REMUNERACION_EAAB-CL'!I131</f>
        <v>0</v>
      </c>
      <c r="J83" s="353">
        <f>'REMUNERACION_EAAB-CL'!J131</f>
        <v>0</v>
      </c>
      <c r="K83" s="353">
        <f>'REMUNERACION_EAAB-CL'!K131</f>
        <v>0</v>
      </c>
      <c r="L83" s="353">
        <f>'REMUNERACION_EAAB-CL'!L131</f>
        <v>0</v>
      </c>
      <c r="M83" s="354"/>
      <c r="N83" s="354"/>
      <c r="O83" s="355"/>
      <c r="P83" s="332"/>
      <c r="Q83" s="309"/>
    </row>
    <row r="84" spans="1:17" s="1" customFormat="1" ht="11.5" x14ac:dyDescent="0.25">
      <c r="B84" s="2"/>
      <c r="C84" s="2"/>
      <c r="D84" s="451"/>
      <c r="Q84" s="4"/>
    </row>
    <row r="85" spans="1:17" s="1" customFormat="1" ht="11.5" x14ac:dyDescent="0.25">
      <c r="B85" s="2"/>
      <c r="C85" s="2"/>
      <c r="D85" s="451"/>
      <c r="Q85" s="4"/>
    </row>
    <row r="86" spans="1:17" s="1" customFormat="1" ht="11.5" x14ac:dyDescent="0.25">
      <c r="A86" s="52"/>
      <c r="B86" s="53"/>
      <c r="C86" s="53"/>
      <c r="D86" s="457"/>
      <c r="E86" s="457"/>
      <c r="F86" s="457"/>
      <c r="G86" s="457"/>
      <c r="H86" s="457"/>
      <c r="I86" s="457"/>
      <c r="J86" s="52"/>
      <c r="K86" s="457"/>
      <c r="L86" s="457"/>
      <c r="M86" s="457"/>
      <c r="N86" s="457"/>
      <c r="O86" s="457"/>
      <c r="P86" s="52"/>
      <c r="Q86" s="4"/>
    </row>
    <row r="88" spans="1:17" ht="15.5" x14ac:dyDescent="0.35">
      <c r="F88" s="41" t="s">
        <v>190</v>
      </c>
    </row>
    <row r="89" spans="1:17" s="1" customFormat="1" ht="15.5" x14ac:dyDescent="0.35">
      <c r="B89" s="8"/>
      <c r="F89" s="41" t="s">
        <v>37</v>
      </c>
      <c r="G89" s="41"/>
      <c r="H89" s="2"/>
      <c r="J89" s="2"/>
      <c r="O89" s="10"/>
      <c r="P89" s="2"/>
      <c r="Q89" s="4"/>
    </row>
    <row r="90" spans="1:17" s="1" customFormat="1" ht="12" thickBot="1" x14ac:dyDescent="0.3">
      <c r="B90" s="8"/>
      <c r="C90" s="2" t="s">
        <v>1</v>
      </c>
      <c r="D90" s="2" t="s">
        <v>1</v>
      </c>
      <c r="J90" s="1" t="s">
        <v>1</v>
      </c>
      <c r="O90" s="44"/>
      <c r="P90" s="2"/>
      <c r="Q90" s="4"/>
    </row>
    <row r="91" spans="1:17" s="1" customFormat="1" ht="62.25" customHeight="1" thickBot="1" x14ac:dyDescent="0.3">
      <c r="B91" s="11" t="s">
        <v>3</v>
      </c>
      <c r="C91" s="12" t="s">
        <v>9</v>
      </c>
      <c r="D91" s="12" t="s">
        <v>38</v>
      </c>
      <c r="E91" s="73" t="s">
        <v>48</v>
      </c>
      <c r="G91" s="104" t="s">
        <v>47</v>
      </c>
      <c r="H91" s="73" t="s">
        <v>56</v>
      </c>
      <c r="I91" s="73" t="s">
        <v>130</v>
      </c>
      <c r="J91" s="73" t="s">
        <v>171</v>
      </c>
      <c r="K91" s="73" t="s">
        <v>143</v>
      </c>
      <c r="L91" s="73" t="s">
        <v>144</v>
      </c>
      <c r="O91" s="44"/>
      <c r="P91" s="13"/>
      <c r="Q91" s="4"/>
    </row>
    <row r="92" spans="1:17" s="308" customFormat="1" ht="11.5" x14ac:dyDescent="0.25">
      <c r="B92" s="337">
        <v>1</v>
      </c>
      <c r="C92" s="338" t="s">
        <v>10</v>
      </c>
      <c r="D92" s="311">
        <f>D6-(D21+D35+D49++D63+D77)</f>
        <v>0</v>
      </c>
      <c r="E92" s="311">
        <f>E6-(E21+E35+E49++E63+E77)</f>
        <v>0</v>
      </c>
      <c r="G92" s="339">
        <f>G6-(G21+G35+G49+G63+G77)</f>
        <v>0</v>
      </c>
      <c r="H92" s="339">
        <f t="shared" ref="H92:L92" si="0">H6-(H21+H35+H49+H63+H77)</f>
        <v>0</v>
      </c>
      <c r="I92" s="339">
        <f t="shared" si="0"/>
        <v>0</v>
      </c>
      <c r="J92" s="339">
        <f t="shared" si="0"/>
        <v>0</v>
      </c>
      <c r="K92" s="339">
        <f t="shared" si="0"/>
        <v>0</v>
      </c>
      <c r="L92" s="339">
        <f t="shared" si="0"/>
        <v>0</v>
      </c>
      <c r="O92" s="340"/>
      <c r="Q92" s="309"/>
    </row>
    <row r="93" spans="1:17" s="308" customFormat="1" ht="11.5" x14ac:dyDescent="0.25">
      <c r="B93" s="317">
        <v>2</v>
      </c>
      <c r="C93" s="341" t="s">
        <v>11</v>
      </c>
      <c r="D93" s="295">
        <f t="shared" ref="D93:E98" si="1">D7-(D22+D36+D50++D64+D78)</f>
        <v>0</v>
      </c>
      <c r="E93" s="295">
        <f t="shared" si="1"/>
        <v>0</v>
      </c>
      <c r="G93" s="342">
        <f t="shared" ref="G93:L98" si="2">G7-(G22+G36+G50+G64+G78)</f>
        <v>0</v>
      </c>
      <c r="H93" s="342">
        <f t="shared" si="2"/>
        <v>0</v>
      </c>
      <c r="I93" s="342">
        <f t="shared" si="2"/>
        <v>0</v>
      </c>
      <c r="J93" s="342">
        <f t="shared" si="2"/>
        <v>0</v>
      </c>
      <c r="K93" s="342">
        <f t="shared" si="2"/>
        <v>0</v>
      </c>
      <c r="L93" s="342">
        <f t="shared" si="2"/>
        <v>0</v>
      </c>
      <c r="O93" s="340"/>
      <c r="Q93" s="309"/>
    </row>
    <row r="94" spans="1:17" s="308" customFormat="1" ht="11.5" x14ac:dyDescent="0.25">
      <c r="B94" s="317">
        <v>3</v>
      </c>
      <c r="C94" s="341" t="s">
        <v>12</v>
      </c>
      <c r="D94" s="295">
        <f t="shared" si="1"/>
        <v>0</v>
      </c>
      <c r="E94" s="295">
        <f t="shared" si="1"/>
        <v>0</v>
      </c>
      <c r="G94" s="342">
        <f t="shared" si="2"/>
        <v>0</v>
      </c>
      <c r="H94" s="342">
        <f t="shared" si="2"/>
        <v>0</v>
      </c>
      <c r="I94" s="342">
        <f t="shared" si="2"/>
        <v>0</v>
      </c>
      <c r="J94" s="342">
        <f t="shared" si="2"/>
        <v>0</v>
      </c>
      <c r="K94" s="342">
        <f t="shared" si="2"/>
        <v>0</v>
      </c>
      <c r="L94" s="342">
        <f t="shared" si="2"/>
        <v>0</v>
      </c>
      <c r="O94" s="340"/>
      <c r="Q94" s="309"/>
    </row>
    <row r="95" spans="1:17" s="308" customFormat="1" ht="11.5" x14ac:dyDescent="0.25">
      <c r="B95" s="317">
        <v>4</v>
      </c>
      <c r="C95" s="341" t="s">
        <v>13</v>
      </c>
      <c r="D95" s="295">
        <f t="shared" si="1"/>
        <v>0</v>
      </c>
      <c r="E95" s="295">
        <f t="shared" si="1"/>
        <v>0</v>
      </c>
      <c r="G95" s="342">
        <f t="shared" si="2"/>
        <v>0</v>
      </c>
      <c r="H95" s="342">
        <f t="shared" si="2"/>
        <v>0</v>
      </c>
      <c r="I95" s="342">
        <f t="shared" si="2"/>
        <v>0</v>
      </c>
      <c r="J95" s="342">
        <f t="shared" si="2"/>
        <v>0</v>
      </c>
      <c r="K95" s="342">
        <f t="shared" si="2"/>
        <v>0</v>
      </c>
      <c r="L95" s="342">
        <f t="shared" si="2"/>
        <v>0</v>
      </c>
      <c r="O95" s="340"/>
      <c r="Q95" s="309"/>
    </row>
    <row r="96" spans="1:17" s="308" customFormat="1" ht="11.5" x14ac:dyDescent="0.25">
      <c r="B96" s="344">
        <v>5</v>
      </c>
      <c r="C96" s="345" t="s">
        <v>14</v>
      </c>
      <c r="D96" s="295">
        <f t="shared" si="1"/>
        <v>0</v>
      </c>
      <c r="E96" s="295">
        <f t="shared" si="1"/>
        <v>0</v>
      </c>
      <c r="G96" s="342">
        <f t="shared" si="2"/>
        <v>0</v>
      </c>
      <c r="H96" s="342">
        <f t="shared" si="2"/>
        <v>0</v>
      </c>
      <c r="I96" s="342">
        <f t="shared" si="2"/>
        <v>0</v>
      </c>
      <c r="J96" s="342">
        <f t="shared" si="2"/>
        <v>0</v>
      </c>
      <c r="K96" s="342">
        <f t="shared" si="2"/>
        <v>0</v>
      </c>
      <c r="L96" s="342">
        <f t="shared" si="2"/>
        <v>0</v>
      </c>
      <c r="O96" s="340"/>
      <c r="Q96" s="309"/>
    </row>
    <row r="97" spans="1:17" s="308" customFormat="1" ht="12" thickBot="1" x14ac:dyDescent="0.3">
      <c r="B97" s="327" t="s">
        <v>89</v>
      </c>
      <c r="C97" s="348" t="s">
        <v>113</v>
      </c>
      <c r="D97" s="300">
        <f t="shared" si="1"/>
        <v>0</v>
      </c>
      <c r="E97" s="300">
        <f t="shared" si="1"/>
        <v>0</v>
      </c>
      <c r="G97" s="349">
        <f t="shared" si="2"/>
        <v>0</v>
      </c>
      <c r="H97" s="349">
        <f t="shared" si="2"/>
        <v>0</v>
      </c>
      <c r="I97" s="349">
        <f t="shared" si="2"/>
        <v>0</v>
      </c>
      <c r="J97" s="349">
        <f t="shared" si="2"/>
        <v>0</v>
      </c>
      <c r="K97" s="349">
        <f t="shared" si="2"/>
        <v>0</v>
      </c>
      <c r="L97" s="349">
        <f t="shared" si="2"/>
        <v>0</v>
      </c>
      <c r="O97" s="340"/>
      <c r="Q97" s="309"/>
    </row>
    <row r="98" spans="1:17" s="308" customFormat="1" ht="12" thickBot="1" x14ac:dyDescent="0.3">
      <c r="B98" s="351"/>
      <c r="C98" s="352" t="s">
        <v>2</v>
      </c>
      <c r="D98" s="353">
        <f t="shared" si="1"/>
        <v>0</v>
      </c>
      <c r="E98" s="353">
        <f t="shared" si="1"/>
        <v>0</v>
      </c>
      <c r="F98" s="354"/>
      <c r="G98" s="353">
        <f t="shared" si="2"/>
        <v>0</v>
      </c>
      <c r="H98" s="353">
        <f t="shared" si="2"/>
        <v>0</v>
      </c>
      <c r="I98" s="353">
        <f t="shared" si="2"/>
        <v>0</v>
      </c>
      <c r="J98" s="353">
        <f t="shared" si="2"/>
        <v>0</v>
      </c>
      <c r="K98" s="353">
        <f t="shared" si="2"/>
        <v>0</v>
      </c>
      <c r="L98" s="353">
        <f t="shared" si="2"/>
        <v>0</v>
      </c>
      <c r="M98" s="354"/>
      <c r="N98" s="354"/>
      <c r="O98" s="355"/>
      <c r="P98" s="332"/>
      <c r="Q98" s="309"/>
    </row>
    <row r="99" spans="1:17" s="1" customFormat="1" ht="11.5" x14ac:dyDescent="0.25">
      <c r="B99" s="2"/>
      <c r="C99" s="2"/>
      <c r="D99" s="451"/>
      <c r="Q99" s="4"/>
    </row>
    <row r="100" spans="1:17" s="1" customFormat="1" ht="11.5" x14ac:dyDescent="0.25">
      <c r="B100" s="2"/>
      <c r="C100" s="2"/>
      <c r="D100" s="451"/>
      <c r="L100" s="1" t="s">
        <v>1</v>
      </c>
      <c r="Q100" s="4"/>
    </row>
    <row r="101" spans="1:17" s="1" customFormat="1" ht="11.5" x14ac:dyDescent="0.25">
      <c r="A101" s="52"/>
      <c r="B101" s="53"/>
      <c r="C101" s="53"/>
      <c r="D101" s="457"/>
      <c r="E101" s="457"/>
      <c r="F101" s="457"/>
      <c r="G101" s="457"/>
      <c r="H101" s="457"/>
      <c r="I101" s="457"/>
      <c r="J101" s="52"/>
      <c r="K101" s="457"/>
      <c r="L101" s="457"/>
      <c r="M101" s="457"/>
      <c r="N101" s="457"/>
      <c r="O101" s="457"/>
      <c r="P101" s="52"/>
      <c r="Q101" s="4"/>
    </row>
  </sheetData>
  <conditionalFormatting sqref="D92:E98 G92:L98">
    <cfRule type="cellIs" dxfId="0" priority="1" operator="notEqual">
      <formula>0</formula>
    </cfRule>
  </conditionalFormatting>
  <pageMargins left="0.7" right="0.7" top="0.75" bottom="0.75" header="0.3" footer="0.3"/>
  <pageSetup orientation="portrait" r:id="rId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B1:I10"/>
  <sheetViews>
    <sheetView workbookViewId="0">
      <selection activeCell="F10" sqref="F10"/>
    </sheetView>
  </sheetViews>
  <sheetFormatPr baseColWidth="10" defaultRowHeight="12.5" x14ac:dyDescent="0.25"/>
  <cols>
    <col min="1" max="1" width="4.7265625" customWidth="1"/>
    <col min="2" max="2" width="10" customWidth="1"/>
    <col min="3" max="3" width="20.453125" bestFit="1" customWidth="1"/>
    <col min="4" max="4" width="17.26953125" customWidth="1"/>
    <col min="5" max="5" width="16.26953125" customWidth="1"/>
    <col min="6" max="6" width="21" bestFit="1" customWidth="1"/>
  </cols>
  <sheetData>
    <row r="1" spans="2:9" ht="13" thickBot="1" x14ac:dyDescent="0.3"/>
    <row r="2" spans="2:9" ht="15" thickBot="1" x14ac:dyDescent="0.4">
      <c r="C2" s="529">
        <v>2026071</v>
      </c>
      <c r="D2" s="750" t="s">
        <v>224</v>
      </c>
      <c r="E2" s="750" t="s">
        <v>201</v>
      </c>
      <c r="F2" s="143"/>
      <c r="G2" s="143"/>
      <c r="H2" s="143"/>
      <c r="I2" s="143"/>
    </row>
    <row r="3" spans="2:9" ht="14.5" x14ac:dyDescent="0.35">
      <c r="B3" s="570">
        <v>0</v>
      </c>
      <c r="C3" s="531" t="s">
        <v>202</v>
      </c>
      <c r="D3" s="751">
        <v>0</v>
      </c>
      <c r="E3" s="532">
        <v>0</v>
      </c>
      <c r="F3" s="752"/>
      <c r="G3" s="143"/>
      <c r="H3" s="143"/>
      <c r="I3" s="143"/>
    </row>
    <row r="4" spans="2:9" ht="14.5" x14ac:dyDescent="0.35">
      <c r="B4" s="571">
        <v>0</v>
      </c>
      <c r="C4" s="533" t="s">
        <v>202</v>
      </c>
      <c r="D4" s="753">
        <v>0</v>
      </c>
      <c r="E4" s="534"/>
      <c r="F4" s="754"/>
      <c r="G4" s="143"/>
      <c r="H4" s="143"/>
      <c r="I4" s="143"/>
    </row>
    <row r="5" spans="2:9" ht="14.5" x14ac:dyDescent="0.35">
      <c r="B5" s="571">
        <v>0</v>
      </c>
      <c r="C5" s="535" t="s">
        <v>203</v>
      </c>
      <c r="D5" s="755">
        <v>0</v>
      </c>
      <c r="E5" s="536">
        <v>0</v>
      </c>
      <c r="F5" s="754"/>
      <c r="G5" s="143"/>
      <c r="H5" s="143"/>
      <c r="I5" s="143"/>
    </row>
    <row r="6" spans="2:9" ht="15" thickBot="1" x14ac:dyDescent="0.4">
      <c r="B6" s="572">
        <v>0</v>
      </c>
      <c r="C6" s="535" t="s">
        <v>203</v>
      </c>
      <c r="D6" s="755">
        <v>0</v>
      </c>
      <c r="E6" s="537"/>
      <c r="F6" s="754"/>
      <c r="G6" s="143"/>
      <c r="H6" s="143"/>
      <c r="I6" s="143"/>
    </row>
    <row r="7" spans="2:9" ht="14.5" x14ac:dyDescent="0.35">
      <c r="B7" t="s">
        <v>1</v>
      </c>
      <c r="C7" s="538" t="s">
        <v>204</v>
      </c>
      <c r="D7" s="539">
        <v>56416918662</v>
      </c>
      <c r="E7" s="756">
        <v>56591041178</v>
      </c>
      <c r="F7" s="757" t="b">
        <v>1</v>
      </c>
      <c r="G7" s="143"/>
      <c r="H7" s="143"/>
      <c r="I7" s="143"/>
    </row>
    <row r="8" spans="2:9" ht="14.5" x14ac:dyDescent="0.35">
      <c r="C8" s="538" t="s">
        <v>326</v>
      </c>
      <c r="D8" s="539">
        <v>129536656</v>
      </c>
      <c r="E8" s="737"/>
      <c r="F8" s="757"/>
      <c r="G8" s="143"/>
      <c r="H8" s="143"/>
      <c r="I8" s="143"/>
    </row>
    <row r="9" spans="2:9" ht="14.5" x14ac:dyDescent="0.35">
      <c r="B9" t="s">
        <v>1</v>
      </c>
      <c r="C9" s="538" t="s">
        <v>205</v>
      </c>
      <c r="D9" s="539">
        <v>44585860</v>
      </c>
      <c r="E9" s="758"/>
      <c r="F9" s="754"/>
      <c r="G9" s="143"/>
      <c r="H9" s="143"/>
      <c r="I9" s="143"/>
    </row>
    <row r="10" spans="2:9" ht="15" thickBot="1" x14ac:dyDescent="0.4">
      <c r="C10" s="540" t="s">
        <v>206</v>
      </c>
      <c r="D10" s="530">
        <v>1856091990</v>
      </c>
      <c r="E10" s="530">
        <v>1856091990</v>
      </c>
      <c r="F10" s="759">
        <v>58447133168</v>
      </c>
      <c r="G10" s="143"/>
      <c r="H10" s="143"/>
      <c r="I10" s="143"/>
    </row>
  </sheetData>
  <printOptions horizontalCentered="1"/>
  <pageMargins left="0.31496062992125984" right="0.31496062992125984" top="0.74803149606299213" bottom="0.74803149606299213" header="0.31496062992125984" footer="0.31496062992125984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40</vt:i4>
      </vt:variant>
      <vt:variant>
        <vt:lpstr>Rangos con nombre</vt:lpstr>
      </vt:variant>
      <vt:variant>
        <vt:i4>1</vt:i4>
      </vt:variant>
    </vt:vector>
  </HeadingPairs>
  <TitlesOfParts>
    <vt:vector size="41" baseType="lpstr">
      <vt:lpstr>Recaudo EAAB Reciprocidad</vt:lpstr>
      <vt:lpstr>Recaudo ENEL</vt:lpstr>
      <vt:lpstr>Recaudo ENERBIT</vt:lpstr>
      <vt:lpstr>Recaudo EAAB + Ciud Limp</vt:lpstr>
      <vt:lpstr>Recaudo Directa Occidente</vt:lpstr>
      <vt:lpstr>REPORTE RECAUDO x BANCO</vt:lpstr>
      <vt:lpstr>ANT EXT-REV</vt:lpstr>
      <vt:lpstr>ANTICIPOS USUARIOS</vt:lpstr>
      <vt:lpstr>BCE SC POR FACT.</vt:lpstr>
      <vt:lpstr>Reporte Componentes R1</vt:lpstr>
      <vt:lpstr>Rem. Anticipos R2</vt:lpstr>
      <vt:lpstr>Reversion Pagos R4</vt:lpstr>
      <vt:lpstr>SALDOS POR NOTA</vt:lpstr>
      <vt:lpstr>RETRIBUCION NEGATIVA</vt:lpstr>
      <vt:lpstr>AJUSTES - SF-T</vt:lpstr>
      <vt:lpstr>INTERVENTORIA</vt:lpstr>
      <vt:lpstr>Informe AFaseo Recaudo 202607-1</vt:lpstr>
      <vt:lpstr>CONSOLIDADO_TOTAL RECAUDO</vt:lpstr>
      <vt:lpstr>VALIDACION_TOTAL</vt:lpstr>
      <vt:lpstr>GERENTES_TOTAL</vt:lpstr>
      <vt:lpstr>REMUNERACION Reciprocidad EAAB</vt:lpstr>
      <vt:lpstr>VALIDACION_RECIP</vt:lpstr>
      <vt:lpstr>GERENTES_Reciprocidad_ EAAB</vt:lpstr>
      <vt:lpstr>REMUNERACION_ENEL</vt:lpstr>
      <vt:lpstr>VALIDACION_ENEL</vt:lpstr>
      <vt:lpstr>GERENTES_ENEL</vt:lpstr>
      <vt:lpstr>REMUNERACION_ENERBIT</vt:lpstr>
      <vt:lpstr>VALIDACION_ENERBIT</vt:lpstr>
      <vt:lpstr>GERENTES_ENERBIT</vt:lpstr>
      <vt:lpstr>REMUNERACION_OCCIDENTE_ Directa</vt:lpstr>
      <vt:lpstr>VALIDACION_OCCIDENTE</vt:lpstr>
      <vt:lpstr>GERENTES_OCCIDENTE _ Directa</vt:lpstr>
      <vt:lpstr>REMUNERACION_EAAB-CL</vt:lpstr>
      <vt:lpstr>VALIDACION_EAAB-CL</vt:lpstr>
      <vt:lpstr>GERENTES_EAAB-CL</vt:lpstr>
      <vt:lpstr>DetRetri2026071</vt:lpstr>
      <vt:lpstr>DetValiRetri2026071</vt:lpstr>
      <vt:lpstr>Valida -Remunera</vt:lpstr>
      <vt:lpstr>Valida - Anticipos</vt:lpstr>
      <vt:lpstr>Valida - Control Recaudo</vt:lpstr>
      <vt:lpstr>PROMOAMBIENTAL_1</vt:lpstr>
    </vt:vector>
  </TitlesOfParts>
  <Company>SERVIGENERALES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mcalderonc</dc:creator>
  <cp:lastModifiedBy>Kevin Gomez</cp:lastModifiedBy>
  <cp:lastPrinted>2026-06-17T17:29:10Z</cp:lastPrinted>
  <dcterms:created xsi:type="dcterms:W3CDTF">2003-01-13T14:55:35Z</dcterms:created>
  <dcterms:modified xsi:type="dcterms:W3CDTF">2026-07-17T14:54:55Z</dcterms:modified>
</cp:coreProperties>
</file>