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1 HCC _ PROCESOS FACTURACION Y RECAUDO _ 19 mayo 2026\Py Remuneracion consol Plantilla\REMUNERACION\REMUNERACION 2026071\Consolidado\Conciliaciones\"/>
    </mc:Choice>
  </mc:AlternateContent>
  <xr:revisionPtr revIDLastSave="0" documentId="13_ncr:1_{3CD4367D-F59F-4FD8-BFD6-6438A210FF56}" xr6:coauthVersionLast="47" xr6:coauthVersionMax="47" xr10:uidLastSave="{00000000-0000-0000-0000-000000000000}"/>
  <bookViews>
    <workbookView xWindow="-108" yWindow="-108" windowWidth="23256" windowHeight="12456" tabRatio="909" xr2:uid="{00000000-000D-0000-FFFF-FFFF00000000}"/>
  </bookViews>
  <sheets>
    <sheet name="RESUMEN MES" sheetId="25" r:id="rId1"/>
    <sheet name="RESUMEN" sheetId="23" state="hidden" r:id="rId2"/>
  </sheets>
  <externalReferences>
    <externalReference r:id="rId3"/>
  </externalReferences>
  <definedNames>
    <definedName name="Bancos">[1]Fx!$C$1:$C$23</definedName>
    <definedName name="Ref." localSheetId="0">#REF!</definedName>
    <definedName name="Ref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3" l="1"/>
  <c r="P8" i="23"/>
  <c r="M8" i="23"/>
  <c r="L8" i="23"/>
  <c r="K8" i="23"/>
  <c r="J8" i="23"/>
  <c r="I8" i="23"/>
  <c r="H8" i="23"/>
  <c r="G8" i="23"/>
  <c r="F8" i="23"/>
  <c r="E8" i="23"/>
  <c r="Q7" i="23"/>
  <c r="P7" i="23"/>
  <c r="M7" i="23"/>
  <c r="L7" i="23"/>
  <c r="K7" i="23"/>
  <c r="J7" i="23"/>
  <c r="I7" i="23"/>
  <c r="H7" i="23"/>
  <c r="G7" i="23"/>
  <c r="F7" i="23"/>
  <c r="E7" i="23"/>
  <c r="Q4" i="23"/>
  <c r="P4" i="23"/>
  <c r="M4" i="23"/>
  <c r="L4" i="23"/>
  <c r="K4" i="23"/>
  <c r="J4" i="23"/>
  <c r="I4" i="23"/>
  <c r="H4" i="23"/>
  <c r="G4" i="23"/>
  <c r="F4" i="23"/>
  <c r="E4" i="23"/>
  <c r="Q3" i="23"/>
  <c r="P3" i="23"/>
  <c r="M3" i="23"/>
  <c r="L3" i="23"/>
  <c r="K3" i="23"/>
  <c r="J3" i="23"/>
  <c r="I3" i="23"/>
  <c r="H3" i="23"/>
  <c r="G3" i="23"/>
  <c r="F3" i="23"/>
  <c r="E3" i="23"/>
  <c r="D8" i="23"/>
  <c r="D7" i="23"/>
  <c r="D4" i="23"/>
  <c r="D3" i="23"/>
  <c r="B11" i="23"/>
  <c r="B12" i="23" s="1"/>
  <c r="B13" i="23" s="1"/>
  <c r="B7" i="23"/>
  <c r="B8" i="23" s="1"/>
  <c r="B9" i="23" s="1"/>
  <c r="B3" i="23"/>
  <c r="B4" i="23" s="1"/>
  <c r="B5" i="23" s="1"/>
  <c r="D11" i="23" l="1"/>
  <c r="L5" i="23"/>
  <c r="L15" i="23" s="1"/>
  <c r="P11" i="23"/>
  <c r="I11" i="23"/>
  <c r="I9" i="23"/>
  <c r="I16" i="23" s="1"/>
  <c r="N8" i="23"/>
  <c r="D9" i="23"/>
  <c r="D16" i="23" s="1"/>
  <c r="J12" i="23"/>
  <c r="Q12" i="23"/>
  <c r="P9" i="23"/>
  <c r="P16" i="23" s="1"/>
  <c r="H11" i="23"/>
  <c r="Q11" i="23"/>
  <c r="Q9" i="23"/>
  <c r="Q16" i="23" s="1"/>
  <c r="N7" i="23"/>
  <c r="K12" i="23"/>
  <c r="K9" i="23"/>
  <c r="K16" i="23" s="1"/>
  <c r="O7" i="23"/>
  <c r="P12" i="23"/>
  <c r="F12" i="23"/>
  <c r="F9" i="23"/>
  <c r="F16" i="23" s="1"/>
  <c r="G11" i="23"/>
  <c r="F11" i="23"/>
  <c r="D5" i="23"/>
  <c r="D15" i="23" s="1"/>
  <c r="I12" i="23"/>
  <c r="G9" i="23"/>
  <c r="G16" i="23" s="1"/>
  <c r="G12" i="23"/>
  <c r="M9" i="23"/>
  <c r="M16" i="23" s="1"/>
  <c r="M12" i="23"/>
  <c r="L9" i="23"/>
  <c r="L16" i="23" s="1"/>
  <c r="L12" i="23"/>
  <c r="J9" i="23"/>
  <c r="J16" i="23" s="1"/>
  <c r="H9" i="23"/>
  <c r="H16" i="23" s="1"/>
  <c r="H12" i="23"/>
  <c r="E9" i="23"/>
  <c r="E16" i="23" s="1"/>
  <c r="O8" i="23"/>
  <c r="E12" i="23"/>
  <c r="M5" i="23"/>
  <c r="M15" i="23" s="1"/>
  <c r="K5" i="23"/>
  <c r="K15" i="23" s="1"/>
  <c r="J5" i="23"/>
  <c r="J15" i="23" s="1"/>
  <c r="N4" i="23"/>
  <c r="F5" i="23"/>
  <c r="F15" i="23" s="1"/>
  <c r="E5" i="23"/>
  <c r="E15" i="23" s="1"/>
  <c r="O4" i="23"/>
  <c r="D12" i="23"/>
  <c r="D13" i="23" s="1"/>
  <c r="G5" i="23"/>
  <c r="G15" i="23" s="1"/>
  <c r="K11" i="23"/>
  <c r="J11" i="23"/>
  <c r="H5" i="23"/>
  <c r="H15" i="23" s="1"/>
  <c r="P5" i="23"/>
  <c r="P15" i="23" s="1"/>
  <c r="L11" i="23"/>
  <c r="I5" i="23"/>
  <c r="I15" i="23" s="1"/>
  <c r="Q5" i="23"/>
  <c r="Q15" i="23" s="1"/>
  <c r="E11" i="23"/>
  <c r="M11" i="23"/>
  <c r="P13" i="23" l="1"/>
  <c r="I13" i="23"/>
  <c r="K13" i="23"/>
  <c r="S4" i="23"/>
  <c r="N9" i="23"/>
  <c r="N16" i="23" s="1"/>
  <c r="R4" i="23"/>
  <c r="O3" i="23"/>
  <c r="O11" i="23" s="1"/>
  <c r="N12" i="23"/>
  <c r="R7" i="23"/>
  <c r="S7" i="23"/>
  <c r="J13" i="23"/>
  <c r="S8" i="23"/>
  <c r="H13" i="23"/>
  <c r="N3" i="23"/>
  <c r="N11" i="23" s="1"/>
  <c r="M13" i="23"/>
  <c r="Q13" i="23"/>
  <c r="O9" i="23"/>
  <c r="O16" i="23" s="1"/>
  <c r="F13" i="23"/>
  <c r="G13" i="23"/>
  <c r="E13" i="23"/>
  <c r="L13" i="23"/>
  <c r="O12" i="23"/>
  <c r="R8" i="23"/>
  <c r="N13" i="23" l="1"/>
  <c r="O5" i="23"/>
  <c r="O15" i="23" s="1"/>
  <c r="S9" i="23"/>
  <c r="S16" i="23" s="1"/>
  <c r="P17" i="23"/>
  <c r="R9" i="23"/>
  <c r="R16" i="23" s="1"/>
  <c r="R3" i="23"/>
  <c r="R11" i="23" s="1"/>
  <c r="S3" i="23"/>
  <c r="S12" i="23"/>
  <c r="K17" i="23"/>
  <c r="I17" i="23"/>
  <c r="D17" i="23"/>
  <c r="J17" i="23"/>
  <c r="H17" i="23"/>
  <c r="N5" i="23"/>
  <c r="N15" i="23" s="1"/>
  <c r="O13" i="23"/>
  <c r="M17" i="23"/>
  <c r="Q17" i="23"/>
  <c r="G17" i="23"/>
  <c r="F17" i="23"/>
  <c r="E17" i="23"/>
  <c r="L17" i="23"/>
  <c r="R12" i="23"/>
  <c r="N17" i="23" l="1"/>
  <c r="S5" i="23"/>
  <c r="S15" i="23" s="1"/>
  <c r="S11" i="23"/>
  <c r="S13" i="23" s="1"/>
  <c r="S17" i="23" s="1"/>
  <c r="O17" i="23"/>
  <c r="R5" i="23"/>
  <c r="R15" i="23" s="1"/>
  <c r="R13" i="23"/>
  <c r="R17" i="23" s="1"/>
</calcChain>
</file>

<file path=xl/sharedStrings.xml><?xml version="1.0" encoding="utf-8"?>
<sst xmlns="http://schemas.openxmlformats.org/spreadsheetml/2006/main" count="49" uniqueCount="30">
  <si>
    <t>CIU LIMP</t>
  </si>
  <si>
    <t>NOMBRE BANCO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</si>
  <si>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</si>
  <si>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</si>
  <si>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</si>
  <si>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</si>
  <si>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</si>
  <si>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</si>
  <si>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</si>
  <si>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</si>
  <si>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</si>
  <si>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</si>
  <si>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</si>
  <si>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</si>
  <si>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</si>
  <si>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</si>
  <si>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</si>
  <si>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</si>
  <si>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Ciudad Limpia - Prestador</t>
  </si>
  <si>
    <t>EAAB - Prestador</t>
  </si>
  <si>
    <t>EAAB</t>
  </si>
  <si>
    <t>TOTAL</t>
  </si>
  <si>
    <t>ASE</t>
  </si>
  <si>
    <t>VALOR 1° Q</t>
  </si>
  <si>
    <t>NUMERO REG. 1°Q</t>
  </si>
  <si>
    <t>VALOR 2° Q</t>
  </si>
  <si>
    <t>NUMERO REG. 2°Q</t>
  </si>
  <si>
    <t>X</t>
  </si>
  <si>
    <t>VALOR TOTAL MES</t>
  </si>
  <si>
    <t>NUMERO REGISTROS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</si>
</sst>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9" formatCode="_-* #,##0_-;\-* #,##0_-;_-* &quot;-&quot;_-;_-@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06">
    <xf numFmtId="0" fontId="0" fillId="0" borderId="0"/>
    <xf numFmtId="165" fontId="15" fillId="0" borderId="0" applyFont="0" applyFill="0" applyBorder="0" applyAlignment="0" applyProtection="0"/>
    <xf numFmtId="0" fontId="15" fillId="0" borderId="0"/>
    <xf numFmtId="0" fontId="19" fillId="0" borderId="0" applyNumberFormat="0" applyFill="0" applyBorder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7" applyNumberFormat="0" applyAlignment="0" applyProtection="0"/>
    <xf numFmtId="0" fontId="27" fillId="6" borderId="8" applyNumberFormat="0" applyAlignment="0" applyProtection="0"/>
    <xf numFmtId="0" fontId="28" fillId="6" borderId="7" applyNumberFormat="0" applyAlignment="0" applyProtection="0"/>
    <xf numFmtId="0" fontId="29" fillId="0" borderId="9" applyNumberFormat="0" applyFill="0" applyAlignment="0" applyProtection="0"/>
    <xf numFmtId="0" fontId="30" fillId="7" borderId="10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4" fillId="32" borderId="0" applyNumberFormat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8" borderId="11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8" borderId="11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3" fillId="19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165" fontId="18" fillId="0" borderId="0" applyFont="0" applyFill="0" applyBorder="0" applyAlignment="0" applyProtection="0"/>
    <xf numFmtId="0" fontId="13" fillId="31" borderId="0" applyNumberFormat="0" applyBorder="0" applyAlignment="0" applyProtection="0"/>
    <xf numFmtId="164" fontId="18" fillId="0" borderId="0" applyFont="0" applyFill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11" borderId="0" applyNumberFormat="0" applyBorder="0" applyAlignment="0" applyProtection="0"/>
    <xf numFmtId="0" fontId="13" fillId="30" borderId="0" applyNumberFormat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2" fillId="19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2" fillId="31" borderId="0" applyNumberFormat="0" applyBorder="0" applyAlignment="0" applyProtection="0"/>
    <xf numFmtId="164" fontId="18" fillId="0" borderId="0" applyFont="0" applyFill="0" applyBorder="0" applyAlignment="0" applyProtection="0"/>
    <xf numFmtId="0" fontId="12" fillId="27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0" borderId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11" borderId="0" applyNumberFormat="0" applyBorder="0" applyAlignment="0" applyProtection="0"/>
    <xf numFmtId="0" fontId="12" fillId="30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0" fontId="12" fillId="23" borderId="0" applyNumberFormat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2" fillId="31" borderId="0" applyNumberFormat="0" applyBorder="0" applyAlignment="0" applyProtection="0"/>
    <xf numFmtId="0" fontId="12" fillId="27" borderId="0" applyNumberFormat="0" applyBorder="0" applyAlignment="0" applyProtection="0"/>
    <xf numFmtId="0" fontId="12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11" borderId="0" applyNumberFormat="0" applyBorder="0" applyAlignment="0" applyProtection="0"/>
    <xf numFmtId="0" fontId="12" fillId="30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164" fontId="18" fillId="0" borderId="0" applyFont="0" applyFill="0" applyBorder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5" fontId="18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165" fontId="18" fillId="0" borderId="0" applyFont="0" applyFill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30" borderId="0" applyNumberFormat="0" applyBorder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23" borderId="0" applyNumberFormat="0" applyBorder="0" applyAlignment="0" applyProtection="0"/>
    <xf numFmtId="0" fontId="11" fillId="15" borderId="0" applyNumberFormat="0" applyBorder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4" fontId="18" fillId="0" borderId="0" applyFont="0" applyFill="0" applyBorder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43" fontId="35" fillId="0" borderId="0" applyFont="0" applyFill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5" fontId="3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43" fontId="35" fillId="0" borderId="0" applyFont="0" applyFill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27" borderId="0" applyNumberFormat="0" applyBorder="0" applyAlignment="0" applyProtection="0"/>
    <xf numFmtId="0" fontId="9" fillId="23" borderId="0" applyNumberFormat="0" applyBorder="0" applyAlignment="0" applyProtection="0"/>
    <xf numFmtId="0" fontId="9" fillId="19" borderId="0" applyNumberFormat="0" applyBorder="0" applyAlignment="0" applyProtection="0"/>
    <xf numFmtId="0" fontId="9" fillId="15" borderId="0" applyNumberFormat="0" applyBorder="0" applyAlignment="0" applyProtection="0"/>
    <xf numFmtId="0" fontId="9" fillId="11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9" fillId="30" borderId="0" applyNumberFormat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26" borderId="0" applyNumberFormat="0" applyBorder="0" applyAlignment="0" applyProtection="0"/>
    <xf numFmtId="0" fontId="9" fillId="22" borderId="0" applyNumberFormat="0" applyBorder="0" applyAlignment="0" applyProtection="0"/>
    <xf numFmtId="0" fontId="9" fillId="1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5" fontId="3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6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7" fillId="23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6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" fillId="31" borderId="0" applyNumberFormat="0" applyBorder="0" applyAlignment="0" applyProtection="0"/>
    <xf numFmtId="0" fontId="7" fillId="27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11" borderId="0" applyNumberFormat="0" applyBorder="0" applyAlignment="0" applyProtection="0"/>
    <xf numFmtId="0" fontId="7" fillId="30" borderId="0" applyNumberFormat="0" applyBorder="0" applyAlignment="0" applyProtection="0"/>
    <xf numFmtId="0" fontId="7" fillId="26" borderId="0" applyNumberFormat="0" applyBorder="0" applyAlignment="0" applyProtection="0"/>
    <xf numFmtId="0" fontId="7" fillId="22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6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5" fontId="3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6" fillId="31" borderId="0" applyNumberFormat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27" borderId="0" applyNumberFormat="0" applyBorder="0" applyAlignment="0" applyProtection="0"/>
    <xf numFmtId="0" fontId="6" fillId="2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30" borderId="0" applyNumberFormat="0" applyBorder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26" borderId="0" applyNumberFormat="0" applyBorder="0" applyAlignment="0" applyProtection="0"/>
    <xf numFmtId="0" fontId="6" fillId="22" borderId="0" applyNumberFormat="0" applyBorder="0" applyAlignment="0" applyProtection="0"/>
    <xf numFmtId="0" fontId="6" fillId="18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165" fontId="3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6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15" fillId="0" borderId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4" fillId="31" borderId="0" applyNumberFormat="0" applyBorder="0" applyAlignment="0" applyProtection="0"/>
    <xf numFmtId="164" fontId="37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27" borderId="0" applyNumberFormat="0" applyBorder="0" applyAlignment="0" applyProtection="0"/>
    <xf numFmtId="0" fontId="4" fillId="2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5" borderId="0" applyNumberFormat="0" applyBorder="0" applyAlignment="0" applyProtection="0"/>
    <xf numFmtId="0" fontId="4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18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23" borderId="0" applyNumberFormat="0" applyBorder="0" applyAlignment="0" applyProtection="0"/>
    <xf numFmtId="165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31" borderId="0" applyNumberFormat="0" applyBorder="0" applyAlignment="0" applyProtection="0"/>
    <xf numFmtId="0" fontId="4" fillId="27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11" borderId="0" applyNumberFormat="0" applyBorder="0" applyAlignment="0" applyProtection="0"/>
    <xf numFmtId="0" fontId="4" fillId="30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18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165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1" applyNumberFormat="0" applyFont="0" applyAlignment="0" applyProtection="0"/>
    <xf numFmtId="43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167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5" fontId="15" fillId="0" borderId="0"/>
    <xf numFmtId="165" fontId="43" fillId="0" borderId="0"/>
  </cellStyleXfs>
  <cellXfs count="57">
    <xf numFmtId="0" fontId="0" fillId="0" borderId="0" xfId="0"/>
    <xf numFmtId="0" fontId="16" fillId="0" borderId="14" xfId="0" applyFont="1" applyBorder="1" applyAlignment="1">
      <alignment horizontal="center" vertical="center" wrapText="1"/>
    </xf>
    <xf numFmtId="165" fontId="41" fillId="0" borderId="0" xfId="0" applyNumberFormat="1" applyFont="1"/>
    <xf numFmtId="169" fontId="41" fillId="0" borderId="0" xfId="0" applyNumberFormat="1" applyFont="1"/>
    <xf numFmtId="165" fontId="0" fillId="0" borderId="0" xfId="0" applyNumberFormat="1"/>
    <xf numFmtId="0" fontId="41" fillId="0" borderId="0" xfId="0" applyFont="1"/>
    <xf numFmtId="49" fontId="42" fillId="0" borderId="0" xfId="0" applyNumberFormat="1" applyFont="1"/>
    <xf numFmtId="169" fontId="42" fillId="0" borderId="0" xfId="0" applyNumberFormat="1" applyFont="1"/>
    <xf numFmtId="0" fontId="16" fillId="0" borderId="2" xfId="0" applyFont="1" applyBorder="1" applyAlignment="1">
      <alignment horizontal="center" vertical="center" wrapText="1"/>
    </xf>
    <xf numFmtId="0" fontId="16" fillId="34" borderId="18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1" fontId="0" fillId="0" borderId="1" xfId="2603" applyFont="1" applyBorder="1"/>
    <xf numFmtId="0" fontId="16" fillId="35" borderId="15" xfId="0" applyFont="1" applyFill="1" applyBorder="1" applyAlignment="1">
      <alignment horizontal="center" vertical="center" wrapText="1"/>
    </xf>
    <xf numFmtId="0" fontId="16" fillId="35" borderId="19" xfId="0" applyFont="1" applyFill="1" applyBorder="1" applyAlignment="1">
      <alignment horizontal="center" vertical="center" wrapText="1"/>
    </xf>
    <xf numFmtId="0" fontId="0" fillId="33" borderId="1" xfId="0" applyFill="1" applyBorder="1"/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49" fontId="17" fillId="0" borderId="16" xfId="0" applyNumberFormat="1" applyFont="1" applyBorder="1"/>
    <xf numFmtId="169" fontId="41" fillId="0" borderId="16" xfId="0" applyNumberFormat="1" applyFont="1" applyBorder="1"/>
    <xf numFmtId="49" fontId="16" fillId="0" borderId="30" xfId="0" applyNumberFormat="1" applyFont="1" applyBorder="1"/>
    <xf numFmtId="0" fontId="16" fillId="0" borderId="27" xfId="0" applyFont="1" applyBorder="1"/>
    <xf numFmtId="169" fontId="16" fillId="0" borderId="30" xfId="0" applyNumberFormat="1" applyFont="1" applyBorder="1"/>
    <xf numFmtId="169" fontId="16" fillId="0" borderId="29" xfId="0" applyNumberFormat="1" applyFont="1" applyBorder="1"/>
    <xf numFmtId="0" fontId="41" fillId="0" borderId="20" xfId="0" applyFont="1" applyBorder="1"/>
    <xf numFmtId="49" fontId="41" fillId="0" borderId="13" xfId="0" applyNumberFormat="1" applyFont="1" applyBorder="1"/>
    <xf numFmtId="169" fontId="41" fillId="0" borderId="13" xfId="0" applyNumberFormat="1" applyFont="1" applyBorder="1"/>
    <xf numFmtId="169" fontId="41" fillId="0" borderId="21" xfId="0" applyNumberFormat="1" applyFont="1" applyBorder="1"/>
    <xf numFmtId="0" fontId="41" fillId="0" borderId="31" xfId="0" applyFont="1" applyBorder="1"/>
    <xf numFmtId="169" fontId="41" fillId="0" borderId="32" xfId="0" applyNumberFormat="1" applyFont="1" applyBorder="1"/>
    <xf numFmtId="165" fontId="43" fillId="0" borderId="0" xfId="2605"/>
    <xf numFmtId="41" fontId="0" fillId="0" borderId="0" xfId="2603" applyFont="1"/>
    <xf numFmtId="165" fontId="40" fillId="0" borderId="0" xfId="2605" applyFont="1" applyAlignment="1">
      <alignment horizontal="center"/>
    </xf>
    <xf numFmtId="165" fontId="40" fillId="36" borderId="27" xfId="2605" applyFont="1" applyFill="1" applyBorder="1" applyAlignment="1">
      <alignment horizontal="center"/>
    </xf>
    <xf numFmtId="41" fontId="40" fillId="36" borderId="33" xfId="2603" applyFont="1" applyFill="1" applyBorder="1" applyAlignment="1">
      <alignment horizontal="center"/>
    </xf>
    <xf numFmtId="41" fontId="40" fillId="36" borderId="30" xfId="2603" applyFont="1" applyFill="1" applyBorder="1" applyAlignment="1">
      <alignment horizontal="center"/>
    </xf>
    <xf numFmtId="41" fontId="40" fillId="36" borderId="29" xfId="2603" applyFont="1" applyFill="1" applyBorder="1" applyAlignment="1">
      <alignment horizontal="center"/>
    </xf>
    <xf numFmtId="41" fontId="40" fillId="0" borderId="0" xfId="2603" applyFont="1" applyAlignment="1">
      <alignment horizontal="center"/>
    </xf>
    <xf numFmtId="41" fontId="0" fillId="0" borderId="34" xfId="2603" applyFont="1" applyBorder="1"/>
    <xf numFmtId="41" fontId="0" fillId="0" borderId="35" xfId="2603" applyFont="1" applyBorder="1"/>
    <xf numFmtId="41" fontId="0" fillId="0" borderId="36" xfId="2603" applyFont="1" applyBorder="1"/>
    <xf numFmtId="41" fontId="0" fillId="0" borderId="37" xfId="2603" applyFont="1" applyBorder="1"/>
    <xf numFmtId="41" fontId="0" fillId="0" borderId="38" xfId="2603" applyFont="1" applyBorder="1"/>
    <xf numFmtId="41" fontId="0" fillId="0" borderId="22" xfId="2603" applyFont="1" applyBorder="1"/>
    <xf numFmtId="41" fontId="0" fillId="0" borderId="23" xfId="2603" applyFont="1" applyBorder="1"/>
    <xf numFmtId="41" fontId="0" fillId="0" borderId="39" xfId="2603" applyFont="1" applyBorder="1" applyAlignment="1">
      <alignment horizontal="right"/>
    </xf>
    <xf numFmtId="41" fontId="0" fillId="0" borderId="24" xfId="2603" applyFont="1" applyBorder="1"/>
    <xf numFmtId="41" fontId="0" fillId="0" borderId="25" xfId="2603" applyFont="1" applyBorder="1"/>
    <xf numFmtId="41" fontId="0" fillId="0" borderId="26" xfId="2603" applyFont="1" applyBorder="1"/>
    <xf numFmtId="41" fontId="40" fillId="36" borderId="28" xfId="2603" applyFont="1" applyFill="1" applyBorder="1"/>
    <xf numFmtId="165" fontId="40" fillId="0" borderId="0" xfId="2605" applyFont="1"/>
    <xf numFmtId="41" fontId="40" fillId="37" borderId="27" xfId="2603" applyFont="1" applyFill="1" applyBorder="1" applyAlignment="1">
      <alignment horizontal="center"/>
    </xf>
    <xf numFmtId="41" fontId="40" fillId="37" borderId="29" xfId="2603" applyFont="1" applyFill="1" applyBorder="1" applyAlignment="1">
      <alignment horizontal="center"/>
    </xf>
    <xf numFmtId="165" fontId="40" fillId="33" borderId="0" xfId="2605" applyFont="1" applyFill="1"/>
    <xf numFmtId="41" fontId="0" fillId="0" borderId="31" xfId="2603" applyFont="1" applyBorder="1"/>
    <xf numFmtId="41" fontId="0" fillId="0" borderId="32" xfId="2603" applyFont="1" applyBorder="1"/>
    <xf numFmtId="41" fontId="40" fillId="37" borderId="27" xfId="2603" applyFont="1" applyFill="1" applyBorder="1"/>
    <xf numFmtId="41" fontId="40" fillId="37" borderId="29" xfId="2603" applyFont="1" applyFill="1" applyBorder="1"/>
  </cellXfs>
  <cellStyles count="2606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 [0] 2" xfId="2603" xr:uid="{00000000-0005-0000-0000-000068010000}"/>
    <cellStyle name="Millares 10" xfId="286" xr:uid="{00000000-0005-0000-0000-000069010000}"/>
    <cellStyle name="Millares 10 10" xfId="1704" xr:uid="{00000000-0005-0000-0000-00006A010000}"/>
    <cellStyle name="Millares 10 11" xfId="1857" xr:uid="{00000000-0005-0000-0000-00006B010000}"/>
    <cellStyle name="Millares 10 12" xfId="2004" xr:uid="{00000000-0005-0000-0000-00006C010000}"/>
    <cellStyle name="Millares 10 13" xfId="2149" xr:uid="{00000000-0005-0000-0000-00006D010000}"/>
    <cellStyle name="Millares 10 14" xfId="2298" xr:uid="{00000000-0005-0000-0000-00006E010000}"/>
    <cellStyle name="Millares 10 2" xfId="348" xr:uid="{00000000-0005-0000-0000-00006F010000}"/>
    <cellStyle name="Millares 10 3" xfId="517" xr:uid="{00000000-0005-0000-0000-000070010000}"/>
    <cellStyle name="Millares 10 4" xfId="670" xr:uid="{00000000-0005-0000-0000-000071010000}"/>
    <cellStyle name="Millares 10 5" xfId="820" xr:uid="{00000000-0005-0000-0000-000072010000}"/>
    <cellStyle name="Millares 10 6" xfId="995" xr:uid="{00000000-0005-0000-0000-000073010000}"/>
    <cellStyle name="Millares 10 7" xfId="1165" xr:uid="{00000000-0005-0000-0000-000074010000}"/>
    <cellStyle name="Millares 10 8" xfId="1338" xr:uid="{00000000-0005-0000-0000-000075010000}"/>
    <cellStyle name="Millares 10 9" xfId="1533" xr:uid="{00000000-0005-0000-0000-000076010000}"/>
    <cellStyle name="Millares 11" xfId="314" xr:uid="{00000000-0005-0000-0000-000077010000}"/>
    <cellStyle name="Millares 12" xfId="347" xr:uid="{00000000-0005-0000-0000-000078010000}"/>
    <cellStyle name="Millares 13" xfId="495" xr:uid="{00000000-0005-0000-0000-000079010000}"/>
    <cellStyle name="Millares 14" xfId="819" xr:uid="{00000000-0005-0000-0000-00007A010000}"/>
    <cellStyle name="Millares 15" xfId="669" xr:uid="{00000000-0005-0000-0000-00007B010000}"/>
    <cellStyle name="Millares 16" xfId="994" xr:uid="{00000000-0005-0000-0000-00007C010000}"/>
    <cellStyle name="Millares 17" xfId="1164" xr:uid="{00000000-0005-0000-0000-00007D010000}"/>
    <cellStyle name="Millares 18" xfId="1856" xr:uid="{00000000-0005-0000-0000-00007E010000}"/>
    <cellStyle name="Millares 19" xfId="1532" xr:uid="{00000000-0005-0000-0000-00007F010000}"/>
    <cellStyle name="Millares 2" xfId="91" xr:uid="{00000000-0005-0000-0000-000080010000}"/>
    <cellStyle name="Millares 2 10" xfId="1705" xr:uid="{00000000-0005-0000-0000-000081010000}"/>
    <cellStyle name="Millares 2 11" xfId="1858" xr:uid="{00000000-0005-0000-0000-000082010000}"/>
    <cellStyle name="Millares 2 12" xfId="2005" xr:uid="{00000000-0005-0000-0000-000083010000}"/>
    <cellStyle name="Millares 2 13" xfId="2150" xr:uid="{00000000-0005-0000-0000-000084010000}"/>
    <cellStyle name="Millares 2 14" xfId="2299" xr:uid="{00000000-0005-0000-0000-000085010000}"/>
    <cellStyle name="Millares 2 15" xfId="2598" xr:uid="{00000000-0005-0000-0000-000086010000}"/>
    <cellStyle name="Millares 2 2" xfId="349" xr:uid="{00000000-0005-0000-0000-000087010000}"/>
    <cellStyle name="Millares 2 3" xfId="518" xr:uid="{00000000-0005-0000-0000-000088010000}"/>
    <cellStyle name="Millares 2 4" xfId="671" xr:uid="{00000000-0005-0000-0000-000089010000}"/>
    <cellStyle name="Millares 2 5" xfId="821" xr:uid="{00000000-0005-0000-0000-00008A010000}"/>
    <cellStyle name="Millares 2 6" xfId="996" xr:uid="{00000000-0005-0000-0000-00008B010000}"/>
    <cellStyle name="Millares 2 7" xfId="1166" xr:uid="{00000000-0005-0000-0000-00008C010000}"/>
    <cellStyle name="Millares 2 8" xfId="1339" xr:uid="{00000000-0005-0000-0000-00008D010000}"/>
    <cellStyle name="Millares 2 9" xfId="1534" xr:uid="{00000000-0005-0000-0000-00008E010000}"/>
    <cellStyle name="Millares 20" xfId="2297" xr:uid="{00000000-0005-0000-0000-00008F010000}"/>
    <cellStyle name="Millares 21" xfId="2448" xr:uid="{00000000-0005-0000-0000-000090010000}"/>
    <cellStyle name="Millares 22" xfId="2599" xr:uid="{00000000-0005-0000-0000-000091010000}"/>
    <cellStyle name="Millares 22 2" xfId="2601" xr:uid="{00000000-0005-0000-0000-000092010000}"/>
    <cellStyle name="Millares 3" xfId="150" xr:uid="{00000000-0005-0000-0000-000093010000}"/>
    <cellStyle name="Millares 4" xfId="188" xr:uid="{00000000-0005-0000-0000-000094010000}"/>
    <cellStyle name="Millares 5" xfId="43" xr:uid="{00000000-0005-0000-0000-000095010000}"/>
    <cellStyle name="Millares 6" xfId="45" xr:uid="{00000000-0005-0000-0000-000096010000}"/>
    <cellStyle name="Millares 7" xfId="211" xr:uid="{00000000-0005-0000-0000-000097010000}"/>
    <cellStyle name="Millares 8" xfId="232" xr:uid="{00000000-0005-0000-0000-000098010000}"/>
    <cellStyle name="Millares 9" xfId="331" xr:uid="{00000000-0005-0000-0000-000099010000}"/>
    <cellStyle name="Moneda 2" xfId="48" xr:uid="{00000000-0005-0000-0000-00009A010000}"/>
    <cellStyle name="Moneda 3" xfId="2600" xr:uid="{00000000-0005-0000-0000-00009B010000}"/>
    <cellStyle name="Neutral" xfId="10" builtinId="28" customBuiltin="1"/>
    <cellStyle name="Normal" xfId="0" builtinId="0"/>
    <cellStyle name="Normal 10" xfId="61" xr:uid="{00000000-0005-0000-0000-00009E010000}"/>
    <cellStyle name="Normal 10 2" xfId="94" xr:uid="{00000000-0005-0000-0000-00009F010000}"/>
    <cellStyle name="Normal 10 2 10" xfId="1706" xr:uid="{00000000-0005-0000-0000-0000A0010000}"/>
    <cellStyle name="Normal 10 2 11" xfId="1861" xr:uid="{00000000-0005-0000-0000-0000A1010000}"/>
    <cellStyle name="Normal 10 2 12" xfId="2008" xr:uid="{00000000-0005-0000-0000-0000A2010000}"/>
    <cellStyle name="Normal 10 2 13" xfId="2151" xr:uid="{00000000-0005-0000-0000-0000A3010000}"/>
    <cellStyle name="Normal 10 2 14" xfId="2300" xr:uid="{00000000-0005-0000-0000-0000A4010000}"/>
    <cellStyle name="Normal 10 2 15" xfId="2449" xr:uid="{00000000-0005-0000-0000-0000A5010000}"/>
    <cellStyle name="Normal 10 2 2" xfId="350" xr:uid="{00000000-0005-0000-0000-0000A6010000}"/>
    <cellStyle name="Normal 10 2 3" xfId="522" xr:uid="{00000000-0005-0000-0000-0000A7010000}"/>
    <cellStyle name="Normal 10 2 4" xfId="672" xr:uid="{00000000-0005-0000-0000-0000A8010000}"/>
    <cellStyle name="Normal 10 2 5" xfId="822" xr:uid="{00000000-0005-0000-0000-0000A9010000}"/>
    <cellStyle name="Normal 10 2 6" xfId="999" xr:uid="{00000000-0005-0000-0000-0000AA010000}"/>
    <cellStyle name="Normal 10 2 7" xfId="1167" xr:uid="{00000000-0005-0000-0000-0000AB010000}"/>
    <cellStyle name="Normal 10 2 8" xfId="1342" xr:uid="{00000000-0005-0000-0000-0000AC010000}"/>
    <cellStyle name="Normal 10 2 9" xfId="1535" xr:uid="{00000000-0005-0000-0000-0000AD010000}"/>
    <cellStyle name="Normal 10 3" xfId="151" xr:uid="{00000000-0005-0000-0000-0000AE010000}"/>
    <cellStyle name="Normal 10 3 10" xfId="1707" xr:uid="{00000000-0005-0000-0000-0000AF010000}"/>
    <cellStyle name="Normal 10 3 11" xfId="1862" xr:uid="{00000000-0005-0000-0000-0000B0010000}"/>
    <cellStyle name="Normal 10 3 12" xfId="2009" xr:uid="{00000000-0005-0000-0000-0000B1010000}"/>
    <cellStyle name="Normal 10 3 13" xfId="2152" xr:uid="{00000000-0005-0000-0000-0000B2010000}"/>
    <cellStyle name="Normal 10 3 14" xfId="2301" xr:uid="{00000000-0005-0000-0000-0000B3010000}"/>
    <cellStyle name="Normal 10 3 15" xfId="2450" xr:uid="{00000000-0005-0000-0000-0000B4010000}"/>
    <cellStyle name="Normal 10 3 2" xfId="351" xr:uid="{00000000-0005-0000-0000-0000B5010000}"/>
    <cellStyle name="Normal 10 3 3" xfId="523" xr:uid="{00000000-0005-0000-0000-0000B6010000}"/>
    <cellStyle name="Normal 10 3 4" xfId="673" xr:uid="{00000000-0005-0000-0000-0000B7010000}"/>
    <cellStyle name="Normal 10 3 5" xfId="823" xr:uid="{00000000-0005-0000-0000-0000B8010000}"/>
    <cellStyle name="Normal 10 3 6" xfId="1000" xr:uid="{00000000-0005-0000-0000-0000B9010000}"/>
    <cellStyle name="Normal 10 3 7" xfId="1168" xr:uid="{00000000-0005-0000-0000-0000BA010000}"/>
    <cellStyle name="Normal 10 3 8" xfId="1343" xr:uid="{00000000-0005-0000-0000-0000BB010000}"/>
    <cellStyle name="Normal 10 3 9" xfId="1536" xr:uid="{00000000-0005-0000-0000-0000BC010000}"/>
    <cellStyle name="Normal 11" xfId="54" xr:uid="{00000000-0005-0000-0000-0000BD010000}"/>
    <cellStyle name="Normal 11 2" xfId="95" xr:uid="{00000000-0005-0000-0000-0000BE010000}"/>
    <cellStyle name="Normal 11 2 10" xfId="1708" xr:uid="{00000000-0005-0000-0000-0000BF010000}"/>
    <cellStyle name="Normal 11 2 11" xfId="1863" xr:uid="{00000000-0005-0000-0000-0000C0010000}"/>
    <cellStyle name="Normal 11 2 12" xfId="2010" xr:uid="{00000000-0005-0000-0000-0000C1010000}"/>
    <cellStyle name="Normal 11 2 13" xfId="2153" xr:uid="{00000000-0005-0000-0000-0000C2010000}"/>
    <cellStyle name="Normal 11 2 14" xfId="2302" xr:uid="{00000000-0005-0000-0000-0000C3010000}"/>
    <cellStyle name="Normal 11 2 15" xfId="2451" xr:uid="{00000000-0005-0000-0000-0000C4010000}"/>
    <cellStyle name="Normal 11 2 2" xfId="352" xr:uid="{00000000-0005-0000-0000-0000C5010000}"/>
    <cellStyle name="Normal 11 2 3" xfId="524" xr:uid="{00000000-0005-0000-0000-0000C6010000}"/>
    <cellStyle name="Normal 11 2 4" xfId="674" xr:uid="{00000000-0005-0000-0000-0000C7010000}"/>
    <cellStyle name="Normal 11 2 5" xfId="824" xr:uid="{00000000-0005-0000-0000-0000C8010000}"/>
    <cellStyle name="Normal 11 2 6" xfId="1001" xr:uid="{00000000-0005-0000-0000-0000C9010000}"/>
    <cellStyle name="Normal 11 2 7" xfId="1169" xr:uid="{00000000-0005-0000-0000-0000CA010000}"/>
    <cellStyle name="Normal 11 2 8" xfId="1344" xr:uid="{00000000-0005-0000-0000-0000CB010000}"/>
    <cellStyle name="Normal 11 2 9" xfId="1537" xr:uid="{00000000-0005-0000-0000-0000CC010000}"/>
    <cellStyle name="Normal 11 3" xfId="152" xr:uid="{00000000-0005-0000-0000-0000CD010000}"/>
    <cellStyle name="Normal 11 3 10" xfId="1709" xr:uid="{00000000-0005-0000-0000-0000CE010000}"/>
    <cellStyle name="Normal 11 3 11" xfId="1864" xr:uid="{00000000-0005-0000-0000-0000CF010000}"/>
    <cellStyle name="Normal 11 3 12" xfId="2011" xr:uid="{00000000-0005-0000-0000-0000D0010000}"/>
    <cellStyle name="Normal 11 3 13" xfId="2154" xr:uid="{00000000-0005-0000-0000-0000D1010000}"/>
    <cellStyle name="Normal 11 3 14" xfId="2303" xr:uid="{00000000-0005-0000-0000-0000D2010000}"/>
    <cellStyle name="Normal 11 3 15" xfId="2452" xr:uid="{00000000-0005-0000-0000-0000D3010000}"/>
    <cellStyle name="Normal 11 3 2" xfId="353" xr:uid="{00000000-0005-0000-0000-0000D4010000}"/>
    <cellStyle name="Normal 11 3 3" xfId="525" xr:uid="{00000000-0005-0000-0000-0000D5010000}"/>
    <cellStyle name="Normal 11 3 4" xfId="675" xr:uid="{00000000-0005-0000-0000-0000D6010000}"/>
    <cellStyle name="Normal 11 3 5" xfId="825" xr:uid="{00000000-0005-0000-0000-0000D7010000}"/>
    <cellStyle name="Normal 11 3 6" xfId="1002" xr:uid="{00000000-0005-0000-0000-0000D8010000}"/>
    <cellStyle name="Normal 11 3 7" xfId="1170" xr:uid="{00000000-0005-0000-0000-0000D9010000}"/>
    <cellStyle name="Normal 11 3 8" xfId="1345" xr:uid="{00000000-0005-0000-0000-0000DA010000}"/>
    <cellStyle name="Normal 11 3 9" xfId="1538" xr:uid="{00000000-0005-0000-0000-0000DB010000}"/>
    <cellStyle name="Normal 12" xfId="50" xr:uid="{00000000-0005-0000-0000-0000DC010000}"/>
    <cellStyle name="Normal 12 2" xfId="354" xr:uid="{00000000-0005-0000-0000-0000DD010000}"/>
    <cellStyle name="Normal 12 2 10" xfId="1865" xr:uid="{00000000-0005-0000-0000-0000DE010000}"/>
    <cellStyle name="Normal 12 2 11" xfId="2012" xr:uid="{00000000-0005-0000-0000-0000DF010000}"/>
    <cellStyle name="Normal 12 2 12" xfId="2155" xr:uid="{00000000-0005-0000-0000-0000E0010000}"/>
    <cellStyle name="Normal 12 2 13" xfId="2304" xr:uid="{00000000-0005-0000-0000-0000E1010000}"/>
    <cellStyle name="Normal 12 2 14" xfId="2453" xr:uid="{00000000-0005-0000-0000-0000E2010000}"/>
    <cellStyle name="Normal 12 2 2" xfId="526" xr:uid="{00000000-0005-0000-0000-0000E3010000}"/>
    <cellStyle name="Normal 12 2 3" xfId="676" xr:uid="{00000000-0005-0000-0000-0000E4010000}"/>
    <cellStyle name="Normal 12 2 4" xfId="826" xr:uid="{00000000-0005-0000-0000-0000E5010000}"/>
    <cellStyle name="Normal 12 2 5" xfId="1003" xr:uid="{00000000-0005-0000-0000-0000E6010000}"/>
    <cellStyle name="Normal 12 2 6" xfId="1171" xr:uid="{00000000-0005-0000-0000-0000E7010000}"/>
    <cellStyle name="Normal 12 2 7" xfId="1346" xr:uid="{00000000-0005-0000-0000-0000E8010000}"/>
    <cellStyle name="Normal 12 2 8" xfId="1539" xr:uid="{00000000-0005-0000-0000-0000E9010000}"/>
    <cellStyle name="Normal 12 2 9" xfId="1710" xr:uid="{00000000-0005-0000-0000-0000EA010000}"/>
    <cellStyle name="Normal 12 3" xfId="355" xr:uid="{00000000-0005-0000-0000-0000EB010000}"/>
    <cellStyle name="Normal 12 3 10" xfId="1866" xr:uid="{00000000-0005-0000-0000-0000EC010000}"/>
    <cellStyle name="Normal 12 3 11" xfId="2013" xr:uid="{00000000-0005-0000-0000-0000ED010000}"/>
    <cellStyle name="Normal 12 3 12" xfId="2156" xr:uid="{00000000-0005-0000-0000-0000EE010000}"/>
    <cellStyle name="Normal 12 3 13" xfId="2305" xr:uid="{00000000-0005-0000-0000-0000EF010000}"/>
    <cellStyle name="Normal 12 3 14" xfId="2454" xr:uid="{00000000-0005-0000-0000-0000F0010000}"/>
    <cellStyle name="Normal 12 3 2" xfId="527" xr:uid="{00000000-0005-0000-0000-0000F1010000}"/>
    <cellStyle name="Normal 12 3 3" xfId="677" xr:uid="{00000000-0005-0000-0000-0000F2010000}"/>
    <cellStyle name="Normal 12 3 4" xfId="827" xr:uid="{00000000-0005-0000-0000-0000F3010000}"/>
    <cellStyle name="Normal 12 3 5" xfId="1004" xr:uid="{00000000-0005-0000-0000-0000F4010000}"/>
    <cellStyle name="Normal 12 3 6" xfId="1172" xr:uid="{00000000-0005-0000-0000-0000F5010000}"/>
    <cellStyle name="Normal 12 3 7" xfId="1347" xr:uid="{00000000-0005-0000-0000-0000F6010000}"/>
    <cellStyle name="Normal 12 3 8" xfId="1540" xr:uid="{00000000-0005-0000-0000-0000F7010000}"/>
    <cellStyle name="Normal 12 3 9" xfId="1711" xr:uid="{00000000-0005-0000-0000-0000F8010000}"/>
    <cellStyle name="Normal 13" xfId="57" xr:uid="{00000000-0005-0000-0000-0000F9010000}"/>
    <cellStyle name="Normal 13 2" xfId="356" xr:uid="{00000000-0005-0000-0000-0000FA010000}"/>
    <cellStyle name="Normal 13 2 10" xfId="1867" xr:uid="{00000000-0005-0000-0000-0000FB010000}"/>
    <cellStyle name="Normal 13 2 11" xfId="2014" xr:uid="{00000000-0005-0000-0000-0000FC010000}"/>
    <cellStyle name="Normal 13 2 12" xfId="2157" xr:uid="{00000000-0005-0000-0000-0000FD010000}"/>
    <cellStyle name="Normal 13 2 13" xfId="2306" xr:uid="{00000000-0005-0000-0000-0000FE010000}"/>
    <cellStyle name="Normal 13 2 14" xfId="2455" xr:uid="{00000000-0005-0000-0000-0000FF010000}"/>
    <cellStyle name="Normal 13 2 2" xfId="528" xr:uid="{00000000-0005-0000-0000-000000020000}"/>
    <cellStyle name="Normal 13 2 3" xfId="678" xr:uid="{00000000-0005-0000-0000-000001020000}"/>
    <cellStyle name="Normal 13 2 4" xfId="828" xr:uid="{00000000-0005-0000-0000-000002020000}"/>
    <cellStyle name="Normal 13 2 5" xfId="1005" xr:uid="{00000000-0005-0000-0000-000003020000}"/>
    <cellStyle name="Normal 13 2 6" xfId="1173" xr:uid="{00000000-0005-0000-0000-000004020000}"/>
    <cellStyle name="Normal 13 2 7" xfId="1348" xr:uid="{00000000-0005-0000-0000-000005020000}"/>
    <cellStyle name="Normal 13 2 8" xfId="1541" xr:uid="{00000000-0005-0000-0000-000006020000}"/>
    <cellStyle name="Normal 13 2 9" xfId="1712" xr:uid="{00000000-0005-0000-0000-000007020000}"/>
    <cellStyle name="Normal 13 3" xfId="357" xr:uid="{00000000-0005-0000-0000-000008020000}"/>
    <cellStyle name="Normal 13 3 10" xfId="1868" xr:uid="{00000000-0005-0000-0000-000009020000}"/>
    <cellStyle name="Normal 13 3 11" xfId="2015" xr:uid="{00000000-0005-0000-0000-00000A020000}"/>
    <cellStyle name="Normal 13 3 12" xfId="2158" xr:uid="{00000000-0005-0000-0000-00000B020000}"/>
    <cellStyle name="Normal 13 3 13" xfId="2307" xr:uid="{00000000-0005-0000-0000-00000C020000}"/>
    <cellStyle name="Normal 13 3 14" xfId="2456" xr:uid="{00000000-0005-0000-0000-00000D020000}"/>
    <cellStyle name="Normal 13 3 2" xfId="529" xr:uid="{00000000-0005-0000-0000-00000E020000}"/>
    <cellStyle name="Normal 13 3 3" xfId="679" xr:uid="{00000000-0005-0000-0000-00000F020000}"/>
    <cellStyle name="Normal 13 3 4" xfId="829" xr:uid="{00000000-0005-0000-0000-000010020000}"/>
    <cellStyle name="Normal 13 3 5" xfId="1006" xr:uid="{00000000-0005-0000-0000-000011020000}"/>
    <cellStyle name="Normal 13 3 6" xfId="1174" xr:uid="{00000000-0005-0000-0000-000012020000}"/>
    <cellStyle name="Normal 13 3 7" xfId="1349" xr:uid="{00000000-0005-0000-0000-000013020000}"/>
    <cellStyle name="Normal 13 3 8" xfId="1542" xr:uid="{00000000-0005-0000-0000-000014020000}"/>
    <cellStyle name="Normal 13 3 9" xfId="1713" xr:uid="{00000000-0005-0000-0000-000015020000}"/>
    <cellStyle name="Normal 14" xfId="58" xr:uid="{00000000-0005-0000-0000-000016020000}"/>
    <cellStyle name="Normal 14 2" xfId="96" xr:uid="{00000000-0005-0000-0000-000017020000}"/>
    <cellStyle name="Normal 14 2 10" xfId="1714" xr:uid="{00000000-0005-0000-0000-000018020000}"/>
    <cellStyle name="Normal 14 2 11" xfId="1869" xr:uid="{00000000-0005-0000-0000-000019020000}"/>
    <cellStyle name="Normal 14 2 12" xfId="2016" xr:uid="{00000000-0005-0000-0000-00001A020000}"/>
    <cellStyle name="Normal 14 2 13" xfId="2159" xr:uid="{00000000-0005-0000-0000-00001B020000}"/>
    <cellStyle name="Normal 14 2 14" xfId="2308" xr:uid="{00000000-0005-0000-0000-00001C020000}"/>
    <cellStyle name="Normal 14 2 15" xfId="2457" xr:uid="{00000000-0005-0000-0000-00001D020000}"/>
    <cellStyle name="Normal 14 2 2" xfId="358" xr:uid="{00000000-0005-0000-0000-00001E020000}"/>
    <cellStyle name="Normal 14 2 3" xfId="530" xr:uid="{00000000-0005-0000-0000-00001F020000}"/>
    <cellStyle name="Normal 14 2 4" xfId="680" xr:uid="{00000000-0005-0000-0000-000020020000}"/>
    <cellStyle name="Normal 14 2 5" xfId="830" xr:uid="{00000000-0005-0000-0000-000021020000}"/>
    <cellStyle name="Normal 14 2 6" xfId="1007" xr:uid="{00000000-0005-0000-0000-000022020000}"/>
    <cellStyle name="Normal 14 2 7" xfId="1175" xr:uid="{00000000-0005-0000-0000-000023020000}"/>
    <cellStyle name="Normal 14 2 8" xfId="1350" xr:uid="{00000000-0005-0000-0000-000024020000}"/>
    <cellStyle name="Normal 14 2 9" xfId="1543" xr:uid="{00000000-0005-0000-0000-000025020000}"/>
    <cellStyle name="Normal 14 3" xfId="153" xr:uid="{00000000-0005-0000-0000-000026020000}"/>
    <cellStyle name="Normal 14 3 10" xfId="1715" xr:uid="{00000000-0005-0000-0000-000027020000}"/>
    <cellStyle name="Normal 14 3 11" xfId="1870" xr:uid="{00000000-0005-0000-0000-000028020000}"/>
    <cellStyle name="Normal 14 3 12" xfId="2017" xr:uid="{00000000-0005-0000-0000-000029020000}"/>
    <cellStyle name="Normal 14 3 13" xfId="2160" xr:uid="{00000000-0005-0000-0000-00002A020000}"/>
    <cellStyle name="Normal 14 3 14" xfId="2309" xr:uid="{00000000-0005-0000-0000-00002B020000}"/>
    <cellStyle name="Normal 14 3 15" xfId="2458" xr:uid="{00000000-0005-0000-0000-00002C020000}"/>
    <cellStyle name="Normal 14 3 2" xfId="359" xr:uid="{00000000-0005-0000-0000-00002D020000}"/>
    <cellStyle name="Normal 14 3 3" xfId="531" xr:uid="{00000000-0005-0000-0000-00002E020000}"/>
    <cellStyle name="Normal 14 3 4" xfId="681" xr:uid="{00000000-0005-0000-0000-00002F020000}"/>
    <cellStyle name="Normal 14 3 5" xfId="831" xr:uid="{00000000-0005-0000-0000-000030020000}"/>
    <cellStyle name="Normal 14 3 6" xfId="1008" xr:uid="{00000000-0005-0000-0000-000031020000}"/>
    <cellStyle name="Normal 14 3 7" xfId="1176" xr:uid="{00000000-0005-0000-0000-000032020000}"/>
    <cellStyle name="Normal 14 3 8" xfId="1351" xr:uid="{00000000-0005-0000-0000-000033020000}"/>
    <cellStyle name="Normal 14 3 9" xfId="1544" xr:uid="{00000000-0005-0000-0000-000034020000}"/>
    <cellStyle name="Normal 15" xfId="56" xr:uid="{00000000-0005-0000-0000-000035020000}"/>
    <cellStyle name="Normal 15 2" xfId="360" xr:uid="{00000000-0005-0000-0000-000036020000}"/>
    <cellStyle name="Normal 15 2 10" xfId="1871" xr:uid="{00000000-0005-0000-0000-000037020000}"/>
    <cellStyle name="Normal 15 2 11" xfId="2018" xr:uid="{00000000-0005-0000-0000-000038020000}"/>
    <cellStyle name="Normal 15 2 12" xfId="2161" xr:uid="{00000000-0005-0000-0000-000039020000}"/>
    <cellStyle name="Normal 15 2 13" xfId="2310" xr:uid="{00000000-0005-0000-0000-00003A020000}"/>
    <cellStyle name="Normal 15 2 14" xfId="2459" xr:uid="{00000000-0005-0000-0000-00003B020000}"/>
    <cellStyle name="Normal 15 2 2" xfId="532" xr:uid="{00000000-0005-0000-0000-00003C020000}"/>
    <cellStyle name="Normal 15 2 3" xfId="682" xr:uid="{00000000-0005-0000-0000-00003D020000}"/>
    <cellStyle name="Normal 15 2 4" xfId="832" xr:uid="{00000000-0005-0000-0000-00003E020000}"/>
    <cellStyle name="Normal 15 2 5" xfId="1009" xr:uid="{00000000-0005-0000-0000-00003F020000}"/>
    <cellStyle name="Normal 15 2 6" xfId="1177" xr:uid="{00000000-0005-0000-0000-000040020000}"/>
    <cellStyle name="Normal 15 2 7" xfId="1352" xr:uid="{00000000-0005-0000-0000-000041020000}"/>
    <cellStyle name="Normal 15 2 8" xfId="1545" xr:uid="{00000000-0005-0000-0000-000042020000}"/>
    <cellStyle name="Normal 15 2 9" xfId="1716" xr:uid="{00000000-0005-0000-0000-000043020000}"/>
    <cellStyle name="Normal 15 3" xfId="361" xr:uid="{00000000-0005-0000-0000-000044020000}"/>
    <cellStyle name="Normal 15 3 10" xfId="1872" xr:uid="{00000000-0005-0000-0000-000045020000}"/>
    <cellStyle name="Normal 15 3 11" xfId="2019" xr:uid="{00000000-0005-0000-0000-000046020000}"/>
    <cellStyle name="Normal 15 3 12" xfId="2162" xr:uid="{00000000-0005-0000-0000-000047020000}"/>
    <cellStyle name="Normal 15 3 13" xfId="2311" xr:uid="{00000000-0005-0000-0000-000048020000}"/>
    <cellStyle name="Normal 15 3 14" xfId="2460" xr:uid="{00000000-0005-0000-0000-000049020000}"/>
    <cellStyle name="Normal 15 3 2" xfId="533" xr:uid="{00000000-0005-0000-0000-00004A020000}"/>
    <cellStyle name="Normal 15 3 3" xfId="683" xr:uid="{00000000-0005-0000-0000-00004B020000}"/>
    <cellStyle name="Normal 15 3 4" xfId="833" xr:uid="{00000000-0005-0000-0000-00004C020000}"/>
    <cellStyle name="Normal 15 3 5" xfId="1010" xr:uid="{00000000-0005-0000-0000-00004D020000}"/>
    <cellStyle name="Normal 15 3 6" xfId="1178" xr:uid="{00000000-0005-0000-0000-00004E020000}"/>
    <cellStyle name="Normal 15 3 7" xfId="1353" xr:uid="{00000000-0005-0000-0000-00004F020000}"/>
    <cellStyle name="Normal 15 3 8" xfId="1546" xr:uid="{00000000-0005-0000-0000-000050020000}"/>
    <cellStyle name="Normal 15 3 9" xfId="1717" xr:uid="{00000000-0005-0000-0000-000051020000}"/>
    <cellStyle name="Normal 16" xfId="59" xr:uid="{00000000-0005-0000-0000-000052020000}"/>
    <cellStyle name="Normal 16 2" xfId="362" xr:uid="{00000000-0005-0000-0000-000053020000}"/>
    <cellStyle name="Normal 16 2 10" xfId="1873" xr:uid="{00000000-0005-0000-0000-000054020000}"/>
    <cellStyle name="Normal 16 2 11" xfId="2020" xr:uid="{00000000-0005-0000-0000-000055020000}"/>
    <cellStyle name="Normal 16 2 12" xfId="2163" xr:uid="{00000000-0005-0000-0000-000056020000}"/>
    <cellStyle name="Normal 16 2 13" xfId="2312" xr:uid="{00000000-0005-0000-0000-000057020000}"/>
    <cellStyle name="Normal 16 2 14" xfId="2461" xr:uid="{00000000-0005-0000-0000-000058020000}"/>
    <cellStyle name="Normal 16 2 2" xfId="534" xr:uid="{00000000-0005-0000-0000-000059020000}"/>
    <cellStyle name="Normal 16 2 3" xfId="684" xr:uid="{00000000-0005-0000-0000-00005A020000}"/>
    <cellStyle name="Normal 16 2 4" xfId="834" xr:uid="{00000000-0005-0000-0000-00005B020000}"/>
    <cellStyle name="Normal 16 2 5" xfId="1011" xr:uid="{00000000-0005-0000-0000-00005C020000}"/>
    <cellStyle name="Normal 16 2 6" xfId="1179" xr:uid="{00000000-0005-0000-0000-00005D020000}"/>
    <cellStyle name="Normal 16 2 7" xfId="1354" xr:uid="{00000000-0005-0000-0000-00005E020000}"/>
    <cellStyle name="Normal 16 2 8" xfId="1547" xr:uid="{00000000-0005-0000-0000-00005F020000}"/>
    <cellStyle name="Normal 16 2 9" xfId="1718" xr:uid="{00000000-0005-0000-0000-000060020000}"/>
    <cellStyle name="Normal 16 3" xfId="363" xr:uid="{00000000-0005-0000-0000-000061020000}"/>
    <cellStyle name="Normal 16 3 10" xfId="1874" xr:uid="{00000000-0005-0000-0000-000062020000}"/>
    <cellStyle name="Normal 16 3 11" xfId="2021" xr:uid="{00000000-0005-0000-0000-000063020000}"/>
    <cellStyle name="Normal 16 3 12" xfId="2164" xr:uid="{00000000-0005-0000-0000-000064020000}"/>
    <cellStyle name="Normal 16 3 13" xfId="2313" xr:uid="{00000000-0005-0000-0000-000065020000}"/>
    <cellStyle name="Normal 16 3 14" xfId="2462" xr:uid="{00000000-0005-0000-0000-000066020000}"/>
    <cellStyle name="Normal 16 3 2" xfId="535" xr:uid="{00000000-0005-0000-0000-000067020000}"/>
    <cellStyle name="Normal 16 3 3" xfId="685" xr:uid="{00000000-0005-0000-0000-000068020000}"/>
    <cellStyle name="Normal 16 3 4" xfId="835" xr:uid="{00000000-0005-0000-0000-000069020000}"/>
    <cellStyle name="Normal 16 3 5" xfId="1012" xr:uid="{00000000-0005-0000-0000-00006A020000}"/>
    <cellStyle name="Normal 16 3 6" xfId="1180" xr:uid="{00000000-0005-0000-0000-00006B020000}"/>
    <cellStyle name="Normal 16 3 7" xfId="1355" xr:uid="{00000000-0005-0000-0000-00006C020000}"/>
    <cellStyle name="Normal 16 3 8" xfId="1548" xr:uid="{00000000-0005-0000-0000-00006D020000}"/>
    <cellStyle name="Normal 16 3 9" xfId="1719" xr:uid="{00000000-0005-0000-0000-00006E020000}"/>
    <cellStyle name="Normal 17" xfId="2604" xr:uid="{00000000-0005-0000-0000-00006F020000}"/>
    <cellStyle name="Normal 17 2" xfId="364" xr:uid="{00000000-0005-0000-0000-000070020000}"/>
    <cellStyle name="Normal 17 2 10" xfId="1875" xr:uid="{00000000-0005-0000-0000-000071020000}"/>
    <cellStyle name="Normal 17 2 11" xfId="2022" xr:uid="{00000000-0005-0000-0000-000072020000}"/>
    <cellStyle name="Normal 17 2 12" xfId="2165" xr:uid="{00000000-0005-0000-0000-000073020000}"/>
    <cellStyle name="Normal 17 2 13" xfId="2314" xr:uid="{00000000-0005-0000-0000-000074020000}"/>
    <cellStyle name="Normal 17 2 14" xfId="2463" xr:uid="{00000000-0005-0000-0000-000075020000}"/>
    <cellStyle name="Normal 17 2 2" xfId="536" xr:uid="{00000000-0005-0000-0000-000076020000}"/>
    <cellStyle name="Normal 17 2 3" xfId="686" xr:uid="{00000000-0005-0000-0000-000077020000}"/>
    <cellStyle name="Normal 17 2 4" xfId="836" xr:uid="{00000000-0005-0000-0000-000078020000}"/>
    <cellStyle name="Normal 17 2 5" xfId="1013" xr:uid="{00000000-0005-0000-0000-000079020000}"/>
    <cellStyle name="Normal 17 2 6" xfId="1181" xr:uid="{00000000-0005-0000-0000-00007A020000}"/>
    <cellStyle name="Normal 17 2 7" xfId="1356" xr:uid="{00000000-0005-0000-0000-00007B020000}"/>
    <cellStyle name="Normal 17 2 8" xfId="1549" xr:uid="{00000000-0005-0000-0000-00007C020000}"/>
    <cellStyle name="Normal 17 2 9" xfId="1720" xr:uid="{00000000-0005-0000-0000-00007D020000}"/>
    <cellStyle name="Normal 17 3" xfId="365" xr:uid="{00000000-0005-0000-0000-00007E020000}"/>
    <cellStyle name="Normal 17 3 10" xfId="1876" xr:uid="{00000000-0005-0000-0000-00007F020000}"/>
    <cellStyle name="Normal 17 3 11" xfId="2023" xr:uid="{00000000-0005-0000-0000-000080020000}"/>
    <cellStyle name="Normal 17 3 12" xfId="2166" xr:uid="{00000000-0005-0000-0000-000081020000}"/>
    <cellStyle name="Normal 17 3 13" xfId="2315" xr:uid="{00000000-0005-0000-0000-000082020000}"/>
    <cellStyle name="Normal 17 3 14" xfId="2464" xr:uid="{00000000-0005-0000-0000-000083020000}"/>
    <cellStyle name="Normal 17 3 2" xfId="537" xr:uid="{00000000-0005-0000-0000-000084020000}"/>
    <cellStyle name="Normal 17 3 3" xfId="687" xr:uid="{00000000-0005-0000-0000-000085020000}"/>
    <cellStyle name="Normal 17 3 4" xfId="837" xr:uid="{00000000-0005-0000-0000-000086020000}"/>
    <cellStyle name="Normal 17 3 5" xfId="1014" xr:uid="{00000000-0005-0000-0000-000087020000}"/>
    <cellStyle name="Normal 17 3 6" xfId="1182" xr:uid="{00000000-0005-0000-0000-000088020000}"/>
    <cellStyle name="Normal 17 3 7" xfId="1357" xr:uid="{00000000-0005-0000-0000-000089020000}"/>
    <cellStyle name="Normal 17 3 8" xfId="1550" xr:uid="{00000000-0005-0000-0000-00008A020000}"/>
    <cellStyle name="Normal 17 3 9" xfId="1721" xr:uid="{00000000-0005-0000-0000-00008B020000}"/>
    <cellStyle name="Normal 18" xfId="123" xr:uid="{00000000-0005-0000-0000-00008C020000}"/>
    <cellStyle name="Normal 18 2" xfId="366" xr:uid="{00000000-0005-0000-0000-00008D020000}"/>
    <cellStyle name="Normal 18 2 10" xfId="1877" xr:uid="{00000000-0005-0000-0000-00008E020000}"/>
    <cellStyle name="Normal 18 2 11" xfId="2024" xr:uid="{00000000-0005-0000-0000-00008F020000}"/>
    <cellStyle name="Normal 18 2 12" xfId="2167" xr:uid="{00000000-0005-0000-0000-000090020000}"/>
    <cellStyle name="Normal 18 2 13" xfId="2316" xr:uid="{00000000-0005-0000-0000-000091020000}"/>
    <cellStyle name="Normal 18 2 14" xfId="2465" xr:uid="{00000000-0005-0000-0000-000092020000}"/>
    <cellStyle name="Normal 18 2 2" xfId="538" xr:uid="{00000000-0005-0000-0000-000093020000}"/>
    <cellStyle name="Normal 18 2 3" xfId="688" xr:uid="{00000000-0005-0000-0000-000094020000}"/>
    <cellStyle name="Normal 18 2 4" xfId="838" xr:uid="{00000000-0005-0000-0000-000095020000}"/>
    <cellStyle name="Normal 18 2 5" xfId="1015" xr:uid="{00000000-0005-0000-0000-000096020000}"/>
    <cellStyle name="Normal 18 2 6" xfId="1183" xr:uid="{00000000-0005-0000-0000-000097020000}"/>
    <cellStyle name="Normal 18 2 7" xfId="1358" xr:uid="{00000000-0005-0000-0000-000098020000}"/>
    <cellStyle name="Normal 18 2 8" xfId="1551" xr:uid="{00000000-0005-0000-0000-000099020000}"/>
    <cellStyle name="Normal 18 2 9" xfId="1722" xr:uid="{00000000-0005-0000-0000-00009A020000}"/>
    <cellStyle name="Normal 18 3" xfId="367" xr:uid="{00000000-0005-0000-0000-00009B020000}"/>
    <cellStyle name="Normal 18 3 10" xfId="1878" xr:uid="{00000000-0005-0000-0000-00009C020000}"/>
    <cellStyle name="Normal 18 3 11" xfId="2025" xr:uid="{00000000-0005-0000-0000-00009D020000}"/>
    <cellStyle name="Normal 18 3 12" xfId="2168" xr:uid="{00000000-0005-0000-0000-00009E020000}"/>
    <cellStyle name="Normal 18 3 13" xfId="2317" xr:uid="{00000000-0005-0000-0000-00009F020000}"/>
    <cellStyle name="Normal 18 3 14" xfId="2466" xr:uid="{00000000-0005-0000-0000-0000A0020000}"/>
    <cellStyle name="Normal 18 3 2" xfId="539" xr:uid="{00000000-0005-0000-0000-0000A1020000}"/>
    <cellStyle name="Normal 18 3 3" xfId="689" xr:uid="{00000000-0005-0000-0000-0000A2020000}"/>
    <cellStyle name="Normal 18 3 4" xfId="839" xr:uid="{00000000-0005-0000-0000-0000A3020000}"/>
    <cellStyle name="Normal 18 3 5" xfId="1016" xr:uid="{00000000-0005-0000-0000-0000A4020000}"/>
    <cellStyle name="Normal 18 3 6" xfId="1184" xr:uid="{00000000-0005-0000-0000-0000A5020000}"/>
    <cellStyle name="Normal 18 3 7" xfId="1359" xr:uid="{00000000-0005-0000-0000-0000A6020000}"/>
    <cellStyle name="Normal 18 3 8" xfId="1552" xr:uid="{00000000-0005-0000-0000-0000A7020000}"/>
    <cellStyle name="Normal 18 3 9" xfId="1723" xr:uid="{00000000-0005-0000-0000-0000A8020000}"/>
    <cellStyle name="Normal 19" xfId="125" xr:uid="{00000000-0005-0000-0000-0000A9020000}"/>
    <cellStyle name="Normal 19 2" xfId="369" xr:uid="{00000000-0005-0000-0000-0000AA020000}"/>
    <cellStyle name="Normal 19 2 10" xfId="1879" xr:uid="{00000000-0005-0000-0000-0000AB020000}"/>
    <cellStyle name="Normal 19 2 11" xfId="2026" xr:uid="{00000000-0005-0000-0000-0000AC020000}"/>
    <cellStyle name="Normal 19 2 12" xfId="2169" xr:uid="{00000000-0005-0000-0000-0000AD020000}"/>
    <cellStyle name="Normal 19 2 13" xfId="2318" xr:uid="{00000000-0005-0000-0000-0000AE020000}"/>
    <cellStyle name="Normal 19 2 14" xfId="2467" xr:uid="{00000000-0005-0000-0000-0000AF020000}"/>
    <cellStyle name="Normal 19 2 2" xfId="540" xr:uid="{00000000-0005-0000-0000-0000B0020000}"/>
    <cellStyle name="Normal 19 2 3" xfId="690" xr:uid="{00000000-0005-0000-0000-0000B1020000}"/>
    <cellStyle name="Normal 19 2 4" xfId="840" xr:uid="{00000000-0005-0000-0000-0000B2020000}"/>
    <cellStyle name="Normal 19 2 5" xfId="1017" xr:uid="{00000000-0005-0000-0000-0000B3020000}"/>
    <cellStyle name="Normal 19 2 6" xfId="1185" xr:uid="{00000000-0005-0000-0000-0000B4020000}"/>
    <cellStyle name="Normal 19 2 7" xfId="1360" xr:uid="{00000000-0005-0000-0000-0000B5020000}"/>
    <cellStyle name="Normal 19 2 8" xfId="1553" xr:uid="{00000000-0005-0000-0000-0000B6020000}"/>
    <cellStyle name="Normal 19 2 9" xfId="1724" xr:uid="{00000000-0005-0000-0000-0000B7020000}"/>
    <cellStyle name="Normal 19 3" xfId="370" xr:uid="{00000000-0005-0000-0000-0000B8020000}"/>
    <cellStyle name="Normal 19 3 10" xfId="1880" xr:uid="{00000000-0005-0000-0000-0000B9020000}"/>
    <cellStyle name="Normal 19 3 11" xfId="2027" xr:uid="{00000000-0005-0000-0000-0000BA020000}"/>
    <cellStyle name="Normal 19 3 12" xfId="2170" xr:uid="{00000000-0005-0000-0000-0000BB020000}"/>
    <cellStyle name="Normal 19 3 13" xfId="2319" xr:uid="{00000000-0005-0000-0000-0000BC020000}"/>
    <cellStyle name="Normal 19 3 14" xfId="2468" xr:uid="{00000000-0005-0000-0000-0000BD020000}"/>
    <cellStyle name="Normal 19 3 2" xfId="541" xr:uid="{00000000-0005-0000-0000-0000BE020000}"/>
    <cellStyle name="Normal 19 3 3" xfId="691" xr:uid="{00000000-0005-0000-0000-0000BF020000}"/>
    <cellStyle name="Normal 19 3 4" xfId="841" xr:uid="{00000000-0005-0000-0000-0000C0020000}"/>
    <cellStyle name="Normal 19 3 5" xfId="1018" xr:uid="{00000000-0005-0000-0000-0000C1020000}"/>
    <cellStyle name="Normal 19 3 6" xfId="1186" xr:uid="{00000000-0005-0000-0000-0000C2020000}"/>
    <cellStyle name="Normal 19 3 7" xfId="1361" xr:uid="{00000000-0005-0000-0000-0000C3020000}"/>
    <cellStyle name="Normal 19 3 8" xfId="1554" xr:uid="{00000000-0005-0000-0000-0000C4020000}"/>
    <cellStyle name="Normal 19 3 9" xfId="1725" xr:uid="{00000000-0005-0000-0000-0000C5020000}"/>
    <cellStyle name="Normal 19 4" xfId="368" xr:uid="{00000000-0005-0000-0000-0000C6020000}"/>
    <cellStyle name="Normal 2" xfId="2" xr:uid="{00000000-0005-0000-0000-0000C7020000}"/>
    <cellStyle name="Normal 2 2" xfId="371" xr:uid="{00000000-0005-0000-0000-0000C8020000}"/>
    <cellStyle name="Normal 2 3" xfId="2596" xr:uid="{00000000-0005-0000-0000-0000C9020000}"/>
    <cellStyle name="Normal 20" xfId="127" xr:uid="{00000000-0005-0000-0000-0000CA020000}"/>
    <cellStyle name="Normal 20 2" xfId="373" xr:uid="{00000000-0005-0000-0000-0000CB020000}"/>
    <cellStyle name="Normal 20 2 10" xfId="1883" xr:uid="{00000000-0005-0000-0000-0000CC020000}"/>
    <cellStyle name="Normal 20 2 11" xfId="2030" xr:uid="{00000000-0005-0000-0000-0000CD020000}"/>
    <cellStyle name="Normal 20 2 12" xfId="2171" xr:uid="{00000000-0005-0000-0000-0000CE020000}"/>
    <cellStyle name="Normal 20 2 13" xfId="2320" xr:uid="{00000000-0005-0000-0000-0000CF020000}"/>
    <cellStyle name="Normal 20 2 14" xfId="2469" xr:uid="{00000000-0005-0000-0000-0000D0020000}"/>
    <cellStyle name="Normal 20 2 2" xfId="544" xr:uid="{00000000-0005-0000-0000-0000D1020000}"/>
    <cellStyle name="Normal 20 2 3" xfId="692" xr:uid="{00000000-0005-0000-0000-0000D2020000}"/>
    <cellStyle name="Normal 20 2 4" xfId="842" xr:uid="{00000000-0005-0000-0000-0000D3020000}"/>
    <cellStyle name="Normal 20 2 5" xfId="1021" xr:uid="{00000000-0005-0000-0000-0000D4020000}"/>
    <cellStyle name="Normal 20 2 6" xfId="1187" xr:uid="{00000000-0005-0000-0000-0000D5020000}"/>
    <cellStyle name="Normal 20 2 7" xfId="1364" xr:uid="{00000000-0005-0000-0000-0000D6020000}"/>
    <cellStyle name="Normal 20 2 8" xfId="1555" xr:uid="{00000000-0005-0000-0000-0000D7020000}"/>
    <cellStyle name="Normal 20 2 9" xfId="1726" xr:uid="{00000000-0005-0000-0000-0000D8020000}"/>
    <cellStyle name="Normal 20 3" xfId="374" xr:uid="{00000000-0005-0000-0000-0000D9020000}"/>
    <cellStyle name="Normal 20 3 10" xfId="1884" xr:uid="{00000000-0005-0000-0000-0000DA020000}"/>
    <cellStyle name="Normal 20 3 11" xfId="2031" xr:uid="{00000000-0005-0000-0000-0000DB020000}"/>
    <cellStyle name="Normal 20 3 12" xfId="2172" xr:uid="{00000000-0005-0000-0000-0000DC020000}"/>
    <cellStyle name="Normal 20 3 13" xfId="2321" xr:uid="{00000000-0005-0000-0000-0000DD020000}"/>
    <cellStyle name="Normal 20 3 14" xfId="2470" xr:uid="{00000000-0005-0000-0000-0000DE020000}"/>
    <cellStyle name="Normal 20 3 2" xfId="545" xr:uid="{00000000-0005-0000-0000-0000DF020000}"/>
    <cellStyle name="Normal 20 3 3" xfId="693" xr:uid="{00000000-0005-0000-0000-0000E0020000}"/>
    <cellStyle name="Normal 20 3 4" xfId="843" xr:uid="{00000000-0005-0000-0000-0000E1020000}"/>
    <cellStyle name="Normal 20 3 5" xfId="1022" xr:uid="{00000000-0005-0000-0000-0000E2020000}"/>
    <cellStyle name="Normal 20 3 6" xfId="1188" xr:uid="{00000000-0005-0000-0000-0000E3020000}"/>
    <cellStyle name="Normal 20 3 7" xfId="1365" xr:uid="{00000000-0005-0000-0000-0000E4020000}"/>
    <cellStyle name="Normal 20 3 8" xfId="1556" xr:uid="{00000000-0005-0000-0000-0000E5020000}"/>
    <cellStyle name="Normal 20 3 9" xfId="1727" xr:uid="{00000000-0005-0000-0000-0000E6020000}"/>
    <cellStyle name="Normal 20 4" xfId="372" xr:uid="{00000000-0005-0000-0000-0000E7020000}"/>
    <cellStyle name="Normal 21" xfId="124" xr:uid="{00000000-0005-0000-0000-0000E8020000}"/>
    <cellStyle name="Normal 21 2" xfId="375" xr:uid="{00000000-0005-0000-0000-0000E9020000}"/>
    <cellStyle name="Normal 21 2 10" xfId="1885" xr:uid="{00000000-0005-0000-0000-0000EA020000}"/>
    <cellStyle name="Normal 21 2 11" xfId="2032" xr:uid="{00000000-0005-0000-0000-0000EB020000}"/>
    <cellStyle name="Normal 21 2 12" xfId="2173" xr:uid="{00000000-0005-0000-0000-0000EC020000}"/>
    <cellStyle name="Normal 21 2 13" xfId="2322" xr:uid="{00000000-0005-0000-0000-0000ED020000}"/>
    <cellStyle name="Normal 21 2 14" xfId="2471" xr:uid="{00000000-0005-0000-0000-0000EE020000}"/>
    <cellStyle name="Normal 21 2 2" xfId="546" xr:uid="{00000000-0005-0000-0000-0000EF020000}"/>
    <cellStyle name="Normal 21 2 3" xfId="694" xr:uid="{00000000-0005-0000-0000-0000F0020000}"/>
    <cellStyle name="Normal 21 2 4" xfId="844" xr:uid="{00000000-0005-0000-0000-0000F1020000}"/>
    <cellStyle name="Normal 21 2 5" xfId="1023" xr:uid="{00000000-0005-0000-0000-0000F2020000}"/>
    <cellStyle name="Normal 21 2 6" xfId="1189" xr:uid="{00000000-0005-0000-0000-0000F3020000}"/>
    <cellStyle name="Normal 21 2 7" xfId="1366" xr:uid="{00000000-0005-0000-0000-0000F4020000}"/>
    <cellStyle name="Normal 21 2 8" xfId="1557" xr:uid="{00000000-0005-0000-0000-0000F5020000}"/>
    <cellStyle name="Normal 21 2 9" xfId="1728" xr:uid="{00000000-0005-0000-0000-0000F6020000}"/>
    <cellStyle name="Normal 21 3" xfId="376" xr:uid="{00000000-0005-0000-0000-0000F7020000}"/>
    <cellStyle name="Normal 21 3 10" xfId="1886" xr:uid="{00000000-0005-0000-0000-0000F8020000}"/>
    <cellStyle name="Normal 21 3 11" xfId="2033" xr:uid="{00000000-0005-0000-0000-0000F9020000}"/>
    <cellStyle name="Normal 21 3 12" xfId="2174" xr:uid="{00000000-0005-0000-0000-0000FA020000}"/>
    <cellStyle name="Normal 21 3 13" xfId="2323" xr:uid="{00000000-0005-0000-0000-0000FB020000}"/>
    <cellStyle name="Normal 21 3 14" xfId="2472" xr:uid="{00000000-0005-0000-0000-0000FC020000}"/>
    <cellStyle name="Normal 21 3 2" xfId="547" xr:uid="{00000000-0005-0000-0000-0000FD020000}"/>
    <cellStyle name="Normal 21 3 3" xfId="695" xr:uid="{00000000-0005-0000-0000-0000FE020000}"/>
    <cellStyle name="Normal 21 3 4" xfId="845" xr:uid="{00000000-0005-0000-0000-0000FF020000}"/>
    <cellStyle name="Normal 21 3 5" xfId="1024" xr:uid="{00000000-0005-0000-0000-000000030000}"/>
    <cellStyle name="Normal 21 3 6" xfId="1190" xr:uid="{00000000-0005-0000-0000-000001030000}"/>
    <cellStyle name="Normal 21 3 7" xfId="1367" xr:uid="{00000000-0005-0000-0000-000002030000}"/>
    <cellStyle name="Normal 21 3 8" xfId="1558" xr:uid="{00000000-0005-0000-0000-000003030000}"/>
    <cellStyle name="Normal 21 3 9" xfId="1729" xr:uid="{00000000-0005-0000-0000-000004030000}"/>
    <cellStyle name="Normal 22" xfId="126" xr:uid="{00000000-0005-0000-0000-000005030000}"/>
    <cellStyle name="Normal 22 2" xfId="377" xr:uid="{00000000-0005-0000-0000-000006030000}"/>
    <cellStyle name="Normal 22 2 10" xfId="1887" xr:uid="{00000000-0005-0000-0000-000007030000}"/>
    <cellStyle name="Normal 22 2 11" xfId="2034" xr:uid="{00000000-0005-0000-0000-000008030000}"/>
    <cellStyle name="Normal 22 2 12" xfId="2175" xr:uid="{00000000-0005-0000-0000-000009030000}"/>
    <cellStyle name="Normal 22 2 13" xfId="2324" xr:uid="{00000000-0005-0000-0000-00000A030000}"/>
    <cellStyle name="Normal 22 2 14" xfId="2473" xr:uid="{00000000-0005-0000-0000-00000B030000}"/>
    <cellStyle name="Normal 22 2 2" xfId="548" xr:uid="{00000000-0005-0000-0000-00000C030000}"/>
    <cellStyle name="Normal 22 2 3" xfId="696" xr:uid="{00000000-0005-0000-0000-00000D030000}"/>
    <cellStyle name="Normal 22 2 4" xfId="846" xr:uid="{00000000-0005-0000-0000-00000E030000}"/>
    <cellStyle name="Normal 22 2 5" xfId="1025" xr:uid="{00000000-0005-0000-0000-00000F030000}"/>
    <cellStyle name="Normal 22 2 6" xfId="1191" xr:uid="{00000000-0005-0000-0000-000010030000}"/>
    <cellStyle name="Normal 22 2 7" xfId="1368" xr:uid="{00000000-0005-0000-0000-000011030000}"/>
    <cellStyle name="Normal 22 2 8" xfId="1559" xr:uid="{00000000-0005-0000-0000-000012030000}"/>
    <cellStyle name="Normal 22 2 9" xfId="1730" xr:uid="{00000000-0005-0000-0000-000013030000}"/>
    <cellStyle name="Normal 22 3" xfId="378" xr:uid="{00000000-0005-0000-0000-000014030000}"/>
    <cellStyle name="Normal 22 3 10" xfId="1888" xr:uid="{00000000-0005-0000-0000-000015030000}"/>
    <cellStyle name="Normal 22 3 11" xfId="2035" xr:uid="{00000000-0005-0000-0000-000016030000}"/>
    <cellStyle name="Normal 22 3 12" xfId="2176" xr:uid="{00000000-0005-0000-0000-000017030000}"/>
    <cellStyle name="Normal 22 3 13" xfId="2325" xr:uid="{00000000-0005-0000-0000-000018030000}"/>
    <cellStyle name="Normal 22 3 14" xfId="2474" xr:uid="{00000000-0005-0000-0000-000019030000}"/>
    <cellStyle name="Normal 22 3 2" xfId="549" xr:uid="{00000000-0005-0000-0000-00001A030000}"/>
    <cellStyle name="Normal 22 3 3" xfId="697" xr:uid="{00000000-0005-0000-0000-00001B030000}"/>
    <cellStyle name="Normal 22 3 4" xfId="847" xr:uid="{00000000-0005-0000-0000-00001C030000}"/>
    <cellStyle name="Normal 22 3 5" xfId="1026" xr:uid="{00000000-0005-0000-0000-00001D030000}"/>
    <cellStyle name="Normal 22 3 6" xfId="1192" xr:uid="{00000000-0005-0000-0000-00001E030000}"/>
    <cellStyle name="Normal 22 3 7" xfId="1369" xr:uid="{00000000-0005-0000-0000-00001F030000}"/>
    <cellStyle name="Normal 22 3 8" xfId="1560" xr:uid="{00000000-0005-0000-0000-000020030000}"/>
    <cellStyle name="Normal 22 3 9" xfId="1731" xr:uid="{00000000-0005-0000-0000-000021030000}"/>
    <cellStyle name="Normal 23" xfId="134" xr:uid="{00000000-0005-0000-0000-000022030000}"/>
    <cellStyle name="Normal 23 2" xfId="379" xr:uid="{00000000-0005-0000-0000-000023030000}"/>
    <cellStyle name="Normal 23 2 10" xfId="1889" xr:uid="{00000000-0005-0000-0000-000024030000}"/>
    <cellStyle name="Normal 23 2 11" xfId="2036" xr:uid="{00000000-0005-0000-0000-000025030000}"/>
    <cellStyle name="Normal 23 2 12" xfId="2177" xr:uid="{00000000-0005-0000-0000-000026030000}"/>
    <cellStyle name="Normal 23 2 13" xfId="2326" xr:uid="{00000000-0005-0000-0000-000027030000}"/>
    <cellStyle name="Normal 23 2 14" xfId="2475" xr:uid="{00000000-0005-0000-0000-000028030000}"/>
    <cellStyle name="Normal 23 2 2" xfId="550" xr:uid="{00000000-0005-0000-0000-000029030000}"/>
    <cellStyle name="Normal 23 2 3" xfId="698" xr:uid="{00000000-0005-0000-0000-00002A030000}"/>
    <cellStyle name="Normal 23 2 4" xfId="848" xr:uid="{00000000-0005-0000-0000-00002B030000}"/>
    <cellStyle name="Normal 23 2 5" xfId="1027" xr:uid="{00000000-0005-0000-0000-00002C030000}"/>
    <cellStyle name="Normal 23 2 6" xfId="1193" xr:uid="{00000000-0005-0000-0000-00002D030000}"/>
    <cellStyle name="Normal 23 2 7" xfId="1370" xr:uid="{00000000-0005-0000-0000-00002E030000}"/>
    <cellStyle name="Normal 23 2 8" xfId="1561" xr:uid="{00000000-0005-0000-0000-00002F030000}"/>
    <cellStyle name="Normal 23 2 9" xfId="1732" xr:uid="{00000000-0005-0000-0000-000030030000}"/>
    <cellStyle name="Normal 23 3" xfId="380" xr:uid="{00000000-0005-0000-0000-000031030000}"/>
    <cellStyle name="Normal 23 3 10" xfId="1890" xr:uid="{00000000-0005-0000-0000-000032030000}"/>
    <cellStyle name="Normal 23 3 11" xfId="2037" xr:uid="{00000000-0005-0000-0000-000033030000}"/>
    <cellStyle name="Normal 23 3 12" xfId="2178" xr:uid="{00000000-0005-0000-0000-000034030000}"/>
    <cellStyle name="Normal 23 3 13" xfId="2327" xr:uid="{00000000-0005-0000-0000-000035030000}"/>
    <cellStyle name="Normal 23 3 14" xfId="2476" xr:uid="{00000000-0005-0000-0000-000036030000}"/>
    <cellStyle name="Normal 23 3 2" xfId="551" xr:uid="{00000000-0005-0000-0000-000037030000}"/>
    <cellStyle name="Normal 23 3 3" xfId="699" xr:uid="{00000000-0005-0000-0000-000038030000}"/>
    <cellStyle name="Normal 23 3 4" xfId="849" xr:uid="{00000000-0005-0000-0000-000039030000}"/>
    <cellStyle name="Normal 23 3 5" xfId="1028" xr:uid="{00000000-0005-0000-0000-00003A030000}"/>
    <cellStyle name="Normal 23 3 6" xfId="1194" xr:uid="{00000000-0005-0000-0000-00003B030000}"/>
    <cellStyle name="Normal 23 3 7" xfId="1371" xr:uid="{00000000-0005-0000-0000-00003C030000}"/>
    <cellStyle name="Normal 23 3 8" xfId="1562" xr:uid="{00000000-0005-0000-0000-00003D030000}"/>
    <cellStyle name="Normal 23 3 9" xfId="1733" xr:uid="{00000000-0005-0000-0000-00003E030000}"/>
    <cellStyle name="Normal 24" xfId="2605" xr:uid="{00000000-0005-0000-0000-00003F030000}"/>
    <cellStyle name="Normal 25" xfId="381" xr:uid="{00000000-0005-0000-0000-000040030000}"/>
    <cellStyle name="Normal 26" xfId="552" xr:uid="{00000000-0005-0000-0000-000041030000}"/>
    <cellStyle name="Normal 27" xfId="131" xr:uid="{00000000-0005-0000-0000-000042030000}"/>
    <cellStyle name="Normal 27 2" xfId="382" xr:uid="{00000000-0005-0000-0000-000043030000}"/>
    <cellStyle name="Normal 27 3" xfId="553" xr:uid="{00000000-0005-0000-0000-000044030000}"/>
    <cellStyle name="Normal 27 4" xfId="700" xr:uid="{00000000-0005-0000-0000-000045030000}"/>
    <cellStyle name="Normal 28" xfId="132" xr:uid="{00000000-0005-0000-0000-000046030000}"/>
    <cellStyle name="Normal 28 2" xfId="383" xr:uid="{00000000-0005-0000-0000-000047030000}"/>
    <cellStyle name="Normal 28 3" xfId="554" xr:uid="{00000000-0005-0000-0000-000048030000}"/>
    <cellStyle name="Normal 28 4" xfId="701" xr:uid="{00000000-0005-0000-0000-000049030000}"/>
    <cellStyle name="Normal 28 5" xfId="850" xr:uid="{00000000-0005-0000-0000-00004A030000}"/>
    <cellStyle name="Normal 28 6" xfId="1029" xr:uid="{00000000-0005-0000-0000-00004B030000}"/>
    <cellStyle name="Normal 28 7" xfId="1195" xr:uid="{00000000-0005-0000-0000-00004C030000}"/>
    <cellStyle name="Normal 28 8" xfId="1372" xr:uid="{00000000-0005-0000-0000-00004D030000}"/>
    <cellStyle name="Normal 28 9" xfId="1563" xr:uid="{00000000-0005-0000-0000-00004E030000}"/>
    <cellStyle name="Normal 29" xfId="130" xr:uid="{00000000-0005-0000-0000-00004F030000}"/>
    <cellStyle name="Normal 29 2" xfId="384" xr:uid="{00000000-0005-0000-0000-000050030000}"/>
    <cellStyle name="Normal 29 3" xfId="555" xr:uid="{00000000-0005-0000-0000-000051030000}"/>
    <cellStyle name="Normal 29 4" xfId="702" xr:uid="{00000000-0005-0000-0000-000052030000}"/>
    <cellStyle name="Normal 29 5" xfId="851" xr:uid="{00000000-0005-0000-0000-000053030000}"/>
    <cellStyle name="Normal 3" xfId="192" xr:uid="{00000000-0005-0000-0000-000054030000}"/>
    <cellStyle name="Normal 3 2" xfId="385" xr:uid="{00000000-0005-0000-0000-000055030000}"/>
    <cellStyle name="Normal 3 2 10" xfId="1891" xr:uid="{00000000-0005-0000-0000-000056030000}"/>
    <cellStyle name="Normal 3 2 11" xfId="2038" xr:uid="{00000000-0005-0000-0000-000057030000}"/>
    <cellStyle name="Normal 3 2 12" xfId="2179" xr:uid="{00000000-0005-0000-0000-000058030000}"/>
    <cellStyle name="Normal 3 2 13" xfId="2328" xr:uid="{00000000-0005-0000-0000-000059030000}"/>
    <cellStyle name="Normal 3 2 14" xfId="2477" xr:uid="{00000000-0005-0000-0000-00005A030000}"/>
    <cellStyle name="Normal 3 2 2" xfId="557" xr:uid="{00000000-0005-0000-0000-00005B030000}"/>
    <cellStyle name="Normal 3 2 3" xfId="704" xr:uid="{00000000-0005-0000-0000-00005C030000}"/>
    <cellStyle name="Normal 3 2 4" xfId="852" xr:uid="{00000000-0005-0000-0000-00005D030000}"/>
    <cellStyle name="Normal 3 2 5" xfId="1030" xr:uid="{00000000-0005-0000-0000-00005E030000}"/>
    <cellStyle name="Normal 3 2 6" xfId="1196" xr:uid="{00000000-0005-0000-0000-00005F030000}"/>
    <cellStyle name="Normal 3 2 7" xfId="1373" xr:uid="{00000000-0005-0000-0000-000060030000}"/>
    <cellStyle name="Normal 3 2 8" xfId="1564" xr:uid="{00000000-0005-0000-0000-000061030000}"/>
    <cellStyle name="Normal 3 2 9" xfId="1734" xr:uid="{00000000-0005-0000-0000-000062030000}"/>
    <cellStyle name="Normal 3 3" xfId="386" xr:uid="{00000000-0005-0000-0000-000063030000}"/>
    <cellStyle name="Normal 3 3 10" xfId="1892" xr:uid="{00000000-0005-0000-0000-000064030000}"/>
    <cellStyle name="Normal 3 3 11" xfId="2039" xr:uid="{00000000-0005-0000-0000-000065030000}"/>
    <cellStyle name="Normal 3 3 12" xfId="2180" xr:uid="{00000000-0005-0000-0000-000066030000}"/>
    <cellStyle name="Normal 3 3 13" xfId="2329" xr:uid="{00000000-0005-0000-0000-000067030000}"/>
    <cellStyle name="Normal 3 3 14" xfId="2478" xr:uid="{00000000-0005-0000-0000-000068030000}"/>
    <cellStyle name="Normal 3 3 2" xfId="558" xr:uid="{00000000-0005-0000-0000-000069030000}"/>
    <cellStyle name="Normal 3 3 3" xfId="705" xr:uid="{00000000-0005-0000-0000-00006A030000}"/>
    <cellStyle name="Normal 3 3 4" xfId="853" xr:uid="{00000000-0005-0000-0000-00006B030000}"/>
    <cellStyle name="Normal 3 3 5" xfId="1031" xr:uid="{00000000-0005-0000-0000-00006C030000}"/>
    <cellStyle name="Normal 3 3 6" xfId="1197" xr:uid="{00000000-0005-0000-0000-00006D030000}"/>
    <cellStyle name="Normal 3 3 7" xfId="1374" xr:uid="{00000000-0005-0000-0000-00006E030000}"/>
    <cellStyle name="Normal 3 3 8" xfId="1565" xr:uid="{00000000-0005-0000-0000-00006F030000}"/>
    <cellStyle name="Normal 3 3 9" xfId="1735" xr:uid="{00000000-0005-0000-0000-000070030000}"/>
    <cellStyle name="Normal 3 4" xfId="556" xr:uid="{00000000-0005-0000-0000-000071030000}"/>
    <cellStyle name="Normal 3 5" xfId="703" xr:uid="{00000000-0005-0000-0000-000072030000}"/>
    <cellStyle name="Normal 30" xfId="133" xr:uid="{00000000-0005-0000-0000-000073030000}"/>
    <cellStyle name="Normal 30 2" xfId="387" xr:uid="{00000000-0005-0000-0000-000074030000}"/>
    <cellStyle name="Normal 30 3" xfId="559" xr:uid="{00000000-0005-0000-0000-000075030000}"/>
    <cellStyle name="Normal 30 4" xfId="706" xr:uid="{00000000-0005-0000-0000-000076030000}"/>
    <cellStyle name="Normal 31" xfId="388" xr:uid="{00000000-0005-0000-0000-000077030000}"/>
    <cellStyle name="Normal 33" xfId="389" xr:uid="{00000000-0005-0000-0000-000078030000}"/>
    <cellStyle name="Normal 34" xfId="390" xr:uid="{00000000-0005-0000-0000-000079030000}"/>
    <cellStyle name="Normal 35" xfId="391" xr:uid="{00000000-0005-0000-0000-00007A030000}"/>
    <cellStyle name="Normal 36" xfId="392" xr:uid="{00000000-0005-0000-0000-00007B030000}"/>
    <cellStyle name="Normal 37" xfId="393" xr:uid="{00000000-0005-0000-0000-00007C030000}"/>
    <cellStyle name="Normal 38" xfId="394" xr:uid="{00000000-0005-0000-0000-00007D030000}"/>
    <cellStyle name="Normal 39" xfId="395" xr:uid="{00000000-0005-0000-0000-00007E030000}"/>
    <cellStyle name="Normal 4" xfId="1689" xr:uid="{00000000-0005-0000-0000-00007F030000}"/>
    <cellStyle name="Normal 4 2" xfId="396" xr:uid="{00000000-0005-0000-0000-000080030000}"/>
    <cellStyle name="Normal 4 2 10" xfId="1893" xr:uid="{00000000-0005-0000-0000-000081030000}"/>
    <cellStyle name="Normal 4 2 11" xfId="2040" xr:uid="{00000000-0005-0000-0000-000082030000}"/>
    <cellStyle name="Normal 4 2 12" xfId="2181" xr:uid="{00000000-0005-0000-0000-000083030000}"/>
    <cellStyle name="Normal 4 2 13" xfId="2330" xr:uid="{00000000-0005-0000-0000-000084030000}"/>
    <cellStyle name="Normal 4 2 14" xfId="2479" xr:uid="{00000000-0005-0000-0000-000085030000}"/>
    <cellStyle name="Normal 4 2 2" xfId="560" xr:uid="{00000000-0005-0000-0000-000086030000}"/>
    <cellStyle name="Normal 4 2 3" xfId="707" xr:uid="{00000000-0005-0000-0000-000087030000}"/>
    <cellStyle name="Normal 4 2 4" xfId="854" xr:uid="{00000000-0005-0000-0000-000088030000}"/>
    <cellStyle name="Normal 4 2 5" xfId="1032" xr:uid="{00000000-0005-0000-0000-000089030000}"/>
    <cellStyle name="Normal 4 2 6" xfId="1198" xr:uid="{00000000-0005-0000-0000-00008A030000}"/>
    <cellStyle name="Normal 4 2 7" xfId="1375" xr:uid="{00000000-0005-0000-0000-00008B030000}"/>
    <cellStyle name="Normal 4 2 8" xfId="1566" xr:uid="{00000000-0005-0000-0000-00008C030000}"/>
    <cellStyle name="Normal 4 2 9" xfId="1736" xr:uid="{00000000-0005-0000-0000-00008D030000}"/>
    <cellStyle name="Normal 4 3" xfId="397" xr:uid="{00000000-0005-0000-0000-00008E030000}"/>
    <cellStyle name="Normal 4 3 10" xfId="1894" xr:uid="{00000000-0005-0000-0000-00008F030000}"/>
    <cellStyle name="Normal 4 3 11" xfId="2041" xr:uid="{00000000-0005-0000-0000-000090030000}"/>
    <cellStyle name="Normal 4 3 12" xfId="2182" xr:uid="{00000000-0005-0000-0000-000091030000}"/>
    <cellStyle name="Normal 4 3 13" xfId="2331" xr:uid="{00000000-0005-0000-0000-000092030000}"/>
    <cellStyle name="Normal 4 3 14" xfId="2480" xr:uid="{00000000-0005-0000-0000-000093030000}"/>
    <cellStyle name="Normal 4 3 2" xfId="561" xr:uid="{00000000-0005-0000-0000-000094030000}"/>
    <cellStyle name="Normal 4 3 3" xfId="708" xr:uid="{00000000-0005-0000-0000-000095030000}"/>
    <cellStyle name="Normal 4 3 4" xfId="855" xr:uid="{00000000-0005-0000-0000-000096030000}"/>
    <cellStyle name="Normal 4 3 5" xfId="1033" xr:uid="{00000000-0005-0000-0000-000097030000}"/>
    <cellStyle name="Normal 4 3 6" xfId="1199" xr:uid="{00000000-0005-0000-0000-000098030000}"/>
    <cellStyle name="Normal 4 3 7" xfId="1376" xr:uid="{00000000-0005-0000-0000-000099030000}"/>
    <cellStyle name="Normal 4 3 8" xfId="1567" xr:uid="{00000000-0005-0000-0000-00009A030000}"/>
    <cellStyle name="Normal 4 3 9" xfId="1737" xr:uid="{00000000-0005-0000-0000-00009B030000}"/>
    <cellStyle name="Normal 40" xfId="398" xr:uid="{00000000-0005-0000-0000-00009C030000}"/>
    <cellStyle name="Normal 41" xfId="399" xr:uid="{00000000-0005-0000-0000-00009D030000}"/>
    <cellStyle name="Normal 42" xfId="400" xr:uid="{00000000-0005-0000-0000-00009E030000}"/>
    <cellStyle name="Normal 43" xfId="401" xr:uid="{00000000-0005-0000-0000-00009F030000}"/>
    <cellStyle name="Normal 5" xfId="574" xr:uid="{00000000-0005-0000-0000-0000A0030000}"/>
    <cellStyle name="Normal 5 2" xfId="402" xr:uid="{00000000-0005-0000-0000-0000A1030000}"/>
    <cellStyle name="Normal 5 2 10" xfId="1895" xr:uid="{00000000-0005-0000-0000-0000A2030000}"/>
    <cellStyle name="Normal 5 2 11" xfId="2042" xr:uid="{00000000-0005-0000-0000-0000A3030000}"/>
    <cellStyle name="Normal 5 2 12" xfId="2183" xr:uid="{00000000-0005-0000-0000-0000A4030000}"/>
    <cellStyle name="Normal 5 2 13" xfId="2332" xr:uid="{00000000-0005-0000-0000-0000A5030000}"/>
    <cellStyle name="Normal 5 2 14" xfId="2481" xr:uid="{00000000-0005-0000-0000-0000A6030000}"/>
    <cellStyle name="Normal 5 2 2" xfId="562" xr:uid="{00000000-0005-0000-0000-0000A7030000}"/>
    <cellStyle name="Normal 5 2 3" xfId="709" xr:uid="{00000000-0005-0000-0000-0000A8030000}"/>
    <cellStyle name="Normal 5 2 4" xfId="856" xr:uid="{00000000-0005-0000-0000-0000A9030000}"/>
    <cellStyle name="Normal 5 2 5" xfId="1034" xr:uid="{00000000-0005-0000-0000-0000AA030000}"/>
    <cellStyle name="Normal 5 2 6" xfId="1200" xr:uid="{00000000-0005-0000-0000-0000AB030000}"/>
    <cellStyle name="Normal 5 2 7" xfId="1377" xr:uid="{00000000-0005-0000-0000-0000AC030000}"/>
    <cellStyle name="Normal 5 2 8" xfId="1568" xr:uid="{00000000-0005-0000-0000-0000AD030000}"/>
    <cellStyle name="Normal 5 2 9" xfId="1738" xr:uid="{00000000-0005-0000-0000-0000AE030000}"/>
    <cellStyle name="Normal 5 3" xfId="403" xr:uid="{00000000-0005-0000-0000-0000AF030000}"/>
    <cellStyle name="Normal 5 3 10" xfId="1896" xr:uid="{00000000-0005-0000-0000-0000B0030000}"/>
    <cellStyle name="Normal 5 3 11" xfId="2043" xr:uid="{00000000-0005-0000-0000-0000B1030000}"/>
    <cellStyle name="Normal 5 3 12" xfId="2184" xr:uid="{00000000-0005-0000-0000-0000B2030000}"/>
    <cellStyle name="Normal 5 3 13" xfId="2333" xr:uid="{00000000-0005-0000-0000-0000B3030000}"/>
    <cellStyle name="Normal 5 3 14" xfId="2482" xr:uid="{00000000-0005-0000-0000-0000B4030000}"/>
    <cellStyle name="Normal 5 3 2" xfId="563" xr:uid="{00000000-0005-0000-0000-0000B5030000}"/>
    <cellStyle name="Normal 5 3 3" xfId="710" xr:uid="{00000000-0005-0000-0000-0000B6030000}"/>
    <cellStyle name="Normal 5 3 4" xfId="857" xr:uid="{00000000-0005-0000-0000-0000B7030000}"/>
    <cellStyle name="Normal 5 3 5" xfId="1035" xr:uid="{00000000-0005-0000-0000-0000B8030000}"/>
    <cellStyle name="Normal 5 3 6" xfId="1201" xr:uid="{00000000-0005-0000-0000-0000B9030000}"/>
    <cellStyle name="Normal 5 3 7" xfId="1378" xr:uid="{00000000-0005-0000-0000-0000BA030000}"/>
    <cellStyle name="Normal 5 3 8" xfId="1569" xr:uid="{00000000-0005-0000-0000-0000BB030000}"/>
    <cellStyle name="Normal 5 3 9" xfId="1739" xr:uid="{00000000-0005-0000-0000-0000BC030000}"/>
    <cellStyle name="Normal 6" xfId="52" xr:uid="{00000000-0005-0000-0000-0000BD030000}"/>
    <cellStyle name="Normal 6 2" xfId="98" xr:uid="{00000000-0005-0000-0000-0000BE030000}"/>
    <cellStyle name="Normal 6 2 10" xfId="1740" xr:uid="{00000000-0005-0000-0000-0000BF030000}"/>
    <cellStyle name="Normal 6 2 11" xfId="1897" xr:uid="{00000000-0005-0000-0000-0000C0030000}"/>
    <cellStyle name="Normal 6 2 12" xfId="2044" xr:uid="{00000000-0005-0000-0000-0000C1030000}"/>
    <cellStyle name="Normal 6 2 13" xfId="2185" xr:uid="{00000000-0005-0000-0000-0000C2030000}"/>
    <cellStyle name="Normal 6 2 14" xfId="2334" xr:uid="{00000000-0005-0000-0000-0000C3030000}"/>
    <cellStyle name="Normal 6 2 15" xfId="2483" xr:uid="{00000000-0005-0000-0000-0000C4030000}"/>
    <cellStyle name="Normal 6 2 2" xfId="404" xr:uid="{00000000-0005-0000-0000-0000C5030000}"/>
    <cellStyle name="Normal 6 2 3" xfId="565" xr:uid="{00000000-0005-0000-0000-0000C6030000}"/>
    <cellStyle name="Normal 6 2 4" xfId="712" xr:uid="{00000000-0005-0000-0000-0000C7030000}"/>
    <cellStyle name="Normal 6 2 5" xfId="858" xr:uid="{00000000-0005-0000-0000-0000C8030000}"/>
    <cellStyle name="Normal 6 2 6" xfId="1036" xr:uid="{00000000-0005-0000-0000-0000C9030000}"/>
    <cellStyle name="Normal 6 2 7" xfId="1202" xr:uid="{00000000-0005-0000-0000-0000CA030000}"/>
    <cellStyle name="Normal 6 2 8" xfId="1379" xr:uid="{00000000-0005-0000-0000-0000CB030000}"/>
    <cellStyle name="Normal 6 2 9" xfId="1570" xr:uid="{00000000-0005-0000-0000-0000CC030000}"/>
    <cellStyle name="Normal 6 3" xfId="154" xr:uid="{00000000-0005-0000-0000-0000CD030000}"/>
    <cellStyle name="Normal 6 3 10" xfId="1741" xr:uid="{00000000-0005-0000-0000-0000CE030000}"/>
    <cellStyle name="Normal 6 3 11" xfId="1898" xr:uid="{00000000-0005-0000-0000-0000CF030000}"/>
    <cellStyle name="Normal 6 3 12" xfId="2045" xr:uid="{00000000-0005-0000-0000-0000D0030000}"/>
    <cellStyle name="Normal 6 3 13" xfId="2186" xr:uid="{00000000-0005-0000-0000-0000D1030000}"/>
    <cellStyle name="Normal 6 3 14" xfId="2335" xr:uid="{00000000-0005-0000-0000-0000D2030000}"/>
    <cellStyle name="Normal 6 3 15" xfId="2484" xr:uid="{00000000-0005-0000-0000-0000D3030000}"/>
    <cellStyle name="Normal 6 3 2" xfId="405" xr:uid="{00000000-0005-0000-0000-0000D4030000}"/>
    <cellStyle name="Normal 6 3 3" xfId="566" xr:uid="{00000000-0005-0000-0000-0000D5030000}"/>
    <cellStyle name="Normal 6 3 4" xfId="713" xr:uid="{00000000-0005-0000-0000-0000D6030000}"/>
    <cellStyle name="Normal 6 3 5" xfId="859" xr:uid="{00000000-0005-0000-0000-0000D7030000}"/>
    <cellStyle name="Normal 6 3 6" xfId="1037" xr:uid="{00000000-0005-0000-0000-0000D8030000}"/>
    <cellStyle name="Normal 6 3 7" xfId="1203" xr:uid="{00000000-0005-0000-0000-0000D9030000}"/>
    <cellStyle name="Normal 6 3 8" xfId="1380" xr:uid="{00000000-0005-0000-0000-0000DA030000}"/>
    <cellStyle name="Normal 6 3 9" xfId="1571" xr:uid="{00000000-0005-0000-0000-0000DB030000}"/>
    <cellStyle name="Normal 6 4" xfId="564" xr:uid="{00000000-0005-0000-0000-0000DC030000}"/>
    <cellStyle name="Normal 6 5" xfId="711" xr:uid="{00000000-0005-0000-0000-0000DD030000}"/>
    <cellStyle name="Normal 7" xfId="53" xr:uid="{00000000-0005-0000-0000-0000DE030000}"/>
    <cellStyle name="Normal 7 2" xfId="99" xr:uid="{00000000-0005-0000-0000-0000DF030000}"/>
    <cellStyle name="Normal 7 2 10" xfId="1742" xr:uid="{00000000-0005-0000-0000-0000E0030000}"/>
    <cellStyle name="Normal 7 2 11" xfId="1899" xr:uid="{00000000-0005-0000-0000-0000E1030000}"/>
    <cellStyle name="Normal 7 2 12" xfId="2046" xr:uid="{00000000-0005-0000-0000-0000E2030000}"/>
    <cellStyle name="Normal 7 2 13" xfId="2187" xr:uid="{00000000-0005-0000-0000-0000E3030000}"/>
    <cellStyle name="Normal 7 2 14" xfId="2336" xr:uid="{00000000-0005-0000-0000-0000E4030000}"/>
    <cellStyle name="Normal 7 2 15" xfId="2485" xr:uid="{00000000-0005-0000-0000-0000E5030000}"/>
    <cellStyle name="Normal 7 2 2" xfId="406" xr:uid="{00000000-0005-0000-0000-0000E6030000}"/>
    <cellStyle name="Normal 7 2 3" xfId="568" xr:uid="{00000000-0005-0000-0000-0000E7030000}"/>
    <cellStyle name="Normal 7 2 4" xfId="715" xr:uid="{00000000-0005-0000-0000-0000E8030000}"/>
    <cellStyle name="Normal 7 2 5" xfId="860" xr:uid="{00000000-0005-0000-0000-0000E9030000}"/>
    <cellStyle name="Normal 7 2 6" xfId="1038" xr:uid="{00000000-0005-0000-0000-0000EA030000}"/>
    <cellStyle name="Normal 7 2 7" xfId="1204" xr:uid="{00000000-0005-0000-0000-0000EB030000}"/>
    <cellStyle name="Normal 7 2 8" xfId="1381" xr:uid="{00000000-0005-0000-0000-0000EC030000}"/>
    <cellStyle name="Normal 7 2 9" xfId="1572" xr:uid="{00000000-0005-0000-0000-0000ED030000}"/>
    <cellStyle name="Normal 7 3" xfId="155" xr:uid="{00000000-0005-0000-0000-0000EE030000}"/>
    <cellStyle name="Normal 7 3 10" xfId="1743" xr:uid="{00000000-0005-0000-0000-0000EF030000}"/>
    <cellStyle name="Normal 7 3 11" xfId="1900" xr:uid="{00000000-0005-0000-0000-0000F0030000}"/>
    <cellStyle name="Normal 7 3 12" xfId="2047" xr:uid="{00000000-0005-0000-0000-0000F1030000}"/>
    <cellStyle name="Normal 7 3 13" xfId="2188" xr:uid="{00000000-0005-0000-0000-0000F2030000}"/>
    <cellStyle name="Normal 7 3 14" xfId="2337" xr:uid="{00000000-0005-0000-0000-0000F3030000}"/>
    <cellStyle name="Normal 7 3 15" xfId="2486" xr:uid="{00000000-0005-0000-0000-0000F4030000}"/>
    <cellStyle name="Normal 7 3 2" xfId="407" xr:uid="{00000000-0005-0000-0000-0000F5030000}"/>
    <cellStyle name="Normal 7 3 3" xfId="569" xr:uid="{00000000-0005-0000-0000-0000F6030000}"/>
    <cellStyle name="Normal 7 3 4" xfId="716" xr:uid="{00000000-0005-0000-0000-0000F7030000}"/>
    <cellStyle name="Normal 7 3 5" xfId="861" xr:uid="{00000000-0005-0000-0000-0000F8030000}"/>
    <cellStyle name="Normal 7 3 6" xfId="1039" xr:uid="{00000000-0005-0000-0000-0000F9030000}"/>
    <cellStyle name="Normal 7 3 7" xfId="1205" xr:uid="{00000000-0005-0000-0000-0000FA030000}"/>
    <cellStyle name="Normal 7 3 8" xfId="1382" xr:uid="{00000000-0005-0000-0000-0000FB030000}"/>
    <cellStyle name="Normal 7 3 9" xfId="1573" xr:uid="{00000000-0005-0000-0000-0000FC030000}"/>
    <cellStyle name="Normal 7 4" xfId="567" xr:uid="{00000000-0005-0000-0000-0000FD030000}"/>
    <cellStyle name="Normal 7 5" xfId="714" xr:uid="{00000000-0005-0000-0000-0000FE030000}"/>
    <cellStyle name="Normal 75" xfId="1383" xr:uid="{00000000-0005-0000-0000-0000FF030000}"/>
    <cellStyle name="Normal 76" xfId="1384" xr:uid="{00000000-0005-0000-0000-000000040000}"/>
    <cellStyle name="Normal 77" xfId="1385" xr:uid="{00000000-0005-0000-0000-000001040000}"/>
    <cellStyle name="Normal 78" xfId="1386" xr:uid="{00000000-0005-0000-0000-000002040000}"/>
    <cellStyle name="Normal 79" xfId="1387" xr:uid="{00000000-0005-0000-0000-000003040000}"/>
    <cellStyle name="Normal 8" xfId="49" xr:uid="{00000000-0005-0000-0000-000004040000}"/>
    <cellStyle name="Normal 8 2" xfId="100" xr:uid="{00000000-0005-0000-0000-000005040000}"/>
    <cellStyle name="Normal 8 2 10" xfId="1744" xr:uid="{00000000-0005-0000-0000-000006040000}"/>
    <cellStyle name="Normal 8 2 11" xfId="1901" xr:uid="{00000000-0005-0000-0000-000007040000}"/>
    <cellStyle name="Normal 8 2 12" xfId="2048" xr:uid="{00000000-0005-0000-0000-000008040000}"/>
    <cellStyle name="Normal 8 2 13" xfId="2189" xr:uid="{00000000-0005-0000-0000-000009040000}"/>
    <cellStyle name="Normal 8 2 14" xfId="2338" xr:uid="{00000000-0005-0000-0000-00000A040000}"/>
    <cellStyle name="Normal 8 2 15" xfId="2487" xr:uid="{00000000-0005-0000-0000-00000B040000}"/>
    <cellStyle name="Normal 8 2 2" xfId="408" xr:uid="{00000000-0005-0000-0000-00000C040000}"/>
    <cellStyle name="Normal 8 2 3" xfId="570" xr:uid="{00000000-0005-0000-0000-00000D040000}"/>
    <cellStyle name="Normal 8 2 4" xfId="717" xr:uid="{00000000-0005-0000-0000-00000E040000}"/>
    <cellStyle name="Normal 8 2 5" xfId="862" xr:uid="{00000000-0005-0000-0000-00000F040000}"/>
    <cellStyle name="Normal 8 2 6" xfId="1040" xr:uid="{00000000-0005-0000-0000-000010040000}"/>
    <cellStyle name="Normal 8 2 7" xfId="1206" xr:uid="{00000000-0005-0000-0000-000011040000}"/>
    <cellStyle name="Normal 8 2 8" xfId="1388" xr:uid="{00000000-0005-0000-0000-000012040000}"/>
    <cellStyle name="Normal 8 2 9" xfId="1574" xr:uid="{00000000-0005-0000-0000-000013040000}"/>
    <cellStyle name="Normal 8 3" xfId="156" xr:uid="{00000000-0005-0000-0000-000014040000}"/>
    <cellStyle name="Normal 8 3 10" xfId="1745" xr:uid="{00000000-0005-0000-0000-000015040000}"/>
    <cellStyle name="Normal 8 3 11" xfId="1902" xr:uid="{00000000-0005-0000-0000-000016040000}"/>
    <cellStyle name="Normal 8 3 12" xfId="2049" xr:uid="{00000000-0005-0000-0000-000017040000}"/>
    <cellStyle name="Normal 8 3 13" xfId="2190" xr:uid="{00000000-0005-0000-0000-000018040000}"/>
    <cellStyle name="Normal 8 3 14" xfId="2339" xr:uid="{00000000-0005-0000-0000-000019040000}"/>
    <cellStyle name="Normal 8 3 15" xfId="2488" xr:uid="{00000000-0005-0000-0000-00001A040000}"/>
    <cellStyle name="Normal 8 3 2" xfId="409" xr:uid="{00000000-0005-0000-0000-00001B040000}"/>
    <cellStyle name="Normal 8 3 3" xfId="571" xr:uid="{00000000-0005-0000-0000-00001C040000}"/>
    <cellStyle name="Normal 8 3 4" xfId="718" xr:uid="{00000000-0005-0000-0000-00001D040000}"/>
    <cellStyle name="Normal 8 3 5" xfId="863" xr:uid="{00000000-0005-0000-0000-00001E040000}"/>
    <cellStyle name="Normal 8 3 6" xfId="1041" xr:uid="{00000000-0005-0000-0000-00001F040000}"/>
    <cellStyle name="Normal 8 3 7" xfId="1207" xr:uid="{00000000-0005-0000-0000-000020040000}"/>
    <cellStyle name="Normal 8 3 8" xfId="1389" xr:uid="{00000000-0005-0000-0000-000021040000}"/>
    <cellStyle name="Normal 8 3 9" xfId="1575" xr:uid="{00000000-0005-0000-0000-000022040000}"/>
    <cellStyle name="Normal 80" xfId="1390" xr:uid="{00000000-0005-0000-0000-000023040000}"/>
    <cellStyle name="Normal 81" xfId="1391" xr:uid="{00000000-0005-0000-0000-000024040000}"/>
    <cellStyle name="Normal 82" xfId="1392" xr:uid="{00000000-0005-0000-0000-000025040000}"/>
    <cellStyle name="Normal 83" xfId="1393" xr:uid="{00000000-0005-0000-0000-000026040000}"/>
    <cellStyle name="Normal 84" xfId="1394" xr:uid="{00000000-0005-0000-0000-000027040000}"/>
    <cellStyle name="Normal 85" xfId="1395" xr:uid="{00000000-0005-0000-0000-000028040000}"/>
    <cellStyle name="Normal 9" xfId="60" xr:uid="{00000000-0005-0000-0000-000029040000}"/>
    <cellStyle name="Normal 9 2" xfId="101" xr:uid="{00000000-0005-0000-0000-00002A040000}"/>
    <cellStyle name="Normal 9 2 10" xfId="1746" xr:uid="{00000000-0005-0000-0000-00002B040000}"/>
    <cellStyle name="Normal 9 2 11" xfId="1903" xr:uid="{00000000-0005-0000-0000-00002C040000}"/>
    <cellStyle name="Normal 9 2 12" xfId="2050" xr:uid="{00000000-0005-0000-0000-00002D040000}"/>
    <cellStyle name="Normal 9 2 13" xfId="2191" xr:uid="{00000000-0005-0000-0000-00002E040000}"/>
    <cellStyle name="Normal 9 2 14" xfId="2340" xr:uid="{00000000-0005-0000-0000-00002F040000}"/>
    <cellStyle name="Normal 9 2 15" xfId="2489" xr:uid="{00000000-0005-0000-0000-000030040000}"/>
    <cellStyle name="Normal 9 2 2" xfId="410" xr:uid="{00000000-0005-0000-0000-000031040000}"/>
    <cellStyle name="Normal 9 2 3" xfId="572" xr:uid="{00000000-0005-0000-0000-000032040000}"/>
    <cellStyle name="Normal 9 2 4" xfId="719" xr:uid="{00000000-0005-0000-0000-000033040000}"/>
    <cellStyle name="Normal 9 2 5" xfId="864" xr:uid="{00000000-0005-0000-0000-000034040000}"/>
    <cellStyle name="Normal 9 2 6" xfId="1042" xr:uid="{00000000-0005-0000-0000-000035040000}"/>
    <cellStyle name="Normal 9 2 7" xfId="1208" xr:uid="{00000000-0005-0000-0000-000036040000}"/>
    <cellStyle name="Normal 9 2 8" xfId="1396" xr:uid="{00000000-0005-0000-0000-000037040000}"/>
    <cellStyle name="Normal 9 2 9" xfId="1576" xr:uid="{00000000-0005-0000-0000-000038040000}"/>
    <cellStyle name="Normal 9 3" xfId="157" xr:uid="{00000000-0005-0000-0000-000039040000}"/>
    <cellStyle name="Normal 9 3 10" xfId="1747" xr:uid="{00000000-0005-0000-0000-00003A040000}"/>
    <cellStyle name="Normal 9 3 11" xfId="1904" xr:uid="{00000000-0005-0000-0000-00003B040000}"/>
    <cellStyle name="Normal 9 3 12" xfId="2051" xr:uid="{00000000-0005-0000-0000-00003C040000}"/>
    <cellStyle name="Normal 9 3 13" xfId="2192" xr:uid="{00000000-0005-0000-0000-00003D040000}"/>
    <cellStyle name="Normal 9 3 14" xfId="2341" xr:uid="{00000000-0005-0000-0000-00003E040000}"/>
    <cellStyle name="Normal 9 3 15" xfId="2490" xr:uid="{00000000-0005-0000-0000-00003F040000}"/>
    <cellStyle name="Normal 9 3 2" xfId="411" xr:uid="{00000000-0005-0000-0000-000040040000}"/>
    <cellStyle name="Normal 9 3 3" xfId="573" xr:uid="{00000000-0005-0000-0000-000041040000}"/>
    <cellStyle name="Normal 9 3 4" xfId="720" xr:uid="{00000000-0005-0000-0000-000042040000}"/>
    <cellStyle name="Normal 9 3 5" xfId="865" xr:uid="{00000000-0005-0000-0000-000043040000}"/>
    <cellStyle name="Normal 9 3 6" xfId="1043" xr:uid="{00000000-0005-0000-0000-000044040000}"/>
    <cellStyle name="Normal 9 3 7" xfId="1209" xr:uid="{00000000-0005-0000-0000-000045040000}"/>
    <cellStyle name="Normal 9 3 8" xfId="1397" xr:uid="{00000000-0005-0000-0000-000046040000}"/>
    <cellStyle name="Normal 9 3 9" xfId="1577" xr:uid="{00000000-0005-0000-0000-000047040000}"/>
    <cellStyle name="Notas 10" xfId="68" xr:uid="{00000000-0005-0000-0000-000048040000}"/>
    <cellStyle name="Notas 10 10" xfId="412" xr:uid="{00000000-0005-0000-0000-000049040000}"/>
    <cellStyle name="Notas 10 11" xfId="575" xr:uid="{00000000-0005-0000-0000-00004A040000}"/>
    <cellStyle name="Notas 10 12" xfId="721" xr:uid="{00000000-0005-0000-0000-00004B040000}"/>
    <cellStyle name="Notas 10 13" xfId="866" xr:uid="{00000000-0005-0000-0000-00004C040000}"/>
    <cellStyle name="Notas 10 14" xfId="1044" xr:uid="{00000000-0005-0000-0000-00004D040000}"/>
    <cellStyle name="Notas 10 15" xfId="1210" xr:uid="{00000000-0005-0000-0000-00004E040000}"/>
    <cellStyle name="Notas 10 16" xfId="1399" xr:uid="{00000000-0005-0000-0000-00004F040000}"/>
    <cellStyle name="Notas 10 17" xfId="1578" xr:uid="{00000000-0005-0000-0000-000050040000}"/>
    <cellStyle name="Notas 10 18" xfId="1748" xr:uid="{00000000-0005-0000-0000-000051040000}"/>
    <cellStyle name="Notas 10 19" xfId="1905" xr:uid="{00000000-0005-0000-0000-000052040000}"/>
    <cellStyle name="Notas 10 2" xfId="102" xr:uid="{00000000-0005-0000-0000-000053040000}"/>
    <cellStyle name="Notas 10 2 10" xfId="1749" xr:uid="{00000000-0005-0000-0000-000054040000}"/>
    <cellStyle name="Notas 10 2 11" xfId="1906" xr:uid="{00000000-0005-0000-0000-000055040000}"/>
    <cellStyle name="Notas 10 2 12" xfId="2053" xr:uid="{00000000-0005-0000-0000-000056040000}"/>
    <cellStyle name="Notas 10 2 13" xfId="2194" xr:uid="{00000000-0005-0000-0000-000057040000}"/>
    <cellStyle name="Notas 10 2 14" xfId="2343" xr:uid="{00000000-0005-0000-0000-000058040000}"/>
    <cellStyle name="Notas 10 2 15" xfId="2492" xr:uid="{00000000-0005-0000-0000-000059040000}"/>
    <cellStyle name="Notas 10 2 2" xfId="413" xr:uid="{00000000-0005-0000-0000-00005A040000}"/>
    <cellStyle name="Notas 10 2 3" xfId="576" xr:uid="{00000000-0005-0000-0000-00005B040000}"/>
    <cellStyle name="Notas 10 2 4" xfId="722" xr:uid="{00000000-0005-0000-0000-00005C040000}"/>
    <cellStyle name="Notas 10 2 5" xfId="867" xr:uid="{00000000-0005-0000-0000-00005D040000}"/>
    <cellStyle name="Notas 10 2 6" xfId="1045" xr:uid="{00000000-0005-0000-0000-00005E040000}"/>
    <cellStyle name="Notas 10 2 7" xfId="1211" xr:uid="{00000000-0005-0000-0000-00005F040000}"/>
    <cellStyle name="Notas 10 2 8" xfId="1400" xr:uid="{00000000-0005-0000-0000-000060040000}"/>
    <cellStyle name="Notas 10 2 9" xfId="1579" xr:uid="{00000000-0005-0000-0000-000061040000}"/>
    <cellStyle name="Notas 10 20" xfId="2052" xr:uid="{00000000-0005-0000-0000-000062040000}"/>
    <cellStyle name="Notas 10 21" xfId="2193" xr:uid="{00000000-0005-0000-0000-000063040000}"/>
    <cellStyle name="Notas 10 22" xfId="2342" xr:uid="{00000000-0005-0000-0000-000064040000}"/>
    <cellStyle name="Notas 10 23" xfId="2491" xr:uid="{00000000-0005-0000-0000-000065040000}"/>
    <cellStyle name="Notas 10 3" xfId="158" xr:uid="{00000000-0005-0000-0000-000066040000}"/>
    <cellStyle name="Notas 10 3 10" xfId="1750" xr:uid="{00000000-0005-0000-0000-000067040000}"/>
    <cellStyle name="Notas 10 3 11" xfId="1907" xr:uid="{00000000-0005-0000-0000-000068040000}"/>
    <cellStyle name="Notas 10 3 12" xfId="2054" xr:uid="{00000000-0005-0000-0000-000069040000}"/>
    <cellStyle name="Notas 10 3 13" xfId="2195" xr:uid="{00000000-0005-0000-0000-00006A040000}"/>
    <cellStyle name="Notas 10 3 14" xfId="2344" xr:uid="{00000000-0005-0000-0000-00006B040000}"/>
    <cellStyle name="Notas 10 3 15" xfId="2493" xr:uid="{00000000-0005-0000-0000-00006C040000}"/>
    <cellStyle name="Notas 10 3 2" xfId="414" xr:uid="{00000000-0005-0000-0000-00006D040000}"/>
    <cellStyle name="Notas 10 3 3" xfId="577" xr:uid="{00000000-0005-0000-0000-00006E040000}"/>
    <cellStyle name="Notas 10 3 4" xfId="723" xr:uid="{00000000-0005-0000-0000-00006F040000}"/>
    <cellStyle name="Notas 10 3 5" xfId="868" xr:uid="{00000000-0005-0000-0000-000070040000}"/>
    <cellStyle name="Notas 10 3 6" xfId="1046" xr:uid="{00000000-0005-0000-0000-000071040000}"/>
    <cellStyle name="Notas 10 3 7" xfId="1212" xr:uid="{00000000-0005-0000-0000-000072040000}"/>
    <cellStyle name="Notas 10 3 8" xfId="1401" xr:uid="{00000000-0005-0000-0000-000073040000}"/>
    <cellStyle name="Notas 10 3 9" xfId="1580" xr:uid="{00000000-0005-0000-0000-000074040000}"/>
    <cellStyle name="Notas 10 4" xfId="193" xr:uid="{00000000-0005-0000-0000-000075040000}"/>
    <cellStyle name="Notas 10 5" xfId="216" xr:uid="{00000000-0005-0000-0000-000076040000}"/>
    <cellStyle name="Notas 10 6" xfId="233" xr:uid="{00000000-0005-0000-0000-000077040000}"/>
    <cellStyle name="Notas 10 7" xfId="263" xr:uid="{00000000-0005-0000-0000-000078040000}"/>
    <cellStyle name="Notas 10 8" xfId="291" xr:uid="{00000000-0005-0000-0000-000079040000}"/>
    <cellStyle name="Notas 10 9" xfId="315" xr:uid="{00000000-0005-0000-0000-00007A040000}"/>
    <cellStyle name="Notas 11" xfId="69" xr:uid="{00000000-0005-0000-0000-00007B040000}"/>
    <cellStyle name="Notas 11 10" xfId="869" xr:uid="{00000000-0005-0000-0000-00007C040000}"/>
    <cellStyle name="Notas 11 11" xfId="1047" xr:uid="{00000000-0005-0000-0000-00007D040000}"/>
    <cellStyle name="Notas 11 12" xfId="1213" xr:uid="{00000000-0005-0000-0000-00007E040000}"/>
    <cellStyle name="Notas 11 13" xfId="1402" xr:uid="{00000000-0005-0000-0000-00007F040000}"/>
    <cellStyle name="Notas 11 14" xfId="1581" xr:uid="{00000000-0005-0000-0000-000080040000}"/>
    <cellStyle name="Notas 11 15" xfId="1751" xr:uid="{00000000-0005-0000-0000-000081040000}"/>
    <cellStyle name="Notas 11 16" xfId="1908" xr:uid="{00000000-0005-0000-0000-000082040000}"/>
    <cellStyle name="Notas 11 17" xfId="2055" xr:uid="{00000000-0005-0000-0000-000083040000}"/>
    <cellStyle name="Notas 11 18" xfId="2196" xr:uid="{00000000-0005-0000-0000-000084040000}"/>
    <cellStyle name="Notas 11 19" xfId="2345" xr:uid="{00000000-0005-0000-0000-000085040000}"/>
    <cellStyle name="Notas 11 2" xfId="103" xr:uid="{00000000-0005-0000-0000-000086040000}"/>
    <cellStyle name="Notas 11 2 10" xfId="1752" xr:uid="{00000000-0005-0000-0000-000087040000}"/>
    <cellStyle name="Notas 11 2 11" xfId="1909" xr:uid="{00000000-0005-0000-0000-000088040000}"/>
    <cellStyle name="Notas 11 2 12" xfId="2056" xr:uid="{00000000-0005-0000-0000-000089040000}"/>
    <cellStyle name="Notas 11 2 13" xfId="2197" xr:uid="{00000000-0005-0000-0000-00008A040000}"/>
    <cellStyle name="Notas 11 2 14" xfId="2346" xr:uid="{00000000-0005-0000-0000-00008B040000}"/>
    <cellStyle name="Notas 11 2 15" xfId="2495" xr:uid="{00000000-0005-0000-0000-00008C040000}"/>
    <cellStyle name="Notas 11 2 2" xfId="416" xr:uid="{00000000-0005-0000-0000-00008D040000}"/>
    <cellStyle name="Notas 11 2 3" xfId="579" xr:uid="{00000000-0005-0000-0000-00008E040000}"/>
    <cellStyle name="Notas 11 2 4" xfId="725" xr:uid="{00000000-0005-0000-0000-00008F040000}"/>
    <cellStyle name="Notas 11 2 5" xfId="870" xr:uid="{00000000-0005-0000-0000-000090040000}"/>
    <cellStyle name="Notas 11 2 6" xfId="1048" xr:uid="{00000000-0005-0000-0000-000091040000}"/>
    <cellStyle name="Notas 11 2 7" xfId="1214" xr:uid="{00000000-0005-0000-0000-000092040000}"/>
    <cellStyle name="Notas 11 2 8" xfId="1403" xr:uid="{00000000-0005-0000-0000-000093040000}"/>
    <cellStyle name="Notas 11 2 9" xfId="1582" xr:uid="{00000000-0005-0000-0000-000094040000}"/>
    <cellStyle name="Notas 11 20" xfId="2494" xr:uid="{00000000-0005-0000-0000-000095040000}"/>
    <cellStyle name="Notas 11 3" xfId="159" xr:uid="{00000000-0005-0000-0000-000096040000}"/>
    <cellStyle name="Notas 11 3 10" xfId="1753" xr:uid="{00000000-0005-0000-0000-000097040000}"/>
    <cellStyle name="Notas 11 3 11" xfId="1910" xr:uid="{00000000-0005-0000-0000-000098040000}"/>
    <cellStyle name="Notas 11 3 12" xfId="2057" xr:uid="{00000000-0005-0000-0000-000099040000}"/>
    <cellStyle name="Notas 11 3 13" xfId="2198" xr:uid="{00000000-0005-0000-0000-00009A040000}"/>
    <cellStyle name="Notas 11 3 14" xfId="2347" xr:uid="{00000000-0005-0000-0000-00009B040000}"/>
    <cellStyle name="Notas 11 3 15" xfId="2496" xr:uid="{00000000-0005-0000-0000-00009C040000}"/>
    <cellStyle name="Notas 11 3 2" xfId="417" xr:uid="{00000000-0005-0000-0000-00009D040000}"/>
    <cellStyle name="Notas 11 3 3" xfId="580" xr:uid="{00000000-0005-0000-0000-00009E040000}"/>
    <cellStyle name="Notas 11 3 4" xfId="726" xr:uid="{00000000-0005-0000-0000-00009F040000}"/>
    <cellStyle name="Notas 11 3 5" xfId="871" xr:uid="{00000000-0005-0000-0000-0000A0040000}"/>
    <cellStyle name="Notas 11 3 6" xfId="1049" xr:uid="{00000000-0005-0000-0000-0000A1040000}"/>
    <cellStyle name="Notas 11 3 7" xfId="1215" xr:uid="{00000000-0005-0000-0000-0000A2040000}"/>
    <cellStyle name="Notas 11 3 8" xfId="1404" xr:uid="{00000000-0005-0000-0000-0000A3040000}"/>
    <cellStyle name="Notas 11 3 9" xfId="1583" xr:uid="{00000000-0005-0000-0000-0000A4040000}"/>
    <cellStyle name="Notas 11 4" xfId="264" xr:uid="{00000000-0005-0000-0000-0000A5040000}"/>
    <cellStyle name="Notas 11 5" xfId="292" xr:uid="{00000000-0005-0000-0000-0000A6040000}"/>
    <cellStyle name="Notas 11 6" xfId="316" xr:uid="{00000000-0005-0000-0000-0000A7040000}"/>
    <cellStyle name="Notas 11 7" xfId="415" xr:uid="{00000000-0005-0000-0000-0000A8040000}"/>
    <cellStyle name="Notas 11 8" xfId="578" xr:uid="{00000000-0005-0000-0000-0000A9040000}"/>
    <cellStyle name="Notas 11 9" xfId="724" xr:uid="{00000000-0005-0000-0000-0000AA040000}"/>
    <cellStyle name="Notas 12" xfId="70" xr:uid="{00000000-0005-0000-0000-0000AB040000}"/>
    <cellStyle name="Notas 12 10" xfId="872" xr:uid="{00000000-0005-0000-0000-0000AC040000}"/>
    <cellStyle name="Notas 12 11" xfId="1050" xr:uid="{00000000-0005-0000-0000-0000AD040000}"/>
    <cellStyle name="Notas 12 12" xfId="1216" xr:uid="{00000000-0005-0000-0000-0000AE040000}"/>
    <cellStyle name="Notas 12 13" xfId="1405" xr:uid="{00000000-0005-0000-0000-0000AF040000}"/>
    <cellStyle name="Notas 12 14" xfId="1584" xr:uid="{00000000-0005-0000-0000-0000B0040000}"/>
    <cellStyle name="Notas 12 15" xfId="1754" xr:uid="{00000000-0005-0000-0000-0000B1040000}"/>
    <cellStyle name="Notas 12 16" xfId="1911" xr:uid="{00000000-0005-0000-0000-0000B2040000}"/>
    <cellStyle name="Notas 12 17" xfId="2058" xr:uid="{00000000-0005-0000-0000-0000B3040000}"/>
    <cellStyle name="Notas 12 18" xfId="2199" xr:uid="{00000000-0005-0000-0000-0000B4040000}"/>
    <cellStyle name="Notas 12 19" xfId="2348" xr:uid="{00000000-0005-0000-0000-0000B5040000}"/>
    <cellStyle name="Notas 12 2" xfId="104" xr:uid="{00000000-0005-0000-0000-0000B6040000}"/>
    <cellStyle name="Notas 12 2 10" xfId="1755" xr:uid="{00000000-0005-0000-0000-0000B7040000}"/>
    <cellStyle name="Notas 12 2 11" xfId="1912" xr:uid="{00000000-0005-0000-0000-0000B8040000}"/>
    <cellStyle name="Notas 12 2 12" xfId="2059" xr:uid="{00000000-0005-0000-0000-0000B9040000}"/>
    <cellStyle name="Notas 12 2 13" xfId="2200" xr:uid="{00000000-0005-0000-0000-0000BA040000}"/>
    <cellStyle name="Notas 12 2 14" xfId="2349" xr:uid="{00000000-0005-0000-0000-0000BB040000}"/>
    <cellStyle name="Notas 12 2 15" xfId="2498" xr:uid="{00000000-0005-0000-0000-0000BC040000}"/>
    <cellStyle name="Notas 12 2 2" xfId="419" xr:uid="{00000000-0005-0000-0000-0000BD040000}"/>
    <cellStyle name="Notas 12 2 3" xfId="582" xr:uid="{00000000-0005-0000-0000-0000BE040000}"/>
    <cellStyle name="Notas 12 2 4" xfId="728" xr:uid="{00000000-0005-0000-0000-0000BF040000}"/>
    <cellStyle name="Notas 12 2 5" xfId="873" xr:uid="{00000000-0005-0000-0000-0000C0040000}"/>
    <cellStyle name="Notas 12 2 6" xfId="1051" xr:uid="{00000000-0005-0000-0000-0000C1040000}"/>
    <cellStyle name="Notas 12 2 7" xfId="1217" xr:uid="{00000000-0005-0000-0000-0000C2040000}"/>
    <cellStyle name="Notas 12 2 8" xfId="1406" xr:uid="{00000000-0005-0000-0000-0000C3040000}"/>
    <cellStyle name="Notas 12 2 9" xfId="1585" xr:uid="{00000000-0005-0000-0000-0000C4040000}"/>
    <cellStyle name="Notas 12 20" xfId="2497" xr:uid="{00000000-0005-0000-0000-0000C5040000}"/>
    <cellStyle name="Notas 12 3" xfId="160" xr:uid="{00000000-0005-0000-0000-0000C6040000}"/>
    <cellStyle name="Notas 12 3 10" xfId="1756" xr:uid="{00000000-0005-0000-0000-0000C7040000}"/>
    <cellStyle name="Notas 12 3 11" xfId="1913" xr:uid="{00000000-0005-0000-0000-0000C8040000}"/>
    <cellStyle name="Notas 12 3 12" xfId="2060" xr:uid="{00000000-0005-0000-0000-0000C9040000}"/>
    <cellStyle name="Notas 12 3 13" xfId="2201" xr:uid="{00000000-0005-0000-0000-0000CA040000}"/>
    <cellStyle name="Notas 12 3 14" xfId="2350" xr:uid="{00000000-0005-0000-0000-0000CB040000}"/>
    <cellStyle name="Notas 12 3 15" xfId="2499" xr:uid="{00000000-0005-0000-0000-0000CC040000}"/>
    <cellStyle name="Notas 12 3 2" xfId="420" xr:uid="{00000000-0005-0000-0000-0000CD040000}"/>
    <cellStyle name="Notas 12 3 3" xfId="583" xr:uid="{00000000-0005-0000-0000-0000CE040000}"/>
    <cellStyle name="Notas 12 3 4" xfId="729" xr:uid="{00000000-0005-0000-0000-0000CF040000}"/>
    <cellStyle name="Notas 12 3 5" xfId="874" xr:uid="{00000000-0005-0000-0000-0000D0040000}"/>
    <cellStyle name="Notas 12 3 6" xfId="1052" xr:uid="{00000000-0005-0000-0000-0000D1040000}"/>
    <cellStyle name="Notas 12 3 7" xfId="1218" xr:uid="{00000000-0005-0000-0000-0000D2040000}"/>
    <cellStyle name="Notas 12 3 8" xfId="1407" xr:uid="{00000000-0005-0000-0000-0000D3040000}"/>
    <cellStyle name="Notas 12 3 9" xfId="1586" xr:uid="{00000000-0005-0000-0000-0000D4040000}"/>
    <cellStyle name="Notas 12 4" xfId="265" xr:uid="{00000000-0005-0000-0000-0000D5040000}"/>
    <cellStyle name="Notas 12 5" xfId="293" xr:uid="{00000000-0005-0000-0000-0000D6040000}"/>
    <cellStyle name="Notas 12 6" xfId="317" xr:uid="{00000000-0005-0000-0000-0000D7040000}"/>
    <cellStyle name="Notas 12 7" xfId="418" xr:uid="{00000000-0005-0000-0000-0000D8040000}"/>
    <cellStyle name="Notas 12 8" xfId="581" xr:uid="{00000000-0005-0000-0000-0000D9040000}"/>
    <cellStyle name="Notas 12 9" xfId="727" xr:uid="{00000000-0005-0000-0000-0000DA040000}"/>
    <cellStyle name="Notas 13" xfId="71" xr:uid="{00000000-0005-0000-0000-0000DB040000}"/>
    <cellStyle name="Notas 13 10" xfId="875" xr:uid="{00000000-0005-0000-0000-0000DC040000}"/>
    <cellStyle name="Notas 13 11" xfId="1053" xr:uid="{00000000-0005-0000-0000-0000DD040000}"/>
    <cellStyle name="Notas 13 12" xfId="1219" xr:uid="{00000000-0005-0000-0000-0000DE040000}"/>
    <cellStyle name="Notas 13 13" xfId="1408" xr:uid="{00000000-0005-0000-0000-0000DF040000}"/>
    <cellStyle name="Notas 13 14" xfId="1587" xr:uid="{00000000-0005-0000-0000-0000E0040000}"/>
    <cellStyle name="Notas 13 15" xfId="1757" xr:uid="{00000000-0005-0000-0000-0000E1040000}"/>
    <cellStyle name="Notas 13 16" xfId="1914" xr:uid="{00000000-0005-0000-0000-0000E2040000}"/>
    <cellStyle name="Notas 13 17" xfId="2061" xr:uid="{00000000-0005-0000-0000-0000E3040000}"/>
    <cellStyle name="Notas 13 18" xfId="2202" xr:uid="{00000000-0005-0000-0000-0000E4040000}"/>
    <cellStyle name="Notas 13 19" xfId="2351" xr:uid="{00000000-0005-0000-0000-0000E5040000}"/>
    <cellStyle name="Notas 13 2" xfId="105" xr:uid="{00000000-0005-0000-0000-0000E6040000}"/>
    <cellStyle name="Notas 13 2 10" xfId="1758" xr:uid="{00000000-0005-0000-0000-0000E7040000}"/>
    <cellStyle name="Notas 13 2 11" xfId="1915" xr:uid="{00000000-0005-0000-0000-0000E8040000}"/>
    <cellStyle name="Notas 13 2 12" xfId="2062" xr:uid="{00000000-0005-0000-0000-0000E9040000}"/>
    <cellStyle name="Notas 13 2 13" xfId="2203" xr:uid="{00000000-0005-0000-0000-0000EA040000}"/>
    <cellStyle name="Notas 13 2 14" xfId="2352" xr:uid="{00000000-0005-0000-0000-0000EB040000}"/>
    <cellStyle name="Notas 13 2 15" xfId="2501" xr:uid="{00000000-0005-0000-0000-0000EC040000}"/>
    <cellStyle name="Notas 13 2 2" xfId="422" xr:uid="{00000000-0005-0000-0000-0000ED040000}"/>
    <cellStyle name="Notas 13 2 3" xfId="585" xr:uid="{00000000-0005-0000-0000-0000EE040000}"/>
    <cellStyle name="Notas 13 2 4" xfId="731" xr:uid="{00000000-0005-0000-0000-0000EF040000}"/>
    <cellStyle name="Notas 13 2 5" xfId="876" xr:uid="{00000000-0005-0000-0000-0000F0040000}"/>
    <cellStyle name="Notas 13 2 6" xfId="1054" xr:uid="{00000000-0005-0000-0000-0000F1040000}"/>
    <cellStyle name="Notas 13 2 7" xfId="1220" xr:uid="{00000000-0005-0000-0000-0000F2040000}"/>
    <cellStyle name="Notas 13 2 8" xfId="1409" xr:uid="{00000000-0005-0000-0000-0000F3040000}"/>
    <cellStyle name="Notas 13 2 9" xfId="1588" xr:uid="{00000000-0005-0000-0000-0000F4040000}"/>
    <cellStyle name="Notas 13 20" xfId="2500" xr:uid="{00000000-0005-0000-0000-0000F5040000}"/>
    <cellStyle name="Notas 13 3" xfId="161" xr:uid="{00000000-0005-0000-0000-0000F6040000}"/>
    <cellStyle name="Notas 13 3 10" xfId="1759" xr:uid="{00000000-0005-0000-0000-0000F7040000}"/>
    <cellStyle name="Notas 13 3 11" xfId="1916" xr:uid="{00000000-0005-0000-0000-0000F8040000}"/>
    <cellStyle name="Notas 13 3 12" xfId="2063" xr:uid="{00000000-0005-0000-0000-0000F9040000}"/>
    <cellStyle name="Notas 13 3 13" xfId="2204" xr:uid="{00000000-0005-0000-0000-0000FA040000}"/>
    <cellStyle name="Notas 13 3 14" xfId="2353" xr:uid="{00000000-0005-0000-0000-0000FB040000}"/>
    <cellStyle name="Notas 13 3 15" xfId="2502" xr:uid="{00000000-0005-0000-0000-0000FC040000}"/>
    <cellStyle name="Notas 13 3 2" xfId="423" xr:uid="{00000000-0005-0000-0000-0000FD040000}"/>
    <cellStyle name="Notas 13 3 3" xfId="586" xr:uid="{00000000-0005-0000-0000-0000FE040000}"/>
    <cellStyle name="Notas 13 3 4" xfId="732" xr:uid="{00000000-0005-0000-0000-0000FF040000}"/>
    <cellStyle name="Notas 13 3 5" xfId="877" xr:uid="{00000000-0005-0000-0000-000000050000}"/>
    <cellStyle name="Notas 13 3 6" xfId="1055" xr:uid="{00000000-0005-0000-0000-000001050000}"/>
    <cellStyle name="Notas 13 3 7" xfId="1221" xr:uid="{00000000-0005-0000-0000-000002050000}"/>
    <cellStyle name="Notas 13 3 8" xfId="1410" xr:uid="{00000000-0005-0000-0000-000003050000}"/>
    <cellStyle name="Notas 13 3 9" xfId="1589" xr:uid="{00000000-0005-0000-0000-000004050000}"/>
    <cellStyle name="Notas 13 4" xfId="266" xr:uid="{00000000-0005-0000-0000-000005050000}"/>
    <cellStyle name="Notas 13 5" xfId="294" xr:uid="{00000000-0005-0000-0000-000006050000}"/>
    <cellStyle name="Notas 13 6" xfId="318" xr:uid="{00000000-0005-0000-0000-000007050000}"/>
    <cellStyle name="Notas 13 7" xfId="421" xr:uid="{00000000-0005-0000-0000-000008050000}"/>
    <cellStyle name="Notas 13 8" xfId="584" xr:uid="{00000000-0005-0000-0000-000009050000}"/>
    <cellStyle name="Notas 13 9" xfId="730" xr:uid="{00000000-0005-0000-0000-00000A050000}"/>
    <cellStyle name="Notas 14" xfId="72" xr:uid="{00000000-0005-0000-0000-00000B050000}"/>
    <cellStyle name="Notas 14 10" xfId="878" xr:uid="{00000000-0005-0000-0000-00000C050000}"/>
    <cellStyle name="Notas 14 11" xfId="1056" xr:uid="{00000000-0005-0000-0000-00000D050000}"/>
    <cellStyle name="Notas 14 12" xfId="1222" xr:uid="{00000000-0005-0000-0000-00000E050000}"/>
    <cellStyle name="Notas 14 13" xfId="1411" xr:uid="{00000000-0005-0000-0000-00000F050000}"/>
    <cellStyle name="Notas 14 14" xfId="1590" xr:uid="{00000000-0005-0000-0000-000010050000}"/>
    <cellStyle name="Notas 14 15" xfId="1760" xr:uid="{00000000-0005-0000-0000-000011050000}"/>
    <cellStyle name="Notas 14 16" xfId="1917" xr:uid="{00000000-0005-0000-0000-000012050000}"/>
    <cellStyle name="Notas 14 17" xfId="2064" xr:uid="{00000000-0005-0000-0000-000013050000}"/>
    <cellStyle name="Notas 14 18" xfId="2205" xr:uid="{00000000-0005-0000-0000-000014050000}"/>
    <cellStyle name="Notas 14 19" xfId="2354" xr:uid="{00000000-0005-0000-0000-000015050000}"/>
    <cellStyle name="Notas 14 2" xfId="106" xr:uid="{00000000-0005-0000-0000-000016050000}"/>
    <cellStyle name="Notas 14 2 10" xfId="1761" xr:uid="{00000000-0005-0000-0000-000017050000}"/>
    <cellStyle name="Notas 14 2 11" xfId="1918" xr:uid="{00000000-0005-0000-0000-000018050000}"/>
    <cellStyle name="Notas 14 2 12" xfId="2065" xr:uid="{00000000-0005-0000-0000-000019050000}"/>
    <cellStyle name="Notas 14 2 13" xfId="2206" xr:uid="{00000000-0005-0000-0000-00001A050000}"/>
    <cellStyle name="Notas 14 2 14" xfId="2355" xr:uid="{00000000-0005-0000-0000-00001B050000}"/>
    <cellStyle name="Notas 14 2 15" xfId="2504" xr:uid="{00000000-0005-0000-0000-00001C050000}"/>
    <cellStyle name="Notas 14 2 2" xfId="425" xr:uid="{00000000-0005-0000-0000-00001D050000}"/>
    <cellStyle name="Notas 14 2 3" xfId="588" xr:uid="{00000000-0005-0000-0000-00001E050000}"/>
    <cellStyle name="Notas 14 2 4" xfId="734" xr:uid="{00000000-0005-0000-0000-00001F050000}"/>
    <cellStyle name="Notas 14 2 5" xfId="879" xr:uid="{00000000-0005-0000-0000-000020050000}"/>
    <cellStyle name="Notas 14 2 6" xfId="1057" xr:uid="{00000000-0005-0000-0000-000021050000}"/>
    <cellStyle name="Notas 14 2 7" xfId="1223" xr:uid="{00000000-0005-0000-0000-000022050000}"/>
    <cellStyle name="Notas 14 2 8" xfId="1412" xr:uid="{00000000-0005-0000-0000-000023050000}"/>
    <cellStyle name="Notas 14 2 9" xfId="1591" xr:uid="{00000000-0005-0000-0000-000024050000}"/>
    <cellStyle name="Notas 14 20" xfId="2503" xr:uid="{00000000-0005-0000-0000-000025050000}"/>
    <cellStyle name="Notas 14 3" xfId="162" xr:uid="{00000000-0005-0000-0000-000026050000}"/>
    <cellStyle name="Notas 14 3 10" xfId="1762" xr:uid="{00000000-0005-0000-0000-000027050000}"/>
    <cellStyle name="Notas 14 3 11" xfId="1919" xr:uid="{00000000-0005-0000-0000-000028050000}"/>
    <cellStyle name="Notas 14 3 12" xfId="2066" xr:uid="{00000000-0005-0000-0000-000029050000}"/>
    <cellStyle name="Notas 14 3 13" xfId="2207" xr:uid="{00000000-0005-0000-0000-00002A050000}"/>
    <cellStyle name="Notas 14 3 14" xfId="2356" xr:uid="{00000000-0005-0000-0000-00002B050000}"/>
    <cellStyle name="Notas 14 3 15" xfId="2505" xr:uid="{00000000-0005-0000-0000-00002C050000}"/>
    <cellStyle name="Notas 14 3 2" xfId="426" xr:uid="{00000000-0005-0000-0000-00002D050000}"/>
    <cellStyle name="Notas 14 3 3" xfId="589" xr:uid="{00000000-0005-0000-0000-00002E050000}"/>
    <cellStyle name="Notas 14 3 4" xfId="735" xr:uid="{00000000-0005-0000-0000-00002F050000}"/>
    <cellStyle name="Notas 14 3 5" xfId="880" xr:uid="{00000000-0005-0000-0000-000030050000}"/>
    <cellStyle name="Notas 14 3 6" xfId="1058" xr:uid="{00000000-0005-0000-0000-000031050000}"/>
    <cellStyle name="Notas 14 3 7" xfId="1224" xr:uid="{00000000-0005-0000-0000-000032050000}"/>
    <cellStyle name="Notas 14 3 8" xfId="1413" xr:uid="{00000000-0005-0000-0000-000033050000}"/>
    <cellStyle name="Notas 14 3 9" xfId="1592" xr:uid="{00000000-0005-0000-0000-000034050000}"/>
    <cellStyle name="Notas 14 4" xfId="267" xr:uid="{00000000-0005-0000-0000-000035050000}"/>
    <cellStyle name="Notas 14 5" xfId="295" xr:uid="{00000000-0005-0000-0000-000036050000}"/>
    <cellStyle name="Notas 14 6" xfId="319" xr:uid="{00000000-0005-0000-0000-000037050000}"/>
    <cellStyle name="Notas 14 7" xfId="424" xr:uid="{00000000-0005-0000-0000-000038050000}"/>
    <cellStyle name="Notas 14 8" xfId="587" xr:uid="{00000000-0005-0000-0000-000039050000}"/>
    <cellStyle name="Notas 14 9" xfId="733" xr:uid="{00000000-0005-0000-0000-00003A050000}"/>
    <cellStyle name="Notas 15" xfId="73" xr:uid="{00000000-0005-0000-0000-00003B050000}"/>
    <cellStyle name="Notas 15 10" xfId="881" xr:uid="{00000000-0005-0000-0000-00003C050000}"/>
    <cellStyle name="Notas 15 11" xfId="1059" xr:uid="{00000000-0005-0000-0000-00003D050000}"/>
    <cellStyle name="Notas 15 12" xfId="1225" xr:uid="{00000000-0005-0000-0000-00003E050000}"/>
    <cellStyle name="Notas 15 13" xfId="1414" xr:uid="{00000000-0005-0000-0000-00003F050000}"/>
    <cellStyle name="Notas 15 14" xfId="1593" xr:uid="{00000000-0005-0000-0000-000040050000}"/>
    <cellStyle name="Notas 15 15" xfId="1763" xr:uid="{00000000-0005-0000-0000-000041050000}"/>
    <cellStyle name="Notas 15 16" xfId="1920" xr:uid="{00000000-0005-0000-0000-000042050000}"/>
    <cellStyle name="Notas 15 17" xfId="2067" xr:uid="{00000000-0005-0000-0000-000043050000}"/>
    <cellStyle name="Notas 15 18" xfId="2208" xr:uid="{00000000-0005-0000-0000-000044050000}"/>
    <cellStyle name="Notas 15 19" xfId="2357" xr:uid="{00000000-0005-0000-0000-000045050000}"/>
    <cellStyle name="Notas 15 2" xfId="107" xr:uid="{00000000-0005-0000-0000-000046050000}"/>
    <cellStyle name="Notas 15 2 10" xfId="1764" xr:uid="{00000000-0005-0000-0000-000047050000}"/>
    <cellStyle name="Notas 15 2 11" xfId="1921" xr:uid="{00000000-0005-0000-0000-000048050000}"/>
    <cellStyle name="Notas 15 2 12" xfId="2068" xr:uid="{00000000-0005-0000-0000-000049050000}"/>
    <cellStyle name="Notas 15 2 13" xfId="2209" xr:uid="{00000000-0005-0000-0000-00004A050000}"/>
    <cellStyle name="Notas 15 2 14" xfId="2358" xr:uid="{00000000-0005-0000-0000-00004B050000}"/>
    <cellStyle name="Notas 15 2 15" xfId="2507" xr:uid="{00000000-0005-0000-0000-00004C050000}"/>
    <cellStyle name="Notas 15 2 2" xfId="428" xr:uid="{00000000-0005-0000-0000-00004D050000}"/>
    <cellStyle name="Notas 15 2 3" xfId="591" xr:uid="{00000000-0005-0000-0000-00004E050000}"/>
    <cellStyle name="Notas 15 2 4" xfId="737" xr:uid="{00000000-0005-0000-0000-00004F050000}"/>
    <cellStyle name="Notas 15 2 5" xfId="882" xr:uid="{00000000-0005-0000-0000-000050050000}"/>
    <cellStyle name="Notas 15 2 6" xfId="1060" xr:uid="{00000000-0005-0000-0000-000051050000}"/>
    <cellStyle name="Notas 15 2 7" xfId="1226" xr:uid="{00000000-0005-0000-0000-000052050000}"/>
    <cellStyle name="Notas 15 2 8" xfId="1415" xr:uid="{00000000-0005-0000-0000-000053050000}"/>
    <cellStyle name="Notas 15 2 9" xfId="1594" xr:uid="{00000000-0005-0000-0000-000054050000}"/>
    <cellStyle name="Notas 15 20" xfId="2506" xr:uid="{00000000-0005-0000-0000-000055050000}"/>
    <cellStyle name="Notas 15 3" xfId="163" xr:uid="{00000000-0005-0000-0000-000056050000}"/>
    <cellStyle name="Notas 15 3 10" xfId="1765" xr:uid="{00000000-0005-0000-0000-000057050000}"/>
    <cellStyle name="Notas 15 3 11" xfId="1922" xr:uid="{00000000-0005-0000-0000-000058050000}"/>
    <cellStyle name="Notas 15 3 12" xfId="2069" xr:uid="{00000000-0005-0000-0000-000059050000}"/>
    <cellStyle name="Notas 15 3 13" xfId="2210" xr:uid="{00000000-0005-0000-0000-00005A050000}"/>
    <cellStyle name="Notas 15 3 14" xfId="2359" xr:uid="{00000000-0005-0000-0000-00005B050000}"/>
    <cellStyle name="Notas 15 3 15" xfId="2508" xr:uid="{00000000-0005-0000-0000-00005C050000}"/>
    <cellStyle name="Notas 15 3 2" xfId="429" xr:uid="{00000000-0005-0000-0000-00005D050000}"/>
    <cellStyle name="Notas 15 3 3" xfId="592" xr:uid="{00000000-0005-0000-0000-00005E050000}"/>
    <cellStyle name="Notas 15 3 4" xfId="738" xr:uid="{00000000-0005-0000-0000-00005F050000}"/>
    <cellStyle name="Notas 15 3 5" xfId="883" xr:uid="{00000000-0005-0000-0000-000060050000}"/>
    <cellStyle name="Notas 15 3 6" xfId="1061" xr:uid="{00000000-0005-0000-0000-000061050000}"/>
    <cellStyle name="Notas 15 3 7" xfId="1227" xr:uid="{00000000-0005-0000-0000-000062050000}"/>
    <cellStyle name="Notas 15 3 8" xfId="1416" xr:uid="{00000000-0005-0000-0000-000063050000}"/>
    <cellStyle name="Notas 15 3 9" xfId="1595" xr:uid="{00000000-0005-0000-0000-000064050000}"/>
    <cellStyle name="Notas 15 4" xfId="268" xr:uid="{00000000-0005-0000-0000-000065050000}"/>
    <cellStyle name="Notas 15 5" xfId="296" xr:uid="{00000000-0005-0000-0000-000066050000}"/>
    <cellStyle name="Notas 15 6" xfId="320" xr:uid="{00000000-0005-0000-0000-000067050000}"/>
    <cellStyle name="Notas 15 7" xfId="427" xr:uid="{00000000-0005-0000-0000-000068050000}"/>
    <cellStyle name="Notas 15 8" xfId="590" xr:uid="{00000000-0005-0000-0000-000069050000}"/>
    <cellStyle name="Notas 15 9" xfId="736" xr:uid="{00000000-0005-0000-0000-00006A050000}"/>
    <cellStyle name="Notas 16" xfId="128" xr:uid="{00000000-0005-0000-0000-00006B050000}"/>
    <cellStyle name="Notas 16 10" xfId="1228" xr:uid="{00000000-0005-0000-0000-00006C050000}"/>
    <cellStyle name="Notas 16 11" xfId="1417" xr:uid="{00000000-0005-0000-0000-00006D050000}"/>
    <cellStyle name="Notas 16 12" xfId="1596" xr:uid="{00000000-0005-0000-0000-00006E050000}"/>
    <cellStyle name="Notas 16 13" xfId="1766" xr:uid="{00000000-0005-0000-0000-00006F050000}"/>
    <cellStyle name="Notas 16 14" xfId="1923" xr:uid="{00000000-0005-0000-0000-000070050000}"/>
    <cellStyle name="Notas 16 15" xfId="2070" xr:uid="{00000000-0005-0000-0000-000071050000}"/>
    <cellStyle name="Notas 16 16" xfId="2211" xr:uid="{00000000-0005-0000-0000-000072050000}"/>
    <cellStyle name="Notas 16 17" xfId="2360" xr:uid="{00000000-0005-0000-0000-000073050000}"/>
    <cellStyle name="Notas 16 18" xfId="2509" xr:uid="{00000000-0005-0000-0000-000074050000}"/>
    <cellStyle name="Notas 16 2" xfId="269" xr:uid="{00000000-0005-0000-0000-000075050000}"/>
    <cellStyle name="Notas 16 2 10" xfId="1767" xr:uid="{00000000-0005-0000-0000-000076050000}"/>
    <cellStyle name="Notas 16 2 11" xfId="1924" xr:uid="{00000000-0005-0000-0000-000077050000}"/>
    <cellStyle name="Notas 16 2 12" xfId="2071" xr:uid="{00000000-0005-0000-0000-000078050000}"/>
    <cellStyle name="Notas 16 2 13" xfId="2212" xr:uid="{00000000-0005-0000-0000-000079050000}"/>
    <cellStyle name="Notas 16 2 14" xfId="2361" xr:uid="{00000000-0005-0000-0000-00007A050000}"/>
    <cellStyle name="Notas 16 2 15" xfId="2510" xr:uid="{00000000-0005-0000-0000-00007B050000}"/>
    <cellStyle name="Notas 16 2 2" xfId="431" xr:uid="{00000000-0005-0000-0000-00007C050000}"/>
    <cellStyle name="Notas 16 2 3" xfId="594" xr:uid="{00000000-0005-0000-0000-00007D050000}"/>
    <cellStyle name="Notas 16 2 4" xfId="740" xr:uid="{00000000-0005-0000-0000-00007E050000}"/>
    <cellStyle name="Notas 16 2 5" xfId="885" xr:uid="{00000000-0005-0000-0000-00007F050000}"/>
    <cellStyle name="Notas 16 2 6" xfId="1063" xr:uid="{00000000-0005-0000-0000-000080050000}"/>
    <cellStyle name="Notas 16 2 7" xfId="1229" xr:uid="{00000000-0005-0000-0000-000081050000}"/>
    <cellStyle name="Notas 16 2 8" xfId="1418" xr:uid="{00000000-0005-0000-0000-000082050000}"/>
    <cellStyle name="Notas 16 2 9" xfId="1597" xr:uid="{00000000-0005-0000-0000-000083050000}"/>
    <cellStyle name="Notas 16 3" xfId="297" xr:uid="{00000000-0005-0000-0000-000084050000}"/>
    <cellStyle name="Notas 16 3 10" xfId="1768" xr:uid="{00000000-0005-0000-0000-000085050000}"/>
    <cellStyle name="Notas 16 3 11" xfId="1925" xr:uid="{00000000-0005-0000-0000-000086050000}"/>
    <cellStyle name="Notas 16 3 12" xfId="2072" xr:uid="{00000000-0005-0000-0000-000087050000}"/>
    <cellStyle name="Notas 16 3 13" xfId="2213" xr:uid="{00000000-0005-0000-0000-000088050000}"/>
    <cellStyle name="Notas 16 3 14" xfId="2362" xr:uid="{00000000-0005-0000-0000-000089050000}"/>
    <cellStyle name="Notas 16 3 15" xfId="2511" xr:uid="{00000000-0005-0000-0000-00008A050000}"/>
    <cellStyle name="Notas 16 3 2" xfId="432" xr:uid="{00000000-0005-0000-0000-00008B050000}"/>
    <cellStyle name="Notas 16 3 3" xfId="595" xr:uid="{00000000-0005-0000-0000-00008C050000}"/>
    <cellStyle name="Notas 16 3 4" xfId="741" xr:uid="{00000000-0005-0000-0000-00008D050000}"/>
    <cellStyle name="Notas 16 3 5" xfId="886" xr:uid="{00000000-0005-0000-0000-00008E050000}"/>
    <cellStyle name="Notas 16 3 6" xfId="1064" xr:uid="{00000000-0005-0000-0000-00008F050000}"/>
    <cellStyle name="Notas 16 3 7" xfId="1230" xr:uid="{00000000-0005-0000-0000-000090050000}"/>
    <cellStyle name="Notas 16 3 8" xfId="1419" xr:uid="{00000000-0005-0000-0000-000091050000}"/>
    <cellStyle name="Notas 16 3 9" xfId="1598" xr:uid="{00000000-0005-0000-0000-000092050000}"/>
    <cellStyle name="Notas 16 4" xfId="321" xr:uid="{00000000-0005-0000-0000-000093050000}"/>
    <cellStyle name="Notas 16 5" xfId="430" xr:uid="{00000000-0005-0000-0000-000094050000}"/>
    <cellStyle name="Notas 16 6" xfId="593" xr:uid="{00000000-0005-0000-0000-000095050000}"/>
    <cellStyle name="Notas 16 7" xfId="739" xr:uid="{00000000-0005-0000-0000-000096050000}"/>
    <cellStyle name="Notas 16 8" xfId="884" xr:uid="{00000000-0005-0000-0000-000097050000}"/>
    <cellStyle name="Notas 16 9" xfId="1062" xr:uid="{00000000-0005-0000-0000-000098050000}"/>
    <cellStyle name="Notas 17" xfId="129" xr:uid="{00000000-0005-0000-0000-000099050000}"/>
    <cellStyle name="Notas 17 10" xfId="1231" xr:uid="{00000000-0005-0000-0000-00009A050000}"/>
    <cellStyle name="Notas 17 11" xfId="1420" xr:uid="{00000000-0005-0000-0000-00009B050000}"/>
    <cellStyle name="Notas 17 12" xfId="1599" xr:uid="{00000000-0005-0000-0000-00009C050000}"/>
    <cellStyle name="Notas 17 13" xfId="1769" xr:uid="{00000000-0005-0000-0000-00009D050000}"/>
    <cellStyle name="Notas 17 14" xfId="1926" xr:uid="{00000000-0005-0000-0000-00009E050000}"/>
    <cellStyle name="Notas 17 15" xfId="2073" xr:uid="{00000000-0005-0000-0000-00009F050000}"/>
    <cellStyle name="Notas 17 16" xfId="2214" xr:uid="{00000000-0005-0000-0000-0000A0050000}"/>
    <cellStyle name="Notas 17 17" xfId="2363" xr:uid="{00000000-0005-0000-0000-0000A1050000}"/>
    <cellStyle name="Notas 17 18" xfId="2512" xr:uid="{00000000-0005-0000-0000-0000A2050000}"/>
    <cellStyle name="Notas 17 2" xfId="270" xr:uid="{00000000-0005-0000-0000-0000A3050000}"/>
    <cellStyle name="Notas 17 2 10" xfId="1770" xr:uid="{00000000-0005-0000-0000-0000A4050000}"/>
    <cellStyle name="Notas 17 2 11" xfId="1927" xr:uid="{00000000-0005-0000-0000-0000A5050000}"/>
    <cellStyle name="Notas 17 2 12" xfId="2074" xr:uid="{00000000-0005-0000-0000-0000A6050000}"/>
    <cellStyle name="Notas 17 2 13" xfId="2215" xr:uid="{00000000-0005-0000-0000-0000A7050000}"/>
    <cellStyle name="Notas 17 2 14" xfId="2364" xr:uid="{00000000-0005-0000-0000-0000A8050000}"/>
    <cellStyle name="Notas 17 2 15" xfId="2513" xr:uid="{00000000-0005-0000-0000-0000A9050000}"/>
    <cellStyle name="Notas 17 2 2" xfId="434" xr:uid="{00000000-0005-0000-0000-0000AA050000}"/>
    <cellStyle name="Notas 17 2 3" xfId="597" xr:uid="{00000000-0005-0000-0000-0000AB050000}"/>
    <cellStyle name="Notas 17 2 4" xfId="743" xr:uid="{00000000-0005-0000-0000-0000AC050000}"/>
    <cellStyle name="Notas 17 2 5" xfId="888" xr:uid="{00000000-0005-0000-0000-0000AD050000}"/>
    <cellStyle name="Notas 17 2 6" xfId="1066" xr:uid="{00000000-0005-0000-0000-0000AE050000}"/>
    <cellStyle name="Notas 17 2 7" xfId="1232" xr:uid="{00000000-0005-0000-0000-0000AF050000}"/>
    <cellStyle name="Notas 17 2 8" xfId="1421" xr:uid="{00000000-0005-0000-0000-0000B0050000}"/>
    <cellStyle name="Notas 17 2 9" xfId="1600" xr:uid="{00000000-0005-0000-0000-0000B1050000}"/>
    <cellStyle name="Notas 17 3" xfId="298" xr:uid="{00000000-0005-0000-0000-0000B2050000}"/>
    <cellStyle name="Notas 17 3 10" xfId="1771" xr:uid="{00000000-0005-0000-0000-0000B3050000}"/>
    <cellStyle name="Notas 17 3 11" xfId="1928" xr:uid="{00000000-0005-0000-0000-0000B4050000}"/>
    <cellStyle name="Notas 17 3 12" xfId="2075" xr:uid="{00000000-0005-0000-0000-0000B5050000}"/>
    <cellStyle name="Notas 17 3 13" xfId="2216" xr:uid="{00000000-0005-0000-0000-0000B6050000}"/>
    <cellStyle name="Notas 17 3 14" xfId="2365" xr:uid="{00000000-0005-0000-0000-0000B7050000}"/>
    <cellStyle name="Notas 17 3 15" xfId="2514" xr:uid="{00000000-0005-0000-0000-0000B8050000}"/>
    <cellStyle name="Notas 17 3 2" xfId="435" xr:uid="{00000000-0005-0000-0000-0000B9050000}"/>
    <cellStyle name="Notas 17 3 3" xfId="598" xr:uid="{00000000-0005-0000-0000-0000BA050000}"/>
    <cellStyle name="Notas 17 3 4" xfId="744" xr:uid="{00000000-0005-0000-0000-0000BB050000}"/>
    <cellStyle name="Notas 17 3 5" xfId="889" xr:uid="{00000000-0005-0000-0000-0000BC050000}"/>
    <cellStyle name="Notas 17 3 6" xfId="1067" xr:uid="{00000000-0005-0000-0000-0000BD050000}"/>
    <cellStyle name="Notas 17 3 7" xfId="1233" xr:uid="{00000000-0005-0000-0000-0000BE050000}"/>
    <cellStyle name="Notas 17 3 8" xfId="1422" xr:uid="{00000000-0005-0000-0000-0000BF050000}"/>
    <cellStyle name="Notas 17 3 9" xfId="1601" xr:uid="{00000000-0005-0000-0000-0000C0050000}"/>
    <cellStyle name="Notas 17 4" xfId="322" xr:uid="{00000000-0005-0000-0000-0000C1050000}"/>
    <cellStyle name="Notas 17 5" xfId="433" xr:uid="{00000000-0005-0000-0000-0000C2050000}"/>
    <cellStyle name="Notas 17 6" xfId="596" xr:uid="{00000000-0005-0000-0000-0000C3050000}"/>
    <cellStyle name="Notas 17 7" xfId="742" xr:uid="{00000000-0005-0000-0000-0000C4050000}"/>
    <cellStyle name="Notas 17 8" xfId="887" xr:uid="{00000000-0005-0000-0000-0000C5050000}"/>
    <cellStyle name="Notas 17 9" xfId="1065" xr:uid="{00000000-0005-0000-0000-0000C6050000}"/>
    <cellStyle name="Notas 18" xfId="135" xr:uid="{00000000-0005-0000-0000-0000C7050000}"/>
    <cellStyle name="Notas 18 10" xfId="1423" xr:uid="{00000000-0005-0000-0000-0000C8050000}"/>
    <cellStyle name="Notas 18 11" xfId="1602" xr:uid="{00000000-0005-0000-0000-0000C9050000}"/>
    <cellStyle name="Notas 18 12" xfId="1772" xr:uid="{00000000-0005-0000-0000-0000CA050000}"/>
    <cellStyle name="Notas 18 13" xfId="1929" xr:uid="{00000000-0005-0000-0000-0000CB050000}"/>
    <cellStyle name="Notas 18 14" xfId="2076" xr:uid="{00000000-0005-0000-0000-0000CC050000}"/>
    <cellStyle name="Notas 18 15" xfId="2217" xr:uid="{00000000-0005-0000-0000-0000CD050000}"/>
    <cellStyle name="Notas 18 16" xfId="2366" xr:uid="{00000000-0005-0000-0000-0000CE050000}"/>
    <cellStyle name="Notas 18 17" xfId="2515" xr:uid="{00000000-0005-0000-0000-0000CF050000}"/>
    <cellStyle name="Notas 18 2" xfId="437" xr:uid="{00000000-0005-0000-0000-0000D0050000}"/>
    <cellStyle name="Notas 18 2 10" xfId="1930" xr:uid="{00000000-0005-0000-0000-0000D1050000}"/>
    <cellStyle name="Notas 18 2 11" xfId="2077" xr:uid="{00000000-0005-0000-0000-0000D2050000}"/>
    <cellStyle name="Notas 18 2 12" xfId="2218" xr:uid="{00000000-0005-0000-0000-0000D3050000}"/>
    <cellStyle name="Notas 18 2 13" xfId="2367" xr:uid="{00000000-0005-0000-0000-0000D4050000}"/>
    <cellStyle name="Notas 18 2 14" xfId="2516" xr:uid="{00000000-0005-0000-0000-0000D5050000}"/>
    <cellStyle name="Notas 18 2 2" xfId="600" xr:uid="{00000000-0005-0000-0000-0000D6050000}"/>
    <cellStyle name="Notas 18 2 3" xfId="746" xr:uid="{00000000-0005-0000-0000-0000D7050000}"/>
    <cellStyle name="Notas 18 2 4" xfId="891" xr:uid="{00000000-0005-0000-0000-0000D8050000}"/>
    <cellStyle name="Notas 18 2 5" xfId="1069" xr:uid="{00000000-0005-0000-0000-0000D9050000}"/>
    <cellStyle name="Notas 18 2 6" xfId="1235" xr:uid="{00000000-0005-0000-0000-0000DA050000}"/>
    <cellStyle name="Notas 18 2 7" xfId="1424" xr:uid="{00000000-0005-0000-0000-0000DB050000}"/>
    <cellStyle name="Notas 18 2 8" xfId="1603" xr:uid="{00000000-0005-0000-0000-0000DC050000}"/>
    <cellStyle name="Notas 18 2 9" xfId="1773" xr:uid="{00000000-0005-0000-0000-0000DD050000}"/>
    <cellStyle name="Notas 18 3" xfId="438" xr:uid="{00000000-0005-0000-0000-0000DE050000}"/>
    <cellStyle name="Notas 18 3 10" xfId="1931" xr:uid="{00000000-0005-0000-0000-0000DF050000}"/>
    <cellStyle name="Notas 18 3 11" xfId="2078" xr:uid="{00000000-0005-0000-0000-0000E0050000}"/>
    <cellStyle name="Notas 18 3 12" xfId="2219" xr:uid="{00000000-0005-0000-0000-0000E1050000}"/>
    <cellStyle name="Notas 18 3 13" xfId="2368" xr:uid="{00000000-0005-0000-0000-0000E2050000}"/>
    <cellStyle name="Notas 18 3 14" xfId="2517" xr:uid="{00000000-0005-0000-0000-0000E3050000}"/>
    <cellStyle name="Notas 18 3 2" xfId="601" xr:uid="{00000000-0005-0000-0000-0000E4050000}"/>
    <cellStyle name="Notas 18 3 3" xfId="747" xr:uid="{00000000-0005-0000-0000-0000E5050000}"/>
    <cellStyle name="Notas 18 3 4" xfId="892" xr:uid="{00000000-0005-0000-0000-0000E6050000}"/>
    <cellStyle name="Notas 18 3 5" xfId="1070" xr:uid="{00000000-0005-0000-0000-0000E7050000}"/>
    <cellStyle name="Notas 18 3 6" xfId="1236" xr:uid="{00000000-0005-0000-0000-0000E8050000}"/>
    <cellStyle name="Notas 18 3 7" xfId="1425" xr:uid="{00000000-0005-0000-0000-0000E9050000}"/>
    <cellStyle name="Notas 18 3 8" xfId="1604" xr:uid="{00000000-0005-0000-0000-0000EA050000}"/>
    <cellStyle name="Notas 18 3 9" xfId="1774" xr:uid="{00000000-0005-0000-0000-0000EB050000}"/>
    <cellStyle name="Notas 18 4" xfId="436" xr:uid="{00000000-0005-0000-0000-0000EC050000}"/>
    <cellStyle name="Notas 18 5" xfId="599" xr:uid="{00000000-0005-0000-0000-0000ED050000}"/>
    <cellStyle name="Notas 18 6" xfId="745" xr:uid="{00000000-0005-0000-0000-0000EE050000}"/>
    <cellStyle name="Notas 18 7" xfId="890" xr:uid="{00000000-0005-0000-0000-0000EF050000}"/>
    <cellStyle name="Notas 18 8" xfId="1068" xr:uid="{00000000-0005-0000-0000-0000F0050000}"/>
    <cellStyle name="Notas 18 9" xfId="1234" xr:uid="{00000000-0005-0000-0000-0000F1050000}"/>
    <cellStyle name="Notas 19" xfId="136" xr:uid="{00000000-0005-0000-0000-0000F2050000}"/>
    <cellStyle name="Notas 19 10" xfId="1426" xr:uid="{00000000-0005-0000-0000-0000F3050000}"/>
    <cellStyle name="Notas 19 11" xfId="1605" xr:uid="{00000000-0005-0000-0000-0000F4050000}"/>
    <cellStyle name="Notas 19 12" xfId="1775" xr:uid="{00000000-0005-0000-0000-0000F5050000}"/>
    <cellStyle name="Notas 19 13" xfId="1932" xr:uid="{00000000-0005-0000-0000-0000F6050000}"/>
    <cellStyle name="Notas 19 14" xfId="2079" xr:uid="{00000000-0005-0000-0000-0000F7050000}"/>
    <cellStyle name="Notas 19 15" xfId="2220" xr:uid="{00000000-0005-0000-0000-0000F8050000}"/>
    <cellStyle name="Notas 19 16" xfId="2369" xr:uid="{00000000-0005-0000-0000-0000F9050000}"/>
    <cellStyle name="Notas 19 17" xfId="2518" xr:uid="{00000000-0005-0000-0000-0000FA050000}"/>
    <cellStyle name="Notas 19 2" xfId="440" xr:uid="{00000000-0005-0000-0000-0000FB050000}"/>
    <cellStyle name="Notas 19 2 10" xfId="1933" xr:uid="{00000000-0005-0000-0000-0000FC050000}"/>
    <cellStyle name="Notas 19 2 11" xfId="2080" xr:uid="{00000000-0005-0000-0000-0000FD050000}"/>
    <cellStyle name="Notas 19 2 12" xfId="2221" xr:uid="{00000000-0005-0000-0000-0000FE050000}"/>
    <cellStyle name="Notas 19 2 13" xfId="2370" xr:uid="{00000000-0005-0000-0000-0000FF050000}"/>
    <cellStyle name="Notas 19 2 14" xfId="2519" xr:uid="{00000000-0005-0000-0000-000000060000}"/>
    <cellStyle name="Notas 19 2 2" xfId="603" xr:uid="{00000000-0005-0000-0000-000001060000}"/>
    <cellStyle name="Notas 19 2 3" xfId="749" xr:uid="{00000000-0005-0000-0000-000002060000}"/>
    <cellStyle name="Notas 19 2 4" xfId="894" xr:uid="{00000000-0005-0000-0000-000003060000}"/>
    <cellStyle name="Notas 19 2 5" xfId="1072" xr:uid="{00000000-0005-0000-0000-000004060000}"/>
    <cellStyle name="Notas 19 2 6" xfId="1238" xr:uid="{00000000-0005-0000-0000-000005060000}"/>
    <cellStyle name="Notas 19 2 7" xfId="1427" xr:uid="{00000000-0005-0000-0000-000006060000}"/>
    <cellStyle name="Notas 19 2 8" xfId="1606" xr:uid="{00000000-0005-0000-0000-000007060000}"/>
    <cellStyle name="Notas 19 2 9" xfId="1776" xr:uid="{00000000-0005-0000-0000-000008060000}"/>
    <cellStyle name="Notas 19 3" xfId="441" xr:uid="{00000000-0005-0000-0000-000009060000}"/>
    <cellStyle name="Notas 19 3 10" xfId="1934" xr:uid="{00000000-0005-0000-0000-00000A060000}"/>
    <cellStyle name="Notas 19 3 11" xfId="2081" xr:uid="{00000000-0005-0000-0000-00000B060000}"/>
    <cellStyle name="Notas 19 3 12" xfId="2222" xr:uid="{00000000-0005-0000-0000-00000C060000}"/>
    <cellStyle name="Notas 19 3 13" xfId="2371" xr:uid="{00000000-0005-0000-0000-00000D060000}"/>
    <cellStyle name="Notas 19 3 14" xfId="2520" xr:uid="{00000000-0005-0000-0000-00000E060000}"/>
    <cellStyle name="Notas 19 3 2" xfId="604" xr:uid="{00000000-0005-0000-0000-00000F060000}"/>
    <cellStyle name="Notas 19 3 3" xfId="750" xr:uid="{00000000-0005-0000-0000-000010060000}"/>
    <cellStyle name="Notas 19 3 4" xfId="895" xr:uid="{00000000-0005-0000-0000-000011060000}"/>
    <cellStyle name="Notas 19 3 5" xfId="1073" xr:uid="{00000000-0005-0000-0000-000012060000}"/>
    <cellStyle name="Notas 19 3 6" xfId="1239" xr:uid="{00000000-0005-0000-0000-000013060000}"/>
    <cellStyle name="Notas 19 3 7" xfId="1428" xr:uid="{00000000-0005-0000-0000-000014060000}"/>
    <cellStyle name="Notas 19 3 8" xfId="1607" xr:uid="{00000000-0005-0000-0000-000015060000}"/>
    <cellStyle name="Notas 19 3 9" xfId="1777" xr:uid="{00000000-0005-0000-0000-000016060000}"/>
    <cellStyle name="Notas 19 4" xfId="439" xr:uid="{00000000-0005-0000-0000-000017060000}"/>
    <cellStyle name="Notas 19 5" xfId="602" xr:uid="{00000000-0005-0000-0000-000018060000}"/>
    <cellStyle name="Notas 19 6" xfId="748" xr:uid="{00000000-0005-0000-0000-000019060000}"/>
    <cellStyle name="Notas 19 7" xfId="893" xr:uid="{00000000-0005-0000-0000-00001A060000}"/>
    <cellStyle name="Notas 19 8" xfId="1071" xr:uid="{00000000-0005-0000-0000-00001B060000}"/>
    <cellStyle name="Notas 19 9" xfId="1237" xr:uid="{00000000-0005-0000-0000-00001C060000}"/>
    <cellStyle name="Notas 2" xfId="51" xr:uid="{00000000-0005-0000-0000-00001D060000}"/>
    <cellStyle name="Notas 2 10" xfId="442" xr:uid="{00000000-0005-0000-0000-00001E060000}"/>
    <cellStyle name="Notas 2 11" xfId="605" xr:uid="{00000000-0005-0000-0000-00001F060000}"/>
    <cellStyle name="Notas 2 12" xfId="751" xr:uid="{00000000-0005-0000-0000-000020060000}"/>
    <cellStyle name="Notas 2 13" xfId="896" xr:uid="{00000000-0005-0000-0000-000021060000}"/>
    <cellStyle name="Notas 2 14" xfId="1074" xr:uid="{00000000-0005-0000-0000-000022060000}"/>
    <cellStyle name="Notas 2 15" xfId="1240" xr:uid="{00000000-0005-0000-0000-000023060000}"/>
    <cellStyle name="Notas 2 16" xfId="1429" xr:uid="{00000000-0005-0000-0000-000024060000}"/>
    <cellStyle name="Notas 2 17" xfId="1608" xr:uid="{00000000-0005-0000-0000-000025060000}"/>
    <cellStyle name="Notas 2 18" xfId="1778" xr:uid="{00000000-0005-0000-0000-000026060000}"/>
    <cellStyle name="Notas 2 19" xfId="1935" xr:uid="{00000000-0005-0000-0000-000027060000}"/>
    <cellStyle name="Notas 2 2" xfId="108" xr:uid="{00000000-0005-0000-0000-000028060000}"/>
    <cellStyle name="Notas 2 2 10" xfId="1779" xr:uid="{00000000-0005-0000-0000-000029060000}"/>
    <cellStyle name="Notas 2 2 11" xfId="1936" xr:uid="{00000000-0005-0000-0000-00002A060000}"/>
    <cellStyle name="Notas 2 2 12" xfId="2083" xr:uid="{00000000-0005-0000-0000-00002B060000}"/>
    <cellStyle name="Notas 2 2 13" xfId="2224" xr:uid="{00000000-0005-0000-0000-00002C060000}"/>
    <cellStyle name="Notas 2 2 14" xfId="2373" xr:uid="{00000000-0005-0000-0000-00002D060000}"/>
    <cellStyle name="Notas 2 2 15" xfId="2522" xr:uid="{00000000-0005-0000-0000-00002E060000}"/>
    <cellStyle name="Notas 2 2 2" xfId="443" xr:uid="{00000000-0005-0000-0000-00002F060000}"/>
    <cellStyle name="Notas 2 2 3" xfId="606" xr:uid="{00000000-0005-0000-0000-000030060000}"/>
    <cellStyle name="Notas 2 2 4" xfId="752" xr:uid="{00000000-0005-0000-0000-000031060000}"/>
    <cellStyle name="Notas 2 2 5" xfId="897" xr:uid="{00000000-0005-0000-0000-000032060000}"/>
    <cellStyle name="Notas 2 2 6" xfId="1075" xr:uid="{00000000-0005-0000-0000-000033060000}"/>
    <cellStyle name="Notas 2 2 7" xfId="1241" xr:uid="{00000000-0005-0000-0000-000034060000}"/>
    <cellStyle name="Notas 2 2 8" xfId="1430" xr:uid="{00000000-0005-0000-0000-000035060000}"/>
    <cellStyle name="Notas 2 2 9" xfId="1609" xr:uid="{00000000-0005-0000-0000-000036060000}"/>
    <cellStyle name="Notas 2 20" xfId="2082" xr:uid="{00000000-0005-0000-0000-000037060000}"/>
    <cellStyle name="Notas 2 21" xfId="2223" xr:uid="{00000000-0005-0000-0000-000038060000}"/>
    <cellStyle name="Notas 2 22" xfId="2372" xr:uid="{00000000-0005-0000-0000-000039060000}"/>
    <cellStyle name="Notas 2 23" xfId="2521" xr:uid="{00000000-0005-0000-0000-00003A060000}"/>
    <cellStyle name="Notas 2 24" xfId="2597" xr:uid="{00000000-0005-0000-0000-00003B060000}"/>
    <cellStyle name="Notas 2 3" xfId="164" xr:uid="{00000000-0005-0000-0000-00003C060000}"/>
    <cellStyle name="Notas 2 3 10" xfId="1780" xr:uid="{00000000-0005-0000-0000-00003D060000}"/>
    <cellStyle name="Notas 2 3 11" xfId="1937" xr:uid="{00000000-0005-0000-0000-00003E060000}"/>
    <cellStyle name="Notas 2 3 12" xfId="2084" xr:uid="{00000000-0005-0000-0000-00003F060000}"/>
    <cellStyle name="Notas 2 3 13" xfId="2225" xr:uid="{00000000-0005-0000-0000-000040060000}"/>
    <cellStyle name="Notas 2 3 14" xfId="2374" xr:uid="{00000000-0005-0000-0000-000041060000}"/>
    <cellStyle name="Notas 2 3 15" xfId="2523" xr:uid="{00000000-0005-0000-0000-000042060000}"/>
    <cellStyle name="Notas 2 3 2" xfId="444" xr:uid="{00000000-0005-0000-0000-000043060000}"/>
    <cellStyle name="Notas 2 3 3" xfId="607" xr:uid="{00000000-0005-0000-0000-000044060000}"/>
    <cellStyle name="Notas 2 3 4" xfId="753" xr:uid="{00000000-0005-0000-0000-000045060000}"/>
    <cellStyle name="Notas 2 3 5" xfId="898" xr:uid="{00000000-0005-0000-0000-000046060000}"/>
    <cellStyle name="Notas 2 3 6" xfId="1076" xr:uid="{00000000-0005-0000-0000-000047060000}"/>
    <cellStyle name="Notas 2 3 7" xfId="1242" xr:uid="{00000000-0005-0000-0000-000048060000}"/>
    <cellStyle name="Notas 2 3 8" xfId="1431" xr:uid="{00000000-0005-0000-0000-000049060000}"/>
    <cellStyle name="Notas 2 3 9" xfId="1610" xr:uid="{00000000-0005-0000-0000-00004A060000}"/>
    <cellStyle name="Notas 2 4" xfId="194" xr:uid="{00000000-0005-0000-0000-00004B060000}"/>
    <cellStyle name="Notas 2 5" xfId="217" xr:uid="{00000000-0005-0000-0000-00004C060000}"/>
    <cellStyle name="Notas 2 6" xfId="234" xr:uid="{00000000-0005-0000-0000-00004D060000}"/>
    <cellStyle name="Notas 2 7" xfId="271" xr:uid="{00000000-0005-0000-0000-00004E060000}"/>
    <cellStyle name="Notas 2 8" xfId="299" xr:uid="{00000000-0005-0000-0000-00004F060000}"/>
    <cellStyle name="Notas 2 9" xfId="323" xr:uid="{00000000-0005-0000-0000-000050060000}"/>
    <cellStyle name="Notas 20" xfId="137" xr:uid="{00000000-0005-0000-0000-000051060000}"/>
    <cellStyle name="Notas 20 10" xfId="1432" xr:uid="{00000000-0005-0000-0000-000052060000}"/>
    <cellStyle name="Notas 20 11" xfId="1611" xr:uid="{00000000-0005-0000-0000-000053060000}"/>
    <cellStyle name="Notas 20 12" xfId="1781" xr:uid="{00000000-0005-0000-0000-000054060000}"/>
    <cellStyle name="Notas 20 13" xfId="1938" xr:uid="{00000000-0005-0000-0000-000055060000}"/>
    <cellStyle name="Notas 20 14" xfId="2085" xr:uid="{00000000-0005-0000-0000-000056060000}"/>
    <cellStyle name="Notas 20 15" xfId="2226" xr:uid="{00000000-0005-0000-0000-000057060000}"/>
    <cellStyle name="Notas 20 16" xfId="2375" xr:uid="{00000000-0005-0000-0000-000058060000}"/>
    <cellStyle name="Notas 20 17" xfId="2524" xr:uid="{00000000-0005-0000-0000-000059060000}"/>
    <cellStyle name="Notas 20 2" xfId="446" xr:uid="{00000000-0005-0000-0000-00005A060000}"/>
    <cellStyle name="Notas 20 2 10" xfId="1939" xr:uid="{00000000-0005-0000-0000-00005B060000}"/>
    <cellStyle name="Notas 20 2 11" xfId="2086" xr:uid="{00000000-0005-0000-0000-00005C060000}"/>
    <cellStyle name="Notas 20 2 12" xfId="2227" xr:uid="{00000000-0005-0000-0000-00005D060000}"/>
    <cellStyle name="Notas 20 2 13" xfId="2376" xr:uid="{00000000-0005-0000-0000-00005E060000}"/>
    <cellStyle name="Notas 20 2 14" xfId="2525" xr:uid="{00000000-0005-0000-0000-00005F060000}"/>
    <cellStyle name="Notas 20 2 2" xfId="609" xr:uid="{00000000-0005-0000-0000-000060060000}"/>
    <cellStyle name="Notas 20 2 3" xfId="755" xr:uid="{00000000-0005-0000-0000-000061060000}"/>
    <cellStyle name="Notas 20 2 4" xfId="900" xr:uid="{00000000-0005-0000-0000-000062060000}"/>
    <cellStyle name="Notas 20 2 5" xfId="1078" xr:uid="{00000000-0005-0000-0000-000063060000}"/>
    <cellStyle name="Notas 20 2 6" xfId="1244" xr:uid="{00000000-0005-0000-0000-000064060000}"/>
    <cellStyle name="Notas 20 2 7" xfId="1433" xr:uid="{00000000-0005-0000-0000-000065060000}"/>
    <cellStyle name="Notas 20 2 8" xfId="1612" xr:uid="{00000000-0005-0000-0000-000066060000}"/>
    <cellStyle name="Notas 20 2 9" xfId="1782" xr:uid="{00000000-0005-0000-0000-000067060000}"/>
    <cellStyle name="Notas 20 3" xfId="447" xr:uid="{00000000-0005-0000-0000-000068060000}"/>
    <cellStyle name="Notas 20 3 10" xfId="1940" xr:uid="{00000000-0005-0000-0000-000069060000}"/>
    <cellStyle name="Notas 20 3 11" xfId="2087" xr:uid="{00000000-0005-0000-0000-00006A060000}"/>
    <cellStyle name="Notas 20 3 12" xfId="2228" xr:uid="{00000000-0005-0000-0000-00006B060000}"/>
    <cellStyle name="Notas 20 3 13" xfId="2377" xr:uid="{00000000-0005-0000-0000-00006C060000}"/>
    <cellStyle name="Notas 20 3 14" xfId="2526" xr:uid="{00000000-0005-0000-0000-00006D060000}"/>
    <cellStyle name="Notas 20 3 2" xfId="610" xr:uid="{00000000-0005-0000-0000-00006E060000}"/>
    <cellStyle name="Notas 20 3 3" xfId="756" xr:uid="{00000000-0005-0000-0000-00006F060000}"/>
    <cellStyle name="Notas 20 3 4" xfId="901" xr:uid="{00000000-0005-0000-0000-000070060000}"/>
    <cellStyle name="Notas 20 3 5" xfId="1079" xr:uid="{00000000-0005-0000-0000-000071060000}"/>
    <cellStyle name="Notas 20 3 6" xfId="1245" xr:uid="{00000000-0005-0000-0000-000072060000}"/>
    <cellStyle name="Notas 20 3 7" xfId="1434" xr:uid="{00000000-0005-0000-0000-000073060000}"/>
    <cellStyle name="Notas 20 3 8" xfId="1613" xr:uid="{00000000-0005-0000-0000-000074060000}"/>
    <cellStyle name="Notas 20 3 9" xfId="1783" xr:uid="{00000000-0005-0000-0000-000075060000}"/>
    <cellStyle name="Notas 20 4" xfId="445" xr:uid="{00000000-0005-0000-0000-000076060000}"/>
    <cellStyle name="Notas 20 5" xfId="608" xr:uid="{00000000-0005-0000-0000-000077060000}"/>
    <cellStyle name="Notas 20 6" xfId="754" xr:uid="{00000000-0005-0000-0000-000078060000}"/>
    <cellStyle name="Notas 20 7" xfId="899" xr:uid="{00000000-0005-0000-0000-000079060000}"/>
    <cellStyle name="Notas 20 8" xfId="1077" xr:uid="{00000000-0005-0000-0000-00007A060000}"/>
    <cellStyle name="Notas 20 9" xfId="1243" xr:uid="{00000000-0005-0000-0000-00007B060000}"/>
    <cellStyle name="Notas 21" xfId="138" xr:uid="{00000000-0005-0000-0000-00007C060000}"/>
    <cellStyle name="Notas 21 10" xfId="1435" xr:uid="{00000000-0005-0000-0000-00007D060000}"/>
    <cellStyle name="Notas 21 11" xfId="1614" xr:uid="{00000000-0005-0000-0000-00007E060000}"/>
    <cellStyle name="Notas 21 12" xfId="1784" xr:uid="{00000000-0005-0000-0000-00007F060000}"/>
    <cellStyle name="Notas 21 13" xfId="1941" xr:uid="{00000000-0005-0000-0000-000080060000}"/>
    <cellStyle name="Notas 21 14" xfId="2088" xr:uid="{00000000-0005-0000-0000-000081060000}"/>
    <cellStyle name="Notas 21 15" xfId="2229" xr:uid="{00000000-0005-0000-0000-000082060000}"/>
    <cellStyle name="Notas 21 16" xfId="2378" xr:uid="{00000000-0005-0000-0000-000083060000}"/>
    <cellStyle name="Notas 21 17" xfId="2527" xr:uid="{00000000-0005-0000-0000-000084060000}"/>
    <cellStyle name="Notas 21 2" xfId="449" xr:uid="{00000000-0005-0000-0000-000085060000}"/>
    <cellStyle name="Notas 21 2 10" xfId="1942" xr:uid="{00000000-0005-0000-0000-000086060000}"/>
    <cellStyle name="Notas 21 2 11" xfId="2089" xr:uid="{00000000-0005-0000-0000-000087060000}"/>
    <cellStyle name="Notas 21 2 12" xfId="2230" xr:uid="{00000000-0005-0000-0000-000088060000}"/>
    <cellStyle name="Notas 21 2 13" xfId="2379" xr:uid="{00000000-0005-0000-0000-000089060000}"/>
    <cellStyle name="Notas 21 2 14" xfId="2528" xr:uid="{00000000-0005-0000-0000-00008A060000}"/>
    <cellStyle name="Notas 21 2 2" xfId="612" xr:uid="{00000000-0005-0000-0000-00008B060000}"/>
    <cellStyle name="Notas 21 2 3" xfId="758" xr:uid="{00000000-0005-0000-0000-00008C060000}"/>
    <cellStyle name="Notas 21 2 4" xfId="903" xr:uid="{00000000-0005-0000-0000-00008D060000}"/>
    <cellStyle name="Notas 21 2 5" xfId="1081" xr:uid="{00000000-0005-0000-0000-00008E060000}"/>
    <cellStyle name="Notas 21 2 6" xfId="1247" xr:uid="{00000000-0005-0000-0000-00008F060000}"/>
    <cellStyle name="Notas 21 2 7" xfId="1436" xr:uid="{00000000-0005-0000-0000-000090060000}"/>
    <cellStyle name="Notas 21 2 8" xfId="1615" xr:uid="{00000000-0005-0000-0000-000091060000}"/>
    <cellStyle name="Notas 21 2 9" xfId="1785" xr:uid="{00000000-0005-0000-0000-000092060000}"/>
    <cellStyle name="Notas 21 3" xfId="450" xr:uid="{00000000-0005-0000-0000-000093060000}"/>
    <cellStyle name="Notas 21 3 10" xfId="1943" xr:uid="{00000000-0005-0000-0000-000094060000}"/>
    <cellStyle name="Notas 21 3 11" xfId="2090" xr:uid="{00000000-0005-0000-0000-000095060000}"/>
    <cellStyle name="Notas 21 3 12" xfId="2231" xr:uid="{00000000-0005-0000-0000-000096060000}"/>
    <cellStyle name="Notas 21 3 13" xfId="2380" xr:uid="{00000000-0005-0000-0000-000097060000}"/>
    <cellStyle name="Notas 21 3 14" xfId="2529" xr:uid="{00000000-0005-0000-0000-000098060000}"/>
    <cellStyle name="Notas 21 3 2" xfId="613" xr:uid="{00000000-0005-0000-0000-000099060000}"/>
    <cellStyle name="Notas 21 3 3" xfId="759" xr:uid="{00000000-0005-0000-0000-00009A060000}"/>
    <cellStyle name="Notas 21 3 4" xfId="904" xr:uid="{00000000-0005-0000-0000-00009B060000}"/>
    <cellStyle name="Notas 21 3 5" xfId="1082" xr:uid="{00000000-0005-0000-0000-00009C060000}"/>
    <cellStyle name="Notas 21 3 6" xfId="1248" xr:uid="{00000000-0005-0000-0000-00009D060000}"/>
    <cellStyle name="Notas 21 3 7" xfId="1437" xr:uid="{00000000-0005-0000-0000-00009E060000}"/>
    <cellStyle name="Notas 21 3 8" xfId="1616" xr:uid="{00000000-0005-0000-0000-00009F060000}"/>
    <cellStyle name="Notas 21 3 9" xfId="1786" xr:uid="{00000000-0005-0000-0000-0000A0060000}"/>
    <cellStyle name="Notas 21 4" xfId="448" xr:uid="{00000000-0005-0000-0000-0000A1060000}"/>
    <cellStyle name="Notas 21 5" xfId="611" xr:uid="{00000000-0005-0000-0000-0000A2060000}"/>
    <cellStyle name="Notas 21 6" xfId="757" xr:uid="{00000000-0005-0000-0000-0000A3060000}"/>
    <cellStyle name="Notas 21 7" xfId="902" xr:uid="{00000000-0005-0000-0000-0000A4060000}"/>
    <cellStyle name="Notas 21 8" xfId="1080" xr:uid="{00000000-0005-0000-0000-0000A5060000}"/>
    <cellStyle name="Notas 21 9" xfId="1246" xr:uid="{00000000-0005-0000-0000-0000A6060000}"/>
    <cellStyle name="Notas 22" xfId="139" xr:uid="{00000000-0005-0000-0000-0000A7060000}"/>
    <cellStyle name="Notas 22 10" xfId="1438" xr:uid="{00000000-0005-0000-0000-0000A8060000}"/>
    <cellStyle name="Notas 22 11" xfId="1617" xr:uid="{00000000-0005-0000-0000-0000A9060000}"/>
    <cellStyle name="Notas 22 12" xfId="1787" xr:uid="{00000000-0005-0000-0000-0000AA060000}"/>
    <cellStyle name="Notas 22 13" xfId="1944" xr:uid="{00000000-0005-0000-0000-0000AB060000}"/>
    <cellStyle name="Notas 22 14" xfId="2091" xr:uid="{00000000-0005-0000-0000-0000AC060000}"/>
    <cellStyle name="Notas 22 15" xfId="2232" xr:uid="{00000000-0005-0000-0000-0000AD060000}"/>
    <cellStyle name="Notas 22 16" xfId="2381" xr:uid="{00000000-0005-0000-0000-0000AE060000}"/>
    <cellStyle name="Notas 22 17" xfId="2530" xr:uid="{00000000-0005-0000-0000-0000AF060000}"/>
    <cellStyle name="Notas 22 2" xfId="452" xr:uid="{00000000-0005-0000-0000-0000B0060000}"/>
    <cellStyle name="Notas 22 2 10" xfId="1945" xr:uid="{00000000-0005-0000-0000-0000B1060000}"/>
    <cellStyle name="Notas 22 2 11" xfId="2092" xr:uid="{00000000-0005-0000-0000-0000B2060000}"/>
    <cellStyle name="Notas 22 2 12" xfId="2233" xr:uid="{00000000-0005-0000-0000-0000B3060000}"/>
    <cellStyle name="Notas 22 2 13" xfId="2382" xr:uid="{00000000-0005-0000-0000-0000B4060000}"/>
    <cellStyle name="Notas 22 2 14" xfId="2531" xr:uid="{00000000-0005-0000-0000-0000B5060000}"/>
    <cellStyle name="Notas 22 2 2" xfId="615" xr:uid="{00000000-0005-0000-0000-0000B6060000}"/>
    <cellStyle name="Notas 22 2 3" xfId="761" xr:uid="{00000000-0005-0000-0000-0000B7060000}"/>
    <cellStyle name="Notas 22 2 4" xfId="906" xr:uid="{00000000-0005-0000-0000-0000B8060000}"/>
    <cellStyle name="Notas 22 2 5" xfId="1084" xr:uid="{00000000-0005-0000-0000-0000B9060000}"/>
    <cellStyle name="Notas 22 2 6" xfId="1250" xr:uid="{00000000-0005-0000-0000-0000BA060000}"/>
    <cellStyle name="Notas 22 2 7" xfId="1439" xr:uid="{00000000-0005-0000-0000-0000BB060000}"/>
    <cellStyle name="Notas 22 2 8" xfId="1618" xr:uid="{00000000-0005-0000-0000-0000BC060000}"/>
    <cellStyle name="Notas 22 2 9" xfId="1788" xr:uid="{00000000-0005-0000-0000-0000BD060000}"/>
    <cellStyle name="Notas 22 3" xfId="453" xr:uid="{00000000-0005-0000-0000-0000BE060000}"/>
    <cellStyle name="Notas 22 3 10" xfId="1946" xr:uid="{00000000-0005-0000-0000-0000BF060000}"/>
    <cellStyle name="Notas 22 3 11" xfId="2093" xr:uid="{00000000-0005-0000-0000-0000C0060000}"/>
    <cellStyle name="Notas 22 3 12" xfId="2234" xr:uid="{00000000-0005-0000-0000-0000C1060000}"/>
    <cellStyle name="Notas 22 3 13" xfId="2383" xr:uid="{00000000-0005-0000-0000-0000C2060000}"/>
    <cellStyle name="Notas 22 3 14" xfId="2532" xr:uid="{00000000-0005-0000-0000-0000C3060000}"/>
    <cellStyle name="Notas 22 3 2" xfId="616" xr:uid="{00000000-0005-0000-0000-0000C4060000}"/>
    <cellStyle name="Notas 22 3 3" xfId="762" xr:uid="{00000000-0005-0000-0000-0000C5060000}"/>
    <cellStyle name="Notas 22 3 4" xfId="907" xr:uid="{00000000-0005-0000-0000-0000C6060000}"/>
    <cellStyle name="Notas 22 3 5" xfId="1085" xr:uid="{00000000-0005-0000-0000-0000C7060000}"/>
    <cellStyle name="Notas 22 3 6" xfId="1251" xr:uid="{00000000-0005-0000-0000-0000C8060000}"/>
    <cellStyle name="Notas 22 3 7" xfId="1440" xr:uid="{00000000-0005-0000-0000-0000C9060000}"/>
    <cellStyle name="Notas 22 3 8" xfId="1619" xr:uid="{00000000-0005-0000-0000-0000CA060000}"/>
    <cellStyle name="Notas 22 3 9" xfId="1789" xr:uid="{00000000-0005-0000-0000-0000CB060000}"/>
    <cellStyle name="Notas 22 4" xfId="451" xr:uid="{00000000-0005-0000-0000-0000CC060000}"/>
    <cellStyle name="Notas 22 5" xfId="614" xr:uid="{00000000-0005-0000-0000-0000CD060000}"/>
    <cellStyle name="Notas 22 6" xfId="760" xr:uid="{00000000-0005-0000-0000-0000CE060000}"/>
    <cellStyle name="Notas 22 7" xfId="905" xr:uid="{00000000-0005-0000-0000-0000CF060000}"/>
    <cellStyle name="Notas 22 8" xfId="1083" xr:uid="{00000000-0005-0000-0000-0000D0060000}"/>
    <cellStyle name="Notas 22 9" xfId="1249" xr:uid="{00000000-0005-0000-0000-0000D1060000}"/>
    <cellStyle name="Notas 23" xfId="140" xr:uid="{00000000-0005-0000-0000-0000D2060000}"/>
    <cellStyle name="Notas 23 10" xfId="1790" xr:uid="{00000000-0005-0000-0000-0000D3060000}"/>
    <cellStyle name="Notas 23 11" xfId="1947" xr:uid="{00000000-0005-0000-0000-0000D4060000}"/>
    <cellStyle name="Notas 23 12" xfId="2094" xr:uid="{00000000-0005-0000-0000-0000D5060000}"/>
    <cellStyle name="Notas 23 13" xfId="2235" xr:uid="{00000000-0005-0000-0000-0000D6060000}"/>
    <cellStyle name="Notas 23 14" xfId="2384" xr:uid="{00000000-0005-0000-0000-0000D7060000}"/>
    <cellStyle name="Notas 23 15" xfId="2533" xr:uid="{00000000-0005-0000-0000-0000D8060000}"/>
    <cellStyle name="Notas 23 2" xfId="454" xr:uid="{00000000-0005-0000-0000-0000D9060000}"/>
    <cellStyle name="Notas 23 3" xfId="617" xr:uid="{00000000-0005-0000-0000-0000DA060000}"/>
    <cellStyle name="Notas 23 4" xfId="763" xr:uid="{00000000-0005-0000-0000-0000DB060000}"/>
    <cellStyle name="Notas 23 5" xfId="908" xr:uid="{00000000-0005-0000-0000-0000DC060000}"/>
    <cellStyle name="Notas 23 6" xfId="1086" xr:uid="{00000000-0005-0000-0000-0000DD060000}"/>
    <cellStyle name="Notas 23 7" xfId="1252" xr:uid="{00000000-0005-0000-0000-0000DE060000}"/>
    <cellStyle name="Notas 23 8" xfId="1441" xr:uid="{00000000-0005-0000-0000-0000DF060000}"/>
    <cellStyle name="Notas 23 9" xfId="1620" xr:uid="{00000000-0005-0000-0000-0000E0060000}"/>
    <cellStyle name="Notas 24" xfId="141" xr:uid="{00000000-0005-0000-0000-0000E1060000}"/>
    <cellStyle name="Notas 24 10" xfId="1791" xr:uid="{00000000-0005-0000-0000-0000E2060000}"/>
    <cellStyle name="Notas 24 11" xfId="1948" xr:uid="{00000000-0005-0000-0000-0000E3060000}"/>
    <cellStyle name="Notas 24 12" xfId="2095" xr:uid="{00000000-0005-0000-0000-0000E4060000}"/>
    <cellStyle name="Notas 24 13" xfId="2236" xr:uid="{00000000-0005-0000-0000-0000E5060000}"/>
    <cellStyle name="Notas 24 14" xfId="2385" xr:uid="{00000000-0005-0000-0000-0000E6060000}"/>
    <cellStyle name="Notas 24 15" xfId="2534" xr:uid="{00000000-0005-0000-0000-0000E7060000}"/>
    <cellStyle name="Notas 24 2" xfId="455" xr:uid="{00000000-0005-0000-0000-0000E8060000}"/>
    <cellStyle name="Notas 24 3" xfId="618" xr:uid="{00000000-0005-0000-0000-0000E9060000}"/>
    <cellStyle name="Notas 24 4" xfId="764" xr:uid="{00000000-0005-0000-0000-0000EA060000}"/>
    <cellStyle name="Notas 24 5" xfId="909" xr:uid="{00000000-0005-0000-0000-0000EB060000}"/>
    <cellStyle name="Notas 24 6" xfId="1087" xr:uid="{00000000-0005-0000-0000-0000EC060000}"/>
    <cellStyle name="Notas 24 7" xfId="1253" xr:uid="{00000000-0005-0000-0000-0000ED060000}"/>
    <cellStyle name="Notas 24 8" xfId="1442" xr:uid="{00000000-0005-0000-0000-0000EE060000}"/>
    <cellStyle name="Notas 24 9" xfId="1621" xr:uid="{00000000-0005-0000-0000-0000EF060000}"/>
    <cellStyle name="Notas 25" xfId="142" xr:uid="{00000000-0005-0000-0000-0000F0060000}"/>
    <cellStyle name="Notas 25 10" xfId="1792" xr:uid="{00000000-0005-0000-0000-0000F1060000}"/>
    <cellStyle name="Notas 25 11" xfId="1949" xr:uid="{00000000-0005-0000-0000-0000F2060000}"/>
    <cellStyle name="Notas 25 12" xfId="2096" xr:uid="{00000000-0005-0000-0000-0000F3060000}"/>
    <cellStyle name="Notas 25 13" xfId="2237" xr:uid="{00000000-0005-0000-0000-0000F4060000}"/>
    <cellStyle name="Notas 25 14" xfId="2386" xr:uid="{00000000-0005-0000-0000-0000F5060000}"/>
    <cellStyle name="Notas 25 15" xfId="2535" xr:uid="{00000000-0005-0000-0000-0000F6060000}"/>
    <cellStyle name="Notas 25 2" xfId="456" xr:uid="{00000000-0005-0000-0000-0000F7060000}"/>
    <cellStyle name="Notas 25 3" xfId="619" xr:uid="{00000000-0005-0000-0000-0000F8060000}"/>
    <cellStyle name="Notas 25 4" xfId="765" xr:uid="{00000000-0005-0000-0000-0000F9060000}"/>
    <cellStyle name="Notas 25 5" xfId="910" xr:uid="{00000000-0005-0000-0000-0000FA060000}"/>
    <cellStyle name="Notas 25 6" xfId="1088" xr:uid="{00000000-0005-0000-0000-0000FB060000}"/>
    <cellStyle name="Notas 25 7" xfId="1254" xr:uid="{00000000-0005-0000-0000-0000FC060000}"/>
    <cellStyle name="Notas 25 8" xfId="1443" xr:uid="{00000000-0005-0000-0000-0000FD060000}"/>
    <cellStyle name="Notas 25 9" xfId="1622" xr:uid="{00000000-0005-0000-0000-0000FE060000}"/>
    <cellStyle name="Notas 26" xfId="143" xr:uid="{00000000-0005-0000-0000-0000FF060000}"/>
    <cellStyle name="Notas 26 10" xfId="1793" xr:uid="{00000000-0005-0000-0000-000000070000}"/>
    <cellStyle name="Notas 26 11" xfId="1950" xr:uid="{00000000-0005-0000-0000-000001070000}"/>
    <cellStyle name="Notas 26 12" xfId="2097" xr:uid="{00000000-0005-0000-0000-000002070000}"/>
    <cellStyle name="Notas 26 13" xfId="2238" xr:uid="{00000000-0005-0000-0000-000003070000}"/>
    <cellStyle name="Notas 26 14" xfId="2387" xr:uid="{00000000-0005-0000-0000-000004070000}"/>
    <cellStyle name="Notas 26 15" xfId="2536" xr:uid="{00000000-0005-0000-0000-000005070000}"/>
    <cellStyle name="Notas 26 2" xfId="457" xr:uid="{00000000-0005-0000-0000-000006070000}"/>
    <cellStyle name="Notas 26 3" xfId="620" xr:uid="{00000000-0005-0000-0000-000007070000}"/>
    <cellStyle name="Notas 26 4" xfId="766" xr:uid="{00000000-0005-0000-0000-000008070000}"/>
    <cellStyle name="Notas 26 5" xfId="911" xr:uid="{00000000-0005-0000-0000-000009070000}"/>
    <cellStyle name="Notas 26 6" xfId="1089" xr:uid="{00000000-0005-0000-0000-00000A070000}"/>
    <cellStyle name="Notas 26 7" xfId="1255" xr:uid="{00000000-0005-0000-0000-00000B070000}"/>
    <cellStyle name="Notas 26 8" xfId="1444" xr:uid="{00000000-0005-0000-0000-00000C070000}"/>
    <cellStyle name="Notas 26 9" xfId="1623" xr:uid="{00000000-0005-0000-0000-00000D070000}"/>
    <cellStyle name="Notas 27" xfId="144" xr:uid="{00000000-0005-0000-0000-00000E070000}"/>
    <cellStyle name="Notas 27 10" xfId="1794" xr:uid="{00000000-0005-0000-0000-00000F070000}"/>
    <cellStyle name="Notas 27 11" xfId="1951" xr:uid="{00000000-0005-0000-0000-000010070000}"/>
    <cellStyle name="Notas 27 12" xfId="2098" xr:uid="{00000000-0005-0000-0000-000011070000}"/>
    <cellStyle name="Notas 27 13" xfId="2239" xr:uid="{00000000-0005-0000-0000-000012070000}"/>
    <cellStyle name="Notas 27 14" xfId="2388" xr:uid="{00000000-0005-0000-0000-000013070000}"/>
    <cellStyle name="Notas 27 15" xfId="2537" xr:uid="{00000000-0005-0000-0000-000014070000}"/>
    <cellStyle name="Notas 27 2" xfId="458" xr:uid="{00000000-0005-0000-0000-000015070000}"/>
    <cellStyle name="Notas 27 3" xfId="621" xr:uid="{00000000-0005-0000-0000-000016070000}"/>
    <cellStyle name="Notas 27 4" xfId="767" xr:uid="{00000000-0005-0000-0000-000017070000}"/>
    <cellStyle name="Notas 27 5" xfId="912" xr:uid="{00000000-0005-0000-0000-000018070000}"/>
    <cellStyle name="Notas 27 6" xfId="1090" xr:uid="{00000000-0005-0000-0000-000019070000}"/>
    <cellStyle name="Notas 27 7" xfId="1256" xr:uid="{00000000-0005-0000-0000-00001A070000}"/>
    <cellStyle name="Notas 27 8" xfId="1445" xr:uid="{00000000-0005-0000-0000-00001B070000}"/>
    <cellStyle name="Notas 27 9" xfId="1624" xr:uid="{00000000-0005-0000-0000-00001C070000}"/>
    <cellStyle name="Notas 28" xfId="145" xr:uid="{00000000-0005-0000-0000-00001D070000}"/>
    <cellStyle name="Notas 28 10" xfId="1795" xr:uid="{00000000-0005-0000-0000-00001E070000}"/>
    <cellStyle name="Notas 28 11" xfId="1952" xr:uid="{00000000-0005-0000-0000-00001F070000}"/>
    <cellStyle name="Notas 28 12" xfId="2099" xr:uid="{00000000-0005-0000-0000-000020070000}"/>
    <cellStyle name="Notas 28 13" xfId="2240" xr:uid="{00000000-0005-0000-0000-000021070000}"/>
    <cellStyle name="Notas 28 14" xfId="2389" xr:uid="{00000000-0005-0000-0000-000022070000}"/>
    <cellStyle name="Notas 28 15" xfId="2538" xr:uid="{00000000-0005-0000-0000-000023070000}"/>
    <cellStyle name="Notas 28 2" xfId="459" xr:uid="{00000000-0005-0000-0000-000024070000}"/>
    <cellStyle name="Notas 28 3" xfId="622" xr:uid="{00000000-0005-0000-0000-000025070000}"/>
    <cellStyle name="Notas 28 4" xfId="768" xr:uid="{00000000-0005-0000-0000-000026070000}"/>
    <cellStyle name="Notas 28 5" xfId="913" xr:uid="{00000000-0005-0000-0000-000027070000}"/>
    <cellStyle name="Notas 28 6" xfId="1091" xr:uid="{00000000-0005-0000-0000-000028070000}"/>
    <cellStyle name="Notas 28 7" xfId="1257" xr:uid="{00000000-0005-0000-0000-000029070000}"/>
    <cellStyle name="Notas 28 8" xfId="1446" xr:uid="{00000000-0005-0000-0000-00002A070000}"/>
    <cellStyle name="Notas 28 9" xfId="1625" xr:uid="{00000000-0005-0000-0000-00002B070000}"/>
    <cellStyle name="Notas 29" xfId="146" xr:uid="{00000000-0005-0000-0000-00002C070000}"/>
    <cellStyle name="Notas 29 10" xfId="1796" xr:uid="{00000000-0005-0000-0000-00002D070000}"/>
    <cellStyle name="Notas 29 11" xfId="1953" xr:uid="{00000000-0005-0000-0000-00002E070000}"/>
    <cellStyle name="Notas 29 12" xfId="2100" xr:uid="{00000000-0005-0000-0000-00002F070000}"/>
    <cellStyle name="Notas 29 13" xfId="2241" xr:uid="{00000000-0005-0000-0000-000030070000}"/>
    <cellStyle name="Notas 29 14" xfId="2390" xr:uid="{00000000-0005-0000-0000-000031070000}"/>
    <cellStyle name="Notas 29 15" xfId="2539" xr:uid="{00000000-0005-0000-0000-000032070000}"/>
    <cellStyle name="Notas 29 2" xfId="460" xr:uid="{00000000-0005-0000-0000-000033070000}"/>
    <cellStyle name="Notas 29 3" xfId="623" xr:uid="{00000000-0005-0000-0000-000034070000}"/>
    <cellStyle name="Notas 29 4" xfId="769" xr:uid="{00000000-0005-0000-0000-000035070000}"/>
    <cellStyle name="Notas 29 5" xfId="914" xr:uid="{00000000-0005-0000-0000-000036070000}"/>
    <cellStyle name="Notas 29 6" xfId="1092" xr:uid="{00000000-0005-0000-0000-000037070000}"/>
    <cellStyle name="Notas 29 7" xfId="1258" xr:uid="{00000000-0005-0000-0000-000038070000}"/>
    <cellStyle name="Notas 29 8" xfId="1447" xr:uid="{00000000-0005-0000-0000-000039070000}"/>
    <cellStyle name="Notas 29 9" xfId="1626" xr:uid="{00000000-0005-0000-0000-00003A070000}"/>
    <cellStyle name="Notas 3" xfId="55" xr:uid="{00000000-0005-0000-0000-00003B070000}"/>
    <cellStyle name="Notas 3 10" xfId="461" xr:uid="{00000000-0005-0000-0000-00003C070000}"/>
    <cellStyle name="Notas 3 11" xfId="624" xr:uid="{00000000-0005-0000-0000-00003D070000}"/>
    <cellStyle name="Notas 3 12" xfId="770" xr:uid="{00000000-0005-0000-0000-00003E070000}"/>
    <cellStyle name="Notas 3 13" xfId="915" xr:uid="{00000000-0005-0000-0000-00003F070000}"/>
    <cellStyle name="Notas 3 14" xfId="1093" xr:uid="{00000000-0005-0000-0000-000040070000}"/>
    <cellStyle name="Notas 3 15" xfId="1259" xr:uid="{00000000-0005-0000-0000-000041070000}"/>
    <cellStyle name="Notas 3 16" xfId="1448" xr:uid="{00000000-0005-0000-0000-000042070000}"/>
    <cellStyle name="Notas 3 17" xfId="1627" xr:uid="{00000000-0005-0000-0000-000043070000}"/>
    <cellStyle name="Notas 3 18" xfId="1797" xr:uid="{00000000-0005-0000-0000-000044070000}"/>
    <cellStyle name="Notas 3 19" xfId="1954" xr:uid="{00000000-0005-0000-0000-000045070000}"/>
    <cellStyle name="Notas 3 2" xfId="109" xr:uid="{00000000-0005-0000-0000-000046070000}"/>
    <cellStyle name="Notas 3 2 10" xfId="1798" xr:uid="{00000000-0005-0000-0000-000047070000}"/>
    <cellStyle name="Notas 3 2 11" xfId="1955" xr:uid="{00000000-0005-0000-0000-000048070000}"/>
    <cellStyle name="Notas 3 2 12" xfId="2102" xr:uid="{00000000-0005-0000-0000-000049070000}"/>
    <cellStyle name="Notas 3 2 13" xfId="2243" xr:uid="{00000000-0005-0000-0000-00004A070000}"/>
    <cellStyle name="Notas 3 2 14" xfId="2392" xr:uid="{00000000-0005-0000-0000-00004B070000}"/>
    <cellStyle name="Notas 3 2 15" xfId="2541" xr:uid="{00000000-0005-0000-0000-00004C070000}"/>
    <cellStyle name="Notas 3 2 2" xfId="462" xr:uid="{00000000-0005-0000-0000-00004D070000}"/>
    <cellStyle name="Notas 3 2 3" xfId="625" xr:uid="{00000000-0005-0000-0000-00004E070000}"/>
    <cellStyle name="Notas 3 2 4" xfId="771" xr:uid="{00000000-0005-0000-0000-00004F070000}"/>
    <cellStyle name="Notas 3 2 5" xfId="916" xr:uid="{00000000-0005-0000-0000-000050070000}"/>
    <cellStyle name="Notas 3 2 6" xfId="1094" xr:uid="{00000000-0005-0000-0000-000051070000}"/>
    <cellStyle name="Notas 3 2 7" xfId="1260" xr:uid="{00000000-0005-0000-0000-000052070000}"/>
    <cellStyle name="Notas 3 2 8" xfId="1449" xr:uid="{00000000-0005-0000-0000-000053070000}"/>
    <cellStyle name="Notas 3 2 9" xfId="1628" xr:uid="{00000000-0005-0000-0000-000054070000}"/>
    <cellStyle name="Notas 3 20" xfId="2101" xr:uid="{00000000-0005-0000-0000-000055070000}"/>
    <cellStyle name="Notas 3 21" xfId="2242" xr:uid="{00000000-0005-0000-0000-000056070000}"/>
    <cellStyle name="Notas 3 22" xfId="2391" xr:uid="{00000000-0005-0000-0000-000057070000}"/>
    <cellStyle name="Notas 3 23" xfId="2540" xr:uid="{00000000-0005-0000-0000-000058070000}"/>
    <cellStyle name="Notas 3 3" xfId="165" xr:uid="{00000000-0005-0000-0000-000059070000}"/>
    <cellStyle name="Notas 3 3 10" xfId="1799" xr:uid="{00000000-0005-0000-0000-00005A070000}"/>
    <cellStyle name="Notas 3 3 11" xfId="1956" xr:uid="{00000000-0005-0000-0000-00005B070000}"/>
    <cellStyle name="Notas 3 3 12" xfId="2103" xr:uid="{00000000-0005-0000-0000-00005C070000}"/>
    <cellStyle name="Notas 3 3 13" xfId="2244" xr:uid="{00000000-0005-0000-0000-00005D070000}"/>
    <cellStyle name="Notas 3 3 14" xfId="2393" xr:uid="{00000000-0005-0000-0000-00005E070000}"/>
    <cellStyle name="Notas 3 3 15" xfId="2542" xr:uid="{00000000-0005-0000-0000-00005F070000}"/>
    <cellStyle name="Notas 3 3 2" xfId="463" xr:uid="{00000000-0005-0000-0000-000060070000}"/>
    <cellStyle name="Notas 3 3 3" xfId="626" xr:uid="{00000000-0005-0000-0000-000061070000}"/>
    <cellStyle name="Notas 3 3 4" xfId="772" xr:uid="{00000000-0005-0000-0000-000062070000}"/>
    <cellStyle name="Notas 3 3 5" xfId="917" xr:uid="{00000000-0005-0000-0000-000063070000}"/>
    <cellStyle name="Notas 3 3 6" xfId="1095" xr:uid="{00000000-0005-0000-0000-000064070000}"/>
    <cellStyle name="Notas 3 3 7" xfId="1261" xr:uid="{00000000-0005-0000-0000-000065070000}"/>
    <cellStyle name="Notas 3 3 8" xfId="1450" xr:uid="{00000000-0005-0000-0000-000066070000}"/>
    <cellStyle name="Notas 3 3 9" xfId="1629" xr:uid="{00000000-0005-0000-0000-000067070000}"/>
    <cellStyle name="Notas 3 4" xfId="195" xr:uid="{00000000-0005-0000-0000-000068070000}"/>
    <cellStyle name="Notas 3 5" xfId="218" xr:uid="{00000000-0005-0000-0000-000069070000}"/>
    <cellStyle name="Notas 3 6" xfId="235" xr:uid="{00000000-0005-0000-0000-00006A070000}"/>
    <cellStyle name="Notas 3 7" xfId="272" xr:uid="{00000000-0005-0000-0000-00006B070000}"/>
    <cellStyle name="Notas 3 8" xfId="300" xr:uid="{00000000-0005-0000-0000-00006C070000}"/>
    <cellStyle name="Notas 3 9" xfId="324" xr:uid="{00000000-0005-0000-0000-00006D070000}"/>
    <cellStyle name="Notas 30" xfId="147" xr:uid="{00000000-0005-0000-0000-00006E070000}"/>
    <cellStyle name="Notas 30 10" xfId="1800" xr:uid="{00000000-0005-0000-0000-00006F070000}"/>
    <cellStyle name="Notas 30 11" xfId="1957" xr:uid="{00000000-0005-0000-0000-000070070000}"/>
    <cellStyle name="Notas 30 12" xfId="2104" xr:uid="{00000000-0005-0000-0000-000071070000}"/>
    <cellStyle name="Notas 30 13" xfId="2245" xr:uid="{00000000-0005-0000-0000-000072070000}"/>
    <cellStyle name="Notas 30 14" xfId="2394" xr:uid="{00000000-0005-0000-0000-000073070000}"/>
    <cellStyle name="Notas 30 15" xfId="2543" xr:uid="{00000000-0005-0000-0000-000074070000}"/>
    <cellStyle name="Notas 30 2" xfId="464" xr:uid="{00000000-0005-0000-0000-000075070000}"/>
    <cellStyle name="Notas 30 3" xfId="627" xr:uid="{00000000-0005-0000-0000-000076070000}"/>
    <cellStyle name="Notas 30 4" xfId="773" xr:uid="{00000000-0005-0000-0000-000077070000}"/>
    <cellStyle name="Notas 30 5" xfId="918" xr:uid="{00000000-0005-0000-0000-000078070000}"/>
    <cellStyle name="Notas 30 6" xfId="1096" xr:uid="{00000000-0005-0000-0000-000079070000}"/>
    <cellStyle name="Notas 30 7" xfId="1262" xr:uid="{00000000-0005-0000-0000-00007A070000}"/>
    <cellStyle name="Notas 30 8" xfId="1451" xr:uid="{00000000-0005-0000-0000-00007B070000}"/>
    <cellStyle name="Notas 30 9" xfId="1630" xr:uid="{00000000-0005-0000-0000-00007C070000}"/>
    <cellStyle name="Notas 31" xfId="148" xr:uid="{00000000-0005-0000-0000-00007D070000}"/>
    <cellStyle name="Notas 31 10" xfId="1801" xr:uid="{00000000-0005-0000-0000-00007E070000}"/>
    <cellStyle name="Notas 31 11" xfId="1958" xr:uid="{00000000-0005-0000-0000-00007F070000}"/>
    <cellStyle name="Notas 31 12" xfId="2105" xr:uid="{00000000-0005-0000-0000-000080070000}"/>
    <cellStyle name="Notas 31 13" xfId="2246" xr:uid="{00000000-0005-0000-0000-000081070000}"/>
    <cellStyle name="Notas 31 14" xfId="2395" xr:uid="{00000000-0005-0000-0000-000082070000}"/>
    <cellStyle name="Notas 31 15" xfId="2544" xr:uid="{00000000-0005-0000-0000-000083070000}"/>
    <cellStyle name="Notas 31 2" xfId="465" xr:uid="{00000000-0005-0000-0000-000084070000}"/>
    <cellStyle name="Notas 31 3" xfId="628" xr:uid="{00000000-0005-0000-0000-000085070000}"/>
    <cellStyle name="Notas 31 4" xfId="774" xr:uid="{00000000-0005-0000-0000-000086070000}"/>
    <cellStyle name="Notas 31 5" xfId="919" xr:uid="{00000000-0005-0000-0000-000087070000}"/>
    <cellStyle name="Notas 31 6" xfId="1097" xr:uid="{00000000-0005-0000-0000-000088070000}"/>
    <cellStyle name="Notas 31 7" xfId="1263" xr:uid="{00000000-0005-0000-0000-000089070000}"/>
    <cellStyle name="Notas 31 8" xfId="1452" xr:uid="{00000000-0005-0000-0000-00008A070000}"/>
    <cellStyle name="Notas 31 9" xfId="1631" xr:uid="{00000000-0005-0000-0000-00008B070000}"/>
    <cellStyle name="Notas 32" xfId="466" xr:uid="{00000000-0005-0000-0000-00008C070000}"/>
    <cellStyle name="Notas 32 10" xfId="1959" xr:uid="{00000000-0005-0000-0000-00008D070000}"/>
    <cellStyle name="Notas 32 11" xfId="2106" xr:uid="{00000000-0005-0000-0000-00008E070000}"/>
    <cellStyle name="Notas 32 12" xfId="2247" xr:uid="{00000000-0005-0000-0000-00008F070000}"/>
    <cellStyle name="Notas 32 13" xfId="2396" xr:uid="{00000000-0005-0000-0000-000090070000}"/>
    <cellStyle name="Notas 32 14" xfId="2545" xr:uid="{00000000-0005-0000-0000-000091070000}"/>
    <cellStyle name="Notas 32 2" xfId="629" xr:uid="{00000000-0005-0000-0000-000092070000}"/>
    <cellStyle name="Notas 32 3" xfId="775" xr:uid="{00000000-0005-0000-0000-000093070000}"/>
    <cellStyle name="Notas 32 4" xfId="920" xr:uid="{00000000-0005-0000-0000-000094070000}"/>
    <cellStyle name="Notas 32 5" xfId="1098" xr:uid="{00000000-0005-0000-0000-000095070000}"/>
    <cellStyle name="Notas 32 6" xfId="1264" xr:uid="{00000000-0005-0000-0000-000096070000}"/>
    <cellStyle name="Notas 32 7" xfId="1453" xr:uid="{00000000-0005-0000-0000-000097070000}"/>
    <cellStyle name="Notas 32 8" xfId="1632" xr:uid="{00000000-0005-0000-0000-000098070000}"/>
    <cellStyle name="Notas 32 9" xfId="1802" xr:uid="{00000000-0005-0000-0000-000099070000}"/>
    <cellStyle name="Notas 33" xfId="467" xr:uid="{00000000-0005-0000-0000-00009A070000}"/>
    <cellStyle name="Notas 33 10" xfId="1960" xr:uid="{00000000-0005-0000-0000-00009B070000}"/>
    <cellStyle name="Notas 33 11" xfId="2107" xr:uid="{00000000-0005-0000-0000-00009C070000}"/>
    <cellStyle name="Notas 33 12" xfId="2248" xr:uid="{00000000-0005-0000-0000-00009D070000}"/>
    <cellStyle name="Notas 33 13" xfId="2397" xr:uid="{00000000-0005-0000-0000-00009E070000}"/>
    <cellStyle name="Notas 33 14" xfId="2546" xr:uid="{00000000-0005-0000-0000-00009F070000}"/>
    <cellStyle name="Notas 33 2" xfId="630" xr:uid="{00000000-0005-0000-0000-0000A0070000}"/>
    <cellStyle name="Notas 33 3" xfId="776" xr:uid="{00000000-0005-0000-0000-0000A1070000}"/>
    <cellStyle name="Notas 33 4" xfId="921" xr:uid="{00000000-0005-0000-0000-0000A2070000}"/>
    <cellStyle name="Notas 33 5" xfId="1099" xr:uid="{00000000-0005-0000-0000-0000A3070000}"/>
    <cellStyle name="Notas 33 6" xfId="1265" xr:uid="{00000000-0005-0000-0000-0000A4070000}"/>
    <cellStyle name="Notas 33 7" xfId="1454" xr:uid="{00000000-0005-0000-0000-0000A5070000}"/>
    <cellStyle name="Notas 33 8" xfId="1633" xr:uid="{00000000-0005-0000-0000-0000A6070000}"/>
    <cellStyle name="Notas 33 9" xfId="1803" xr:uid="{00000000-0005-0000-0000-0000A7070000}"/>
    <cellStyle name="Notas 34" xfId="468" xr:uid="{00000000-0005-0000-0000-0000A8070000}"/>
    <cellStyle name="Notas 34 10" xfId="1961" xr:uid="{00000000-0005-0000-0000-0000A9070000}"/>
    <cellStyle name="Notas 34 11" xfId="2108" xr:uid="{00000000-0005-0000-0000-0000AA070000}"/>
    <cellStyle name="Notas 34 12" xfId="2249" xr:uid="{00000000-0005-0000-0000-0000AB070000}"/>
    <cellStyle name="Notas 34 13" xfId="2398" xr:uid="{00000000-0005-0000-0000-0000AC070000}"/>
    <cellStyle name="Notas 34 14" xfId="2547" xr:uid="{00000000-0005-0000-0000-0000AD070000}"/>
    <cellStyle name="Notas 34 2" xfId="631" xr:uid="{00000000-0005-0000-0000-0000AE070000}"/>
    <cellStyle name="Notas 34 3" xfId="777" xr:uid="{00000000-0005-0000-0000-0000AF070000}"/>
    <cellStyle name="Notas 34 4" xfId="922" xr:uid="{00000000-0005-0000-0000-0000B0070000}"/>
    <cellStyle name="Notas 34 5" xfId="1100" xr:uid="{00000000-0005-0000-0000-0000B1070000}"/>
    <cellStyle name="Notas 34 6" xfId="1266" xr:uid="{00000000-0005-0000-0000-0000B2070000}"/>
    <cellStyle name="Notas 34 7" xfId="1455" xr:uid="{00000000-0005-0000-0000-0000B3070000}"/>
    <cellStyle name="Notas 34 8" xfId="1634" xr:uid="{00000000-0005-0000-0000-0000B4070000}"/>
    <cellStyle name="Notas 34 9" xfId="1804" xr:uid="{00000000-0005-0000-0000-0000B5070000}"/>
    <cellStyle name="Notas 35" xfId="469" xr:uid="{00000000-0005-0000-0000-0000B6070000}"/>
    <cellStyle name="Notas 35 10" xfId="1962" xr:uid="{00000000-0005-0000-0000-0000B7070000}"/>
    <cellStyle name="Notas 35 11" xfId="2109" xr:uid="{00000000-0005-0000-0000-0000B8070000}"/>
    <cellStyle name="Notas 35 12" xfId="2250" xr:uid="{00000000-0005-0000-0000-0000B9070000}"/>
    <cellStyle name="Notas 35 13" xfId="2399" xr:uid="{00000000-0005-0000-0000-0000BA070000}"/>
    <cellStyle name="Notas 35 14" xfId="2548" xr:uid="{00000000-0005-0000-0000-0000BB070000}"/>
    <cellStyle name="Notas 35 2" xfId="632" xr:uid="{00000000-0005-0000-0000-0000BC070000}"/>
    <cellStyle name="Notas 35 3" xfId="778" xr:uid="{00000000-0005-0000-0000-0000BD070000}"/>
    <cellStyle name="Notas 35 4" xfId="923" xr:uid="{00000000-0005-0000-0000-0000BE070000}"/>
    <cellStyle name="Notas 35 5" xfId="1101" xr:uid="{00000000-0005-0000-0000-0000BF070000}"/>
    <cellStyle name="Notas 35 6" xfId="1267" xr:uid="{00000000-0005-0000-0000-0000C0070000}"/>
    <cellStyle name="Notas 35 7" xfId="1456" xr:uid="{00000000-0005-0000-0000-0000C1070000}"/>
    <cellStyle name="Notas 35 8" xfId="1635" xr:uid="{00000000-0005-0000-0000-0000C2070000}"/>
    <cellStyle name="Notas 35 9" xfId="1805" xr:uid="{00000000-0005-0000-0000-0000C3070000}"/>
    <cellStyle name="Notas 36" xfId="470" xr:uid="{00000000-0005-0000-0000-0000C4070000}"/>
    <cellStyle name="Notas 36 10" xfId="1963" xr:uid="{00000000-0005-0000-0000-0000C5070000}"/>
    <cellStyle name="Notas 36 11" xfId="2110" xr:uid="{00000000-0005-0000-0000-0000C6070000}"/>
    <cellStyle name="Notas 36 12" xfId="2251" xr:uid="{00000000-0005-0000-0000-0000C7070000}"/>
    <cellStyle name="Notas 36 13" xfId="2400" xr:uid="{00000000-0005-0000-0000-0000C8070000}"/>
    <cellStyle name="Notas 36 14" xfId="2549" xr:uid="{00000000-0005-0000-0000-0000C9070000}"/>
    <cellStyle name="Notas 36 2" xfId="633" xr:uid="{00000000-0005-0000-0000-0000CA070000}"/>
    <cellStyle name="Notas 36 3" xfId="779" xr:uid="{00000000-0005-0000-0000-0000CB070000}"/>
    <cellStyle name="Notas 36 4" xfId="924" xr:uid="{00000000-0005-0000-0000-0000CC070000}"/>
    <cellStyle name="Notas 36 5" xfId="1102" xr:uid="{00000000-0005-0000-0000-0000CD070000}"/>
    <cellStyle name="Notas 36 6" xfId="1268" xr:uid="{00000000-0005-0000-0000-0000CE070000}"/>
    <cellStyle name="Notas 36 7" xfId="1457" xr:uid="{00000000-0005-0000-0000-0000CF070000}"/>
    <cellStyle name="Notas 36 8" xfId="1636" xr:uid="{00000000-0005-0000-0000-0000D0070000}"/>
    <cellStyle name="Notas 36 9" xfId="1806" xr:uid="{00000000-0005-0000-0000-0000D1070000}"/>
    <cellStyle name="Notas 37" xfId="471" xr:uid="{00000000-0005-0000-0000-0000D2070000}"/>
    <cellStyle name="Notas 37 10" xfId="1964" xr:uid="{00000000-0005-0000-0000-0000D3070000}"/>
    <cellStyle name="Notas 37 11" xfId="2111" xr:uid="{00000000-0005-0000-0000-0000D4070000}"/>
    <cellStyle name="Notas 37 12" xfId="2252" xr:uid="{00000000-0005-0000-0000-0000D5070000}"/>
    <cellStyle name="Notas 37 13" xfId="2401" xr:uid="{00000000-0005-0000-0000-0000D6070000}"/>
    <cellStyle name="Notas 37 14" xfId="2550" xr:uid="{00000000-0005-0000-0000-0000D7070000}"/>
    <cellStyle name="Notas 37 2" xfId="634" xr:uid="{00000000-0005-0000-0000-0000D8070000}"/>
    <cellStyle name="Notas 37 3" xfId="780" xr:uid="{00000000-0005-0000-0000-0000D9070000}"/>
    <cellStyle name="Notas 37 4" xfId="925" xr:uid="{00000000-0005-0000-0000-0000DA070000}"/>
    <cellStyle name="Notas 37 5" xfId="1103" xr:uid="{00000000-0005-0000-0000-0000DB070000}"/>
    <cellStyle name="Notas 37 6" xfId="1269" xr:uid="{00000000-0005-0000-0000-0000DC070000}"/>
    <cellStyle name="Notas 37 7" xfId="1458" xr:uid="{00000000-0005-0000-0000-0000DD070000}"/>
    <cellStyle name="Notas 37 8" xfId="1637" xr:uid="{00000000-0005-0000-0000-0000DE070000}"/>
    <cellStyle name="Notas 37 9" xfId="1807" xr:uid="{00000000-0005-0000-0000-0000DF070000}"/>
    <cellStyle name="Notas 38" xfId="472" xr:uid="{00000000-0005-0000-0000-0000E0070000}"/>
    <cellStyle name="Notas 38 10" xfId="1965" xr:uid="{00000000-0005-0000-0000-0000E1070000}"/>
    <cellStyle name="Notas 38 11" xfId="2112" xr:uid="{00000000-0005-0000-0000-0000E2070000}"/>
    <cellStyle name="Notas 38 12" xfId="2253" xr:uid="{00000000-0005-0000-0000-0000E3070000}"/>
    <cellStyle name="Notas 38 13" xfId="2402" xr:uid="{00000000-0005-0000-0000-0000E4070000}"/>
    <cellStyle name="Notas 38 14" xfId="2551" xr:uid="{00000000-0005-0000-0000-0000E5070000}"/>
    <cellStyle name="Notas 38 2" xfId="635" xr:uid="{00000000-0005-0000-0000-0000E6070000}"/>
    <cellStyle name="Notas 38 3" xfId="781" xr:uid="{00000000-0005-0000-0000-0000E7070000}"/>
    <cellStyle name="Notas 38 4" xfId="926" xr:uid="{00000000-0005-0000-0000-0000E8070000}"/>
    <cellStyle name="Notas 38 5" xfId="1104" xr:uid="{00000000-0005-0000-0000-0000E9070000}"/>
    <cellStyle name="Notas 38 6" xfId="1270" xr:uid="{00000000-0005-0000-0000-0000EA070000}"/>
    <cellStyle name="Notas 38 7" xfId="1459" xr:uid="{00000000-0005-0000-0000-0000EB070000}"/>
    <cellStyle name="Notas 38 8" xfId="1638" xr:uid="{00000000-0005-0000-0000-0000EC070000}"/>
    <cellStyle name="Notas 38 9" xfId="1808" xr:uid="{00000000-0005-0000-0000-0000ED070000}"/>
    <cellStyle name="Notas 39" xfId="473" xr:uid="{00000000-0005-0000-0000-0000EE070000}"/>
    <cellStyle name="Notas 39 10" xfId="1966" xr:uid="{00000000-0005-0000-0000-0000EF070000}"/>
    <cellStyle name="Notas 39 11" xfId="2113" xr:uid="{00000000-0005-0000-0000-0000F0070000}"/>
    <cellStyle name="Notas 39 12" xfId="2254" xr:uid="{00000000-0005-0000-0000-0000F1070000}"/>
    <cellStyle name="Notas 39 13" xfId="2403" xr:uid="{00000000-0005-0000-0000-0000F2070000}"/>
    <cellStyle name="Notas 39 14" xfId="2552" xr:uid="{00000000-0005-0000-0000-0000F3070000}"/>
    <cellStyle name="Notas 39 2" xfId="636" xr:uid="{00000000-0005-0000-0000-0000F4070000}"/>
    <cellStyle name="Notas 39 3" xfId="782" xr:uid="{00000000-0005-0000-0000-0000F5070000}"/>
    <cellStyle name="Notas 39 4" xfId="927" xr:uid="{00000000-0005-0000-0000-0000F6070000}"/>
    <cellStyle name="Notas 39 5" xfId="1105" xr:uid="{00000000-0005-0000-0000-0000F7070000}"/>
    <cellStyle name="Notas 39 6" xfId="1271" xr:uid="{00000000-0005-0000-0000-0000F8070000}"/>
    <cellStyle name="Notas 39 7" xfId="1460" xr:uid="{00000000-0005-0000-0000-0000F9070000}"/>
    <cellStyle name="Notas 39 8" xfId="1639" xr:uid="{00000000-0005-0000-0000-0000FA070000}"/>
    <cellStyle name="Notas 39 9" xfId="1809" xr:uid="{00000000-0005-0000-0000-0000FB070000}"/>
    <cellStyle name="Notas 4" xfId="62" xr:uid="{00000000-0005-0000-0000-0000FC070000}"/>
    <cellStyle name="Notas 4 10" xfId="474" xr:uid="{00000000-0005-0000-0000-0000FD070000}"/>
    <cellStyle name="Notas 4 11" xfId="637" xr:uid="{00000000-0005-0000-0000-0000FE070000}"/>
    <cellStyle name="Notas 4 12" xfId="783" xr:uid="{00000000-0005-0000-0000-0000FF070000}"/>
    <cellStyle name="Notas 4 13" xfId="928" xr:uid="{00000000-0005-0000-0000-000000080000}"/>
    <cellStyle name="Notas 4 14" xfId="1106" xr:uid="{00000000-0005-0000-0000-000001080000}"/>
    <cellStyle name="Notas 4 15" xfId="1272" xr:uid="{00000000-0005-0000-0000-000002080000}"/>
    <cellStyle name="Notas 4 16" xfId="1461" xr:uid="{00000000-0005-0000-0000-000003080000}"/>
    <cellStyle name="Notas 4 17" xfId="1640" xr:uid="{00000000-0005-0000-0000-000004080000}"/>
    <cellStyle name="Notas 4 18" xfId="1810" xr:uid="{00000000-0005-0000-0000-000005080000}"/>
    <cellStyle name="Notas 4 19" xfId="1967" xr:uid="{00000000-0005-0000-0000-000006080000}"/>
    <cellStyle name="Notas 4 2" xfId="110" xr:uid="{00000000-0005-0000-0000-000007080000}"/>
    <cellStyle name="Notas 4 2 10" xfId="1811" xr:uid="{00000000-0005-0000-0000-000008080000}"/>
    <cellStyle name="Notas 4 2 11" xfId="1968" xr:uid="{00000000-0005-0000-0000-000009080000}"/>
    <cellStyle name="Notas 4 2 12" xfId="2115" xr:uid="{00000000-0005-0000-0000-00000A080000}"/>
    <cellStyle name="Notas 4 2 13" xfId="2256" xr:uid="{00000000-0005-0000-0000-00000B080000}"/>
    <cellStyle name="Notas 4 2 14" xfId="2405" xr:uid="{00000000-0005-0000-0000-00000C080000}"/>
    <cellStyle name="Notas 4 2 15" xfId="2554" xr:uid="{00000000-0005-0000-0000-00000D080000}"/>
    <cellStyle name="Notas 4 2 2" xfId="475" xr:uid="{00000000-0005-0000-0000-00000E080000}"/>
    <cellStyle name="Notas 4 2 3" xfId="638" xr:uid="{00000000-0005-0000-0000-00000F080000}"/>
    <cellStyle name="Notas 4 2 4" xfId="784" xr:uid="{00000000-0005-0000-0000-000010080000}"/>
    <cellStyle name="Notas 4 2 5" xfId="929" xr:uid="{00000000-0005-0000-0000-000011080000}"/>
    <cellStyle name="Notas 4 2 6" xfId="1107" xr:uid="{00000000-0005-0000-0000-000012080000}"/>
    <cellStyle name="Notas 4 2 7" xfId="1273" xr:uid="{00000000-0005-0000-0000-000013080000}"/>
    <cellStyle name="Notas 4 2 8" xfId="1462" xr:uid="{00000000-0005-0000-0000-000014080000}"/>
    <cellStyle name="Notas 4 2 9" xfId="1641" xr:uid="{00000000-0005-0000-0000-000015080000}"/>
    <cellStyle name="Notas 4 20" xfId="2114" xr:uid="{00000000-0005-0000-0000-000016080000}"/>
    <cellStyle name="Notas 4 21" xfId="2255" xr:uid="{00000000-0005-0000-0000-000017080000}"/>
    <cellStyle name="Notas 4 22" xfId="2404" xr:uid="{00000000-0005-0000-0000-000018080000}"/>
    <cellStyle name="Notas 4 23" xfId="2553" xr:uid="{00000000-0005-0000-0000-000019080000}"/>
    <cellStyle name="Notas 4 3" xfId="166" xr:uid="{00000000-0005-0000-0000-00001A080000}"/>
    <cellStyle name="Notas 4 3 10" xfId="1812" xr:uid="{00000000-0005-0000-0000-00001B080000}"/>
    <cellStyle name="Notas 4 3 11" xfId="1969" xr:uid="{00000000-0005-0000-0000-00001C080000}"/>
    <cellStyle name="Notas 4 3 12" xfId="2116" xr:uid="{00000000-0005-0000-0000-00001D080000}"/>
    <cellStyle name="Notas 4 3 13" xfId="2257" xr:uid="{00000000-0005-0000-0000-00001E080000}"/>
    <cellStyle name="Notas 4 3 14" xfId="2406" xr:uid="{00000000-0005-0000-0000-00001F080000}"/>
    <cellStyle name="Notas 4 3 15" xfId="2555" xr:uid="{00000000-0005-0000-0000-000020080000}"/>
    <cellStyle name="Notas 4 3 2" xfId="476" xr:uid="{00000000-0005-0000-0000-000021080000}"/>
    <cellStyle name="Notas 4 3 3" xfId="639" xr:uid="{00000000-0005-0000-0000-000022080000}"/>
    <cellStyle name="Notas 4 3 4" xfId="785" xr:uid="{00000000-0005-0000-0000-000023080000}"/>
    <cellStyle name="Notas 4 3 5" xfId="930" xr:uid="{00000000-0005-0000-0000-000024080000}"/>
    <cellStyle name="Notas 4 3 6" xfId="1108" xr:uid="{00000000-0005-0000-0000-000025080000}"/>
    <cellStyle name="Notas 4 3 7" xfId="1274" xr:uid="{00000000-0005-0000-0000-000026080000}"/>
    <cellStyle name="Notas 4 3 8" xfId="1463" xr:uid="{00000000-0005-0000-0000-000027080000}"/>
    <cellStyle name="Notas 4 3 9" xfId="1642" xr:uid="{00000000-0005-0000-0000-000028080000}"/>
    <cellStyle name="Notas 4 4" xfId="196" xr:uid="{00000000-0005-0000-0000-000029080000}"/>
    <cellStyle name="Notas 4 5" xfId="219" xr:uid="{00000000-0005-0000-0000-00002A080000}"/>
    <cellStyle name="Notas 4 6" xfId="236" xr:uid="{00000000-0005-0000-0000-00002B080000}"/>
    <cellStyle name="Notas 4 7" xfId="273" xr:uid="{00000000-0005-0000-0000-00002C080000}"/>
    <cellStyle name="Notas 4 8" xfId="301" xr:uid="{00000000-0005-0000-0000-00002D080000}"/>
    <cellStyle name="Notas 4 9" xfId="325" xr:uid="{00000000-0005-0000-0000-00002E080000}"/>
    <cellStyle name="Notas 40" xfId="477" xr:uid="{00000000-0005-0000-0000-00002F080000}"/>
    <cellStyle name="Notas 40 10" xfId="1970" xr:uid="{00000000-0005-0000-0000-000030080000}"/>
    <cellStyle name="Notas 40 11" xfId="2117" xr:uid="{00000000-0005-0000-0000-000031080000}"/>
    <cellStyle name="Notas 40 12" xfId="2258" xr:uid="{00000000-0005-0000-0000-000032080000}"/>
    <cellStyle name="Notas 40 13" xfId="2407" xr:uid="{00000000-0005-0000-0000-000033080000}"/>
    <cellStyle name="Notas 40 14" xfId="2556" xr:uid="{00000000-0005-0000-0000-000034080000}"/>
    <cellStyle name="Notas 40 2" xfId="640" xr:uid="{00000000-0005-0000-0000-000035080000}"/>
    <cellStyle name="Notas 40 3" xfId="786" xr:uid="{00000000-0005-0000-0000-000036080000}"/>
    <cellStyle name="Notas 40 4" xfId="931" xr:uid="{00000000-0005-0000-0000-000037080000}"/>
    <cellStyle name="Notas 40 5" xfId="1109" xr:uid="{00000000-0005-0000-0000-000038080000}"/>
    <cellStyle name="Notas 40 6" xfId="1275" xr:uid="{00000000-0005-0000-0000-000039080000}"/>
    <cellStyle name="Notas 40 7" xfId="1464" xr:uid="{00000000-0005-0000-0000-00003A080000}"/>
    <cellStyle name="Notas 40 8" xfId="1643" xr:uid="{00000000-0005-0000-0000-00003B080000}"/>
    <cellStyle name="Notas 40 9" xfId="1813" xr:uid="{00000000-0005-0000-0000-00003C080000}"/>
    <cellStyle name="Notas 41" xfId="478" xr:uid="{00000000-0005-0000-0000-00003D080000}"/>
    <cellStyle name="Notas 41 10" xfId="1971" xr:uid="{00000000-0005-0000-0000-00003E080000}"/>
    <cellStyle name="Notas 41 11" xfId="2118" xr:uid="{00000000-0005-0000-0000-00003F080000}"/>
    <cellStyle name="Notas 41 12" xfId="2259" xr:uid="{00000000-0005-0000-0000-000040080000}"/>
    <cellStyle name="Notas 41 13" xfId="2408" xr:uid="{00000000-0005-0000-0000-000041080000}"/>
    <cellStyle name="Notas 41 14" xfId="2557" xr:uid="{00000000-0005-0000-0000-000042080000}"/>
    <cellStyle name="Notas 41 2" xfId="641" xr:uid="{00000000-0005-0000-0000-000043080000}"/>
    <cellStyle name="Notas 41 3" xfId="787" xr:uid="{00000000-0005-0000-0000-000044080000}"/>
    <cellStyle name="Notas 41 4" xfId="932" xr:uid="{00000000-0005-0000-0000-000045080000}"/>
    <cellStyle name="Notas 41 5" xfId="1110" xr:uid="{00000000-0005-0000-0000-000046080000}"/>
    <cellStyle name="Notas 41 6" xfId="1276" xr:uid="{00000000-0005-0000-0000-000047080000}"/>
    <cellStyle name="Notas 41 7" xfId="1465" xr:uid="{00000000-0005-0000-0000-000048080000}"/>
    <cellStyle name="Notas 41 8" xfId="1644" xr:uid="{00000000-0005-0000-0000-000049080000}"/>
    <cellStyle name="Notas 41 9" xfId="1814" xr:uid="{00000000-0005-0000-0000-00004A080000}"/>
    <cellStyle name="Notas 42" xfId="479" xr:uid="{00000000-0005-0000-0000-00004B080000}"/>
    <cellStyle name="Notas 42 10" xfId="1972" xr:uid="{00000000-0005-0000-0000-00004C080000}"/>
    <cellStyle name="Notas 42 11" xfId="2119" xr:uid="{00000000-0005-0000-0000-00004D080000}"/>
    <cellStyle name="Notas 42 12" xfId="2260" xr:uid="{00000000-0005-0000-0000-00004E080000}"/>
    <cellStyle name="Notas 42 13" xfId="2409" xr:uid="{00000000-0005-0000-0000-00004F080000}"/>
    <cellStyle name="Notas 42 14" xfId="2558" xr:uid="{00000000-0005-0000-0000-000050080000}"/>
    <cellStyle name="Notas 42 2" xfId="642" xr:uid="{00000000-0005-0000-0000-000051080000}"/>
    <cellStyle name="Notas 42 3" xfId="788" xr:uid="{00000000-0005-0000-0000-000052080000}"/>
    <cellStyle name="Notas 42 4" xfId="933" xr:uid="{00000000-0005-0000-0000-000053080000}"/>
    <cellStyle name="Notas 42 5" xfId="1111" xr:uid="{00000000-0005-0000-0000-000054080000}"/>
    <cellStyle name="Notas 42 6" xfId="1277" xr:uid="{00000000-0005-0000-0000-000055080000}"/>
    <cellStyle name="Notas 42 7" xfId="1466" xr:uid="{00000000-0005-0000-0000-000056080000}"/>
    <cellStyle name="Notas 42 8" xfId="1645" xr:uid="{00000000-0005-0000-0000-000057080000}"/>
    <cellStyle name="Notas 42 9" xfId="1815" xr:uid="{00000000-0005-0000-0000-000058080000}"/>
    <cellStyle name="Notas 43" xfId="643" xr:uid="{00000000-0005-0000-0000-000059080000}"/>
    <cellStyle name="Notas 43 10" xfId="2261" xr:uid="{00000000-0005-0000-0000-00005A080000}"/>
    <cellStyle name="Notas 43 11" xfId="2410" xr:uid="{00000000-0005-0000-0000-00005B080000}"/>
    <cellStyle name="Notas 43 12" xfId="2559" xr:uid="{00000000-0005-0000-0000-00005C080000}"/>
    <cellStyle name="Notas 43 2" xfId="934" xr:uid="{00000000-0005-0000-0000-00005D080000}"/>
    <cellStyle name="Notas 43 3" xfId="1112" xr:uid="{00000000-0005-0000-0000-00005E080000}"/>
    <cellStyle name="Notas 43 4" xfId="1278" xr:uid="{00000000-0005-0000-0000-00005F080000}"/>
    <cellStyle name="Notas 43 5" xfId="1467" xr:uid="{00000000-0005-0000-0000-000060080000}"/>
    <cellStyle name="Notas 43 6" xfId="1646" xr:uid="{00000000-0005-0000-0000-000061080000}"/>
    <cellStyle name="Notas 43 7" xfId="1816" xr:uid="{00000000-0005-0000-0000-000062080000}"/>
    <cellStyle name="Notas 43 8" xfId="1973" xr:uid="{00000000-0005-0000-0000-000063080000}"/>
    <cellStyle name="Notas 43 9" xfId="2120" xr:uid="{00000000-0005-0000-0000-000064080000}"/>
    <cellStyle name="Notas 44" xfId="644" xr:uid="{00000000-0005-0000-0000-000065080000}"/>
    <cellStyle name="Notas 44 10" xfId="2262" xr:uid="{00000000-0005-0000-0000-000066080000}"/>
    <cellStyle name="Notas 44 11" xfId="2411" xr:uid="{00000000-0005-0000-0000-000067080000}"/>
    <cellStyle name="Notas 44 12" xfId="2560" xr:uid="{00000000-0005-0000-0000-000068080000}"/>
    <cellStyle name="Notas 44 2" xfId="935" xr:uid="{00000000-0005-0000-0000-000069080000}"/>
    <cellStyle name="Notas 44 3" xfId="1113" xr:uid="{00000000-0005-0000-0000-00006A080000}"/>
    <cellStyle name="Notas 44 4" xfId="1279" xr:uid="{00000000-0005-0000-0000-00006B080000}"/>
    <cellStyle name="Notas 44 5" xfId="1468" xr:uid="{00000000-0005-0000-0000-00006C080000}"/>
    <cellStyle name="Notas 44 6" xfId="1647" xr:uid="{00000000-0005-0000-0000-00006D080000}"/>
    <cellStyle name="Notas 44 7" xfId="1817" xr:uid="{00000000-0005-0000-0000-00006E080000}"/>
    <cellStyle name="Notas 44 8" xfId="1974" xr:uid="{00000000-0005-0000-0000-00006F080000}"/>
    <cellStyle name="Notas 44 9" xfId="2121" xr:uid="{00000000-0005-0000-0000-000070080000}"/>
    <cellStyle name="Notas 45" xfId="645" xr:uid="{00000000-0005-0000-0000-000071080000}"/>
    <cellStyle name="Notas 45 10" xfId="2263" xr:uid="{00000000-0005-0000-0000-000072080000}"/>
    <cellStyle name="Notas 45 11" xfId="2412" xr:uid="{00000000-0005-0000-0000-000073080000}"/>
    <cellStyle name="Notas 45 12" xfId="2561" xr:uid="{00000000-0005-0000-0000-000074080000}"/>
    <cellStyle name="Notas 45 2" xfId="936" xr:uid="{00000000-0005-0000-0000-000075080000}"/>
    <cellStyle name="Notas 45 3" xfId="1114" xr:uid="{00000000-0005-0000-0000-000076080000}"/>
    <cellStyle name="Notas 45 4" xfId="1280" xr:uid="{00000000-0005-0000-0000-000077080000}"/>
    <cellStyle name="Notas 45 5" xfId="1469" xr:uid="{00000000-0005-0000-0000-000078080000}"/>
    <cellStyle name="Notas 45 6" xfId="1648" xr:uid="{00000000-0005-0000-0000-000079080000}"/>
    <cellStyle name="Notas 45 7" xfId="1818" xr:uid="{00000000-0005-0000-0000-00007A080000}"/>
    <cellStyle name="Notas 45 8" xfId="1975" xr:uid="{00000000-0005-0000-0000-00007B080000}"/>
    <cellStyle name="Notas 45 9" xfId="2122" xr:uid="{00000000-0005-0000-0000-00007C080000}"/>
    <cellStyle name="Notas 46" xfId="646" xr:uid="{00000000-0005-0000-0000-00007D080000}"/>
    <cellStyle name="Notas 46 10" xfId="2264" xr:uid="{00000000-0005-0000-0000-00007E080000}"/>
    <cellStyle name="Notas 46 11" xfId="2413" xr:uid="{00000000-0005-0000-0000-00007F080000}"/>
    <cellStyle name="Notas 46 12" xfId="2562" xr:uid="{00000000-0005-0000-0000-000080080000}"/>
    <cellStyle name="Notas 46 2" xfId="937" xr:uid="{00000000-0005-0000-0000-000081080000}"/>
    <cellStyle name="Notas 46 3" xfId="1115" xr:uid="{00000000-0005-0000-0000-000082080000}"/>
    <cellStyle name="Notas 46 4" xfId="1281" xr:uid="{00000000-0005-0000-0000-000083080000}"/>
    <cellStyle name="Notas 46 5" xfId="1470" xr:uid="{00000000-0005-0000-0000-000084080000}"/>
    <cellStyle name="Notas 46 6" xfId="1649" xr:uid="{00000000-0005-0000-0000-000085080000}"/>
    <cellStyle name="Notas 46 7" xfId="1819" xr:uid="{00000000-0005-0000-0000-000086080000}"/>
    <cellStyle name="Notas 46 8" xfId="1976" xr:uid="{00000000-0005-0000-0000-000087080000}"/>
    <cellStyle name="Notas 46 9" xfId="2123" xr:uid="{00000000-0005-0000-0000-000088080000}"/>
    <cellStyle name="Notas 47" xfId="647" xr:uid="{00000000-0005-0000-0000-000089080000}"/>
    <cellStyle name="Notas 47 10" xfId="2265" xr:uid="{00000000-0005-0000-0000-00008A080000}"/>
    <cellStyle name="Notas 47 11" xfId="2414" xr:uid="{00000000-0005-0000-0000-00008B080000}"/>
    <cellStyle name="Notas 47 12" xfId="2563" xr:uid="{00000000-0005-0000-0000-00008C080000}"/>
    <cellStyle name="Notas 47 2" xfId="938" xr:uid="{00000000-0005-0000-0000-00008D080000}"/>
    <cellStyle name="Notas 47 3" xfId="1116" xr:uid="{00000000-0005-0000-0000-00008E080000}"/>
    <cellStyle name="Notas 47 4" xfId="1282" xr:uid="{00000000-0005-0000-0000-00008F080000}"/>
    <cellStyle name="Notas 47 5" xfId="1471" xr:uid="{00000000-0005-0000-0000-000090080000}"/>
    <cellStyle name="Notas 47 6" xfId="1650" xr:uid="{00000000-0005-0000-0000-000091080000}"/>
    <cellStyle name="Notas 47 7" xfId="1820" xr:uid="{00000000-0005-0000-0000-000092080000}"/>
    <cellStyle name="Notas 47 8" xfId="1977" xr:uid="{00000000-0005-0000-0000-000093080000}"/>
    <cellStyle name="Notas 47 9" xfId="2124" xr:uid="{00000000-0005-0000-0000-000094080000}"/>
    <cellStyle name="Notas 48" xfId="648" xr:uid="{00000000-0005-0000-0000-000095080000}"/>
    <cellStyle name="Notas 48 10" xfId="2266" xr:uid="{00000000-0005-0000-0000-000096080000}"/>
    <cellStyle name="Notas 48 11" xfId="2415" xr:uid="{00000000-0005-0000-0000-000097080000}"/>
    <cellStyle name="Notas 48 12" xfId="2564" xr:uid="{00000000-0005-0000-0000-000098080000}"/>
    <cellStyle name="Notas 48 2" xfId="939" xr:uid="{00000000-0005-0000-0000-000099080000}"/>
    <cellStyle name="Notas 48 3" xfId="1117" xr:uid="{00000000-0005-0000-0000-00009A080000}"/>
    <cellStyle name="Notas 48 4" xfId="1283" xr:uid="{00000000-0005-0000-0000-00009B080000}"/>
    <cellStyle name="Notas 48 5" xfId="1472" xr:uid="{00000000-0005-0000-0000-00009C080000}"/>
    <cellStyle name="Notas 48 6" xfId="1651" xr:uid="{00000000-0005-0000-0000-00009D080000}"/>
    <cellStyle name="Notas 48 7" xfId="1821" xr:uid="{00000000-0005-0000-0000-00009E080000}"/>
    <cellStyle name="Notas 48 8" xfId="1978" xr:uid="{00000000-0005-0000-0000-00009F080000}"/>
    <cellStyle name="Notas 48 9" xfId="2125" xr:uid="{00000000-0005-0000-0000-0000A0080000}"/>
    <cellStyle name="Notas 49" xfId="649" xr:uid="{00000000-0005-0000-0000-0000A1080000}"/>
    <cellStyle name="Notas 49 2" xfId="940" xr:uid="{00000000-0005-0000-0000-0000A2080000}"/>
    <cellStyle name="Notas 49 3" xfId="1118" xr:uid="{00000000-0005-0000-0000-0000A3080000}"/>
    <cellStyle name="Notas 49 4" xfId="1284" xr:uid="{00000000-0005-0000-0000-0000A4080000}"/>
    <cellStyle name="Notas 49 5" xfId="1473" xr:uid="{00000000-0005-0000-0000-0000A5080000}"/>
    <cellStyle name="Notas 49 6" xfId="1652" xr:uid="{00000000-0005-0000-0000-0000A6080000}"/>
    <cellStyle name="Notas 49 7" xfId="2416" xr:uid="{00000000-0005-0000-0000-0000A7080000}"/>
    <cellStyle name="Notas 49 8" xfId="2565" xr:uid="{00000000-0005-0000-0000-0000A8080000}"/>
    <cellStyle name="Notas 5" xfId="63" xr:uid="{00000000-0005-0000-0000-0000A9080000}"/>
    <cellStyle name="Notas 5 10" xfId="480" xr:uid="{00000000-0005-0000-0000-0000AA080000}"/>
    <cellStyle name="Notas 5 11" xfId="650" xr:uid="{00000000-0005-0000-0000-0000AB080000}"/>
    <cellStyle name="Notas 5 12" xfId="789" xr:uid="{00000000-0005-0000-0000-0000AC080000}"/>
    <cellStyle name="Notas 5 13" xfId="941" xr:uid="{00000000-0005-0000-0000-0000AD080000}"/>
    <cellStyle name="Notas 5 14" xfId="1119" xr:uid="{00000000-0005-0000-0000-0000AE080000}"/>
    <cellStyle name="Notas 5 15" xfId="1285" xr:uid="{00000000-0005-0000-0000-0000AF080000}"/>
    <cellStyle name="Notas 5 16" xfId="1474" xr:uid="{00000000-0005-0000-0000-0000B0080000}"/>
    <cellStyle name="Notas 5 17" xfId="1653" xr:uid="{00000000-0005-0000-0000-0000B1080000}"/>
    <cellStyle name="Notas 5 18" xfId="1822" xr:uid="{00000000-0005-0000-0000-0000B2080000}"/>
    <cellStyle name="Notas 5 19" xfId="1979" xr:uid="{00000000-0005-0000-0000-0000B3080000}"/>
    <cellStyle name="Notas 5 2" xfId="111" xr:uid="{00000000-0005-0000-0000-0000B4080000}"/>
    <cellStyle name="Notas 5 2 10" xfId="1823" xr:uid="{00000000-0005-0000-0000-0000B5080000}"/>
    <cellStyle name="Notas 5 2 11" xfId="1980" xr:uid="{00000000-0005-0000-0000-0000B6080000}"/>
    <cellStyle name="Notas 5 2 12" xfId="2127" xr:uid="{00000000-0005-0000-0000-0000B7080000}"/>
    <cellStyle name="Notas 5 2 13" xfId="2268" xr:uid="{00000000-0005-0000-0000-0000B8080000}"/>
    <cellStyle name="Notas 5 2 14" xfId="2418" xr:uid="{00000000-0005-0000-0000-0000B9080000}"/>
    <cellStyle name="Notas 5 2 15" xfId="2567" xr:uid="{00000000-0005-0000-0000-0000BA080000}"/>
    <cellStyle name="Notas 5 2 2" xfId="481" xr:uid="{00000000-0005-0000-0000-0000BB080000}"/>
    <cellStyle name="Notas 5 2 3" xfId="651" xr:uid="{00000000-0005-0000-0000-0000BC080000}"/>
    <cellStyle name="Notas 5 2 4" xfId="790" xr:uid="{00000000-0005-0000-0000-0000BD080000}"/>
    <cellStyle name="Notas 5 2 5" xfId="942" xr:uid="{00000000-0005-0000-0000-0000BE080000}"/>
    <cellStyle name="Notas 5 2 6" xfId="1120" xr:uid="{00000000-0005-0000-0000-0000BF080000}"/>
    <cellStyle name="Notas 5 2 7" xfId="1286" xr:uid="{00000000-0005-0000-0000-0000C0080000}"/>
    <cellStyle name="Notas 5 2 8" xfId="1475" xr:uid="{00000000-0005-0000-0000-0000C1080000}"/>
    <cellStyle name="Notas 5 2 9" xfId="1654" xr:uid="{00000000-0005-0000-0000-0000C2080000}"/>
    <cellStyle name="Notas 5 20" xfId="2126" xr:uid="{00000000-0005-0000-0000-0000C3080000}"/>
    <cellStyle name="Notas 5 21" xfId="2267" xr:uid="{00000000-0005-0000-0000-0000C4080000}"/>
    <cellStyle name="Notas 5 22" xfId="2417" xr:uid="{00000000-0005-0000-0000-0000C5080000}"/>
    <cellStyle name="Notas 5 23" xfId="2566" xr:uid="{00000000-0005-0000-0000-0000C6080000}"/>
    <cellStyle name="Notas 5 3" xfId="167" xr:uid="{00000000-0005-0000-0000-0000C7080000}"/>
    <cellStyle name="Notas 5 3 10" xfId="1824" xr:uid="{00000000-0005-0000-0000-0000C8080000}"/>
    <cellStyle name="Notas 5 3 11" xfId="1981" xr:uid="{00000000-0005-0000-0000-0000C9080000}"/>
    <cellStyle name="Notas 5 3 12" xfId="2128" xr:uid="{00000000-0005-0000-0000-0000CA080000}"/>
    <cellStyle name="Notas 5 3 13" xfId="2269" xr:uid="{00000000-0005-0000-0000-0000CB080000}"/>
    <cellStyle name="Notas 5 3 14" xfId="2419" xr:uid="{00000000-0005-0000-0000-0000CC080000}"/>
    <cellStyle name="Notas 5 3 15" xfId="2568" xr:uid="{00000000-0005-0000-0000-0000CD080000}"/>
    <cellStyle name="Notas 5 3 2" xfId="482" xr:uid="{00000000-0005-0000-0000-0000CE080000}"/>
    <cellStyle name="Notas 5 3 3" xfId="652" xr:uid="{00000000-0005-0000-0000-0000CF080000}"/>
    <cellStyle name="Notas 5 3 4" xfId="791" xr:uid="{00000000-0005-0000-0000-0000D0080000}"/>
    <cellStyle name="Notas 5 3 5" xfId="943" xr:uid="{00000000-0005-0000-0000-0000D1080000}"/>
    <cellStyle name="Notas 5 3 6" xfId="1121" xr:uid="{00000000-0005-0000-0000-0000D2080000}"/>
    <cellStyle name="Notas 5 3 7" xfId="1287" xr:uid="{00000000-0005-0000-0000-0000D3080000}"/>
    <cellStyle name="Notas 5 3 8" xfId="1476" xr:uid="{00000000-0005-0000-0000-0000D4080000}"/>
    <cellStyle name="Notas 5 3 9" xfId="1655" xr:uid="{00000000-0005-0000-0000-0000D5080000}"/>
    <cellStyle name="Notas 5 4" xfId="197" xr:uid="{00000000-0005-0000-0000-0000D6080000}"/>
    <cellStyle name="Notas 5 5" xfId="220" xr:uid="{00000000-0005-0000-0000-0000D7080000}"/>
    <cellStyle name="Notas 5 6" xfId="237" xr:uid="{00000000-0005-0000-0000-0000D8080000}"/>
    <cellStyle name="Notas 5 7" xfId="274" xr:uid="{00000000-0005-0000-0000-0000D9080000}"/>
    <cellStyle name="Notas 5 8" xfId="302" xr:uid="{00000000-0005-0000-0000-0000DA080000}"/>
    <cellStyle name="Notas 5 9" xfId="326" xr:uid="{00000000-0005-0000-0000-0000DB080000}"/>
    <cellStyle name="Notas 50" xfId="653" xr:uid="{00000000-0005-0000-0000-0000DC080000}"/>
    <cellStyle name="Notas 50 2" xfId="944" xr:uid="{00000000-0005-0000-0000-0000DD080000}"/>
    <cellStyle name="Notas 50 3" xfId="1122" xr:uid="{00000000-0005-0000-0000-0000DE080000}"/>
    <cellStyle name="Notas 50 4" xfId="1288" xr:uid="{00000000-0005-0000-0000-0000DF080000}"/>
    <cellStyle name="Notas 50 5" xfId="1477" xr:uid="{00000000-0005-0000-0000-0000E0080000}"/>
    <cellStyle name="Notas 50 6" xfId="1656" xr:uid="{00000000-0005-0000-0000-0000E1080000}"/>
    <cellStyle name="Notas 50 7" xfId="2420" xr:uid="{00000000-0005-0000-0000-0000E2080000}"/>
    <cellStyle name="Notas 50 8" xfId="2569" xr:uid="{00000000-0005-0000-0000-0000E3080000}"/>
    <cellStyle name="Notas 51" xfId="654" xr:uid="{00000000-0005-0000-0000-0000E4080000}"/>
    <cellStyle name="Notas 51 2" xfId="945" xr:uid="{00000000-0005-0000-0000-0000E5080000}"/>
    <cellStyle name="Notas 51 3" xfId="1123" xr:uid="{00000000-0005-0000-0000-0000E6080000}"/>
    <cellStyle name="Notas 51 4" xfId="1289" xr:uid="{00000000-0005-0000-0000-0000E7080000}"/>
    <cellStyle name="Notas 51 5" xfId="1478" xr:uid="{00000000-0005-0000-0000-0000E8080000}"/>
    <cellStyle name="Notas 51 6" xfId="1657" xr:uid="{00000000-0005-0000-0000-0000E9080000}"/>
    <cellStyle name="Notas 51 7" xfId="2421" xr:uid="{00000000-0005-0000-0000-0000EA080000}"/>
    <cellStyle name="Notas 51 8" xfId="2570" xr:uid="{00000000-0005-0000-0000-0000EB080000}"/>
    <cellStyle name="Notas 52" xfId="946" xr:uid="{00000000-0005-0000-0000-0000EC080000}"/>
    <cellStyle name="Notas 52 2" xfId="1124" xr:uid="{00000000-0005-0000-0000-0000ED080000}"/>
    <cellStyle name="Notas 52 3" xfId="1290" xr:uid="{00000000-0005-0000-0000-0000EE080000}"/>
    <cellStyle name="Notas 52 4" xfId="1479" xr:uid="{00000000-0005-0000-0000-0000EF080000}"/>
    <cellStyle name="Notas 52 5" xfId="1658" xr:uid="{00000000-0005-0000-0000-0000F0080000}"/>
    <cellStyle name="Notas 52 6" xfId="2422" xr:uid="{00000000-0005-0000-0000-0000F1080000}"/>
    <cellStyle name="Notas 52 7" xfId="2571" xr:uid="{00000000-0005-0000-0000-0000F2080000}"/>
    <cellStyle name="Notas 53" xfId="947" xr:uid="{00000000-0005-0000-0000-0000F3080000}"/>
    <cellStyle name="Notas 53 2" xfId="1125" xr:uid="{00000000-0005-0000-0000-0000F4080000}"/>
    <cellStyle name="Notas 53 3" xfId="1291" xr:uid="{00000000-0005-0000-0000-0000F5080000}"/>
    <cellStyle name="Notas 53 4" xfId="1480" xr:uid="{00000000-0005-0000-0000-0000F6080000}"/>
    <cellStyle name="Notas 53 5" xfId="1659" xr:uid="{00000000-0005-0000-0000-0000F7080000}"/>
    <cellStyle name="Notas 54" xfId="948" xr:uid="{00000000-0005-0000-0000-0000F8080000}"/>
    <cellStyle name="Notas 54 2" xfId="1126" xr:uid="{00000000-0005-0000-0000-0000F9080000}"/>
    <cellStyle name="Notas 54 3" xfId="1292" xr:uid="{00000000-0005-0000-0000-0000FA080000}"/>
    <cellStyle name="Notas 54 4" xfId="1481" xr:uid="{00000000-0005-0000-0000-0000FB080000}"/>
    <cellStyle name="Notas 54 5" xfId="1660" xr:uid="{00000000-0005-0000-0000-0000FC080000}"/>
    <cellStyle name="Notas 55" xfId="949" xr:uid="{00000000-0005-0000-0000-0000FD080000}"/>
    <cellStyle name="Notas 55 2" xfId="1127" xr:uid="{00000000-0005-0000-0000-0000FE080000}"/>
    <cellStyle name="Notas 55 3" xfId="1293" xr:uid="{00000000-0005-0000-0000-0000FF080000}"/>
    <cellStyle name="Notas 55 4" xfId="1482" xr:uid="{00000000-0005-0000-0000-000000090000}"/>
    <cellStyle name="Notas 55 5" xfId="1661" xr:uid="{00000000-0005-0000-0000-000001090000}"/>
    <cellStyle name="Notas 56" xfId="950" xr:uid="{00000000-0005-0000-0000-000002090000}"/>
    <cellStyle name="Notas 56 2" xfId="1128" xr:uid="{00000000-0005-0000-0000-000003090000}"/>
    <cellStyle name="Notas 56 3" xfId="1294" xr:uid="{00000000-0005-0000-0000-000004090000}"/>
    <cellStyle name="Notas 56 4" xfId="1483" xr:uid="{00000000-0005-0000-0000-000005090000}"/>
    <cellStyle name="Notas 56 5" xfId="1662" xr:uid="{00000000-0005-0000-0000-000006090000}"/>
    <cellStyle name="Notas 57" xfId="951" xr:uid="{00000000-0005-0000-0000-000007090000}"/>
    <cellStyle name="Notas 57 2" xfId="1129" xr:uid="{00000000-0005-0000-0000-000008090000}"/>
    <cellStyle name="Notas 57 3" xfId="1295" xr:uid="{00000000-0005-0000-0000-000009090000}"/>
    <cellStyle name="Notas 57 4" xfId="1484" xr:uid="{00000000-0005-0000-0000-00000A090000}"/>
    <cellStyle name="Notas 57 5" xfId="1663" xr:uid="{00000000-0005-0000-0000-00000B090000}"/>
    <cellStyle name="Notas 58" xfId="952" xr:uid="{00000000-0005-0000-0000-00000C090000}"/>
    <cellStyle name="Notas 58 2" xfId="1130" xr:uid="{00000000-0005-0000-0000-00000D090000}"/>
    <cellStyle name="Notas 58 3" xfId="1296" xr:uid="{00000000-0005-0000-0000-00000E090000}"/>
    <cellStyle name="Notas 58 4" xfId="1485" xr:uid="{00000000-0005-0000-0000-00000F090000}"/>
    <cellStyle name="Notas 58 5" xfId="1664" xr:uid="{00000000-0005-0000-0000-000010090000}"/>
    <cellStyle name="Notas 59" xfId="953" xr:uid="{00000000-0005-0000-0000-000011090000}"/>
    <cellStyle name="Notas 59 2" xfId="1131" xr:uid="{00000000-0005-0000-0000-000012090000}"/>
    <cellStyle name="Notas 59 3" xfId="1297" xr:uid="{00000000-0005-0000-0000-000013090000}"/>
    <cellStyle name="Notas 59 4" xfId="1486" xr:uid="{00000000-0005-0000-0000-000014090000}"/>
    <cellStyle name="Notas 59 5" xfId="1665" xr:uid="{00000000-0005-0000-0000-000015090000}"/>
    <cellStyle name="Notas 6" xfId="64" xr:uid="{00000000-0005-0000-0000-000016090000}"/>
    <cellStyle name="Notas 6 10" xfId="483" xr:uid="{00000000-0005-0000-0000-000017090000}"/>
    <cellStyle name="Notas 6 11" xfId="655" xr:uid="{00000000-0005-0000-0000-000018090000}"/>
    <cellStyle name="Notas 6 12" xfId="792" xr:uid="{00000000-0005-0000-0000-000019090000}"/>
    <cellStyle name="Notas 6 13" xfId="954" xr:uid="{00000000-0005-0000-0000-00001A090000}"/>
    <cellStyle name="Notas 6 14" xfId="1132" xr:uid="{00000000-0005-0000-0000-00001B090000}"/>
    <cellStyle name="Notas 6 15" xfId="1298" xr:uid="{00000000-0005-0000-0000-00001C090000}"/>
    <cellStyle name="Notas 6 16" xfId="1487" xr:uid="{00000000-0005-0000-0000-00001D090000}"/>
    <cellStyle name="Notas 6 17" xfId="1666" xr:uid="{00000000-0005-0000-0000-00001E090000}"/>
    <cellStyle name="Notas 6 18" xfId="1825" xr:uid="{00000000-0005-0000-0000-00001F090000}"/>
    <cellStyle name="Notas 6 19" xfId="1982" xr:uid="{00000000-0005-0000-0000-000020090000}"/>
    <cellStyle name="Notas 6 2" xfId="112" xr:uid="{00000000-0005-0000-0000-000021090000}"/>
    <cellStyle name="Notas 6 2 10" xfId="1826" xr:uid="{00000000-0005-0000-0000-000022090000}"/>
    <cellStyle name="Notas 6 2 11" xfId="1983" xr:uid="{00000000-0005-0000-0000-000023090000}"/>
    <cellStyle name="Notas 6 2 12" xfId="2130" xr:uid="{00000000-0005-0000-0000-000024090000}"/>
    <cellStyle name="Notas 6 2 13" xfId="2271" xr:uid="{00000000-0005-0000-0000-000025090000}"/>
    <cellStyle name="Notas 6 2 14" xfId="2424" xr:uid="{00000000-0005-0000-0000-000026090000}"/>
    <cellStyle name="Notas 6 2 15" xfId="2573" xr:uid="{00000000-0005-0000-0000-000027090000}"/>
    <cellStyle name="Notas 6 2 2" xfId="484" xr:uid="{00000000-0005-0000-0000-000028090000}"/>
    <cellStyle name="Notas 6 2 3" xfId="656" xr:uid="{00000000-0005-0000-0000-000029090000}"/>
    <cellStyle name="Notas 6 2 4" xfId="793" xr:uid="{00000000-0005-0000-0000-00002A090000}"/>
    <cellStyle name="Notas 6 2 5" xfId="955" xr:uid="{00000000-0005-0000-0000-00002B090000}"/>
    <cellStyle name="Notas 6 2 6" xfId="1133" xr:uid="{00000000-0005-0000-0000-00002C090000}"/>
    <cellStyle name="Notas 6 2 7" xfId="1299" xr:uid="{00000000-0005-0000-0000-00002D090000}"/>
    <cellStyle name="Notas 6 2 8" xfId="1488" xr:uid="{00000000-0005-0000-0000-00002E090000}"/>
    <cellStyle name="Notas 6 2 9" xfId="1667" xr:uid="{00000000-0005-0000-0000-00002F090000}"/>
    <cellStyle name="Notas 6 20" xfId="2129" xr:uid="{00000000-0005-0000-0000-000030090000}"/>
    <cellStyle name="Notas 6 21" xfId="2270" xr:uid="{00000000-0005-0000-0000-000031090000}"/>
    <cellStyle name="Notas 6 22" xfId="2423" xr:uid="{00000000-0005-0000-0000-000032090000}"/>
    <cellStyle name="Notas 6 23" xfId="2572" xr:uid="{00000000-0005-0000-0000-000033090000}"/>
    <cellStyle name="Notas 6 3" xfId="168" xr:uid="{00000000-0005-0000-0000-000034090000}"/>
    <cellStyle name="Notas 6 3 10" xfId="1827" xr:uid="{00000000-0005-0000-0000-000035090000}"/>
    <cellStyle name="Notas 6 3 11" xfId="1984" xr:uid="{00000000-0005-0000-0000-000036090000}"/>
    <cellStyle name="Notas 6 3 12" xfId="2131" xr:uid="{00000000-0005-0000-0000-000037090000}"/>
    <cellStyle name="Notas 6 3 13" xfId="2272" xr:uid="{00000000-0005-0000-0000-000038090000}"/>
    <cellStyle name="Notas 6 3 14" xfId="2425" xr:uid="{00000000-0005-0000-0000-000039090000}"/>
    <cellStyle name="Notas 6 3 15" xfId="2574" xr:uid="{00000000-0005-0000-0000-00003A090000}"/>
    <cellStyle name="Notas 6 3 2" xfId="485" xr:uid="{00000000-0005-0000-0000-00003B090000}"/>
    <cellStyle name="Notas 6 3 3" xfId="657" xr:uid="{00000000-0005-0000-0000-00003C090000}"/>
    <cellStyle name="Notas 6 3 4" xfId="794" xr:uid="{00000000-0005-0000-0000-00003D090000}"/>
    <cellStyle name="Notas 6 3 5" xfId="956" xr:uid="{00000000-0005-0000-0000-00003E090000}"/>
    <cellStyle name="Notas 6 3 6" xfId="1134" xr:uid="{00000000-0005-0000-0000-00003F090000}"/>
    <cellStyle name="Notas 6 3 7" xfId="1300" xr:uid="{00000000-0005-0000-0000-000040090000}"/>
    <cellStyle name="Notas 6 3 8" xfId="1489" xr:uid="{00000000-0005-0000-0000-000041090000}"/>
    <cellStyle name="Notas 6 3 9" xfId="1668" xr:uid="{00000000-0005-0000-0000-000042090000}"/>
    <cellStyle name="Notas 6 4" xfId="198" xr:uid="{00000000-0005-0000-0000-000043090000}"/>
    <cellStyle name="Notas 6 5" xfId="221" xr:uid="{00000000-0005-0000-0000-000044090000}"/>
    <cellStyle name="Notas 6 6" xfId="238" xr:uid="{00000000-0005-0000-0000-000045090000}"/>
    <cellStyle name="Notas 6 7" xfId="275" xr:uid="{00000000-0005-0000-0000-000046090000}"/>
    <cellStyle name="Notas 6 8" xfId="303" xr:uid="{00000000-0005-0000-0000-000047090000}"/>
    <cellStyle name="Notas 6 9" xfId="327" xr:uid="{00000000-0005-0000-0000-000048090000}"/>
    <cellStyle name="Notas 60" xfId="957" xr:uid="{00000000-0005-0000-0000-000049090000}"/>
    <cellStyle name="Notas 60 2" xfId="1135" xr:uid="{00000000-0005-0000-0000-00004A090000}"/>
    <cellStyle name="Notas 60 3" xfId="1301" xr:uid="{00000000-0005-0000-0000-00004B090000}"/>
    <cellStyle name="Notas 60 4" xfId="1490" xr:uid="{00000000-0005-0000-0000-00004C090000}"/>
    <cellStyle name="Notas 60 5" xfId="1669" xr:uid="{00000000-0005-0000-0000-00004D090000}"/>
    <cellStyle name="Notas 61" xfId="958" xr:uid="{00000000-0005-0000-0000-00004E090000}"/>
    <cellStyle name="Notas 61 2" xfId="1136" xr:uid="{00000000-0005-0000-0000-00004F090000}"/>
    <cellStyle name="Notas 61 3" xfId="1302" xr:uid="{00000000-0005-0000-0000-000050090000}"/>
    <cellStyle name="Notas 61 4" xfId="1491" xr:uid="{00000000-0005-0000-0000-000051090000}"/>
    <cellStyle name="Notas 61 5" xfId="1670" xr:uid="{00000000-0005-0000-0000-000052090000}"/>
    <cellStyle name="Notas 62" xfId="959" xr:uid="{00000000-0005-0000-0000-000053090000}"/>
    <cellStyle name="Notas 62 2" xfId="1137" xr:uid="{00000000-0005-0000-0000-000054090000}"/>
    <cellStyle name="Notas 62 3" xfId="1303" xr:uid="{00000000-0005-0000-0000-000055090000}"/>
    <cellStyle name="Notas 62 4" xfId="1492" xr:uid="{00000000-0005-0000-0000-000056090000}"/>
    <cellStyle name="Notas 62 5" xfId="1671" xr:uid="{00000000-0005-0000-0000-000057090000}"/>
    <cellStyle name="Notas 63" xfId="960" xr:uid="{00000000-0005-0000-0000-000058090000}"/>
    <cellStyle name="Notas 63 2" xfId="1138" xr:uid="{00000000-0005-0000-0000-000059090000}"/>
    <cellStyle name="Notas 63 3" xfId="1304" xr:uid="{00000000-0005-0000-0000-00005A090000}"/>
    <cellStyle name="Notas 63 4" xfId="1493" xr:uid="{00000000-0005-0000-0000-00005B090000}"/>
    <cellStyle name="Notas 63 5" xfId="1672" xr:uid="{00000000-0005-0000-0000-00005C090000}"/>
    <cellStyle name="Notas 64" xfId="961" xr:uid="{00000000-0005-0000-0000-00005D090000}"/>
    <cellStyle name="Notas 64 2" xfId="1139" xr:uid="{00000000-0005-0000-0000-00005E090000}"/>
    <cellStyle name="Notas 64 3" xfId="1305" xr:uid="{00000000-0005-0000-0000-00005F090000}"/>
    <cellStyle name="Notas 64 4" xfId="1494" xr:uid="{00000000-0005-0000-0000-000060090000}"/>
    <cellStyle name="Notas 64 5" xfId="1673" xr:uid="{00000000-0005-0000-0000-000061090000}"/>
    <cellStyle name="Notas 65" xfId="962" xr:uid="{00000000-0005-0000-0000-000062090000}"/>
    <cellStyle name="Notas 65 2" xfId="1140" xr:uid="{00000000-0005-0000-0000-000063090000}"/>
    <cellStyle name="Notas 65 3" xfId="1306" xr:uid="{00000000-0005-0000-0000-000064090000}"/>
    <cellStyle name="Notas 65 4" xfId="1495" xr:uid="{00000000-0005-0000-0000-000065090000}"/>
    <cellStyle name="Notas 65 5" xfId="1674" xr:uid="{00000000-0005-0000-0000-000066090000}"/>
    <cellStyle name="Notas 66" xfId="963" xr:uid="{00000000-0005-0000-0000-000067090000}"/>
    <cellStyle name="Notas 66 2" xfId="1141" xr:uid="{00000000-0005-0000-0000-000068090000}"/>
    <cellStyle name="Notas 66 3" xfId="1307" xr:uid="{00000000-0005-0000-0000-000069090000}"/>
    <cellStyle name="Notas 66 4" xfId="1496" xr:uid="{00000000-0005-0000-0000-00006A090000}"/>
    <cellStyle name="Notas 66 5" xfId="1675" xr:uid="{00000000-0005-0000-0000-00006B090000}"/>
    <cellStyle name="Notas 67" xfId="964" xr:uid="{00000000-0005-0000-0000-00006C090000}"/>
    <cellStyle name="Notas 67 2" xfId="1142" xr:uid="{00000000-0005-0000-0000-00006D090000}"/>
    <cellStyle name="Notas 67 3" xfId="1308" xr:uid="{00000000-0005-0000-0000-00006E090000}"/>
    <cellStyle name="Notas 67 4" xfId="1497" xr:uid="{00000000-0005-0000-0000-00006F090000}"/>
    <cellStyle name="Notas 67 5" xfId="1676" xr:uid="{00000000-0005-0000-0000-000070090000}"/>
    <cellStyle name="Notas 68" xfId="965" xr:uid="{00000000-0005-0000-0000-000071090000}"/>
    <cellStyle name="Notas 68 2" xfId="1143" xr:uid="{00000000-0005-0000-0000-000072090000}"/>
    <cellStyle name="Notas 68 3" xfId="1309" xr:uid="{00000000-0005-0000-0000-000073090000}"/>
    <cellStyle name="Notas 68 4" xfId="1498" xr:uid="{00000000-0005-0000-0000-000074090000}"/>
    <cellStyle name="Notas 68 5" xfId="1677" xr:uid="{00000000-0005-0000-0000-000075090000}"/>
    <cellStyle name="Notas 69" xfId="966" xr:uid="{00000000-0005-0000-0000-000076090000}"/>
    <cellStyle name="Notas 69 2" xfId="1144" xr:uid="{00000000-0005-0000-0000-000077090000}"/>
    <cellStyle name="Notas 69 3" xfId="1310" xr:uid="{00000000-0005-0000-0000-000078090000}"/>
    <cellStyle name="Notas 69 4" xfId="1499" xr:uid="{00000000-0005-0000-0000-000079090000}"/>
    <cellStyle name="Notas 69 5" xfId="1678" xr:uid="{00000000-0005-0000-0000-00007A090000}"/>
    <cellStyle name="Notas 7" xfId="65" xr:uid="{00000000-0005-0000-0000-00007B090000}"/>
    <cellStyle name="Notas 7 10" xfId="486" xr:uid="{00000000-0005-0000-0000-00007C090000}"/>
    <cellStyle name="Notas 7 11" xfId="658" xr:uid="{00000000-0005-0000-0000-00007D090000}"/>
    <cellStyle name="Notas 7 12" xfId="795" xr:uid="{00000000-0005-0000-0000-00007E090000}"/>
    <cellStyle name="Notas 7 13" xfId="967" xr:uid="{00000000-0005-0000-0000-00007F090000}"/>
    <cellStyle name="Notas 7 14" xfId="1145" xr:uid="{00000000-0005-0000-0000-000080090000}"/>
    <cellStyle name="Notas 7 15" xfId="1311" xr:uid="{00000000-0005-0000-0000-000081090000}"/>
    <cellStyle name="Notas 7 16" xfId="1500" xr:uid="{00000000-0005-0000-0000-000082090000}"/>
    <cellStyle name="Notas 7 17" xfId="1679" xr:uid="{00000000-0005-0000-0000-000083090000}"/>
    <cellStyle name="Notas 7 18" xfId="1828" xr:uid="{00000000-0005-0000-0000-000084090000}"/>
    <cellStyle name="Notas 7 19" xfId="1985" xr:uid="{00000000-0005-0000-0000-000085090000}"/>
    <cellStyle name="Notas 7 2" xfId="113" xr:uid="{00000000-0005-0000-0000-000086090000}"/>
    <cellStyle name="Notas 7 2 10" xfId="1829" xr:uid="{00000000-0005-0000-0000-000087090000}"/>
    <cellStyle name="Notas 7 2 11" xfId="1986" xr:uid="{00000000-0005-0000-0000-000088090000}"/>
    <cellStyle name="Notas 7 2 12" xfId="2133" xr:uid="{00000000-0005-0000-0000-000089090000}"/>
    <cellStyle name="Notas 7 2 13" xfId="2274" xr:uid="{00000000-0005-0000-0000-00008A090000}"/>
    <cellStyle name="Notas 7 2 14" xfId="2427" xr:uid="{00000000-0005-0000-0000-00008B090000}"/>
    <cellStyle name="Notas 7 2 15" xfId="2576" xr:uid="{00000000-0005-0000-0000-00008C090000}"/>
    <cellStyle name="Notas 7 2 2" xfId="487" xr:uid="{00000000-0005-0000-0000-00008D090000}"/>
    <cellStyle name="Notas 7 2 3" xfId="659" xr:uid="{00000000-0005-0000-0000-00008E090000}"/>
    <cellStyle name="Notas 7 2 4" xfId="796" xr:uid="{00000000-0005-0000-0000-00008F090000}"/>
    <cellStyle name="Notas 7 2 5" xfId="968" xr:uid="{00000000-0005-0000-0000-000090090000}"/>
    <cellStyle name="Notas 7 2 6" xfId="1146" xr:uid="{00000000-0005-0000-0000-000091090000}"/>
    <cellStyle name="Notas 7 2 7" xfId="1312" xr:uid="{00000000-0005-0000-0000-000092090000}"/>
    <cellStyle name="Notas 7 2 8" xfId="1501" xr:uid="{00000000-0005-0000-0000-000093090000}"/>
    <cellStyle name="Notas 7 2 9" xfId="1680" xr:uid="{00000000-0005-0000-0000-000094090000}"/>
    <cellStyle name="Notas 7 20" xfId="2132" xr:uid="{00000000-0005-0000-0000-000095090000}"/>
    <cellStyle name="Notas 7 21" xfId="2273" xr:uid="{00000000-0005-0000-0000-000096090000}"/>
    <cellStyle name="Notas 7 22" xfId="2426" xr:uid="{00000000-0005-0000-0000-000097090000}"/>
    <cellStyle name="Notas 7 23" xfId="2575" xr:uid="{00000000-0005-0000-0000-000098090000}"/>
    <cellStyle name="Notas 7 3" xfId="169" xr:uid="{00000000-0005-0000-0000-000099090000}"/>
    <cellStyle name="Notas 7 3 10" xfId="1830" xr:uid="{00000000-0005-0000-0000-00009A090000}"/>
    <cellStyle name="Notas 7 3 11" xfId="1987" xr:uid="{00000000-0005-0000-0000-00009B090000}"/>
    <cellStyle name="Notas 7 3 12" xfId="2134" xr:uid="{00000000-0005-0000-0000-00009C090000}"/>
    <cellStyle name="Notas 7 3 13" xfId="2275" xr:uid="{00000000-0005-0000-0000-00009D090000}"/>
    <cellStyle name="Notas 7 3 14" xfId="2428" xr:uid="{00000000-0005-0000-0000-00009E090000}"/>
    <cellStyle name="Notas 7 3 15" xfId="2577" xr:uid="{00000000-0005-0000-0000-00009F090000}"/>
    <cellStyle name="Notas 7 3 2" xfId="488" xr:uid="{00000000-0005-0000-0000-0000A0090000}"/>
    <cellStyle name="Notas 7 3 3" xfId="660" xr:uid="{00000000-0005-0000-0000-0000A1090000}"/>
    <cellStyle name="Notas 7 3 4" xfId="797" xr:uid="{00000000-0005-0000-0000-0000A2090000}"/>
    <cellStyle name="Notas 7 3 5" xfId="969" xr:uid="{00000000-0005-0000-0000-0000A3090000}"/>
    <cellStyle name="Notas 7 3 6" xfId="1147" xr:uid="{00000000-0005-0000-0000-0000A4090000}"/>
    <cellStyle name="Notas 7 3 7" xfId="1313" xr:uid="{00000000-0005-0000-0000-0000A5090000}"/>
    <cellStyle name="Notas 7 3 8" xfId="1502" xr:uid="{00000000-0005-0000-0000-0000A6090000}"/>
    <cellStyle name="Notas 7 3 9" xfId="1681" xr:uid="{00000000-0005-0000-0000-0000A7090000}"/>
    <cellStyle name="Notas 7 4" xfId="199" xr:uid="{00000000-0005-0000-0000-0000A8090000}"/>
    <cellStyle name="Notas 7 5" xfId="222" xr:uid="{00000000-0005-0000-0000-0000A9090000}"/>
    <cellStyle name="Notas 7 6" xfId="239" xr:uid="{00000000-0005-0000-0000-0000AA090000}"/>
    <cellStyle name="Notas 7 7" xfId="276" xr:uid="{00000000-0005-0000-0000-0000AB090000}"/>
    <cellStyle name="Notas 7 8" xfId="304" xr:uid="{00000000-0005-0000-0000-0000AC090000}"/>
    <cellStyle name="Notas 7 9" xfId="328" xr:uid="{00000000-0005-0000-0000-0000AD090000}"/>
    <cellStyle name="Notas 70" xfId="970" xr:uid="{00000000-0005-0000-0000-0000AE090000}"/>
    <cellStyle name="Notas 70 2" xfId="1148" xr:uid="{00000000-0005-0000-0000-0000AF090000}"/>
    <cellStyle name="Notas 70 3" xfId="1314" xr:uid="{00000000-0005-0000-0000-0000B0090000}"/>
    <cellStyle name="Notas 70 4" xfId="1503" xr:uid="{00000000-0005-0000-0000-0000B1090000}"/>
    <cellStyle name="Notas 70 5" xfId="1682" xr:uid="{00000000-0005-0000-0000-0000B2090000}"/>
    <cellStyle name="Notas 71" xfId="1504" xr:uid="{00000000-0005-0000-0000-0000B3090000}"/>
    <cellStyle name="Notas 72" xfId="1505" xr:uid="{00000000-0005-0000-0000-0000B4090000}"/>
    <cellStyle name="Notas 73" xfId="1506" xr:uid="{00000000-0005-0000-0000-0000B5090000}"/>
    <cellStyle name="Notas 74" xfId="1507" xr:uid="{00000000-0005-0000-0000-0000B6090000}"/>
    <cellStyle name="Notas 75" xfId="1508" xr:uid="{00000000-0005-0000-0000-0000B7090000}"/>
    <cellStyle name="Notas 76" xfId="1509" xr:uid="{00000000-0005-0000-0000-0000B8090000}"/>
    <cellStyle name="Notas 77" xfId="1510" xr:uid="{00000000-0005-0000-0000-0000B9090000}"/>
    <cellStyle name="Notas 78" xfId="1511" xr:uid="{00000000-0005-0000-0000-0000BA090000}"/>
    <cellStyle name="Notas 79" xfId="1512" xr:uid="{00000000-0005-0000-0000-0000BB090000}"/>
    <cellStyle name="Notas 8" xfId="66" xr:uid="{00000000-0005-0000-0000-0000BC090000}"/>
    <cellStyle name="Notas 8 10" xfId="489" xr:uid="{00000000-0005-0000-0000-0000BD090000}"/>
    <cellStyle name="Notas 8 11" xfId="661" xr:uid="{00000000-0005-0000-0000-0000BE090000}"/>
    <cellStyle name="Notas 8 12" xfId="798" xr:uid="{00000000-0005-0000-0000-0000BF090000}"/>
    <cellStyle name="Notas 8 13" xfId="971" xr:uid="{00000000-0005-0000-0000-0000C0090000}"/>
    <cellStyle name="Notas 8 14" xfId="1149" xr:uid="{00000000-0005-0000-0000-0000C1090000}"/>
    <cellStyle name="Notas 8 15" xfId="1315" xr:uid="{00000000-0005-0000-0000-0000C2090000}"/>
    <cellStyle name="Notas 8 16" xfId="1513" xr:uid="{00000000-0005-0000-0000-0000C3090000}"/>
    <cellStyle name="Notas 8 17" xfId="1683" xr:uid="{00000000-0005-0000-0000-0000C4090000}"/>
    <cellStyle name="Notas 8 18" xfId="1831" xr:uid="{00000000-0005-0000-0000-0000C5090000}"/>
    <cellStyle name="Notas 8 19" xfId="1988" xr:uid="{00000000-0005-0000-0000-0000C6090000}"/>
    <cellStyle name="Notas 8 2" xfId="114" xr:uid="{00000000-0005-0000-0000-0000C7090000}"/>
    <cellStyle name="Notas 8 2 10" xfId="1832" xr:uid="{00000000-0005-0000-0000-0000C8090000}"/>
    <cellStyle name="Notas 8 2 11" xfId="1989" xr:uid="{00000000-0005-0000-0000-0000C9090000}"/>
    <cellStyle name="Notas 8 2 12" xfId="2136" xr:uid="{00000000-0005-0000-0000-0000CA090000}"/>
    <cellStyle name="Notas 8 2 13" xfId="2277" xr:uid="{00000000-0005-0000-0000-0000CB090000}"/>
    <cellStyle name="Notas 8 2 14" xfId="2430" xr:uid="{00000000-0005-0000-0000-0000CC090000}"/>
    <cellStyle name="Notas 8 2 15" xfId="2579" xr:uid="{00000000-0005-0000-0000-0000CD090000}"/>
    <cellStyle name="Notas 8 2 2" xfId="490" xr:uid="{00000000-0005-0000-0000-0000CE090000}"/>
    <cellStyle name="Notas 8 2 3" xfId="662" xr:uid="{00000000-0005-0000-0000-0000CF090000}"/>
    <cellStyle name="Notas 8 2 4" xfId="799" xr:uid="{00000000-0005-0000-0000-0000D0090000}"/>
    <cellStyle name="Notas 8 2 5" xfId="972" xr:uid="{00000000-0005-0000-0000-0000D1090000}"/>
    <cellStyle name="Notas 8 2 6" xfId="1150" xr:uid="{00000000-0005-0000-0000-0000D2090000}"/>
    <cellStyle name="Notas 8 2 7" xfId="1316" xr:uid="{00000000-0005-0000-0000-0000D3090000}"/>
    <cellStyle name="Notas 8 2 8" xfId="1514" xr:uid="{00000000-0005-0000-0000-0000D4090000}"/>
    <cellStyle name="Notas 8 2 9" xfId="1684" xr:uid="{00000000-0005-0000-0000-0000D5090000}"/>
    <cellStyle name="Notas 8 20" xfId="2135" xr:uid="{00000000-0005-0000-0000-0000D6090000}"/>
    <cellStyle name="Notas 8 21" xfId="2276" xr:uid="{00000000-0005-0000-0000-0000D7090000}"/>
    <cellStyle name="Notas 8 22" xfId="2429" xr:uid="{00000000-0005-0000-0000-0000D8090000}"/>
    <cellStyle name="Notas 8 23" xfId="2578" xr:uid="{00000000-0005-0000-0000-0000D9090000}"/>
    <cellStyle name="Notas 8 3" xfId="170" xr:uid="{00000000-0005-0000-0000-0000DA090000}"/>
    <cellStyle name="Notas 8 3 10" xfId="1833" xr:uid="{00000000-0005-0000-0000-0000DB090000}"/>
    <cellStyle name="Notas 8 3 11" xfId="1990" xr:uid="{00000000-0005-0000-0000-0000DC090000}"/>
    <cellStyle name="Notas 8 3 12" xfId="2137" xr:uid="{00000000-0005-0000-0000-0000DD090000}"/>
    <cellStyle name="Notas 8 3 13" xfId="2278" xr:uid="{00000000-0005-0000-0000-0000DE090000}"/>
    <cellStyle name="Notas 8 3 14" xfId="2431" xr:uid="{00000000-0005-0000-0000-0000DF090000}"/>
    <cellStyle name="Notas 8 3 15" xfId="2580" xr:uid="{00000000-0005-0000-0000-0000E0090000}"/>
    <cellStyle name="Notas 8 3 2" xfId="491" xr:uid="{00000000-0005-0000-0000-0000E1090000}"/>
    <cellStyle name="Notas 8 3 3" xfId="663" xr:uid="{00000000-0005-0000-0000-0000E2090000}"/>
    <cellStyle name="Notas 8 3 4" xfId="800" xr:uid="{00000000-0005-0000-0000-0000E3090000}"/>
    <cellStyle name="Notas 8 3 5" xfId="973" xr:uid="{00000000-0005-0000-0000-0000E4090000}"/>
    <cellStyle name="Notas 8 3 6" xfId="1151" xr:uid="{00000000-0005-0000-0000-0000E5090000}"/>
    <cellStyle name="Notas 8 3 7" xfId="1317" xr:uid="{00000000-0005-0000-0000-0000E6090000}"/>
    <cellStyle name="Notas 8 3 8" xfId="1515" xr:uid="{00000000-0005-0000-0000-0000E7090000}"/>
    <cellStyle name="Notas 8 3 9" xfId="1685" xr:uid="{00000000-0005-0000-0000-0000E8090000}"/>
    <cellStyle name="Notas 8 4" xfId="200" xr:uid="{00000000-0005-0000-0000-0000E9090000}"/>
    <cellStyle name="Notas 8 5" xfId="223" xr:uid="{00000000-0005-0000-0000-0000EA090000}"/>
    <cellStyle name="Notas 8 6" xfId="240" xr:uid="{00000000-0005-0000-0000-0000EB090000}"/>
    <cellStyle name="Notas 8 7" xfId="277" xr:uid="{00000000-0005-0000-0000-0000EC090000}"/>
    <cellStyle name="Notas 8 8" xfId="305" xr:uid="{00000000-0005-0000-0000-0000ED090000}"/>
    <cellStyle name="Notas 8 9" xfId="329" xr:uid="{00000000-0005-0000-0000-0000EE090000}"/>
    <cellStyle name="Notas 80" xfId="1516" xr:uid="{00000000-0005-0000-0000-0000EF090000}"/>
    <cellStyle name="Notas 81" xfId="1517" xr:uid="{00000000-0005-0000-0000-0000F0090000}"/>
    <cellStyle name="Notas 82" xfId="1518" xr:uid="{00000000-0005-0000-0000-0000F1090000}"/>
    <cellStyle name="Notas 83" xfId="1519" xr:uid="{00000000-0005-0000-0000-0000F2090000}"/>
    <cellStyle name="Notas 84" xfId="1520" xr:uid="{00000000-0005-0000-0000-0000F3090000}"/>
    <cellStyle name="Notas 9" xfId="67" xr:uid="{00000000-0005-0000-0000-0000F4090000}"/>
    <cellStyle name="Notas 9 10" xfId="492" xr:uid="{00000000-0005-0000-0000-0000F5090000}"/>
    <cellStyle name="Notas 9 11" xfId="664" xr:uid="{00000000-0005-0000-0000-0000F6090000}"/>
    <cellStyle name="Notas 9 12" xfId="801" xr:uid="{00000000-0005-0000-0000-0000F7090000}"/>
    <cellStyle name="Notas 9 13" xfId="974" xr:uid="{00000000-0005-0000-0000-0000F8090000}"/>
    <cellStyle name="Notas 9 14" xfId="1152" xr:uid="{00000000-0005-0000-0000-0000F9090000}"/>
    <cellStyle name="Notas 9 15" xfId="1318" xr:uid="{00000000-0005-0000-0000-0000FA090000}"/>
    <cellStyle name="Notas 9 16" xfId="1521" xr:uid="{00000000-0005-0000-0000-0000FB090000}"/>
    <cellStyle name="Notas 9 17" xfId="1686" xr:uid="{00000000-0005-0000-0000-0000FC090000}"/>
    <cellStyle name="Notas 9 18" xfId="1834" xr:uid="{00000000-0005-0000-0000-0000FD090000}"/>
    <cellStyle name="Notas 9 19" xfId="1991" xr:uid="{00000000-0005-0000-0000-0000FE090000}"/>
    <cellStyle name="Notas 9 2" xfId="115" xr:uid="{00000000-0005-0000-0000-0000FF090000}"/>
    <cellStyle name="Notas 9 2 10" xfId="1835" xr:uid="{00000000-0005-0000-0000-0000000A0000}"/>
    <cellStyle name="Notas 9 2 11" xfId="1992" xr:uid="{00000000-0005-0000-0000-0000010A0000}"/>
    <cellStyle name="Notas 9 2 12" xfId="2139" xr:uid="{00000000-0005-0000-0000-0000020A0000}"/>
    <cellStyle name="Notas 9 2 13" xfId="2280" xr:uid="{00000000-0005-0000-0000-0000030A0000}"/>
    <cellStyle name="Notas 9 2 14" xfId="2433" xr:uid="{00000000-0005-0000-0000-0000040A0000}"/>
    <cellStyle name="Notas 9 2 15" xfId="2582" xr:uid="{00000000-0005-0000-0000-0000050A0000}"/>
    <cellStyle name="Notas 9 2 2" xfId="493" xr:uid="{00000000-0005-0000-0000-0000060A0000}"/>
    <cellStyle name="Notas 9 2 3" xfId="665" xr:uid="{00000000-0005-0000-0000-0000070A0000}"/>
    <cellStyle name="Notas 9 2 4" xfId="802" xr:uid="{00000000-0005-0000-0000-0000080A0000}"/>
    <cellStyle name="Notas 9 2 5" xfId="975" xr:uid="{00000000-0005-0000-0000-0000090A0000}"/>
    <cellStyle name="Notas 9 2 6" xfId="1153" xr:uid="{00000000-0005-0000-0000-00000A0A0000}"/>
    <cellStyle name="Notas 9 2 7" xfId="1319" xr:uid="{00000000-0005-0000-0000-00000B0A0000}"/>
    <cellStyle name="Notas 9 2 8" xfId="1522" xr:uid="{00000000-0005-0000-0000-00000C0A0000}"/>
    <cellStyle name="Notas 9 2 9" xfId="1687" xr:uid="{00000000-0005-0000-0000-00000D0A0000}"/>
    <cellStyle name="Notas 9 20" xfId="2138" xr:uid="{00000000-0005-0000-0000-00000E0A0000}"/>
    <cellStyle name="Notas 9 21" xfId="2279" xr:uid="{00000000-0005-0000-0000-00000F0A0000}"/>
    <cellStyle name="Notas 9 22" xfId="2432" xr:uid="{00000000-0005-0000-0000-0000100A0000}"/>
    <cellStyle name="Notas 9 23" xfId="2581" xr:uid="{00000000-0005-0000-0000-0000110A0000}"/>
    <cellStyle name="Notas 9 3" xfId="171" xr:uid="{00000000-0005-0000-0000-0000120A0000}"/>
    <cellStyle name="Notas 9 3 10" xfId="1836" xr:uid="{00000000-0005-0000-0000-0000130A0000}"/>
    <cellStyle name="Notas 9 3 11" xfId="1993" xr:uid="{00000000-0005-0000-0000-0000140A0000}"/>
    <cellStyle name="Notas 9 3 12" xfId="2140" xr:uid="{00000000-0005-0000-0000-0000150A0000}"/>
    <cellStyle name="Notas 9 3 13" xfId="2281" xr:uid="{00000000-0005-0000-0000-0000160A0000}"/>
    <cellStyle name="Notas 9 3 14" xfId="2434" xr:uid="{00000000-0005-0000-0000-0000170A0000}"/>
    <cellStyle name="Notas 9 3 15" xfId="2583" xr:uid="{00000000-0005-0000-0000-0000180A0000}"/>
    <cellStyle name="Notas 9 3 2" xfId="494" xr:uid="{00000000-0005-0000-0000-0000190A0000}"/>
    <cellStyle name="Notas 9 3 3" xfId="666" xr:uid="{00000000-0005-0000-0000-00001A0A0000}"/>
    <cellStyle name="Notas 9 3 4" xfId="803" xr:uid="{00000000-0005-0000-0000-00001B0A0000}"/>
    <cellStyle name="Notas 9 3 5" xfId="976" xr:uid="{00000000-0005-0000-0000-00001C0A0000}"/>
    <cellStyle name="Notas 9 3 6" xfId="1154" xr:uid="{00000000-0005-0000-0000-00001D0A0000}"/>
    <cellStyle name="Notas 9 3 7" xfId="1320" xr:uid="{00000000-0005-0000-0000-00001E0A0000}"/>
    <cellStyle name="Notas 9 3 8" xfId="1523" xr:uid="{00000000-0005-0000-0000-00001F0A0000}"/>
    <cellStyle name="Notas 9 3 9" xfId="1688" xr:uid="{00000000-0005-0000-0000-0000200A0000}"/>
    <cellStyle name="Notas 9 4" xfId="201" xr:uid="{00000000-0005-0000-0000-0000210A0000}"/>
    <cellStyle name="Notas 9 5" xfId="224" xr:uid="{00000000-0005-0000-0000-0000220A0000}"/>
    <cellStyle name="Notas 9 6" xfId="241" xr:uid="{00000000-0005-0000-0000-0000230A0000}"/>
    <cellStyle name="Notas 9 7" xfId="278" xr:uid="{00000000-0005-0000-0000-0000240A0000}"/>
    <cellStyle name="Notas 9 8" xfId="306" xr:uid="{00000000-0005-0000-0000-0000250A0000}"/>
    <cellStyle name="Notas 9 9" xfId="330" xr:uid="{00000000-0005-0000-0000-0000260A0000}"/>
    <cellStyle name="Porcentaje 2" xfId="2602" xr:uid="{00000000-0005-0000-0000-000027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9" defaultPivotStyle="PivotStyleLight16"/>
  <colors>
    <mruColors>
      <color rgb="FF00FFFF"/>
      <color rgb="FF00FF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1:M27"/>
  <sheetViews>
    <sheetView tabSelected="1" workbookViewId="0">
      <selection activeCell="D25" sqref="D25"/>
    </sheetView>
  </sheetViews>
  <sheetFormatPr baseColWidth="10" defaultColWidth="11.44140625" defaultRowHeight="13.2" x14ac:dyDescent="0.25"/>
  <cols>
    <col min="1" max="1" width="2.109375" style="29" customWidth="1"/>
    <col min="2" max="2" width="26.109375" style="29" bestFit="1" customWidth="1"/>
    <col min="3" max="3" width="7.109375" style="29" customWidth="1"/>
    <col min="4" max="4" width="15.44140625" style="30" customWidth="1"/>
    <col min="5" max="5" width="20.44140625" style="30" customWidth="1"/>
    <col min="6" max="6" width="15.44140625" style="30" customWidth="1"/>
    <col min="7" max="7" width="20.44140625" style="30" customWidth="1"/>
    <col min="8" max="8" width="3.88671875" style="30" customWidth="1"/>
    <col min="9" max="10" width="26.5546875" style="30" bestFit="1" customWidth="1"/>
    <col min="11" max="13" width="19.88671875" style="30" customWidth="1"/>
    <col min="14" max="16384" width="11.44140625" style="29"/>
  </cols>
  <sheetData>
    <row r="1" spans="2:13" ht="13.8" thickBot="1" x14ac:dyDescent="0.3"/>
    <row r="2" spans="2:13" s="31" customFormat="1" ht="13.8" thickBot="1" x14ac:dyDescent="0.3">
      <c r="B2" s="31" t="s">
        <v>18</v>
      </c>
      <c r="C2" s="32" t="s">
        <v>22</v>
      </c>
      <c r="D2" s="33" t="s">
        <v>23</v>
      </c>
      <c r="E2" s="34" t="s">
        <v>24</v>
      </c>
      <c r="F2" s="34" t="s">
        <v>25</v>
      </c>
      <c r="G2" s="35" t="s">
        <v>26</v>
      </c>
      <c r="H2" s="36"/>
      <c r="I2" s="36"/>
      <c r="M2" s="36"/>
    </row>
    <row r="3" spans="2:13" x14ac:dyDescent="0.25">
      <c r="C3" s="37">
        <v>1</v>
      </c>
      <c r="D3" s="38">
        <v>0</v>
      </c>
      <c r="E3" s="38">
        <v>0</v>
      </c>
      <c r="F3" s="38">
        <v>0</v>
      </c>
      <c r="G3" s="38">
        <v>0</v>
      </c>
    </row>
    <row r="4" spans="2:13" x14ac:dyDescent="0.25">
      <c r="C4" s="41">
        <v>2</v>
      </c>
      <c r="D4" s="38">
        <v>0</v>
      </c>
      <c r="E4" s="38">
        <v>0</v>
      </c>
      <c r="F4" s="38">
        <v>0</v>
      </c>
      <c r="G4" s="38">
        <v>0</v>
      </c>
    </row>
    <row r="5" spans="2:13" x14ac:dyDescent="0.25">
      <c r="C5" s="41">
        <v>3</v>
      </c>
      <c r="D5" s="38">
        <v>0</v>
      </c>
      <c r="E5" s="38">
        <v>0</v>
      </c>
      <c r="F5" s="38">
        <v>0</v>
      </c>
      <c r="G5" s="38">
        <v>0</v>
      </c>
    </row>
    <row r="6" spans="2:13" x14ac:dyDescent="0.25">
      <c r="C6" s="41">
        <v>4</v>
      </c>
      <c r="D6" s="38">
        <v>0</v>
      </c>
      <c r="E6" s="38">
        <v>0</v>
      </c>
      <c r="F6" s="38">
        <v>0</v>
      </c>
      <c r="G6" s="38">
        <v>0</v>
      </c>
    </row>
    <row r="7" spans="2:13" x14ac:dyDescent="0.25">
      <c r="C7" s="41">
        <v>5</v>
      </c>
      <c r="D7" s="38">
        <v>0</v>
      </c>
      <c r="E7" s="38">
        <v>0</v>
      </c>
      <c r="F7" s="38">
        <v>0</v>
      </c>
      <c r="G7" s="38">
        <v>0</v>
      </c>
    </row>
    <row r="8" spans="2:13" ht="13.8" thickBot="1" x14ac:dyDescent="0.3">
      <c r="C8" s="44" t="s">
        <v>27</v>
      </c>
      <c r="D8" s="45"/>
      <c r="E8" s="46"/>
      <c r="F8" s="46"/>
      <c r="G8" s="47"/>
    </row>
    <row r="9" spans="2:13" ht="13.8" thickBot="1" x14ac:dyDescent="0.3">
      <c r="D9" s="48">
        <v>0</v>
      </c>
      <c r="E9" s="48">
        <v>0</v>
      </c>
      <c r="F9" s="48">
        <v>0</v>
      </c>
      <c r="G9" s="48">
        <v>0</v>
      </c>
    </row>
    <row r="10" spans="2:13" ht="13.8" thickBot="1" x14ac:dyDescent="0.3"/>
    <row r="11" spans="2:13" s="31" customFormat="1" ht="13.8" thickBot="1" x14ac:dyDescent="0.3">
      <c r="C11" s="32" t="s">
        <v>22</v>
      </c>
      <c r="D11" s="33" t="s">
        <v>23</v>
      </c>
      <c r="E11" s="34" t="s">
        <v>24</v>
      </c>
      <c r="F11" s="34" t="s">
        <v>25</v>
      </c>
      <c r="G11" s="35" t="s">
        <v>26</v>
      </c>
      <c r="H11" s="36"/>
      <c r="I11" s="36"/>
      <c r="J11" s="36"/>
      <c r="K11" s="36"/>
      <c r="L11" s="36"/>
      <c r="M11" s="36"/>
    </row>
    <row r="12" spans="2:13" x14ac:dyDescent="0.25">
      <c r="B12" s="49" t="s">
        <v>19</v>
      </c>
      <c r="C12" s="37">
        <v>1</v>
      </c>
      <c r="D12" s="38">
        <v>0</v>
      </c>
      <c r="E12" s="38">
        <v>0</v>
      </c>
      <c r="F12" s="38">
        <v>0</v>
      </c>
      <c r="G12" s="38">
        <v>0</v>
      </c>
    </row>
    <row r="13" spans="2:13" x14ac:dyDescent="0.25">
      <c r="C13" s="41">
        <v>2</v>
      </c>
      <c r="D13" s="38">
        <v>0</v>
      </c>
      <c r="E13" s="38">
        <v>0</v>
      </c>
      <c r="F13" s="38">
        <v>0</v>
      </c>
      <c r="G13" s="38">
        <v>0</v>
      </c>
    </row>
    <row r="14" spans="2:13" x14ac:dyDescent="0.25">
      <c r="C14" s="41">
        <v>3</v>
      </c>
      <c r="D14" s="38">
        <v>0</v>
      </c>
      <c r="E14" s="38">
        <v>0</v>
      </c>
      <c r="F14" s="38">
        <v>0</v>
      </c>
      <c r="G14" s="38">
        <v>0</v>
      </c>
    </row>
    <row r="15" spans="2:13" x14ac:dyDescent="0.25">
      <c r="C15" s="41">
        <v>4</v>
      </c>
      <c r="D15" s="38">
        <v>0</v>
      </c>
      <c r="E15" s="38">
        <v>0</v>
      </c>
      <c r="F15" s="38">
        <v>0</v>
      </c>
      <c r="G15" s="38">
        <v>0</v>
      </c>
    </row>
    <row r="16" spans="2:13" x14ac:dyDescent="0.25">
      <c r="C16" s="41">
        <v>5</v>
      </c>
      <c r="D16" s="38">
        <v>0</v>
      </c>
      <c r="E16" s="38">
        <v>0</v>
      </c>
      <c r="F16" s="38">
        <v>0</v>
      </c>
      <c r="G16" s="38">
        <v>0</v>
      </c>
    </row>
    <row r="17" spans="2:10" ht="13.8" thickBot="1" x14ac:dyDescent="0.3">
      <c r="C17" s="44" t="s">
        <v>27</v>
      </c>
      <c r="D17" s="45"/>
      <c r="E17" s="46"/>
      <c r="F17" s="46"/>
      <c r="G17" s="47"/>
    </row>
    <row r="18" spans="2:10" ht="13.8" thickBot="1" x14ac:dyDescent="0.3">
      <c r="D18" s="48">
        <v>0</v>
      </c>
      <c r="E18" s="48">
        <v>0</v>
      </c>
      <c r="F18" s="48">
        <v>0</v>
      </c>
      <c r="G18" s="48">
        <v>0</v>
      </c>
    </row>
    <row r="19" spans="2:10" ht="13.8" thickBot="1" x14ac:dyDescent="0.3"/>
    <row r="20" spans="2:10" ht="13.8" thickBot="1" x14ac:dyDescent="0.3">
      <c r="C20" s="32" t="s">
        <v>22</v>
      </c>
      <c r="D20" s="33" t="s">
        <v>23</v>
      </c>
      <c r="E20" s="34" t="s">
        <v>24</v>
      </c>
      <c r="F20" s="34" t="s">
        <v>25</v>
      </c>
      <c r="G20" s="35" t="s">
        <v>26</v>
      </c>
      <c r="I20" s="50" t="s">
        <v>28</v>
      </c>
      <c r="J20" s="51" t="s">
        <v>29</v>
      </c>
    </row>
    <row r="21" spans="2:10" s="30" customFormat="1" x14ac:dyDescent="0.25">
      <c r="B21" s="52" t="s">
        <v>21</v>
      </c>
      <c r="C21" s="37">
        <v>1</v>
      </c>
      <c r="D21" s="38">
        <v>0</v>
      </c>
      <c r="E21" s="39">
        <v>0</v>
      </c>
      <c r="F21" s="39">
        <v>0</v>
      </c>
      <c r="G21" s="40">
        <v>0</v>
      </c>
      <c r="I21" s="38">
        <v>0</v>
      </c>
      <c r="J21" s="40">
        <v>0</v>
      </c>
    </row>
    <row r="22" spans="2:10" s="30" customFormat="1" x14ac:dyDescent="0.25">
      <c r="B22" s="29"/>
      <c r="C22" s="41">
        <v>2</v>
      </c>
      <c r="D22" s="42">
        <v>0</v>
      </c>
      <c r="E22" s="11">
        <v>0</v>
      </c>
      <c r="F22" s="11">
        <v>0</v>
      </c>
      <c r="G22" s="43">
        <v>0</v>
      </c>
      <c r="I22" s="42">
        <v>0</v>
      </c>
      <c r="J22" s="43">
        <v>0</v>
      </c>
    </row>
    <row r="23" spans="2:10" s="30" customFormat="1" x14ac:dyDescent="0.25">
      <c r="B23" s="29"/>
      <c r="C23" s="41">
        <v>3</v>
      </c>
      <c r="D23" s="42">
        <v>0</v>
      </c>
      <c r="E23" s="11">
        <v>0</v>
      </c>
      <c r="F23" s="11">
        <v>0</v>
      </c>
      <c r="G23" s="43">
        <v>0</v>
      </c>
      <c r="I23" s="42">
        <v>0</v>
      </c>
      <c r="J23" s="43">
        <v>0</v>
      </c>
    </row>
    <row r="24" spans="2:10" s="30" customFormat="1" x14ac:dyDescent="0.25">
      <c r="B24" s="29"/>
      <c r="C24" s="41">
        <v>4</v>
      </c>
      <c r="D24" s="42">
        <v>0</v>
      </c>
      <c r="E24" s="11">
        <v>0</v>
      </c>
      <c r="F24" s="11">
        <v>0</v>
      </c>
      <c r="G24" s="43">
        <v>0</v>
      </c>
      <c r="I24" s="42">
        <v>0</v>
      </c>
      <c r="J24" s="43">
        <v>0</v>
      </c>
    </row>
    <row r="25" spans="2:10" s="30" customFormat="1" x14ac:dyDescent="0.25">
      <c r="B25" s="29"/>
      <c r="C25" s="41">
        <v>5</v>
      </c>
      <c r="D25" s="42">
        <v>0</v>
      </c>
      <c r="E25" s="11">
        <v>0</v>
      </c>
      <c r="F25" s="11">
        <v>0</v>
      </c>
      <c r="G25" s="43">
        <v>0</v>
      </c>
      <c r="I25" s="42">
        <v>0</v>
      </c>
      <c r="J25" s="43">
        <v>0</v>
      </c>
    </row>
    <row r="26" spans="2:10" ht="13.8" thickBot="1" x14ac:dyDescent="0.3">
      <c r="C26" s="44" t="s">
        <v>27</v>
      </c>
      <c r="D26" s="45"/>
      <c r="E26" s="46"/>
      <c r="F26" s="46"/>
      <c r="G26" s="47"/>
      <c r="I26" s="53">
        <v>0</v>
      </c>
      <c r="J26" s="54">
        <v>0</v>
      </c>
    </row>
    <row r="27" spans="2:10" ht="13.8" thickBot="1" x14ac:dyDescent="0.3">
      <c r="D27" s="48">
        <v>0</v>
      </c>
      <c r="E27" s="48">
        <v>0</v>
      </c>
      <c r="F27" s="48">
        <v>0</v>
      </c>
      <c r="G27" s="48">
        <v>0</v>
      </c>
      <c r="I27" s="55">
        <v>0</v>
      </c>
      <c r="J27" s="56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>
      <selection activeCell="E22" sqref="E22"/>
    </sheetView>
  </sheetViews>
  <sheetFormatPr baseColWidth="10" defaultRowHeight="13.2" x14ac:dyDescent="0.25"/>
  <cols>
    <col min="1" max="1" width="6" customWidth="1"/>
    <col min="2" max="2" width="8" bestFit="1" customWidth="1"/>
    <col min="3" max="3" width="8.44140625" bestFit="1" customWidth="1"/>
    <col min="4" max="19" width="12.5546875" bestFit="1" customWidth="1"/>
  </cols>
  <sheetData>
    <row r="1" spans="1:26" ht="13.8" thickBot="1" x14ac:dyDescent="0.3"/>
    <row r="2" spans="1:26" ht="48.6" thickBot="1" x14ac:dyDescent="0.3">
      <c r="C2" s="8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5" t="s">
        <v>6</v>
      </c>
      <c r="I2" s="16" t="s">
        <v>7</v>
      </c>
      <c r="J2" s="15" t="s">
        <v>8</v>
      </c>
      <c r="K2" s="16" t="s">
        <v>9</v>
      </c>
      <c r="L2" s="15" t="s">
        <v>10</v>
      </c>
      <c r="M2" s="16" t="s">
        <v>11</v>
      </c>
      <c r="N2" s="9" t="s">
        <v>12</v>
      </c>
      <c r="O2" s="9" t="s">
        <v>13</v>
      </c>
      <c r="P2" s="12" t="s">
        <v>14</v>
      </c>
      <c r="Q2" s="13" t="s">
        <v>15</v>
      </c>
      <c r="R2" s="1" t="s">
        <v>16</v>
      </c>
      <c r="S2" s="10" t="s">
        <v>17</v>
      </c>
    </row>
    <row r="3" spans="1:26" s="4" customFormat="1" ht="12" customHeight="1" x14ac:dyDescent="0.25">
      <c r="A3" s="2"/>
      <c r="B3" s="23" t="e">
        <f>#REF!</f>
        <v>#REF!</v>
      </c>
      <c r="C3" s="24" t="s">
        <v>0</v>
      </c>
      <c r="D3" s="25" t="e">
        <f>SUM(#REF!)</f>
        <v>#REF!</v>
      </c>
      <c r="E3" s="25" t="e">
        <f>SUM(#REF!)</f>
        <v>#REF!</v>
      </c>
      <c r="F3" s="25" t="e">
        <f>SUM(#REF!)</f>
        <v>#REF!</v>
      </c>
      <c r="G3" s="25" t="e">
        <f>SUM(#REF!)</f>
        <v>#REF!</v>
      </c>
      <c r="H3" s="25" t="e">
        <f>SUM(#REF!)</f>
        <v>#REF!</v>
      </c>
      <c r="I3" s="25" t="e">
        <f>SUM(#REF!)</f>
        <v>#REF!</v>
      </c>
      <c r="J3" s="25" t="e">
        <f>SUM(#REF!)</f>
        <v>#REF!</v>
      </c>
      <c r="K3" s="25" t="e">
        <f>SUM(#REF!)</f>
        <v>#REF!</v>
      </c>
      <c r="L3" s="25" t="e">
        <f>SUM(#REF!)</f>
        <v>#REF!</v>
      </c>
      <c r="M3" s="25" t="e">
        <f>SUM(#REF!)</f>
        <v>#REF!</v>
      </c>
      <c r="N3" s="25" t="e">
        <f>SUM(#REF!)</f>
        <v>#REF!</v>
      </c>
      <c r="O3" s="25" t="e">
        <f>SUM(#REF!)</f>
        <v>#REF!</v>
      </c>
      <c r="P3" s="25" t="e">
        <f>SUM(#REF!)</f>
        <v>#REF!</v>
      </c>
      <c r="Q3" s="25" t="e">
        <f>SUM(#REF!)</f>
        <v>#REF!</v>
      </c>
      <c r="R3" s="25" t="e">
        <f>SUM(#REF!)</f>
        <v>#REF!</v>
      </c>
      <c r="S3" s="26" t="e">
        <f>SUM(#REF!)</f>
        <v>#REF!</v>
      </c>
      <c r="T3" s="2"/>
      <c r="U3" s="3"/>
      <c r="V3" s="2"/>
      <c r="W3" s="2"/>
      <c r="X3" s="2"/>
      <c r="Y3" s="2"/>
      <c r="Z3" s="2"/>
    </row>
    <row r="4" spans="1:26" s="4" customFormat="1" ht="12" customHeight="1" thickBot="1" x14ac:dyDescent="0.3">
      <c r="A4" s="2"/>
      <c r="B4" s="27" t="e">
        <f>B3</f>
        <v>#REF!</v>
      </c>
      <c r="C4" s="17" t="s">
        <v>20</v>
      </c>
      <c r="D4" s="18" t="e">
        <f>SUM(#REF!)</f>
        <v>#REF!</v>
      </c>
      <c r="E4" s="18" t="e">
        <f>SUM(#REF!)</f>
        <v>#REF!</v>
      </c>
      <c r="F4" s="18" t="e">
        <f>SUM(#REF!)</f>
        <v>#REF!</v>
      </c>
      <c r="G4" s="18" t="e">
        <f>SUM(#REF!)</f>
        <v>#REF!</v>
      </c>
      <c r="H4" s="18" t="e">
        <f>SUM(#REF!)</f>
        <v>#REF!</v>
      </c>
      <c r="I4" s="18" t="e">
        <f>SUM(#REF!)</f>
        <v>#REF!</v>
      </c>
      <c r="J4" s="18" t="e">
        <f>SUM(#REF!)</f>
        <v>#REF!</v>
      </c>
      <c r="K4" s="18" t="e">
        <f>SUM(#REF!)</f>
        <v>#REF!</v>
      </c>
      <c r="L4" s="18" t="e">
        <f>SUM(#REF!)</f>
        <v>#REF!</v>
      </c>
      <c r="M4" s="18" t="e">
        <f>SUM(#REF!)</f>
        <v>#REF!</v>
      </c>
      <c r="N4" s="18" t="e">
        <f>SUM(#REF!)</f>
        <v>#REF!</v>
      </c>
      <c r="O4" s="18" t="e">
        <f>SUM(#REF!)</f>
        <v>#REF!</v>
      </c>
      <c r="P4" s="18" t="e">
        <f>SUM(#REF!)</f>
        <v>#REF!</v>
      </c>
      <c r="Q4" s="18" t="e">
        <f>SUM(#REF!)</f>
        <v>#REF!</v>
      </c>
      <c r="R4" s="18" t="e">
        <f>SUM(#REF!)</f>
        <v>#REF!</v>
      </c>
      <c r="S4" s="28" t="e">
        <f>SUM(#REF!)</f>
        <v>#REF!</v>
      </c>
      <c r="T4" s="2"/>
      <c r="U4" s="3"/>
      <c r="V4" s="2"/>
      <c r="W4" s="2"/>
      <c r="X4" s="2"/>
      <c r="Y4" s="2"/>
      <c r="Z4" s="2"/>
    </row>
    <row r="5" spans="1:26" s="4" customFormat="1" ht="12" customHeight="1" thickBot="1" x14ac:dyDescent="0.3">
      <c r="A5" s="2"/>
      <c r="B5" s="20" t="e">
        <f>B4</f>
        <v>#REF!</v>
      </c>
      <c r="C5" s="19" t="s">
        <v>21</v>
      </c>
      <c r="D5" s="21" t="e">
        <f>SUM(D3:D4)</f>
        <v>#REF!</v>
      </c>
      <c r="E5" s="21" t="e">
        <f t="shared" ref="E5:S5" si="0">SUM(E3:E4)</f>
        <v>#REF!</v>
      </c>
      <c r="F5" s="21" t="e">
        <f t="shared" si="0"/>
        <v>#REF!</v>
      </c>
      <c r="G5" s="21" t="e">
        <f t="shared" si="0"/>
        <v>#REF!</v>
      </c>
      <c r="H5" s="21" t="e">
        <f t="shared" si="0"/>
        <v>#REF!</v>
      </c>
      <c r="I5" s="21" t="e">
        <f t="shared" si="0"/>
        <v>#REF!</v>
      </c>
      <c r="J5" s="21" t="e">
        <f t="shared" si="0"/>
        <v>#REF!</v>
      </c>
      <c r="K5" s="21" t="e">
        <f t="shared" si="0"/>
        <v>#REF!</v>
      </c>
      <c r="L5" s="21" t="e">
        <f t="shared" si="0"/>
        <v>#REF!</v>
      </c>
      <c r="M5" s="21" t="e">
        <f t="shared" si="0"/>
        <v>#REF!</v>
      </c>
      <c r="N5" s="21" t="e">
        <f t="shared" si="0"/>
        <v>#REF!</v>
      </c>
      <c r="O5" s="21" t="e">
        <f t="shared" si="0"/>
        <v>#REF!</v>
      </c>
      <c r="P5" s="21" t="e">
        <f t="shared" si="0"/>
        <v>#REF!</v>
      </c>
      <c r="Q5" s="21" t="e">
        <f t="shared" si="0"/>
        <v>#REF!</v>
      </c>
      <c r="R5" s="21" t="e">
        <f t="shared" si="0"/>
        <v>#REF!</v>
      </c>
      <c r="S5" s="22" t="e">
        <f t="shared" si="0"/>
        <v>#REF!</v>
      </c>
      <c r="T5" s="2"/>
      <c r="U5" s="2"/>
      <c r="V5" s="2"/>
      <c r="W5" s="2"/>
      <c r="X5" s="2"/>
      <c r="Y5" s="2"/>
      <c r="Z5" s="2"/>
    </row>
    <row r="6" spans="1:26" s="4" customFormat="1" ht="12" customHeight="1" thickBot="1" x14ac:dyDescent="0.3">
      <c r="A6" s="2"/>
      <c r="B6" s="5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"/>
      <c r="U6" s="2"/>
      <c r="V6" s="2"/>
      <c r="W6" s="2"/>
      <c r="X6" s="2"/>
      <c r="Y6" s="2"/>
      <c r="Z6" s="2"/>
    </row>
    <row r="7" spans="1:26" s="4" customFormat="1" ht="12" customHeight="1" x14ac:dyDescent="0.25">
      <c r="A7" s="2"/>
      <c r="B7" s="23" t="e">
        <f>#REF!</f>
        <v>#REF!</v>
      </c>
      <c r="C7" s="24" t="s">
        <v>0</v>
      </c>
      <c r="D7" s="25" t="e">
        <f>SUM(#REF!)</f>
        <v>#REF!</v>
      </c>
      <c r="E7" s="25" t="e">
        <f>SUM(#REF!)</f>
        <v>#REF!</v>
      </c>
      <c r="F7" s="25" t="e">
        <f>SUM(#REF!)</f>
        <v>#REF!</v>
      </c>
      <c r="G7" s="25" t="e">
        <f>SUM(#REF!)</f>
        <v>#REF!</v>
      </c>
      <c r="H7" s="25" t="e">
        <f>SUM(#REF!)</f>
        <v>#REF!</v>
      </c>
      <c r="I7" s="25" t="e">
        <f>SUM(#REF!)</f>
        <v>#REF!</v>
      </c>
      <c r="J7" s="25" t="e">
        <f>SUM(#REF!)</f>
        <v>#REF!</v>
      </c>
      <c r="K7" s="25" t="e">
        <f>SUM(#REF!)</f>
        <v>#REF!</v>
      </c>
      <c r="L7" s="25" t="e">
        <f>SUM(#REF!)</f>
        <v>#REF!</v>
      </c>
      <c r="M7" s="25" t="e">
        <f>SUM(#REF!)</f>
        <v>#REF!</v>
      </c>
      <c r="N7" s="25" t="e">
        <f>SUM(#REF!)</f>
        <v>#REF!</v>
      </c>
      <c r="O7" s="25" t="e">
        <f>SUM(#REF!)</f>
        <v>#REF!</v>
      </c>
      <c r="P7" s="25" t="e">
        <f>SUM(#REF!)</f>
        <v>#REF!</v>
      </c>
      <c r="Q7" s="25" t="e">
        <f>SUM(#REF!)</f>
        <v>#REF!</v>
      </c>
      <c r="R7" s="25" t="e">
        <f>SUM(#REF!)</f>
        <v>#REF!</v>
      </c>
      <c r="S7" s="26" t="e">
        <f>SUM(#REF!)</f>
        <v>#REF!</v>
      </c>
      <c r="T7" s="2"/>
      <c r="U7" s="3"/>
      <c r="V7" s="2"/>
      <c r="W7" s="2"/>
      <c r="X7" s="2"/>
      <c r="Y7" s="2"/>
      <c r="Z7" s="2"/>
    </row>
    <row r="8" spans="1:26" s="4" customFormat="1" ht="12" customHeight="1" thickBot="1" x14ac:dyDescent="0.3">
      <c r="A8" s="2"/>
      <c r="B8" s="27" t="e">
        <f>B7</f>
        <v>#REF!</v>
      </c>
      <c r="C8" s="17" t="s">
        <v>20</v>
      </c>
      <c r="D8" s="18" t="e">
        <f>SUM(#REF!)</f>
        <v>#REF!</v>
      </c>
      <c r="E8" s="18" t="e">
        <f>SUM(#REF!)</f>
        <v>#REF!</v>
      </c>
      <c r="F8" s="18" t="e">
        <f>SUM(#REF!)</f>
        <v>#REF!</v>
      </c>
      <c r="G8" s="18" t="e">
        <f>SUM(#REF!)</f>
        <v>#REF!</v>
      </c>
      <c r="H8" s="18" t="e">
        <f>SUM(#REF!)</f>
        <v>#REF!</v>
      </c>
      <c r="I8" s="18" t="e">
        <f>SUM(#REF!)</f>
        <v>#REF!</v>
      </c>
      <c r="J8" s="18" t="e">
        <f>SUM(#REF!)</f>
        <v>#REF!</v>
      </c>
      <c r="K8" s="18" t="e">
        <f>SUM(#REF!)</f>
        <v>#REF!</v>
      </c>
      <c r="L8" s="18" t="e">
        <f>SUM(#REF!)</f>
        <v>#REF!</v>
      </c>
      <c r="M8" s="18" t="e">
        <f>SUM(#REF!)</f>
        <v>#REF!</v>
      </c>
      <c r="N8" s="18" t="e">
        <f>SUM(#REF!)</f>
        <v>#REF!</v>
      </c>
      <c r="O8" s="18" t="e">
        <f>SUM(#REF!)</f>
        <v>#REF!</v>
      </c>
      <c r="P8" s="18" t="e">
        <f>SUM(#REF!)</f>
        <v>#REF!</v>
      </c>
      <c r="Q8" s="18" t="e">
        <f>SUM(#REF!)</f>
        <v>#REF!</v>
      </c>
      <c r="R8" s="18" t="e">
        <f>SUM(#REF!)</f>
        <v>#REF!</v>
      </c>
      <c r="S8" s="28" t="e">
        <f>SUM(#REF!)</f>
        <v>#REF!</v>
      </c>
      <c r="T8" s="2"/>
      <c r="U8" s="3"/>
      <c r="V8" s="2"/>
      <c r="W8" s="2"/>
      <c r="X8" s="2"/>
      <c r="Y8" s="2"/>
      <c r="Z8" s="2"/>
    </row>
    <row r="9" spans="1:26" s="4" customFormat="1" ht="12" customHeight="1" thickBot="1" x14ac:dyDescent="0.3">
      <c r="A9" s="2"/>
      <c r="B9" s="20" t="e">
        <f>B8</f>
        <v>#REF!</v>
      </c>
      <c r="C9" s="19" t="s">
        <v>21</v>
      </c>
      <c r="D9" s="21" t="e">
        <f>SUM(D7:D8)</f>
        <v>#REF!</v>
      </c>
      <c r="E9" s="21" t="e">
        <f t="shared" ref="E9:S9" si="1">SUM(E7:E8)</f>
        <v>#REF!</v>
      </c>
      <c r="F9" s="21" t="e">
        <f t="shared" si="1"/>
        <v>#REF!</v>
      </c>
      <c r="G9" s="21" t="e">
        <f t="shared" si="1"/>
        <v>#REF!</v>
      </c>
      <c r="H9" s="21" t="e">
        <f t="shared" si="1"/>
        <v>#REF!</v>
      </c>
      <c r="I9" s="21" t="e">
        <f t="shared" si="1"/>
        <v>#REF!</v>
      </c>
      <c r="J9" s="21" t="e">
        <f t="shared" si="1"/>
        <v>#REF!</v>
      </c>
      <c r="K9" s="21" t="e">
        <f t="shared" si="1"/>
        <v>#REF!</v>
      </c>
      <c r="L9" s="21" t="e">
        <f t="shared" si="1"/>
        <v>#REF!</v>
      </c>
      <c r="M9" s="21" t="e">
        <f t="shared" si="1"/>
        <v>#REF!</v>
      </c>
      <c r="N9" s="21" t="e">
        <f t="shared" si="1"/>
        <v>#REF!</v>
      </c>
      <c r="O9" s="21" t="e">
        <f t="shared" si="1"/>
        <v>#REF!</v>
      </c>
      <c r="P9" s="21" t="e">
        <f t="shared" si="1"/>
        <v>#REF!</v>
      </c>
      <c r="Q9" s="21" t="e">
        <f t="shared" si="1"/>
        <v>#REF!</v>
      </c>
      <c r="R9" s="21" t="e">
        <f t="shared" si="1"/>
        <v>#REF!</v>
      </c>
      <c r="S9" s="22" t="e">
        <f t="shared" si="1"/>
        <v>#REF!</v>
      </c>
      <c r="T9" s="2"/>
      <c r="U9" s="2"/>
      <c r="V9" s="2"/>
      <c r="W9" s="2"/>
      <c r="X9" s="2"/>
      <c r="Y9" s="2"/>
      <c r="Z9" s="2"/>
    </row>
    <row r="10" spans="1:26" s="4" customFormat="1" ht="12" customHeight="1" thickBot="1" x14ac:dyDescent="0.3">
      <c r="A10" s="2"/>
      <c r="B10" s="5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2"/>
      <c r="U10" s="2"/>
      <c r="V10" s="2"/>
      <c r="W10" s="2"/>
      <c r="X10" s="2"/>
      <c r="Y10" s="2"/>
      <c r="Z10" s="2"/>
    </row>
    <row r="11" spans="1:26" s="4" customFormat="1" ht="12" customHeight="1" x14ac:dyDescent="0.25">
      <c r="A11" s="2"/>
      <c r="B11" s="23" t="e">
        <f>#REF!</f>
        <v>#REF!</v>
      </c>
      <c r="C11" s="24" t="s">
        <v>0</v>
      </c>
      <c r="D11" s="25" t="e">
        <f>D3+D7</f>
        <v>#REF!</v>
      </c>
      <c r="E11" s="25" t="e">
        <f t="shared" ref="E11:S11" si="2">E3+E7</f>
        <v>#REF!</v>
      </c>
      <c r="F11" s="25" t="e">
        <f t="shared" si="2"/>
        <v>#REF!</v>
      </c>
      <c r="G11" s="25" t="e">
        <f t="shared" si="2"/>
        <v>#REF!</v>
      </c>
      <c r="H11" s="25" t="e">
        <f t="shared" si="2"/>
        <v>#REF!</v>
      </c>
      <c r="I11" s="25" t="e">
        <f t="shared" si="2"/>
        <v>#REF!</v>
      </c>
      <c r="J11" s="25" t="e">
        <f t="shared" si="2"/>
        <v>#REF!</v>
      </c>
      <c r="K11" s="25" t="e">
        <f t="shared" si="2"/>
        <v>#REF!</v>
      </c>
      <c r="L11" s="25" t="e">
        <f t="shared" si="2"/>
        <v>#REF!</v>
      </c>
      <c r="M11" s="25" t="e">
        <f t="shared" si="2"/>
        <v>#REF!</v>
      </c>
      <c r="N11" s="25" t="e">
        <f t="shared" si="2"/>
        <v>#REF!</v>
      </c>
      <c r="O11" s="25" t="e">
        <f t="shared" si="2"/>
        <v>#REF!</v>
      </c>
      <c r="P11" s="25" t="e">
        <f t="shared" si="2"/>
        <v>#REF!</v>
      </c>
      <c r="Q11" s="25" t="e">
        <f t="shared" si="2"/>
        <v>#REF!</v>
      </c>
      <c r="R11" s="25" t="e">
        <f t="shared" si="2"/>
        <v>#REF!</v>
      </c>
      <c r="S11" s="26" t="e">
        <f t="shared" si="2"/>
        <v>#REF!</v>
      </c>
      <c r="T11" s="2"/>
      <c r="U11" s="3"/>
      <c r="V11" s="2"/>
      <c r="W11" s="2"/>
      <c r="X11" s="2"/>
      <c r="Y11" s="2"/>
      <c r="Z11" s="2"/>
    </row>
    <row r="12" spans="1:26" s="4" customFormat="1" ht="12" customHeight="1" thickBot="1" x14ac:dyDescent="0.3">
      <c r="A12" s="2"/>
      <c r="B12" s="27" t="e">
        <f>B11</f>
        <v>#REF!</v>
      </c>
      <c r="C12" s="17" t="s">
        <v>20</v>
      </c>
      <c r="D12" s="18" t="e">
        <f>D4+D8</f>
        <v>#REF!</v>
      </c>
      <c r="E12" s="18" t="e">
        <f t="shared" ref="E12:S12" si="3">E4+E8</f>
        <v>#REF!</v>
      </c>
      <c r="F12" s="18" t="e">
        <f t="shared" si="3"/>
        <v>#REF!</v>
      </c>
      <c r="G12" s="18" t="e">
        <f t="shared" si="3"/>
        <v>#REF!</v>
      </c>
      <c r="H12" s="18" t="e">
        <f t="shared" si="3"/>
        <v>#REF!</v>
      </c>
      <c r="I12" s="18" t="e">
        <f t="shared" si="3"/>
        <v>#REF!</v>
      </c>
      <c r="J12" s="18" t="e">
        <f t="shared" si="3"/>
        <v>#REF!</v>
      </c>
      <c r="K12" s="18" t="e">
        <f t="shared" si="3"/>
        <v>#REF!</v>
      </c>
      <c r="L12" s="18" t="e">
        <f t="shared" si="3"/>
        <v>#REF!</v>
      </c>
      <c r="M12" s="18" t="e">
        <f t="shared" si="3"/>
        <v>#REF!</v>
      </c>
      <c r="N12" s="18" t="e">
        <f t="shared" si="3"/>
        <v>#REF!</v>
      </c>
      <c r="O12" s="18" t="e">
        <f t="shared" si="3"/>
        <v>#REF!</v>
      </c>
      <c r="P12" s="18" t="e">
        <f t="shared" si="3"/>
        <v>#REF!</v>
      </c>
      <c r="Q12" s="18" t="e">
        <f t="shared" si="3"/>
        <v>#REF!</v>
      </c>
      <c r="R12" s="18" t="e">
        <f t="shared" si="3"/>
        <v>#REF!</v>
      </c>
      <c r="S12" s="28" t="e">
        <f t="shared" si="3"/>
        <v>#REF!</v>
      </c>
      <c r="T12" s="2"/>
      <c r="U12" s="3"/>
      <c r="V12" s="2"/>
      <c r="W12" s="2"/>
      <c r="X12" s="2"/>
      <c r="Y12" s="2"/>
      <c r="Z12" s="2"/>
    </row>
    <row r="13" spans="1:26" s="4" customFormat="1" ht="12" customHeight="1" thickBot="1" x14ac:dyDescent="0.3">
      <c r="A13" s="2"/>
      <c r="B13" s="20" t="e">
        <f>B12</f>
        <v>#REF!</v>
      </c>
      <c r="C13" s="19" t="s">
        <v>21</v>
      </c>
      <c r="D13" s="21" t="e">
        <f>SUM(D11:D12)</f>
        <v>#REF!</v>
      </c>
      <c r="E13" s="21" t="e">
        <f t="shared" ref="E13:S13" si="4">SUM(E11:E12)</f>
        <v>#REF!</v>
      </c>
      <c r="F13" s="21" t="e">
        <f t="shared" si="4"/>
        <v>#REF!</v>
      </c>
      <c r="G13" s="21" t="e">
        <f t="shared" si="4"/>
        <v>#REF!</v>
      </c>
      <c r="H13" s="21" t="e">
        <f t="shared" si="4"/>
        <v>#REF!</v>
      </c>
      <c r="I13" s="21" t="e">
        <f t="shared" si="4"/>
        <v>#REF!</v>
      </c>
      <c r="J13" s="21" t="e">
        <f t="shared" si="4"/>
        <v>#REF!</v>
      </c>
      <c r="K13" s="21" t="e">
        <f t="shared" si="4"/>
        <v>#REF!</v>
      </c>
      <c r="L13" s="21" t="e">
        <f t="shared" si="4"/>
        <v>#REF!</v>
      </c>
      <c r="M13" s="21" t="e">
        <f t="shared" si="4"/>
        <v>#REF!</v>
      </c>
      <c r="N13" s="21" t="e">
        <f t="shared" si="4"/>
        <v>#REF!</v>
      </c>
      <c r="O13" s="21" t="e">
        <f t="shared" si="4"/>
        <v>#REF!</v>
      </c>
      <c r="P13" s="21" t="e">
        <f t="shared" si="4"/>
        <v>#REF!</v>
      </c>
      <c r="Q13" s="21" t="e">
        <f t="shared" si="4"/>
        <v>#REF!</v>
      </c>
      <c r="R13" s="21" t="e">
        <f t="shared" si="4"/>
        <v>#REF!</v>
      </c>
      <c r="S13" s="22" t="e">
        <f t="shared" si="4"/>
        <v>#REF!</v>
      </c>
      <c r="T13" s="2"/>
      <c r="U13" s="2"/>
      <c r="V13" s="2"/>
      <c r="W13" s="2"/>
      <c r="X13" s="2"/>
      <c r="Y13" s="2"/>
      <c r="Z13" s="2"/>
    </row>
    <row r="15" spans="1:26" x14ac:dyDescent="0.25">
      <c r="D15" s="14" t="e">
        <f>D5=#REF!</f>
        <v>#REF!</v>
      </c>
      <c r="E15" s="14" t="e">
        <f>E5=#REF!</f>
        <v>#REF!</v>
      </c>
      <c r="F15" s="14" t="e">
        <f>F5=#REF!</f>
        <v>#REF!</v>
      </c>
      <c r="G15" s="14" t="e">
        <f>G5=#REF!</f>
        <v>#REF!</v>
      </c>
      <c r="H15" s="14" t="e">
        <f>H5=#REF!</f>
        <v>#REF!</v>
      </c>
      <c r="I15" s="14" t="e">
        <f>I5=#REF!</f>
        <v>#REF!</v>
      </c>
      <c r="J15" s="14" t="e">
        <f>J5=#REF!</f>
        <v>#REF!</v>
      </c>
      <c r="K15" s="14" t="e">
        <f>K5=#REF!</f>
        <v>#REF!</v>
      </c>
      <c r="L15" s="14" t="e">
        <f>L5=#REF!</f>
        <v>#REF!</v>
      </c>
      <c r="M15" s="14" t="e">
        <f>M5=#REF!</f>
        <v>#REF!</v>
      </c>
      <c r="N15" s="14" t="e">
        <f>N5=#REF!</f>
        <v>#REF!</v>
      </c>
      <c r="O15" s="14" t="e">
        <f>O5=#REF!</f>
        <v>#REF!</v>
      </c>
      <c r="P15" s="14" t="e">
        <f>P5=#REF!</f>
        <v>#REF!</v>
      </c>
      <c r="Q15" s="14" t="e">
        <f>Q5=#REF!</f>
        <v>#REF!</v>
      </c>
      <c r="R15" s="14" t="e">
        <f>R5=#REF!</f>
        <v>#REF!</v>
      </c>
      <c r="S15" s="14" t="e">
        <f>S5=#REF!</f>
        <v>#REF!</v>
      </c>
    </row>
    <row r="16" spans="1:26" x14ac:dyDescent="0.25">
      <c r="D16" s="14" t="e">
        <f>D9=#REF!</f>
        <v>#REF!</v>
      </c>
      <c r="E16" s="14" t="e">
        <f>E9=#REF!</f>
        <v>#REF!</v>
      </c>
      <c r="F16" s="14" t="e">
        <f>F9=#REF!</f>
        <v>#REF!</v>
      </c>
      <c r="G16" s="14" t="e">
        <f>G9=#REF!</f>
        <v>#REF!</v>
      </c>
      <c r="H16" s="14" t="e">
        <f>H9=#REF!</f>
        <v>#REF!</v>
      </c>
      <c r="I16" s="14" t="e">
        <f>I9=#REF!</f>
        <v>#REF!</v>
      </c>
      <c r="J16" s="14" t="e">
        <f>J9=#REF!</f>
        <v>#REF!</v>
      </c>
      <c r="K16" s="14" t="e">
        <f>K9=#REF!</f>
        <v>#REF!</v>
      </c>
      <c r="L16" s="14" t="e">
        <f>L9=#REF!</f>
        <v>#REF!</v>
      </c>
      <c r="M16" s="14" t="e">
        <f>M9=#REF!</f>
        <v>#REF!</v>
      </c>
      <c r="N16" s="14" t="e">
        <f>N9=#REF!</f>
        <v>#REF!</v>
      </c>
      <c r="O16" s="14" t="e">
        <f>O9=#REF!</f>
        <v>#REF!</v>
      </c>
      <c r="P16" s="14" t="e">
        <f>P9=#REF!</f>
        <v>#REF!</v>
      </c>
      <c r="Q16" s="14" t="e">
        <f>Q9=#REF!</f>
        <v>#REF!</v>
      </c>
      <c r="R16" s="14" t="e">
        <f>R9=#REF!</f>
        <v>#REF!</v>
      </c>
      <c r="S16" s="14" t="e">
        <f>S9=#REF!</f>
        <v>#REF!</v>
      </c>
    </row>
    <row r="17" spans="4:19" x14ac:dyDescent="0.25">
      <c r="D17" s="14" t="e">
        <f>D13=#REF!</f>
        <v>#REF!</v>
      </c>
      <c r="E17" s="14" t="e">
        <f>E13=#REF!</f>
        <v>#REF!</v>
      </c>
      <c r="F17" s="14" t="e">
        <f>F13=#REF!</f>
        <v>#REF!</v>
      </c>
      <c r="G17" s="14" t="e">
        <f>G13=#REF!</f>
        <v>#REF!</v>
      </c>
      <c r="H17" s="14" t="e">
        <f>H13=#REF!</f>
        <v>#REF!</v>
      </c>
      <c r="I17" s="14" t="e">
        <f>I13=#REF!</f>
        <v>#REF!</v>
      </c>
      <c r="J17" s="14" t="e">
        <f>J13=#REF!</f>
        <v>#REF!</v>
      </c>
      <c r="K17" s="14" t="e">
        <f>K13=#REF!</f>
        <v>#REF!</v>
      </c>
      <c r="L17" s="14" t="e">
        <f>L13=#REF!</f>
        <v>#REF!</v>
      </c>
      <c r="M17" s="14" t="e">
        <f>M13=#REF!</f>
        <v>#REF!</v>
      </c>
      <c r="N17" s="14" t="e">
        <f>N13=#REF!</f>
        <v>#REF!</v>
      </c>
      <c r="O17" s="14" t="e">
        <f>O13=#REF!</f>
        <v>#REF!</v>
      </c>
      <c r="P17" s="14" t="e">
        <f>P13=#REF!</f>
        <v>#REF!</v>
      </c>
      <c r="Q17" s="14" t="e">
        <f>Q13=#REF!</f>
        <v>#REF!</v>
      </c>
      <c r="R17" s="14" t="e">
        <f>R13=#REF!</f>
        <v>#REF!</v>
      </c>
      <c r="S17" s="14" t="e">
        <f>S13=#REF!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MES</vt:lpstr>
      <vt:lpstr>RESUMEN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Harold Catro Castillo</cp:lastModifiedBy>
  <cp:lastPrinted>2018-07-16T21:39:56Z</cp:lastPrinted>
  <dcterms:created xsi:type="dcterms:W3CDTF">2003-01-13T14:55:35Z</dcterms:created>
  <dcterms:modified xsi:type="dcterms:W3CDTF">2026-08-18T17:13:00Z</dcterms:modified>
</cp:coreProperties>
</file>