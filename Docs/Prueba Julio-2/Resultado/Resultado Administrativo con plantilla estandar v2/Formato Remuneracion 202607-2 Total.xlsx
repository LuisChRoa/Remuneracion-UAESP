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EJERCICIO 202707-2\REMUNERACION 2026072\"/>
    </mc:Choice>
  </mc:AlternateContent>
  <xr:revisionPtr revIDLastSave="0" documentId="13_ncr:1_{8D1EF082-AC1F-46B3-A67D-C06EE2CE73D1}" xr6:coauthVersionLast="46" xr6:coauthVersionMax="47" xr10:uidLastSave="{00000000-0000-0000-0000-000000000000}"/>
  <bookViews>
    <workbookView xWindow="-120" yWindow="-120" windowWidth="20730" windowHeight="11160" tabRatio="780" firstSheet="17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D178" i="61" l="1"/>
  <c r="E177" i="61"/>
  <c r="D177" i="61"/>
  <c r="AO702" i="55"/>
  <c r="AN702" i="55"/>
  <c r="AM702" i="55"/>
  <c r="AL702" i="55"/>
  <c r="AK702" i="55"/>
  <c r="AJ702" i="55"/>
  <c r="AI702" i="55"/>
  <c r="AH702" i="55"/>
  <c r="AG702" i="55"/>
  <c r="AF702" i="55"/>
  <c r="AE702" i="55"/>
  <c r="AD702" i="55"/>
  <c r="AC702" i="55"/>
  <c r="AB702" i="55"/>
  <c r="AA702" i="55"/>
  <c r="Z702" i="55"/>
  <c r="Y702" i="55"/>
  <c r="X702" i="55"/>
  <c r="W702" i="55"/>
  <c r="V702" i="55"/>
  <c r="U702" i="55"/>
  <c r="T702" i="55"/>
  <c r="S702" i="55"/>
  <c r="R702" i="55"/>
  <c r="Q702" i="55"/>
  <c r="P702" i="55"/>
  <c r="O702" i="55"/>
  <c r="N702" i="55"/>
  <c r="M702" i="55"/>
  <c r="L702" i="55"/>
  <c r="K702" i="55"/>
  <c r="J702" i="55"/>
  <c r="I702" i="55"/>
  <c r="H702" i="55"/>
  <c r="G702" i="55"/>
  <c r="F703" i="55"/>
  <c r="F702" i="55"/>
  <c r="G692" i="55"/>
  <c r="F693" i="55"/>
  <c r="F692" i="55"/>
  <c r="AO682" i="55"/>
  <c r="AN682" i="55"/>
  <c r="AM682" i="55"/>
  <c r="AL682" i="55"/>
  <c r="AK682" i="55"/>
  <c r="AJ682" i="55"/>
  <c r="AI682" i="55"/>
  <c r="AH682" i="55"/>
  <c r="AG682" i="55"/>
  <c r="AF682" i="55"/>
  <c r="AE682" i="55"/>
  <c r="AD682" i="55"/>
  <c r="AC682" i="55"/>
  <c r="AB682" i="55"/>
  <c r="AA682" i="55"/>
  <c r="Z682" i="55"/>
  <c r="Y682" i="55"/>
  <c r="X682" i="55"/>
  <c r="W682" i="55"/>
  <c r="V682" i="55"/>
  <c r="U682" i="55"/>
  <c r="T682" i="55"/>
  <c r="S682" i="55"/>
  <c r="R682" i="55"/>
  <c r="Q682" i="55"/>
  <c r="P682" i="55"/>
  <c r="O682" i="55"/>
  <c r="N682" i="55"/>
  <c r="M682" i="55"/>
  <c r="L682" i="55"/>
  <c r="K682" i="55"/>
  <c r="J682" i="55"/>
  <c r="I682" i="55"/>
  <c r="H682" i="55"/>
  <c r="G682" i="55"/>
  <c r="F683" i="55"/>
  <c r="F682" i="55"/>
  <c r="F575" i="55" l="1"/>
  <c r="F576" i="55"/>
  <c r="G573" i="55"/>
  <c r="F574" i="55"/>
  <c r="F573" i="55"/>
  <c r="G570" i="55"/>
  <c r="F571" i="55"/>
  <c r="F570" i="55"/>
  <c r="G568" i="55"/>
  <c r="F568" i="55"/>
  <c r="F445" i="55"/>
  <c r="G437" i="55"/>
  <c r="F437" i="55"/>
  <c r="G435" i="55"/>
  <c r="F436" i="55"/>
  <c r="F435" i="55"/>
  <c r="G427" i="55"/>
  <c r="F426" i="55"/>
  <c r="F425" i="55"/>
  <c r="G417" i="55"/>
  <c r="F418" i="55"/>
  <c r="F417" i="55"/>
  <c r="G415" i="55"/>
  <c r="F416" i="55"/>
  <c r="F415" i="55"/>
  <c r="F284" i="55"/>
  <c r="F276" i="55"/>
  <c r="G274" i="55"/>
  <c r="F275" i="55"/>
  <c r="F274" i="55"/>
  <c r="G266" i="55"/>
  <c r="G264" i="55"/>
  <c r="F265" i="55"/>
  <c r="F264" i="55"/>
  <c r="G261" i="55"/>
  <c r="F262" i="55"/>
  <c r="F261" i="55"/>
  <c r="G259" i="55"/>
  <c r="F259" i="55"/>
  <c r="G256" i="55"/>
  <c r="F257" i="55"/>
  <c r="F256" i="55"/>
  <c r="G254" i="55"/>
  <c r="F255" i="55"/>
  <c r="F254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F105" i="55"/>
  <c r="G97" i="55"/>
  <c r="F98" i="55"/>
  <c r="F97" i="55"/>
  <c r="G95" i="55"/>
  <c r="F95" i="55"/>
  <c r="F87" i="55"/>
  <c r="G85" i="55"/>
  <c r="F86" i="55"/>
  <c r="F85" i="55"/>
  <c r="G77" i="55"/>
  <c r="F78" i="55"/>
  <c r="F77" i="55"/>
  <c r="G75" i="55"/>
  <c r="F76" i="55"/>
  <c r="F75" i="55"/>
  <c r="L14" i="22" l="1"/>
  <c r="L10" i="22"/>
  <c r="L11" i="22"/>
  <c r="L12" i="22"/>
  <c r="L13" i="22"/>
  <c r="L9" i="22"/>
  <c r="D10" i="68"/>
  <c r="C11" i="68"/>
  <c r="C10" i="68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E367" i="61"/>
  <c r="D368" i="61"/>
  <c r="D367" i="6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E361" i="61"/>
  <c r="D362" i="61"/>
  <c r="D361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4" i="61"/>
  <c r="D223" i="61"/>
  <c r="D218" i="61"/>
  <c r="E217" i="61"/>
  <c r="D217" i="61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E211" i="61"/>
  <c r="D212" i="61"/>
  <c r="D211" i="61"/>
  <c r="E180" i="61"/>
  <c r="D181" i="61"/>
  <c r="D180" i="61"/>
  <c r="D175" i="61"/>
  <c r="E174" i="61"/>
  <c r="D174" i="61"/>
  <c r="E85" i="61"/>
  <c r="D86" i="61"/>
  <c r="D85" i="61"/>
  <c r="E79" i="61"/>
  <c r="D80" i="61"/>
  <c r="D79" i="61"/>
  <c r="E73" i="61"/>
  <c r="D74" i="61"/>
  <c r="D73" i="61"/>
  <c r="R474" i="59"/>
  <c r="Q474" i="59"/>
  <c r="P474" i="59"/>
  <c r="O474" i="59"/>
  <c r="N474" i="59"/>
  <c r="M474" i="59"/>
  <c r="L474" i="59"/>
  <c r="K474" i="59"/>
  <c r="J474" i="59"/>
  <c r="I474" i="59"/>
  <c r="H474" i="59"/>
  <c r="G474" i="59"/>
  <c r="F474" i="59"/>
  <c r="E474" i="59"/>
  <c r="E161" i="59"/>
  <c r="R158" i="59"/>
  <c r="Q158" i="59"/>
  <c r="P158" i="59"/>
  <c r="O158" i="59"/>
  <c r="N158" i="59"/>
  <c r="M158" i="59"/>
  <c r="L158" i="59"/>
  <c r="K158" i="59"/>
  <c r="J158" i="59"/>
  <c r="I158" i="59"/>
  <c r="H158" i="59"/>
  <c r="G158" i="59"/>
  <c r="F158" i="59"/>
  <c r="E159" i="59"/>
  <c r="E158" i="59"/>
  <c r="E155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F53" i="59"/>
  <c r="E53" i="59"/>
  <c r="E48" i="59"/>
  <c r="F47" i="59"/>
  <c r="E47" i="59"/>
  <c r="Z598" i="55"/>
  <c r="Y598" i="55"/>
  <c r="X598" i="55"/>
  <c r="W598" i="55"/>
  <c r="V598" i="55"/>
  <c r="U598" i="55"/>
  <c r="T598" i="55"/>
  <c r="S598" i="55"/>
  <c r="R598" i="55"/>
  <c r="Q598" i="55"/>
  <c r="P598" i="55"/>
  <c r="O598" i="55"/>
  <c r="N598" i="55"/>
  <c r="M598" i="55"/>
  <c r="L598" i="55"/>
  <c r="K598" i="55"/>
  <c r="J598" i="55"/>
  <c r="I598" i="55"/>
  <c r="H598" i="55"/>
  <c r="G598" i="55"/>
  <c r="F598" i="55"/>
  <c r="F590" i="55"/>
  <c r="G588" i="55"/>
  <c r="F588" i="55"/>
  <c r="F580" i="55"/>
  <c r="G578" i="55"/>
  <c r="F579" i="55"/>
  <c r="F578" i="55"/>
  <c r="G575" i="55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F438" i="55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F428" i="55"/>
  <c r="F427" i="55"/>
  <c r="G425" i="55"/>
  <c r="F266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F96" i="55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8" i="55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C37" i="68"/>
  <c r="D36" i="68"/>
  <c r="C36" i="68"/>
  <c r="D339" i="61"/>
  <c r="E338" i="61"/>
  <c r="D338" i="61"/>
  <c r="E332" i="61"/>
  <c r="D333" i="61"/>
  <c r="D332" i="61"/>
  <c r="E329" i="61"/>
  <c r="D330" i="61"/>
  <c r="D329" i="61"/>
  <c r="E326" i="61"/>
  <c r="D327" i="61"/>
  <c r="D326" i="61"/>
  <c r="E186" i="61"/>
  <c r="D187" i="61"/>
  <c r="D186" i="61"/>
  <c r="R177" i="61"/>
  <c r="Q177" i="61"/>
  <c r="P177" i="61"/>
  <c r="O177" i="61"/>
  <c r="N177" i="61"/>
  <c r="M177" i="61"/>
  <c r="L177" i="61"/>
  <c r="K177" i="61"/>
  <c r="J177" i="61"/>
  <c r="I177" i="61"/>
  <c r="H177" i="61"/>
  <c r="G177" i="61"/>
  <c r="F177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396" i="59"/>
  <c r="F387" i="59"/>
  <c r="E387" i="59"/>
  <c r="E388" i="59"/>
  <c r="E385" i="59"/>
  <c r="F384" i="59"/>
  <c r="E384" i="59"/>
  <c r="F589" i="55"/>
  <c r="G580" i="55"/>
  <c r="F581" i="55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7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F267" i="55"/>
  <c r="H17" i="62"/>
  <c r="R31" i="95"/>
  <c r="R30" i="95"/>
  <c r="R29" i="95"/>
  <c r="R28" i="95"/>
  <c r="R27" i="95"/>
  <c r="R26" i="95"/>
  <c r="O49" i="68"/>
  <c r="O62" i="68"/>
  <c r="P468" i="59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1" i="55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R396" i="59"/>
  <c r="Q396" i="59"/>
  <c r="P396" i="59"/>
  <c r="O396" i="59"/>
  <c r="N396" i="59"/>
  <c r="M396" i="59"/>
  <c r="L396" i="59"/>
  <c r="K396" i="59"/>
  <c r="J396" i="59"/>
  <c r="I396" i="59"/>
  <c r="H396" i="59"/>
  <c r="G396" i="59"/>
  <c r="F396" i="59"/>
  <c r="E397" i="59"/>
  <c r="R390" i="59"/>
  <c r="Q390" i="59"/>
  <c r="P390" i="59"/>
  <c r="O390" i="59"/>
  <c r="N390" i="59"/>
  <c r="M390" i="59"/>
  <c r="L390" i="59"/>
  <c r="K390" i="59"/>
  <c r="J390" i="59"/>
  <c r="I390" i="59"/>
  <c r="H390" i="59"/>
  <c r="G390" i="59"/>
  <c r="F390" i="59"/>
  <c r="E391" i="59"/>
  <c r="E390" i="59"/>
  <c r="R387" i="59"/>
  <c r="Q387" i="59"/>
  <c r="P387" i="59"/>
  <c r="O387" i="59"/>
  <c r="N387" i="59"/>
  <c r="M387" i="59"/>
  <c r="L387" i="59"/>
  <c r="K387" i="59"/>
  <c r="J387" i="59"/>
  <c r="I387" i="59"/>
  <c r="H387" i="59"/>
  <c r="G387" i="59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S700" i="55"/>
  <c r="R700" i="55"/>
  <c r="Q700" i="55"/>
  <c r="P700" i="55"/>
  <c r="O700" i="55"/>
  <c r="N700" i="55"/>
  <c r="M700" i="55"/>
  <c r="L700" i="55"/>
  <c r="K700" i="55"/>
  <c r="J700" i="55"/>
  <c r="I700" i="55"/>
  <c r="H700" i="55"/>
  <c r="G700" i="55"/>
  <c r="F700" i="55"/>
  <c r="F710" i="55"/>
  <c r="E279" i="59"/>
  <c r="F273" i="59"/>
  <c r="E274" i="59"/>
  <c r="E273" i="59"/>
  <c r="AA710" i="55"/>
  <c r="Z710" i="55"/>
  <c r="Y710" i="55"/>
  <c r="X710" i="55"/>
  <c r="W710" i="55"/>
  <c r="V710" i="55"/>
  <c r="U710" i="55"/>
  <c r="T710" i="55"/>
  <c r="S710" i="55"/>
  <c r="R710" i="55"/>
  <c r="Q710" i="55"/>
  <c r="P710" i="55"/>
  <c r="O710" i="55"/>
  <c r="N710" i="55"/>
  <c r="M710" i="55"/>
  <c r="L710" i="55"/>
  <c r="K710" i="55"/>
  <c r="J710" i="55"/>
  <c r="I710" i="55"/>
  <c r="H710" i="55"/>
  <c r="G710" i="55"/>
  <c r="F701" i="55"/>
  <c r="G695" i="55"/>
  <c r="F695" i="55"/>
  <c r="G690" i="55"/>
  <c r="F690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S680" i="55"/>
  <c r="R680" i="55"/>
  <c r="Q680" i="55"/>
  <c r="P680" i="55"/>
  <c r="O680" i="55"/>
  <c r="N680" i="55"/>
  <c r="M680" i="55"/>
  <c r="L680" i="55"/>
  <c r="K680" i="55"/>
  <c r="J680" i="55"/>
  <c r="I680" i="55"/>
  <c r="H680" i="55"/>
  <c r="G680" i="55"/>
  <c r="F680" i="55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U445" i="55"/>
  <c r="V445" i="55"/>
  <c r="W445" i="55"/>
  <c r="X445" i="55"/>
  <c r="Y445" i="55"/>
  <c r="Z445" i="55"/>
  <c r="D23" i="68"/>
  <c r="C24" i="68"/>
  <c r="C23" i="68"/>
  <c r="E167" i="59"/>
  <c r="E59" i="59"/>
  <c r="F691" i="55"/>
  <c r="F681" i="55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F260" i="55"/>
  <c r="AC50" i="79" l="1"/>
  <c r="F3" i="64"/>
  <c r="R329" i="61"/>
  <c r="Q329" i="61"/>
  <c r="P329" i="61"/>
  <c r="O329" i="61"/>
  <c r="N329" i="61"/>
  <c r="M329" i="61"/>
  <c r="L329" i="61"/>
  <c r="K329" i="61"/>
  <c r="J329" i="61"/>
  <c r="I329" i="61"/>
  <c r="H329" i="61"/>
  <c r="G329" i="61"/>
  <c r="F329" i="61"/>
  <c r="R326" i="6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E477" i="59" l="1"/>
  <c r="E475" i="59"/>
  <c r="F468" i="59"/>
  <c r="E469" i="59"/>
  <c r="E468" i="59"/>
  <c r="F285" i="59"/>
  <c r="E286" i="59"/>
  <c r="E285" i="59"/>
  <c r="F279" i="59"/>
  <c r="E280" i="59"/>
  <c r="F167" i="59"/>
  <c r="E168" i="59"/>
  <c r="F161" i="59"/>
  <c r="E162" i="59"/>
  <c r="F155" i="59"/>
  <c r="E156" i="59"/>
  <c r="E60" i="59"/>
  <c r="F59" i="59"/>
  <c r="E54" i="59"/>
  <c r="F696" i="55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S690" i="55"/>
  <c r="R690" i="55"/>
  <c r="Q690" i="55"/>
  <c r="P690" i="55"/>
  <c r="O690" i="55"/>
  <c r="N690" i="55"/>
  <c r="M690" i="55"/>
  <c r="L690" i="55"/>
  <c r="K690" i="55"/>
  <c r="J690" i="55"/>
  <c r="I690" i="55"/>
  <c r="H690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F3" i="70"/>
  <c r="D31" i="66"/>
  <c r="D33" i="71" l="1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C67" i="62"/>
  <c r="AC50" i="22" l="1"/>
  <c r="L13" i="79"/>
  <c r="L10" i="79"/>
  <c r="L11" i="79"/>
  <c r="L12" i="79"/>
  <c r="O36" i="68"/>
  <c r="O23" i="68"/>
  <c r="O10" i="68"/>
  <c r="L695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477" i="59"/>
  <c r="Q477" i="59"/>
  <c r="P477" i="59"/>
  <c r="O477" i="59"/>
  <c r="N477" i="59"/>
  <c r="M477" i="59"/>
  <c r="L477" i="59"/>
  <c r="K477" i="59"/>
  <c r="J477" i="59"/>
  <c r="I477" i="59"/>
  <c r="H477" i="59"/>
  <c r="G477" i="59"/>
  <c r="F477" i="59"/>
  <c r="E478" i="59"/>
  <c r="R161" i="59"/>
  <c r="Q161" i="59"/>
  <c r="P161" i="59"/>
  <c r="O161" i="59"/>
  <c r="N161" i="59"/>
  <c r="M161" i="59"/>
  <c r="L161" i="59"/>
  <c r="K161" i="59"/>
  <c r="J161" i="59"/>
  <c r="I161" i="59"/>
  <c r="H161" i="59"/>
  <c r="G161" i="59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S695" i="55"/>
  <c r="R695" i="55"/>
  <c r="Q695" i="55"/>
  <c r="P695" i="55"/>
  <c r="O695" i="55"/>
  <c r="N695" i="55"/>
  <c r="M695" i="55"/>
  <c r="K695" i="55"/>
  <c r="J695" i="55"/>
  <c r="I695" i="55"/>
  <c r="H695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79" i="59"/>
  <c r="Q279" i="59"/>
  <c r="P279" i="59"/>
  <c r="O279" i="59"/>
  <c r="N279" i="59"/>
  <c r="M279" i="59"/>
  <c r="L279" i="59"/>
  <c r="K279" i="59"/>
  <c r="J279" i="59"/>
  <c r="I279" i="59"/>
  <c r="H279" i="59"/>
  <c r="G279" i="59"/>
  <c r="R167" i="59"/>
  <c r="Q167" i="59"/>
  <c r="P167" i="59"/>
  <c r="O167" i="59"/>
  <c r="N167" i="59"/>
  <c r="M167" i="59"/>
  <c r="L167" i="59"/>
  <c r="K167" i="59"/>
  <c r="J167" i="59"/>
  <c r="I167" i="59"/>
  <c r="H167" i="59"/>
  <c r="G167" i="59"/>
  <c r="I155" i="59"/>
  <c r="R155" i="59"/>
  <c r="Q155" i="59"/>
  <c r="P155" i="59"/>
  <c r="O155" i="59"/>
  <c r="N155" i="59"/>
  <c r="M155" i="59"/>
  <c r="L155" i="59"/>
  <c r="K155" i="59"/>
  <c r="J155" i="59"/>
  <c r="H155" i="59"/>
  <c r="G155" i="59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AB11" i="97"/>
  <c r="AD11" i="97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80" i="59"/>
  <c r="Q480" i="59"/>
  <c r="P480" i="59"/>
  <c r="O480" i="59"/>
  <c r="N480" i="59"/>
  <c r="M480" i="59"/>
  <c r="L480" i="59"/>
  <c r="K480" i="59"/>
  <c r="J480" i="59"/>
  <c r="I480" i="59"/>
  <c r="H480" i="59"/>
  <c r="G480" i="59"/>
  <c r="F480" i="59"/>
  <c r="E481" i="59"/>
  <c r="E480" i="59"/>
  <c r="R468" i="59"/>
  <c r="Q468" i="59"/>
  <c r="O468" i="59"/>
  <c r="N468" i="59"/>
  <c r="M468" i="59"/>
  <c r="L468" i="59"/>
  <c r="K468" i="59"/>
  <c r="J468" i="59"/>
  <c r="I468" i="59"/>
  <c r="H468" i="59"/>
  <c r="G468" i="59"/>
  <c r="AF14" i="97" l="1"/>
  <c r="AG9" i="97"/>
  <c r="E381" i="61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AH9" i="97" l="1"/>
  <c r="AG14" i="97"/>
  <c r="AH14" i="97" s="1"/>
  <c r="S59" i="59" l="1"/>
  <c r="R59" i="59"/>
  <c r="Q59" i="59"/>
  <c r="P59" i="59"/>
  <c r="O59" i="59"/>
  <c r="N59" i="59"/>
  <c r="M59" i="59"/>
  <c r="L59" i="59"/>
  <c r="K59" i="59"/>
  <c r="J59" i="59"/>
  <c r="I59" i="59"/>
  <c r="H59" i="59"/>
  <c r="G59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AB68" i="97" l="1"/>
  <c r="J127" i="97"/>
  <c r="G144" i="97"/>
  <c r="K68" i="97"/>
  <c r="M68" i="97" s="1"/>
  <c r="O68" i="97" s="1"/>
  <c r="R285" i="59"/>
  <c r="Q285" i="59"/>
  <c r="P285" i="59"/>
  <c r="O285" i="59"/>
  <c r="N285" i="59"/>
  <c r="M285" i="59"/>
  <c r="L285" i="59"/>
  <c r="K285" i="59"/>
  <c r="J285" i="59"/>
  <c r="I285" i="59"/>
  <c r="H285" i="59"/>
  <c r="G285" i="59"/>
  <c r="R273" i="59"/>
  <c r="Q273" i="59"/>
  <c r="P273" i="59"/>
  <c r="O273" i="59"/>
  <c r="N273" i="59"/>
  <c r="M273" i="59"/>
  <c r="L273" i="59"/>
  <c r="K273" i="59"/>
  <c r="J273" i="59"/>
  <c r="I273" i="59"/>
  <c r="H273" i="59"/>
  <c r="G273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81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8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81" i="61"/>
  <c r="Q381" i="61"/>
  <c r="P381" i="61"/>
  <c r="O381" i="61"/>
  <c r="N381" i="61"/>
  <c r="M381" i="61"/>
  <c r="L381" i="61"/>
  <c r="K381" i="61"/>
  <c r="J381" i="61"/>
  <c r="I381" i="61"/>
  <c r="H381" i="61"/>
  <c r="G381" i="61"/>
  <c r="F381" i="61"/>
  <c r="R384" i="59"/>
  <c r="Q384" i="59"/>
  <c r="P384" i="59"/>
  <c r="O384" i="59"/>
  <c r="N384" i="59"/>
  <c r="M384" i="59"/>
  <c r="L384" i="59"/>
  <c r="K384" i="59"/>
  <c r="J384" i="59"/>
  <c r="I384" i="59"/>
  <c r="H384" i="59"/>
  <c r="G384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34" i="36" l="1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28" i="93" l="1"/>
  <c r="O44" i="90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<sst xmlns="http://schemas.openxmlformats.org/spreadsheetml/2006/main" count="7775" uniqueCount="346">
  <si>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</si>
  <si>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</si>
  <si>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</si>
  <si>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</si>
  <si>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</si>
  <si>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</si>
  <si>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</si>
  <si>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</si>
  <si>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</si>
  <si>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</si>
  <si>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</si>
  <si>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</si>
  <si>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</si>
  <si>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</si>
  <si>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</si>
  <si>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</si>
  <si>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</si>
  <si>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</si>
  <si>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</si>
  <si>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</si>
  <si>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</si>
  <si>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</si>
  <si>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</si>
  <si>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</si>
  <si>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</si>
  <si>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</si>
  <si>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</si>
  <si>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</si>
  <si>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</si>
  <si>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</si>
  <si>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</si>
  <si>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</si>
  <si>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</si>
  <si>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</si>
  <si>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</si>
  <si>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</si>
  <si>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</si>
  <si>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</si>
  <si>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</si>
  <si>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</si>
  <si>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</si>
  <si>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</si>
  <si>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</si>
  <si>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</si>
  <si>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</si>
  <si>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</si>
  <si>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</si>
  <si>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</si>
  <si>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</si>
  <si>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</si>
  <si>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</si>
  <si>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</si>
  <si>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</si>
  <si>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</si>
  <si>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</si>
  <si>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</si>
  <si>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</si>
  <si>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</si>
  <si>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</si>
  <si>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</si>
  <si>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</si>
  <si>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</si>
  <si>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</si>
  <si>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</si>
  <si>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</si>
  <si>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</si>
  <si>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</si>
  <si>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</si>
  <si>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</si>
  <si>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</si>
  <si>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</si>
  <si>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</si>
  <si>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</si>
  <si>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</si>
  <si>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</si>
  <si>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</si>
  <si>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</si>
  <si>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</si>
  <si>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</si>
  <si>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</si>
  <si>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</si>
  <si>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</si>
  <si>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</si>
  <si>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</si>
  <si>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</si>
  <si>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</si>
  <si>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</si>
  <si>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</si>
  <si>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</si>
  <si>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</si>
  <si>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</si>
  <si>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</si>
  <si>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</si>
  <si>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</si>
  <si>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</si>
  <si>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</si>
  <si>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</si>
  <si>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</si>
  <si>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</si>
  <si>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</si>
  <si>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</si>
  <si>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</si>
  <si>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</si>
  <si>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</si>
  <si>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</si>
  <si>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</si>
  <si>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</si>
  <si>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</si>
  <si>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</si>
  <si>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</si>
  <si>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</si>
  <si>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</si>
  <si>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</si>
  <si>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</si>
  <si>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</si>
  <si>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</si>
  <si>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</si>
  <si>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</si>
  <si>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</si>
  <si>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</si>
  <si>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</si>
  <si>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</si>
  <si>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</si>
  <si>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</si>
  <si>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</si>
  <si>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</si>
  <si>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</si>
  <si>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</si>
  <si>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</si>
  <si>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</si>
  <si>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</si>
  <si>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</si>
  <si>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</si>
  <si>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</si>
  <si>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</si>
  <si>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</si>
  <si>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</si>
  <si>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</si>
  <si>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</si>
  <si>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</si>
  <si>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</si>
  <si>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</si>
  <si>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</si>
  <si>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</si>
  <si>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</si>
  <si>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</si>
  <si>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</si>
  <si>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</si>
  <si>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</si>
  <si>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</si>
  <si>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</si>
  <si>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</si>
  <si>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</si>
  <si>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</si>
  <si>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</si>
  <si>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</si>
  <si>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</si>
  <si>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</si>
  <si>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</si>
  <si>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</si>
  <si>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</si>
  <si>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</si>
  <si>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</si>
  <si>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</si>
  <si>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</si>
  <si>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</si>
  <si>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</si>
  <si>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</si>
  <si>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</si>
  <si>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</si>
  <si>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</si>
  <si>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</si>
  <si>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</si>
  <si>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</si>
  <si>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</si>
  <si>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</si>
  <si>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</si>
  <si>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</si>
  <si>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</si>
  <si>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</si>
  <si>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</si>
  <si>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</si>
  <si>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</si>
  <si>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</si>
  <si>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</si>
  <si>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</si>
  <si>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</si>
  <si>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</si>
  <si>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</si>
  <si>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</si>
  <si>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</si>
  <si>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</si>
  <si>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</si>
  <si>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</si>
  <si>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</si>
  <si>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</si>
  <si>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</si>
  <si>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</si>
  <si>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</si>
  <si>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</si>
  <si>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</si>
  <si>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</si>
  <si>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</si>
  <si>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</si>
  <si>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</si>
  <si>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</si>
  <si>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</si>
  <si>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</si>
  <si>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</si>
  <si>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</si>
  <si>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</si>
  <si>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</si>
  <si>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</si>
  <si>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</si>
  <si>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</si>
  <si>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</si>
  <si>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</si>
  <si>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</si>
  <si>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</si>
  <si>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</si>
  <si>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</si>
  <si>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</si>
  <si>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</si>
  <si>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</si>
  <si>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</si>
  <si>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</si>
  <si>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</si>
  <si>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</si>
  <si>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</si>
  <si>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</si>
  <si>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</si>
  <si>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</si>
  <si>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</si>
  <si>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</si>
  <si>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</si>
  <si>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</si>
  <si>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</si>
  <si>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</si>
  <si>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</si>
  <si>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</si>
  <si>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</si>
  <si>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</si>
  <si>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</si>
  <si>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</si>
  <si>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</si>
  <si>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</si>
  <si>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</si>
  <si>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</si>
  <si>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</si>
  <si>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</si>
  <si>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</si>
  <si>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</si>
  <si>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</si>
  <si>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</si>
  <si>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</si>
  <si>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</si>
  <si>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</si>
  <si>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</si>
  <si>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</si>
  <si>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</si>
  <si>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</si>
  <si>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</si>
  <si>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</si>
  <si>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</si>
  <si>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</si>
  <si>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</si>
  <si>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</si>
  <si>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</si>
  <si>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</si>
  <si>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</si>
  <si>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</si>
  <si>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</si>
  <si>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</si>
  <si>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</si>
  <si>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</si>
  <si>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</si>
  <si>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</si>
  <si>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</si>
  <si>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</si>
  <si>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</si>
  <si>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</si>
  <si>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</si>
  <si>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</si>
  <si>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</si>
  <si>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</si>
  <si>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</si>
  <si>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</si>
  <si>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</si>
  <si>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</si>
  <si>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</si>
  <si>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</si>
  <si>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</si>
  <si>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</si>
  <si>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</si>
  <si>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</si>
  <si>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</si>
  <si>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</si>
  <si>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</si>
  <si>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</si>
  <si>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</si>
  <si>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</si>
  <si>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</si>
  <si>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</si>
  <si>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</si>
  <si>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</si>
  <si>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</si>
  <si>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</si>
  <si>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</si>
  <si>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</si>
  <si>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</si>
  <si>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</si>
  <si>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</si>
  <si>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</si>
  <si>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</si>
  <si>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</si>
  <si>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</si>
  <si>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</si>
  <si>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</si>
  <si>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</si>
  <si>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</si>
  <si>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</si>
  <si>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</si>
  <si>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</si>
  <si>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</si>
  <si>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</si>
  <si>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</si>
  <si>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</si>
  <si>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</si>
  <si>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</si>
  <si>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</si>
  <si>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</si>
  <si>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</si>
  <si>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</si>
  <si>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</si>
  <si>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</si>
  <si>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</si>
  <si>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</si>
  <si>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</si>
  <si>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</si>
  <si>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</si>
  <si>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9</t>
  </si>
  <si>
    <t>2026072</t>
  </si>
  <si>
    <t>04/08/2026</t>
  </si>
  <si>
    <t>10:15 AM</t>
  </si>
  <si>
    <t>16/07/2026</t>
  </si>
  <si>
    <t>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</si>
</sst>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7" xfId="2599" applyNumberFormat="1" applyFont="1" applyBorder="1"/>
    <xf numFmtId="167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4" xfId="2599" applyNumberFormat="1" applyFont="1" applyFill="1" applyBorder="1"/>
    <xf numFmtId="167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7" fontId="25" fillId="0" borderId="58" xfId="2599" applyNumberFormat="1" applyFont="1" applyBorder="1"/>
    <xf numFmtId="167" fontId="25" fillId="0" borderId="63" xfId="2599" applyNumberFormat="1" applyFont="1" applyBorder="1"/>
    <xf numFmtId="167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7" fontId="25" fillId="0" borderId="64" xfId="2599" applyNumberFormat="1" applyFont="1" applyBorder="1"/>
    <xf numFmtId="167" fontId="25" fillId="0" borderId="51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7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4" xfId="2601" applyFont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55" borderId="18" xfId="2601" applyFont="1" applyFill="1" applyBorder="1"/>
    <xf numFmtId="41" fontId="41" fillId="34" borderId="73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64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4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7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9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80" xfId="2604" applyFont="1" applyFill="1" applyBorder="1"/>
    <xf numFmtId="172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6" fillId="0" borderId="0" xfId="2617" applyNumberFormat="1"/>
    <xf numFmtId="41" fontId="66" fillId="0" borderId="3" xfId="2617" applyNumberFormat="1" applyBorder="1"/>
    <xf numFmtId="165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7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7" fontId="0" fillId="42" borderId="0" xfId="2598" applyNumberFormat="1" applyFont="1" applyFill="1"/>
    <xf numFmtId="189" fontId="0" fillId="53" borderId="0" xfId="2598" applyNumberFormat="1" applyFont="1" applyFill="1"/>
    <xf numFmtId="167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41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41" fontId="0" fillId="0" borderId="17" xfId="0" applyNumberFormat="1" applyBorder="1"/>
    <xf numFmtId="41" fontId="0" fillId="0" borderId="18" xfId="0" applyNumberFormat="1" applyBorder="1"/>
    <xf numFmtId="0" fontId="56" fillId="0" borderId="1" xfId="0" applyFont="1" applyBorder="1"/>
    <xf numFmtId="41" fontId="0" fillId="0" borderId="16" xfId="0" applyNumberFormat="1" applyBorder="1"/>
    <xf numFmtId="41" fontId="22" fillId="0" borderId="17" xfId="0" applyNumberFormat="1" applyFont="1" applyBorder="1"/>
    <xf numFmtId="41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41" fontId="0" fillId="0" borderId="63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41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41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B2" sqref="B2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3.5" thickBot="1" x14ac:dyDescent="0.25"/>
    <row r="2" spans="2:13" s="102" customFormat="1" ht="13.5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">
      <c r="C4" s="178">
        <v>2</v>
      </c>
      <c r="D4" s="179">
        <v>29345550</v>
      </c>
      <c r="E4" s="180">
        <v>341</v>
      </c>
      <c r="F4" s="180">
        <v>24173030</v>
      </c>
      <c r="G4" s="181">
        <v>330</v>
      </c>
      <c r="J4" s="728"/>
    </row>
    <row r="5" spans="2:13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">
      <c r="C6" s="178">
        <v>4</v>
      </c>
      <c r="D6" s="179">
        <v>15240310</v>
      </c>
      <c r="E6" s="180">
        <v>108</v>
      </c>
      <c r="F6" s="180">
        <v>15822520</v>
      </c>
      <c r="G6" s="181">
        <v>133</v>
      </c>
      <c r="J6" s="728"/>
    </row>
    <row r="7" spans="2:13" ht="13.5" customHeight="1" x14ac:dyDescent="0.2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5" thickBot="1" x14ac:dyDescent="0.25">
      <c r="C8" s="182" t="s">
        <v>89</v>
      </c>
      <c r="D8" s="183"/>
      <c r="E8" s="184"/>
      <c r="F8" s="184"/>
      <c r="G8" s="185"/>
      <c r="J8" s="728"/>
    </row>
    <row r="9" spans="2:13" ht="13.5" thickBot="1" x14ac:dyDescent="0.25">
      <c r="D9" s="186">
        <v>44585860</v>
      </c>
      <c r="E9" s="186">
        <v>449</v>
      </c>
      <c r="F9" s="186">
        <v>39995550</v>
      </c>
      <c r="G9" s="186">
        <v>463</v>
      </c>
      <c r="J9" s="728"/>
    </row>
    <row r="10" spans="2:13" ht="13.5" thickBot="1" x14ac:dyDescent="0.25"/>
    <row r="11" spans="2:13" s="102" customFormat="1" ht="13.5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">
      <c r="C13" s="178">
        <v>2</v>
      </c>
      <c r="D13" s="179">
        <v>0</v>
      </c>
      <c r="E13" s="180">
        <v>0</v>
      </c>
      <c r="F13" s="180">
        <v>58730</v>
      </c>
      <c r="G13" s="181">
        <v>1</v>
      </c>
    </row>
    <row r="14" spans="2:13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79">
        <v>0</v>
      </c>
      <c r="E15" s="180">
        <v>0</v>
      </c>
      <c r="F15" s="180">
        <v>63120</v>
      </c>
      <c r="G15" s="181">
        <v>1</v>
      </c>
    </row>
    <row r="16" spans="2:13" x14ac:dyDescent="0.2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5" thickBot="1" x14ac:dyDescent="0.25">
      <c r="C17" s="182" t="s">
        <v>89</v>
      </c>
      <c r="D17" s="183"/>
      <c r="E17" s="184"/>
      <c r="F17" s="184"/>
      <c r="G17" s="185"/>
    </row>
    <row r="18" spans="1:11" ht="13.5" thickBot="1" x14ac:dyDescent="0.25">
      <c r="D18" s="186">
        <v>0</v>
      </c>
      <c r="E18" s="186">
        <v>0</v>
      </c>
      <c r="F18" s="186">
        <v>121850</v>
      </c>
      <c r="G18" s="186">
        <v>2</v>
      </c>
    </row>
    <row r="19" spans="1:11" ht="13.5" thickBot="1" x14ac:dyDescent="0.25"/>
    <row r="20" spans="1:11" ht="13.5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">
      <c r="B22"/>
      <c r="C22" s="178">
        <v>2</v>
      </c>
      <c r="D22" s="179">
        <v>29345550</v>
      </c>
      <c r="E22" s="180">
        <v>341</v>
      </c>
      <c r="F22" s="180">
        <v>24231760</v>
      </c>
      <c r="G22" s="181">
        <v>331</v>
      </c>
      <c r="I22" s="179">
        <v>53577310</v>
      </c>
      <c r="J22" s="181">
        <v>672</v>
      </c>
    </row>
    <row r="23" spans="1:11" s="167" customForma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">
      <c r="B24"/>
      <c r="C24" s="178">
        <v>4</v>
      </c>
      <c r="D24" s="179">
        <v>15240310</v>
      </c>
      <c r="E24" s="180">
        <v>108</v>
      </c>
      <c r="F24" s="180">
        <v>15885640</v>
      </c>
      <c r="G24" s="181">
        <v>134</v>
      </c>
      <c r="I24" s="179">
        <v>31125950</v>
      </c>
      <c r="J24" s="181">
        <v>242</v>
      </c>
    </row>
    <row r="25" spans="1:11" s="167" customFormat="1" x14ac:dyDescent="0.2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25">
      <c r="D27" s="186">
        <v>44585860</v>
      </c>
      <c r="E27" s="186">
        <v>449</v>
      </c>
      <c r="F27" s="186">
        <v>40117400</v>
      </c>
      <c r="G27" s="186">
        <v>465</v>
      </c>
      <c r="I27" s="204">
        <v>84703260</v>
      </c>
      <c r="J27" s="205">
        <v>914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2" sqref="B2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16020970408</v>
      </c>
      <c r="E3" s="176">
        <v>330319</v>
      </c>
      <c r="F3" s="176">
        <v>16467129562</v>
      </c>
      <c r="G3" s="177">
        <v>273797</v>
      </c>
      <c r="J3" s="728"/>
    </row>
    <row r="4" spans="2:13" ht="12.6" customHeight="1" x14ac:dyDescent="0.2">
      <c r="C4" s="178">
        <v>2</v>
      </c>
      <c r="D4" s="179">
        <v>11733539858</v>
      </c>
      <c r="E4" s="180">
        <v>232298</v>
      </c>
      <c r="F4" s="180">
        <v>19037496395</v>
      </c>
      <c r="G4" s="181">
        <v>406215</v>
      </c>
      <c r="J4" s="728"/>
    </row>
    <row r="5" spans="2:13" ht="12.6" customHeight="1" x14ac:dyDescent="0.2">
      <c r="C5" s="178">
        <v>3</v>
      </c>
      <c r="D5" s="179">
        <v>9618825681</v>
      </c>
      <c r="E5" s="180">
        <v>222340</v>
      </c>
      <c r="F5" s="180">
        <v>13952517350</v>
      </c>
      <c r="G5" s="181">
        <v>269668</v>
      </c>
      <c r="J5" s="728"/>
    </row>
    <row r="6" spans="2:13" ht="12.6" customHeight="1" x14ac:dyDescent="0.2">
      <c r="C6" s="178">
        <v>4</v>
      </c>
      <c r="D6" s="179">
        <v>10290225466</v>
      </c>
      <c r="E6" s="180">
        <v>177955</v>
      </c>
      <c r="F6" s="180">
        <v>6579568126</v>
      </c>
      <c r="G6" s="181">
        <v>120492</v>
      </c>
    </row>
    <row r="7" spans="2:13" ht="12.6" customHeight="1" x14ac:dyDescent="0.2">
      <c r="C7" s="178">
        <v>5</v>
      </c>
      <c r="D7" s="179">
        <v>8111886280</v>
      </c>
      <c r="E7" s="180">
        <v>159077</v>
      </c>
      <c r="F7" s="180">
        <v>11684535987</v>
      </c>
      <c r="G7" s="181">
        <v>242618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55775447693</v>
      </c>
      <c r="E9" s="186">
        <v>1121989</v>
      </c>
      <c r="F9" s="186">
        <v>67721247420</v>
      </c>
      <c r="G9" s="186">
        <v>1312790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223833110</v>
      </c>
      <c r="E12" s="176">
        <v>3064</v>
      </c>
      <c r="F12" s="176">
        <v>193558629</v>
      </c>
      <c r="G12" s="177">
        <v>3299</v>
      </c>
    </row>
    <row r="13" spans="2:13" ht="12.6" customHeight="1" x14ac:dyDescent="0.2">
      <c r="C13" s="178">
        <v>2</v>
      </c>
      <c r="D13" s="179">
        <v>99273804</v>
      </c>
      <c r="E13" s="180">
        <v>1926</v>
      </c>
      <c r="F13" s="180">
        <v>53213747</v>
      </c>
      <c r="G13" s="181">
        <v>918</v>
      </c>
    </row>
    <row r="14" spans="2:13" ht="12.6" customHeight="1" x14ac:dyDescent="0.2">
      <c r="C14" s="178">
        <v>3</v>
      </c>
      <c r="D14" s="179">
        <v>66145670</v>
      </c>
      <c r="E14" s="180">
        <v>1462</v>
      </c>
      <c r="F14" s="180">
        <v>74684472</v>
      </c>
      <c r="G14" s="181">
        <v>1206</v>
      </c>
    </row>
    <row r="15" spans="2:13" ht="12.6" customHeight="1" x14ac:dyDescent="0.2">
      <c r="C15" s="178">
        <v>4</v>
      </c>
      <c r="D15" s="179">
        <v>85892126</v>
      </c>
      <c r="E15" s="180">
        <v>1255</v>
      </c>
      <c r="F15" s="180">
        <v>60823284</v>
      </c>
      <c r="G15" s="181">
        <v>1331</v>
      </c>
    </row>
    <row r="16" spans="2:13" ht="12.6" customHeight="1" x14ac:dyDescent="0.2">
      <c r="C16" s="178">
        <v>5</v>
      </c>
      <c r="D16" s="179">
        <v>166326259</v>
      </c>
      <c r="E16" s="180">
        <v>2744</v>
      </c>
      <c r="F16" s="180">
        <v>41090640</v>
      </c>
      <c r="G16" s="181">
        <v>830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641470969</v>
      </c>
      <c r="E18" s="186">
        <v>10451</v>
      </c>
      <c r="F18" s="186">
        <v>423370772</v>
      </c>
      <c r="G18" s="186">
        <v>7584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16244803518</v>
      </c>
      <c r="E21" s="176">
        <v>333383</v>
      </c>
      <c r="F21" s="176">
        <v>16660688191</v>
      </c>
      <c r="G21" s="177">
        <v>277096</v>
      </c>
      <c r="I21" s="175">
        <v>32905491709</v>
      </c>
      <c r="J21" s="177">
        <v>610479</v>
      </c>
    </row>
    <row r="22" spans="1:11" s="167" customFormat="1" ht="12.6" customHeight="1" x14ac:dyDescent="0.2">
      <c r="B22"/>
      <c r="C22" s="178">
        <v>2</v>
      </c>
      <c r="D22" s="179">
        <v>11832813662</v>
      </c>
      <c r="E22" s="180">
        <v>234224</v>
      </c>
      <c r="F22" s="180">
        <v>19090710142</v>
      </c>
      <c r="G22" s="181">
        <v>407133</v>
      </c>
      <c r="I22" s="179">
        <v>30923523804</v>
      </c>
      <c r="J22" s="181">
        <v>641357</v>
      </c>
    </row>
    <row r="23" spans="1:11" s="167" customFormat="1" ht="12.6" customHeight="1" x14ac:dyDescent="0.2">
      <c r="B23"/>
      <c r="C23" s="178">
        <v>3</v>
      </c>
      <c r="D23" s="179">
        <v>9684971351</v>
      </c>
      <c r="E23" s="180">
        <v>223802</v>
      </c>
      <c r="F23" s="180">
        <v>14027201822</v>
      </c>
      <c r="G23" s="181">
        <v>270874</v>
      </c>
      <c r="I23" s="179">
        <v>23712173173</v>
      </c>
      <c r="J23" s="181">
        <v>494676</v>
      </c>
    </row>
    <row r="24" spans="1:11" s="167" customFormat="1" ht="12.6" customHeight="1" x14ac:dyDescent="0.2">
      <c r="B24"/>
      <c r="C24" s="178">
        <v>4</v>
      </c>
      <c r="D24" s="179">
        <v>10376117592</v>
      </c>
      <c r="E24" s="180">
        <v>179210</v>
      </c>
      <c r="F24" s="180">
        <v>6640391410</v>
      </c>
      <c r="G24" s="181">
        <v>121823</v>
      </c>
      <c r="I24" s="179">
        <v>17016509002</v>
      </c>
      <c r="J24" s="181">
        <v>301033</v>
      </c>
    </row>
    <row r="25" spans="1:11" s="167" customFormat="1" ht="12.6" customHeight="1" x14ac:dyDescent="0.2">
      <c r="B25"/>
      <c r="C25" s="178">
        <v>5</v>
      </c>
      <c r="D25" s="179">
        <v>8278212539</v>
      </c>
      <c r="E25" s="180">
        <v>161821</v>
      </c>
      <c r="F25" s="180">
        <v>11725626627</v>
      </c>
      <c r="G25" s="181">
        <v>243448</v>
      </c>
      <c r="I25" s="179">
        <v>20003839166</v>
      </c>
      <c r="J25" s="181">
        <v>405269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56416918662</v>
      </c>
      <c r="E27" s="186">
        <v>1132440</v>
      </c>
      <c r="F27" s="186">
        <v>68144618192</v>
      </c>
      <c r="G27" s="186">
        <v>1320374</v>
      </c>
      <c r="I27" s="204">
        <v>124561536854</v>
      </c>
      <c r="J27" s="205">
        <v>2452814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2.75" x14ac:dyDescent="0.2"/>
  <cols>
    <col min="1" max="1" width="2.140625" customWidth="1"/>
    <col min="2" max="2" width="12.85546875" bestFit="1" customWidth="1"/>
    <col min="3" max="3" width="7.140625" customWidth="1"/>
    <col min="4" max="4" width="16" style="167" bestFit="1" customWidth="1"/>
    <col min="5" max="5" width="20.42578125" style="167" customWidth="1"/>
    <col min="6" max="6" width="16" style="167" bestFit="1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</cols>
  <sheetData>
    <row r="1" spans="2:13" ht="14.45" customHeight="1" thickBot="1" x14ac:dyDescent="0.25"/>
    <row r="2" spans="2:13" s="102" customFormat="1" ht="12.6" customHeight="1" thickBot="1" x14ac:dyDescent="0.2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">
      <c r="C7" s="178">
        <v>5</v>
      </c>
      <c r="D7" s="179">
        <v>129429946</v>
      </c>
      <c r="E7" s="180">
        <v>2854</v>
      </c>
      <c r="F7" s="180">
        <v>28645323</v>
      </c>
      <c r="G7" s="181">
        <v>545</v>
      </c>
    </row>
    <row r="8" spans="2:13" ht="12.6" customHeight="1" thickBot="1" x14ac:dyDescent="0.25">
      <c r="C8" s="182" t="s">
        <v>89</v>
      </c>
      <c r="D8" s="183"/>
      <c r="E8" s="184"/>
      <c r="F8" s="184"/>
      <c r="G8" s="185"/>
    </row>
    <row r="9" spans="2:13" ht="12.6" customHeight="1" thickBot="1" x14ac:dyDescent="0.25">
      <c r="D9" s="186">
        <v>129429946</v>
      </c>
      <c r="E9" s="186">
        <v>2854</v>
      </c>
      <c r="F9" s="186">
        <v>28645323</v>
      </c>
      <c r="G9" s="186">
        <v>545</v>
      </c>
    </row>
    <row r="10" spans="2:13" ht="12.6" customHeight="1" thickBot="1" x14ac:dyDescent="0.25"/>
    <row r="11" spans="2:13" s="102" customFormat="1" ht="12.6" customHeight="1" thickBot="1" x14ac:dyDescent="0.2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">
      <c r="C16" s="178">
        <v>5</v>
      </c>
      <c r="D16" s="179">
        <v>106710</v>
      </c>
      <c r="E16" s="180">
        <v>1</v>
      </c>
      <c r="F16" s="180">
        <v>0</v>
      </c>
      <c r="G16" s="181">
        <v>0</v>
      </c>
    </row>
    <row r="17" spans="1:11" ht="12.6" customHeight="1" thickBot="1" x14ac:dyDescent="0.25">
      <c r="C17" s="182" t="s">
        <v>89</v>
      </c>
      <c r="D17" s="183"/>
      <c r="E17" s="184"/>
      <c r="F17" s="184"/>
      <c r="G17" s="185"/>
    </row>
    <row r="18" spans="1:11" ht="12.6" customHeight="1" thickBot="1" x14ac:dyDescent="0.25">
      <c r="D18" s="186">
        <v>106710</v>
      </c>
      <c r="E18" s="186">
        <v>1</v>
      </c>
      <c r="F18" s="186">
        <v>0</v>
      </c>
      <c r="G18" s="186">
        <v>0</v>
      </c>
    </row>
    <row r="19" spans="1:11" ht="12.6" customHeight="1" thickBot="1" x14ac:dyDescent="0.25"/>
    <row r="20" spans="1:11" ht="12.6" customHeight="1" thickBot="1" x14ac:dyDescent="0.2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">
      <c r="B25"/>
      <c r="C25" s="178">
        <v>5</v>
      </c>
      <c r="D25" s="179">
        <v>129536656</v>
      </c>
      <c r="E25" s="180">
        <v>2855</v>
      </c>
      <c r="F25" s="180">
        <v>28645323</v>
      </c>
      <c r="G25" s="181">
        <v>545</v>
      </c>
      <c r="I25" s="179">
        <v>158181979</v>
      </c>
      <c r="J25" s="181">
        <v>3400</v>
      </c>
    </row>
    <row r="26" spans="1:11" ht="12.6" customHeight="1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25">
      <c r="D27" s="186">
        <v>129536656</v>
      </c>
      <c r="E27" s="186">
        <v>2855</v>
      </c>
      <c r="F27" s="186">
        <v>28645323</v>
      </c>
      <c r="G27" s="186">
        <v>545</v>
      </c>
      <c r="I27" s="204">
        <v>158181979</v>
      </c>
      <c r="J27" s="205">
        <v>3400</v>
      </c>
    </row>
    <row r="29" spans="1:1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2578125" defaultRowHeight="12.75" x14ac:dyDescent="0.2"/>
  <cols>
    <col min="1" max="1" width="2.140625" style="213" customWidth="1"/>
    <col min="2" max="2" width="25" style="213" bestFit="1" customWidth="1"/>
    <col min="3" max="3" width="4.85546875" style="213" bestFit="1" customWidth="1"/>
    <col min="4" max="4" width="13.85546875" style="167" bestFit="1" customWidth="1"/>
    <col min="5" max="5" width="19" style="167" bestFit="1" customWidth="1"/>
    <col min="6" max="6" width="13.85546875" style="167" bestFit="1" customWidth="1"/>
    <col min="7" max="7" width="19" style="167" bestFit="1" customWidth="1"/>
    <col min="8" max="8" width="3.85546875" style="167" customWidth="1"/>
    <col min="9" max="9" width="20" style="167" bestFit="1" customWidth="1"/>
    <col min="10" max="10" width="26.5703125" style="167" bestFit="1" customWidth="1"/>
    <col min="11" max="13" width="19.85546875" style="167" customWidth="1"/>
    <col min="14" max="16384" width="11.42578125" style="213"/>
  </cols>
  <sheetData>
    <row r="1" spans="2:13" ht="13.5" thickBot="1" x14ac:dyDescent="0.25"/>
    <row r="2" spans="2:13" s="214" customFormat="1" ht="13.5" thickBot="1" x14ac:dyDescent="0.2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5" thickBot="1" x14ac:dyDescent="0.25">
      <c r="C8" s="182" t="s">
        <v>89</v>
      </c>
      <c r="D8" s="183"/>
      <c r="E8" s="184"/>
      <c r="F8" s="184"/>
      <c r="G8" s="185"/>
    </row>
    <row r="9" spans="2:13" ht="13.5" thickBot="1" x14ac:dyDescent="0.25">
      <c r="D9" s="186">
        <v>0</v>
      </c>
      <c r="E9" s="186">
        <v>0</v>
      </c>
      <c r="F9" s="186">
        <v>0</v>
      </c>
      <c r="G9" s="186">
        <v>0</v>
      </c>
    </row>
    <row r="10" spans="2:13" ht="13.5" thickBot="1" x14ac:dyDescent="0.25"/>
    <row r="11" spans="2:13" s="214" customFormat="1" ht="13.5" thickBot="1" x14ac:dyDescent="0.2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5" thickBot="1" x14ac:dyDescent="0.25">
      <c r="C17" s="182" t="s">
        <v>89</v>
      </c>
      <c r="D17" s="183"/>
      <c r="E17" s="184"/>
      <c r="F17" s="184"/>
      <c r="G17" s="185"/>
    </row>
    <row r="18" spans="1:13" ht="13.5" thickBot="1" x14ac:dyDescent="0.25">
      <c r="D18" s="186">
        <v>0</v>
      </c>
      <c r="E18" s="186">
        <v>0</v>
      </c>
      <c r="F18" s="186">
        <v>0</v>
      </c>
      <c r="G18" s="186">
        <v>0</v>
      </c>
    </row>
    <row r="19" spans="1:13" ht="13.5" thickBot="1" x14ac:dyDescent="0.25"/>
    <row r="20" spans="1:13" ht="13.5" thickBot="1" x14ac:dyDescent="0.2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5" thickBot="1" x14ac:dyDescent="0.25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2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B2" sqref="B2"/>
    </sheetView>
  </sheetViews>
  <sheetFormatPr baseColWidth="10" defaultColWidth="11.42578125" defaultRowHeight="12.75" x14ac:dyDescent="0.2"/>
  <cols>
    <col min="1" max="1" width="2.140625" style="166" customWidth="1"/>
    <col min="2" max="2" width="12.85546875" style="166" bestFit="1" customWidth="1"/>
    <col min="3" max="3" width="7.140625" style="166" customWidth="1"/>
    <col min="4" max="4" width="15.140625" style="167" customWidth="1"/>
    <col min="5" max="5" width="20.42578125" style="167" customWidth="1"/>
    <col min="6" max="6" width="15.140625" style="167" customWidth="1"/>
    <col min="7" max="7" width="20.140625" style="167" customWidth="1"/>
    <col min="8" max="8" width="3.85546875" style="167" customWidth="1"/>
    <col min="9" max="10" width="26.5703125" style="167" bestFit="1" customWidth="1"/>
    <col min="11" max="13" width="19.85546875" style="167" customWidth="1"/>
    <col min="14" max="16384" width="11.42578125" style="166"/>
  </cols>
  <sheetData>
    <row r="1" spans="2:13" ht="13.5" thickBot="1" x14ac:dyDescent="0.25"/>
    <row r="2" spans="2:13" s="168" customFormat="1" ht="13.5" thickBot="1" x14ac:dyDescent="0.2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">
      <c r="C3" s="174">
        <v>1</v>
      </c>
      <c r="D3" s="277">
        <v>335015748</v>
      </c>
      <c r="E3" s="176">
        <v>1590</v>
      </c>
      <c r="F3" s="176">
        <v>644977472</v>
      </c>
      <c r="G3" s="177">
        <v>2386</v>
      </c>
      <c r="J3" s="728"/>
    </row>
    <row r="4" spans="2:13" x14ac:dyDescent="0.2">
      <c r="C4" s="178">
        <v>2</v>
      </c>
      <c r="D4" s="278">
        <v>389025865</v>
      </c>
      <c r="E4" s="180">
        <v>2713</v>
      </c>
      <c r="F4" s="180">
        <v>1127716979</v>
      </c>
      <c r="G4" s="181">
        <v>9079</v>
      </c>
      <c r="J4" s="728"/>
    </row>
    <row r="5" spans="2:13" x14ac:dyDescent="0.2">
      <c r="C5" s="178">
        <v>3</v>
      </c>
      <c r="D5" s="278">
        <v>346289622</v>
      </c>
      <c r="E5" s="180">
        <v>1123</v>
      </c>
      <c r="F5" s="180">
        <v>858037220</v>
      </c>
      <c r="G5" s="181">
        <v>2287</v>
      </c>
      <c r="J5" s="728"/>
    </row>
    <row r="6" spans="2:13" x14ac:dyDescent="0.2">
      <c r="C6" s="178">
        <v>4</v>
      </c>
      <c r="D6" s="278">
        <v>236541566</v>
      </c>
      <c r="E6" s="180">
        <v>1643</v>
      </c>
      <c r="F6" s="180">
        <v>362907055</v>
      </c>
      <c r="G6" s="181">
        <v>2213</v>
      </c>
    </row>
    <row r="7" spans="2:13" x14ac:dyDescent="0.2">
      <c r="C7" s="178">
        <v>5</v>
      </c>
      <c r="D7" s="278">
        <v>155743651</v>
      </c>
      <c r="E7" s="180">
        <v>776</v>
      </c>
      <c r="F7" s="180">
        <v>271576031</v>
      </c>
      <c r="G7" s="181">
        <v>1257</v>
      </c>
    </row>
    <row r="8" spans="2:13" ht="13.5" thickBot="1" x14ac:dyDescent="0.25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5" thickBot="1" x14ac:dyDescent="0.25">
      <c r="D9" s="186">
        <v>1462616452</v>
      </c>
      <c r="E9" s="186">
        <v>7845</v>
      </c>
      <c r="F9" s="186">
        <v>3265214757</v>
      </c>
      <c r="G9" s="186">
        <v>17222</v>
      </c>
    </row>
    <row r="10" spans="2:13" ht="13.5" thickBot="1" x14ac:dyDescent="0.25">
      <c r="D10" s="280"/>
    </row>
    <row r="11" spans="2:13" s="168" customFormat="1" ht="13.5" thickBot="1" x14ac:dyDescent="0.2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">
      <c r="B12" s="189" t="s">
        <v>140</v>
      </c>
      <c r="C12" s="190">
        <v>1</v>
      </c>
      <c r="D12" s="281">
        <v>205459944</v>
      </c>
      <c r="E12" s="191">
        <v>70</v>
      </c>
      <c r="F12" s="191">
        <v>160336245</v>
      </c>
      <c r="G12" s="192">
        <v>481</v>
      </c>
    </row>
    <row r="13" spans="2:13" x14ac:dyDescent="0.2">
      <c r="C13" s="193">
        <v>2</v>
      </c>
      <c r="D13" s="278">
        <v>33195420</v>
      </c>
      <c r="E13" s="180">
        <v>58</v>
      </c>
      <c r="F13" s="180">
        <v>298229199</v>
      </c>
      <c r="G13" s="181">
        <v>665</v>
      </c>
    </row>
    <row r="14" spans="2:13" x14ac:dyDescent="0.2">
      <c r="C14" s="193">
        <v>3</v>
      </c>
      <c r="D14" s="278">
        <v>126229443</v>
      </c>
      <c r="E14" s="180">
        <v>55</v>
      </c>
      <c r="F14" s="180">
        <v>387133299</v>
      </c>
      <c r="G14" s="181">
        <v>251</v>
      </c>
    </row>
    <row r="15" spans="2:13" x14ac:dyDescent="0.2">
      <c r="C15" s="193">
        <v>4</v>
      </c>
      <c r="D15" s="278">
        <v>2600820</v>
      </c>
      <c r="E15" s="180">
        <v>21</v>
      </c>
      <c r="F15" s="180">
        <v>123732462</v>
      </c>
      <c r="G15" s="181">
        <v>270</v>
      </c>
    </row>
    <row r="16" spans="2:13" x14ac:dyDescent="0.2">
      <c r="C16" s="193">
        <v>5</v>
      </c>
      <c r="D16" s="278">
        <v>25989911</v>
      </c>
      <c r="E16" s="180">
        <v>18</v>
      </c>
      <c r="F16" s="180">
        <v>49923090</v>
      </c>
      <c r="G16" s="181">
        <v>176</v>
      </c>
    </row>
    <row r="17" spans="1:13" ht="13.5" thickBot="1" x14ac:dyDescent="0.25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25">
      <c r="D18" s="198">
        <v>393475538</v>
      </c>
      <c r="E18" s="198">
        <v>222</v>
      </c>
      <c r="F18" s="198">
        <v>1019354295</v>
      </c>
      <c r="G18" s="198">
        <v>1843</v>
      </c>
    </row>
    <row r="19" spans="1:13" ht="13.5" thickBot="1" x14ac:dyDescent="0.25"/>
    <row r="20" spans="1:13" ht="13.5" thickBot="1" x14ac:dyDescent="0.2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">
      <c r="B21" s="201" t="s">
        <v>2</v>
      </c>
      <c r="C21" s="174">
        <v>1</v>
      </c>
      <c r="D21" s="277">
        <v>540475692</v>
      </c>
      <c r="E21" s="282">
        <v>1660</v>
      </c>
      <c r="F21" s="176">
        <v>805313717</v>
      </c>
      <c r="G21" s="177">
        <v>2867</v>
      </c>
      <c r="I21" s="175">
        <v>1345789409</v>
      </c>
      <c r="J21" s="177">
        <v>4527</v>
      </c>
    </row>
    <row r="22" spans="1:13" s="167" customFormat="1" x14ac:dyDescent="0.2">
      <c r="B22" s="166"/>
      <c r="C22" s="178">
        <v>2</v>
      </c>
      <c r="D22" s="278">
        <v>422221285</v>
      </c>
      <c r="E22" s="283">
        <v>2771</v>
      </c>
      <c r="F22" s="180">
        <v>1425946178</v>
      </c>
      <c r="G22" s="181">
        <v>9744</v>
      </c>
      <c r="I22" s="179">
        <v>1848167463</v>
      </c>
      <c r="J22" s="181">
        <v>12515</v>
      </c>
    </row>
    <row r="23" spans="1:13" s="167" customFormat="1" x14ac:dyDescent="0.2">
      <c r="B23" s="166"/>
      <c r="C23" s="178">
        <v>3</v>
      </c>
      <c r="D23" s="278">
        <v>472519065</v>
      </c>
      <c r="E23" s="283">
        <v>1178</v>
      </c>
      <c r="F23" s="180">
        <v>1245170519</v>
      </c>
      <c r="G23" s="181">
        <v>2538</v>
      </c>
      <c r="I23" s="179">
        <v>1717689584</v>
      </c>
      <c r="J23" s="181">
        <v>3716</v>
      </c>
    </row>
    <row r="24" spans="1:13" s="167" customFormat="1" x14ac:dyDescent="0.2">
      <c r="B24" s="166"/>
      <c r="C24" s="178">
        <v>4</v>
      </c>
      <c r="D24" s="278">
        <v>239142386</v>
      </c>
      <c r="E24" s="283">
        <v>1664</v>
      </c>
      <c r="F24" s="180">
        <v>486639517</v>
      </c>
      <c r="G24" s="181">
        <v>2483</v>
      </c>
      <c r="I24" s="179">
        <v>725781903</v>
      </c>
      <c r="J24" s="181">
        <v>4147</v>
      </c>
    </row>
    <row r="25" spans="1:13" s="167" customFormat="1" x14ac:dyDescent="0.2">
      <c r="B25" s="166"/>
      <c r="C25" s="178">
        <v>5</v>
      </c>
      <c r="D25" s="278">
        <v>181733562</v>
      </c>
      <c r="E25" s="283">
        <v>794</v>
      </c>
      <c r="F25" s="180">
        <v>321499121</v>
      </c>
      <c r="G25" s="181">
        <v>1433</v>
      </c>
      <c r="I25" s="179">
        <v>503232683</v>
      </c>
      <c r="J25" s="181">
        <v>2227</v>
      </c>
    </row>
    <row r="26" spans="1:13" ht="13.5" thickBot="1" x14ac:dyDescent="0.25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25">
      <c r="D27" s="186">
        <v>1856091990</v>
      </c>
      <c r="E27" s="186">
        <v>8067</v>
      </c>
      <c r="F27" s="186">
        <v>4284569052</v>
      </c>
      <c r="G27" s="186">
        <v>19065</v>
      </c>
      <c r="I27" s="204">
        <v>6140661042</v>
      </c>
      <c r="J27" s="205">
        <v>27132</v>
      </c>
    </row>
    <row r="29" spans="1:13" customFormat="1" x14ac:dyDescent="0.2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topLeftCell="A52" zoomScale="90" zoomScaleNormal="90" workbookViewId="0">
      <selection activeCell="E70" sqref="E70"/>
    </sheetView>
  </sheetViews>
  <sheetFormatPr baseColWidth="10" defaultRowHeight="12.75" x14ac:dyDescent="0.2"/>
  <cols>
    <col min="1" max="1" width="6" customWidth="1"/>
    <col min="2" max="2" width="47.85546875" bestFit="1" customWidth="1"/>
    <col min="3" max="9" width="22.7109375" customWidth="1"/>
    <col min="10" max="10" width="17.85546875" customWidth="1"/>
  </cols>
  <sheetData>
    <row r="1" spans="1:10" x14ac:dyDescent="0.2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">
      <c r="B2" t="s">
        <v>97</v>
      </c>
      <c r="C2" s="249">
        <f>C13+C23+C32+C41+C51</f>
        <v>67949267697.75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17028090</v>
      </c>
      <c r="G2" s="249">
        <f t="shared" si="0"/>
        <v>26864220</v>
      </c>
      <c r="H2" s="249">
        <f t="shared" si="0"/>
        <v>4106855179.5799994</v>
      </c>
      <c r="I2" s="250">
        <f>SUM(C2:H2)</f>
        <v>72100015187.330002</v>
      </c>
    </row>
    <row r="3" spans="1:10" x14ac:dyDescent="0.2">
      <c r="B3" t="s">
        <v>98</v>
      </c>
      <c r="C3" s="249">
        <f>C14+C24+C33+C42+C52</f>
        <v>236717169.25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23089310</v>
      </c>
      <c r="G3" s="249">
        <f t="shared" ref="G3" si="2">G14+G24+G33+G42+G52</f>
        <v>1781103</v>
      </c>
      <c r="H3" s="249">
        <f t="shared" si="1"/>
        <v>136872738.84999999</v>
      </c>
      <c r="I3" s="250">
        <f>SUM(C3:H3)</f>
        <v>398460321.10000002</v>
      </c>
      <c r="J3" s="252" t="s">
        <v>1</v>
      </c>
    </row>
    <row r="4" spans="1:10" x14ac:dyDescent="0.2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40841133.569999993</v>
      </c>
      <c r="I4" s="250">
        <f>SUM(C4:H4)</f>
        <v>40841133.569999993</v>
      </c>
    </row>
    <row r="5" spans="1:10" x14ac:dyDescent="0.2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">
      <c r="B6" t="s">
        <v>70</v>
      </c>
      <c r="C6" s="250">
        <f>SUM(C2:C5)</f>
        <v>68185984867</v>
      </c>
      <c r="D6" s="250">
        <f t="shared" ref="D6:H6" si="5">SUM(D2:D5)</f>
        <v>0</v>
      </c>
      <c r="E6" s="250">
        <f t="shared" si="5"/>
        <v>0</v>
      </c>
      <c r="F6" s="250">
        <f t="shared" si="5"/>
        <v>40117400</v>
      </c>
      <c r="G6" s="250">
        <f t="shared" si="5"/>
        <v>28645323</v>
      </c>
      <c r="H6" s="250">
        <f t="shared" si="5"/>
        <v>4284569051.9999995</v>
      </c>
      <c r="I6" s="250">
        <f>SUM(I2:I5)</f>
        <v>72539316642.000015</v>
      </c>
    </row>
    <row r="7" spans="1:10" x14ac:dyDescent="0.2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">
      <c r="B10" s="97" t="s">
        <v>99</v>
      </c>
      <c r="H10" s="212"/>
    </row>
    <row r="11" spans="1:10" x14ac:dyDescent="0.2">
      <c r="B11" s="114" t="s">
        <v>96</v>
      </c>
    </row>
    <row r="12" spans="1:10" x14ac:dyDescent="0.2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">
      <c r="B13" t="s">
        <v>97</v>
      </c>
      <c r="C13" s="244">
        <v>16577115642.75</v>
      </c>
      <c r="D13" s="244">
        <v>0</v>
      </c>
      <c r="E13" s="244">
        <v>0</v>
      </c>
      <c r="F13" s="244">
        <v>0</v>
      </c>
      <c r="G13" s="244">
        <v>0</v>
      </c>
      <c r="H13" s="244">
        <v>776222233.37</v>
      </c>
      <c r="I13" s="246">
        <f>SUM(C13:H13)</f>
        <v>17353337876.119999</v>
      </c>
      <c r="J13" s="251" t="b">
        <f>SUM(C13:H13)=I13</f>
        <v>1</v>
      </c>
    </row>
    <row r="14" spans="1:10" x14ac:dyDescent="0.2">
      <c r="B14" s="89" t="s">
        <v>98</v>
      </c>
      <c r="C14" s="244">
        <v>83572548.25</v>
      </c>
      <c r="D14" s="244">
        <v>0</v>
      </c>
      <c r="E14" s="244">
        <v>0</v>
      </c>
      <c r="F14" s="244">
        <v>0</v>
      </c>
      <c r="G14" s="244">
        <v>0</v>
      </c>
      <c r="H14" s="244">
        <v>17358483.629999999</v>
      </c>
      <c r="I14" s="246">
        <f t="shared" ref="I14:I16" si="7">SUM(C14:H14)</f>
        <v>100931031.88</v>
      </c>
      <c r="J14" s="251" t="b">
        <f t="shared" ref="J14:J17" si="8">SUM(C14:H14)=I14</f>
        <v>1</v>
      </c>
    </row>
    <row r="15" spans="1:10" x14ac:dyDescent="0.2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11733000</v>
      </c>
      <c r="I15" s="246">
        <f t="shared" si="7"/>
        <v>11733000</v>
      </c>
      <c r="J15" s="251" t="b">
        <f t="shared" si="8"/>
        <v>1</v>
      </c>
    </row>
    <row r="16" spans="1:10" x14ac:dyDescent="0.2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">
      <c r="B17" s="89" t="s">
        <v>70</v>
      </c>
      <c r="C17" s="244">
        <f>SUM(C13:C16)</f>
        <v>16660688191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805313717</v>
      </c>
      <c r="I17" s="247">
        <f t="shared" si="9"/>
        <v>17466001908</v>
      </c>
      <c r="J17" s="251" t="b">
        <f t="shared" si="8"/>
        <v>1</v>
      </c>
      <c r="K17" s="122"/>
    </row>
    <row r="18" spans="2:11" x14ac:dyDescent="0.2">
      <c r="B18" s="89"/>
      <c r="C18" s="113"/>
      <c r="D18" s="113"/>
      <c r="E18" s="113"/>
      <c r="F18" s="113"/>
      <c r="G18" s="113"/>
      <c r="H18" s="113"/>
      <c r="I18" s="113"/>
    </row>
    <row r="19" spans="2:11" x14ac:dyDescent="0.2">
      <c r="C19" s="143"/>
      <c r="D19" s="212"/>
      <c r="I19" s="212"/>
    </row>
    <row r="20" spans="2:11" x14ac:dyDescent="0.2">
      <c r="B20" t="s">
        <v>100</v>
      </c>
    </row>
    <row r="21" spans="2:11" x14ac:dyDescent="0.2">
      <c r="B21" s="114" t="s">
        <v>96</v>
      </c>
    </row>
    <row r="22" spans="2:11" x14ac:dyDescent="0.2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">
      <c r="B23" t="s">
        <v>97</v>
      </c>
      <c r="C23" s="244">
        <v>19047798453</v>
      </c>
      <c r="D23" s="244">
        <v>0</v>
      </c>
      <c r="E23" s="244">
        <v>0</v>
      </c>
      <c r="F23" s="244">
        <v>11411240</v>
      </c>
      <c r="G23" s="244">
        <v>0</v>
      </c>
      <c r="H23" s="244">
        <v>1346513069</v>
      </c>
      <c r="I23" s="246">
        <f>SUM(C23:H23)</f>
        <v>20405722762</v>
      </c>
      <c r="J23" s="251" t="b">
        <f t="shared" ref="J23:J26" si="10">SUM(C23:H23)=I23</f>
        <v>1</v>
      </c>
    </row>
    <row r="24" spans="2:11" x14ac:dyDescent="0.2">
      <c r="B24" s="89" t="s">
        <v>98</v>
      </c>
      <c r="C24" s="244">
        <v>44281124</v>
      </c>
      <c r="D24" s="244">
        <v>0</v>
      </c>
      <c r="E24" s="244">
        <v>0</v>
      </c>
      <c r="F24" s="244">
        <v>12820520</v>
      </c>
      <c r="G24" s="244">
        <v>0</v>
      </c>
      <c r="H24" s="244">
        <v>79433109</v>
      </c>
      <c r="I24" s="246">
        <f t="shared" ref="I24:I26" si="11">SUM(C24:H24)</f>
        <v>136534753</v>
      </c>
      <c r="J24" s="251" t="b">
        <f t="shared" si="10"/>
        <v>1</v>
      </c>
    </row>
    <row r="25" spans="2:11" x14ac:dyDescent="0.2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">
      <c r="B27" s="89" t="s">
        <v>70</v>
      </c>
      <c r="C27" s="244">
        <f>SUM(C23:C26)</f>
        <v>19092079577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24231760</v>
      </c>
      <c r="G27" s="244">
        <f>SUM(G23:G26)</f>
        <v>0</v>
      </c>
      <c r="H27" s="244">
        <f>SUM(H23:H26)</f>
        <v>1425946178</v>
      </c>
      <c r="I27" s="247">
        <f>SUM(I23:I26)</f>
        <v>20542257515</v>
      </c>
      <c r="J27" s="251" t="b">
        <f>SUM(C27:H27)=I27</f>
        <v>1</v>
      </c>
    </row>
    <row r="29" spans="2:11" x14ac:dyDescent="0.2">
      <c r="B29" t="s">
        <v>101</v>
      </c>
      <c r="H29" s="212"/>
      <c r="I29" s="212"/>
    </row>
    <row r="30" spans="2:11" x14ac:dyDescent="0.2">
      <c r="B30" s="114" t="s">
        <v>96</v>
      </c>
    </row>
    <row r="31" spans="2:11" x14ac:dyDescent="0.2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">
      <c r="B32" s="89" t="s">
        <v>97</v>
      </c>
      <c r="C32" s="244">
        <v>14010202412</v>
      </c>
      <c r="D32" s="244">
        <v>0</v>
      </c>
      <c r="E32" s="244">
        <v>0</v>
      </c>
      <c r="F32" s="244">
        <v>0</v>
      </c>
      <c r="G32" s="244">
        <v>0</v>
      </c>
      <c r="H32" s="244">
        <v>1227843817.3499999</v>
      </c>
      <c r="I32" s="246">
        <f>SUM(C32:H32)</f>
        <v>15238046229.35</v>
      </c>
      <c r="J32" s="251" t="b">
        <f>SUM(C32:H32)=I32</f>
        <v>1</v>
      </c>
    </row>
    <row r="33" spans="2:10" x14ac:dyDescent="0.2">
      <c r="B33" s="89" t="s">
        <v>98</v>
      </c>
      <c r="C33" s="244">
        <v>44039530</v>
      </c>
      <c r="D33" s="244">
        <v>0</v>
      </c>
      <c r="E33" s="244">
        <v>0</v>
      </c>
      <c r="F33" s="244">
        <v>0</v>
      </c>
      <c r="G33" s="244">
        <v>0</v>
      </c>
      <c r="H33" s="244">
        <v>14844502.92</v>
      </c>
      <c r="I33" s="246">
        <f>SUM(C33:H33)</f>
        <v>58884032.920000002</v>
      </c>
      <c r="J33" s="251" t="b">
        <f t="shared" ref="J33:J36" si="13">SUM(C33:H33)=I33</f>
        <v>1</v>
      </c>
    </row>
    <row r="34" spans="2:10" x14ac:dyDescent="0.2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2482198.73</v>
      </c>
      <c r="I34" s="246">
        <f t="shared" ref="I34:I35" si="14">SUM(C34:H34)</f>
        <v>2482198.73</v>
      </c>
      <c r="J34" s="251" t="b">
        <f t="shared" si="13"/>
        <v>1</v>
      </c>
    </row>
    <row r="35" spans="2:10" x14ac:dyDescent="0.2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">
      <c r="B36" s="89" t="s">
        <v>70</v>
      </c>
      <c r="C36" s="244">
        <f>SUM(C32:C35)</f>
        <v>14054241942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1245170519</v>
      </c>
      <c r="I36" s="247">
        <f>SUM(I32:I35)</f>
        <v>15299412461</v>
      </c>
      <c r="J36" s="251" t="b">
        <f t="shared" si="13"/>
        <v>1</v>
      </c>
    </row>
    <row r="38" spans="2:10" x14ac:dyDescent="0.2">
      <c r="B38" t="s">
        <v>102</v>
      </c>
    </row>
    <row r="39" spans="2:10" x14ac:dyDescent="0.2">
      <c r="B39" s="114" t="s">
        <v>96</v>
      </c>
    </row>
    <row r="40" spans="2:10" x14ac:dyDescent="0.2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">
      <c r="B41" s="89" t="s">
        <v>97</v>
      </c>
      <c r="C41" s="244">
        <v>6603996268</v>
      </c>
      <c r="D41" s="244">
        <v>0</v>
      </c>
      <c r="E41" s="244">
        <v>0</v>
      </c>
      <c r="F41" s="244">
        <v>5616850</v>
      </c>
      <c r="G41" s="244">
        <v>0</v>
      </c>
      <c r="H41" s="244">
        <v>446040213.25999999</v>
      </c>
      <c r="I41" s="246">
        <f t="shared" ref="I41:I44" si="16">SUM(C41:H41)</f>
        <v>7055653331.2600002</v>
      </c>
      <c r="J41" s="251" t="b">
        <f>SUM(C41:H41)=I41</f>
        <v>1</v>
      </c>
    </row>
    <row r="42" spans="2:10" x14ac:dyDescent="0.2">
      <c r="B42" s="89" t="s">
        <v>98</v>
      </c>
      <c r="C42" s="244">
        <v>48826052</v>
      </c>
      <c r="D42" s="244">
        <v>0</v>
      </c>
      <c r="E42" s="244">
        <v>0</v>
      </c>
      <c r="F42" s="244">
        <v>10268790</v>
      </c>
      <c r="G42" s="244">
        <v>0</v>
      </c>
      <c r="H42" s="244">
        <v>14631795.34</v>
      </c>
      <c r="I42" s="246">
        <f t="shared" si="16"/>
        <v>73726637.340000004</v>
      </c>
      <c r="J42" s="251" t="b">
        <f t="shared" ref="J42:J45" si="17">SUM(C42:H42)=I42</f>
        <v>1</v>
      </c>
    </row>
    <row r="43" spans="2:10" x14ac:dyDescent="0.2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25967508.399999999</v>
      </c>
      <c r="I43" s="246">
        <f t="shared" si="16"/>
        <v>25967508.399999999</v>
      </c>
      <c r="J43" s="251" t="b">
        <f t="shared" si="17"/>
        <v>1</v>
      </c>
    </row>
    <row r="44" spans="2:10" x14ac:dyDescent="0.2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">
      <c r="B45" s="89" t="s">
        <v>70</v>
      </c>
      <c r="C45" s="244">
        <f>SUM(C41:C44)</f>
        <v>6652822320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15885640</v>
      </c>
      <c r="G45" s="244">
        <f>SUM(G41:G44)</f>
        <v>0</v>
      </c>
      <c r="H45" s="244">
        <f>SUM(H41:H44)</f>
        <v>486639516.99999994</v>
      </c>
      <c r="I45" s="247">
        <f>SUM(I41:I44)</f>
        <v>7155347477</v>
      </c>
      <c r="J45" s="251" t="b">
        <f t="shared" si="17"/>
        <v>1</v>
      </c>
    </row>
    <row r="46" spans="2:10" x14ac:dyDescent="0.2">
      <c r="B46" s="89"/>
      <c r="C46" s="113"/>
      <c r="D46" s="113"/>
      <c r="E46" s="113"/>
      <c r="F46" s="113"/>
      <c r="G46" s="113"/>
      <c r="H46" s="113"/>
    </row>
    <row r="47" spans="2:10" x14ac:dyDescent="0.2">
      <c r="F47" s="212"/>
      <c r="G47" s="212"/>
    </row>
    <row r="48" spans="2:10" x14ac:dyDescent="0.2">
      <c r="B48" t="s">
        <v>103</v>
      </c>
    </row>
    <row r="49" spans="2:10" x14ac:dyDescent="0.2">
      <c r="B49" s="114" t="s">
        <v>96</v>
      </c>
    </row>
    <row r="50" spans="2:10" x14ac:dyDescent="0.2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">
      <c r="B51" t="s">
        <v>97</v>
      </c>
      <c r="C51" s="590">
        <v>11710154922</v>
      </c>
      <c r="D51" s="244">
        <v>0</v>
      </c>
      <c r="E51" s="244">
        <v>0</v>
      </c>
      <c r="F51" s="244">
        <v>0</v>
      </c>
      <c r="G51" s="244">
        <v>26864220</v>
      </c>
      <c r="H51" s="590">
        <v>310235846.60000002</v>
      </c>
      <c r="I51" s="246">
        <f t="shared" ref="I51:I54" si="19">SUM(C51:H51)</f>
        <v>12047254988.6</v>
      </c>
      <c r="J51" s="251" t="b">
        <f>SUM(C51:H51)=I51</f>
        <v>1</v>
      </c>
    </row>
    <row r="52" spans="2:10" x14ac:dyDescent="0.2">
      <c r="B52" s="89" t="s">
        <v>98</v>
      </c>
      <c r="C52" s="590">
        <v>15997915</v>
      </c>
      <c r="D52" s="244">
        <v>0</v>
      </c>
      <c r="E52" s="244">
        <v>0</v>
      </c>
      <c r="F52" s="244">
        <v>0</v>
      </c>
      <c r="G52" s="244">
        <v>1781103</v>
      </c>
      <c r="H52" s="590">
        <v>10604847.960000001</v>
      </c>
      <c r="I52" s="246">
        <f>SUM(C52:H52)</f>
        <v>28383865.960000001</v>
      </c>
      <c r="J52" s="251" t="b">
        <f t="shared" ref="J52:J55" si="20">SUM(C52:H52)=I52</f>
        <v>1</v>
      </c>
    </row>
    <row r="53" spans="2:10" x14ac:dyDescent="0.2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658426.43999999994</v>
      </c>
      <c r="I53" s="246">
        <f t="shared" si="19"/>
        <v>658426.43999999994</v>
      </c>
      <c r="J53" s="251" t="b">
        <f t="shared" si="20"/>
        <v>1</v>
      </c>
    </row>
    <row r="54" spans="2:10" x14ac:dyDescent="0.2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">
      <c r="B55" s="89" t="s">
        <v>70</v>
      </c>
      <c r="C55" s="244">
        <f>SUM(C51:C54)</f>
        <v>11726152837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28645323</v>
      </c>
      <c r="H55" s="244">
        <f>SUM(H51:H54)</f>
        <v>321499121</v>
      </c>
      <c r="I55" s="247">
        <f>SUM(I51:I54)</f>
        <v>12076297281</v>
      </c>
      <c r="J55" s="251" t="b">
        <f t="shared" si="20"/>
        <v>1</v>
      </c>
    </row>
    <row r="57" spans="2:10" x14ac:dyDescent="0.2">
      <c r="H57" s="212"/>
      <c r="I57" s="212"/>
    </row>
    <row r="58" spans="2:10" x14ac:dyDescent="0.2">
      <c r="F58" s="212"/>
      <c r="G58" s="212"/>
      <c r="H58" s="212"/>
      <c r="I58" s="212"/>
    </row>
    <row r="59" spans="2:10" x14ac:dyDescent="0.2">
      <c r="B59" s="743" t="s">
        <v>333</v>
      </c>
      <c r="C59" s="209">
        <v>2</v>
      </c>
      <c r="D59" s="744" t="s">
        <v>334</v>
      </c>
      <c r="H59" s="167"/>
    </row>
    <row r="60" spans="2:10" x14ac:dyDescent="0.2">
      <c r="H60" s="212"/>
    </row>
    <row r="61" spans="2:10" x14ac:dyDescent="0.2">
      <c r="B61" t="s">
        <v>1</v>
      </c>
      <c r="C61" s="143"/>
      <c r="E61" s="142"/>
    </row>
    <row r="62" spans="2:10" x14ac:dyDescent="0.2">
      <c r="B62" s="745" t="s">
        <v>207</v>
      </c>
      <c r="C62" s="746">
        <f>IF($C$59=1,'Recaudo ENEL'!D21,'Recaudo ENEL'!F21)</f>
        <v>16660688191</v>
      </c>
      <c r="D62" s="745" t="b">
        <f>C17=C62</f>
        <v>1</v>
      </c>
      <c r="E62" s="747">
        <f>C17-C62</f>
        <v>0</v>
      </c>
      <c r="F62" s="212"/>
    </row>
    <row r="63" spans="2:10" x14ac:dyDescent="0.2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">
      <c r="B64" s="748" t="s">
        <v>209</v>
      </c>
      <c r="C64" s="749">
        <f>IF($C$59=1,'Recaudo EAAB Reciprocidad'!D22,'Recaudo EAAB Reciprocidad'!F22)</f>
        <v>24231760</v>
      </c>
      <c r="D64" s="748" t="b">
        <f>F27=C64</f>
        <v>1</v>
      </c>
      <c r="E64" s="750">
        <f>F27-C64</f>
        <v>0</v>
      </c>
      <c r="H64" s="167"/>
    </row>
    <row r="65" spans="2:7" x14ac:dyDescent="0.2">
      <c r="B65" s="748" t="s">
        <v>324</v>
      </c>
      <c r="C65" s="749">
        <f>IF($C$59=1,'Recaudo ENEL'!D22,'Recaudo ENEL'!F22)</f>
        <v>19090710142</v>
      </c>
      <c r="D65" s="748" t="b">
        <f>C27=C65</f>
        <v>0</v>
      </c>
      <c r="E65" s="750">
        <f>C27-C65</f>
        <v>1369435</v>
      </c>
      <c r="F65" s="142"/>
    </row>
    <row r="66" spans="2:7" x14ac:dyDescent="0.2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">
      <c r="B67" s="745" t="s">
        <v>211</v>
      </c>
      <c r="C67" s="746">
        <f>IF($C$59=1,'Recaudo ENEL'!D23,'Recaudo ENEL'!F23)</f>
        <v>14027201822</v>
      </c>
      <c r="D67" s="745" t="b">
        <f>C36=C67</f>
        <v>0</v>
      </c>
      <c r="E67" s="747">
        <f>C36-C67</f>
        <v>27040120</v>
      </c>
      <c r="F67" s="760"/>
    </row>
    <row r="68" spans="2:7" x14ac:dyDescent="0.2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">
      <c r="B69" s="748" t="s">
        <v>210</v>
      </c>
      <c r="C69" s="749">
        <f>IF($C$59=1,'Recaudo EAAB Reciprocidad'!D24,'Recaudo EAAB Reciprocidad'!F24)</f>
        <v>15885640</v>
      </c>
      <c r="D69" s="748" t="b">
        <f>F45=C69</f>
        <v>1</v>
      </c>
      <c r="E69" s="750">
        <f>F45-C69</f>
        <v>0</v>
      </c>
    </row>
    <row r="70" spans="2:7" x14ac:dyDescent="0.2">
      <c r="B70" s="748" t="s">
        <v>325</v>
      </c>
      <c r="C70" s="749">
        <f>IF($C$59=1,'Recaudo ENEL'!D24,'Recaudo ENEL'!F24)</f>
        <v>6640391410</v>
      </c>
      <c r="D70" s="748" t="b">
        <f>C45=C70</f>
        <v>0</v>
      </c>
      <c r="E70" s="750">
        <f>C45-C70</f>
        <v>12430910</v>
      </c>
      <c r="F70" s="142"/>
    </row>
    <row r="71" spans="2:7" x14ac:dyDescent="0.2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">
      <c r="B72" s="745" t="s">
        <v>208</v>
      </c>
      <c r="C72" s="746">
        <f>IF($C$59=1,'Recaudo ENEL'!D25,'Recaudo ENEL'!F25)</f>
        <v>11725626627</v>
      </c>
      <c r="D72" s="745" t="b">
        <f>C55=C72</f>
        <v>0</v>
      </c>
      <c r="E72" s="747">
        <f>C55-C72</f>
        <v>526210</v>
      </c>
      <c r="F72" s="142"/>
    </row>
    <row r="73" spans="2:7" x14ac:dyDescent="0.2">
      <c r="B73" s="745" t="s">
        <v>327</v>
      </c>
      <c r="C73" s="746">
        <f>IF($C$59=1,'Recaudo ENERBIT'!D25,'Recaudo ENERBIT'!F25)</f>
        <v>28645323</v>
      </c>
      <c r="D73" s="745" t="b">
        <f>G55=C73</f>
        <v>1</v>
      </c>
      <c r="E73" s="747">
        <f>G55-C73</f>
        <v>0</v>
      </c>
    </row>
    <row r="74" spans="2:7" x14ac:dyDescent="0.2">
      <c r="C74" s="167"/>
    </row>
    <row r="75" spans="2:7" x14ac:dyDescent="0.2">
      <c r="B75" s="745" t="s">
        <v>260</v>
      </c>
      <c r="C75" s="746">
        <f>IF($C$59=1,'Recaudo Directa Occidente'!D21,'Recaudo Directa Occidente'!F21)</f>
        <v>805313717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">
      <c r="B76" s="748" t="s">
        <v>261</v>
      </c>
      <c r="C76" s="749">
        <f>IF($C$59=1,'Recaudo Directa Occidente'!D22,'Recaudo Directa Occidente'!F22)</f>
        <v>1425946178</v>
      </c>
      <c r="D76" s="748" t="b">
        <f>C76=H27</f>
        <v>1</v>
      </c>
      <c r="E76" s="750">
        <f>C76-H27</f>
        <v>0</v>
      </c>
    </row>
    <row r="77" spans="2:7" x14ac:dyDescent="0.2">
      <c r="B77" s="745" t="s">
        <v>262</v>
      </c>
      <c r="C77" s="746">
        <f>IF($C$59=1,'Recaudo Directa Occidente'!D23,'Recaudo Directa Occidente'!F23)</f>
        <v>1245170519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">
      <c r="B78" s="748" t="s">
        <v>263</v>
      </c>
      <c r="C78" s="749">
        <f>IF($C$59=1,'Recaudo Directa Occidente'!D24,'Recaudo Directa Occidente'!F24)</f>
        <v>486639517</v>
      </c>
      <c r="D78" s="748" t="b">
        <f>C78=H45</f>
        <v>1</v>
      </c>
      <c r="E78" s="750">
        <f>C78-H45</f>
        <v>0</v>
      </c>
    </row>
    <row r="79" spans="2:7" x14ac:dyDescent="0.2">
      <c r="B79" s="745" t="s">
        <v>264</v>
      </c>
      <c r="C79" s="746">
        <f>IF($C$59=1,'Recaudo Directa Occidente'!D25,'Recaudo Directa Occidente'!F25)</f>
        <v>321499121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topLeftCell="C1" zoomScaleNormal="100" workbookViewId="0">
      <selection activeCell="L13" sqref="L13"/>
    </sheetView>
  </sheetViews>
  <sheetFormatPr baseColWidth="10" defaultRowHeight="12.75" x14ac:dyDescent="0.2"/>
  <cols>
    <col min="1" max="1" width="3.42578125" customWidth="1"/>
    <col min="2" max="2" width="20.85546875" bestFit="1" customWidth="1"/>
    <col min="3" max="3" width="13.140625" bestFit="1" customWidth="1"/>
    <col min="4" max="6" width="12.85546875" bestFit="1" customWidth="1"/>
    <col min="7" max="7" width="12.5703125" customWidth="1"/>
    <col min="8" max="14" width="12.85546875" bestFit="1" customWidth="1"/>
    <col min="16" max="16" width="12.85546875" bestFit="1" customWidth="1"/>
  </cols>
  <sheetData>
    <row r="1" spans="1:16" ht="13.5" thickBot="1" x14ac:dyDescent="0.25">
      <c r="C1" s="774" t="s">
        <v>99</v>
      </c>
      <c r="D1" s="774"/>
      <c r="E1" s="774" t="s">
        <v>100</v>
      </c>
      <c r="F1" s="774"/>
      <c r="G1" s="774" t="s">
        <v>101</v>
      </c>
      <c r="H1" s="774"/>
      <c r="I1" s="774" t="s">
        <v>102</v>
      </c>
      <c r="J1" s="774"/>
      <c r="K1" s="774" t="s">
        <v>103</v>
      </c>
      <c r="L1" s="774"/>
      <c r="M1" s="774" t="s">
        <v>2</v>
      </c>
      <c r="N1" s="774"/>
    </row>
    <row r="2" spans="1:16" x14ac:dyDescent="0.2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">
      <c r="B3" s="210" t="s">
        <v>151</v>
      </c>
      <c r="C3" s="733">
        <f>C11+C19+C27+C35+C43</f>
        <v>49580</v>
      </c>
      <c r="D3" s="249">
        <f>D11+D19+D27+D35+D43</f>
        <v>-16536713.09</v>
      </c>
      <c r="E3" s="249">
        <f t="shared" ref="E3:K3" si="0">E11+E19+E27+E35+E43</f>
        <v>56190070</v>
      </c>
      <c r="F3" s="249">
        <f>F11+F19+F27+F35+F43</f>
        <v>-71069759</v>
      </c>
      <c r="G3" s="249">
        <f t="shared" si="0"/>
        <v>1307680</v>
      </c>
      <c r="H3" s="249">
        <f t="shared" si="0"/>
        <v>-32310979.800000001</v>
      </c>
      <c r="I3" s="249">
        <f t="shared" si="0"/>
        <v>4343101</v>
      </c>
      <c r="J3" s="249">
        <f t="shared" si="0"/>
        <v>-33738104.230000004</v>
      </c>
      <c r="K3" s="249">
        <f t="shared" si="0"/>
        <v>441849</v>
      </c>
      <c r="L3" s="249">
        <f>L11+L19+L27+L35+L43</f>
        <v>-3092375.5300000003</v>
      </c>
      <c r="M3" s="259">
        <f>C3+E3+G3+I3+K3</f>
        <v>62332280</v>
      </c>
      <c r="N3" s="260">
        <f>D3+F3+H3+J3+L3</f>
        <v>-156747931.65000001</v>
      </c>
      <c r="P3" s="209" t="b">
        <f>N3=(-VALIDACION_TOTAL!M9)</f>
        <v>1</v>
      </c>
    </row>
    <row r="4" spans="1:16" ht="13.5" thickBot="1" x14ac:dyDescent="0.25">
      <c r="B4" s="210" t="s">
        <v>152</v>
      </c>
      <c r="C4" s="730">
        <f>C12+C20+C28+C36+C44</f>
        <v>82340</v>
      </c>
      <c r="D4" s="731">
        <f>D12+D20+D28+D36+D44</f>
        <v>-182537.90999999997</v>
      </c>
      <c r="E4" s="731">
        <f t="shared" ref="E4:K4" si="1">E12+E20+E28+E36+E44</f>
        <v>5228610</v>
      </c>
      <c r="F4" s="731">
        <f t="shared" si="1"/>
        <v>0</v>
      </c>
      <c r="G4" s="731">
        <f t="shared" si="1"/>
        <v>0</v>
      </c>
      <c r="H4" s="731">
        <f t="shared" si="1"/>
        <v>-2423600.2000000002</v>
      </c>
      <c r="I4" s="731">
        <f t="shared" si="1"/>
        <v>14538094</v>
      </c>
      <c r="J4" s="731">
        <f t="shared" si="1"/>
        <v>-14979759.77</v>
      </c>
      <c r="K4" s="731">
        <f t="shared" si="1"/>
        <v>87550</v>
      </c>
      <c r="L4" s="731">
        <f>L12+L20+L28+L36+L44</f>
        <v>-215053.47</v>
      </c>
      <c r="M4" s="734">
        <f>C4+E4+G4+I4+K4</f>
        <v>19936594</v>
      </c>
      <c r="N4" s="735">
        <f>D4+F4+H4+J4+L4</f>
        <v>-17800951.349999998</v>
      </c>
      <c r="P4" s="209" t="b">
        <f>N4=(-'CONSOLIDADO_TOTAL RECAUDO'!L131)</f>
        <v>1</v>
      </c>
    </row>
    <row r="5" spans="1:16" ht="13.5" thickBot="1" x14ac:dyDescent="0.25">
      <c r="B5" s="211" t="s">
        <v>2</v>
      </c>
      <c r="C5" s="253">
        <f>SUM(C3:C4)</f>
        <v>131920</v>
      </c>
      <c r="D5" s="254">
        <f t="shared" ref="D5:L5" si="2">SUM(D3:D4)</f>
        <v>-16719251</v>
      </c>
      <c r="E5" s="254">
        <f t="shared" si="2"/>
        <v>61418680</v>
      </c>
      <c r="F5" s="254">
        <f t="shared" si="2"/>
        <v>-71069759</v>
      </c>
      <c r="G5" s="254">
        <f t="shared" si="2"/>
        <v>1307680</v>
      </c>
      <c r="H5" s="254">
        <f t="shared" si="2"/>
        <v>-34734580</v>
      </c>
      <c r="I5" s="254">
        <f t="shared" si="2"/>
        <v>18881195</v>
      </c>
      <c r="J5" s="254">
        <f t="shared" si="2"/>
        <v>-48717864</v>
      </c>
      <c r="K5" s="254">
        <f>SUM(K3:K4)</f>
        <v>529399</v>
      </c>
      <c r="L5" s="256">
        <f t="shared" si="2"/>
        <v>-3307429.0000000005</v>
      </c>
      <c r="M5" s="253">
        <f t="shared" ref="M5" si="3">SUM(M3:M4)</f>
        <v>82268874</v>
      </c>
      <c r="N5" s="255">
        <f>SUM(N3:N4)</f>
        <v>-174548883</v>
      </c>
    </row>
    <row r="6" spans="1:16" x14ac:dyDescent="0.2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5" x14ac:dyDescent="0.25">
      <c r="B8" s="208" t="s">
        <v>148</v>
      </c>
      <c r="C8" s="209"/>
    </row>
    <row r="9" spans="1:16" x14ac:dyDescent="0.2">
      <c r="C9" s="774" t="s">
        <v>99</v>
      </c>
      <c r="D9" s="774"/>
      <c r="E9" s="774" t="s">
        <v>100</v>
      </c>
      <c r="F9" s="774"/>
      <c r="G9" s="774" t="s">
        <v>101</v>
      </c>
      <c r="H9" s="774"/>
      <c r="I9" s="774" t="s">
        <v>102</v>
      </c>
      <c r="J9" s="774"/>
      <c r="K9" s="774" t="s">
        <v>103</v>
      </c>
      <c r="L9" s="774"/>
      <c r="M9" s="774" t="s">
        <v>2</v>
      </c>
      <c r="N9" s="774"/>
    </row>
    <row r="10" spans="1:16" x14ac:dyDescent="0.2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">
      <c r="B11" s="210" t="s">
        <v>151</v>
      </c>
      <c r="C11" s="245">
        <v>0</v>
      </c>
      <c r="D11" s="245">
        <v>-1002751.39</v>
      </c>
      <c r="E11" s="245">
        <v>111210</v>
      </c>
      <c r="F11" s="245">
        <v>-290750</v>
      </c>
      <c r="G11" s="245">
        <v>0</v>
      </c>
      <c r="H11" s="245">
        <v>-306659.8</v>
      </c>
      <c r="I11" s="245">
        <v>691194</v>
      </c>
      <c r="J11" s="245">
        <v>-3233428.34</v>
      </c>
      <c r="K11" s="244">
        <v>441849</v>
      </c>
      <c r="L11" s="245">
        <v>-1026775.53</v>
      </c>
      <c r="M11" s="249">
        <f>C11+E11+G11+I11+K11</f>
        <v>1244253</v>
      </c>
      <c r="N11" s="245">
        <f>D11+F11+H11+J11+L11</f>
        <v>-5860365.0600000005</v>
      </c>
    </row>
    <row r="12" spans="1:16" x14ac:dyDescent="0.2">
      <c r="B12" s="210" t="s">
        <v>152</v>
      </c>
      <c r="C12" s="245">
        <v>82340</v>
      </c>
      <c r="D12" s="245">
        <v>-165648.60999999999</v>
      </c>
      <c r="E12" s="245">
        <v>1370</v>
      </c>
      <c r="F12" s="245">
        <v>0</v>
      </c>
      <c r="G12" s="245">
        <v>0</v>
      </c>
      <c r="H12" s="245">
        <v>-2343750.2000000002</v>
      </c>
      <c r="I12" s="245">
        <v>2209000</v>
      </c>
      <c r="J12" s="245">
        <v>-14593375.66</v>
      </c>
      <c r="K12" s="244">
        <v>87550</v>
      </c>
      <c r="L12" s="245">
        <v>-165773.47</v>
      </c>
      <c r="M12" s="249">
        <f>C12+E12+G12+I12+K12</f>
        <v>2380260</v>
      </c>
      <c r="N12" s="245">
        <f>D12+F12+H12+J12+L12</f>
        <v>-17268547.939999998</v>
      </c>
    </row>
    <row r="13" spans="1:16" x14ac:dyDescent="0.2">
      <c r="B13" s="211" t="s">
        <v>2</v>
      </c>
      <c r="C13" s="249">
        <f>SUM(C11:C12)</f>
        <v>82340</v>
      </c>
      <c r="D13" s="249">
        <f t="shared" ref="D13:N13" si="6">SUM(D11:D12)</f>
        <v>-1168400</v>
      </c>
      <c r="E13" s="249">
        <f t="shared" si="6"/>
        <v>112580</v>
      </c>
      <c r="F13" s="249">
        <f t="shared" si="6"/>
        <v>-290750</v>
      </c>
      <c r="G13" s="249">
        <f>SUM(G11:G12)</f>
        <v>0</v>
      </c>
      <c r="H13" s="249">
        <f>SUM(H11:H12)</f>
        <v>-2650410</v>
      </c>
      <c r="I13" s="249">
        <f t="shared" si="6"/>
        <v>2900194</v>
      </c>
      <c r="J13" s="249">
        <f t="shared" si="6"/>
        <v>-17826804</v>
      </c>
      <c r="K13" s="249">
        <f t="shared" si="6"/>
        <v>529399</v>
      </c>
      <c r="L13" s="249">
        <f t="shared" si="6"/>
        <v>-1192549</v>
      </c>
      <c r="M13" s="249">
        <f t="shared" si="6"/>
        <v>3624513</v>
      </c>
      <c r="N13" s="249">
        <f t="shared" si="6"/>
        <v>-23128913</v>
      </c>
    </row>
    <row r="14" spans="1:16" x14ac:dyDescent="0.2">
      <c r="E14" s="212"/>
    </row>
    <row r="16" spans="1:16" ht="15" x14ac:dyDescent="0.25">
      <c r="B16" s="208" t="s">
        <v>153</v>
      </c>
      <c r="C16" s="209"/>
    </row>
    <row r="17" spans="2:14" x14ac:dyDescent="0.2">
      <c r="C17" s="774" t="s">
        <v>99</v>
      </c>
      <c r="D17" s="774"/>
      <c r="E17" s="774" t="s">
        <v>100</v>
      </c>
      <c r="F17" s="774"/>
      <c r="G17" s="774" t="s">
        <v>101</v>
      </c>
      <c r="H17" s="774"/>
      <c r="I17" s="774" t="s">
        <v>102</v>
      </c>
      <c r="J17" s="774"/>
      <c r="K17" s="774" t="s">
        <v>103</v>
      </c>
      <c r="L17" s="774"/>
      <c r="M17" s="774" t="s">
        <v>2</v>
      </c>
      <c r="N17" s="774"/>
    </row>
    <row r="18" spans="2:14" x14ac:dyDescent="0.2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41900</v>
      </c>
      <c r="J19" s="245">
        <v>-736030</v>
      </c>
      <c r="K19" s="244">
        <v>0</v>
      </c>
      <c r="L19" s="245">
        <v>0</v>
      </c>
      <c r="M19" s="245">
        <f>C19+E19+G19+I19+K19</f>
        <v>41900</v>
      </c>
      <c r="N19" s="245">
        <f>D19+F19+H19+J19+L19</f>
        <v>-736030</v>
      </c>
    </row>
    <row r="20" spans="2:14" x14ac:dyDescent="0.2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694130</v>
      </c>
      <c r="J20" s="546">
        <v>0</v>
      </c>
      <c r="K20" s="244">
        <v>0</v>
      </c>
      <c r="L20" s="245">
        <v>0</v>
      </c>
      <c r="M20" s="245">
        <f>C20+E20+G20+I20+K20</f>
        <v>694130</v>
      </c>
      <c r="N20" s="245">
        <f>D20+F20+H20+J20+L20</f>
        <v>0</v>
      </c>
    </row>
    <row r="21" spans="2:14" x14ac:dyDescent="0.2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736030</v>
      </c>
      <c r="J21" s="249">
        <f t="shared" si="7"/>
        <v>-736030</v>
      </c>
      <c r="K21" s="249">
        <f t="shared" si="7"/>
        <v>0</v>
      </c>
      <c r="L21" s="249">
        <f t="shared" si="7"/>
        <v>0</v>
      </c>
      <c r="M21" s="249">
        <f>C21+E21+G21+I21+K21</f>
        <v>736030</v>
      </c>
      <c r="N21" s="249">
        <f t="shared" ref="N21" si="8">SUM(N19:N20)</f>
        <v>-736030</v>
      </c>
    </row>
    <row r="24" spans="2:14" ht="15" x14ac:dyDescent="0.25">
      <c r="B24" s="208" t="s">
        <v>154</v>
      </c>
      <c r="C24" s="209"/>
    </row>
    <row r="25" spans="2:14" x14ac:dyDescent="0.2">
      <c r="C25" s="774" t="s">
        <v>99</v>
      </c>
      <c r="D25" s="774"/>
      <c r="E25" s="774" t="s">
        <v>100</v>
      </c>
      <c r="F25" s="774"/>
      <c r="G25" s="774" t="s">
        <v>101</v>
      </c>
      <c r="H25" s="774"/>
      <c r="I25" s="774" t="s">
        <v>102</v>
      </c>
      <c r="J25" s="774"/>
      <c r="K25" s="774" t="s">
        <v>103</v>
      </c>
      <c r="L25" s="774"/>
      <c r="M25" s="774" t="s">
        <v>2</v>
      </c>
      <c r="N25" s="774"/>
    </row>
    <row r="26" spans="2:14" x14ac:dyDescent="0.2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">
      <c r="B32" s="209" t="s">
        <v>155</v>
      </c>
    </row>
    <row r="33" spans="2:14" x14ac:dyDescent="0.2">
      <c r="C33" s="774" t="s">
        <v>99</v>
      </c>
      <c r="D33" s="774"/>
      <c r="E33" s="774" t="s">
        <v>100</v>
      </c>
      <c r="F33" s="774"/>
      <c r="G33" s="774" t="s">
        <v>101</v>
      </c>
      <c r="H33" s="774"/>
      <c r="I33" s="774" t="s">
        <v>102</v>
      </c>
      <c r="J33" s="774"/>
      <c r="K33" s="774" t="s">
        <v>103</v>
      </c>
      <c r="L33" s="774"/>
      <c r="M33" s="774" t="s">
        <v>2</v>
      </c>
      <c r="N33" s="774"/>
    </row>
    <row r="34" spans="2:14" x14ac:dyDescent="0.2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">
      <c r="B35" s="210" t="s">
        <v>151</v>
      </c>
      <c r="C35" s="245">
        <v>49580</v>
      </c>
      <c r="D35" s="245">
        <v>-15533961.699999999</v>
      </c>
      <c r="E35" s="245">
        <v>56078860</v>
      </c>
      <c r="F35" s="245">
        <v>-70779009</v>
      </c>
      <c r="G35" s="245">
        <v>1307680</v>
      </c>
      <c r="H35" s="245">
        <v>-32004320</v>
      </c>
      <c r="I35" s="245">
        <v>3610007</v>
      </c>
      <c r="J35" s="245">
        <v>-29768645.890000001</v>
      </c>
      <c r="K35" s="244">
        <v>0</v>
      </c>
      <c r="L35" s="245">
        <v>-2065600</v>
      </c>
      <c r="M35" s="245">
        <f>C35+E35+G35+I35+K35</f>
        <v>61046127</v>
      </c>
      <c r="N35" s="245">
        <f>D35+F35+H35+J35+L35</f>
        <v>-150151536.59</v>
      </c>
    </row>
    <row r="36" spans="2:14" x14ac:dyDescent="0.2">
      <c r="B36" s="210" t="s">
        <v>152</v>
      </c>
      <c r="C36" s="245">
        <v>0</v>
      </c>
      <c r="D36" s="245">
        <v>-16889.3</v>
      </c>
      <c r="E36" s="245">
        <v>5227240</v>
      </c>
      <c r="F36" s="245">
        <v>0</v>
      </c>
      <c r="G36" s="245">
        <v>0</v>
      </c>
      <c r="H36" s="245">
        <v>-79850</v>
      </c>
      <c r="I36" s="245">
        <v>11634964</v>
      </c>
      <c r="J36" s="245">
        <v>-386384.11</v>
      </c>
      <c r="K36" s="244">
        <v>0</v>
      </c>
      <c r="L36" s="245">
        <v>-49280</v>
      </c>
      <c r="M36" s="245">
        <f>C36+E36+G36+I36+K36</f>
        <v>16862204</v>
      </c>
      <c r="N36" s="245">
        <f>D36+F36+H36+J36+L36</f>
        <v>-532403.40999999992</v>
      </c>
    </row>
    <row r="37" spans="2:14" x14ac:dyDescent="0.2">
      <c r="B37" s="211" t="s">
        <v>2</v>
      </c>
      <c r="C37" s="249">
        <f>SUM(C35:C36)</f>
        <v>49580</v>
      </c>
      <c r="D37" s="249">
        <f t="shared" ref="D37:L37" si="10">SUM(D35:D36)</f>
        <v>-15550851</v>
      </c>
      <c r="E37" s="249">
        <f t="shared" si="10"/>
        <v>61306100</v>
      </c>
      <c r="F37" s="249">
        <f t="shared" si="10"/>
        <v>-70779009</v>
      </c>
      <c r="G37" s="249">
        <f t="shared" si="10"/>
        <v>1307680</v>
      </c>
      <c r="H37" s="249">
        <f t="shared" si="10"/>
        <v>-32084170</v>
      </c>
      <c r="I37" s="249">
        <f t="shared" si="10"/>
        <v>15244971</v>
      </c>
      <c r="J37" s="249">
        <f t="shared" si="10"/>
        <v>-30155030</v>
      </c>
      <c r="K37" s="249">
        <f t="shared" si="10"/>
        <v>0</v>
      </c>
      <c r="L37" s="249">
        <f t="shared" si="10"/>
        <v>-2114880</v>
      </c>
      <c r="M37" s="249">
        <f>SUM(M35:M36)</f>
        <v>77908331</v>
      </c>
      <c r="N37" s="249">
        <f t="shared" ref="N37" si="11">SUM(N35:N36)</f>
        <v>-150683940</v>
      </c>
    </row>
    <row r="39" spans="2:14" x14ac:dyDescent="0.2">
      <c r="L39" s="212"/>
    </row>
    <row r="40" spans="2:14" x14ac:dyDescent="0.2">
      <c r="B40" s="742" t="s">
        <v>326</v>
      </c>
    </row>
    <row r="41" spans="2:14" x14ac:dyDescent="0.2">
      <c r="C41" s="774" t="s">
        <v>99</v>
      </c>
      <c r="D41" s="774"/>
      <c r="E41" s="774" t="s">
        <v>100</v>
      </c>
      <c r="F41" s="774"/>
      <c r="G41" s="774" t="s">
        <v>101</v>
      </c>
      <c r="H41" s="774"/>
      <c r="I41" s="774" t="s">
        <v>102</v>
      </c>
      <c r="J41" s="774"/>
      <c r="K41" s="774" t="s">
        <v>103</v>
      </c>
      <c r="L41" s="774"/>
      <c r="M41" s="774" t="s">
        <v>2</v>
      </c>
      <c r="N41" s="774"/>
    </row>
    <row r="42" spans="2:14" x14ac:dyDescent="0.2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topLeftCell="G1" workbookViewId="0">
      <selection activeCell="L12" sqref="L12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85546875" bestFit="1" customWidth="1"/>
    <col min="4" max="4" width="1.85546875" style="238" customWidth="1"/>
    <col min="5" max="5" width="14.85546875" customWidth="1"/>
    <col min="6" max="6" width="15.85546875" bestFit="1" customWidth="1"/>
    <col min="7" max="7" width="1.85546875" style="238" customWidth="1"/>
    <col min="8" max="8" width="9.140625" customWidth="1"/>
    <col min="9" max="9" width="15.85546875" bestFit="1" customWidth="1"/>
    <col min="10" max="10" width="1.85546875" style="238" customWidth="1"/>
    <col min="11" max="11" width="14.140625" customWidth="1"/>
    <col min="12" max="12" width="17.42578125" customWidth="1"/>
    <col min="13" max="13" width="1.85546875" style="238" customWidth="1"/>
    <col min="14" max="14" width="14.140625" customWidth="1"/>
    <col min="15" max="15" width="17.42578125" customWidth="1"/>
    <col min="16" max="16" width="1.85546875" style="238" customWidth="1"/>
    <col min="17" max="17" width="20.140625" customWidth="1"/>
    <col min="18" max="18" width="15.85546875" bestFit="1" customWidth="1"/>
    <col min="19" max="19" width="3.5703125" customWidth="1"/>
    <col min="20" max="20" width="48.42578125" bestFit="1" customWidth="1"/>
  </cols>
  <sheetData>
    <row r="1" spans="2:20" ht="13.5" thickBot="1" x14ac:dyDescent="0.25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75" thickBot="1" x14ac:dyDescent="0.25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15">
        <f>'REPORTE RECAUDO x BANCO'!I14</f>
        <v>100931031.88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83572548.25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17358483.629999999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15">
        <f>'REPORTE RECAUDO x BANCO'!I24</f>
        <v>136534753</v>
      </c>
      <c r="E4" s="16">
        <v>2</v>
      </c>
      <c r="F4" s="15">
        <f>'REPORTE RECAUDO x BANCO'!F24</f>
        <v>12820520</v>
      </c>
      <c r="H4" s="16">
        <v>2</v>
      </c>
      <c r="I4" s="15">
        <f>'REPORTE RECAUDO x BANCO'!C24</f>
        <v>44281124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79433109</v>
      </c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15">
        <f>'REPORTE RECAUDO x BANCO'!I33</f>
        <v>58884032.920000002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44039530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14844502.92</v>
      </c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15">
        <f>'REPORTE RECAUDO x BANCO'!I42</f>
        <v>73726637.340000004</v>
      </c>
      <c r="E6" s="16">
        <v>4</v>
      </c>
      <c r="F6" s="15">
        <f>'REPORTE RECAUDO x BANCO'!F42</f>
        <v>10268790</v>
      </c>
      <c r="H6" s="16">
        <v>4</v>
      </c>
      <c r="I6" s="15">
        <f>'REPORTE RECAUDO x BANCO'!C42</f>
        <v>48826052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14631795.34</v>
      </c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15">
        <f>'REPORTE RECAUDO x BANCO'!I52</f>
        <v>28383865.960000001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15997915</v>
      </c>
      <c r="K7" s="19">
        <v>5</v>
      </c>
      <c r="L7" s="15">
        <f>'REPORTE RECAUDO x BANCO'!G52</f>
        <v>1781103</v>
      </c>
      <c r="N7" s="19">
        <v>5</v>
      </c>
      <c r="O7" s="15">
        <f>'REPORTE RECAUDO x BANCO'!H52</f>
        <v>10604847.960000001</v>
      </c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47">
        <f>SUM(C3:C7)</f>
        <v>398460321.09999996</v>
      </c>
      <c r="E8" s="21"/>
      <c r="F8" s="47">
        <f>SUM(F3:F7)</f>
        <v>23089310</v>
      </c>
      <c r="H8" s="21"/>
      <c r="I8" s="47">
        <f>SUM(I3:I7)</f>
        <v>236717169.25</v>
      </c>
      <c r="K8" s="21"/>
      <c r="L8" s="47">
        <f>SUM(L3:L7)</f>
        <v>1781103</v>
      </c>
      <c r="N8" s="21"/>
      <c r="O8" s="47">
        <f>SUM(O3:O7)</f>
        <v>136872738.84999999</v>
      </c>
      <c r="Q8" s="21"/>
      <c r="R8" s="47">
        <f>SUM(R3:R7)</f>
        <v>0</v>
      </c>
    </row>
    <row r="9" spans="2:20" x14ac:dyDescent="0.2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5" thickBot="1" x14ac:dyDescent="0.25"/>
    <row r="11" spans="2:20" ht="48.75" thickBot="1" x14ac:dyDescent="0.25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">
      <c r="B12" s="14">
        <v>1</v>
      </c>
      <c r="C12" s="15">
        <f>'ANT EXT-REV'!C4</f>
        <v>82340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82340</v>
      </c>
      <c r="Q12" s="14">
        <v>1</v>
      </c>
      <c r="R12" s="15">
        <f>'ANT EXT-REV'!C28</f>
        <v>0</v>
      </c>
      <c r="T12" s="142" t="s">
        <v>147</v>
      </c>
    </row>
    <row r="13" spans="2:20" x14ac:dyDescent="0.2">
      <c r="B13" s="16">
        <v>2</v>
      </c>
      <c r="C13" s="15">
        <f>'ANT EXT-REV'!E4</f>
        <v>5228610</v>
      </c>
      <c r="E13" s="16">
        <v>2</v>
      </c>
      <c r="F13" s="15">
        <f>'ANT EXT-REV'!E20</f>
        <v>0</v>
      </c>
      <c r="H13" s="16">
        <v>2</v>
      </c>
      <c r="I13" s="15">
        <f>'ANT EXT-REV'!E36</f>
        <v>5227240</v>
      </c>
      <c r="K13" s="16">
        <v>2</v>
      </c>
      <c r="L13" s="15">
        <f>'ANT EXT-REV'!E44</f>
        <v>0</v>
      </c>
      <c r="N13" s="16">
        <v>2</v>
      </c>
      <c r="O13" s="15">
        <f>'ANT EXT-REV'!E12</f>
        <v>1370</v>
      </c>
      <c r="Q13" s="16">
        <v>2</v>
      </c>
      <c r="R13" s="15">
        <f>'ANT EXT-REV'!E28</f>
        <v>0</v>
      </c>
    </row>
    <row r="14" spans="2:20" x14ac:dyDescent="0.2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">
      <c r="B15" s="16">
        <v>4</v>
      </c>
      <c r="C15" s="15">
        <f>'ANT EXT-REV'!I4</f>
        <v>14538094</v>
      </c>
      <c r="E15" s="16">
        <v>4</v>
      </c>
      <c r="F15" s="15">
        <f>'ANT EXT-REV'!I20</f>
        <v>694130</v>
      </c>
      <c r="H15" s="16">
        <v>4</v>
      </c>
      <c r="I15" s="15">
        <f>'ANT EXT-REV'!I36</f>
        <v>11634964</v>
      </c>
      <c r="K15" s="16">
        <v>4</v>
      </c>
      <c r="L15" s="15">
        <f>'ANT EXT-REV'!I44</f>
        <v>0</v>
      </c>
      <c r="N15" s="16">
        <v>4</v>
      </c>
      <c r="O15" s="15">
        <f>'ANT EXT-REV'!I12</f>
        <v>2209000</v>
      </c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15">
        <f>'ANT EXT-REV'!K4</f>
        <v>87550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87550</v>
      </c>
      <c r="Q16" s="19">
        <v>5</v>
      </c>
      <c r="R16" s="15">
        <f>'ANT EXT-REV'!K28</f>
        <v>0</v>
      </c>
    </row>
    <row r="17" spans="2:20" ht="13.5" thickBot="1" x14ac:dyDescent="0.25">
      <c r="B17" s="21"/>
      <c r="C17" s="47">
        <f>SUM(C12:C16)</f>
        <v>19936594</v>
      </c>
      <c r="E17" s="21"/>
      <c r="F17" s="47">
        <f>SUM(F12:F16)</f>
        <v>694130</v>
      </c>
      <c r="H17" s="21"/>
      <c r="I17" s="47">
        <f>SUM(I12:I16)</f>
        <v>16862204</v>
      </c>
      <c r="K17" s="21"/>
      <c r="L17" s="47">
        <f>SUM(L12:L16)</f>
        <v>0</v>
      </c>
      <c r="N17" s="21"/>
      <c r="O17" s="47">
        <f>SUM(O12:O16)</f>
        <v>2380260</v>
      </c>
      <c r="Q17" s="21"/>
      <c r="R17" s="47">
        <f>SUM(R12:R16)</f>
        <v>0</v>
      </c>
    </row>
    <row r="18" spans="2:20" x14ac:dyDescent="0.2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5" thickBot="1" x14ac:dyDescent="0.25"/>
    <row r="20" spans="2:20" ht="36.75" thickBot="1" x14ac:dyDescent="0.25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">
      <c r="B21" s="14">
        <v>1</v>
      </c>
      <c r="C21" s="15">
        <f>'ANT EXT-REV'!D4</f>
        <v>-182537.90999999997</v>
      </c>
      <c r="E21" s="14">
        <v>1</v>
      </c>
      <c r="F21" s="15">
        <f>'ANT EXT-REV'!D20</f>
        <v>0</v>
      </c>
      <c r="H21" s="14">
        <v>1</v>
      </c>
      <c r="I21" s="15">
        <f>'ANT EXT-REV'!D36</f>
        <v>-16889.3</v>
      </c>
      <c r="K21" s="14">
        <v>1</v>
      </c>
      <c r="L21" s="15">
        <f>'ANT EXT-REV'!D44</f>
        <v>0</v>
      </c>
      <c r="N21" s="14">
        <v>1</v>
      </c>
      <c r="O21" s="15">
        <f>'ANT EXT-REV'!D12</f>
        <v>-165648.60999999999</v>
      </c>
      <c r="Q21" s="14">
        <v>1</v>
      </c>
      <c r="R21" s="15">
        <f>'ANT EXT-REV'!D28</f>
        <v>0</v>
      </c>
      <c r="T21" s="142" t="s">
        <v>147</v>
      </c>
    </row>
    <row r="22" spans="2:20" x14ac:dyDescent="0.2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">
      <c r="B23" s="16">
        <v>3</v>
      </c>
      <c r="C23" s="15">
        <f>'ANT EXT-REV'!H4</f>
        <v>-2423600.2000000002</v>
      </c>
      <c r="E23" s="16">
        <v>3</v>
      </c>
      <c r="F23" s="15">
        <f>'ANT EXT-REV'!H20</f>
        <v>0</v>
      </c>
      <c r="H23" s="16">
        <v>3</v>
      </c>
      <c r="I23" s="15">
        <f>'ANT EXT-REV'!H36</f>
        <v>-79850</v>
      </c>
      <c r="K23" s="16">
        <v>3</v>
      </c>
      <c r="L23" s="15">
        <f>'ANT EXT-REV'!H44</f>
        <v>0</v>
      </c>
      <c r="N23" s="16">
        <v>3</v>
      </c>
      <c r="O23" s="15">
        <f>'ANT EXT-REV'!H12</f>
        <v>-2343750.2000000002</v>
      </c>
      <c r="Q23" s="16">
        <v>3</v>
      </c>
      <c r="R23" s="15">
        <f>'ANT EXT-REV'!H28</f>
        <v>0</v>
      </c>
    </row>
    <row r="24" spans="2:20" x14ac:dyDescent="0.2">
      <c r="B24" s="16">
        <v>4</v>
      </c>
      <c r="C24" s="15">
        <f>'ANT EXT-REV'!J4</f>
        <v>-14979759.77</v>
      </c>
      <c r="E24" s="16">
        <v>4</v>
      </c>
      <c r="F24" s="15">
        <f>'ANT EXT-REV'!J20</f>
        <v>0</v>
      </c>
      <c r="H24" s="16">
        <v>4</v>
      </c>
      <c r="I24" s="15">
        <f>'ANT EXT-REV'!J36</f>
        <v>-386384.11</v>
      </c>
      <c r="K24" s="16">
        <v>4</v>
      </c>
      <c r="L24" s="15">
        <f>'ANT EXT-REV'!J44</f>
        <v>0</v>
      </c>
      <c r="N24" s="16">
        <v>4</v>
      </c>
      <c r="O24" s="15">
        <f>'ANT EXT-REV'!J12</f>
        <v>-14593375.66</v>
      </c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15">
        <f>'ANT EXT-REV'!L4</f>
        <v>-215053.47</v>
      </c>
      <c r="E25" s="19">
        <v>5</v>
      </c>
      <c r="F25" s="15">
        <f>'ANT EXT-REV'!L20</f>
        <v>0</v>
      </c>
      <c r="H25" s="19">
        <v>5</v>
      </c>
      <c r="I25" s="15">
        <f>'ANT EXT-REV'!L36</f>
        <v>-49280</v>
      </c>
      <c r="K25" s="19">
        <v>5</v>
      </c>
      <c r="L25" s="15">
        <f>'ANT EXT-REV'!L44</f>
        <v>0</v>
      </c>
      <c r="N25" s="19">
        <v>5</v>
      </c>
      <c r="O25" s="15">
        <f>'ANT EXT-REV'!L12</f>
        <v>-165773.47</v>
      </c>
      <c r="Q25" s="19">
        <v>5</v>
      </c>
      <c r="R25" s="15">
        <f>'ANT EXT-REV'!L28</f>
        <v>0</v>
      </c>
    </row>
    <row r="26" spans="2:20" ht="13.5" thickBot="1" x14ac:dyDescent="0.25">
      <c r="B26" s="21"/>
      <c r="C26" s="47">
        <f t="shared" ref="C26" si="0">SUM(C21:C25)</f>
        <v>-17800951.349999998</v>
      </c>
      <c r="E26" s="21"/>
      <c r="F26" s="47">
        <f t="shared" ref="F26" si="1">SUM(F21:F25)</f>
        <v>0</v>
      </c>
      <c r="H26" s="21"/>
      <c r="I26" s="47">
        <f t="shared" ref="I26" si="2">SUM(I21:I25)</f>
        <v>-532403.40999999992</v>
      </c>
      <c r="K26" s="21"/>
      <c r="L26" s="47">
        <f t="shared" ref="L26:O26" si="3">SUM(L21:L25)</f>
        <v>0</v>
      </c>
      <c r="N26" s="21"/>
      <c r="O26" s="47">
        <f t="shared" si="3"/>
        <v>-17268547.939999998</v>
      </c>
      <c r="Q26" s="21"/>
      <c r="R26" s="47">
        <f t="shared" ref="R26" si="4">SUM(R21:R25)</f>
        <v>0</v>
      </c>
    </row>
    <row r="27" spans="2:20" x14ac:dyDescent="0.2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C2" sqref="C2"/>
    </sheetView>
  </sheetViews>
  <sheetFormatPr baseColWidth="10" defaultRowHeight="12.75" x14ac:dyDescent="0.2"/>
  <cols>
    <col min="3" max="3" width="11.42578125" style="123"/>
    <col min="4" max="4" width="19.140625" customWidth="1"/>
    <col min="5" max="5" width="18.140625" customWidth="1"/>
    <col min="6" max="7" width="18" customWidth="1"/>
    <col min="8" max="8" width="27.85546875" customWidth="1"/>
    <col min="9" max="9" width="33.5703125" customWidth="1"/>
    <col min="13" max="13" width="28.42578125" customWidth="1"/>
    <col min="17" max="17" width="12.85546875" bestFit="1" customWidth="1"/>
  </cols>
  <sheetData>
    <row r="1" spans="1:17" ht="13.5" thickBot="1" x14ac:dyDescent="0.25">
      <c r="H1" s="503" t="s">
        <v>1</v>
      </c>
    </row>
    <row r="2" spans="1:17" ht="15.75" thickBot="1" x14ac:dyDescent="0.3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">
      <c r="C3" s="126">
        <v>1</v>
      </c>
      <c r="D3" s="592">
        <v>-6041512320.7799997</v>
      </c>
      <c r="E3" s="592">
        <v>2452057655.23</v>
      </c>
      <c r="F3" s="593">
        <f>D3+E3</f>
        <v>-3589454665.5499997</v>
      </c>
      <c r="G3" s="499"/>
      <c r="H3" s="612">
        <f>DetRetri2026072!J9</f>
        <v>-3589454666</v>
      </c>
      <c r="I3" s="276">
        <f>F3-H3</f>
        <v>0.45000028610229492</v>
      </c>
    </row>
    <row r="4" spans="1:17" x14ac:dyDescent="0.2">
      <c r="C4" s="124">
        <v>2</v>
      </c>
      <c r="D4" s="602">
        <v>-5502672255.04</v>
      </c>
      <c r="E4" s="602">
        <v>2261478540.9299998</v>
      </c>
      <c r="F4" s="593">
        <f>D4+E4</f>
        <v>-3241193714.1100001</v>
      </c>
      <c r="G4" s="499"/>
      <c r="H4" s="613">
        <f>DetRetri2026072!J10</f>
        <v>-3241193714</v>
      </c>
      <c r="I4" s="276">
        <f t="shared" ref="I4:I7" si="0">F4-H4</f>
        <v>-0.1100001335144043</v>
      </c>
    </row>
    <row r="5" spans="1:17" x14ac:dyDescent="0.2">
      <c r="C5" s="124">
        <v>3</v>
      </c>
      <c r="D5" s="602">
        <v>-2115966220.24</v>
      </c>
      <c r="E5" s="602">
        <v>1262721655.73</v>
      </c>
      <c r="F5" s="593">
        <f>D5+E5</f>
        <v>-853244564.50999999</v>
      </c>
      <c r="G5" s="499"/>
      <c r="H5" s="613">
        <f>DetRetri2026072!J11</f>
        <v>-853244565</v>
      </c>
      <c r="I5" s="276">
        <f t="shared" si="0"/>
        <v>0.49000000953674316</v>
      </c>
    </row>
    <row r="6" spans="1:17" x14ac:dyDescent="0.2">
      <c r="C6" s="124">
        <v>4</v>
      </c>
      <c r="D6" s="602">
        <v>-2467805725.1100001</v>
      </c>
      <c r="E6" s="602">
        <v>1767923011.74</v>
      </c>
      <c r="F6" s="593">
        <f>D6+E6</f>
        <v>-699882713.37000012</v>
      </c>
      <c r="G6" s="499"/>
      <c r="H6" s="613">
        <f>DetRetri2026072!J12</f>
        <v>-699882713</v>
      </c>
      <c r="I6" s="276">
        <f t="shared" si="0"/>
        <v>-0.37000012397766113</v>
      </c>
    </row>
    <row r="7" spans="1:17" ht="13.5" thickBot="1" x14ac:dyDescent="0.25">
      <c r="C7" s="125">
        <v>5</v>
      </c>
      <c r="D7" s="603">
        <v>-1138650714.6700001</v>
      </c>
      <c r="E7" s="603">
        <v>1055691691.01</v>
      </c>
      <c r="F7" s="594">
        <f>D7+E7</f>
        <v>-82959023.660000086</v>
      </c>
      <c r="G7" s="499"/>
      <c r="H7" s="614">
        <f>DetRetri2026072!J13</f>
        <v>-82959024</v>
      </c>
      <c r="I7" s="276">
        <f t="shared" si="0"/>
        <v>0.33999991416931152</v>
      </c>
    </row>
    <row r="8" spans="1:17" ht="13.5" thickBot="1" x14ac:dyDescent="0.25">
      <c r="D8" s="144"/>
      <c r="E8" s="144"/>
      <c r="F8" s="144"/>
      <c r="G8" s="500"/>
      <c r="H8" s="143"/>
      <c r="I8" s="276"/>
    </row>
    <row r="9" spans="1:17" ht="13.5" thickBot="1" x14ac:dyDescent="0.25">
      <c r="D9" s="144"/>
      <c r="E9" s="144"/>
      <c r="F9" s="263">
        <f>SUM(F3:F7)</f>
        <v>-8466734681.1999998</v>
      </c>
      <c r="G9" s="499"/>
      <c r="H9" s="615">
        <f>SUM(H3:H7)</f>
        <v>-8466734682</v>
      </c>
      <c r="I9" s="276">
        <f>F9-H9</f>
        <v>0.80000019073486328</v>
      </c>
    </row>
    <row r="10" spans="1:17" ht="13.5" thickBot="1" x14ac:dyDescent="0.25">
      <c r="D10" s="144"/>
      <c r="E10" s="144"/>
      <c r="F10" s="144"/>
      <c r="G10" s="500"/>
      <c r="H10" s="265" t="b">
        <f>H9=DetRetri2026072!J14</f>
        <v>1</v>
      </c>
    </row>
    <row r="11" spans="1:17" ht="13.5" thickBot="1" x14ac:dyDescent="0.25">
      <c r="D11" s="264">
        <f>SUM(D3:D7)</f>
        <v>-17266607235.84</v>
      </c>
      <c r="E11" s="264">
        <f t="shared" ref="E11" si="1">SUM(E3:E7)</f>
        <v>8799872554.6399994</v>
      </c>
      <c r="F11" s="264">
        <f>SUM(D3:E7)</f>
        <v>-8466734681.2000008</v>
      </c>
      <c r="G11" s="501"/>
      <c r="H11" s="144"/>
    </row>
    <row r="12" spans="1:17" x14ac:dyDescent="0.2">
      <c r="D12" s="144"/>
      <c r="E12" s="144"/>
      <c r="F12" s="265" t="b">
        <f>ROUND(F11,2)=ROUND(F9,2)</f>
        <v>1</v>
      </c>
      <c r="H12" s="144"/>
    </row>
    <row r="13" spans="1:17" x14ac:dyDescent="0.2">
      <c r="D13" s="144"/>
      <c r="E13" s="144"/>
      <c r="F13" s="595">
        <f>ROUND(F11,2)-ROUND(F9,2)</f>
        <v>0</v>
      </c>
      <c r="G13" s="500"/>
      <c r="H13" s="144"/>
    </row>
    <row r="14" spans="1:17" x14ac:dyDescent="0.2">
      <c r="H14" s="143"/>
      <c r="I14" s="137"/>
    </row>
    <row r="15" spans="1:17" x14ac:dyDescent="0.2">
      <c r="H15" s="143"/>
      <c r="I15" s="137"/>
    </row>
    <row r="16" spans="1:17" x14ac:dyDescent="0.2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5" thickBot="1" x14ac:dyDescent="0.25">
      <c r="D17" s="266"/>
      <c r="E17" s="266"/>
      <c r="F17" s="266"/>
      <c r="G17" s="266"/>
      <c r="H17" s="143"/>
      <c r="I17" s="137"/>
    </row>
    <row r="18" spans="4:9" ht="15.75" thickBot="1" x14ac:dyDescent="0.3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">
      <c r="D19" s="510">
        <v>1</v>
      </c>
      <c r="E19" s="513">
        <f>'CONSOLIDADO_TOTAL RECAUDO'!J104</f>
        <v>-3589454665.5499997</v>
      </c>
      <c r="F19" s="514" t="b">
        <f>E19=F3</f>
        <v>1</v>
      </c>
      <c r="G19" s="514" t="b">
        <f>E19=H3</f>
        <v>0</v>
      </c>
      <c r="H19" s="515">
        <f>E19-H3</f>
        <v>0.45000028610229492</v>
      </c>
      <c r="I19" s="137"/>
    </row>
    <row r="20" spans="4:9" x14ac:dyDescent="0.2">
      <c r="D20" s="511">
        <v>2</v>
      </c>
      <c r="E20" s="516">
        <f>'CONSOLIDADO_TOTAL RECAUDO'!J105</f>
        <v>-3241193714.1100001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-0.1100001335144043</v>
      </c>
      <c r="I20" s="137"/>
    </row>
    <row r="21" spans="4:9" x14ac:dyDescent="0.2">
      <c r="D21" s="511">
        <v>3</v>
      </c>
      <c r="E21" s="516">
        <f>'CONSOLIDADO_TOTAL RECAUDO'!J106</f>
        <v>-853244564.50999999</v>
      </c>
      <c r="F21" s="505" t="b">
        <f t="shared" si="2"/>
        <v>1</v>
      </c>
      <c r="G21" s="505" t="b">
        <f t="shared" si="3"/>
        <v>0</v>
      </c>
      <c r="H21" s="261">
        <f t="shared" si="4"/>
        <v>0.49000000953674316</v>
      </c>
    </row>
    <row r="22" spans="4:9" x14ac:dyDescent="0.2">
      <c r="D22" s="511">
        <v>4</v>
      </c>
      <c r="E22" s="516">
        <f>'CONSOLIDADO_TOTAL RECAUDO'!J107</f>
        <v>-699882713.37000012</v>
      </c>
      <c r="F22" s="505" t="b">
        <f t="shared" si="2"/>
        <v>1</v>
      </c>
      <c r="G22" s="505" t="b">
        <f t="shared" si="3"/>
        <v>0</v>
      </c>
      <c r="H22" s="261">
        <f t="shared" si="4"/>
        <v>-0.37000012397766113</v>
      </c>
    </row>
    <row r="23" spans="4:9" ht="13.5" thickBot="1" x14ac:dyDescent="0.25">
      <c r="D23" s="512">
        <v>5</v>
      </c>
      <c r="E23" s="517">
        <f>'CONSOLIDADO_TOTAL RECAUDO'!J108</f>
        <v>-82959023.660000086</v>
      </c>
      <c r="F23" s="518" t="b">
        <f t="shared" si="2"/>
        <v>1</v>
      </c>
      <c r="G23" s="518" t="b">
        <f t="shared" si="3"/>
        <v>0</v>
      </c>
      <c r="H23" s="262">
        <f t="shared" si="4"/>
        <v>0.33999991416931152</v>
      </c>
    </row>
    <row r="24" spans="4:9" ht="13.5" thickBot="1" x14ac:dyDescent="0.25">
      <c r="E24" s="264">
        <f>SUM(E19:E23)</f>
        <v>-8466734681.1999998</v>
      </c>
      <c r="F24" s="506" t="b">
        <f>E24=F9</f>
        <v>1</v>
      </c>
      <c r="G24" s="507" t="b">
        <f>E24=H9</f>
        <v>0</v>
      </c>
      <c r="H24" s="263">
        <f>E24-H9</f>
        <v>0.80000019073486328</v>
      </c>
    </row>
    <row r="26" spans="4:9" x14ac:dyDescent="0.2">
      <c r="F26" s="137"/>
    </row>
    <row r="28" spans="4:9" x14ac:dyDescent="0.2">
      <c r="F28" s="266"/>
    </row>
    <row r="29" spans="4:9" x14ac:dyDescent="0.2">
      <c r="F29" s="266"/>
    </row>
    <row r="30" spans="4:9" x14ac:dyDescent="0.2">
      <c r="F30" s="266"/>
    </row>
    <row r="31" spans="4:9" x14ac:dyDescent="0.2">
      <c r="F31" s="266"/>
    </row>
    <row r="32" spans="4:9" x14ac:dyDescent="0.2">
      <c r="F32" s="266"/>
    </row>
    <row r="33" spans="6:7" x14ac:dyDescent="0.2">
      <c r="F33" s="266"/>
    </row>
    <row r="34" spans="6:7" x14ac:dyDescent="0.2">
      <c r="F34" s="266"/>
      <c r="G34" s="137"/>
    </row>
    <row r="35" spans="6:7" x14ac:dyDescent="0.2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zoomScale="88" zoomScaleNormal="88" workbookViewId="0">
      <pane ySplit="5" topLeftCell="A51" activePane="bottomLeft" state="frozen"/>
      <selection activeCell="D22" sqref="D22"/>
      <selection pane="bottomLeft" activeCell="A6" sqref="A6"/>
    </sheetView>
  </sheetViews>
  <sheetFormatPr baseColWidth="10" defaultRowHeight="12.75" x14ac:dyDescent="0.2"/>
  <cols>
    <col min="1" max="1" width="13.85546875" customWidth="1"/>
    <col min="2" max="2" width="16.85546875" customWidth="1"/>
    <col min="3" max="3" width="15.85546875" bestFit="1" customWidth="1"/>
    <col min="4" max="4" width="16.85546875" bestFit="1" customWidth="1"/>
    <col min="5" max="5" width="17" bestFit="1" customWidth="1"/>
    <col min="6" max="6" width="17.85546875" bestFit="1" customWidth="1"/>
    <col min="7" max="7" width="16.85546875" bestFit="1" customWidth="1"/>
    <col min="8" max="8" width="16.140625" bestFit="1" customWidth="1"/>
    <col min="9" max="9" width="19.140625" customWidth="1"/>
    <col min="10" max="10" width="17" customWidth="1"/>
    <col min="11" max="11" width="17.140625" bestFit="1" customWidth="1"/>
    <col min="12" max="12" width="22.42578125" bestFit="1" customWidth="1"/>
    <col min="13" max="13" width="16.85546875" bestFit="1" customWidth="1"/>
    <col min="14" max="14" width="20.42578125" bestFit="1" customWidth="1"/>
    <col min="15" max="15" width="20.42578125" customWidth="1"/>
    <col min="16" max="16" width="20.42578125" bestFit="1" customWidth="1"/>
    <col min="17" max="17" width="25.140625" customWidth="1"/>
    <col min="18" max="18" width="17.140625" customWidth="1"/>
    <col min="19" max="19" width="24" customWidth="1"/>
    <col min="20" max="22" width="23.85546875" customWidth="1"/>
    <col min="23" max="24" width="20" bestFit="1" customWidth="1"/>
    <col min="25" max="25" width="18.85546875" customWidth="1"/>
    <col min="26" max="26" width="14.140625" bestFit="1" customWidth="1"/>
  </cols>
  <sheetData>
    <row r="1" spans="2:26" x14ac:dyDescent="0.2">
      <c r="F1" s="638"/>
    </row>
    <row r="3" spans="2:26" s="238" customFormat="1" x14ac:dyDescent="0.2"/>
    <row r="4" spans="2:26" ht="13.5" customHeight="1" x14ac:dyDescent="0.2">
      <c r="B4" s="97" t="s">
        <v>74</v>
      </c>
    </row>
    <row r="5" spans="2:26" ht="12" customHeight="1" x14ac:dyDescent="0.2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">
      <c r="E6" t="s">
        <v>72</v>
      </c>
      <c r="F6" s="90">
        <v>-7108.82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-79.569999999999993</v>
      </c>
      <c r="L6" s="90">
        <v>0</v>
      </c>
      <c r="M6" s="90">
        <v>-698.02</v>
      </c>
      <c r="N6" s="90">
        <v>-584.16999999999996</v>
      </c>
      <c r="O6" s="90">
        <v>-2331.79</v>
      </c>
      <c r="P6" s="90">
        <v>-1243.99</v>
      </c>
      <c r="Q6" s="90">
        <v>-129.83000000000001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">
      <c r="D7" t="s">
        <v>156</v>
      </c>
      <c r="E7" t="s">
        <v>70</v>
      </c>
      <c r="F7" s="90">
        <v>-7108.82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-79.569999999999993</v>
      </c>
      <c r="L7" s="90">
        <v>0</v>
      </c>
      <c r="M7" s="90">
        <v>-698.02</v>
      </c>
      <c r="N7" s="90">
        <v>-584.16999999999996</v>
      </c>
      <c r="O7" s="90">
        <v>-2331.79</v>
      </c>
      <c r="P7" s="90">
        <v>-1243.99</v>
      </c>
      <c r="Q7" s="90">
        <v>-129.83000000000001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">
      <c r="C8" s="286" t="s">
        <v>155</v>
      </c>
      <c r="D8" s="286" t="s">
        <v>70</v>
      </c>
      <c r="F8" s="230">
        <v>-7108.82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-79.569999999999993</v>
      </c>
      <c r="L8" s="230">
        <v>0</v>
      </c>
      <c r="M8" s="230">
        <v>-698.02</v>
      </c>
      <c r="N8" s="230">
        <v>-584.16999999999996</v>
      </c>
      <c r="O8" s="230">
        <v>-2331.79</v>
      </c>
      <c r="P8" s="230">
        <v>-1243.99</v>
      </c>
      <c r="Q8" s="230">
        <v>-129.83000000000001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">
      <c r="E11" s="89" t="s">
        <v>72</v>
      </c>
      <c r="F11" s="371">
        <v>-4108.55</v>
      </c>
      <c r="G11" s="90">
        <v>-263.39999999999998</v>
      </c>
      <c r="H11" s="90">
        <v>-111.9</v>
      </c>
      <c r="I11" s="90">
        <v>-48.87</v>
      </c>
      <c r="J11" s="90">
        <v>-738.89</v>
      </c>
      <c r="K11" s="90">
        <v>-47.75</v>
      </c>
      <c r="L11" s="90">
        <v>0</v>
      </c>
      <c r="M11" s="90">
        <v>-418.8</v>
      </c>
      <c r="N11" s="90">
        <v>-350.5</v>
      </c>
      <c r="O11" s="90">
        <v>-1399.09</v>
      </c>
      <c r="P11" s="90">
        <v>-651.44000000000005</v>
      </c>
      <c r="Q11" s="90">
        <v>-77.91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">
      <c r="D12" t="s">
        <v>86</v>
      </c>
      <c r="E12" s="89" t="s">
        <v>70</v>
      </c>
      <c r="F12" s="371">
        <v>-4108.55</v>
      </c>
      <c r="G12" s="90">
        <v>-263.39999999999998</v>
      </c>
      <c r="H12" s="90">
        <v>-111.9</v>
      </c>
      <c r="I12" s="90">
        <v>-48.87</v>
      </c>
      <c r="J12" s="90">
        <v>-738.89</v>
      </c>
      <c r="K12" s="90">
        <v>-47.75</v>
      </c>
      <c r="L12" s="90">
        <v>0</v>
      </c>
      <c r="M12" s="90">
        <v>-418.8</v>
      </c>
      <c r="N12" s="90">
        <v>-350.5</v>
      </c>
      <c r="O12" s="90">
        <v>-1399.09</v>
      </c>
      <c r="P12" s="90">
        <v>-651.44000000000005</v>
      </c>
      <c r="Q12" s="90">
        <v>-77.91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">
      <c r="C15" s="101" t="s">
        <v>119</v>
      </c>
      <c r="D15" s="101" t="s">
        <v>70</v>
      </c>
      <c r="F15" s="93">
        <v>-4108.55</v>
      </c>
      <c r="G15" s="93">
        <v>-263.39999999999998</v>
      </c>
      <c r="H15" s="93">
        <v>-111.9</v>
      </c>
      <c r="I15" s="93">
        <v>-48.87</v>
      </c>
      <c r="J15" s="93">
        <v>-738.89</v>
      </c>
      <c r="K15" s="93">
        <v>-47.75</v>
      </c>
      <c r="L15" s="93">
        <v>0</v>
      </c>
      <c r="M15" s="93">
        <v>-418.8</v>
      </c>
      <c r="N15" s="93">
        <v>-350.5</v>
      </c>
      <c r="O15" s="93">
        <v>-1399.09</v>
      </c>
      <c r="P15" s="93">
        <v>-651.44000000000005</v>
      </c>
      <c r="Q15" s="93">
        <v>-77.91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">
      <c r="B16" t="s">
        <v>112</v>
      </c>
      <c r="C16" t="s">
        <v>70</v>
      </c>
      <c r="E16" s="89"/>
      <c r="F16" s="371">
        <v>-11217.37</v>
      </c>
      <c r="G16" s="90">
        <v>-766.38</v>
      </c>
      <c r="H16" s="90">
        <v>-325.58999999999997</v>
      </c>
      <c r="I16" s="90">
        <v>-142.16999999999999</v>
      </c>
      <c r="J16" s="90">
        <v>-1970.37</v>
      </c>
      <c r="K16" s="90">
        <v>-127.32</v>
      </c>
      <c r="L16" s="90">
        <v>0</v>
      </c>
      <c r="M16" s="90">
        <v>-1116.82</v>
      </c>
      <c r="N16" s="90">
        <v>-934.67</v>
      </c>
      <c r="O16" s="90">
        <v>-3730.88</v>
      </c>
      <c r="P16" s="90">
        <v>-1895.43</v>
      </c>
      <c r="Q16" s="90">
        <v>-207.74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">
      <c r="A17" s="458" t="s">
        <v>186</v>
      </c>
      <c r="B17" s="458" t="s">
        <v>70</v>
      </c>
      <c r="F17" s="458">
        <v>-11217.37</v>
      </c>
      <c r="G17" s="458">
        <v>-766.38</v>
      </c>
      <c r="H17" s="458">
        <v>-325.58999999999997</v>
      </c>
      <c r="I17" s="458">
        <v>-142.16999999999999</v>
      </c>
      <c r="J17" s="458">
        <v>-1970.37</v>
      </c>
      <c r="K17" s="458">
        <v>-127.32</v>
      </c>
      <c r="L17" s="458">
        <v>0</v>
      </c>
      <c r="M17" s="458">
        <v>-1116.82</v>
      </c>
      <c r="N17" s="458">
        <v>-934.67</v>
      </c>
      <c r="O17" s="458">
        <v>-3730.88</v>
      </c>
      <c r="P17" s="458">
        <v>-1895.43</v>
      </c>
      <c r="Q17" s="458">
        <v>-207.74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">
      <c r="E18" t="s">
        <v>72</v>
      </c>
      <c r="F18" s="90">
        <v>9215.69</v>
      </c>
      <c r="G18" s="90">
        <v>2007.44</v>
      </c>
      <c r="H18" s="90">
        <v>1133.3800000000001</v>
      </c>
      <c r="I18" s="90">
        <v>594.88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5482.6</v>
      </c>
      <c r="Q18" s="90">
        <v>0</v>
      </c>
      <c r="R18" s="90">
        <v>-2.61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">
      <c r="D20" t="s">
        <v>156</v>
      </c>
      <c r="E20" t="s">
        <v>70</v>
      </c>
      <c r="F20" s="90">
        <v>9215.69</v>
      </c>
      <c r="G20" s="90">
        <v>2007.44</v>
      </c>
      <c r="H20" s="90">
        <v>1133.3800000000001</v>
      </c>
      <c r="I20" s="90">
        <v>594.88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5482.6</v>
      </c>
      <c r="Q20" s="90">
        <v>0</v>
      </c>
      <c r="R20" s="90">
        <v>-2.61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">
      <c r="C21" s="286" t="s">
        <v>155</v>
      </c>
      <c r="D21" s="286" t="s">
        <v>70</v>
      </c>
      <c r="F21" s="230">
        <v>9215.69</v>
      </c>
      <c r="G21" s="230">
        <v>2007.44</v>
      </c>
      <c r="H21" s="230">
        <v>1133.3800000000001</v>
      </c>
      <c r="I21" s="230">
        <v>594.88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5482.6</v>
      </c>
      <c r="Q21" s="230">
        <v>0</v>
      </c>
      <c r="R21" s="230">
        <v>-2.61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">
      <c r="E28" s="89" t="s">
        <v>72</v>
      </c>
      <c r="F28" s="371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">
      <c r="E29" t="s">
        <v>81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">
      <c r="D30" t="s">
        <v>87</v>
      </c>
      <c r="E30" s="89" t="s">
        <v>70</v>
      </c>
      <c r="F30" s="371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">
      <c r="C31" s="101" t="s">
        <v>119</v>
      </c>
      <c r="D31" s="101" t="s">
        <v>70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">
      <c r="B32" s="378" t="s">
        <v>122</v>
      </c>
      <c r="C32" s="378" t="s">
        <v>70</v>
      </c>
      <c r="E32" s="376"/>
      <c r="F32" s="710">
        <v>9215.69</v>
      </c>
      <c r="G32" s="377">
        <v>2007.44</v>
      </c>
      <c r="H32" s="377">
        <v>1133.3800000000001</v>
      </c>
      <c r="I32" s="377">
        <v>594.88</v>
      </c>
      <c r="J32" s="377">
        <v>0</v>
      </c>
      <c r="K32" s="377">
        <v>0</v>
      </c>
      <c r="L32" s="377">
        <v>0</v>
      </c>
      <c r="M32" s="377">
        <v>0</v>
      </c>
      <c r="N32" s="377">
        <v>0</v>
      </c>
      <c r="O32" s="377">
        <v>0</v>
      </c>
      <c r="P32" s="377">
        <v>5482.6</v>
      </c>
      <c r="Q32" s="377">
        <v>0</v>
      </c>
      <c r="R32" s="377">
        <v>-2.61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">
      <c r="E33" s="89" t="s">
        <v>72</v>
      </c>
      <c r="F33" s="371">
        <v>15311909420.24</v>
      </c>
      <c r="G33" s="90">
        <v>801363799.01999998</v>
      </c>
      <c r="H33" s="90">
        <v>452181651.88999999</v>
      </c>
      <c r="I33" s="90">
        <v>237576696.13999999</v>
      </c>
      <c r="J33" s="90">
        <v>3742603268.77</v>
      </c>
      <c r="K33" s="90">
        <v>131872455.84</v>
      </c>
      <c r="L33" s="90">
        <v>16515975.939999999</v>
      </c>
      <c r="M33" s="90">
        <v>1160229364.5799999</v>
      </c>
      <c r="N33" s="90">
        <v>1113178184.5</v>
      </c>
      <c r="O33" s="90">
        <v>5269855575.6800003</v>
      </c>
      <c r="P33" s="90">
        <v>2171371078.0700002</v>
      </c>
      <c r="Q33" s="90">
        <v>215178442.49000001</v>
      </c>
      <c r="R33" s="90">
        <v>-17072.68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">
      <c r="E34" s="89" t="s">
        <v>81</v>
      </c>
      <c r="F34" s="90">
        <v>4090440.92</v>
      </c>
      <c r="G34" s="90">
        <v>281733.24</v>
      </c>
      <c r="H34" s="90">
        <v>147454.73000000001</v>
      </c>
      <c r="I34" s="90">
        <v>76550.039999999994</v>
      </c>
      <c r="J34" s="90">
        <v>796420.04</v>
      </c>
      <c r="K34" s="90">
        <v>36830.11</v>
      </c>
      <c r="L34" s="90">
        <v>516.30999999999995</v>
      </c>
      <c r="M34" s="90">
        <v>325736.63</v>
      </c>
      <c r="N34" s="90">
        <v>292484.52</v>
      </c>
      <c r="O34" s="90">
        <v>1313250.69</v>
      </c>
      <c r="P34" s="90">
        <v>758517.98</v>
      </c>
      <c r="Q34" s="90">
        <v>60116.44</v>
      </c>
      <c r="R34" s="90">
        <v>308.42</v>
      </c>
      <c r="S34" s="90">
        <v>0</v>
      </c>
      <c r="T34" s="90">
        <v>521.79999999999995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-0.03</v>
      </c>
    </row>
    <row r="35" spans="1:26" ht="12.75" customHeight="1" x14ac:dyDescent="0.2">
      <c r="D35" t="s">
        <v>156</v>
      </c>
      <c r="E35" s="89" t="s">
        <v>70</v>
      </c>
      <c r="F35" s="89">
        <v>15315999861.16</v>
      </c>
      <c r="G35" s="90">
        <v>801645532.25999999</v>
      </c>
      <c r="H35" s="90">
        <v>452329106.62</v>
      </c>
      <c r="I35" s="90">
        <v>237653246.18000001</v>
      </c>
      <c r="J35" s="90">
        <v>3743399688.8099999</v>
      </c>
      <c r="K35" s="90">
        <v>131909285.95</v>
      </c>
      <c r="L35" s="90">
        <v>16516492.25</v>
      </c>
      <c r="M35" s="90">
        <v>1160555101.21</v>
      </c>
      <c r="N35" s="90">
        <v>1113470669.02</v>
      </c>
      <c r="O35" s="90">
        <v>5271168826.3699999</v>
      </c>
      <c r="P35" s="90">
        <v>2172129596.0500002</v>
      </c>
      <c r="Q35" s="90">
        <v>215238558.93000001</v>
      </c>
      <c r="R35" s="90">
        <v>-16764.259999999998</v>
      </c>
      <c r="S35" s="90">
        <v>0</v>
      </c>
      <c r="T35" s="90">
        <v>521.79999999999995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-0.03</v>
      </c>
    </row>
    <row r="36" spans="1:26" s="286" customFormat="1" ht="12.75" customHeight="1" x14ac:dyDescent="0.2">
      <c r="C36" s="286" t="s">
        <v>155</v>
      </c>
      <c r="D36" s="286" t="s">
        <v>70</v>
      </c>
      <c r="E36" s="229"/>
      <c r="F36" s="229">
        <v>15315999861.16</v>
      </c>
      <c r="G36" s="230">
        <v>801645532.25999999</v>
      </c>
      <c r="H36" s="230">
        <v>452329106.62</v>
      </c>
      <c r="I36" s="230">
        <v>237653246.18000001</v>
      </c>
      <c r="J36" s="230">
        <v>3743399688.8099999</v>
      </c>
      <c r="K36" s="230">
        <v>131909285.95</v>
      </c>
      <c r="L36" s="230">
        <v>16516492.25</v>
      </c>
      <c r="M36" s="230">
        <v>1160555101.21</v>
      </c>
      <c r="N36" s="230">
        <v>1113470669.02</v>
      </c>
      <c r="O36" s="230">
        <v>5271168826.3699999</v>
      </c>
      <c r="P36" s="230">
        <v>2172129596.0500002</v>
      </c>
      <c r="Q36" s="230">
        <v>215238558.93000001</v>
      </c>
      <c r="R36" s="230">
        <v>-16764.259999999998</v>
      </c>
      <c r="S36" s="230">
        <v>0</v>
      </c>
      <c r="T36" s="230">
        <v>521.79999999999995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-0.03</v>
      </c>
    </row>
    <row r="37" spans="1:26" ht="12.75" customHeight="1" x14ac:dyDescent="0.2">
      <c r="E37" s="89" t="s">
        <v>72</v>
      </c>
      <c r="F37" s="89">
        <v>32531853.02</v>
      </c>
      <c r="G37" s="90">
        <v>2591273.87</v>
      </c>
      <c r="H37" s="90">
        <v>1444146.45</v>
      </c>
      <c r="I37" s="90">
        <v>758108.3</v>
      </c>
      <c r="J37" s="90">
        <v>6042578.8099999996</v>
      </c>
      <c r="K37" s="90">
        <v>205824.68</v>
      </c>
      <c r="L37" s="90">
        <v>0</v>
      </c>
      <c r="M37" s="90">
        <v>1805861.64</v>
      </c>
      <c r="N37" s="90">
        <v>2163115.5299999998</v>
      </c>
      <c r="O37" s="90">
        <v>10120979.77</v>
      </c>
      <c r="P37" s="90">
        <v>7063994.1200000001</v>
      </c>
      <c r="Q37" s="90">
        <v>335853.33</v>
      </c>
      <c r="R37" s="90">
        <v>116.52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">
      <c r="E38" s="89" t="s">
        <v>81</v>
      </c>
      <c r="F38" s="90">
        <v>70410.78</v>
      </c>
      <c r="G38" s="90">
        <v>4075.34</v>
      </c>
      <c r="H38" s="90">
        <v>2009.42</v>
      </c>
      <c r="I38" s="90">
        <v>1036.19</v>
      </c>
      <c r="J38" s="90">
        <v>14956.08</v>
      </c>
      <c r="K38" s="90">
        <v>634.41999999999996</v>
      </c>
      <c r="L38" s="90">
        <v>0</v>
      </c>
      <c r="M38" s="90">
        <v>5556.36</v>
      </c>
      <c r="N38" s="90">
        <v>5429.24</v>
      </c>
      <c r="O38" s="90">
        <v>24704.76</v>
      </c>
      <c r="P38" s="90">
        <v>10925.02</v>
      </c>
      <c r="Q38" s="90">
        <v>1033.93</v>
      </c>
      <c r="R38" s="90">
        <v>49.75</v>
      </c>
      <c r="S38" s="90">
        <v>0</v>
      </c>
      <c r="T38" s="90">
        <v>0.27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">
      <c r="D39" s="89" t="s">
        <v>82</v>
      </c>
      <c r="E39" s="89" t="s">
        <v>70</v>
      </c>
      <c r="F39" s="90">
        <v>32602263.800000001</v>
      </c>
      <c r="G39" s="90">
        <v>2595349.21</v>
      </c>
      <c r="H39" s="90">
        <v>1446155.87</v>
      </c>
      <c r="I39" s="90">
        <v>759144.49</v>
      </c>
      <c r="J39" s="90">
        <v>6057534.8899999997</v>
      </c>
      <c r="K39" s="90">
        <v>206459.1</v>
      </c>
      <c r="L39" s="90">
        <v>0</v>
      </c>
      <c r="M39" s="90">
        <v>1811418</v>
      </c>
      <c r="N39" s="90">
        <v>2168544.77</v>
      </c>
      <c r="O39" s="90">
        <v>10145684.529999999</v>
      </c>
      <c r="P39" s="90">
        <v>7074919.1399999997</v>
      </c>
      <c r="Q39" s="90">
        <v>336887.26</v>
      </c>
      <c r="R39" s="90">
        <v>166.27</v>
      </c>
      <c r="S39" s="90">
        <v>0</v>
      </c>
      <c r="T39" s="90">
        <v>0.27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">
      <c r="E40" s="89" t="s">
        <v>72</v>
      </c>
      <c r="F40" s="90">
        <v>142718615.59</v>
      </c>
      <c r="G40" s="90">
        <v>16226922.74</v>
      </c>
      <c r="H40" s="90">
        <v>8978685.1099999994</v>
      </c>
      <c r="I40" s="90">
        <v>4682686.13</v>
      </c>
      <c r="J40" s="90">
        <v>17356715.969999999</v>
      </c>
      <c r="K40" s="90">
        <v>717148.94</v>
      </c>
      <c r="L40" s="90">
        <v>4122672</v>
      </c>
      <c r="M40" s="90">
        <v>6303944.3300000001</v>
      </c>
      <c r="N40" s="90">
        <v>6897057.04</v>
      </c>
      <c r="O40" s="90">
        <v>32134628.149999999</v>
      </c>
      <c r="P40" s="90">
        <v>44127363.810000002</v>
      </c>
      <c r="Q40" s="90">
        <v>1171009.75</v>
      </c>
      <c r="R40" s="90">
        <v>-218.38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">
      <c r="E41" s="89" t="s">
        <v>81</v>
      </c>
      <c r="F41" s="90">
        <v>700269.72</v>
      </c>
      <c r="G41" s="90">
        <v>40116.699999999997</v>
      </c>
      <c r="H41" s="90">
        <v>19139.89</v>
      </c>
      <c r="I41" s="90">
        <v>10101.16</v>
      </c>
      <c r="J41" s="90">
        <v>153132.53</v>
      </c>
      <c r="K41" s="90">
        <v>7303.27</v>
      </c>
      <c r="L41" s="90">
        <v>0</v>
      </c>
      <c r="M41" s="90">
        <v>64029.13</v>
      </c>
      <c r="N41" s="90">
        <v>56965.87</v>
      </c>
      <c r="O41" s="90">
        <v>230260.01</v>
      </c>
      <c r="P41" s="90">
        <v>107283.27</v>
      </c>
      <c r="Q41" s="90">
        <v>11912.73</v>
      </c>
      <c r="R41" s="90">
        <v>27.3</v>
      </c>
      <c r="S41" s="90">
        <v>-2.3199999999999998</v>
      </c>
      <c r="T41" s="90">
        <v>0.18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">
      <c r="D42" s="89" t="s">
        <v>86</v>
      </c>
      <c r="E42" s="89" t="s">
        <v>70</v>
      </c>
      <c r="F42" s="90">
        <v>143418885.31</v>
      </c>
      <c r="G42" s="90">
        <v>16267039.439999999</v>
      </c>
      <c r="H42" s="90">
        <v>8997825</v>
      </c>
      <c r="I42" s="90">
        <v>4692787.29</v>
      </c>
      <c r="J42" s="90">
        <v>17509848.5</v>
      </c>
      <c r="K42" s="90">
        <v>724452.21</v>
      </c>
      <c r="L42" s="90">
        <v>4122672</v>
      </c>
      <c r="M42" s="90">
        <v>6367973.46</v>
      </c>
      <c r="N42" s="90">
        <v>6954022.9100000001</v>
      </c>
      <c r="O42" s="90">
        <v>32364888.16</v>
      </c>
      <c r="P42" s="90">
        <v>44234647.079999998</v>
      </c>
      <c r="Q42" s="90">
        <v>1182922.48</v>
      </c>
      <c r="R42" s="90">
        <v>-191.08</v>
      </c>
      <c r="S42" s="90">
        <v>-2.3199999999999998</v>
      </c>
      <c r="T42" s="90">
        <v>0.18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">
      <c r="C43" s="89"/>
      <c r="D43" s="89"/>
      <c r="E43" t="s">
        <v>72</v>
      </c>
      <c r="F43" s="90">
        <v>443299915.67000002</v>
      </c>
      <c r="G43" s="90">
        <v>77621929.120000005</v>
      </c>
      <c r="H43" s="90">
        <v>43739696.539999999</v>
      </c>
      <c r="I43" s="90">
        <v>23002911.079999998</v>
      </c>
      <c r="J43" s="90">
        <v>27531678.219999999</v>
      </c>
      <c r="K43" s="90">
        <v>700778.07</v>
      </c>
      <c r="L43" s="90">
        <v>4638006</v>
      </c>
      <c r="M43" s="90">
        <v>6178734.5199999996</v>
      </c>
      <c r="N43" s="90">
        <v>8275304.75</v>
      </c>
      <c r="O43" s="90">
        <v>38410843.780000001</v>
      </c>
      <c r="P43" s="90">
        <v>212057412.16999999</v>
      </c>
      <c r="Q43" s="90">
        <v>1143387.6599999999</v>
      </c>
      <c r="R43" s="90">
        <v>-766.24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">
      <c r="B44" s="89"/>
      <c r="C44" s="89"/>
      <c r="E44" t="s">
        <v>81</v>
      </c>
      <c r="F44" s="90">
        <v>613877.44999999995</v>
      </c>
      <c r="G44" s="90">
        <v>94058.21</v>
      </c>
      <c r="H44" s="90">
        <v>48331.99</v>
      </c>
      <c r="I44" s="90">
        <v>26441.83</v>
      </c>
      <c r="J44" s="90">
        <v>61251.38</v>
      </c>
      <c r="K44" s="90">
        <v>1855.3</v>
      </c>
      <c r="L44" s="90">
        <v>146.01</v>
      </c>
      <c r="M44" s="90">
        <v>16384.73</v>
      </c>
      <c r="N44" s="90">
        <v>20507.080000000002</v>
      </c>
      <c r="O44" s="90">
        <v>89016.81</v>
      </c>
      <c r="P44" s="90">
        <v>254956.79</v>
      </c>
      <c r="Q44" s="90">
        <v>3029.72</v>
      </c>
      <c r="R44" s="90">
        <v>10.11</v>
      </c>
      <c r="S44" s="90">
        <v>-2112.5100000000002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">
      <c r="C45" s="89"/>
      <c r="D45" s="89" t="s">
        <v>87</v>
      </c>
      <c r="E45" t="s">
        <v>70</v>
      </c>
      <c r="F45" s="90">
        <v>443913793.12</v>
      </c>
      <c r="G45" s="90">
        <v>77715987.329999998</v>
      </c>
      <c r="H45" s="90">
        <v>43788028.530000001</v>
      </c>
      <c r="I45" s="90">
        <v>23029352.91</v>
      </c>
      <c r="J45" s="90">
        <v>27592929.600000001</v>
      </c>
      <c r="K45" s="90">
        <v>702633.37</v>
      </c>
      <c r="L45" s="90">
        <v>4638152.01</v>
      </c>
      <c r="M45" s="90">
        <v>6195119.25</v>
      </c>
      <c r="N45" s="90">
        <v>8295811.8300000001</v>
      </c>
      <c r="O45" s="90">
        <v>38499860.590000004</v>
      </c>
      <c r="P45" s="90">
        <v>212312368.96000001</v>
      </c>
      <c r="Q45" s="90">
        <v>1146417.3799999999</v>
      </c>
      <c r="R45" s="90">
        <v>-756.13</v>
      </c>
      <c r="S45" s="90">
        <v>-2112.5100000000002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">
      <c r="C46" s="101" t="s">
        <v>119</v>
      </c>
      <c r="D46" s="101" t="s">
        <v>70</v>
      </c>
      <c r="F46" s="93">
        <v>619934942.23000002</v>
      </c>
      <c r="G46" s="93">
        <v>96578375.980000004</v>
      </c>
      <c r="H46" s="93">
        <v>54232009.399999999</v>
      </c>
      <c r="I46" s="93">
        <v>28481284.690000001</v>
      </c>
      <c r="J46" s="93">
        <v>51160312.990000002</v>
      </c>
      <c r="K46" s="93">
        <v>1633544.68</v>
      </c>
      <c r="L46" s="93">
        <v>8760824.0099999998</v>
      </c>
      <c r="M46" s="93">
        <v>14374510.710000001</v>
      </c>
      <c r="N46" s="93">
        <v>17418379.510000002</v>
      </c>
      <c r="O46" s="93">
        <v>81010433.280000001</v>
      </c>
      <c r="P46" s="93">
        <v>263621935.18000001</v>
      </c>
      <c r="Q46" s="93">
        <v>2666227.12</v>
      </c>
      <c r="R46" s="93">
        <v>-780.94</v>
      </c>
      <c r="S46" s="93">
        <v>-2114.83</v>
      </c>
      <c r="T46" s="93">
        <v>0.45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">
      <c r="B47" s="98" t="s">
        <v>112</v>
      </c>
      <c r="C47" s="98" t="s">
        <v>70</v>
      </c>
      <c r="F47" s="100">
        <v>15935934803.389999</v>
      </c>
      <c r="G47" s="100">
        <v>898223908.24000001</v>
      </c>
      <c r="H47" s="100">
        <v>506561116.01999998</v>
      </c>
      <c r="I47" s="100">
        <v>266134530.87</v>
      </c>
      <c r="J47" s="100">
        <v>3794560001.8000002</v>
      </c>
      <c r="K47" s="100">
        <v>133542830.63</v>
      </c>
      <c r="L47" s="100">
        <v>25277316.260000002</v>
      </c>
      <c r="M47" s="100">
        <v>1174929611.9200001</v>
      </c>
      <c r="N47" s="100">
        <v>1130889048.53</v>
      </c>
      <c r="O47" s="100">
        <v>5352179259.6499996</v>
      </c>
      <c r="P47" s="100">
        <v>2435751531.23</v>
      </c>
      <c r="Q47" s="100">
        <v>217904786.05000001</v>
      </c>
      <c r="R47" s="100">
        <v>-17545.2</v>
      </c>
      <c r="S47" s="100">
        <v>-2114.83</v>
      </c>
      <c r="T47" s="100">
        <v>522.25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-0.03</v>
      </c>
    </row>
    <row r="48" spans="1:26" ht="12.6" customHeight="1" x14ac:dyDescent="0.2">
      <c r="A48" t="s">
        <v>78</v>
      </c>
      <c r="B48" t="s">
        <v>70</v>
      </c>
      <c r="E48" s="89"/>
      <c r="F48" s="89">
        <v>15935944019.08</v>
      </c>
      <c r="G48" s="90">
        <v>898225915.67999995</v>
      </c>
      <c r="H48" s="90">
        <v>506562249.39999998</v>
      </c>
      <c r="I48" s="90">
        <v>266135125.75</v>
      </c>
      <c r="J48" s="90">
        <v>3794560001.8000002</v>
      </c>
      <c r="K48" s="90">
        <v>133542830.63</v>
      </c>
      <c r="L48" s="90">
        <v>25277316.260000002</v>
      </c>
      <c r="M48" s="90">
        <v>1174929611.9200001</v>
      </c>
      <c r="N48" s="90">
        <v>1130889048.53</v>
      </c>
      <c r="O48" s="90">
        <v>5352179259.6499996</v>
      </c>
      <c r="P48" s="90">
        <v>2435757013.8299999</v>
      </c>
      <c r="Q48" s="90">
        <v>217904786.05000001</v>
      </c>
      <c r="R48" s="90">
        <v>-17547.810000000001</v>
      </c>
      <c r="S48" s="90">
        <v>-2114.83</v>
      </c>
      <c r="T48" s="90">
        <v>522.25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-0.03</v>
      </c>
    </row>
    <row r="49" spans="2:26" x14ac:dyDescent="0.2">
      <c r="E49" t="s">
        <v>73</v>
      </c>
      <c r="F49" s="90">
        <v>40364.31</v>
      </c>
      <c r="G49" s="90">
        <v>1974.08</v>
      </c>
      <c r="H49" s="90">
        <v>1114.56</v>
      </c>
      <c r="I49" s="90">
        <v>585</v>
      </c>
      <c r="J49" s="90">
        <v>9457.65</v>
      </c>
      <c r="K49" s="90">
        <v>361.03</v>
      </c>
      <c r="L49" s="90">
        <v>0</v>
      </c>
      <c r="M49" s="90">
        <v>3166.94</v>
      </c>
      <c r="N49" s="90">
        <v>3091.65</v>
      </c>
      <c r="O49" s="90">
        <v>14632.85</v>
      </c>
      <c r="P49" s="90">
        <v>5391.5</v>
      </c>
      <c r="Q49" s="90">
        <v>589.04999999999995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">
      <c r="D50" t="s">
        <v>156</v>
      </c>
      <c r="E50" t="s">
        <v>70</v>
      </c>
      <c r="F50" s="90">
        <v>40364.31</v>
      </c>
      <c r="G50" s="90">
        <v>1974.08</v>
      </c>
      <c r="H50" s="90">
        <v>1114.56</v>
      </c>
      <c r="I50" s="90">
        <v>585</v>
      </c>
      <c r="J50" s="90">
        <v>9457.65</v>
      </c>
      <c r="K50" s="90">
        <v>361.03</v>
      </c>
      <c r="L50" s="90">
        <v>0</v>
      </c>
      <c r="M50" s="90">
        <v>3166.94</v>
      </c>
      <c r="N50" s="90">
        <v>3091.65</v>
      </c>
      <c r="O50" s="90">
        <v>14632.85</v>
      </c>
      <c r="P50" s="90">
        <v>5391.5</v>
      </c>
      <c r="Q50" s="90">
        <v>589.04999999999995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">
      <c r="C51" s="286" t="s">
        <v>155</v>
      </c>
      <c r="D51" s="286" t="s">
        <v>70</v>
      </c>
      <c r="E51" s="229"/>
      <c r="F51" s="229">
        <v>40364.31</v>
      </c>
      <c r="G51" s="230">
        <v>1974.08</v>
      </c>
      <c r="H51" s="230">
        <v>1114.56</v>
      </c>
      <c r="I51" s="230">
        <v>585</v>
      </c>
      <c r="J51" s="230">
        <v>9457.65</v>
      </c>
      <c r="K51" s="230">
        <v>361.03</v>
      </c>
      <c r="L51" s="230">
        <v>0</v>
      </c>
      <c r="M51" s="230">
        <v>3166.94</v>
      </c>
      <c r="N51" s="230">
        <v>3091.65</v>
      </c>
      <c r="O51" s="230">
        <v>14632.85</v>
      </c>
      <c r="P51" s="230">
        <v>5391.5</v>
      </c>
      <c r="Q51" s="230">
        <v>589.04999999999995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">
      <c r="E56" t="s">
        <v>73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">
      <c r="D57" t="s">
        <v>87</v>
      </c>
      <c r="E57" t="s">
        <v>70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">
      <c r="C58" s="101" t="s">
        <v>119</v>
      </c>
      <c r="D58" s="101" t="s">
        <v>70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">
      <c r="B59" s="378" t="s">
        <v>122</v>
      </c>
      <c r="C59" s="378" t="s">
        <v>70</v>
      </c>
      <c r="E59" s="376"/>
      <c r="F59" s="710">
        <v>40364.31</v>
      </c>
      <c r="G59" s="377">
        <v>1974.08</v>
      </c>
      <c r="H59" s="377">
        <v>1114.56</v>
      </c>
      <c r="I59" s="377">
        <v>585</v>
      </c>
      <c r="J59" s="377">
        <v>9457.65</v>
      </c>
      <c r="K59" s="377">
        <v>361.03</v>
      </c>
      <c r="L59" s="377">
        <v>0</v>
      </c>
      <c r="M59" s="377">
        <v>3166.94</v>
      </c>
      <c r="N59" s="377">
        <v>3091.65</v>
      </c>
      <c r="O59" s="377">
        <v>14632.85</v>
      </c>
      <c r="P59" s="377">
        <v>5391.5</v>
      </c>
      <c r="Q59" s="377">
        <v>589.04999999999995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">
      <c r="E60" s="89" t="s">
        <v>73</v>
      </c>
      <c r="F60" s="384">
        <v>1261122890.4100001</v>
      </c>
      <c r="G60" s="90">
        <v>145017642.28999999</v>
      </c>
      <c r="H60" s="90">
        <v>81882191.680000007</v>
      </c>
      <c r="I60" s="90">
        <v>42987613.009999998</v>
      </c>
      <c r="J60" s="90">
        <v>181283966.80000001</v>
      </c>
      <c r="K60" s="90">
        <v>6932108.75</v>
      </c>
      <c r="L60" s="90">
        <v>0</v>
      </c>
      <c r="M60" s="90">
        <v>59431479.549999997</v>
      </c>
      <c r="N60" s="90">
        <v>58073052.670000002</v>
      </c>
      <c r="O60" s="90">
        <v>274861035.99000001</v>
      </c>
      <c r="P60" s="90">
        <v>399343193.25</v>
      </c>
      <c r="Q60" s="90">
        <v>11310606.42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">
      <c r="D61" t="s">
        <v>156</v>
      </c>
      <c r="E61" s="89" t="s">
        <v>70</v>
      </c>
      <c r="F61" s="384">
        <v>1261122890.4100001</v>
      </c>
      <c r="G61" s="90">
        <v>145017642.28999999</v>
      </c>
      <c r="H61" s="90">
        <v>81882191.680000007</v>
      </c>
      <c r="I61" s="90">
        <v>42987613.009999998</v>
      </c>
      <c r="J61" s="90">
        <v>181283966.80000001</v>
      </c>
      <c r="K61" s="90">
        <v>6932108.75</v>
      </c>
      <c r="L61" s="90">
        <v>0</v>
      </c>
      <c r="M61" s="90">
        <v>59431479.549999997</v>
      </c>
      <c r="N61" s="90">
        <v>58073052.670000002</v>
      </c>
      <c r="O61" s="90">
        <v>274861035.99000001</v>
      </c>
      <c r="P61" s="90">
        <v>399343193.25</v>
      </c>
      <c r="Q61" s="90">
        <v>11310606.42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">
      <c r="C62" s="286" t="s">
        <v>155</v>
      </c>
      <c r="D62" s="286" t="s">
        <v>70</v>
      </c>
      <c r="E62" s="229"/>
      <c r="F62" s="229">
        <v>1261122890.4100001</v>
      </c>
      <c r="G62" s="230">
        <v>145017642.28999999</v>
      </c>
      <c r="H62" s="230">
        <v>81882191.680000007</v>
      </c>
      <c r="I62" s="230">
        <v>42987613.009999998</v>
      </c>
      <c r="J62" s="230">
        <v>181283966.80000001</v>
      </c>
      <c r="K62" s="230">
        <v>6932108.75</v>
      </c>
      <c r="L62" s="230">
        <v>0</v>
      </c>
      <c r="M62" s="230">
        <v>59431479.549999997</v>
      </c>
      <c r="N62" s="230">
        <v>58073052.670000002</v>
      </c>
      <c r="O62" s="230">
        <v>274861035.99000001</v>
      </c>
      <c r="P62" s="230">
        <v>399343193.25</v>
      </c>
      <c r="Q62" s="230">
        <v>11310606.42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">
      <c r="D63" s="89"/>
      <c r="E63" s="89" t="s">
        <v>73</v>
      </c>
      <c r="F63" s="90">
        <v>6082566.2000000002</v>
      </c>
      <c r="G63" s="90">
        <v>1209162.83</v>
      </c>
      <c r="H63" s="90">
        <v>679361.72</v>
      </c>
      <c r="I63" s="90">
        <v>354481.28</v>
      </c>
      <c r="J63" s="90">
        <v>358187.27</v>
      </c>
      <c r="K63" s="90">
        <v>-4705.5600000000004</v>
      </c>
      <c r="L63" s="90">
        <v>0</v>
      </c>
      <c r="M63" s="90">
        <v>-42042.77</v>
      </c>
      <c r="N63" s="90">
        <v>41264.06</v>
      </c>
      <c r="O63" s="90">
        <v>193736.04</v>
      </c>
      <c r="P63" s="90">
        <v>3300638.3</v>
      </c>
      <c r="Q63" s="90">
        <v>-7516.97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">
      <c r="D64" t="s">
        <v>82</v>
      </c>
      <c r="E64" s="89" t="s">
        <v>70</v>
      </c>
      <c r="F64" s="90">
        <v>6082566.2000000002</v>
      </c>
      <c r="G64" s="90">
        <v>1209162.83</v>
      </c>
      <c r="H64" s="90">
        <v>679361.72</v>
      </c>
      <c r="I64" s="90">
        <v>354481.28</v>
      </c>
      <c r="J64" s="90">
        <v>358187.27</v>
      </c>
      <c r="K64" s="90">
        <v>-4705.5600000000004</v>
      </c>
      <c r="L64" s="90">
        <v>0</v>
      </c>
      <c r="M64" s="90">
        <v>-42042.77</v>
      </c>
      <c r="N64" s="90">
        <v>41264.06</v>
      </c>
      <c r="O64" s="90">
        <v>193736.04</v>
      </c>
      <c r="P64" s="90">
        <v>3300638.3</v>
      </c>
      <c r="Q64" s="90">
        <v>-7516.97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">
      <c r="D65" s="89"/>
      <c r="E65" s="89" t="s">
        <v>73</v>
      </c>
      <c r="F65" s="90">
        <v>29193363.239999998</v>
      </c>
      <c r="G65" s="90">
        <v>5503604.9000000004</v>
      </c>
      <c r="H65" s="90">
        <v>3036599.6</v>
      </c>
      <c r="I65" s="90">
        <v>1564692.21</v>
      </c>
      <c r="J65" s="90">
        <v>1181412.52</v>
      </c>
      <c r="K65" s="90">
        <v>26083.53</v>
      </c>
      <c r="L65" s="90">
        <v>0</v>
      </c>
      <c r="M65" s="90">
        <v>217934.27</v>
      </c>
      <c r="N65" s="90">
        <v>473929.76</v>
      </c>
      <c r="O65" s="90">
        <v>2182082.4900000002</v>
      </c>
      <c r="P65" s="90">
        <v>14964294.189999999</v>
      </c>
      <c r="Q65" s="90">
        <v>42729.77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">
      <c r="D66" t="s">
        <v>86</v>
      </c>
      <c r="E66" s="89" t="s">
        <v>70</v>
      </c>
      <c r="F66" s="90">
        <v>29193363.239999998</v>
      </c>
      <c r="G66" s="90">
        <v>5503604.9000000004</v>
      </c>
      <c r="H66" s="90">
        <v>3036599.6</v>
      </c>
      <c r="I66" s="90">
        <v>1564692.21</v>
      </c>
      <c r="J66" s="90">
        <v>1181412.52</v>
      </c>
      <c r="K66" s="90">
        <v>26083.53</v>
      </c>
      <c r="L66" s="90">
        <v>0</v>
      </c>
      <c r="M66" s="90">
        <v>217934.27</v>
      </c>
      <c r="N66" s="90">
        <v>473929.76</v>
      </c>
      <c r="O66" s="90">
        <v>2182082.4900000002</v>
      </c>
      <c r="P66" s="90">
        <v>14964294.189999999</v>
      </c>
      <c r="Q66" s="90">
        <v>42729.77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">
      <c r="D67" s="89"/>
      <c r="E67" s="89" t="s">
        <v>73</v>
      </c>
      <c r="F67" s="90">
        <v>132748470.25</v>
      </c>
      <c r="G67" s="90">
        <v>23581040.41</v>
      </c>
      <c r="H67" s="90">
        <v>13134900.380000001</v>
      </c>
      <c r="I67" s="90">
        <v>6932117.9699999997</v>
      </c>
      <c r="J67" s="90">
        <v>8421230.2699999996</v>
      </c>
      <c r="K67" s="90">
        <v>204893.95</v>
      </c>
      <c r="L67" s="90">
        <v>0</v>
      </c>
      <c r="M67" s="90">
        <v>1822856.43</v>
      </c>
      <c r="N67" s="90">
        <v>2503084.31</v>
      </c>
      <c r="O67" s="90">
        <v>11686632.25</v>
      </c>
      <c r="P67" s="90">
        <v>64127779.719999999</v>
      </c>
      <c r="Q67" s="90">
        <v>333934.56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">
      <c r="C68" s="89"/>
      <c r="D68" s="89" t="s">
        <v>87</v>
      </c>
      <c r="E68" t="s">
        <v>70</v>
      </c>
      <c r="F68" s="90">
        <v>132748470.25</v>
      </c>
      <c r="G68" s="90">
        <v>23581040.41</v>
      </c>
      <c r="H68" s="90">
        <v>13134900.380000001</v>
      </c>
      <c r="I68" s="90">
        <v>6932117.9699999997</v>
      </c>
      <c r="J68" s="90">
        <v>8421230.2699999996</v>
      </c>
      <c r="K68" s="90">
        <v>204893.95</v>
      </c>
      <c r="L68" s="90">
        <v>0</v>
      </c>
      <c r="M68" s="90">
        <v>1822856.43</v>
      </c>
      <c r="N68" s="90">
        <v>2503084.31</v>
      </c>
      <c r="O68" s="90">
        <v>11686632.25</v>
      </c>
      <c r="P68" s="90">
        <v>64127779.719999999</v>
      </c>
      <c r="Q68" s="90">
        <v>333934.56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">
      <c r="C69" s="101" t="s">
        <v>119</v>
      </c>
      <c r="D69" s="101" t="s">
        <v>70</v>
      </c>
      <c r="F69" s="93">
        <v>168024399.69</v>
      </c>
      <c r="G69" s="93">
        <v>30293808.140000001</v>
      </c>
      <c r="H69" s="93">
        <v>16850861.699999999</v>
      </c>
      <c r="I69" s="93">
        <v>8851291.4600000009</v>
      </c>
      <c r="J69" s="93">
        <v>9960830.0600000005</v>
      </c>
      <c r="K69" s="93">
        <v>226271.92</v>
      </c>
      <c r="L69" s="93">
        <v>0</v>
      </c>
      <c r="M69" s="93">
        <v>1998747.93</v>
      </c>
      <c r="N69" s="93">
        <v>3018278.13</v>
      </c>
      <c r="O69" s="93">
        <v>14062450.779999999</v>
      </c>
      <c r="P69" s="93">
        <v>82392712.209999993</v>
      </c>
      <c r="Q69" s="93">
        <v>369147.36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">
      <c r="B70" s="98" t="s">
        <v>112</v>
      </c>
      <c r="C70" s="98" t="s">
        <v>70</v>
      </c>
      <c r="F70" s="100">
        <v>1429147290.0999999</v>
      </c>
      <c r="G70" s="100">
        <v>175311450.43000001</v>
      </c>
      <c r="H70" s="100">
        <v>98733053.379999995</v>
      </c>
      <c r="I70" s="100">
        <v>51838904.469999999</v>
      </c>
      <c r="J70" s="100">
        <v>191244796.86000001</v>
      </c>
      <c r="K70" s="100">
        <v>7158380.6699999999</v>
      </c>
      <c r="L70" s="100">
        <v>0</v>
      </c>
      <c r="M70" s="100">
        <v>61430227.479999997</v>
      </c>
      <c r="N70" s="100">
        <v>61091330.799999997</v>
      </c>
      <c r="O70" s="100">
        <v>288923486.76999998</v>
      </c>
      <c r="P70" s="100">
        <v>481735905.45999998</v>
      </c>
      <c r="Q70" s="100">
        <v>11679753.779999999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">
      <c r="A71" s="89" t="s">
        <v>79</v>
      </c>
      <c r="B71" t="s">
        <v>70</v>
      </c>
      <c r="F71" s="90">
        <v>1429187654.4100001</v>
      </c>
      <c r="G71" s="90">
        <v>175313424.50999999</v>
      </c>
      <c r="H71" s="90">
        <v>98734167.939999998</v>
      </c>
      <c r="I71" s="90">
        <v>51839489.469999999</v>
      </c>
      <c r="J71" s="90">
        <v>191254254.50999999</v>
      </c>
      <c r="K71" s="90">
        <v>7158741.7000000002</v>
      </c>
      <c r="L71" s="90">
        <v>0</v>
      </c>
      <c r="M71" s="90">
        <v>61433394.420000002</v>
      </c>
      <c r="N71" s="90">
        <v>61094422.450000003</v>
      </c>
      <c r="O71" s="90">
        <v>288938119.62</v>
      </c>
      <c r="P71" s="90">
        <v>481741296.95999998</v>
      </c>
      <c r="Q71" s="90">
        <v>11680342.83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">
      <c r="A72" s="89" t="s">
        <v>70</v>
      </c>
      <c r="F72" s="90">
        <v>17365120456.119999</v>
      </c>
      <c r="G72" s="90">
        <v>1073538573.8099999</v>
      </c>
      <c r="H72" s="90">
        <v>605296091.75</v>
      </c>
      <c r="I72" s="90">
        <v>317974473.05000001</v>
      </c>
      <c r="J72" s="90">
        <v>3985812285.9400001</v>
      </c>
      <c r="K72" s="90">
        <v>140701445.00999999</v>
      </c>
      <c r="L72" s="90">
        <v>25277316.260000002</v>
      </c>
      <c r="M72" s="90">
        <v>1236361889.52</v>
      </c>
      <c r="N72" s="90">
        <v>1191982536.3099999</v>
      </c>
      <c r="O72" s="90">
        <v>5641113648.3900003</v>
      </c>
      <c r="P72" s="90">
        <v>2917496415.3600001</v>
      </c>
      <c r="Q72" s="90">
        <v>229584921.13999999</v>
      </c>
      <c r="R72" s="90">
        <v>-17547.810000000001</v>
      </c>
      <c r="S72" s="90">
        <v>-2114.83</v>
      </c>
      <c r="T72">
        <v>522.25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-0.03</v>
      </c>
    </row>
    <row r="73" spans="1:42" ht="12.75" customHeight="1" x14ac:dyDescent="0.2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">
      <c r="C75" s="778" t="s">
        <v>2</v>
      </c>
      <c r="D75" s="775" t="s">
        <v>132</v>
      </c>
      <c r="E75" s="98" t="s">
        <v>70</v>
      </c>
      <c r="F75" s="100">
        <f>F47+F70+F16-L16-L47</f>
        <v>17339793559.860001</v>
      </c>
      <c r="G75" s="100">
        <f>G47+G16</f>
        <v>898223141.86000001</v>
      </c>
      <c r="H75" s="100">
        <f t="shared" ref="H75:AP75" si="0">H47+H16</f>
        <v>506560790.43000001</v>
      </c>
      <c r="I75" s="100">
        <f t="shared" si="0"/>
        <v>266134388.70000002</v>
      </c>
      <c r="J75" s="100">
        <f t="shared" si="0"/>
        <v>3794558031.4300003</v>
      </c>
      <c r="K75" s="100">
        <f t="shared" si="0"/>
        <v>133542703.31</v>
      </c>
      <c r="L75" s="100">
        <f t="shared" si="0"/>
        <v>25277316.260000002</v>
      </c>
      <c r="M75" s="100">
        <f t="shared" si="0"/>
        <v>1174928495.1000001</v>
      </c>
      <c r="N75" s="100">
        <f t="shared" si="0"/>
        <v>1130888113.8599999</v>
      </c>
      <c r="O75" s="100">
        <f t="shared" si="0"/>
        <v>5352175528.7699995</v>
      </c>
      <c r="P75" s="100">
        <f t="shared" si="0"/>
        <v>2435749635.8000002</v>
      </c>
      <c r="Q75" s="100">
        <f t="shared" si="0"/>
        <v>217904578.31</v>
      </c>
      <c r="R75" s="100">
        <f t="shared" si="0"/>
        <v>-17545.2</v>
      </c>
      <c r="S75" s="100">
        <f t="shared" si="0"/>
        <v>-2114.83</v>
      </c>
      <c r="T75" s="100">
        <f t="shared" si="0"/>
        <v>522.25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-0.03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">
      <c r="C76" s="778"/>
      <c r="D76" s="775"/>
      <c r="E76" s="98" t="s">
        <v>73</v>
      </c>
      <c r="F76" s="100">
        <f>F70</f>
        <v>1429147290.0999999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">
      <c r="C77" s="778"/>
      <c r="D77" s="775" t="s">
        <v>133</v>
      </c>
      <c r="E77" s="233" t="s">
        <v>70</v>
      </c>
      <c r="F77" s="234">
        <f>F59+F32-L32</f>
        <v>49580</v>
      </c>
      <c r="G77" s="234">
        <f>G32</f>
        <v>2007.44</v>
      </c>
      <c r="H77" s="234">
        <f t="shared" ref="H77:AP77" si="1">H32</f>
        <v>1133.3800000000001</v>
      </c>
      <c r="I77" s="234">
        <f t="shared" si="1"/>
        <v>594.88</v>
      </c>
      <c r="J77" s="234">
        <f t="shared" si="1"/>
        <v>0</v>
      </c>
      <c r="K77" s="234">
        <f t="shared" si="1"/>
        <v>0</v>
      </c>
      <c r="L77" s="234">
        <f t="shared" si="1"/>
        <v>0</v>
      </c>
      <c r="M77" s="234">
        <f t="shared" si="1"/>
        <v>0</v>
      </c>
      <c r="N77" s="234">
        <f t="shared" si="1"/>
        <v>0</v>
      </c>
      <c r="O77" s="234">
        <f t="shared" si="1"/>
        <v>0</v>
      </c>
      <c r="P77" s="234">
        <f t="shared" si="1"/>
        <v>5482.6</v>
      </c>
      <c r="Q77" s="234">
        <f t="shared" si="1"/>
        <v>0</v>
      </c>
      <c r="R77" s="234">
        <f t="shared" si="1"/>
        <v>-2.61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">
      <c r="C78" s="778"/>
      <c r="D78" s="775"/>
      <c r="E78" s="233" t="s">
        <v>73</v>
      </c>
      <c r="F78" s="234">
        <f>F59</f>
        <v>40364.31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">
      <c r="C80" s="778" t="s">
        <v>160</v>
      </c>
      <c r="D80" s="775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">
      <c r="C81" s="778"/>
      <c r="D81" s="775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">
      <c r="C82" s="778"/>
      <c r="D82" s="775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">
      <c r="C83" s="778"/>
      <c r="D83" s="775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">
      <c r="C85" s="778" t="s">
        <v>155</v>
      </c>
      <c r="D85" s="775" t="s">
        <v>132</v>
      </c>
      <c r="E85" s="221" t="s">
        <v>70</v>
      </c>
      <c r="F85" s="222">
        <f>F62+F36+F8-L8-L36</f>
        <v>16560599150.5</v>
      </c>
      <c r="G85" s="222">
        <f>G36+G8</f>
        <v>801645029.27999997</v>
      </c>
      <c r="H85" s="222">
        <f t="shared" ref="H85:AP85" si="2">H36+H8</f>
        <v>452328892.93000001</v>
      </c>
      <c r="I85" s="222">
        <f t="shared" si="2"/>
        <v>237653152.88</v>
      </c>
      <c r="J85" s="222">
        <f t="shared" si="2"/>
        <v>3743398457.3299999</v>
      </c>
      <c r="K85" s="222">
        <f t="shared" si="2"/>
        <v>131909206.38000001</v>
      </c>
      <c r="L85" s="222">
        <f t="shared" si="2"/>
        <v>16516492.25</v>
      </c>
      <c r="M85" s="222">
        <f t="shared" si="2"/>
        <v>1160554403.1900001</v>
      </c>
      <c r="N85" s="222">
        <f t="shared" si="2"/>
        <v>1113470084.8499999</v>
      </c>
      <c r="O85" s="222">
        <f t="shared" si="2"/>
        <v>5271166494.5799999</v>
      </c>
      <c r="P85" s="222">
        <f t="shared" si="2"/>
        <v>2172128352.0600004</v>
      </c>
      <c r="Q85" s="222">
        <f t="shared" si="2"/>
        <v>215238429.09999999</v>
      </c>
      <c r="R85" s="222">
        <f t="shared" si="2"/>
        <v>-16764.259999999998</v>
      </c>
      <c r="S85" s="222">
        <f t="shared" si="2"/>
        <v>0</v>
      </c>
      <c r="T85" s="222">
        <f t="shared" si="2"/>
        <v>521.79999999999995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-0.03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">
      <c r="C86" s="778"/>
      <c r="D86" s="775"/>
      <c r="E86" s="221" t="s">
        <v>73</v>
      </c>
      <c r="F86" s="222">
        <f>F62</f>
        <v>1261122890.4100001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">
      <c r="B87" s="150"/>
      <c r="C87" s="778"/>
      <c r="D87" s="775" t="s">
        <v>133</v>
      </c>
      <c r="E87" s="229" t="s">
        <v>70</v>
      </c>
      <c r="F87" s="230">
        <f>F51+F21-L21</f>
        <v>49580</v>
      </c>
      <c r="G87" s="230">
        <f>G21</f>
        <v>2007.44</v>
      </c>
      <c r="H87" s="230">
        <f t="shared" ref="H87:AP87" si="3">H21</f>
        <v>1133.3800000000001</v>
      </c>
      <c r="I87" s="230">
        <f t="shared" si="3"/>
        <v>594.88</v>
      </c>
      <c r="J87" s="230">
        <f t="shared" si="3"/>
        <v>0</v>
      </c>
      <c r="K87" s="230">
        <f t="shared" si="3"/>
        <v>0</v>
      </c>
      <c r="L87" s="230">
        <f t="shared" si="3"/>
        <v>0</v>
      </c>
      <c r="M87" s="230">
        <f t="shared" si="3"/>
        <v>0</v>
      </c>
      <c r="N87" s="230">
        <f t="shared" si="3"/>
        <v>0</v>
      </c>
      <c r="O87" s="230">
        <f t="shared" si="3"/>
        <v>0</v>
      </c>
      <c r="P87" s="230">
        <f t="shared" si="3"/>
        <v>5482.6</v>
      </c>
      <c r="Q87" s="230">
        <f t="shared" si="3"/>
        <v>0</v>
      </c>
      <c r="R87" s="230">
        <f t="shared" si="3"/>
        <v>-2.61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">
      <c r="B88" s="150"/>
      <c r="C88" s="778"/>
      <c r="D88" s="775"/>
      <c r="E88" s="229" t="s">
        <v>73</v>
      </c>
      <c r="F88" s="230">
        <f>F51</f>
        <v>40364.31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">
      <c r="C90" s="776" t="s">
        <v>326</v>
      </c>
      <c r="D90" s="775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">
      <c r="C91" s="776"/>
      <c r="D91" s="775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">
      <c r="C92" s="776"/>
      <c r="D92" s="775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">
      <c r="C93" s="776"/>
      <c r="D93" s="775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">
      <c r="C95" s="778" t="s">
        <v>119</v>
      </c>
      <c r="D95" s="775" t="s">
        <v>132</v>
      </c>
      <c r="E95" s="101" t="s">
        <v>70</v>
      </c>
      <c r="F95" s="93">
        <f>F69+F46+F15-L15-L46</f>
        <v>779194409.36000013</v>
      </c>
      <c r="G95" s="93">
        <f>G46+G15</f>
        <v>96578112.579999998</v>
      </c>
      <c r="H95" s="93">
        <f t="shared" ref="H95:AP95" si="4">H46+H15</f>
        <v>54231897.5</v>
      </c>
      <c r="I95" s="93">
        <f t="shared" si="4"/>
        <v>28481235.82</v>
      </c>
      <c r="J95" s="93">
        <f t="shared" si="4"/>
        <v>51159574.100000001</v>
      </c>
      <c r="K95" s="93">
        <f t="shared" si="4"/>
        <v>1633496.93</v>
      </c>
      <c r="L95" s="93">
        <f t="shared" si="4"/>
        <v>8760824.0099999998</v>
      </c>
      <c r="M95" s="93">
        <f t="shared" si="4"/>
        <v>14374091.91</v>
      </c>
      <c r="N95" s="93">
        <f t="shared" si="4"/>
        <v>17418029.010000002</v>
      </c>
      <c r="O95" s="93">
        <f t="shared" si="4"/>
        <v>81009034.189999998</v>
      </c>
      <c r="P95" s="93">
        <f t="shared" si="4"/>
        <v>263621283.74000001</v>
      </c>
      <c r="Q95" s="93">
        <f t="shared" si="4"/>
        <v>2666149.21</v>
      </c>
      <c r="R95" s="93">
        <f t="shared" si="4"/>
        <v>-780.94</v>
      </c>
      <c r="S95" s="93">
        <f t="shared" si="4"/>
        <v>-2114.83</v>
      </c>
      <c r="T95" s="93">
        <f t="shared" si="4"/>
        <v>0.45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">
      <c r="C96" s="778"/>
      <c r="D96" s="775"/>
      <c r="E96" s="101" t="s">
        <v>73</v>
      </c>
      <c r="F96" s="93">
        <f>F69</f>
        <v>168024399.69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">
      <c r="C97" s="778"/>
      <c r="D97" s="775" t="s">
        <v>133</v>
      </c>
      <c r="E97" s="235" t="s">
        <v>70</v>
      </c>
      <c r="F97" s="236">
        <f>F58+F31-L31</f>
        <v>0</v>
      </c>
      <c r="G97" s="236">
        <f>G31</f>
        <v>0</v>
      </c>
      <c r="H97" s="236">
        <f t="shared" ref="H97:AP97" si="5">H31</f>
        <v>0</v>
      </c>
      <c r="I97" s="236">
        <f t="shared" si="5"/>
        <v>0</v>
      </c>
      <c r="J97" s="236">
        <f t="shared" si="5"/>
        <v>0</v>
      </c>
      <c r="K97" s="236">
        <f t="shared" si="5"/>
        <v>0</v>
      </c>
      <c r="L97" s="236">
        <f t="shared" si="5"/>
        <v>0</v>
      </c>
      <c r="M97" s="236">
        <f t="shared" si="5"/>
        <v>0</v>
      </c>
      <c r="N97" s="236">
        <f t="shared" si="5"/>
        <v>0</v>
      </c>
      <c r="O97" s="236">
        <f t="shared" si="5"/>
        <v>0</v>
      </c>
      <c r="P97" s="236">
        <f t="shared" si="5"/>
        <v>0</v>
      </c>
      <c r="Q97" s="236">
        <f t="shared" si="5"/>
        <v>0</v>
      </c>
      <c r="R97" s="236">
        <f t="shared" si="5"/>
        <v>0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">
      <c r="C98" s="778"/>
      <c r="D98" s="775"/>
      <c r="E98" s="235" t="s">
        <v>73</v>
      </c>
      <c r="F98" s="236">
        <f>F58</f>
        <v>0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">
      <c r="C100" s="777" t="s">
        <v>161</v>
      </c>
      <c r="D100" s="775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">
      <c r="C101" s="777"/>
      <c r="D101" s="775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">
      <c r="C102" s="777"/>
      <c r="D102" s="775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">
      <c r="C103" s="777"/>
      <c r="D103" s="775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">
      <c r="D105" s="458" t="s">
        <v>186</v>
      </c>
      <c r="E105" s="459" t="s">
        <v>70</v>
      </c>
      <c r="F105" s="460">
        <f>F16</f>
        <v>-11217.37</v>
      </c>
      <c r="G105" s="460">
        <f t="shared" ref="G105:AP105" si="6">G16</f>
        <v>-766.38</v>
      </c>
      <c r="H105" s="460">
        <f t="shared" si="6"/>
        <v>-325.58999999999997</v>
      </c>
      <c r="I105" s="460">
        <f t="shared" si="6"/>
        <v>-142.16999999999999</v>
      </c>
      <c r="J105" s="460">
        <f t="shared" si="6"/>
        <v>-1970.37</v>
      </c>
      <c r="K105" s="460">
        <f t="shared" si="6"/>
        <v>-127.32</v>
      </c>
      <c r="L105" s="460">
        <f t="shared" si="6"/>
        <v>0</v>
      </c>
      <c r="M105" s="460">
        <f t="shared" si="6"/>
        <v>-1116.82</v>
      </c>
      <c r="N105" s="460">
        <f t="shared" si="6"/>
        <v>-934.67</v>
      </c>
      <c r="O105" s="460">
        <f t="shared" si="6"/>
        <v>-3730.88</v>
      </c>
      <c r="P105" s="460">
        <f t="shared" si="6"/>
        <v>-1895.43</v>
      </c>
      <c r="Q105" s="460">
        <f t="shared" si="6"/>
        <v>-207.74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">
      <c r="E110" t="s">
        <v>72</v>
      </c>
      <c r="F110" s="384">
        <v>-381705.66</v>
      </c>
      <c r="G110" s="89">
        <v>-34085.26</v>
      </c>
      <c r="H110" s="89">
        <v>-14480.34</v>
      </c>
      <c r="I110" s="664">
        <v>-6323.59</v>
      </c>
      <c r="J110" s="89">
        <v>-75196.47</v>
      </c>
      <c r="K110" s="89">
        <v>-3165.32</v>
      </c>
      <c r="L110" s="89">
        <v>0</v>
      </c>
      <c r="M110" s="89">
        <v>-27767.22</v>
      </c>
      <c r="N110" s="89">
        <v>-34797.83</v>
      </c>
      <c r="O110" s="89">
        <v>-116911.93</v>
      </c>
      <c r="P110" s="89">
        <v>-63812.98</v>
      </c>
      <c r="Q110" s="89">
        <v>-5164.72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">
      <c r="D111" t="s">
        <v>156</v>
      </c>
      <c r="E111" t="s">
        <v>70</v>
      </c>
      <c r="F111" s="384">
        <v>-381705.66</v>
      </c>
      <c r="G111" s="89">
        <v>-34085.26</v>
      </c>
      <c r="H111" s="89">
        <v>-14480.34</v>
      </c>
      <c r="I111" s="664">
        <v>-6323.59</v>
      </c>
      <c r="J111" s="89">
        <v>-75196.47</v>
      </c>
      <c r="K111" s="89">
        <v>-3165.32</v>
      </c>
      <c r="L111" s="89">
        <v>0</v>
      </c>
      <c r="M111" s="89">
        <v>-27767.22</v>
      </c>
      <c r="N111" s="89">
        <v>-34797.83</v>
      </c>
      <c r="O111" s="89">
        <v>-116911.93</v>
      </c>
      <c r="P111" s="89">
        <v>-63812.98</v>
      </c>
      <c r="Q111" s="89">
        <v>-5164.72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">
      <c r="C112" s="656" t="s">
        <v>155</v>
      </c>
      <c r="D112" s="656" t="s">
        <v>70</v>
      </c>
      <c r="F112" s="736">
        <v>-381705.66</v>
      </c>
      <c r="G112" s="657">
        <v>-34085.26</v>
      </c>
      <c r="H112" s="657">
        <v>-14480.34</v>
      </c>
      <c r="I112" s="737">
        <v>-6323.59</v>
      </c>
      <c r="J112" s="657">
        <v>-75196.47</v>
      </c>
      <c r="K112" s="657">
        <v>-3165.32</v>
      </c>
      <c r="L112" s="657">
        <v>0</v>
      </c>
      <c r="M112" s="657">
        <v>-27767.22</v>
      </c>
      <c r="N112" s="657">
        <v>-34797.83</v>
      </c>
      <c r="O112" s="657">
        <v>-116911.93</v>
      </c>
      <c r="P112" s="657">
        <v>-63812.98</v>
      </c>
      <c r="Q112" s="657">
        <v>-5164.72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">
      <c r="E115" s="89" t="s">
        <v>72</v>
      </c>
      <c r="F115" s="371">
        <v>-24201.09</v>
      </c>
      <c r="G115" s="90">
        <v>-2167.98</v>
      </c>
      <c r="H115" s="90">
        <v>-921.01</v>
      </c>
      <c r="I115" s="90">
        <v>-402.21</v>
      </c>
      <c r="J115" s="90">
        <v>-4825.8900000000003</v>
      </c>
      <c r="K115" s="90">
        <v>-199.14</v>
      </c>
      <c r="L115" s="90">
        <v>0</v>
      </c>
      <c r="M115" s="90">
        <v>-1746.78</v>
      </c>
      <c r="N115" s="90">
        <v>-2190.0700000000002</v>
      </c>
      <c r="O115" s="90">
        <v>-7354.7</v>
      </c>
      <c r="P115" s="90">
        <v>-4068.42</v>
      </c>
      <c r="Q115" s="90">
        <v>-324.89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">
      <c r="D116" t="s">
        <v>86</v>
      </c>
      <c r="E116" s="89" t="s">
        <v>70</v>
      </c>
      <c r="F116" s="371">
        <v>-24201.09</v>
      </c>
      <c r="G116" s="90">
        <v>-2167.98</v>
      </c>
      <c r="H116" s="90">
        <v>-921.01</v>
      </c>
      <c r="I116" s="90">
        <v>-402.21</v>
      </c>
      <c r="J116" s="90">
        <v>-4825.8900000000003</v>
      </c>
      <c r="K116" s="90">
        <v>-199.14</v>
      </c>
      <c r="L116" s="90">
        <v>0</v>
      </c>
      <c r="M116" s="90">
        <v>-1746.78</v>
      </c>
      <c r="N116" s="90">
        <v>-2190.0700000000002</v>
      </c>
      <c r="O116" s="90">
        <v>-7354.7</v>
      </c>
      <c r="P116" s="90">
        <v>-4068.42</v>
      </c>
      <c r="Q116" s="90">
        <v>-324.89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">
      <c r="C119" s="94" t="s">
        <v>119</v>
      </c>
      <c r="D119" s="94" t="s">
        <v>70</v>
      </c>
      <c r="E119" s="101"/>
      <c r="F119" s="93">
        <v>-24201.09</v>
      </c>
      <c r="G119" s="93">
        <v>-2167.98</v>
      </c>
      <c r="H119" s="93">
        <v>-921.01</v>
      </c>
      <c r="I119" s="93">
        <v>-402.21</v>
      </c>
      <c r="J119" s="93">
        <v>-4825.8900000000003</v>
      </c>
      <c r="K119" s="93">
        <v>-199.14</v>
      </c>
      <c r="L119" s="93">
        <v>0</v>
      </c>
      <c r="M119" s="93">
        <v>-1746.78</v>
      </c>
      <c r="N119" s="93">
        <v>-2190.0700000000002</v>
      </c>
      <c r="O119" s="93">
        <v>-7354.7</v>
      </c>
      <c r="P119" s="93">
        <v>-4068.42</v>
      </c>
      <c r="Q119" s="93">
        <v>-324.89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">
      <c r="B120" s="89" t="s">
        <v>112</v>
      </c>
      <c r="C120" s="89" t="s">
        <v>70</v>
      </c>
      <c r="F120" s="90">
        <v>-405906.75</v>
      </c>
      <c r="G120" s="90">
        <v>-36253.24</v>
      </c>
      <c r="H120" s="90">
        <v>-15401.35</v>
      </c>
      <c r="I120" s="90">
        <v>-6725.8</v>
      </c>
      <c r="J120" s="90">
        <v>-80022.36</v>
      </c>
      <c r="K120" s="90">
        <v>-3364.46</v>
      </c>
      <c r="L120" s="90">
        <v>0</v>
      </c>
      <c r="M120" s="90">
        <v>-29514</v>
      </c>
      <c r="N120" s="90">
        <v>-36987.9</v>
      </c>
      <c r="O120" s="90">
        <v>-124266.63</v>
      </c>
      <c r="P120" s="90">
        <v>-67881.399999999994</v>
      </c>
      <c r="Q120" s="90">
        <v>-5489.61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">
      <c r="A121" s="458" t="s">
        <v>186</v>
      </c>
      <c r="B121" s="459" t="s">
        <v>70</v>
      </c>
      <c r="C121" s="459"/>
      <c r="F121" s="460">
        <v>-405906.75</v>
      </c>
      <c r="G121" s="460">
        <v>-36253.24</v>
      </c>
      <c r="H121" s="460">
        <v>-15401.35</v>
      </c>
      <c r="I121" s="460">
        <v>-6725.8</v>
      </c>
      <c r="J121" s="460">
        <v>-80022.36</v>
      </c>
      <c r="K121" s="460">
        <v>-3364.46</v>
      </c>
      <c r="L121" s="460">
        <v>0</v>
      </c>
      <c r="M121" s="460">
        <v>-29514</v>
      </c>
      <c r="N121" s="460">
        <v>-36987.9</v>
      </c>
      <c r="O121" s="460">
        <v>-124266.63</v>
      </c>
      <c r="P121" s="460">
        <v>-67881.399999999994</v>
      </c>
      <c r="Q121" s="460">
        <v>-5489.61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">
      <c r="E122" s="89" t="s">
        <v>72</v>
      </c>
      <c r="F122" s="371">
        <v>29151843.969999999</v>
      </c>
      <c r="G122" s="90">
        <v>7443854.0199999996</v>
      </c>
      <c r="H122" s="90">
        <v>4208102.8600000003</v>
      </c>
      <c r="I122" s="90">
        <v>2229592.12</v>
      </c>
      <c r="J122" s="90">
        <v>106030.3</v>
      </c>
      <c r="K122" s="90">
        <v>3346.71</v>
      </c>
      <c r="L122" s="90">
        <v>0</v>
      </c>
      <c r="M122" s="90">
        <v>29357.040000000001</v>
      </c>
      <c r="N122" s="90">
        <v>33413.22</v>
      </c>
      <c r="O122" s="90">
        <v>155851.47</v>
      </c>
      <c r="P122" s="90">
        <v>14936833.09</v>
      </c>
      <c r="Q122" s="90">
        <v>5460.42</v>
      </c>
      <c r="R122" s="90">
        <v>2.72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">
      <c r="E123" s="89" t="s">
        <v>81</v>
      </c>
      <c r="F123" s="371">
        <v>992415.4</v>
      </c>
      <c r="G123" s="90">
        <v>253115.22</v>
      </c>
      <c r="H123" s="90">
        <v>143337.73000000001</v>
      </c>
      <c r="I123" s="90">
        <v>76924.179999999993</v>
      </c>
      <c r="J123" s="90">
        <v>1233.3900000000001</v>
      </c>
      <c r="K123" s="90">
        <v>29.74</v>
      </c>
      <c r="L123" s="90">
        <v>0</v>
      </c>
      <c r="M123" s="90">
        <v>260.94</v>
      </c>
      <c r="N123" s="90">
        <v>382.11</v>
      </c>
      <c r="O123" s="90">
        <v>1741.16</v>
      </c>
      <c r="P123" s="90">
        <v>515342.29</v>
      </c>
      <c r="Q123" s="90">
        <v>48.53</v>
      </c>
      <c r="R123" s="90">
        <v>0.11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">
      <c r="D124" t="s">
        <v>156</v>
      </c>
      <c r="E124" t="s">
        <v>70</v>
      </c>
      <c r="F124" s="384">
        <v>30144259.370000001</v>
      </c>
      <c r="G124" s="89">
        <v>7696969.2400000002</v>
      </c>
      <c r="H124" s="89">
        <v>4351440.59</v>
      </c>
      <c r="I124" s="664">
        <v>2306516.2999999998</v>
      </c>
      <c r="J124" s="89">
        <v>107263.69</v>
      </c>
      <c r="K124" s="89">
        <v>3376.45</v>
      </c>
      <c r="L124" s="89">
        <v>0</v>
      </c>
      <c r="M124" s="89">
        <v>29617.98</v>
      </c>
      <c r="N124" s="89">
        <v>33795.33</v>
      </c>
      <c r="O124" s="89">
        <v>157592.63</v>
      </c>
      <c r="P124" s="89">
        <v>15452175.380000001</v>
      </c>
      <c r="Q124" s="89">
        <v>5508.95</v>
      </c>
      <c r="R124" s="89">
        <v>2.83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">
      <c r="C125" s="656" t="s">
        <v>155</v>
      </c>
      <c r="D125" s="656" t="s">
        <v>70</v>
      </c>
      <c r="F125" s="736">
        <v>30144259.370000001</v>
      </c>
      <c r="G125" s="657">
        <v>7696969.2400000002</v>
      </c>
      <c r="H125" s="657">
        <v>4351440.59</v>
      </c>
      <c r="I125" s="737">
        <v>2306516.2999999998</v>
      </c>
      <c r="J125" s="657">
        <v>107263.69</v>
      </c>
      <c r="K125" s="657">
        <v>3376.45</v>
      </c>
      <c r="L125" s="657">
        <v>0</v>
      </c>
      <c r="M125" s="657">
        <v>29617.98</v>
      </c>
      <c r="N125" s="657">
        <v>33795.33</v>
      </c>
      <c r="O125" s="657">
        <v>157592.63</v>
      </c>
      <c r="P125" s="657">
        <v>15452175.380000001</v>
      </c>
      <c r="Q125" s="657">
        <v>5508.95</v>
      </c>
      <c r="R125" s="657">
        <v>2.83</v>
      </c>
      <c r="S125" s="657">
        <v>0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">
      <c r="E136" s="89" t="s">
        <v>72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">
      <c r="D138" t="s">
        <v>82</v>
      </c>
      <c r="E138" s="89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">
      <c r="E139" s="89" t="s">
        <v>72</v>
      </c>
      <c r="F139" s="371">
        <v>188747.7</v>
      </c>
      <c r="G139" s="90">
        <v>8807.75</v>
      </c>
      <c r="H139" s="90">
        <v>4981.6000000000004</v>
      </c>
      <c r="I139" s="90">
        <v>2648.47</v>
      </c>
      <c r="J139" s="90">
        <v>50746.9</v>
      </c>
      <c r="K139" s="90">
        <v>1551.38</v>
      </c>
      <c r="L139" s="90">
        <v>0</v>
      </c>
      <c r="M139" s="90">
        <v>13608.5</v>
      </c>
      <c r="N139" s="90">
        <v>15187.5</v>
      </c>
      <c r="O139" s="90">
        <v>70935.25</v>
      </c>
      <c r="P139" s="90">
        <v>17748.099999999999</v>
      </c>
      <c r="Q139" s="90">
        <v>2531.1799999999998</v>
      </c>
      <c r="R139" s="90">
        <v>1.07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">
      <c r="E140" s="89" t="s">
        <v>81</v>
      </c>
      <c r="F140" s="371">
        <v>529.66999999999996</v>
      </c>
      <c r="G140" s="90">
        <v>26.68</v>
      </c>
      <c r="H140" s="90">
        <v>15.11</v>
      </c>
      <c r="I140" s="90">
        <v>8.09</v>
      </c>
      <c r="J140" s="90">
        <v>141.21</v>
      </c>
      <c r="K140" s="90">
        <v>3.52</v>
      </c>
      <c r="L140" s="90">
        <v>0</v>
      </c>
      <c r="M140" s="90">
        <v>30.82</v>
      </c>
      <c r="N140" s="90">
        <v>43.87</v>
      </c>
      <c r="O140" s="90">
        <v>200.36</v>
      </c>
      <c r="P140" s="90">
        <v>54.25</v>
      </c>
      <c r="Q140" s="90">
        <v>5.73</v>
      </c>
      <c r="R140" s="90">
        <v>0.03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">
      <c r="D141" t="s">
        <v>86</v>
      </c>
      <c r="E141" s="89" t="s">
        <v>70</v>
      </c>
      <c r="F141" s="371">
        <v>189277.37</v>
      </c>
      <c r="G141" s="90">
        <v>8834.43</v>
      </c>
      <c r="H141" s="90">
        <v>4996.71</v>
      </c>
      <c r="I141" s="90">
        <v>2656.56</v>
      </c>
      <c r="J141" s="90">
        <v>50888.11</v>
      </c>
      <c r="K141" s="90">
        <v>1554.9</v>
      </c>
      <c r="L141" s="90">
        <v>0</v>
      </c>
      <c r="M141" s="90">
        <v>13639.32</v>
      </c>
      <c r="N141" s="90">
        <v>15231.37</v>
      </c>
      <c r="O141" s="90">
        <v>71135.61</v>
      </c>
      <c r="P141" s="90">
        <v>17802.349999999999</v>
      </c>
      <c r="Q141" s="90">
        <v>2536.91</v>
      </c>
      <c r="R141" s="90">
        <v>1.1000000000000001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">
      <c r="E142" s="89" t="s">
        <v>72</v>
      </c>
      <c r="F142" s="371">
        <v>59523.21</v>
      </c>
      <c r="G142" s="90">
        <v>3111.79</v>
      </c>
      <c r="H142" s="90">
        <v>1764.74</v>
      </c>
      <c r="I142" s="90">
        <v>956.87</v>
      </c>
      <c r="J142" s="90">
        <v>15677.68</v>
      </c>
      <c r="K142" s="90">
        <v>377.39</v>
      </c>
      <c r="L142" s="90">
        <v>0</v>
      </c>
      <c r="M142" s="90">
        <v>3310.46</v>
      </c>
      <c r="N142" s="90">
        <v>4880.88</v>
      </c>
      <c r="O142" s="90">
        <v>22562.400000000001</v>
      </c>
      <c r="P142" s="90">
        <v>6269.57</v>
      </c>
      <c r="Q142" s="90">
        <v>615.74</v>
      </c>
      <c r="R142" s="90">
        <v>-4.3099999999999996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">
      <c r="E143" t="s">
        <v>81</v>
      </c>
      <c r="F143" s="90">
        <v>371.68</v>
      </c>
      <c r="G143" s="90">
        <v>19.440000000000001</v>
      </c>
      <c r="H143" s="90">
        <v>11.01</v>
      </c>
      <c r="I143" s="90">
        <v>5.98</v>
      </c>
      <c r="J143" s="90">
        <v>97.9</v>
      </c>
      <c r="K143" s="90">
        <v>2.35</v>
      </c>
      <c r="L143" s="90">
        <v>0</v>
      </c>
      <c r="M143" s="90">
        <v>20.67</v>
      </c>
      <c r="N143" s="90">
        <v>30.48</v>
      </c>
      <c r="O143" s="90">
        <v>140.88</v>
      </c>
      <c r="P143" s="90">
        <v>39.15</v>
      </c>
      <c r="Q143" s="90">
        <v>3.85</v>
      </c>
      <c r="R143" s="90">
        <v>-0.03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">
      <c r="D144" t="s">
        <v>87</v>
      </c>
      <c r="E144" s="89" t="s">
        <v>70</v>
      </c>
      <c r="F144" s="371">
        <v>59894.89</v>
      </c>
      <c r="G144" s="90">
        <v>3131.23</v>
      </c>
      <c r="H144" s="90">
        <v>1775.75</v>
      </c>
      <c r="I144" s="90">
        <v>962.85</v>
      </c>
      <c r="J144" s="90">
        <v>15775.58</v>
      </c>
      <c r="K144" s="90">
        <v>379.74</v>
      </c>
      <c r="L144" s="90">
        <v>0</v>
      </c>
      <c r="M144" s="90">
        <v>3331.13</v>
      </c>
      <c r="N144" s="90">
        <v>4911.3599999999997</v>
      </c>
      <c r="O144" s="90">
        <v>22703.279999999999</v>
      </c>
      <c r="P144" s="90">
        <v>6308.72</v>
      </c>
      <c r="Q144" s="90">
        <v>619.59</v>
      </c>
      <c r="R144" s="90">
        <v>-4.34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">
      <c r="C145" s="94" t="s">
        <v>119</v>
      </c>
      <c r="D145" s="94" t="s">
        <v>70</v>
      </c>
      <c r="E145" s="101"/>
      <c r="F145" s="93">
        <v>249172.26</v>
      </c>
      <c r="G145" s="93">
        <v>11965.66</v>
      </c>
      <c r="H145" s="93">
        <v>6772.46</v>
      </c>
      <c r="I145" s="93">
        <v>3619.41</v>
      </c>
      <c r="J145" s="93">
        <v>66663.69</v>
      </c>
      <c r="K145" s="93">
        <v>1934.64</v>
      </c>
      <c r="L145" s="93">
        <v>0</v>
      </c>
      <c r="M145" s="93">
        <v>16970.45</v>
      </c>
      <c r="N145" s="93">
        <v>20142.73</v>
      </c>
      <c r="O145" s="93">
        <v>93838.89</v>
      </c>
      <c r="P145" s="93">
        <v>24111.07</v>
      </c>
      <c r="Q145" s="93">
        <v>3156.5</v>
      </c>
      <c r="R145" s="93">
        <v>-3.24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">
      <c r="B146" s="378" t="s">
        <v>122</v>
      </c>
      <c r="C146" s="378" t="s">
        <v>70</v>
      </c>
      <c r="E146" s="376"/>
      <c r="F146" s="710">
        <v>30393431.629999999</v>
      </c>
      <c r="G146" s="377">
        <v>7708934.9000000004</v>
      </c>
      <c r="H146" s="377">
        <v>4358213.05</v>
      </c>
      <c r="I146" s="377">
        <v>2310135.71</v>
      </c>
      <c r="J146" s="377">
        <v>173927.38</v>
      </c>
      <c r="K146" s="377">
        <v>5311.09</v>
      </c>
      <c r="L146" s="377">
        <v>0</v>
      </c>
      <c r="M146" s="377">
        <v>46588.43</v>
      </c>
      <c r="N146" s="377">
        <v>53938.06</v>
      </c>
      <c r="O146" s="377">
        <v>251431.52</v>
      </c>
      <c r="P146" s="377">
        <v>15476286.449999999</v>
      </c>
      <c r="Q146" s="377">
        <v>8665.4500000000007</v>
      </c>
      <c r="R146" s="377">
        <v>-0.40999999999999898</v>
      </c>
      <c r="S146" s="377">
        <v>0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">
      <c r="E147" s="89" t="s">
        <v>72</v>
      </c>
      <c r="F147" s="371">
        <v>23902898063.380001</v>
      </c>
      <c r="G147" s="90">
        <v>1381350603.3199999</v>
      </c>
      <c r="H147" s="90">
        <v>776537530.45000005</v>
      </c>
      <c r="I147" s="90">
        <v>407911355.66000003</v>
      </c>
      <c r="J147" s="90">
        <v>5537035232.2399998</v>
      </c>
      <c r="K147" s="90">
        <v>214461078.68000001</v>
      </c>
      <c r="L147" s="90">
        <v>24255269.25</v>
      </c>
      <c r="M147" s="90">
        <v>1879555764.02</v>
      </c>
      <c r="N147" s="90">
        <v>1854401852.3499999</v>
      </c>
      <c r="O147" s="90">
        <v>8755909642.4699993</v>
      </c>
      <c r="P147" s="90">
        <v>2720975584.04</v>
      </c>
      <c r="Q147" s="90">
        <v>350419003.25999999</v>
      </c>
      <c r="R147" s="90">
        <v>85147.64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">
      <c r="E148" s="89" t="s">
        <v>81</v>
      </c>
      <c r="F148" s="90">
        <v>161922359.94999999</v>
      </c>
      <c r="G148" s="90">
        <v>18825772.870000001</v>
      </c>
      <c r="H148" s="90">
        <v>8911778.5600000005</v>
      </c>
      <c r="I148" s="90">
        <v>4071687.82</v>
      </c>
      <c r="J148" s="90">
        <v>30018521.530000001</v>
      </c>
      <c r="K148" s="90">
        <v>1044885.63</v>
      </c>
      <c r="L148" s="90">
        <v>17960.64</v>
      </c>
      <c r="M148" s="90">
        <v>9163599.0999999996</v>
      </c>
      <c r="N148" s="90">
        <v>10764552.539999999</v>
      </c>
      <c r="O148" s="90">
        <v>40397442.390000001</v>
      </c>
      <c r="P148" s="90">
        <v>36995764.229999997</v>
      </c>
      <c r="Q148" s="90">
        <v>1705687.47</v>
      </c>
      <c r="R148" s="90">
        <v>4816.78</v>
      </c>
      <c r="S148" s="90">
        <v>-70.86</v>
      </c>
      <c r="T148" s="90">
        <v>4.1399999999999997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-42.89</v>
      </c>
    </row>
    <row r="149" spans="2:26" ht="12.75" customHeight="1" x14ac:dyDescent="0.2">
      <c r="D149" t="s">
        <v>156</v>
      </c>
      <c r="E149" s="89" t="s">
        <v>70</v>
      </c>
      <c r="F149" s="90">
        <v>24064820423.330002</v>
      </c>
      <c r="G149" s="90">
        <v>1400176376.1900001</v>
      </c>
      <c r="H149" s="90">
        <v>785449309.00999999</v>
      </c>
      <c r="I149" s="90">
        <v>411983043.48000002</v>
      </c>
      <c r="J149" s="90">
        <v>5567053753.7700005</v>
      </c>
      <c r="K149" s="90">
        <v>215505964.31</v>
      </c>
      <c r="L149" s="90">
        <v>24273229.890000001</v>
      </c>
      <c r="M149" s="90">
        <v>1888719363.1199999</v>
      </c>
      <c r="N149" s="90">
        <v>1865166404.8900001</v>
      </c>
      <c r="O149" s="90">
        <v>8796307084.8600006</v>
      </c>
      <c r="P149" s="90">
        <v>2757971348.27</v>
      </c>
      <c r="Q149" s="90">
        <v>352124690.73000002</v>
      </c>
      <c r="R149" s="90">
        <v>89964.42</v>
      </c>
      <c r="S149" s="90">
        <v>-70.86</v>
      </c>
      <c r="T149" s="90">
        <v>4.1399999999999997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-42.89</v>
      </c>
    </row>
    <row r="150" spans="2:26" s="656" customFormat="1" ht="12.75" customHeight="1" x14ac:dyDescent="0.2">
      <c r="C150" s="656" t="s">
        <v>155</v>
      </c>
      <c r="D150" s="657" t="s">
        <v>70</v>
      </c>
      <c r="E150" s="657"/>
      <c r="F150" s="658">
        <v>24064820423.330002</v>
      </c>
      <c r="G150" s="658">
        <v>1400176376.1900001</v>
      </c>
      <c r="H150" s="658">
        <v>785449309.00999999</v>
      </c>
      <c r="I150" s="658">
        <v>411983043.48000002</v>
      </c>
      <c r="J150" s="658">
        <v>5567053753.7700005</v>
      </c>
      <c r="K150" s="658">
        <v>215505964.31</v>
      </c>
      <c r="L150" s="658">
        <v>24273229.890000001</v>
      </c>
      <c r="M150" s="658">
        <v>1888719363.1199999</v>
      </c>
      <c r="N150" s="658">
        <v>1865166404.8900001</v>
      </c>
      <c r="O150" s="658">
        <v>8796307084.8600006</v>
      </c>
      <c r="P150" s="658">
        <v>2757971348.27</v>
      </c>
      <c r="Q150" s="658">
        <v>352124690.73000002</v>
      </c>
      <c r="R150" s="658">
        <v>89964.42</v>
      </c>
      <c r="S150" s="658">
        <v>-70.86</v>
      </c>
      <c r="T150" s="658">
        <v>4.1399999999999997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-42.89</v>
      </c>
    </row>
    <row r="151" spans="2:26" ht="12.75" customHeight="1" x14ac:dyDescent="0.2">
      <c r="D151" s="89"/>
      <c r="E151" s="89" t="s">
        <v>72</v>
      </c>
      <c r="F151" s="371">
        <v>1971431.11</v>
      </c>
      <c r="G151" s="90">
        <v>107001.83</v>
      </c>
      <c r="H151" s="90">
        <v>51575.5</v>
      </c>
      <c r="I151" s="90">
        <v>29270.41</v>
      </c>
      <c r="J151" s="90">
        <v>520554.47</v>
      </c>
      <c r="K151" s="90">
        <v>14389.55</v>
      </c>
      <c r="L151" s="90">
        <v>0</v>
      </c>
      <c r="M151" s="90">
        <v>126225.52</v>
      </c>
      <c r="N151" s="90">
        <v>157541.67000000001</v>
      </c>
      <c r="O151" s="90">
        <v>726381.08</v>
      </c>
      <c r="P151" s="90">
        <v>215014.43</v>
      </c>
      <c r="Q151" s="90">
        <v>23478.09</v>
      </c>
      <c r="R151" s="90">
        <v>-1.44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">
      <c r="D152" s="89"/>
      <c r="E152" s="89" t="s">
        <v>81</v>
      </c>
      <c r="F152" s="371">
        <v>45276.38</v>
      </c>
      <c r="G152" s="90">
        <v>3165.1</v>
      </c>
      <c r="H152" s="90">
        <v>1469.01</v>
      </c>
      <c r="I152" s="90">
        <v>833.37</v>
      </c>
      <c r="J152" s="90">
        <v>12201.77</v>
      </c>
      <c r="K152" s="90">
        <v>287.70999999999998</v>
      </c>
      <c r="L152" s="90">
        <v>0</v>
      </c>
      <c r="M152" s="90">
        <v>2524.3000000000002</v>
      </c>
      <c r="N152" s="90">
        <v>3179.87</v>
      </c>
      <c r="O152" s="90">
        <v>14776.64</v>
      </c>
      <c r="P152" s="90">
        <v>6369.21</v>
      </c>
      <c r="Q152" s="90">
        <v>469.35</v>
      </c>
      <c r="R152" s="90">
        <v>0.12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-7.0000000000000007E-2</v>
      </c>
    </row>
    <row r="153" spans="2:26" ht="12.75" customHeight="1" x14ac:dyDescent="0.2">
      <c r="D153" s="89" t="s">
        <v>115</v>
      </c>
      <c r="E153" s="89" t="s">
        <v>70</v>
      </c>
      <c r="F153" s="371">
        <v>2016707.49</v>
      </c>
      <c r="G153" s="90">
        <v>110166.93</v>
      </c>
      <c r="H153" s="90">
        <v>53044.51</v>
      </c>
      <c r="I153" s="90">
        <v>30103.78</v>
      </c>
      <c r="J153" s="90">
        <v>532756.24</v>
      </c>
      <c r="K153" s="90">
        <v>14677.26</v>
      </c>
      <c r="L153" s="90">
        <v>0</v>
      </c>
      <c r="M153" s="90">
        <v>128749.82</v>
      </c>
      <c r="N153" s="90">
        <v>160721.54</v>
      </c>
      <c r="O153" s="90">
        <v>741157.72</v>
      </c>
      <c r="P153" s="90">
        <v>221383.64</v>
      </c>
      <c r="Q153" s="90">
        <v>23947.439999999999</v>
      </c>
      <c r="R153" s="90">
        <v>-1.32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-7.0000000000000007E-2</v>
      </c>
    </row>
    <row r="154" spans="2:26" ht="12.75" customHeight="1" x14ac:dyDescent="0.2">
      <c r="D154" s="89"/>
      <c r="E154" s="89" t="s">
        <v>72</v>
      </c>
      <c r="F154" s="371">
        <v>419516.23</v>
      </c>
      <c r="G154" s="90">
        <v>25972.880000000001</v>
      </c>
      <c r="H154" s="90">
        <v>12592.54</v>
      </c>
      <c r="I154" s="90">
        <v>6939.94</v>
      </c>
      <c r="J154" s="90">
        <v>120301.92</v>
      </c>
      <c r="K154" s="90">
        <v>2941.24</v>
      </c>
      <c r="L154" s="90">
        <v>0</v>
      </c>
      <c r="M154" s="90">
        <v>25800.7</v>
      </c>
      <c r="N154" s="90">
        <v>30113.79</v>
      </c>
      <c r="O154" s="90">
        <v>139376.88</v>
      </c>
      <c r="P154" s="90">
        <v>50670.06</v>
      </c>
      <c r="Q154" s="90">
        <v>4798.96</v>
      </c>
      <c r="R154" s="90">
        <v>7.32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">
      <c r="D155" s="89"/>
      <c r="E155" s="89" t="s">
        <v>81</v>
      </c>
      <c r="F155" s="90">
        <v>7178.99</v>
      </c>
      <c r="G155" s="90">
        <v>374.66</v>
      </c>
      <c r="H155" s="90">
        <v>168.63</v>
      </c>
      <c r="I155" s="90">
        <v>100.33</v>
      </c>
      <c r="J155" s="90">
        <v>2116.0300000000002</v>
      </c>
      <c r="K155" s="90">
        <v>48.58</v>
      </c>
      <c r="L155" s="90">
        <v>0</v>
      </c>
      <c r="M155" s="90">
        <v>425.77</v>
      </c>
      <c r="N155" s="90">
        <v>547.15</v>
      </c>
      <c r="O155" s="90">
        <v>2568.6999999999998</v>
      </c>
      <c r="P155" s="90">
        <v>749.68</v>
      </c>
      <c r="Q155" s="90">
        <v>79.23</v>
      </c>
      <c r="R155" s="90">
        <v>0.23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">
      <c r="D156" t="s">
        <v>116</v>
      </c>
      <c r="E156" s="89" t="s">
        <v>70</v>
      </c>
      <c r="F156" s="90">
        <v>426695.22</v>
      </c>
      <c r="G156" s="90">
        <v>26347.54</v>
      </c>
      <c r="H156" s="90">
        <v>12761.17</v>
      </c>
      <c r="I156" s="90">
        <v>7040.27</v>
      </c>
      <c r="J156" s="90">
        <v>122417.95</v>
      </c>
      <c r="K156" s="90">
        <v>2989.82</v>
      </c>
      <c r="L156" s="90">
        <v>0</v>
      </c>
      <c r="M156" s="90">
        <v>26226.47</v>
      </c>
      <c r="N156" s="90">
        <v>30660.94</v>
      </c>
      <c r="O156" s="90">
        <v>141945.57999999999</v>
      </c>
      <c r="P156" s="90">
        <v>51419.74</v>
      </c>
      <c r="Q156" s="90">
        <v>4878.1899999999996</v>
      </c>
      <c r="R156" s="90">
        <v>7.55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">
      <c r="D157" s="89"/>
      <c r="E157" s="89" t="s">
        <v>72</v>
      </c>
      <c r="F157" s="90">
        <v>12785198.32</v>
      </c>
      <c r="G157" s="90">
        <v>703609.95</v>
      </c>
      <c r="H157" s="90">
        <v>387545.59999999998</v>
      </c>
      <c r="I157" s="90">
        <v>207630.35</v>
      </c>
      <c r="J157" s="90">
        <v>3187955.94</v>
      </c>
      <c r="K157" s="90">
        <v>106822.11</v>
      </c>
      <c r="L157" s="90">
        <v>0</v>
      </c>
      <c r="M157" s="90">
        <v>942031.97</v>
      </c>
      <c r="N157" s="90">
        <v>1002072.56</v>
      </c>
      <c r="O157" s="90">
        <v>4691016.74</v>
      </c>
      <c r="P157" s="90">
        <v>1381254.47</v>
      </c>
      <c r="Q157" s="90">
        <v>175192.74</v>
      </c>
      <c r="R157" s="90">
        <v>65.89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">
      <c r="E158" s="89" t="s">
        <v>81</v>
      </c>
      <c r="F158" s="90">
        <v>74732.160000000003</v>
      </c>
      <c r="G158" s="90">
        <v>6320.89</v>
      </c>
      <c r="H158" s="90">
        <v>3463.36</v>
      </c>
      <c r="I158" s="90">
        <v>1859.06</v>
      </c>
      <c r="J158" s="90">
        <v>16027.83</v>
      </c>
      <c r="K158" s="90">
        <v>531.94000000000005</v>
      </c>
      <c r="L158" s="90">
        <v>0</v>
      </c>
      <c r="M158" s="90">
        <v>4669.95</v>
      </c>
      <c r="N158" s="90">
        <v>5098.07</v>
      </c>
      <c r="O158" s="90">
        <v>23528.73</v>
      </c>
      <c r="P158" s="90">
        <v>12364.11</v>
      </c>
      <c r="Q158" s="90">
        <v>868.28</v>
      </c>
      <c r="R158" s="90">
        <v>-0.06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">
      <c r="D159" t="s">
        <v>118</v>
      </c>
      <c r="E159" s="89" t="s">
        <v>70</v>
      </c>
      <c r="F159" s="90">
        <v>12859930.48</v>
      </c>
      <c r="G159" s="90">
        <v>709930.84</v>
      </c>
      <c r="H159" s="90">
        <v>391008.96</v>
      </c>
      <c r="I159" s="90">
        <v>209489.41</v>
      </c>
      <c r="J159" s="90">
        <v>3203983.77</v>
      </c>
      <c r="K159" s="90">
        <v>107354.05</v>
      </c>
      <c r="L159" s="90">
        <v>0</v>
      </c>
      <c r="M159" s="90">
        <v>946701.92</v>
      </c>
      <c r="N159" s="90">
        <v>1007170.63</v>
      </c>
      <c r="O159" s="90">
        <v>4714545.47</v>
      </c>
      <c r="P159" s="90">
        <v>1393618.58</v>
      </c>
      <c r="Q159" s="90">
        <v>176061.02</v>
      </c>
      <c r="R159" s="90">
        <v>65.83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">
      <c r="C160" s="223" t="s">
        <v>120</v>
      </c>
      <c r="D160" s="223" t="s">
        <v>70</v>
      </c>
      <c r="F160" s="225">
        <v>15303333.189999999</v>
      </c>
      <c r="G160" s="225">
        <v>846445.31</v>
      </c>
      <c r="H160" s="225">
        <v>456814.64</v>
      </c>
      <c r="I160" s="225">
        <v>246633.46</v>
      </c>
      <c r="J160" s="225">
        <v>3859157.96</v>
      </c>
      <c r="K160" s="225">
        <v>125021.13</v>
      </c>
      <c r="L160" s="225">
        <v>0</v>
      </c>
      <c r="M160" s="225">
        <v>1101678.21</v>
      </c>
      <c r="N160" s="225">
        <v>1198553.1100000001</v>
      </c>
      <c r="O160" s="225">
        <v>5597648.7699999996</v>
      </c>
      <c r="P160" s="225">
        <v>1666421.96</v>
      </c>
      <c r="Q160" s="225">
        <v>204886.65</v>
      </c>
      <c r="R160" s="225">
        <v>72.06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-7.0000000000000007E-2</v>
      </c>
    </row>
    <row r="161" spans="1:26" ht="12.75" customHeight="1" x14ac:dyDescent="0.2">
      <c r="C161" s="89"/>
      <c r="D161" s="89"/>
      <c r="E161" t="s">
        <v>72</v>
      </c>
      <c r="F161" s="90">
        <v>455939001.99000001</v>
      </c>
      <c r="G161" s="90">
        <v>31166168.329999998</v>
      </c>
      <c r="H161" s="90">
        <v>17414261.350000001</v>
      </c>
      <c r="I161" s="90">
        <v>9320448.5600000005</v>
      </c>
      <c r="J161" s="90">
        <v>107716548.78</v>
      </c>
      <c r="K161" s="90">
        <v>2778581.48</v>
      </c>
      <c r="L161" s="90">
        <v>223000</v>
      </c>
      <c r="M161" s="90">
        <v>24356285.66</v>
      </c>
      <c r="N161" s="90">
        <v>34967660.869999997</v>
      </c>
      <c r="O161" s="90">
        <v>161072747.18000001</v>
      </c>
      <c r="P161" s="90">
        <v>62379437.009999998</v>
      </c>
      <c r="Q161" s="90">
        <v>4546029.75</v>
      </c>
      <c r="R161" s="90">
        <v>-2166.98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">
      <c r="C162" s="89"/>
      <c r="D162" s="89"/>
      <c r="E162" t="s">
        <v>81</v>
      </c>
      <c r="F162" s="90">
        <v>4505253.3899999997</v>
      </c>
      <c r="G162" s="90">
        <v>686613.92</v>
      </c>
      <c r="H162" s="90">
        <v>335505.83</v>
      </c>
      <c r="I162" s="90">
        <v>186385.59</v>
      </c>
      <c r="J162" s="90">
        <v>633051.63</v>
      </c>
      <c r="K162" s="90">
        <v>16253.71</v>
      </c>
      <c r="L162" s="90">
        <v>423.43</v>
      </c>
      <c r="M162" s="90">
        <v>141566.92000000001</v>
      </c>
      <c r="N162" s="90">
        <v>197973.31</v>
      </c>
      <c r="O162" s="90">
        <v>907304.36</v>
      </c>
      <c r="P162" s="90">
        <v>1373624.55</v>
      </c>
      <c r="Q162" s="90">
        <v>26555.9</v>
      </c>
      <c r="R162" s="90">
        <v>-5.38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-0.38</v>
      </c>
    </row>
    <row r="163" spans="1:26" ht="12.75" customHeight="1" x14ac:dyDescent="0.2">
      <c r="D163" t="s">
        <v>82</v>
      </c>
      <c r="E163" s="89" t="s">
        <v>70</v>
      </c>
      <c r="F163" s="90">
        <v>460444255.38</v>
      </c>
      <c r="G163" s="90">
        <v>31852782.25</v>
      </c>
      <c r="H163" s="90">
        <v>17749767.18</v>
      </c>
      <c r="I163" s="90">
        <v>9506834.1500000004</v>
      </c>
      <c r="J163" s="90">
        <v>108349600.41</v>
      </c>
      <c r="K163" s="90">
        <v>2794835.19</v>
      </c>
      <c r="L163" s="90">
        <v>223423.43</v>
      </c>
      <c r="M163" s="90">
        <v>24497852.579999998</v>
      </c>
      <c r="N163" s="90">
        <v>35165634.18</v>
      </c>
      <c r="O163" s="90">
        <v>161980051.53999999</v>
      </c>
      <c r="P163" s="90">
        <v>63753061.560000002</v>
      </c>
      <c r="Q163" s="90">
        <v>4572585.6500000004</v>
      </c>
      <c r="R163" s="90">
        <v>-2172.36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-0.38</v>
      </c>
    </row>
    <row r="164" spans="1:26" ht="12.75" customHeight="1" x14ac:dyDescent="0.2">
      <c r="E164" s="89" t="s">
        <v>72</v>
      </c>
      <c r="F164" s="90">
        <v>193966389.72999999</v>
      </c>
      <c r="G164" s="90">
        <v>18753395.739999998</v>
      </c>
      <c r="H164" s="90">
        <v>10057409.18</v>
      </c>
      <c r="I164" s="90">
        <v>5168574.8499999996</v>
      </c>
      <c r="J164" s="90">
        <v>37118799.350000001</v>
      </c>
      <c r="K164" s="90">
        <v>1216758.52</v>
      </c>
      <c r="L164" s="90">
        <v>1204189.42</v>
      </c>
      <c r="M164" s="90">
        <v>10633285.029999999</v>
      </c>
      <c r="N164" s="90">
        <v>12932629.939999999</v>
      </c>
      <c r="O164" s="90">
        <v>57515757.549999997</v>
      </c>
      <c r="P164" s="90">
        <v>37372824.68</v>
      </c>
      <c r="Q164" s="90">
        <v>1993046.78</v>
      </c>
      <c r="R164" s="90">
        <v>-281.31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">
      <c r="D165" s="89"/>
      <c r="E165" s="89" t="s">
        <v>81</v>
      </c>
      <c r="F165" s="90">
        <v>9166147.2799999993</v>
      </c>
      <c r="G165" s="90">
        <v>1183506.74</v>
      </c>
      <c r="H165" s="90">
        <v>586131.57999999996</v>
      </c>
      <c r="I165" s="90">
        <v>271123.56</v>
      </c>
      <c r="J165" s="90">
        <v>1563968.47</v>
      </c>
      <c r="K165" s="90">
        <v>53802.28</v>
      </c>
      <c r="L165" s="90">
        <v>0</v>
      </c>
      <c r="M165" s="90">
        <v>473676.04</v>
      </c>
      <c r="N165" s="90">
        <v>570702.61</v>
      </c>
      <c r="O165" s="90">
        <v>2048592.22</v>
      </c>
      <c r="P165" s="90">
        <v>2326821.14</v>
      </c>
      <c r="Q165" s="90">
        <v>87828.33</v>
      </c>
      <c r="R165" s="90">
        <v>7.07</v>
      </c>
      <c r="S165" s="90">
        <v>-12.38</v>
      </c>
      <c r="T165" s="90">
        <v>0.04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-0.42</v>
      </c>
    </row>
    <row r="166" spans="1:26" ht="12.75" customHeight="1" x14ac:dyDescent="0.2">
      <c r="D166" t="s">
        <v>86</v>
      </c>
      <c r="E166" s="89" t="s">
        <v>70</v>
      </c>
      <c r="F166" s="90">
        <v>203132537.00999999</v>
      </c>
      <c r="G166" s="90">
        <v>19936902.48</v>
      </c>
      <c r="H166" s="90">
        <v>10643540.76</v>
      </c>
      <c r="I166" s="90">
        <v>5439698.4100000001</v>
      </c>
      <c r="J166" s="90">
        <v>38682767.82</v>
      </c>
      <c r="K166" s="90">
        <v>1270560.8</v>
      </c>
      <c r="L166" s="90">
        <v>1204189.42</v>
      </c>
      <c r="M166" s="90">
        <v>11106961.07</v>
      </c>
      <c r="N166" s="90">
        <v>13503332.550000001</v>
      </c>
      <c r="O166" s="90">
        <v>59564349.770000003</v>
      </c>
      <c r="P166" s="90">
        <v>39699645.82</v>
      </c>
      <c r="Q166" s="90">
        <v>2080875.11</v>
      </c>
      <c r="R166" s="90">
        <v>-274.24</v>
      </c>
      <c r="S166" s="90">
        <v>-12.38</v>
      </c>
      <c r="T166" s="90">
        <v>0.04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-0.42</v>
      </c>
    </row>
    <row r="167" spans="1:26" ht="12.75" customHeight="1" x14ac:dyDescent="0.2">
      <c r="E167" s="89" t="s">
        <v>72</v>
      </c>
      <c r="F167" s="90">
        <v>661355110.54999995</v>
      </c>
      <c r="G167" s="90">
        <v>121001900.95</v>
      </c>
      <c r="H167" s="90">
        <v>68302622.359999999</v>
      </c>
      <c r="I167" s="90">
        <v>36083615.549999997</v>
      </c>
      <c r="J167" s="90">
        <v>52633126.530000001</v>
      </c>
      <c r="K167" s="90">
        <v>1383826.41</v>
      </c>
      <c r="L167" s="90">
        <v>27689500</v>
      </c>
      <c r="M167" s="90">
        <v>12143895.779999999</v>
      </c>
      <c r="N167" s="90">
        <v>17276124.079999998</v>
      </c>
      <c r="O167" s="90">
        <v>82150350.079999998</v>
      </c>
      <c r="P167" s="90">
        <v>240422477.77000001</v>
      </c>
      <c r="Q167" s="90">
        <v>2268567.7400000002</v>
      </c>
      <c r="R167" s="90">
        <v>-896.7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">
      <c r="D168" s="89"/>
      <c r="E168" s="89" t="s">
        <v>81</v>
      </c>
      <c r="F168" s="90">
        <v>6600836.2999999998</v>
      </c>
      <c r="G168" s="90">
        <v>1349445.39</v>
      </c>
      <c r="H168" s="90">
        <v>757512.17</v>
      </c>
      <c r="I168" s="90">
        <v>404376.25</v>
      </c>
      <c r="J168" s="90">
        <v>441370.36</v>
      </c>
      <c r="K168" s="90">
        <v>10958.07</v>
      </c>
      <c r="L168" s="90">
        <v>63878.54</v>
      </c>
      <c r="M168" s="90">
        <v>95989.48</v>
      </c>
      <c r="N168" s="90">
        <v>135954.56</v>
      </c>
      <c r="O168" s="90">
        <v>626871.1</v>
      </c>
      <c r="P168" s="90">
        <v>2696583.37</v>
      </c>
      <c r="Q168" s="90">
        <v>17899.55</v>
      </c>
      <c r="R168" s="90">
        <v>-2.15</v>
      </c>
      <c r="S168" s="90">
        <v>-0.39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">
      <c r="D169" t="s">
        <v>87</v>
      </c>
      <c r="E169" s="89" t="s">
        <v>70</v>
      </c>
      <c r="F169" s="90">
        <v>667955946.85000002</v>
      </c>
      <c r="G169" s="90">
        <v>122351346.34</v>
      </c>
      <c r="H169" s="90">
        <v>69060134.530000001</v>
      </c>
      <c r="I169" s="90">
        <v>36487991.799999997</v>
      </c>
      <c r="J169" s="90">
        <v>53074496.890000001</v>
      </c>
      <c r="K169" s="90">
        <v>1394784.48</v>
      </c>
      <c r="L169" s="90">
        <v>27753378.539999999</v>
      </c>
      <c r="M169" s="90">
        <v>12239885.26</v>
      </c>
      <c r="N169" s="90">
        <v>17412078.640000001</v>
      </c>
      <c r="O169" s="90">
        <v>82777221.180000007</v>
      </c>
      <c r="P169" s="90">
        <v>243119061.13999999</v>
      </c>
      <c r="Q169" s="90">
        <v>2286467.29</v>
      </c>
      <c r="R169" s="90">
        <v>-898.85</v>
      </c>
      <c r="S169" s="90">
        <v>-0.39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">
      <c r="C170" s="94" t="s">
        <v>119</v>
      </c>
      <c r="D170" s="94" t="s">
        <v>70</v>
      </c>
      <c r="E170" s="101"/>
      <c r="F170" s="93">
        <v>1331532739.24</v>
      </c>
      <c r="G170" s="93">
        <v>174141031.06999999</v>
      </c>
      <c r="H170" s="93">
        <v>97453442.469999999</v>
      </c>
      <c r="I170" s="93">
        <v>51434524.359999999</v>
      </c>
      <c r="J170" s="93">
        <v>200106865.12</v>
      </c>
      <c r="K170" s="93">
        <v>5460180.4699999997</v>
      </c>
      <c r="L170" s="93">
        <v>29180991.390000001</v>
      </c>
      <c r="M170" s="93">
        <v>47844698.909999996</v>
      </c>
      <c r="N170" s="93">
        <v>66081045.369999997</v>
      </c>
      <c r="O170" s="93">
        <v>304321622.49000001</v>
      </c>
      <c r="P170" s="93">
        <v>346571768.51999998</v>
      </c>
      <c r="Q170" s="93">
        <v>8939928.0500000007</v>
      </c>
      <c r="R170" s="93">
        <v>-3345.45</v>
      </c>
      <c r="S170" s="93">
        <v>-12.77</v>
      </c>
      <c r="T170" s="93">
        <v>0.04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-0.8</v>
      </c>
    </row>
    <row r="171" spans="1:26" s="226" customFormat="1" ht="12.75" customHeight="1" x14ac:dyDescent="0.2">
      <c r="B171" s="98" t="s">
        <v>112</v>
      </c>
      <c r="C171" s="98" t="s">
        <v>70</v>
      </c>
      <c r="F171" s="100">
        <v>25411656495.759998</v>
      </c>
      <c r="G171" s="100">
        <v>1575163852.5699999</v>
      </c>
      <c r="H171" s="100">
        <v>883359566.12</v>
      </c>
      <c r="I171" s="100">
        <v>463664201.30000001</v>
      </c>
      <c r="J171" s="100">
        <v>5771019776.8500004</v>
      </c>
      <c r="K171" s="100">
        <v>221091165.91</v>
      </c>
      <c r="L171" s="100">
        <v>53454221.280000001</v>
      </c>
      <c r="M171" s="100">
        <v>1937665740.24</v>
      </c>
      <c r="N171" s="100">
        <v>1932446003.3699999</v>
      </c>
      <c r="O171" s="100">
        <v>9106226356.1200008</v>
      </c>
      <c r="P171" s="100">
        <v>3106209538.75</v>
      </c>
      <c r="Q171" s="100">
        <v>361269505.43000001</v>
      </c>
      <c r="R171" s="100">
        <v>86691.03</v>
      </c>
      <c r="S171" s="100">
        <v>-83.63</v>
      </c>
      <c r="T171" s="100">
        <v>4.18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-43.76</v>
      </c>
    </row>
    <row r="172" spans="1:26" ht="12.75" customHeight="1" x14ac:dyDescent="0.2">
      <c r="A172" t="s">
        <v>78</v>
      </c>
      <c r="B172" s="89" t="s">
        <v>70</v>
      </c>
      <c r="C172" s="89"/>
      <c r="F172" s="90">
        <v>25442049927.389999</v>
      </c>
      <c r="G172" s="90">
        <v>1582872787.47</v>
      </c>
      <c r="H172" s="90">
        <v>887717779.16999996</v>
      </c>
      <c r="I172" s="90">
        <v>465974337.00999999</v>
      </c>
      <c r="J172" s="90">
        <v>5771193704.2299995</v>
      </c>
      <c r="K172" s="90">
        <v>221096477</v>
      </c>
      <c r="L172" s="90">
        <v>53454221.280000001</v>
      </c>
      <c r="M172" s="90">
        <v>1937712328.6700001</v>
      </c>
      <c r="N172" s="90">
        <v>1932499941.4300001</v>
      </c>
      <c r="O172" s="90">
        <v>9106477787.6399994</v>
      </c>
      <c r="P172" s="90">
        <v>3121685825.1999998</v>
      </c>
      <c r="Q172" s="90">
        <v>361278170.88</v>
      </c>
      <c r="R172" s="90">
        <v>86690.62</v>
      </c>
      <c r="S172" s="90">
        <v>-83.63</v>
      </c>
      <c r="T172" s="90">
        <v>4.18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-43.76</v>
      </c>
    </row>
    <row r="173" spans="1:26" ht="12.75" customHeight="1" x14ac:dyDescent="0.2">
      <c r="B173" s="89"/>
      <c r="C173" s="89"/>
      <c r="E173" t="s">
        <v>73</v>
      </c>
      <c r="F173" s="90">
        <v>25934600.629999999</v>
      </c>
      <c r="G173" s="90">
        <v>6682708.8499999996</v>
      </c>
      <c r="H173" s="90">
        <v>3777829.13</v>
      </c>
      <c r="I173" s="90">
        <v>2001663.41</v>
      </c>
      <c r="J173" s="90">
        <v>21059.439999999999</v>
      </c>
      <c r="K173" s="90">
        <v>388.78</v>
      </c>
      <c r="L173" s="90">
        <v>0</v>
      </c>
      <c r="M173" s="90">
        <v>3410.32</v>
      </c>
      <c r="N173" s="90">
        <v>6455.7</v>
      </c>
      <c r="O173" s="90">
        <v>30601.34</v>
      </c>
      <c r="P173" s="90">
        <v>13409849.35</v>
      </c>
      <c r="Q173" s="90">
        <v>634.30999999999995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">
      <c r="B174" s="89"/>
      <c r="C174" s="89"/>
      <c r="D174" t="s">
        <v>156</v>
      </c>
      <c r="E174" t="s">
        <v>70</v>
      </c>
      <c r="F174" s="90">
        <v>25934600.629999999</v>
      </c>
      <c r="G174" s="90">
        <v>6682708.8499999996</v>
      </c>
      <c r="H174" s="90">
        <v>3777829.13</v>
      </c>
      <c r="I174" s="90">
        <v>2001663.41</v>
      </c>
      <c r="J174" s="90">
        <v>21059.439999999999</v>
      </c>
      <c r="K174" s="90">
        <v>388.78</v>
      </c>
      <c r="L174" s="90">
        <v>0</v>
      </c>
      <c r="M174" s="90">
        <v>3410.32</v>
      </c>
      <c r="N174" s="90">
        <v>6455.7</v>
      </c>
      <c r="O174" s="90">
        <v>30601.34</v>
      </c>
      <c r="P174" s="90">
        <v>13409849.35</v>
      </c>
      <c r="Q174" s="90">
        <v>634.30999999999995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">
      <c r="C175" s="656" t="s">
        <v>155</v>
      </c>
      <c r="D175" s="657" t="s">
        <v>70</v>
      </c>
      <c r="E175" s="657"/>
      <c r="F175" s="658">
        <v>25934600.629999999</v>
      </c>
      <c r="G175" s="658">
        <v>6682708.8499999996</v>
      </c>
      <c r="H175" s="658">
        <v>3777829.13</v>
      </c>
      <c r="I175" s="658">
        <v>2001663.41</v>
      </c>
      <c r="J175" s="658">
        <v>21059.439999999999</v>
      </c>
      <c r="K175" s="658">
        <v>388.78</v>
      </c>
      <c r="L175" s="658">
        <v>0</v>
      </c>
      <c r="M175" s="658">
        <v>3410.32</v>
      </c>
      <c r="N175" s="658">
        <v>6455.7</v>
      </c>
      <c r="O175" s="658">
        <v>30601.34</v>
      </c>
      <c r="P175" s="658">
        <v>13409849.35</v>
      </c>
      <c r="Q175" s="658">
        <v>634.30999999999995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">
      <c r="D185" s="89"/>
      <c r="E185" s="89" t="s">
        <v>73</v>
      </c>
      <c r="F185" s="371">
        <v>-128977.37</v>
      </c>
      <c r="G185" s="90">
        <v>-6033.92</v>
      </c>
      <c r="H185" s="90">
        <v>-3410.66</v>
      </c>
      <c r="I185" s="90">
        <v>-1805.06</v>
      </c>
      <c r="J185" s="90">
        <v>-34653.019999999997</v>
      </c>
      <c r="K185" s="90">
        <v>-1065.44</v>
      </c>
      <c r="L185" s="90">
        <v>0</v>
      </c>
      <c r="M185" s="90">
        <v>-9345.8799999999992</v>
      </c>
      <c r="N185" s="90">
        <v>-10375.780000000001</v>
      </c>
      <c r="O185" s="90">
        <v>-48453.07</v>
      </c>
      <c r="P185" s="90">
        <v>-12096.2</v>
      </c>
      <c r="Q185" s="90">
        <v>-1738.34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">
      <c r="D186" s="89" t="s">
        <v>86</v>
      </c>
      <c r="E186" s="89" t="s">
        <v>70</v>
      </c>
      <c r="F186" s="371">
        <v>-128977.37</v>
      </c>
      <c r="G186" s="90">
        <v>-6033.92</v>
      </c>
      <c r="H186" s="90">
        <v>-3410.66</v>
      </c>
      <c r="I186" s="90">
        <v>-1805.06</v>
      </c>
      <c r="J186" s="90">
        <v>-34653.019999999997</v>
      </c>
      <c r="K186" s="90">
        <v>-1065.44</v>
      </c>
      <c r="L186" s="90">
        <v>0</v>
      </c>
      <c r="M186" s="90">
        <v>-9345.8799999999992</v>
      </c>
      <c r="N186" s="90">
        <v>-10375.780000000001</v>
      </c>
      <c r="O186" s="90">
        <v>-48453.07</v>
      </c>
      <c r="P186" s="90">
        <v>-12096.2</v>
      </c>
      <c r="Q186" s="90">
        <v>-1738.34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">
      <c r="E187" t="s">
        <v>73</v>
      </c>
      <c r="F187" s="90">
        <v>-8984.89</v>
      </c>
      <c r="G187" s="90">
        <v>-469.66</v>
      </c>
      <c r="H187" s="90">
        <v>-266.35000000000002</v>
      </c>
      <c r="I187" s="90">
        <v>-144.41999999999999</v>
      </c>
      <c r="J187" s="90">
        <v>-2366.48</v>
      </c>
      <c r="K187" s="90">
        <v>-56.96</v>
      </c>
      <c r="L187" s="90">
        <v>0</v>
      </c>
      <c r="M187" s="90">
        <v>-499.71</v>
      </c>
      <c r="N187" s="90">
        <v>-736.71</v>
      </c>
      <c r="O187" s="90">
        <v>-3405.27</v>
      </c>
      <c r="P187" s="90">
        <v>-946.38</v>
      </c>
      <c r="Q187" s="90">
        <v>-92.95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">
      <c r="D188" t="s">
        <v>87</v>
      </c>
      <c r="E188" t="s">
        <v>70</v>
      </c>
      <c r="F188" s="90">
        <v>-8984.89</v>
      </c>
      <c r="G188" s="90">
        <v>-469.66</v>
      </c>
      <c r="H188" s="90">
        <v>-266.35000000000002</v>
      </c>
      <c r="I188" s="90">
        <v>-144.41999999999999</v>
      </c>
      <c r="J188" s="90">
        <v>-2366.48</v>
      </c>
      <c r="K188" s="90">
        <v>-56.96</v>
      </c>
      <c r="L188" s="90">
        <v>0</v>
      </c>
      <c r="M188" s="90">
        <v>-499.71</v>
      </c>
      <c r="N188" s="90">
        <v>-736.71</v>
      </c>
      <c r="O188" s="90">
        <v>-3405.27</v>
      </c>
      <c r="P188" s="90">
        <v>-946.38</v>
      </c>
      <c r="Q188" s="90">
        <v>-92.95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">
      <c r="C189" s="94" t="s">
        <v>119</v>
      </c>
      <c r="D189" s="94" t="s">
        <v>70</v>
      </c>
      <c r="E189" s="101"/>
      <c r="F189" s="93">
        <v>-137962.26</v>
      </c>
      <c r="G189" s="93">
        <v>-6503.58</v>
      </c>
      <c r="H189" s="93">
        <v>-3677.01</v>
      </c>
      <c r="I189" s="93">
        <v>-1949.48</v>
      </c>
      <c r="J189" s="93">
        <v>-37019.5</v>
      </c>
      <c r="K189" s="93">
        <v>-1122.4000000000001</v>
      </c>
      <c r="L189" s="93">
        <v>0</v>
      </c>
      <c r="M189" s="93">
        <v>-9845.59</v>
      </c>
      <c r="N189" s="93">
        <v>-11112.49</v>
      </c>
      <c r="O189" s="93">
        <v>-51858.34</v>
      </c>
      <c r="P189" s="93">
        <v>-13042.58</v>
      </c>
      <c r="Q189" s="93">
        <v>-1831.29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">
      <c r="B190" s="378" t="s">
        <v>122</v>
      </c>
      <c r="C190" s="378" t="s">
        <v>70</v>
      </c>
      <c r="E190" s="376"/>
      <c r="F190" s="710">
        <v>25796638.370000001</v>
      </c>
      <c r="G190" s="377">
        <v>6676205.2699999996</v>
      </c>
      <c r="H190" s="377">
        <v>3774152.12</v>
      </c>
      <c r="I190" s="377">
        <v>1999713.93</v>
      </c>
      <c r="J190" s="377">
        <v>-15960.06</v>
      </c>
      <c r="K190" s="377">
        <v>-733.62</v>
      </c>
      <c r="L190" s="377">
        <v>0</v>
      </c>
      <c r="M190" s="377">
        <v>-6435.27</v>
      </c>
      <c r="N190" s="377">
        <v>-4656.79</v>
      </c>
      <c r="O190" s="377">
        <v>-21257</v>
      </c>
      <c r="P190" s="377">
        <v>13396806.77</v>
      </c>
      <c r="Q190" s="377">
        <v>-1196.98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">
      <c r="E191" s="89" t="s">
        <v>73</v>
      </c>
      <c r="F191" s="90">
        <v>-5016640264.6700001</v>
      </c>
      <c r="G191" s="90">
        <v>-120615699.15000001</v>
      </c>
      <c r="H191" s="90">
        <v>-67567315.689999998</v>
      </c>
      <c r="I191" s="90">
        <v>-35149668.939999998</v>
      </c>
      <c r="J191" s="90">
        <v>-1363592731.79</v>
      </c>
      <c r="K191" s="90">
        <v>-52548443.060000002</v>
      </c>
      <c r="L191" s="90">
        <v>0</v>
      </c>
      <c r="M191" s="90">
        <v>-460998533.55000001</v>
      </c>
      <c r="N191" s="90">
        <v>-454669135.02999997</v>
      </c>
      <c r="O191" s="90">
        <v>-2143895846.29</v>
      </c>
      <c r="P191" s="90">
        <v>-231862522.75999999</v>
      </c>
      <c r="Q191" s="90">
        <v>-85740368.409999996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">
      <c r="D192" s="89" t="s">
        <v>156</v>
      </c>
      <c r="E192" s="89" t="s">
        <v>70</v>
      </c>
      <c r="F192" s="90">
        <v>-5016640264.6700001</v>
      </c>
      <c r="G192" s="90">
        <v>-120615699.15000001</v>
      </c>
      <c r="H192" s="90">
        <v>-67567315.689999998</v>
      </c>
      <c r="I192" s="90">
        <v>-35149668.939999998</v>
      </c>
      <c r="J192" s="90">
        <v>-1363592731.79</v>
      </c>
      <c r="K192" s="90">
        <v>-52548443.060000002</v>
      </c>
      <c r="L192" s="90">
        <v>0</v>
      </c>
      <c r="M192" s="90">
        <v>-460998533.55000001</v>
      </c>
      <c r="N192" s="90">
        <v>-454669135.02999997</v>
      </c>
      <c r="O192" s="90">
        <v>-2143895846.29</v>
      </c>
      <c r="P192" s="90">
        <v>-231862522.75999999</v>
      </c>
      <c r="Q192" s="90">
        <v>-85740368.409999996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">
      <c r="C193" s="656" t="s">
        <v>155</v>
      </c>
      <c r="D193" s="657" t="s">
        <v>70</v>
      </c>
      <c r="E193" s="657"/>
      <c r="F193" s="738">
        <v>-5016640264.6700001</v>
      </c>
      <c r="G193" s="658">
        <v>-120615699.15000001</v>
      </c>
      <c r="H193" s="658">
        <v>-67567315.689999998</v>
      </c>
      <c r="I193" s="658">
        <v>-35149668.939999998</v>
      </c>
      <c r="J193" s="658">
        <v>-1363592731.79</v>
      </c>
      <c r="K193" s="658">
        <v>-52548443.060000002</v>
      </c>
      <c r="L193" s="658">
        <v>0</v>
      </c>
      <c r="M193" s="658">
        <v>-460998533.55000001</v>
      </c>
      <c r="N193" s="658">
        <v>-454669135.02999997</v>
      </c>
      <c r="O193" s="658">
        <v>-2143895846.29</v>
      </c>
      <c r="P193" s="658">
        <v>-231862522.75999999</v>
      </c>
      <c r="Q193" s="658">
        <v>-85740368.409999996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">
      <c r="D194" s="89"/>
      <c r="E194" s="89" t="s">
        <v>73</v>
      </c>
      <c r="F194" s="371">
        <v>-328437.49</v>
      </c>
      <c r="G194" s="90">
        <v>-11613.87</v>
      </c>
      <c r="H194" s="90">
        <v>-5643.65</v>
      </c>
      <c r="I194" s="90">
        <v>-3115.56</v>
      </c>
      <c r="J194" s="90">
        <v>-94908.85</v>
      </c>
      <c r="K194" s="90">
        <v>-2649.28</v>
      </c>
      <c r="L194" s="90">
        <v>0</v>
      </c>
      <c r="M194" s="90">
        <v>-23240.44</v>
      </c>
      <c r="N194" s="90">
        <v>-28376.91</v>
      </c>
      <c r="O194" s="90">
        <v>-131234.69</v>
      </c>
      <c r="P194" s="90">
        <v>-23331.45</v>
      </c>
      <c r="Q194" s="90">
        <v>-4322.79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">
      <c r="D195" s="89" t="s">
        <v>115</v>
      </c>
      <c r="E195" s="89" t="s">
        <v>70</v>
      </c>
      <c r="F195" s="371">
        <v>-328437.49</v>
      </c>
      <c r="G195" s="90">
        <v>-11613.87</v>
      </c>
      <c r="H195" s="90">
        <v>-5643.65</v>
      </c>
      <c r="I195" s="90">
        <v>-3115.56</v>
      </c>
      <c r="J195" s="90">
        <v>-94908.85</v>
      </c>
      <c r="K195" s="90">
        <v>-2649.28</v>
      </c>
      <c r="L195" s="90">
        <v>0</v>
      </c>
      <c r="M195" s="90">
        <v>-23240.44</v>
      </c>
      <c r="N195" s="90">
        <v>-28376.91</v>
      </c>
      <c r="O195" s="90">
        <v>-131234.69</v>
      </c>
      <c r="P195" s="90">
        <v>-23331.45</v>
      </c>
      <c r="Q195" s="90">
        <v>-4322.79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">
      <c r="D196" s="89"/>
      <c r="E196" s="89" t="s">
        <v>73</v>
      </c>
      <c r="F196" s="371">
        <v>-112415.22</v>
      </c>
      <c r="G196" s="90">
        <v>-4551.45</v>
      </c>
      <c r="H196" s="90">
        <v>-1756.71</v>
      </c>
      <c r="I196" s="90">
        <v>-1018.9</v>
      </c>
      <c r="J196" s="90">
        <v>-37031.17</v>
      </c>
      <c r="K196" s="90">
        <v>-812.03</v>
      </c>
      <c r="L196" s="90">
        <v>0</v>
      </c>
      <c r="M196" s="90">
        <v>-7123.15</v>
      </c>
      <c r="N196" s="90">
        <v>-9135.7099999999991</v>
      </c>
      <c r="O196" s="90">
        <v>-41432.519999999997</v>
      </c>
      <c r="P196" s="90">
        <v>-8228.67</v>
      </c>
      <c r="Q196" s="90">
        <v>-1324.91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">
      <c r="D197" s="89" t="s">
        <v>116</v>
      </c>
      <c r="E197" s="89" t="s">
        <v>70</v>
      </c>
      <c r="F197" s="371">
        <v>-112415.22</v>
      </c>
      <c r="G197" s="90">
        <v>-4551.45</v>
      </c>
      <c r="H197" s="90">
        <v>-1756.71</v>
      </c>
      <c r="I197" s="90">
        <v>-1018.9</v>
      </c>
      <c r="J197" s="90">
        <v>-37031.17</v>
      </c>
      <c r="K197" s="90">
        <v>-812.03</v>
      </c>
      <c r="L197" s="90">
        <v>0</v>
      </c>
      <c r="M197" s="90">
        <v>-7123.15</v>
      </c>
      <c r="N197" s="90">
        <v>-9135.7099999999991</v>
      </c>
      <c r="O197" s="90">
        <v>-41432.519999999997</v>
      </c>
      <c r="P197" s="90">
        <v>-8228.67</v>
      </c>
      <c r="Q197" s="90">
        <v>-1324.91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">
      <c r="E198" s="89" t="s">
        <v>73</v>
      </c>
      <c r="F198" s="90">
        <v>-3451240.48</v>
      </c>
      <c r="G198" s="90">
        <v>-135031.01999999999</v>
      </c>
      <c r="H198" s="90">
        <v>-72868.27</v>
      </c>
      <c r="I198" s="90">
        <v>-38986.629999999997</v>
      </c>
      <c r="J198" s="90">
        <v>-945786.81</v>
      </c>
      <c r="K198" s="90">
        <v>-30905.95</v>
      </c>
      <c r="L198" s="90">
        <v>0</v>
      </c>
      <c r="M198" s="90">
        <v>-271103.17</v>
      </c>
      <c r="N198" s="90">
        <v>-289542.81</v>
      </c>
      <c r="O198" s="90">
        <v>-1357719.27</v>
      </c>
      <c r="P198" s="90">
        <v>-258871.15</v>
      </c>
      <c r="Q198" s="90">
        <v>-50425.4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">
      <c r="D199" s="89" t="s">
        <v>118</v>
      </c>
      <c r="E199" s="89" t="s">
        <v>70</v>
      </c>
      <c r="F199" s="90">
        <v>-3451240.48</v>
      </c>
      <c r="G199" s="90">
        <v>-135031.01999999999</v>
      </c>
      <c r="H199" s="90">
        <v>-72868.27</v>
      </c>
      <c r="I199" s="90">
        <v>-38986.629999999997</v>
      </c>
      <c r="J199" s="90">
        <v>-945786.81</v>
      </c>
      <c r="K199" s="90">
        <v>-30905.95</v>
      </c>
      <c r="L199" s="90">
        <v>0</v>
      </c>
      <c r="M199" s="90">
        <v>-271103.17</v>
      </c>
      <c r="N199" s="90">
        <v>-289542.81</v>
      </c>
      <c r="O199" s="90">
        <v>-1357719.27</v>
      </c>
      <c r="P199" s="90">
        <v>-258871.15</v>
      </c>
      <c r="Q199" s="90">
        <v>-50425.4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">
      <c r="C200" s="223" t="s">
        <v>120</v>
      </c>
      <c r="D200" s="223" t="s">
        <v>70</v>
      </c>
      <c r="F200" s="225">
        <v>-3892093.19</v>
      </c>
      <c r="G200" s="225">
        <v>-151196.34</v>
      </c>
      <c r="H200" s="225">
        <v>-80268.63</v>
      </c>
      <c r="I200" s="225">
        <v>-43121.09</v>
      </c>
      <c r="J200" s="225">
        <v>-1077726.83</v>
      </c>
      <c r="K200" s="225">
        <v>-34367.26</v>
      </c>
      <c r="L200" s="225">
        <v>0</v>
      </c>
      <c r="M200" s="225">
        <v>-301466.76</v>
      </c>
      <c r="N200" s="225">
        <v>-327055.43</v>
      </c>
      <c r="O200" s="225">
        <v>-1530386.48</v>
      </c>
      <c r="P200" s="225">
        <v>-290431.27</v>
      </c>
      <c r="Q200" s="225">
        <v>-56073.1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">
      <c r="E201" s="89" t="s">
        <v>73</v>
      </c>
      <c r="F201" s="90">
        <v>-42013168.380000003</v>
      </c>
      <c r="G201" s="90">
        <v>1551885.63</v>
      </c>
      <c r="H201" s="90">
        <v>903751.08</v>
      </c>
      <c r="I201" s="90">
        <v>494344.81</v>
      </c>
      <c r="J201" s="90">
        <v>-15659485.85</v>
      </c>
      <c r="K201" s="90">
        <v>-397964.69</v>
      </c>
      <c r="L201" s="90">
        <v>0</v>
      </c>
      <c r="M201" s="90">
        <v>-3500779.72</v>
      </c>
      <c r="N201" s="90">
        <v>-5014588.16</v>
      </c>
      <c r="O201" s="90">
        <v>-23024162.739999998</v>
      </c>
      <c r="P201" s="90">
        <v>3283440.05</v>
      </c>
      <c r="Q201" s="90">
        <v>-649608.79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">
      <c r="D202" s="89" t="s">
        <v>82</v>
      </c>
      <c r="E202" s="89" t="s">
        <v>70</v>
      </c>
      <c r="F202" s="90">
        <v>-42013168.380000003</v>
      </c>
      <c r="G202" s="90">
        <v>1551885.63</v>
      </c>
      <c r="H202" s="90">
        <v>903751.08</v>
      </c>
      <c r="I202" s="90">
        <v>494344.81</v>
      </c>
      <c r="J202" s="90">
        <v>-15659485.85</v>
      </c>
      <c r="K202" s="90">
        <v>-397964.69</v>
      </c>
      <c r="L202" s="90">
        <v>0</v>
      </c>
      <c r="M202" s="90">
        <v>-3500779.72</v>
      </c>
      <c r="N202" s="90">
        <v>-5014588.16</v>
      </c>
      <c r="O202" s="90">
        <v>-23024162.739999998</v>
      </c>
      <c r="P202" s="90">
        <v>3283440.05</v>
      </c>
      <c r="Q202" s="90">
        <v>-649608.79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">
      <c r="E203" s="89" t="s">
        <v>73</v>
      </c>
      <c r="F203" s="90">
        <v>5200539.08</v>
      </c>
      <c r="G203" s="90">
        <v>4284652.66</v>
      </c>
      <c r="H203" s="90">
        <v>2271169.16</v>
      </c>
      <c r="I203" s="90">
        <v>1160829.6000000001</v>
      </c>
      <c r="J203" s="90">
        <v>-3512101.13</v>
      </c>
      <c r="K203" s="90">
        <v>-95526.76</v>
      </c>
      <c r="L203" s="90">
        <v>0</v>
      </c>
      <c r="M203" s="90">
        <v>-838541.47</v>
      </c>
      <c r="N203" s="90">
        <v>-1042638.62</v>
      </c>
      <c r="O203" s="90">
        <v>-5481137.8099999996</v>
      </c>
      <c r="P203" s="90">
        <v>8609797.8800000008</v>
      </c>
      <c r="Q203" s="90">
        <v>-155964.43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">
      <c r="D204" s="89" t="s">
        <v>86</v>
      </c>
      <c r="E204" s="89" t="s">
        <v>70</v>
      </c>
      <c r="F204" s="90">
        <v>5200539.08</v>
      </c>
      <c r="G204" s="90">
        <v>4284652.66</v>
      </c>
      <c r="H204" s="90">
        <v>2271169.16</v>
      </c>
      <c r="I204" s="90">
        <v>1160829.6000000001</v>
      </c>
      <c r="J204" s="90">
        <v>-3512101.13</v>
      </c>
      <c r="K204" s="90">
        <v>-95526.76</v>
      </c>
      <c r="L204" s="90">
        <v>0</v>
      </c>
      <c r="M204" s="90">
        <v>-838541.47</v>
      </c>
      <c r="N204" s="90">
        <v>-1042638.62</v>
      </c>
      <c r="O204" s="90">
        <v>-5481137.8099999996</v>
      </c>
      <c r="P204" s="90">
        <v>8609797.8800000008</v>
      </c>
      <c r="Q204" s="90">
        <v>-155964.43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">
      <c r="E205" s="89" t="s">
        <v>73</v>
      </c>
      <c r="F205" s="90">
        <v>51817160.149999999</v>
      </c>
      <c r="G205" s="90">
        <v>15021525.93</v>
      </c>
      <c r="H205" s="90">
        <v>8504894.6899999995</v>
      </c>
      <c r="I205" s="90">
        <v>4570984.68</v>
      </c>
      <c r="J205" s="90">
        <v>-1718924.16</v>
      </c>
      <c r="K205" s="90">
        <v>-58626.77</v>
      </c>
      <c r="L205" s="90">
        <v>0</v>
      </c>
      <c r="M205" s="90">
        <v>-521631.88</v>
      </c>
      <c r="N205" s="90">
        <v>-773257.11</v>
      </c>
      <c r="O205" s="90">
        <v>-3589904.61</v>
      </c>
      <c r="P205" s="90">
        <v>30477829.460000001</v>
      </c>
      <c r="Q205" s="90">
        <v>-95730.08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">
      <c r="D206" s="89" t="s">
        <v>87</v>
      </c>
      <c r="E206" s="89" t="s">
        <v>70</v>
      </c>
      <c r="F206" s="90">
        <v>51817160.149999999</v>
      </c>
      <c r="G206" s="90">
        <v>15021525.93</v>
      </c>
      <c r="H206" s="90">
        <v>8504894.6899999995</v>
      </c>
      <c r="I206" s="90">
        <v>4570984.68</v>
      </c>
      <c r="J206" s="90">
        <v>-1718924.16</v>
      </c>
      <c r="K206" s="90">
        <v>-58626.77</v>
      </c>
      <c r="L206" s="90">
        <v>0</v>
      </c>
      <c r="M206" s="90">
        <v>-521631.88</v>
      </c>
      <c r="N206" s="90">
        <v>-773257.11</v>
      </c>
      <c r="O206" s="90">
        <v>-3589904.61</v>
      </c>
      <c r="P206" s="90">
        <v>30477829.460000001</v>
      </c>
      <c r="Q206" s="90">
        <v>-95730.08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">
      <c r="C207" s="101" t="s">
        <v>119</v>
      </c>
      <c r="D207" s="101" t="s">
        <v>70</v>
      </c>
      <c r="F207" s="93">
        <v>15004530.85</v>
      </c>
      <c r="G207" s="93">
        <v>20858064.219999999</v>
      </c>
      <c r="H207" s="93">
        <v>11679814.93</v>
      </c>
      <c r="I207" s="93">
        <v>6226159.0899999999</v>
      </c>
      <c r="J207" s="93">
        <v>-20890511.140000001</v>
      </c>
      <c r="K207" s="93">
        <v>-552118.22</v>
      </c>
      <c r="L207" s="93">
        <v>0</v>
      </c>
      <c r="M207" s="93">
        <v>-4860953.07</v>
      </c>
      <c r="N207" s="93">
        <v>-6830483.8899999997</v>
      </c>
      <c r="O207" s="93">
        <v>-32095205.16</v>
      </c>
      <c r="P207" s="93">
        <v>42371067.390000001</v>
      </c>
      <c r="Q207" s="93">
        <v>-901303.3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">
      <c r="B208" s="98" t="s">
        <v>112</v>
      </c>
      <c r="C208" s="98" t="s">
        <v>70</v>
      </c>
      <c r="F208" s="100">
        <v>-5005527827.0100002</v>
      </c>
      <c r="G208" s="100">
        <v>-99908831.269999996</v>
      </c>
      <c r="H208" s="100">
        <v>-55967769.390000001</v>
      </c>
      <c r="I208" s="100">
        <v>-28966630.940000001</v>
      </c>
      <c r="J208" s="100">
        <v>-1385560969.76</v>
      </c>
      <c r="K208" s="100">
        <v>-53134928.539999999</v>
      </c>
      <c r="L208" s="100">
        <v>0</v>
      </c>
      <c r="M208" s="100">
        <v>-466160953.38</v>
      </c>
      <c r="N208" s="100">
        <v>-461826674.35000002</v>
      </c>
      <c r="O208" s="100">
        <v>-2177521437.9299998</v>
      </c>
      <c r="P208" s="100">
        <v>-189781886.63999999</v>
      </c>
      <c r="Q208" s="100">
        <v>-86697744.810000002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">
      <c r="A209" s="89" t="s">
        <v>79</v>
      </c>
      <c r="B209" s="89" t="s">
        <v>70</v>
      </c>
      <c r="F209" s="90">
        <v>-4979731188.6400003</v>
      </c>
      <c r="G209" s="90">
        <v>-93232626</v>
      </c>
      <c r="H209" s="90">
        <v>-52193617.270000003</v>
      </c>
      <c r="I209" s="90">
        <v>-26966917.010000002</v>
      </c>
      <c r="J209" s="90">
        <v>-1385576929.8199999</v>
      </c>
      <c r="K209" s="90">
        <v>-53135662.159999996</v>
      </c>
      <c r="L209" s="90">
        <v>0</v>
      </c>
      <c r="M209" s="90">
        <v>-466167388.64999998</v>
      </c>
      <c r="N209" s="90">
        <v>-461831331.13999999</v>
      </c>
      <c r="O209" s="90">
        <v>-2177542694.9299998</v>
      </c>
      <c r="P209" s="90">
        <v>-176385079.87</v>
      </c>
      <c r="Q209" s="90">
        <v>-86698941.790000007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">
      <c r="A210" s="89" t="s">
        <v>70</v>
      </c>
      <c r="F210" s="90">
        <v>20461912832</v>
      </c>
      <c r="G210" s="90">
        <v>1489603908.23</v>
      </c>
      <c r="H210" s="90">
        <v>835508760.54999995</v>
      </c>
      <c r="I210" s="90">
        <v>439000694.19999999</v>
      </c>
      <c r="J210" s="90">
        <v>4385536752.0500002</v>
      </c>
      <c r="K210" s="90">
        <v>167957450.38</v>
      </c>
      <c r="L210" s="90">
        <v>53454221.280000001</v>
      </c>
      <c r="M210" s="90">
        <v>1471515426.02</v>
      </c>
      <c r="N210" s="90">
        <v>1470631622.3900001</v>
      </c>
      <c r="O210" s="90">
        <v>6928810826.0799999</v>
      </c>
      <c r="P210" s="90">
        <v>2945232863.9299998</v>
      </c>
      <c r="Q210" s="90">
        <v>274573739.48000002</v>
      </c>
      <c r="R210" s="90">
        <v>86690.62</v>
      </c>
      <c r="S210" s="90">
        <v>-83.63</v>
      </c>
      <c r="T210" s="90">
        <v>4.18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-43.76</v>
      </c>
    </row>
    <row r="211" spans="1:26" ht="12.75" customHeight="1" x14ac:dyDescent="0.2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">
      <c r="C254" s="778" t="s">
        <v>2</v>
      </c>
      <c r="D254" s="775" t="s">
        <v>132</v>
      </c>
      <c r="E254" s="98" t="s">
        <v>70</v>
      </c>
      <c r="F254" s="100">
        <f>F171+F208-L171+F120-L120</f>
        <v>20352268540.720001</v>
      </c>
      <c r="G254" s="100">
        <f>G171+G120</f>
        <v>1575127599.3299999</v>
      </c>
      <c r="H254" s="100">
        <f t="shared" ref="G254:AP254" si="7">H171+H120</f>
        <v>883344164.76999998</v>
      </c>
      <c r="I254" s="100">
        <f t="shared" si="7"/>
        <v>463657475.5</v>
      </c>
      <c r="J254" s="100">
        <f t="shared" si="7"/>
        <v>5770939754.4900007</v>
      </c>
      <c r="K254" s="100">
        <f t="shared" si="7"/>
        <v>221087801.44999999</v>
      </c>
      <c r="L254" s="100">
        <f t="shared" si="7"/>
        <v>53454221.280000001</v>
      </c>
      <c r="M254" s="100">
        <f t="shared" si="7"/>
        <v>1937636226.24</v>
      </c>
      <c r="N254" s="100">
        <f t="shared" si="7"/>
        <v>1932409015.4699998</v>
      </c>
      <c r="O254" s="100">
        <f t="shared" si="7"/>
        <v>9106102089.4900017</v>
      </c>
      <c r="P254" s="100">
        <f t="shared" si="7"/>
        <v>3106141657.3499999</v>
      </c>
      <c r="Q254" s="100">
        <f t="shared" si="7"/>
        <v>361264015.81999999</v>
      </c>
      <c r="R254" s="100">
        <f t="shared" si="7"/>
        <v>86691.03</v>
      </c>
      <c r="S254" s="100">
        <f t="shared" si="7"/>
        <v>-83.63</v>
      </c>
      <c r="T254" s="100">
        <f t="shared" si="7"/>
        <v>4.18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-43.76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">
      <c r="C255" s="778"/>
      <c r="D255" s="775"/>
      <c r="E255" s="98" t="s">
        <v>73</v>
      </c>
      <c r="F255" s="100">
        <f>F208</f>
        <v>-5005527827.0100002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">
      <c r="C256" s="778"/>
      <c r="D256" s="775" t="s">
        <v>133</v>
      </c>
      <c r="E256" s="233" t="s">
        <v>70</v>
      </c>
      <c r="F256" s="234">
        <f>F190+F146-L146</f>
        <v>56190070</v>
      </c>
      <c r="G256" s="234">
        <f>G146</f>
        <v>7708934.9000000004</v>
      </c>
      <c r="H256" s="234">
        <f t="shared" ref="G256:AP256" si="8">H146</f>
        <v>4358213.05</v>
      </c>
      <c r="I256" s="234">
        <f t="shared" si="8"/>
        <v>2310135.71</v>
      </c>
      <c r="J256" s="234">
        <f t="shared" si="8"/>
        <v>173927.38</v>
      </c>
      <c r="K256" s="234">
        <f t="shared" si="8"/>
        <v>5311.09</v>
      </c>
      <c r="L256" s="234">
        <f t="shared" si="8"/>
        <v>0</v>
      </c>
      <c r="M256" s="234">
        <f t="shared" si="8"/>
        <v>46588.43</v>
      </c>
      <c r="N256" s="234">
        <f t="shared" si="8"/>
        <v>53938.06</v>
      </c>
      <c r="O256" s="234">
        <f t="shared" si="8"/>
        <v>251431.52</v>
      </c>
      <c r="P256" s="234">
        <f t="shared" si="8"/>
        <v>15476286.449999999</v>
      </c>
      <c r="Q256" s="234">
        <f t="shared" si="8"/>
        <v>8665.4500000000007</v>
      </c>
      <c r="R256" s="234">
        <f t="shared" si="8"/>
        <v>-0.40999999999999898</v>
      </c>
      <c r="S256" s="234">
        <f t="shared" si="8"/>
        <v>0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">
      <c r="C257" s="778"/>
      <c r="D257" s="775"/>
      <c r="E257" s="233" t="s">
        <v>73</v>
      </c>
      <c r="F257" s="234">
        <f>F190</f>
        <v>25796638.370000001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">
      <c r="C259" s="778" t="s">
        <v>160</v>
      </c>
      <c r="D259" s="775" t="s">
        <v>132</v>
      </c>
      <c r="E259" s="223" t="s">
        <v>70</v>
      </c>
      <c r="F259" s="225">
        <f>F200+F160-L160</f>
        <v>11411240</v>
      </c>
      <c r="G259" s="225">
        <f>G160</f>
        <v>846445.31</v>
      </c>
      <c r="H259" s="225">
        <f t="shared" ref="G259:AP259" si="9">H160</f>
        <v>456814.64</v>
      </c>
      <c r="I259" s="225">
        <f t="shared" si="9"/>
        <v>246633.46</v>
      </c>
      <c r="J259" s="225">
        <f t="shared" si="9"/>
        <v>3859157.96</v>
      </c>
      <c r="K259" s="225">
        <f t="shared" si="9"/>
        <v>125021.13</v>
      </c>
      <c r="L259" s="225">
        <f t="shared" si="9"/>
        <v>0</v>
      </c>
      <c r="M259" s="225">
        <f t="shared" si="9"/>
        <v>1101678.21</v>
      </c>
      <c r="N259" s="225">
        <f t="shared" si="9"/>
        <v>1198553.1100000001</v>
      </c>
      <c r="O259" s="225">
        <f t="shared" si="9"/>
        <v>5597648.7699999996</v>
      </c>
      <c r="P259" s="225">
        <f t="shared" si="9"/>
        <v>1666421.96</v>
      </c>
      <c r="Q259" s="225">
        <f t="shared" si="9"/>
        <v>204886.65</v>
      </c>
      <c r="R259" s="225">
        <f t="shared" si="9"/>
        <v>72.06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-7.0000000000000007E-2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">
      <c r="C260" s="778"/>
      <c r="D260" s="775"/>
      <c r="E260" s="223" t="s">
        <v>73</v>
      </c>
      <c r="F260" s="225">
        <f>F200</f>
        <v>-3892093.19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">
      <c r="C261" s="778"/>
      <c r="D261" s="775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">
      <c r="C262" s="778"/>
      <c r="D262" s="775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">
      <c r="C264" s="778" t="s">
        <v>155</v>
      </c>
      <c r="D264" s="775" t="s">
        <v>132</v>
      </c>
      <c r="E264" s="221" t="s">
        <v>70</v>
      </c>
      <c r="F264" s="222">
        <f>F193+F150+F112--L112-L150</f>
        <v>19023525223.110004</v>
      </c>
      <c r="G264" s="222">
        <f>G150+G112</f>
        <v>1400142290.9300001</v>
      </c>
      <c r="H264" s="222">
        <f t="shared" ref="G264:AA264" si="11">H150+H112</f>
        <v>785434828.66999996</v>
      </c>
      <c r="I264" s="222">
        <f t="shared" si="11"/>
        <v>411976719.89000005</v>
      </c>
      <c r="J264" s="222">
        <f t="shared" si="11"/>
        <v>5566978557.3000002</v>
      </c>
      <c r="K264" s="222">
        <f t="shared" si="11"/>
        <v>215502798.99000001</v>
      </c>
      <c r="L264" s="222">
        <f t="shared" si="11"/>
        <v>24273229.890000001</v>
      </c>
      <c r="M264" s="222">
        <f t="shared" si="11"/>
        <v>1888691595.8999999</v>
      </c>
      <c r="N264" s="222">
        <f t="shared" si="11"/>
        <v>1865131607.0600002</v>
      </c>
      <c r="O264" s="222">
        <f t="shared" si="11"/>
        <v>8796190172.9300003</v>
      </c>
      <c r="P264" s="222">
        <f t="shared" si="11"/>
        <v>2757907535.29</v>
      </c>
      <c r="Q264" s="222">
        <f t="shared" si="11"/>
        <v>352119526.00999999</v>
      </c>
      <c r="R264" s="222">
        <f t="shared" si="11"/>
        <v>89964.42</v>
      </c>
      <c r="S264" s="222">
        <f t="shared" si="11"/>
        <v>-70.86</v>
      </c>
      <c r="T264" s="222">
        <f t="shared" si="11"/>
        <v>4.1399999999999997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-42.89</v>
      </c>
      <c r="AA264" s="222">
        <f t="shared" si="11"/>
        <v>0</v>
      </c>
    </row>
    <row r="265" spans="1:42" ht="12.75" customHeight="1" x14ac:dyDescent="0.2">
      <c r="C265" s="778"/>
      <c r="D265" s="775"/>
      <c r="E265" s="221" t="s">
        <v>73</v>
      </c>
      <c r="F265" s="222">
        <f>F193</f>
        <v>-5016640264.6700001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">
      <c r="C266" s="778"/>
      <c r="D266" s="775" t="s">
        <v>133</v>
      </c>
      <c r="E266" s="229" t="s">
        <v>70</v>
      </c>
      <c r="F266" s="230">
        <f>F175+F125-L125</f>
        <v>56078860</v>
      </c>
      <c r="G266" s="230">
        <f>G125</f>
        <v>7696969.2400000002</v>
      </c>
      <c r="H266" s="230">
        <f t="shared" ref="G266:AA266" si="12">H125</f>
        <v>4351440.59</v>
      </c>
      <c r="I266" s="230">
        <f t="shared" si="12"/>
        <v>2306516.2999999998</v>
      </c>
      <c r="J266" s="230">
        <f t="shared" si="12"/>
        <v>107263.69</v>
      </c>
      <c r="K266" s="230">
        <f t="shared" si="12"/>
        <v>3376.45</v>
      </c>
      <c r="L266" s="230">
        <f t="shared" si="12"/>
        <v>0</v>
      </c>
      <c r="M266" s="230">
        <f t="shared" si="12"/>
        <v>29617.98</v>
      </c>
      <c r="N266" s="230">
        <f t="shared" si="12"/>
        <v>33795.33</v>
      </c>
      <c r="O266" s="230">
        <f t="shared" si="12"/>
        <v>157592.63</v>
      </c>
      <c r="P266" s="230">
        <f t="shared" si="12"/>
        <v>15452175.380000001</v>
      </c>
      <c r="Q266" s="230">
        <f t="shared" si="12"/>
        <v>5508.95</v>
      </c>
      <c r="R266" s="230">
        <f t="shared" si="12"/>
        <v>2.83</v>
      </c>
      <c r="S266" s="230">
        <f t="shared" si="12"/>
        <v>0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">
      <c r="C267" s="778"/>
      <c r="D267" s="775"/>
      <c r="E267" s="229" t="s">
        <v>73</v>
      </c>
      <c r="F267" s="230">
        <f>F175</f>
        <v>25934600.629999999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">
      <c r="C269" s="776" t="s">
        <v>326</v>
      </c>
      <c r="D269" s="775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">
      <c r="C270" s="776"/>
      <c r="D270" s="775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">
      <c r="C271" s="776"/>
      <c r="D271" s="775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">
      <c r="C272" s="776"/>
      <c r="D272" s="775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">
      <c r="C274" s="778" t="s">
        <v>119</v>
      </c>
      <c r="D274" s="775" t="s">
        <v>132</v>
      </c>
      <c r="E274" s="101" t="s">
        <v>70</v>
      </c>
      <c r="F274" s="93">
        <f>F207+F170+F119-L119-L170</f>
        <v>1317332077.6099999</v>
      </c>
      <c r="G274" s="93">
        <f>G170+G119</f>
        <v>174138863.09</v>
      </c>
      <c r="H274" s="93">
        <f t="shared" ref="G274:AP274" si="13">H170+H119</f>
        <v>97452521.459999993</v>
      </c>
      <c r="I274" s="93">
        <f t="shared" si="13"/>
        <v>51434122.149999999</v>
      </c>
      <c r="J274" s="93">
        <f t="shared" si="13"/>
        <v>200102039.23000002</v>
      </c>
      <c r="K274" s="93">
        <f t="shared" si="13"/>
        <v>5459981.3300000001</v>
      </c>
      <c r="L274" s="93">
        <f t="shared" si="13"/>
        <v>29180991.390000001</v>
      </c>
      <c r="M274" s="93">
        <f t="shared" si="13"/>
        <v>47842952.129999995</v>
      </c>
      <c r="N274" s="93">
        <f t="shared" si="13"/>
        <v>66078855.299999997</v>
      </c>
      <c r="O274" s="93">
        <f t="shared" si="13"/>
        <v>304314267.79000002</v>
      </c>
      <c r="P274" s="93">
        <f t="shared" si="13"/>
        <v>346567700.09999996</v>
      </c>
      <c r="Q274" s="93">
        <f t="shared" si="13"/>
        <v>8939603.1600000001</v>
      </c>
      <c r="R274" s="93">
        <f t="shared" si="13"/>
        <v>-3345.45</v>
      </c>
      <c r="S274" s="93">
        <f t="shared" si="13"/>
        <v>-12.77</v>
      </c>
      <c r="T274" s="93">
        <f t="shared" si="13"/>
        <v>0.04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-0.8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">
      <c r="C275" s="778"/>
      <c r="D275" s="775"/>
      <c r="E275" s="101" t="s">
        <v>73</v>
      </c>
      <c r="F275" s="93">
        <f>F207</f>
        <v>15004530.85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">
      <c r="C276" s="778"/>
      <c r="D276" s="775" t="s">
        <v>133</v>
      </c>
      <c r="E276" s="235" t="s">
        <v>70</v>
      </c>
      <c r="F276" s="236">
        <f>F189+F145-L145</f>
        <v>111210</v>
      </c>
      <c r="G276" s="236">
        <f t="shared" ref="G276:AP276" si="14">G145</f>
        <v>11965.66</v>
      </c>
      <c r="H276" s="236">
        <f t="shared" si="14"/>
        <v>6772.46</v>
      </c>
      <c r="I276" s="236">
        <f t="shared" si="14"/>
        <v>3619.41</v>
      </c>
      <c r="J276" s="236">
        <f t="shared" si="14"/>
        <v>66663.69</v>
      </c>
      <c r="K276" s="236">
        <f t="shared" si="14"/>
        <v>1934.64</v>
      </c>
      <c r="L276" s="236">
        <f t="shared" si="14"/>
        <v>0</v>
      </c>
      <c r="M276" s="236">
        <f t="shared" si="14"/>
        <v>16970.45</v>
      </c>
      <c r="N276" s="236">
        <f t="shared" si="14"/>
        <v>20142.73</v>
      </c>
      <c r="O276" s="236">
        <f t="shared" si="14"/>
        <v>93838.89</v>
      </c>
      <c r="P276" s="236">
        <f t="shared" si="14"/>
        <v>24111.07</v>
      </c>
      <c r="Q276" s="236">
        <f t="shared" si="14"/>
        <v>3156.5</v>
      </c>
      <c r="R276" s="236">
        <f t="shared" si="14"/>
        <v>-3.24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">
      <c r="C277" s="778"/>
      <c r="D277" s="775"/>
      <c r="E277" s="235" t="s">
        <v>73</v>
      </c>
      <c r="F277" s="236">
        <f>F189</f>
        <v>-137962.26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">
      <c r="C279" s="777" t="s">
        <v>161</v>
      </c>
      <c r="D279" s="775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">
      <c r="C280" s="777"/>
      <c r="D280" s="775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">
      <c r="C281" s="777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">
      <c r="C282" s="777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">
      <c r="D284" s="458" t="s">
        <v>186</v>
      </c>
      <c r="E284" s="459" t="s">
        <v>70</v>
      </c>
      <c r="F284" s="460">
        <f>F120</f>
        <v>-405906.75</v>
      </c>
      <c r="G284" s="460">
        <f t="shared" ref="F284:AA284" si="15">G120</f>
        <v>-36253.24</v>
      </c>
      <c r="H284" s="460">
        <f t="shared" si="15"/>
        <v>-15401.35</v>
      </c>
      <c r="I284" s="460">
        <f t="shared" si="15"/>
        <v>-6725.8</v>
      </c>
      <c r="J284" s="460">
        <f t="shared" si="15"/>
        <v>-80022.36</v>
      </c>
      <c r="K284" s="460">
        <f t="shared" si="15"/>
        <v>-3364.46</v>
      </c>
      <c r="L284" s="460">
        <f t="shared" si="15"/>
        <v>0</v>
      </c>
      <c r="M284" s="460">
        <f t="shared" si="15"/>
        <v>-29514</v>
      </c>
      <c r="N284" s="460">
        <f t="shared" si="15"/>
        <v>-36987.9</v>
      </c>
      <c r="O284" s="460">
        <f t="shared" si="15"/>
        <v>-124266.63</v>
      </c>
      <c r="P284" s="460">
        <f t="shared" si="15"/>
        <v>-67881.399999999994</v>
      </c>
      <c r="Q284" s="460">
        <f t="shared" si="15"/>
        <v>-5489.61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">
      <c r="E289" s="89" t="s">
        <v>72</v>
      </c>
      <c r="F289" s="371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">
      <c r="D290" t="s">
        <v>156</v>
      </c>
      <c r="E290" s="89" t="s">
        <v>70</v>
      </c>
      <c r="F290" s="371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">
      <c r="C291" s="286" t="s">
        <v>155</v>
      </c>
      <c r="D291" s="286" t="s">
        <v>70</v>
      </c>
      <c r="E291" s="229"/>
      <c r="F291" s="229">
        <v>0</v>
      </c>
      <c r="G291" s="23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30">
        <v>0</v>
      </c>
      <c r="N291" s="230">
        <v>0</v>
      </c>
      <c r="O291" s="230">
        <v>0</v>
      </c>
      <c r="P291" s="230">
        <v>0</v>
      </c>
      <c r="Q291" s="230">
        <v>0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">
      <c r="E294" s="89" t="s">
        <v>72</v>
      </c>
      <c r="F294" s="371">
        <v>-16458.46</v>
      </c>
      <c r="G294" s="90">
        <v>-1490.88</v>
      </c>
      <c r="H294" s="90">
        <v>-633.39</v>
      </c>
      <c r="I294" s="90">
        <v>-276.60000000000002</v>
      </c>
      <c r="J294" s="90">
        <v>-3142.56</v>
      </c>
      <c r="K294" s="90">
        <v>-129.47999999999999</v>
      </c>
      <c r="L294" s="90">
        <v>0</v>
      </c>
      <c r="M294" s="90">
        <v>-1135.68</v>
      </c>
      <c r="N294" s="90">
        <v>-1423.48</v>
      </c>
      <c r="O294" s="90">
        <v>-4781.43</v>
      </c>
      <c r="P294" s="90">
        <v>-3233.73</v>
      </c>
      <c r="Q294" s="90">
        <v>-211.23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">
      <c r="D295" t="s">
        <v>86</v>
      </c>
      <c r="E295" s="89" t="s">
        <v>70</v>
      </c>
      <c r="F295" s="371">
        <v>-16458.46</v>
      </c>
      <c r="G295" s="90">
        <v>-1490.88</v>
      </c>
      <c r="H295" s="90">
        <v>-633.39</v>
      </c>
      <c r="I295" s="90">
        <v>-276.60000000000002</v>
      </c>
      <c r="J295" s="90">
        <v>-3142.56</v>
      </c>
      <c r="K295" s="90">
        <v>-129.47999999999999</v>
      </c>
      <c r="L295" s="90">
        <v>0</v>
      </c>
      <c r="M295" s="90">
        <v>-1135.68</v>
      </c>
      <c r="N295" s="90">
        <v>-1423.48</v>
      </c>
      <c r="O295" s="90">
        <v>-4781.43</v>
      </c>
      <c r="P295" s="90">
        <v>-3233.73</v>
      </c>
      <c r="Q295" s="90">
        <v>-211.23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">
      <c r="C298" s="101" t="s">
        <v>119</v>
      </c>
      <c r="D298" s="101" t="s">
        <v>70</v>
      </c>
      <c r="F298" s="93">
        <v>-16458.46</v>
      </c>
      <c r="G298" s="93">
        <v>-1490.88</v>
      </c>
      <c r="H298" s="93">
        <v>-633.39</v>
      </c>
      <c r="I298" s="93">
        <v>-276.60000000000002</v>
      </c>
      <c r="J298" s="93">
        <v>-3142.56</v>
      </c>
      <c r="K298" s="93">
        <v>-129.47999999999999</v>
      </c>
      <c r="L298" s="93">
        <v>0</v>
      </c>
      <c r="M298" s="93">
        <v>-1135.68</v>
      </c>
      <c r="N298" s="93">
        <v>-1423.48</v>
      </c>
      <c r="O298" s="93">
        <v>-4781.43</v>
      </c>
      <c r="P298" s="93">
        <v>-3233.73</v>
      </c>
      <c r="Q298" s="93">
        <v>-211.23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">
      <c r="B299" t="s">
        <v>112</v>
      </c>
      <c r="C299" t="s">
        <v>70</v>
      </c>
      <c r="E299" s="89"/>
      <c r="F299" s="371">
        <v>-16458.46</v>
      </c>
      <c r="G299" s="90">
        <v>-1490.88</v>
      </c>
      <c r="H299" s="90">
        <v>-633.39</v>
      </c>
      <c r="I299" s="90">
        <v>-276.60000000000002</v>
      </c>
      <c r="J299" s="90">
        <v>-3142.56</v>
      </c>
      <c r="K299" s="90">
        <v>-129.47999999999999</v>
      </c>
      <c r="L299" s="90">
        <v>0</v>
      </c>
      <c r="M299" s="90">
        <v>-1135.68</v>
      </c>
      <c r="N299" s="90">
        <v>-1423.48</v>
      </c>
      <c r="O299" s="90">
        <v>-4781.43</v>
      </c>
      <c r="P299" s="90">
        <v>-3233.73</v>
      </c>
      <c r="Q299" s="90">
        <v>-211.23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">
      <c r="A300" s="458" t="s">
        <v>186</v>
      </c>
      <c r="B300" s="458" t="s">
        <v>70</v>
      </c>
      <c r="F300" s="458">
        <v>-16458.46</v>
      </c>
      <c r="G300" s="458">
        <v>-1490.88</v>
      </c>
      <c r="H300" s="458">
        <v>-633.39</v>
      </c>
      <c r="I300" s="458">
        <v>-276.60000000000002</v>
      </c>
      <c r="J300" s="458">
        <v>-3142.56</v>
      </c>
      <c r="K300" s="458">
        <v>-129.47999999999999</v>
      </c>
      <c r="L300" s="458">
        <v>0</v>
      </c>
      <c r="M300" s="458">
        <v>-1135.68</v>
      </c>
      <c r="N300" s="458">
        <v>-1423.48</v>
      </c>
      <c r="O300" s="458">
        <v>-4781.43</v>
      </c>
      <c r="P300" s="458">
        <v>-3233.73</v>
      </c>
      <c r="Q300" s="458">
        <v>-211.23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">
      <c r="E301" t="s">
        <v>72</v>
      </c>
      <c r="F301" s="90">
        <v>708630.34</v>
      </c>
      <c r="G301" s="90">
        <v>154391.82</v>
      </c>
      <c r="H301" s="90">
        <v>67732.479999999996</v>
      </c>
      <c r="I301" s="90">
        <v>38607.32</v>
      </c>
      <c r="J301" s="90">
        <v>34161.949999999997</v>
      </c>
      <c r="K301" s="90">
        <v>712.93</v>
      </c>
      <c r="L301" s="90">
        <v>0</v>
      </c>
      <c r="M301" s="90">
        <v>6253.82</v>
      </c>
      <c r="N301" s="90">
        <v>7559.81</v>
      </c>
      <c r="O301" s="90">
        <v>35312.699999999997</v>
      </c>
      <c r="P301" s="90">
        <v>362741.55</v>
      </c>
      <c r="Q301" s="90">
        <v>1163.2</v>
      </c>
      <c r="R301" s="90">
        <v>-7.24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">
      <c r="E302" t="s">
        <v>81</v>
      </c>
      <c r="F302" s="90">
        <v>-28092.31</v>
      </c>
      <c r="G302" s="90">
        <v>-6793.44</v>
      </c>
      <c r="H302" s="90">
        <v>-1591.52</v>
      </c>
      <c r="I302" s="90">
        <v>-1315.75</v>
      </c>
      <c r="J302" s="90">
        <v>-589.87</v>
      </c>
      <c r="K302" s="90">
        <v>-30.48</v>
      </c>
      <c r="L302" s="90">
        <v>0</v>
      </c>
      <c r="M302" s="90">
        <v>-262.58999999999997</v>
      </c>
      <c r="N302" s="90">
        <v>-266.56</v>
      </c>
      <c r="O302" s="90">
        <v>-1393.61</v>
      </c>
      <c r="P302" s="90">
        <v>-15798.65</v>
      </c>
      <c r="Q302" s="90">
        <v>-49.83</v>
      </c>
      <c r="R302" s="90">
        <v>-0.71</v>
      </c>
      <c r="S302" s="90">
        <v>0.7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">
      <c r="D303" t="s">
        <v>156</v>
      </c>
      <c r="E303" t="s">
        <v>70</v>
      </c>
      <c r="F303" s="90">
        <v>680538.03</v>
      </c>
      <c r="G303" s="90">
        <v>147598.38</v>
      </c>
      <c r="H303" s="90">
        <v>66140.960000000006</v>
      </c>
      <c r="I303" s="90">
        <v>37291.57</v>
      </c>
      <c r="J303" s="90">
        <v>33572.080000000002</v>
      </c>
      <c r="K303" s="90">
        <v>682.45</v>
      </c>
      <c r="L303" s="90">
        <v>0</v>
      </c>
      <c r="M303" s="90">
        <v>5991.23</v>
      </c>
      <c r="N303" s="90">
        <v>7293.25</v>
      </c>
      <c r="O303" s="90">
        <v>33919.089999999997</v>
      </c>
      <c r="P303" s="90">
        <v>346942.9</v>
      </c>
      <c r="Q303" s="90">
        <v>1113.3699999999999</v>
      </c>
      <c r="R303" s="90">
        <v>-7.95</v>
      </c>
      <c r="S303" s="90">
        <v>0.7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">
      <c r="C304" s="286" t="s">
        <v>155</v>
      </c>
      <c r="D304" s="286" t="s">
        <v>70</v>
      </c>
      <c r="F304" s="230">
        <v>680538.03</v>
      </c>
      <c r="G304" s="230">
        <v>147598.38</v>
      </c>
      <c r="H304" s="230">
        <v>66140.960000000006</v>
      </c>
      <c r="I304" s="230">
        <v>37291.57</v>
      </c>
      <c r="J304" s="230">
        <v>33572.080000000002</v>
      </c>
      <c r="K304" s="230">
        <v>682.45</v>
      </c>
      <c r="L304" s="230">
        <v>0</v>
      </c>
      <c r="M304" s="230">
        <v>5991.23</v>
      </c>
      <c r="N304" s="230">
        <v>7293.25</v>
      </c>
      <c r="O304" s="230">
        <v>33919.089999999997</v>
      </c>
      <c r="P304" s="230">
        <v>346942.9</v>
      </c>
      <c r="Q304" s="230">
        <v>1113.3699999999999</v>
      </c>
      <c r="R304" s="230">
        <v>-7.95</v>
      </c>
      <c r="S304" s="230">
        <v>0.7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">
      <c r="B315" s="378" t="s">
        <v>122</v>
      </c>
      <c r="C315" s="378" t="s">
        <v>70</v>
      </c>
      <c r="E315" s="376"/>
      <c r="F315" s="710">
        <v>680538.03</v>
      </c>
      <c r="G315" s="377">
        <v>147598.38</v>
      </c>
      <c r="H315" s="377">
        <v>66140.960000000006</v>
      </c>
      <c r="I315" s="377">
        <v>37291.57</v>
      </c>
      <c r="J315" s="377">
        <v>33572.080000000002</v>
      </c>
      <c r="K315" s="377">
        <v>682.45</v>
      </c>
      <c r="L315" s="377">
        <v>0</v>
      </c>
      <c r="M315" s="377">
        <v>5991.23</v>
      </c>
      <c r="N315" s="377">
        <v>7293.25</v>
      </c>
      <c r="O315" s="377">
        <v>33919.089999999997</v>
      </c>
      <c r="P315" s="377">
        <v>346942.9</v>
      </c>
      <c r="Q315" s="377">
        <v>1113.3699999999999</v>
      </c>
      <c r="R315" s="377">
        <v>-7.95</v>
      </c>
      <c r="S315" s="377">
        <v>0.7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">
      <c r="E316" s="89" t="s">
        <v>72</v>
      </c>
      <c r="F316" s="371">
        <v>15096517648.35</v>
      </c>
      <c r="G316" s="90">
        <v>986083820.58000004</v>
      </c>
      <c r="H316" s="90">
        <v>556264737.84000003</v>
      </c>
      <c r="I316" s="90">
        <v>292216144.64999998</v>
      </c>
      <c r="J316" s="90">
        <v>3383033480.6900001</v>
      </c>
      <c r="K316" s="90">
        <v>124575730.62</v>
      </c>
      <c r="L316" s="90">
        <v>13002955.74</v>
      </c>
      <c r="M316" s="90">
        <v>1092560714.0799999</v>
      </c>
      <c r="N316" s="90">
        <v>1073084147.96</v>
      </c>
      <c r="O316" s="90">
        <v>5079136809.4099998</v>
      </c>
      <c r="P316" s="90">
        <v>2292957176.7800002</v>
      </c>
      <c r="Q316" s="90">
        <v>203354446.13999999</v>
      </c>
      <c r="R316" s="90">
        <v>247483.86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">
      <c r="E317" s="89" t="s">
        <v>81</v>
      </c>
      <c r="F317" s="371">
        <v>10545941.32</v>
      </c>
      <c r="G317" s="90">
        <v>1038362.66</v>
      </c>
      <c r="H317" s="90">
        <v>533249.21</v>
      </c>
      <c r="I317" s="90">
        <v>288289.95</v>
      </c>
      <c r="J317" s="90">
        <v>1924110.4</v>
      </c>
      <c r="K317" s="90">
        <v>76933.02</v>
      </c>
      <c r="L317" s="90">
        <v>4877.3900000000003</v>
      </c>
      <c r="M317" s="90">
        <v>673575.76</v>
      </c>
      <c r="N317" s="90">
        <v>623833.91</v>
      </c>
      <c r="O317" s="90">
        <v>2833518.84</v>
      </c>
      <c r="P317" s="90">
        <v>2423341.0699999998</v>
      </c>
      <c r="Q317" s="90">
        <v>125834.39</v>
      </c>
      <c r="R317" s="90">
        <v>14.48</v>
      </c>
      <c r="S317" s="90">
        <v>-0.27</v>
      </c>
      <c r="T317">
        <v>0.51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">
      <c r="D318" t="s">
        <v>156</v>
      </c>
      <c r="E318" s="89" t="s">
        <v>70</v>
      </c>
      <c r="F318" s="90">
        <v>15107063589.67</v>
      </c>
      <c r="G318" s="90">
        <v>987122183.24000001</v>
      </c>
      <c r="H318" s="90">
        <v>556797987.04999995</v>
      </c>
      <c r="I318" s="90">
        <v>292504434.60000002</v>
      </c>
      <c r="J318" s="90">
        <v>3384957591.0900002</v>
      </c>
      <c r="K318" s="90">
        <v>124652663.64</v>
      </c>
      <c r="L318" s="90">
        <v>13007833.130000001</v>
      </c>
      <c r="M318" s="90">
        <v>1093234289.8399999</v>
      </c>
      <c r="N318" s="90">
        <v>1073707981.87</v>
      </c>
      <c r="O318" s="90">
        <v>5081970328.25</v>
      </c>
      <c r="P318" s="90">
        <v>2295380517.8499999</v>
      </c>
      <c r="Q318" s="90">
        <v>203480280.53</v>
      </c>
      <c r="R318" s="90">
        <v>247498.34</v>
      </c>
      <c r="S318" s="90">
        <v>-0.27</v>
      </c>
      <c r="T318">
        <v>0.51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">
      <c r="C319" s="286" t="s">
        <v>155</v>
      </c>
      <c r="D319" s="286" t="s">
        <v>70</v>
      </c>
      <c r="E319" s="229"/>
      <c r="F319" s="229">
        <v>15107063589.67</v>
      </c>
      <c r="G319" s="230">
        <v>987122183.24000001</v>
      </c>
      <c r="H319" s="230">
        <v>556797987.04999995</v>
      </c>
      <c r="I319" s="230">
        <v>292504434.60000002</v>
      </c>
      <c r="J319" s="230">
        <v>3384957591.0900002</v>
      </c>
      <c r="K319" s="230">
        <v>124652663.64</v>
      </c>
      <c r="L319" s="230">
        <v>13007833.130000001</v>
      </c>
      <c r="M319" s="230">
        <v>1093234289.8399999</v>
      </c>
      <c r="N319" s="230">
        <v>1073707981.87</v>
      </c>
      <c r="O319" s="230">
        <v>5081970328.25</v>
      </c>
      <c r="P319" s="230">
        <v>2295380517.8499999</v>
      </c>
      <c r="Q319" s="230">
        <v>203480280.53</v>
      </c>
      <c r="R319" s="230">
        <v>247498.34</v>
      </c>
      <c r="S319" s="230">
        <v>-0.27</v>
      </c>
      <c r="T319" s="230">
        <v>0.51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">
      <c r="E320" s="89" t="s">
        <v>72</v>
      </c>
      <c r="F320" s="90">
        <v>40878487.189999998</v>
      </c>
      <c r="G320" s="90">
        <v>3446945.39</v>
      </c>
      <c r="H320" s="90">
        <v>1924005.87</v>
      </c>
      <c r="I320" s="90">
        <v>1015077.18</v>
      </c>
      <c r="J320" s="90">
        <v>7716071.4400000004</v>
      </c>
      <c r="K320" s="90">
        <v>227005.61</v>
      </c>
      <c r="L320" s="90">
        <v>555000</v>
      </c>
      <c r="M320" s="90">
        <v>1990701.79</v>
      </c>
      <c r="N320" s="90">
        <v>2736789.58</v>
      </c>
      <c r="O320" s="90">
        <v>12873670.359999999</v>
      </c>
      <c r="P320" s="90">
        <v>8021200.3700000001</v>
      </c>
      <c r="Q320" s="90">
        <v>372120.69</v>
      </c>
      <c r="R320" s="90">
        <v>-101.09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">
      <c r="E321" s="89" t="s">
        <v>81</v>
      </c>
      <c r="F321" s="90">
        <v>318692.2</v>
      </c>
      <c r="G321" s="90">
        <v>30211.23</v>
      </c>
      <c r="H321" s="90">
        <v>15701.33</v>
      </c>
      <c r="I321" s="90">
        <v>8539.9</v>
      </c>
      <c r="J321" s="90">
        <v>63724.63</v>
      </c>
      <c r="K321" s="90">
        <v>1745.16</v>
      </c>
      <c r="L321" s="90">
        <v>0</v>
      </c>
      <c r="M321" s="90">
        <v>15287.35</v>
      </c>
      <c r="N321" s="90">
        <v>19445.400000000001</v>
      </c>
      <c r="O321" s="90">
        <v>90300.09</v>
      </c>
      <c r="P321" s="90">
        <v>70877.490000000005</v>
      </c>
      <c r="Q321" s="90">
        <v>2859.23</v>
      </c>
      <c r="R321" s="90">
        <v>0.39</v>
      </c>
      <c r="S321" s="90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">
      <c r="D322" s="89" t="s">
        <v>82</v>
      </c>
      <c r="E322" s="89" t="s">
        <v>70</v>
      </c>
      <c r="F322" s="90">
        <v>41197179.390000001</v>
      </c>
      <c r="G322" s="90">
        <v>3477156.62</v>
      </c>
      <c r="H322" s="90">
        <v>1939707.2</v>
      </c>
      <c r="I322" s="90">
        <v>1023617.08</v>
      </c>
      <c r="J322" s="90">
        <v>7779796.0700000003</v>
      </c>
      <c r="K322" s="90">
        <v>228750.77</v>
      </c>
      <c r="L322" s="90">
        <v>555000</v>
      </c>
      <c r="M322" s="90">
        <v>2005989.14</v>
      </c>
      <c r="N322" s="90">
        <v>2756234.98</v>
      </c>
      <c r="O322" s="90">
        <v>12963970.449999999</v>
      </c>
      <c r="P322" s="90">
        <v>8092077.8600000003</v>
      </c>
      <c r="Q322" s="90">
        <v>374979.92</v>
      </c>
      <c r="R322" s="90">
        <v>-100.7</v>
      </c>
      <c r="S322" s="90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">
      <c r="D323" s="89"/>
      <c r="E323" s="89" t="s">
        <v>72</v>
      </c>
      <c r="F323" s="90">
        <v>69209800.260000005</v>
      </c>
      <c r="G323" s="90">
        <v>12538530.859999999</v>
      </c>
      <c r="H323" s="90">
        <v>6965189.5899999999</v>
      </c>
      <c r="I323" s="90">
        <v>3652599.34</v>
      </c>
      <c r="J323" s="90">
        <v>4324043.1399999997</v>
      </c>
      <c r="K323" s="90">
        <v>206038.85</v>
      </c>
      <c r="L323" s="90">
        <v>214446.82</v>
      </c>
      <c r="M323" s="90">
        <v>1800327.92</v>
      </c>
      <c r="N323" s="90">
        <v>1917677.87</v>
      </c>
      <c r="O323" s="90">
        <v>8540445.0099999998</v>
      </c>
      <c r="P323" s="90">
        <v>28714805.34</v>
      </c>
      <c r="Q323" s="90">
        <v>336169.51</v>
      </c>
      <c r="R323" s="90">
        <v>-473.99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">
      <c r="E324" s="89" t="s">
        <v>81</v>
      </c>
      <c r="F324" s="90">
        <v>2078878.19</v>
      </c>
      <c r="G324" s="90">
        <v>322796.84000000003</v>
      </c>
      <c r="H324" s="90">
        <v>165004.04</v>
      </c>
      <c r="I324" s="90">
        <v>84856.97</v>
      </c>
      <c r="J324" s="90">
        <v>232240.7</v>
      </c>
      <c r="K324" s="90">
        <v>9929.08</v>
      </c>
      <c r="L324" s="90">
        <v>0</v>
      </c>
      <c r="M324" s="90">
        <v>86388.39</v>
      </c>
      <c r="N324" s="90">
        <v>85933.46</v>
      </c>
      <c r="O324" s="90">
        <v>322999.21999999997</v>
      </c>
      <c r="P324" s="90">
        <v>752531.93</v>
      </c>
      <c r="Q324" s="90">
        <v>16197.29</v>
      </c>
      <c r="R324" s="90">
        <v>0.93</v>
      </c>
      <c r="S324" s="90">
        <v>-0.66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">
      <c r="D325" s="89" t="s">
        <v>86</v>
      </c>
      <c r="E325" s="89" t="s">
        <v>70</v>
      </c>
      <c r="F325" s="90">
        <v>71288678.450000003</v>
      </c>
      <c r="G325" s="90">
        <v>12861327.699999999</v>
      </c>
      <c r="H325" s="90">
        <v>7130193.6299999999</v>
      </c>
      <c r="I325" s="90">
        <v>3737456.31</v>
      </c>
      <c r="J325" s="90">
        <v>4556283.84</v>
      </c>
      <c r="K325" s="90">
        <v>215967.93</v>
      </c>
      <c r="L325" s="90">
        <v>214446.82</v>
      </c>
      <c r="M325" s="90">
        <v>1886716.31</v>
      </c>
      <c r="N325" s="90">
        <v>2003611.33</v>
      </c>
      <c r="O325" s="90">
        <v>8863444.2300000004</v>
      </c>
      <c r="P325" s="90">
        <v>29467337.27</v>
      </c>
      <c r="Q325" s="90">
        <v>352366.8</v>
      </c>
      <c r="R325" s="90">
        <v>-473.06</v>
      </c>
      <c r="S325" s="90">
        <v>-0.66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">
      <c r="E326" s="89" t="s">
        <v>72</v>
      </c>
      <c r="F326" s="90">
        <v>697315197.22000003</v>
      </c>
      <c r="G326" s="90">
        <v>147363354.47</v>
      </c>
      <c r="H326" s="90">
        <v>82950302.140000001</v>
      </c>
      <c r="I326" s="90">
        <v>43752954.450000003</v>
      </c>
      <c r="J326" s="90">
        <v>23778087.100000001</v>
      </c>
      <c r="K326" s="90">
        <v>672978.69</v>
      </c>
      <c r="L326" s="90">
        <v>528735</v>
      </c>
      <c r="M326" s="90">
        <v>5885001.1100000003</v>
      </c>
      <c r="N326" s="90">
        <v>8402534.6999999993</v>
      </c>
      <c r="O326" s="90">
        <v>39649711.490000002</v>
      </c>
      <c r="P326" s="90">
        <v>343233860.38999999</v>
      </c>
      <c r="Q326" s="90">
        <v>1098102.23</v>
      </c>
      <c r="R326" s="90">
        <v>-424.55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">
      <c r="E327" s="89" t="s">
        <v>81</v>
      </c>
      <c r="F327" s="90">
        <v>15792661.470000001</v>
      </c>
      <c r="G327" s="90">
        <v>3529982.76</v>
      </c>
      <c r="H327" s="90">
        <v>1952902.6</v>
      </c>
      <c r="I327" s="90">
        <v>1038005.52</v>
      </c>
      <c r="J327" s="90">
        <v>340224.1</v>
      </c>
      <c r="K327" s="90">
        <v>9325.17</v>
      </c>
      <c r="L327" s="90">
        <v>13206</v>
      </c>
      <c r="M327" s="90">
        <v>80647.009999999995</v>
      </c>
      <c r="N327" s="90">
        <v>103044.79</v>
      </c>
      <c r="O327" s="90">
        <v>469740.14</v>
      </c>
      <c r="P327" s="90">
        <v>8252253.9100000001</v>
      </c>
      <c r="Q327" s="90">
        <v>15220.52</v>
      </c>
      <c r="R327" s="90">
        <v>-5.15</v>
      </c>
      <c r="S327" s="90">
        <v>-11885.9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">
      <c r="D328" s="89" t="s">
        <v>87</v>
      </c>
      <c r="E328" s="89" t="s">
        <v>70</v>
      </c>
      <c r="F328" s="90">
        <v>713107858.69000006</v>
      </c>
      <c r="G328" s="90">
        <v>150893337.22999999</v>
      </c>
      <c r="H328" s="90">
        <v>84903204.739999995</v>
      </c>
      <c r="I328" s="90">
        <v>44790959.969999999</v>
      </c>
      <c r="J328" s="90">
        <v>24118311.199999999</v>
      </c>
      <c r="K328" s="90">
        <v>682303.86</v>
      </c>
      <c r="L328" s="90">
        <v>541941</v>
      </c>
      <c r="M328" s="90">
        <v>5965648.1200000001</v>
      </c>
      <c r="N328" s="90">
        <v>8505579.4900000002</v>
      </c>
      <c r="O328" s="90">
        <v>40119451.630000003</v>
      </c>
      <c r="P328" s="90">
        <v>351486114.30000001</v>
      </c>
      <c r="Q328" s="90">
        <v>1113322.75</v>
      </c>
      <c r="R328" s="90">
        <v>-429.7</v>
      </c>
      <c r="S328" s="90">
        <v>-11885.9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">
      <c r="C329" s="101" t="s">
        <v>119</v>
      </c>
      <c r="D329" s="101" t="s">
        <v>70</v>
      </c>
      <c r="F329" s="93">
        <v>825593716.52999997</v>
      </c>
      <c r="G329" s="93">
        <v>167231821.55000001</v>
      </c>
      <c r="H329" s="93">
        <v>93973105.569999993</v>
      </c>
      <c r="I329" s="93">
        <v>49552033.359999999</v>
      </c>
      <c r="J329" s="93">
        <v>36454391.109999999</v>
      </c>
      <c r="K329" s="93">
        <v>1127022.56</v>
      </c>
      <c r="L329" s="93">
        <v>1311387.82</v>
      </c>
      <c r="M329" s="93">
        <v>9858353.5700000003</v>
      </c>
      <c r="N329" s="93">
        <v>13265425.800000001</v>
      </c>
      <c r="O329" s="93">
        <v>61946866.310000002</v>
      </c>
      <c r="P329" s="93">
        <v>389045529.43000001</v>
      </c>
      <c r="Q329" s="93">
        <v>1840669.47</v>
      </c>
      <c r="R329" s="93">
        <v>-1003.46</v>
      </c>
      <c r="S329" s="93">
        <v>-11886.56</v>
      </c>
      <c r="T329" s="94">
        <v>0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">
      <c r="B330" s="98" t="s">
        <v>112</v>
      </c>
      <c r="C330" s="98" t="s">
        <v>70</v>
      </c>
      <c r="F330" s="100">
        <v>15932657306.200001</v>
      </c>
      <c r="G330" s="100">
        <v>1154354004.79</v>
      </c>
      <c r="H330" s="100">
        <v>650771092.62</v>
      </c>
      <c r="I330" s="100">
        <v>342056467.95999998</v>
      </c>
      <c r="J330" s="100">
        <v>3421411982.1999998</v>
      </c>
      <c r="K330" s="100">
        <v>125779686.2</v>
      </c>
      <c r="L330" s="100">
        <v>14319220.949999999</v>
      </c>
      <c r="M330" s="100">
        <v>1103092643.4100001</v>
      </c>
      <c r="N330" s="100">
        <v>1086973407.6700001</v>
      </c>
      <c r="O330" s="100">
        <v>5143917194.5600004</v>
      </c>
      <c r="P330" s="100">
        <v>2684426047.2800002</v>
      </c>
      <c r="Q330" s="100">
        <v>205320950</v>
      </c>
      <c r="R330" s="100">
        <v>246494.88</v>
      </c>
      <c r="S330" s="100">
        <v>-11886.83</v>
      </c>
      <c r="T330" s="226">
        <v>0.51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">
      <c r="A331" s="89" t="s">
        <v>78</v>
      </c>
      <c r="B331" s="89" t="s">
        <v>70</v>
      </c>
      <c r="F331" s="90">
        <v>15933337844.23</v>
      </c>
      <c r="G331" s="90">
        <v>1154501603.1700001</v>
      </c>
      <c r="H331" s="90">
        <v>650837233.58000004</v>
      </c>
      <c r="I331" s="90">
        <v>342093759.52999997</v>
      </c>
      <c r="J331" s="90">
        <v>3421445554.2800002</v>
      </c>
      <c r="K331" s="90">
        <v>125780368.65000001</v>
      </c>
      <c r="L331" s="90">
        <v>14319220.949999999</v>
      </c>
      <c r="M331" s="90">
        <v>1103098634.6400001</v>
      </c>
      <c r="N331" s="90">
        <v>1086980700.9200001</v>
      </c>
      <c r="O331" s="90">
        <v>5143951113.6499996</v>
      </c>
      <c r="P331" s="90">
        <v>2684772990.1799998</v>
      </c>
      <c r="Q331" s="90">
        <v>205322063.37</v>
      </c>
      <c r="R331" s="90">
        <v>246486.93</v>
      </c>
      <c r="S331" s="90">
        <v>-11886.13</v>
      </c>
      <c r="T331">
        <v>0.51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E332" t="s">
        <v>73</v>
      </c>
      <c r="F332" s="90">
        <v>627141.97</v>
      </c>
      <c r="G332" s="90">
        <v>136851.94</v>
      </c>
      <c r="H332" s="90">
        <v>59636.73</v>
      </c>
      <c r="I332" s="90">
        <v>34221.29</v>
      </c>
      <c r="J332" s="90">
        <v>30320.48</v>
      </c>
      <c r="K332" s="90">
        <v>630.69000000000005</v>
      </c>
      <c r="L332" s="90">
        <v>0</v>
      </c>
      <c r="M332" s="90">
        <v>5532.39</v>
      </c>
      <c r="N332" s="90">
        <v>6675.34</v>
      </c>
      <c r="O332" s="90">
        <v>31361.45</v>
      </c>
      <c r="P332" s="90">
        <v>320882.65999999997</v>
      </c>
      <c r="Q332" s="90">
        <v>1029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">
      <c r="D333" t="s">
        <v>156</v>
      </c>
      <c r="E333" t="s">
        <v>70</v>
      </c>
      <c r="F333" s="90">
        <v>627141.97</v>
      </c>
      <c r="G333" s="90">
        <v>136851.94</v>
      </c>
      <c r="H333" s="90">
        <v>59636.73</v>
      </c>
      <c r="I333" s="90">
        <v>34221.29</v>
      </c>
      <c r="J333" s="90">
        <v>30320.48</v>
      </c>
      <c r="K333" s="90">
        <v>630.69000000000005</v>
      </c>
      <c r="L333" s="90">
        <v>0</v>
      </c>
      <c r="M333" s="90">
        <v>5532.39</v>
      </c>
      <c r="N333" s="90">
        <v>6675.34</v>
      </c>
      <c r="O333" s="90">
        <v>31361.45</v>
      </c>
      <c r="P333" s="90">
        <v>320882.65999999997</v>
      </c>
      <c r="Q333" s="90">
        <v>1029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" customHeight="1" x14ac:dyDescent="0.2">
      <c r="C334" s="286" t="s">
        <v>155</v>
      </c>
      <c r="D334" s="286" t="s">
        <v>70</v>
      </c>
      <c r="E334" s="229"/>
      <c r="F334" s="229">
        <v>627141.97</v>
      </c>
      <c r="G334" s="230">
        <v>136851.94</v>
      </c>
      <c r="H334" s="230">
        <v>59636.73</v>
      </c>
      <c r="I334" s="230">
        <v>34221.29</v>
      </c>
      <c r="J334" s="230">
        <v>30320.48</v>
      </c>
      <c r="K334" s="230">
        <v>630.69000000000005</v>
      </c>
      <c r="L334" s="230">
        <v>0</v>
      </c>
      <c r="M334" s="230">
        <v>5532.39</v>
      </c>
      <c r="N334" s="230">
        <v>6675.34</v>
      </c>
      <c r="O334" s="230">
        <v>31361.45</v>
      </c>
      <c r="P334" s="230">
        <v>320882.65999999997</v>
      </c>
      <c r="Q334" s="230">
        <v>1029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">
      <c r="B342" s="378" t="s">
        <v>122</v>
      </c>
      <c r="C342" s="378" t="s">
        <v>70</v>
      </c>
      <c r="E342" s="376"/>
      <c r="F342" s="710">
        <v>627141.97</v>
      </c>
      <c r="G342" s="377">
        <v>136851.94</v>
      </c>
      <c r="H342" s="377">
        <v>59636.73</v>
      </c>
      <c r="I342" s="377">
        <v>34221.29</v>
      </c>
      <c r="J342" s="377">
        <v>30320.48</v>
      </c>
      <c r="K342" s="377">
        <v>630.69000000000005</v>
      </c>
      <c r="L342" s="377">
        <v>0</v>
      </c>
      <c r="M342" s="377">
        <v>5532.39</v>
      </c>
      <c r="N342" s="377">
        <v>6675.34</v>
      </c>
      <c r="O342" s="377">
        <v>31361.45</v>
      </c>
      <c r="P342" s="377">
        <v>320882.65999999997</v>
      </c>
      <c r="Q342" s="377">
        <v>1029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">
      <c r="E343" s="89" t="s">
        <v>73</v>
      </c>
      <c r="F343" s="371">
        <v>-1096861177.6700001</v>
      </c>
      <c r="G343" s="90">
        <v>177691694.13</v>
      </c>
      <c r="H343" s="90">
        <v>100212148.13</v>
      </c>
      <c r="I343" s="90">
        <v>52624447.82</v>
      </c>
      <c r="J343" s="90">
        <v>-572254890.49000001</v>
      </c>
      <c r="K343" s="90">
        <v>-20850568.850000001</v>
      </c>
      <c r="L343" s="90">
        <v>0</v>
      </c>
      <c r="M343" s="90">
        <v>-182915508.68000001</v>
      </c>
      <c r="N343" s="90">
        <v>-179688481.86000001</v>
      </c>
      <c r="O343" s="90">
        <v>-850631532.47000003</v>
      </c>
      <c r="P343" s="90">
        <v>412971085.38</v>
      </c>
      <c r="Q343" s="90">
        <v>-34019570.780000001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">
      <c r="D344" t="s">
        <v>156</v>
      </c>
      <c r="E344" s="89" t="s">
        <v>70</v>
      </c>
      <c r="F344" s="371">
        <v>-1096861177.6700001</v>
      </c>
      <c r="G344" s="90">
        <v>177691694.13</v>
      </c>
      <c r="H344" s="90">
        <v>100212148.13</v>
      </c>
      <c r="I344" s="90">
        <v>52624447.82</v>
      </c>
      <c r="J344" s="90">
        <v>-572254890.49000001</v>
      </c>
      <c r="K344" s="90">
        <v>-20850568.850000001</v>
      </c>
      <c r="L344" s="90">
        <v>0</v>
      </c>
      <c r="M344" s="90">
        <v>-182915508.68000001</v>
      </c>
      <c r="N344" s="90">
        <v>-179688481.86000001</v>
      </c>
      <c r="O344" s="90">
        <v>-850631532.47000003</v>
      </c>
      <c r="P344" s="90">
        <v>412971085.38</v>
      </c>
      <c r="Q344" s="90">
        <v>-34019570.780000001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">
      <c r="C345" s="286" t="s">
        <v>155</v>
      </c>
      <c r="D345" s="286" t="s">
        <v>70</v>
      </c>
      <c r="E345" s="229"/>
      <c r="F345" s="229">
        <v>-1096861177.6700001</v>
      </c>
      <c r="G345" s="230">
        <v>177691694.13</v>
      </c>
      <c r="H345" s="230">
        <v>100212148.13</v>
      </c>
      <c r="I345" s="230">
        <v>52624447.82</v>
      </c>
      <c r="J345" s="230">
        <v>-572254890.49000001</v>
      </c>
      <c r="K345" s="230">
        <v>-20850568.850000001</v>
      </c>
      <c r="L345" s="230">
        <v>0</v>
      </c>
      <c r="M345" s="230">
        <v>-182915508.68000001</v>
      </c>
      <c r="N345" s="230">
        <v>-179688481.86000001</v>
      </c>
      <c r="O345" s="230">
        <v>-850631532.47000003</v>
      </c>
      <c r="P345" s="230">
        <v>412971085.38</v>
      </c>
      <c r="Q345" s="230">
        <v>-34019570.780000001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">
      <c r="D346" s="89"/>
      <c r="E346" s="89" t="s">
        <v>73</v>
      </c>
      <c r="F346" s="90">
        <v>5881980.6100000003</v>
      </c>
      <c r="G346" s="90">
        <v>1458341.69</v>
      </c>
      <c r="H346" s="90">
        <v>821336.04</v>
      </c>
      <c r="I346" s="90">
        <v>430495.38</v>
      </c>
      <c r="J346" s="90">
        <v>-89992.43</v>
      </c>
      <c r="K346" s="90">
        <v>-1656.46</v>
      </c>
      <c r="L346" s="90">
        <v>0</v>
      </c>
      <c r="M346" s="90">
        <v>-14532.38</v>
      </c>
      <c r="N346" s="90">
        <v>-17796.23</v>
      </c>
      <c r="O346" s="90">
        <v>-85250.46</v>
      </c>
      <c r="P346" s="90">
        <v>3383738.4</v>
      </c>
      <c r="Q346" s="90">
        <v>-2702.94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">
      <c r="D347" t="s">
        <v>82</v>
      </c>
      <c r="E347" s="89" t="s">
        <v>70</v>
      </c>
      <c r="F347" s="90">
        <v>5881980.6100000003</v>
      </c>
      <c r="G347" s="90">
        <v>1458341.69</v>
      </c>
      <c r="H347" s="90">
        <v>821336.04</v>
      </c>
      <c r="I347" s="90">
        <v>430495.38</v>
      </c>
      <c r="J347" s="90">
        <v>-89992.43</v>
      </c>
      <c r="K347" s="90">
        <v>-1656.46</v>
      </c>
      <c r="L347" s="90">
        <v>0</v>
      </c>
      <c r="M347" s="90">
        <v>-14532.38</v>
      </c>
      <c r="N347" s="90">
        <v>-17796.23</v>
      </c>
      <c r="O347" s="90">
        <v>-85250.46</v>
      </c>
      <c r="P347" s="90">
        <v>3383738.4</v>
      </c>
      <c r="Q347" s="90">
        <v>-2702.94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">
      <c r="D348" s="89"/>
      <c r="E348" s="89" t="s">
        <v>73</v>
      </c>
      <c r="F348" s="90">
        <v>41448273.229999997</v>
      </c>
      <c r="G348" s="90">
        <v>9799067.8399999999</v>
      </c>
      <c r="H348" s="90">
        <v>5514666.5800000001</v>
      </c>
      <c r="I348" s="90">
        <v>2910510.96</v>
      </c>
      <c r="J348" s="90">
        <v>43956.11</v>
      </c>
      <c r="K348" s="90">
        <v>-3831.58</v>
      </c>
      <c r="L348" s="90">
        <v>0</v>
      </c>
      <c r="M348" s="90">
        <v>-33238.42</v>
      </c>
      <c r="N348" s="90">
        <v>51690.03</v>
      </c>
      <c r="O348" s="90">
        <v>379225.18</v>
      </c>
      <c r="P348" s="90">
        <v>22792493.52</v>
      </c>
      <c r="Q348" s="90">
        <v>-6266.99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">
      <c r="D349" t="s">
        <v>86</v>
      </c>
      <c r="E349" s="89" t="s">
        <v>70</v>
      </c>
      <c r="F349" s="90">
        <v>41448273.229999997</v>
      </c>
      <c r="G349" s="90">
        <v>9799067.8399999999</v>
      </c>
      <c r="H349" s="90">
        <v>5514666.5800000001</v>
      </c>
      <c r="I349" s="90">
        <v>2910510.96</v>
      </c>
      <c r="J349" s="90">
        <v>43956.11</v>
      </c>
      <c r="K349" s="90">
        <v>-3831.58</v>
      </c>
      <c r="L349" s="90">
        <v>0</v>
      </c>
      <c r="M349" s="90">
        <v>-33238.42</v>
      </c>
      <c r="N349" s="90">
        <v>51690.03</v>
      </c>
      <c r="O349" s="90">
        <v>379225.18</v>
      </c>
      <c r="P349" s="90">
        <v>22792493.52</v>
      </c>
      <c r="Q349" s="90">
        <v>-6266.99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">
      <c r="D350" s="89"/>
      <c r="E350" s="89" t="s">
        <v>73</v>
      </c>
      <c r="F350" s="90">
        <v>357418504.17000002</v>
      </c>
      <c r="G350" s="90">
        <v>82262358.890000001</v>
      </c>
      <c r="H350" s="90">
        <v>46499187.439999998</v>
      </c>
      <c r="I350" s="90">
        <v>24589080.510000002</v>
      </c>
      <c r="J350" s="90">
        <v>3357839.2</v>
      </c>
      <c r="K350" s="90">
        <v>107100.09</v>
      </c>
      <c r="L350" s="90">
        <v>0</v>
      </c>
      <c r="M350" s="90">
        <v>927675.41</v>
      </c>
      <c r="N350" s="90">
        <v>1328839.5900000001</v>
      </c>
      <c r="O350" s="90">
        <v>6237531.6299999999</v>
      </c>
      <c r="P350" s="90">
        <v>191934234.59</v>
      </c>
      <c r="Q350" s="90">
        <v>174656.82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">
      <c r="C351" s="89"/>
      <c r="D351" s="89" t="s">
        <v>87</v>
      </c>
      <c r="E351" t="s">
        <v>70</v>
      </c>
      <c r="F351" s="90">
        <v>357418504.17000002</v>
      </c>
      <c r="G351" s="90">
        <v>82262358.890000001</v>
      </c>
      <c r="H351" s="90">
        <v>46499187.439999998</v>
      </c>
      <c r="I351" s="90">
        <v>24589080.510000002</v>
      </c>
      <c r="J351" s="90">
        <v>3357839.2</v>
      </c>
      <c r="K351" s="90">
        <v>107100.09</v>
      </c>
      <c r="L351" s="90">
        <v>0</v>
      </c>
      <c r="M351" s="90">
        <v>927675.41</v>
      </c>
      <c r="N351" s="90">
        <v>1328839.5900000001</v>
      </c>
      <c r="O351" s="90">
        <v>6237531.6299999999</v>
      </c>
      <c r="P351" s="90">
        <v>191934234.59</v>
      </c>
      <c r="Q351" s="90">
        <v>174656.82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">
      <c r="C352" s="101" t="s">
        <v>119</v>
      </c>
      <c r="D352" s="101" t="s">
        <v>70</v>
      </c>
      <c r="F352" s="93">
        <v>404748758.00999999</v>
      </c>
      <c r="G352" s="93">
        <v>93519768.420000002</v>
      </c>
      <c r="H352" s="93">
        <v>52835190.060000002</v>
      </c>
      <c r="I352" s="93">
        <v>27930086.850000001</v>
      </c>
      <c r="J352" s="93">
        <v>3311802.88</v>
      </c>
      <c r="K352" s="93">
        <v>101612.05</v>
      </c>
      <c r="L352" s="93">
        <v>0</v>
      </c>
      <c r="M352" s="93">
        <v>879904.61</v>
      </c>
      <c r="N352" s="93">
        <v>1362733.39</v>
      </c>
      <c r="O352" s="93">
        <v>6531506.3499999996</v>
      </c>
      <c r="P352" s="93">
        <v>218110466.50999999</v>
      </c>
      <c r="Q352" s="93">
        <v>165686.89000000001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">
      <c r="A353" s="98"/>
      <c r="B353" s="98" t="s">
        <v>112</v>
      </c>
      <c r="C353" s="226" t="s">
        <v>70</v>
      </c>
      <c r="F353" s="100">
        <v>-692112419.65999997</v>
      </c>
      <c r="G353" s="100">
        <v>271211462.55000001</v>
      </c>
      <c r="H353" s="100">
        <v>153047338.19</v>
      </c>
      <c r="I353" s="100">
        <v>80554534.670000002</v>
      </c>
      <c r="J353" s="100">
        <v>-568943087.61000001</v>
      </c>
      <c r="K353" s="100">
        <v>-20748956.800000001</v>
      </c>
      <c r="L353" s="100">
        <v>0</v>
      </c>
      <c r="M353" s="100">
        <v>-182035604.06999999</v>
      </c>
      <c r="N353" s="100">
        <v>-178325748.47</v>
      </c>
      <c r="O353" s="100">
        <v>-844100026.12</v>
      </c>
      <c r="P353" s="100">
        <v>631081551.88999999</v>
      </c>
      <c r="Q353" s="100">
        <v>-33853883.890000001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">
      <c r="A354" s="89" t="s">
        <v>79</v>
      </c>
      <c r="B354" t="s">
        <v>70</v>
      </c>
      <c r="F354" s="90">
        <v>-691485277.69000006</v>
      </c>
      <c r="G354" s="90">
        <v>271348314.49000001</v>
      </c>
      <c r="H354" s="90">
        <v>153106974.91999999</v>
      </c>
      <c r="I354" s="90">
        <v>80588755.959999993</v>
      </c>
      <c r="J354" s="90">
        <v>-568912767.13</v>
      </c>
      <c r="K354" s="90">
        <v>-20748326.109999999</v>
      </c>
      <c r="L354" s="90">
        <v>0</v>
      </c>
      <c r="M354" s="90">
        <v>-182030071.68000001</v>
      </c>
      <c r="N354" s="90">
        <v>-178319073.13</v>
      </c>
      <c r="O354" s="90">
        <v>-844068664.66999996</v>
      </c>
      <c r="P354" s="90">
        <v>631402434.54999995</v>
      </c>
      <c r="Q354" s="90">
        <v>-33852854.890000001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">
      <c r="A355" t="s">
        <v>70</v>
      </c>
      <c r="E355" s="89"/>
      <c r="F355" s="90">
        <v>15241836108.08</v>
      </c>
      <c r="G355" s="90">
        <v>1425848426.78</v>
      </c>
      <c r="H355" s="90">
        <v>803943575.11000001</v>
      </c>
      <c r="I355" s="90">
        <v>422682238.88999999</v>
      </c>
      <c r="J355" s="90">
        <v>2852529644.5900002</v>
      </c>
      <c r="K355" s="90">
        <v>105031913.06</v>
      </c>
      <c r="L355" s="90">
        <v>14319220.949999999</v>
      </c>
      <c r="M355" s="90">
        <v>921067427.27999997</v>
      </c>
      <c r="N355" s="90">
        <v>908660204.30999994</v>
      </c>
      <c r="O355" s="90">
        <v>4299877667.5500002</v>
      </c>
      <c r="P355" s="90">
        <v>3316172191</v>
      </c>
      <c r="Q355" s="90">
        <v>171468997.25</v>
      </c>
      <c r="R355" s="90">
        <v>246486.93</v>
      </c>
      <c r="S355" s="90">
        <v>-11886.13</v>
      </c>
      <c r="T355" s="150">
        <v>0.51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">
      <c r="C415" s="778" t="s">
        <v>2</v>
      </c>
      <c r="D415" s="775" t="s">
        <v>132</v>
      </c>
      <c r="E415" s="98" t="s">
        <v>70</v>
      </c>
      <c r="F415" s="100">
        <f>F330+F353+F299-L299-L330</f>
        <v>15226209207.130001</v>
      </c>
      <c r="G415" s="100">
        <f>G330+G299</f>
        <v>1154352513.9099998</v>
      </c>
      <c r="H415" s="100">
        <f t="shared" ref="G415:AO415" si="16">H330+H299</f>
        <v>650770459.23000002</v>
      </c>
      <c r="I415" s="100">
        <f t="shared" si="16"/>
        <v>342056191.35999995</v>
      </c>
      <c r="J415" s="100">
        <f t="shared" si="16"/>
        <v>3421408839.6399999</v>
      </c>
      <c r="K415" s="100">
        <f t="shared" si="16"/>
        <v>125779556.72</v>
      </c>
      <c r="L415" s="100">
        <f t="shared" si="16"/>
        <v>14319220.949999999</v>
      </c>
      <c r="M415" s="100">
        <f t="shared" si="16"/>
        <v>1103091507.73</v>
      </c>
      <c r="N415" s="100">
        <f t="shared" si="16"/>
        <v>1086971984.1900001</v>
      </c>
      <c r="O415" s="100">
        <f t="shared" si="16"/>
        <v>5143912413.1300001</v>
      </c>
      <c r="P415" s="100">
        <f t="shared" si="16"/>
        <v>2684422813.5500002</v>
      </c>
      <c r="Q415" s="100">
        <f t="shared" si="16"/>
        <v>205320738.77000001</v>
      </c>
      <c r="R415" s="100">
        <f t="shared" si="16"/>
        <v>246494.88</v>
      </c>
      <c r="S415" s="100">
        <f t="shared" si="16"/>
        <v>-11886.83</v>
      </c>
      <c r="T415" s="100">
        <f t="shared" si="16"/>
        <v>0.51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">
      <c r="C416" s="778"/>
      <c r="D416" s="775"/>
      <c r="E416" s="98" t="s">
        <v>73</v>
      </c>
      <c r="F416" s="100">
        <f>F353</f>
        <v>-692112419.65999997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">
      <c r="A417" s="90"/>
      <c r="C417" s="778"/>
      <c r="D417" s="775" t="s">
        <v>133</v>
      </c>
      <c r="E417" s="233" t="s">
        <v>70</v>
      </c>
      <c r="F417" s="234">
        <f>F342+F315-L315</f>
        <v>1307680</v>
      </c>
      <c r="G417" s="234">
        <f>G315</f>
        <v>147598.38</v>
      </c>
      <c r="H417" s="234">
        <f t="shared" ref="H417:AO417" si="17">H315</f>
        <v>66140.960000000006</v>
      </c>
      <c r="I417" s="234">
        <f t="shared" si="17"/>
        <v>37291.57</v>
      </c>
      <c r="J417" s="234">
        <f t="shared" si="17"/>
        <v>33572.080000000002</v>
      </c>
      <c r="K417" s="234">
        <f t="shared" si="17"/>
        <v>682.45</v>
      </c>
      <c r="L417" s="234">
        <f t="shared" si="17"/>
        <v>0</v>
      </c>
      <c r="M417" s="234">
        <f t="shared" si="17"/>
        <v>5991.23</v>
      </c>
      <c r="N417" s="234">
        <f t="shared" si="17"/>
        <v>7293.25</v>
      </c>
      <c r="O417" s="234">
        <f t="shared" si="17"/>
        <v>33919.089999999997</v>
      </c>
      <c r="P417" s="234">
        <f t="shared" si="17"/>
        <v>346942.9</v>
      </c>
      <c r="Q417" s="234">
        <f t="shared" si="17"/>
        <v>1113.3699999999999</v>
      </c>
      <c r="R417" s="234">
        <f t="shared" si="17"/>
        <v>-7.95</v>
      </c>
      <c r="S417" s="234">
        <f t="shared" si="17"/>
        <v>0.7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">
      <c r="C418" s="778"/>
      <c r="D418" s="775"/>
      <c r="E418" s="233" t="s">
        <v>73</v>
      </c>
      <c r="F418" s="234">
        <f>F342</f>
        <v>627141.97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">
      <c r="C420" s="778" t="s">
        <v>160</v>
      </c>
      <c r="D420" s="775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">
      <c r="C421" s="778"/>
      <c r="D421" s="775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">
      <c r="C422" s="778"/>
      <c r="D422" s="775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">
      <c r="C423" s="778"/>
      <c r="D423" s="775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">
      <c r="C425" s="778" t="s">
        <v>155</v>
      </c>
      <c r="D425" s="775" t="s">
        <v>132</v>
      </c>
      <c r="E425" s="221" t="s">
        <v>70</v>
      </c>
      <c r="F425" s="222">
        <f>F345+F319+F291-L291-L319</f>
        <v>13997194578.870001</v>
      </c>
      <c r="G425" s="222">
        <f t="shared" ref="G425:AO425" si="18">G319+G291</f>
        <v>987122183.24000001</v>
      </c>
      <c r="H425" s="222">
        <f t="shared" si="18"/>
        <v>556797987.04999995</v>
      </c>
      <c r="I425" s="222">
        <f t="shared" si="18"/>
        <v>292504434.60000002</v>
      </c>
      <c r="J425" s="222">
        <f t="shared" si="18"/>
        <v>3384957591.0900002</v>
      </c>
      <c r="K425" s="222">
        <f t="shared" si="18"/>
        <v>124652663.64</v>
      </c>
      <c r="L425" s="222">
        <f t="shared" si="18"/>
        <v>13007833.130000001</v>
      </c>
      <c r="M425" s="222">
        <f t="shared" si="18"/>
        <v>1093234289.8399999</v>
      </c>
      <c r="N425" s="222">
        <f t="shared" si="18"/>
        <v>1073707981.87</v>
      </c>
      <c r="O425" s="222">
        <f t="shared" si="18"/>
        <v>5081970328.25</v>
      </c>
      <c r="P425" s="222">
        <f t="shared" si="18"/>
        <v>2295380517.8499999</v>
      </c>
      <c r="Q425" s="222">
        <f t="shared" si="18"/>
        <v>203480280.53</v>
      </c>
      <c r="R425" s="222">
        <f t="shared" si="18"/>
        <v>247498.34</v>
      </c>
      <c r="S425" s="222">
        <f t="shared" si="18"/>
        <v>-0.27</v>
      </c>
      <c r="T425" s="222">
        <f t="shared" si="18"/>
        <v>0.51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">
      <c r="C426" s="778"/>
      <c r="D426" s="775"/>
      <c r="E426" s="221" t="s">
        <v>73</v>
      </c>
      <c r="F426" s="222">
        <f>F345</f>
        <v>-1096861177.6700001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">
      <c r="C427" s="778"/>
      <c r="D427" s="775" t="s">
        <v>133</v>
      </c>
      <c r="E427" s="229" t="s">
        <v>70</v>
      </c>
      <c r="F427" s="230">
        <f>F334+F304-L304</f>
        <v>1307680</v>
      </c>
      <c r="G427" s="230">
        <f>G304</f>
        <v>147598.38</v>
      </c>
      <c r="H427" s="230">
        <f t="shared" ref="H427:AO427" si="19">H304</f>
        <v>66140.960000000006</v>
      </c>
      <c r="I427" s="230">
        <f t="shared" si="19"/>
        <v>37291.57</v>
      </c>
      <c r="J427" s="230">
        <f t="shared" si="19"/>
        <v>33572.080000000002</v>
      </c>
      <c r="K427" s="230">
        <f t="shared" si="19"/>
        <v>682.45</v>
      </c>
      <c r="L427" s="230">
        <f t="shared" si="19"/>
        <v>0</v>
      </c>
      <c r="M427" s="230">
        <f t="shared" si="19"/>
        <v>5991.23</v>
      </c>
      <c r="N427" s="230">
        <f t="shared" si="19"/>
        <v>7293.25</v>
      </c>
      <c r="O427" s="230">
        <f t="shared" si="19"/>
        <v>33919.089999999997</v>
      </c>
      <c r="P427" s="230">
        <f t="shared" si="19"/>
        <v>346942.9</v>
      </c>
      <c r="Q427" s="230">
        <f t="shared" si="19"/>
        <v>1113.3699999999999</v>
      </c>
      <c r="R427" s="230">
        <f t="shared" si="19"/>
        <v>-7.95</v>
      </c>
      <c r="S427" s="230">
        <f t="shared" si="19"/>
        <v>0.7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">
      <c r="C428" s="778"/>
      <c r="D428" s="775"/>
      <c r="E428" s="229" t="s">
        <v>73</v>
      </c>
      <c r="F428" s="230">
        <f>F334</f>
        <v>627141.97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">
      <c r="C430" s="776" t="s">
        <v>326</v>
      </c>
      <c r="D430" s="775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">
      <c r="C431" s="776"/>
      <c r="D431" s="775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">
      <c r="C432" s="776"/>
      <c r="D432" s="775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">
      <c r="C433" s="776"/>
      <c r="D433" s="775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">
      <c r="C435" s="778" t="s">
        <v>119</v>
      </c>
      <c r="D435" s="775" t="s">
        <v>132</v>
      </c>
      <c r="E435" s="101" t="s">
        <v>70</v>
      </c>
      <c r="F435" s="93">
        <f>F352+F329+F298-L298-L329</f>
        <v>1229014628.26</v>
      </c>
      <c r="G435" s="93">
        <f>G329+G298</f>
        <v>167230330.67000002</v>
      </c>
      <c r="H435" s="93">
        <f t="shared" ref="G435:AO435" si="20">H329+H298</f>
        <v>93972472.179999992</v>
      </c>
      <c r="I435" s="93">
        <f t="shared" si="20"/>
        <v>49551756.759999998</v>
      </c>
      <c r="J435" s="93">
        <f t="shared" si="20"/>
        <v>36451248.549999997</v>
      </c>
      <c r="K435" s="93">
        <f t="shared" si="20"/>
        <v>1126893.08</v>
      </c>
      <c r="L435" s="93">
        <f t="shared" si="20"/>
        <v>1311387.82</v>
      </c>
      <c r="M435" s="93">
        <f t="shared" si="20"/>
        <v>9857217.8900000006</v>
      </c>
      <c r="N435" s="93">
        <f t="shared" si="20"/>
        <v>13264002.32</v>
      </c>
      <c r="O435" s="93">
        <f t="shared" si="20"/>
        <v>61942084.880000003</v>
      </c>
      <c r="P435" s="93">
        <f t="shared" si="20"/>
        <v>389042295.69999999</v>
      </c>
      <c r="Q435" s="93">
        <f t="shared" si="20"/>
        <v>1840458.24</v>
      </c>
      <c r="R435" s="93">
        <f t="shared" si="20"/>
        <v>-1003.46</v>
      </c>
      <c r="S435" s="93">
        <f t="shared" si="20"/>
        <v>-11886.56</v>
      </c>
      <c r="T435" s="93">
        <f t="shared" si="20"/>
        <v>0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">
      <c r="C436" s="778"/>
      <c r="D436" s="775"/>
      <c r="E436" s="101" t="s">
        <v>73</v>
      </c>
      <c r="F436" s="93">
        <f>F352</f>
        <v>404748758.00999999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">
      <c r="C437" s="778"/>
      <c r="D437" s="775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">
      <c r="C438" s="778"/>
      <c r="D438" s="775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">
      <c r="C440" s="777" t="s">
        <v>161</v>
      </c>
      <c r="D440" s="775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">
      <c r="C441" s="777"/>
      <c r="D441" s="775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">
      <c r="C442" s="777"/>
      <c r="D442" s="775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">
      <c r="C443" s="777"/>
      <c r="D443" s="775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">
      <c r="D445" s="458" t="s">
        <v>186</v>
      </c>
      <c r="E445" s="459" t="s">
        <v>70</v>
      </c>
      <c r="F445" s="460">
        <f>F299</f>
        <v>-16458.46</v>
      </c>
      <c r="G445" s="460">
        <f t="shared" ref="F445:Z445" si="22">G299</f>
        <v>-1490.88</v>
      </c>
      <c r="H445" s="460">
        <f t="shared" si="22"/>
        <v>-633.39</v>
      </c>
      <c r="I445" s="460">
        <f t="shared" si="22"/>
        <v>-276.60000000000002</v>
      </c>
      <c r="J445" s="460">
        <f t="shared" si="22"/>
        <v>-3142.56</v>
      </c>
      <c r="K445" s="460">
        <f t="shared" si="22"/>
        <v>-129.47999999999999</v>
      </c>
      <c r="L445" s="460">
        <f t="shared" si="22"/>
        <v>0</v>
      </c>
      <c r="M445" s="460">
        <f t="shared" si="22"/>
        <v>-1135.68</v>
      </c>
      <c r="N445" s="460">
        <f t="shared" si="22"/>
        <v>-1423.48</v>
      </c>
      <c r="O445" s="460">
        <f t="shared" si="22"/>
        <v>-4781.43</v>
      </c>
      <c r="P445" s="460">
        <f t="shared" si="22"/>
        <v>-3233.73</v>
      </c>
      <c r="Q445" s="460">
        <f t="shared" si="22"/>
        <v>-211.23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">
      <c r="E450" s="89" t="s">
        <v>72</v>
      </c>
      <c r="F450" s="371">
        <v>-280784.65000000002</v>
      </c>
      <c r="G450" s="90">
        <v>-22556.67</v>
      </c>
      <c r="H450" s="90">
        <v>-9582.84</v>
      </c>
      <c r="I450" s="90">
        <v>-4184.76</v>
      </c>
      <c r="J450" s="90">
        <v>-52204.81</v>
      </c>
      <c r="K450" s="90">
        <v>-2126.02</v>
      </c>
      <c r="L450" s="90">
        <v>0</v>
      </c>
      <c r="M450" s="90">
        <v>-18648.64</v>
      </c>
      <c r="N450" s="90">
        <v>-23713.72</v>
      </c>
      <c r="O450" s="90">
        <v>-87072.87</v>
      </c>
      <c r="P450" s="90">
        <v>-57225.48</v>
      </c>
      <c r="Q450" s="90">
        <v>-3468.84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">
      <c r="D451" t="s">
        <v>156</v>
      </c>
      <c r="E451" s="89" t="s">
        <v>70</v>
      </c>
      <c r="F451" s="371">
        <v>-280784.65000000002</v>
      </c>
      <c r="G451" s="90">
        <v>-22556.67</v>
      </c>
      <c r="H451" s="90">
        <v>-9582.84</v>
      </c>
      <c r="I451" s="90">
        <v>-4184.76</v>
      </c>
      <c r="J451" s="90">
        <v>-52204.81</v>
      </c>
      <c r="K451" s="90">
        <v>-2126.02</v>
      </c>
      <c r="L451" s="90">
        <v>0</v>
      </c>
      <c r="M451" s="90">
        <v>-18648.64</v>
      </c>
      <c r="N451" s="90">
        <v>-23713.72</v>
      </c>
      <c r="O451" s="90">
        <v>-87072.87</v>
      </c>
      <c r="P451" s="90">
        <v>-57225.48</v>
      </c>
      <c r="Q451" s="90">
        <v>-3468.84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">
      <c r="C452" s="656" t="s">
        <v>155</v>
      </c>
      <c r="D452" s="657" t="s">
        <v>70</v>
      </c>
      <c r="E452" s="657"/>
      <c r="F452" s="658">
        <v>-280784.65000000002</v>
      </c>
      <c r="G452" s="658">
        <v>-22556.67</v>
      </c>
      <c r="H452" s="658">
        <v>-9582.84</v>
      </c>
      <c r="I452" s="658">
        <v>-4184.76</v>
      </c>
      <c r="J452" s="658">
        <v>-52204.81</v>
      </c>
      <c r="K452" s="658">
        <v>-2126.02</v>
      </c>
      <c r="L452" s="658">
        <v>0</v>
      </c>
      <c r="M452" s="658">
        <v>-18648.64</v>
      </c>
      <c r="N452" s="658">
        <v>-23713.72</v>
      </c>
      <c r="O452" s="658">
        <v>-87072.87</v>
      </c>
      <c r="P452" s="658">
        <v>-57225.48</v>
      </c>
      <c r="Q452" s="658">
        <v>-3468.84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">
      <c r="E455" s="89" t="s">
        <v>72</v>
      </c>
      <c r="F455" s="371">
        <v>-159171.87</v>
      </c>
      <c r="G455" s="90">
        <v>-12887.74</v>
      </c>
      <c r="H455" s="90">
        <v>-5475.2</v>
      </c>
      <c r="I455" s="90">
        <v>-2390.9699999999998</v>
      </c>
      <c r="J455" s="90">
        <v>-29437.37</v>
      </c>
      <c r="K455" s="90">
        <v>-1198.82</v>
      </c>
      <c r="L455" s="90">
        <v>0</v>
      </c>
      <c r="M455" s="90">
        <v>-10515.66</v>
      </c>
      <c r="N455" s="90">
        <v>-13371.77</v>
      </c>
      <c r="O455" s="90">
        <v>-49098.82</v>
      </c>
      <c r="P455" s="90">
        <v>-32839.51</v>
      </c>
      <c r="Q455" s="90">
        <v>-1956.01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">
      <c r="D456" t="s">
        <v>86</v>
      </c>
      <c r="E456" s="89" t="s">
        <v>70</v>
      </c>
      <c r="F456" s="371">
        <v>-159171.87</v>
      </c>
      <c r="G456" s="90">
        <v>-12887.74</v>
      </c>
      <c r="H456" s="90">
        <v>-5475.2</v>
      </c>
      <c r="I456" s="90">
        <v>-2390.9699999999998</v>
      </c>
      <c r="J456" s="90">
        <v>-29437.37</v>
      </c>
      <c r="K456" s="90">
        <v>-1198.82</v>
      </c>
      <c r="L456" s="90">
        <v>0</v>
      </c>
      <c r="M456" s="90">
        <v>-10515.66</v>
      </c>
      <c r="N456" s="90">
        <v>-13371.77</v>
      </c>
      <c r="O456" s="90">
        <v>-49098.82</v>
      </c>
      <c r="P456" s="90">
        <v>-32839.51</v>
      </c>
      <c r="Q456" s="90">
        <v>-1956.01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">
      <c r="C459" s="101" t="s">
        <v>119</v>
      </c>
      <c r="D459" s="101" t="s">
        <v>70</v>
      </c>
      <c r="F459" s="93">
        <v>-159171.87</v>
      </c>
      <c r="G459" s="93">
        <v>-12887.74</v>
      </c>
      <c r="H459" s="93">
        <v>-5475.2</v>
      </c>
      <c r="I459" s="93">
        <v>-2390.9699999999998</v>
      </c>
      <c r="J459" s="93">
        <v>-29437.37</v>
      </c>
      <c r="K459" s="93">
        <v>-1198.82</v>
      </c>
      <c r="L459" s="93">
        <v>0</v>
      </c>
      <c r="M459" s="93">
        <v>-10515.66</v>
      </c>
      <c r="N459" s="93">
        <v>-13371.77</v>
      </c>
      <c r="O459" s="93">
        <v>-49098.82</v>
      </c>
      <c r="P459" s="93">
        <v>-32839.51</v>
      </c>
      <c r="Q459" s="93">
        <v>-1956.01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">
      <c r="B460" t="s">
        <v>112</v>
      </c>
      <c r="C460" t="s">
        <v>70</v>
      </c>
      <c r="E460" s="89"/>
      <c r="F460" s="371">
        <v>-439956.52</v>
      </c>
      <c r="G460" s="90">
        <v>-35444.410000000003</v>
      </c>
      <c r="H460" s="90">
        <v>-15058.04</v>
      </c>
      <c r="I460" s="90">
        <v>-6575.73</v>
      </c>
      <c r="J460" s="90">
        <v>-81642.179999999993</v>
      </c>
      <c r="K460" s="90">
        <v>-3324.84</v>
      </c>
      <c r="L460" s="90">
        <v>0</v>
      </c>
      <c r="M460" s="90">
        <v>-29164.3</v>
      </c>
      <c r="N460" s="90">
        <v>-37085.49</v>
      </c>
      <c r="O460" s="90">
        <v>-136171.69</v>
      </c>
      <c r="P460" s="90">
        <v>-90064.99</v>
      </c>
      <c r="Q460" s="90">
        <v>-5424.85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">
      <c r="A461" s="458" t="s">
        <v>186</v>
      </c>
      <c r="B461" s="459" t="s">
        <v>70</v>
      </c>
      <c r="C461" s="459"/>
      <c r="F461" s="460">
        <v>-439956.52</v>
      </c>
      <c r="G461" s="460">
        <v>-35444.410000000003</v>
      </c>
      <c r="H461" s="460">
        <v>-15058.04</v>
      </c>
      <c r="I461" s="460">
        <v>-6575.73</v>
      </c>
      <c r="J461" s="460">
        <v>-81642.179999999993</v>
      </c>
      <c r="K461" s="460">
        <v>-3324.84</v>
      </c>
      <c r="L461" s="460">
        <v>0</v>
      </c>
      <c r="M461" s="460">
        <v>-29164.3</v>
      </c>
      <c r="N461" s="460">
        <v>-37085.49</v>
      </c>
      <c r="O461" s="460">
        <v>-136171.69</v>
      </c>
      <c r="P461" s="460">
        <v>-90064.99</v>
      </c>
      <c r="Q461" s="460">
        <v>-5424.85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">
      <c r="E462" s="89" t="s">
        <v>72</v>
      </c>
      <c r="F462" s="90">
        <v>3729263.65</v>
      </c>
      <c r="G462" s="90">
        <v>250278.18</v>
      </c>
      <c r="H462" s="90">
        <v>140595.42000000001</v>
      </c>
      <c r="I462" s="90">
        <v>76572.039999999994</v>
      </c>
      <c r="J462" s="90">
        <v>773694.76</v>
      </c>
      <c r="K462" s="90">
        <v>25330.799999999999</v>
      </c>
      <c r="L462" s="90">
        <v>0</v>
      </c>
      <c r="M462" s="90">
        <v>222200.58</v>
      </c>
      <c r="N462" s="90">
        <v>246950.82</v>
      </c>
      <c r="O462" s="90">
        <v>1283227.56</v>
      </c>
      <c r="P462" s="90">
        <v>667208.65</v>
      </c>
      <c r="Q462" s="90">
        <v>43201.16</v>
      </c>
      <c r="R462" s="90">
        <v>3.68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">
      <c r="E463" s="89" t="s">
        <v>81</v>
      </c>
      <c r="F463" s="90">
        <v>107021.42</v>
      </c>
      <c r="G463" s="90">
        <v>6984.57</v>
      </c>
      <c r="H463" s="90">
        <v>3522.1</v>
      </c>
      <c r="I463" s="90">
        <v>1746.51</v>
      </c>
      <c r="J463" s="90">
        <v>23447.8</v>
      </c>
      <c r="K463" s="90">
        <v>972.85</v>
      </c>
      <c r="L463" s="90">
        <v>0</v>
      </c>
      <c r="M463" s="90">
        <v>8540.6200000000008</v>
      </c>
      <c r="N463" s="90">
        <v>10602.78</v>
      </c>
      <c r="O463" s="90">
        <v>33967.61</v>
      </c>
      <c r="P463" s="90">
        <v>15735.59</v>
      </c>
      <c r="Q463" s="90">
        <v>1588.7</v>
      </c>
      <c r="R463" s="90">
        <v>1.03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-88.74</v>
      </c>
    </row>
    <row r="464" spans="1:26" ht="12.75" customHeight="1" x14ac:dyDescent="0.2">
      <c r="D464" t="s">
        <v>156</v>
      </c>
      <c r="E464" s="89" t="s">
        <v>70</v>
      </c>
      <c r="F464" s="90">
        <v>3836285.07</v>
      </c>
      <c r="G464" s="90">
        <v>257262.75</v>
      </c>
      <c r="H464" s="90">
        <v>144117.51999999999</v>
      </c>
      <c r="I464" s="90">
        <v>78318.55</v>
      </c>
      <c r="J464" s="90">
        <v>797142.56</v>
      </c>
      <c r="K464" s="90">
        <v>26303.65</v>
      </c>
      <c r="L464" s="90">
        <v>0</v>
      </c>
      <c r="M464" s="90">
        <v>230741.2</v>
      </c>
      <c r="N464" s="90">
        <v>257553.6</v>
      </c>
      <c r="O464" s="90">
        <v>1317195.17</v>
      </c>
      <c r="P464" s="90">
        <v>682944.24</v>
      </c>
      <c r="Q464" s="90">
        <v>44789.86</v>
      </c>
      <c r="R464" s="90">
        <v>4.71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-88.74</v>
      </c>
    </row>
    <row r="465" spans="3:26" s="656" customFormat="1" ht="12.75" customHeight="1" x14ac:dyDescent="0.2">
      <c r="C465" s="656" t="s">
        <v>155</v>
      </c>
      <c r="D465" s="657" t="s">
        <v>70</v>
      </c>
      <c r="E465" s="657"/>
      <c r="F465" s="658">
        <v>3836285.07</v>
      </c>
      <c r="G465" s="658">
        <v>257262.75</v>
      </c>
      <c r="H465" s="658">
        <v>144117.51999999999</v>
      </c>
      <c r="I465" s="658">
        <v>78318.55</v>
      </c>
      <c r="J465" s="658">
        <v>797142.56</v>
      </c>
      <c r="K465" s="658">
        <v>26303.65</v>
      </c>
      <c r="L465" s="658">
        <v>0</v>
      </c>
      <c r="M465" s="658">
        <v>230741.2</v>
      </c>
      <c r="N465" s="658">
        <v>257553.6</v>
      </c>
      <c r="O465" s="658">
        <v>1317195.17</v>
      </c>
      <c r="P465" s="658">
        <v>682944.24</v>
      </c>
      <c r="Q465" s="658">
        <v>44789.86</v>
      </c>
      <c r="R465" s="658">
        <v>4.71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-88.74</v>
      </c>
    </row>
    <row r="466" spans="3:26" ht="12.75" customHeight="1" x14ac:dyDescent="0.2">
      <c r="D466" s="89"/>
      <c r="E466" s="89" t="s">
        <v>72</v>
      </c>
      <c r="F466" s="371">
        <v>41900</v>
      </c>
      <c r="G466" s="90">
        <v>2593.4699999999998</v>
      </c>
      <c r="H466" s="90">
        <v>1464.28</v>
      </c>
      <c r="I466" s="90">
        <v>768.54</v>
      </c>
      <c r="J466" s="90">
        <v>8475</v>
      </c>
      <c r="K466" s="90">
        <v>336.82</v>
      </c>
      <c r="L466" s="90">
        <v>0</v>
      </c>
      <c r="M466" s="90">
        <v>2954.55</v>
      </c>
      <c r="N466" s="90">
        <v>2903.79</v>
      </c>
      <c r="O466" s="90">
        <v>14989.18</v>
      </c>
      <c r="P466" s="90">
        <v>6864.83</v>
      </c>
      <c r="Q466" s="90">
        <v>549.54</v>
      </c>
      <c r="R466" s="90">
        <v>0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">
      <c r="D467" s="89"/>
      <c r="E467" s="89" t="s">
        <v>81</v>
      </c>
      <c r="F467" s="371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">
      <c r="D468" s="89" t="s">
        <v>115</v>
      </c>
      <c r="E468" s="89" t="s">
        <v>70</v>
      </c>
      <c r="F468" s="371">
        <v>41900</v>
      </c>
      <c r="G468" s="90">
        <v>2593.4699999999998</v>
      </c>
      <c r="H468" s="90">
        <v>1464.28</v>
      </c>
      <c r="I468" s="90">
        <v>768.54</v>
      </c>
      <c r="J468" s="90">
        <v>8475</v>
      </c>
      <c r="K468" s="90">
        <v>336.82</v>
      </c>
      <c r="L468" s="90">
        <v>0</v>
      </c>
      <c r="M468" s="90">
        <v>2954.55</v>
      </c>
      <c r="N468" s="90">
        <v>2903.79</v>
      </c>
      <c r="O468" s="90">
        <v>14989.18</v>
      </c>
      <c r="P468" s="90">
        <v>6864.83</v>
      </c>
      <c r="Q468" s="90">
        <v>549.54</v>
      </c>
      <c r="R468" s="90">
        <v>0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">
      <c r="D472" s="89"/>
      <c r="E472" s="89" t="s">
        <v>72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">
      <c r="D474" t="s">
        <v>118</v>
      </c>
      <c r="E474" s="89" t="s">
        <v>70</v>
      </c>
      <c r="F474" s="90">
        <v>0</v>
      </c>
      <c r="G474" s="90">
        <v>0</v>
      </c>
      <c r="H474" s="90">
        <v>0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">
      <c r="C475" s="223" t="s">
        <v>120</v>
      </c>
      <c r="D475" s="223" t="s">
        <v>70</v>
      </c>
      <c r="F475" s="225">
        <v>41900</v>
      </c>
      <c r="G475" s="225">
        <v>2593.4699999999998</v>
      </c>
      <c r="H475" s="225">
        <v>1464.28</v>
      </c>
      <c r="I475" s="225">
        <v>768.54</v>
      </c>
      <c r="J475" s="225">
        <v>8475</v>
      </c>
      <c r="K475" s="225">
        <v>336.82</v>
      </c>
      <c r="L475" s="225">
        <v>0</v>
      </c>
      <c r="M475" s="225">
        <v>2954.55</v>
      </c>
      <c r="N475" s="225">
        <v>2903.79</v>
      </c>
      <c r="O475" s="225">
        <v>14989.18</v>
      </c>
      <c r="P475" s="225">
        <v>6864.83</v>
      </c>
      <c r="Q475" s="225">
        <v>549.54</v>
      </c>
      <c r="R475" s="225">
        <v>0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">
      <c r="E476" s="89" t="s">
        <v>72</v>
      </c>
      <c r="F476" s="371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0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">
      <c r="D478" t="s">
        <v>82</v>
      </c>
      <c r="E478" s="89" t="s">
        <v>70</v>
      </c>
      <c r="F478" s="371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0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">
      <c r="E479" s="89" t="s">
        <v>72</v>
      </c>
      <c r="F479" s="371">
        <v>724954.55</v>
      </c>
      <c r="G479" s="90">
        <v>51580.59</v>
      </c>
      <c r="H479" s="90">
        <v>29162.67</v>
      </c>
      <c r="I479" s="90">
        <v>15465.11</v>
      </c>
      <c r="J479" s="90">
        <v>165856.16</v>
      </c>
      <c r="K479" s="90">
        <v>4891.8999999999996</v>
      </c>
      <c r="L479" s="90">
        <v>0</v>
      </c>
      <c r="M479" s="90">
        <v>46423.44</v>
      </c>
      <c r="N479" s="90">
        <v>49444.99</v>
      </c>
      <c r="O479" s="90">
        <v>213489.65</v>
      </c>
      <c r="P479" s="90">
        <v>140652.25</v>
      </c>
      <c r="Q479" s="90">
        <v>7981.52</v>
      </c>
      <c r="R479" s="90">
        <v>6.27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">
      <c r="E480" s="89" t="s">
        <v>81</v>
      </c>
      <c r="F480" s="371">
        <v>-2564.46</v>
      </c>
      <c r="G480" s="90">
        <v>1.25</v>
      </c>
      <c r="H480" s="90">
        <v>0.72</v>
      </c>
      <c r="I480" s="90">
        <v>0.37</v>
      </c>
      <c r="J480" s="90">
        <v>2.2200000000000002</v>
      </c>
      <c r="K480" s="90">
        <v>0.15</v>
      </c>
      <c r="L480" s="90">
        <v>0</v>
      </c>
      <c r="M480" s="90">
        <v>1.27</v>
      </c>
      <c r="N480" s="90">
        <v>1.25</v>
      </c>
      <c r="O480" s="90">
        <v>-2575.25</v>
      </c>
      <c r="P480" s="90">
        <v>3.32</v>
      </c>
      <c r="Q480" s="90">
        <v>0.24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">
      <c r="D481" t="s">
        <v>86</v>
      </c>
      <c r="E481" s="89" t="s">
        <v>70</v>
      </c>
      <c r="F481" s="371">
        <v>722390.09</v>
      </c>
      <c r="G481" s="90">
        <v>51581.84</v>
      </c>
      <c r="H481" s="90">
        <v>29163.39</v>
      </c>
      <c r="I481" s="90">
        <v>15465.48</v>
      </c>
      <c r="J481" s="90">
        <v>165858.38</v>
      </c>
      <c r="K481" s="90">
        <v>4892.05</v>
      </c>
      <c r="L481" s="90">
        <v>0</v>
      </c>
      <c r="M481" s="90">
        <v>46424.71</v>
      </c>
      <c r="N481" s="90">
        <v>49446.239999999998</v>
      </c>
      <c r="O481" s="90">
        <v>210914.4</v>
      </c>
      <c r="P481" s="90">
        <v>140655.57</v>
      </c>
      <c r="Q481" s="90">
        <v>7981.76</v>
      </c>
      <c r="R481" s="90">
        <v>6.27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">
      <c r="E482" s="89" t="s">
        <v>72</v>
      </c>
      <c r="F482" s="371">
        <v>0</v>
      </c>
      <c r="G482" s="90">
        <v>0</v>
      </c>
      <c r="H482" s="90">
        <v>0</v>
      </c>
      <c r="I482" s="90">
        <v>0</v>
      </c>
      <c r="J482" s="90">
        <v>0</v>
      </c>
      <c r="K482" s="90">
        <v>0</v>
      </c>
      <c r="L482" s="90">
        <v>0</v>
      </c>
      <c r="M482" s="90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">
      <c r="D484" t="s">
        <v>87</v>
      </c>
      <c r="E484" s="89" t="s">
        <v>70</v>
      </c>
      <c r="F484" s="371">
        <v>0</v>
      </c>
      <c r="G484" s="90">
        <v>0</v>
      </c>
      <c r="H484" s="90">
        <v>0</v>
      </c>
      <c r="I484" s="90">
        <v>0</v>
      </c>
      <c r="J484" s="90">
        <v>0</v>
      </c>
      <c r="K484" s="90">
        <v>0</v>
      </c>
      <c r="L484" s="90">
        <v>0</v>
      </c>
      <c r="M484" s="90">
        <v>0</v>
      </c>
      <c r="N484" s="90">
        <v>0</v>
      </c>
      <c r="O484" s="90">
        <v>0</v>
      </c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">
      <c r="C485" s="94" t="s">
        <v>119</v>
      </c>
      <c r="D485" s="94" t="s">
        <v>70</v>
      </c>
      <c r="E485" s="101"/>
      <c r="F485" s="93">
        <v>722390.09</v>
      </c>
      <c r="G485" s="93">
        <v>51581.84</v>
      </c>
      <c r="H485" s="93">
        <v>29163.39</v>
      </c>
      <c r="I485" s="93">
        <v>15465.48</v>
      </c>
      <c r="J485" s="93">
        <v>165858.38</v>
      </c>
      <c r="K485" s="93">
        <v>4892.05</v>
      </c>
      <c r="L485" s="93">
        <v>0</v>
      </c>
      <c r="M485" s="93">
        <v>46424.71</v>
      </c>
      <c r="N485" s="93">
        <v>49446.239999999998</v>
      </c>
      <c r="O485" s="93">
        <v>210914.4</v>
      </c>
      <c r="P485" s="93">
        <v>140655.57</v>
      </c>
      <c r="Q485" s="93">
        <v>7981.76</v>
      </c>
      <c r="R485" s="93">
        <v>6.27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">
      <c r="B486" s="378" t="s">
        <v>122</v>
      </c>
      <c r="C486" s="378" t="s">
        <v>70</v>
      </c>
      <c r="E486" s="376"/>
      <c r="F486" s="377">
        <v>4600575.16</v>
      </c>
      <c r="G486" s="377">
        <v>311438.06</v>
      </c>
      <c r="H486" s="377">
        <v>174745.19</v>
      </c>
      <c r="I486" s="377">
        <v>94552.57</v>
      </c>
      <c r="J486" s="377">
        <v>971475.94</v>
      </c>
      <c r="K486" s="377">
        <v>31532.52</v>
      </c>
      <c r="L486" s="377">
        <v>0</v>
      </c>
      <c r="M486" s="377">
        <v>280120.46000000002</v>
      </c>
      <c r="N486" s="377">
        <v>309903.63</v>
      </c>
      <c r="O486" s="377">
        <v>1543098.75</v>
      </c>
      <c r="P486" s="377">
        <v>830464.64</v>
      </c>
      <c r="Q486" s="377">
        <v>53321.16</v>
      </c>
      <c r="R486" s="377">
        <v>10.98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-88.74</v>
      </c>
    </row>
    <row r="487" spans="2:26" ht="12.75" customHeight="1" x14ac:dyDescent="0.2">
      <c r="E487" s="89" t="s">
        <v>72</v>
      </c>
      <c r="F487" s="90">
        <v>7194058961.6599998</v>
      </c>
      <c r="G487" s="90">
        <v>402608765.89999998</v>
      </c>
      <c r="H487" s="90">
        <v>225742966.46000001</v>
      </c>
      <c r="I487" s="90">
        <v>118610711.23999999</v>
      </c>
      <c r="J487" s="90">
        <v>1517323419.8900001</v>
      </c>
      <c r="K487" s="90">
        <v>59618340.229999997</v>
      </c>
      <c r="L487" s="90">
        <v>19205690.579999998</v>
      </c>
      <c r="M487" s="90">
        <v>521948830.88999999</v>
      </c>
      <c r="N487" s="90">
        <v>515744857.08999997</v>
      </c>
      <c r="O487" s="90">
        <v>2650384910.21</v>
      </c>
      <c r="P487" s="90">
        <v>1065418621.53</v>
      </c>
      <c r="Q487" s="90">
        <v>97483095.069999993</v>
      </c>
      <c r="R487" s="90">
        <v>-31247.43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">
      <c r="E488" s="89" t="s">
        <v>81</v>
      </c>
      <c r="F488" s="371">
        <v>44029984.259999998</v>
      </c>
      <c r="G488" s="90">
        <v>5558443.2599999998</v>
      </c>
      <c r="H488" s="90">
        <v>2499011.4700000002</v>
      </c>
      <c r="I488" s="90">
        <v>975568.45</v>
      </c>
      <c r="J488" s="90">
        <v>7323304.4000000004</v>
      </c>
      <c r="K488" s="90">
        <v>281514.84000000003</v>
      </c>
      <c r="L488" s="90">
        <v>3196.95</v>
      </c>
      <c r="M488" s="90">
        <v>2467651.7999999998</v>
      </c>
      <c r="N488" s="90">
        <v>2968352.29</v>
      </c>
      <c r="O488" s="90">
        <v>6873310.4000000004</v>
      </c>
      <c r="P488" s="90">
        <v>14605987.130000001</v>
      </c>
      <c r="Q488" s="90">
        <v>459571.29</v>
      </c>
      <c r="R488" s="90">
        <v>14431.48</v>
      </c>
      <c r="S488" s="90">
        <v>0.02</v>
      </c>
      <c r="T488">
        <v>4.0599999999999996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-363.58</v>
      </c>
    </row>
    <row r="489" spans="2:26" ht="12.75" customHeight="1" x14ac:dyDescent="0.2">
      <c r="D489" t="s">
        <v>156</v>
      </c>
      <c r="E489" s="89" t="s">
        <v>70</v>
      </c>
      <c r="F489" s="90">
        <v>7238088945.9200001</v>
      </c>
      <c r="G489" s="90">
        <v>408167209.16000003</v>
      </c>
      <c r="H489" s="90">
        <v>228241977.93000001</v>
      </c>
      <c r="I489" s="90">
        <v>119586279.69</v>
      </c>
      <c r="J489" s="90">
        <v>1524646724.29</v>
      </c>
      <c r="K489" s="90">
        <v>59899855.07</v>
      </c>
      <c r="L489" s="90">
        <v>19208887.530000001</v>
      </c>
      <c r="M489" s="90">
        <v>524416482.69</v>
      </c>
      <c r="N489" s="90">
        <v>518713209.38</v>
      </c>
      <c r="O489" s="90">
        <v>2657258220.6100001</v>
      </c>
      <c r="P489" s="90">
        <v>1080024608.6600001</v>
      </c>
      <c r="Q489" s="90">
        <v>97942666.359999999</v>
      </c>
      <c r="R489" s="90">
        <v>-16815.95</v>
      </c>
      <c r="S489" s="90">
        <v>0.02</v>
      </c>
      <c r="T489">
        <v>4.0599999999999996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-363.58</v>
      </c>
    </row>
    <row r="490" spans="2:26" s="656" customFormat="1" ht="12.75" customHeight="1" x14ac:dyDescent="0.2">
      <c r="C490" s="656" t="s">
        <v>155</v>
      </c>
      <c r="D490" s="657" t="s">
        <v>70</v>
      </c>
      <c r="E490" s="657"/>
      <c r="F490" s="658">
        <v>7238088945.9200001</v>
      </c>
      <c r="G490" s="658">
        <v>408167209.16000003</v>
      </c>
      <c r="H490" s="658">
        <v>228241977.93000001</v>
      </c>
      <c r="I490" s="658">
        <v>119586279.69</v>
      </c>
      <c r="J490" s="658">
        <v>1524646724.29</v>
      </c>
      <c r="K490" s="658">
        <v>59899855.07</v>
      </c>
      <c r="L490" s="658">
        <v>19208887.530000001</v>
      </c>
      <c r="M490" s="658">
        <v>524416482.69</v>
      </c>
      <c r="N490" s="658">
        <v>518713209.38</v>
      </c>
      <c r="O490" s="658">
        <v>2657258220.6100001</v>
      </c>
      <c r="P490" s="658">
        <v>1080024608.6600001</v>
      </c>
      <c r="Q490" s="658">
        <v>97942666.359999999</v>
      </c>
      <c r="R490" s="658">
        <v>-16815.95</v>
      </c>
      <c r="S490" s="658">
        <v>0.02</v>
      </c>
      <c r="T490" s="656">
        <v>4.0599999999999996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-363.58</v>
      </c>
    </row>
    <row r="491" spans="2:26" ht="12.75" customHeight="1" x14ac:dyDescent="0.2">
      <c r="D491" s="89"/>
      <c r="E491" s="89" t="s">
        <v>72</v>
      </c>
      <c r="F491" s="371">
        <v>1922958</v>
      </c>
      <c r="G491" s="90">
        <v>159319.16</v>
      </c>
      <c r="H491" s="90">
        <v>77548.72</v>
      </c>
      <c r="I491" s="90">
        <v>42986.6</v>
      </c>
      <c r="J491" s="90">
        <v>351264.11</v>
      </c>
      <c r="K491" s="90">
        <v>11893.99</v>
      </c>
      <c r="L491" s="90">
        <v>0</v>
      </c>
      <c r="M491" s="90">
        <v>104494.99</v>
      </c>
      <c r="N491" s="90">
        <v>120498.04</v>
      </c>
      <c r="O491" s="90">
        <v>609717.11</v>
      </c>
      <c r="P491" s="90">
        <v>425799.3</v>
      </c>
      <c r="Q491" s="90">
        <v>19451.580000000002</v>
      </c>
      <c r="R491" s="90">
        <v>-15.6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">
      <c r="D492" s="89"/>
      <c r="E492" s="89" t="s">
        <v>81</v>
      </c>
      <c r="F492" s="371">
        <v>31695.39</v>
      </c>
      <c r="G492" s="90">
        <v>2440.0500000000002</v>
      </c>
      <c r="H492" s="90">
        <v>1077.78</v>
      </c>
      <c r="I492" s="90">
        <v>590.11</v>
      </c>
      <c r="J492" s="90">
        <v>5061.17</v>
      </c>
      <c r="K492" s="90">
        <v>200.49</v>
      </c>
      <c r="L492" s="90">
        <v>0</v>
      </c>
      <c r="M492" s="90">
        <v>1825.33</v>
      </c>
      <c r="N492" s="90">
        <v>2262.81</v>
      </c>
      <c r="O492" s="90">
        <v>11418.11</v>
      </c>
      <c r="P492" s="90">
        <v>6482.7</v>
      </c>
      <c r="Q492" s="90">
        <v>336.81</v>
      </c>
      <c r="R492" s="90">
        <v>0.03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">
      <c r="D493" s="89" t="s">
        <v>115</v>
      </c>
      <c r="E493" s="89" t="s">
        <v>70</v>
      </c>
      <c r="F493" s="371">
        <v>1954653.39</v>
      </c>
      <c r="G493" s="90">
        <v>161759.21</v>
      </c>
      <c r="H493" s="90">
        <v>78626.5</v>
      </c>
      <c r="I493" s="90">
        <v>43576.71</v>
      </c>
      <c r="J493" s="90">
        <v>356325.28</v>
      </c>
      <c r="K493" s="90">
        <v>12094.48</v>
      </c>
      <c r="L493" s="90">
        <v>0</v>
      </c>
      <c r="M493" s="90">
        <v>106320.32000000001</v>
      </c>
      <c r="N493" s="90">
        <v>122760.85</v>
      </c>
      <c r="O493" s="90">
        <v>621135.22</v>
      </c>
      <c r="P493" s="90">
        <v>432282</v>
      </c>
      <c r="Q493" s="90">
        <v>19788.39</v>
      </c>
      <c r="R493" s="90">
        <v>-15.57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">
      <c r="C494" s="89"/>
      <c r="D494" s="89"/>
      <c r="E494" t="s">
        <v>72</v>
      </c>
      <c r="F494" s="90">
        <v>74289.789999999994</v>
      </c>
      <c r="G494" s="90">
        <v>4022.86</v>
      </c>
      <c r="H494" s="90">
        <v>1850.83</v>
      </c>
      <c r="I494" s="90">
        <v>1005.97</v>
      </c>
      <c r="J494" s="90">
        <v>19690.830000000002</v>
      </c>
      <c r="K494" s="90">
        <v>487.51</v>
      </c>
      <c r="L494" s="90">
        <v>0</v>
      </c>
      <c r="M494" s="90">
        <v>4276.5</v>
      </c>
      <c r="N494" s="90">
        <v>5295.45</v>
      </c>
      <c r="O494" s="90">
        <v>25967.599999999999</v>
      </c>
      <c r="P494" s="90">
        <v>10897.84</v>
      </c>
      <c r="Q494" s="90">
        <v>795.43</v>
      </c>
      <c r="R494" s="90">
        <v>-1.03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">
      <c r="E495" s="89" t="s">
        <v>81</v>
      </c>
      <c r="F495" s="90">
        <v>326.05</v>
      </c>
      <c r="G495" s="90">
        <v>31.66</v>
      </c>
      <c r="H495" s="90">
        <v>16.84</v>
      </c>
      <c r="I495" s="90">
        <v>9.14</v>
      </c>
      <c r="J495" s="90">
        <v>155.9</v>
      </c>
      <c r="K495" s="90">
        <v>5.0599999999999996</v>
      </c>
      <c r="L495" s="90">
        <v>0</v>
      </c>
      <c r="M495" s="90">
        <v>44.21</v>
      </c>
      <c r="N495" s="90">
        <v>46.71</v>
      </c>
      <c r="O495" s="90">
        <v>-76.52</v>
      </c>
      <c r="P495" s="90">
        <v>84.83</v>
      </c>
      <c r="Q495" s="90">
        <v>8.2100000000000009</v>
      </c>
      <c r="R495" s="90">
        <v>0.01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">
      <c r="D496" s="773" t="s">
        <v>116</v>
      </c>
      <c r="E496" s="89" t="s">
        <v>70</v>
      </c>
      <c r="F496" s="90">
        <v>74615.839999999997</v>
      </c>
      <c r="G496" s="90">
        <v>4054.52</v>
      </c>
      <c r="H496" s="90">
        <v>1867.67</v>
      </c>
      <c r="I496" s="90">
        <v>1015.11</v>
      </c>
      <c r="J496" s="90">
        <v>19846.73</v>
      </c>
      <c r="K496" s="90">
        <v>492.57</v>
      </c>
      <c r="L496" s="90">
        <v>0</v>
      </c>
      <c r="M496" s="90">
        <v>4320.71</v>
      </c>
      <c r="N496" s="90">
        <v>5342.16</v>
      </c>
      <c r="O496" s="90">
        <v>25891.08</v>
      </c>
      <c r="P496" s="90">
        <v>10982.67</v>
      </c>
      <c r="Q496" s="90">
        <v>803.64</v>
      </c>
      <c r="R496" s="90">
        <v>-1.02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">
      <c r="C497" s="89"/>
      <c r="D497" s="89"/>
      <c r="E497" t="s">
        <v>72</v>
      </c>
      <c r="F497" s="90">
        <v>3331549.61</v>
      </c>
      <c r="G497" s="90">
        <v>182192.21</v>
      </c>
      <c r="H497" s="90">
        <v>102153.37</v>
      </c>
      <c r="I497" s="90">
        <v>54175.39</v>
      </c>
      <c r="J497" s="90">
        <v>745643.89</v>
      </c>
      <c r="K497" s="90">
        <v>26606.11</v>
      </c>
      <c r="L497" s="90">
        <v>0</v>
      </c>
      <c r="M497" s="90">
        <v>233387.39</v>
      </c>
      <c r="N497" s="90">
        <v>238637.89</v>
      </c>
      <c r="O497" s="90">
        <v>1220767.3899999999</v>
      </c>
      <c r="P497" s="90">
        <v>484597.6</v>
      </c>
      <c r="Q497" s="90">
        <v>43409.91</v>
      </c>
      <c r="R497" s="90">
        <v>-21.54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">
      <c r="E498" s="89" t="s">
        <v>81</v>
      </c>
      <c r="F498" s="90">
        <v>-6870.16</v>
      </c>
      <c r="G498" s="90">
        <v>20.28</v>
      </c>
      <c r="H498" s="90">
        <v>11.42</v>
      </c>
      <c r="I498" s="90">
        <v>6.22</v>
      </c>
      <c r="J498" s="90">
        <v>95.64</v>
      </c>
      <c r="K498" s="90">
        <v>2.91</v>
      </c>
      <c r="L498" s="90">
        <v>0</v>
      </c>
      <c r="M498" s="90">
        <v>25.68</v>
      </c>
      <c r="N498" s="90">
        <v>29.91</v>
      </c>
      <c r="O498" s="90">
        <v>-7121.32</v>
      </c>
      <c r="P498" s="90">
        <v>54.28</v>
      </c>
      <c r="Q498" s="90">
        <v>4.82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">
      <c r="D499" t="s">
        <v>118</v>
      </c>
      <c r="E499" s="89" t="s">
        <v>70</v>
      </c>
      <c r="F499" s="90">
        <v>3324679.45</v>
      </c>
      <c r="G499" s="90">
        <v>182212.49</v>
      </c>
      <c r="H499" s="90">
        <v>102164.79</v>
      </c>
      <c r="I499" s="90">
        <v>54181.61</v>
      </c>
      <c r="J499" s="90">
        <v>745739.53</v>
      </c>
      <c r="K499" s="90">
        <v>26609.02</v>
      </c>
      <c r="L499" s="90">
        <v>0</v>
      </c>
      <c r="M499" s="90">
        <v>233413.07</v>
      </c>
      <c r="N499" s="90">
        <v>238667.8</v>
      </c>
      <c r="O499" s="90">
        <v>1213646.07</v>
      </c>
      <c r="P499" s="90">
        <v>484651.88</v>
      </c>
      <c r="Q499" s="90">
        <v>43414.73</v>
      </c>
      <c r="R499" s="90">
        <v>-21.54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">
      <c r="C500" s="223" t="s">
        <v>120</v>
      </c>
      <c r="D500" s="223" t="s">
        <v>70</v>
      </c>
      <c r="F500" s="225">
        <v>5353948.68</v>
      </c>
      <c r="G500" s="225">
        <v>348026.22</v>
      </c>
      <c r="H500" s="225">
        <v>182658.96</v>
      </c>
      <c r="I500" s="225">
        <v>98773.43</v>
      </c>
      <c r="J500" s="225">
        <v>1121911.54</v>
      </c>
      <c r="K500" s="225">
        <v>39196.07</v>
      </c>
      <c r="L500" s="225">
        <v>0</v>
      </c>
      <c r="M500" s="225">
        <v>344054.1</v>
      </c>
      <c r="N500" s="225">
        <v>366770.81</v>
      </c>
      <c r="O500" s="225">
        <v>1860672.37</v>
      </c>
      <c r="P500" s="225">
        <v>927916.55</v>
      </c>
      <c r="Q500" s="225">
        <v>64006.76</v>
      </c>
      <c r="R500" s="225">
        <v>-38.130000000000003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">
      <c r="E501" s="89" t="s">
        <v>72</v>
      </c>
      <c r="F501" s="90">
        <v>48847452.5</v>
      </c>
      <c r="G501" s="90">
        <v>2956898.65</v>
      </c>
      <c r="H501" s="90">
        <v>1670858.56</v>
      </c>
      <c r="I501" s="90">
        <v>890663.49</v>
      </c>
      <c r="J501" s="90">
        <v>10650539.58</v>
      </c>
      <c r="K501" s="90">
        <v>289194.06</v>
      </c>
      <c r="L501" s="90">
        <v>0</v>
      </c>
      <c r="M501" s="90">
        <v>2525057.5099999998</v>
      </c>
      <c r="N501" s="90">
        <v>3504369.81</v>
      </c>
      <c r="O501" s="90">
        <v>18008545.390000001</v>
      </c>
      <c r="P501" s="90">
        <v>7877853.0899999999</v>
      </c>
      <c r="Q501" s="90">
        <v>473033.96</v>
      </c>
      <c r="R501" s="90">
        <v>438.4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">
      <c r="D502" s="89"/>
      <c r="E502" s="89" t="s">
        <v>81</v>
      </c>
      <c r="F502" s="90">
        <v>-4501.92</v>
      </c>
      <c r="G502" s="90">
        <v>1047.21</v>
      </c>
      <c r="H502" s="90">
        <v>565.67999999999995</v>
      </c>
      <c r="I502" s="90">
        <v>302.85000000000002</v>
      </c>
      <c r="J502" s="90">
        <v>3704.93</v>
      </c>
      <c r="K502" s="90">
        <v>98.85</v>
      </c>
      <c r="L502" s="90">
        <v>0</v>
      </c>
      <c r="M502" s="90">
        <v>865.38</v>
      </c>
      <c r="N502" s="90">
        <v>1214.32</v>
      </c>
      <c r="O502" s="90">
        <v>-15273.45</v>
      </c>
      <c r="P502" s="90">
        <v>2811.97</v>
      </c>
      <c r="Q502" s="90">
        <v>160.66</v>
      </c>
      <c r="R502" s="90">
        <v>-0.44</v>
      </c>
      <c r="S502" s="90">
        <v>0.12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">
      <c r="D503" t="s">
        <v>82</v>
      </c>
      <c r="E503" s="89" t="s">
        <v>70</v>
      </c>
      <c r="F503" s="90">
        <v>48842950.579999998</v>
      </c>
      <c r="G503" s="90">
        <v>2957945.86</v>
      </c>
      <c r="H503" s="90">
        <v>1671424.24</v>
      </c>
      <c r="I503" s="90">
        <v>890966.34</v>
      </c>
      <c r="J503" s="90">
        <v>10654244.51</v>
      </c>
      <c r="K503" s="90">
        <v>289292.90999999997</v>
      </c>
      <c r="L503" s="90">
        <v>0</v>
      </c>
      <c r="M503" s="90">
        <v>2525922.89</v>
      </c>
      <c r="N503" s="90">
        <v>3505584.13</v>
      </c>
      <c r="O503" s="90">
        <v>17993271.940000001</v>
      </c>
      <c r="P503" s="90">
        <v>7880665.0599999996</v>
      </c>
      <c r="Q503" s="90">
        <v>473194.62</v>
      </c>
      <c r="R503" s="90">
        <v>437.96</v>
      </c>
      <c r="S503" s="90">
        <v>0.12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">
      <c r="E504" s="89" t="s">
        <v>72</v>
      </c>
      <c r="F504" s="90">
        <v>137467523.91</v>
      </c>
      <c r="G504" s="90">
        <v>8663269.4000000004</v>
      </c>
      <c r="H504" s="90">
        <v>4412110.42</v>
      </c>
      <c r="I504" s="90">
        <v>2001839.24</v>
      </c>
      <c r="J504" s="90">
        <v>22410734.670000002</v>
      </c>
      <c r="K504" s="90">
        <v>875496.56</v>
      </c>
      <c r="L504" s="90">
        <v>1472893.34</v>
      </c>
      <c r="M504" s="90">
        <v>9306214.4800000004</v>
      </c>
      <c r="N504" s="90">
        <v>10653553.699999999</v>
      </c>
      <c r="O504" s="90">
        <v>52243121.200000003</v>
      </c>
      <c r="P504" s="90">
        <v>23995973.789999999</v>
      </c>
      <c r="Q504" s="90">
        <v>1432482.64</v>
      </c>
      <c r="R504" s="90">
        <v>-165.53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">
      <c r="D505" s="89"/>
      <c r="E505" s="89" t="s">
        <v>81</v>
      </c>
      <c r="F505" s="90">
        <v>18712430.98</v>
      </c>
      <c r="G505" s="90">
        <v>2019789.4</v>
      </c>
      <c r="H505" s="90">
        <v>879794.96</v>
      </c>
      <c r="I505" s="90">
        <v>335545.4</v>
      </c>
      <c r="J505" s="90">
        <v>3041356.19</v>
      </c>
      <c r="K505" s="90">
        <v>124932.99</v>
      </c>
      <c r="L505" s="90">
        <v>0</v>
      </c>
      <c r="M505" s="90">
        <v>1095367.92</v>
      </c>
      <c r="N505" s="90">
        <v>1290315.49</v>
      </c>
      <c r="O505" s="90">
        <v>4393356.75</v>
      </c>
      <c r="P505" s="90">
        <v>5328262.13</v>
      </c>
      <c r="Q505" s="90">
        <v>203881.06</v>
      </c>
      <c r="R505" s="90">
        <v>-90.62</v>
      </c>
      <c r="S505" s="90">
        <v>0</v>
      </c>
      <c r="T505">
        <v>2.35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-83.04</v>
      </c>
    </row>
    <row r="506" spans="1:26" ht="12.75" customHeight="1" x14ac:dyDescent="0.2">
      <c r="C506" s="89"/>
      <c r="D506" s="89" t="s">
        <v>86</v>
      </c>
      <c r="E506" t="s">
        <v>70</v>
      </c>
      <c r="F506" s="90">
        <v>156179954.88999999</v>
      </c>
      <c r="G506" s="90">
        <v>10683058.800000001</v>
      </c>
      <c r="H506" s="90">
        <v>5291905.38</v>
      </c>
      <c r="I506" s="90">
        <v>2337384.64</v>
      </c>
      <c r="J506" s="90">
        <v>25452090.859999999</v>
      </c>
      <c r="K506" s="90">
        <v>1000429.55</v>
      </c>
      <c r="L506" s="90">
        <v>1472893.34</v>
      </c>
      <c r="M506" s="90">
        <v>10401582.4</v>
      </c>
      <c r="N506" s="90">
        <v>11943869.189999999</v>
      </c>
      <c r="O506" s="90">
        <v>56636477.950000003</v>
      </c>
      <c r="P506" s="90">
        <v>29324235.920000002</v>
      </c>
      <c r="Q506" s="90">
        <v>1636363.7</v>
      </c>
      <c r="R506" s="90">
        <v>-256.14999999999998</v>
      </c>
      <c r="S506" s="90">
        <v>0</v>
      </c>
      <c r="T506">
        <v>2.35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-83.04</v>
      </c>
    </row>
    <row r="507" spans="1:26" ht="12.75" customHeight="1" x14ac:dyDescent="0.2">
      <c r="B507" s="89"/>
      <c r="C507" s="89"/>
      <c r="E507" t="s">
        <v>72</v>
      </c>
      <c r="F507" s="90">
        <v>241323099.81</v>
      </c>
      <c r="G507" s="90">
        <v>38330997.579999998</v>
      </c>
      <c r="H507" s="90">
        <v>21631334.390000001</v>
      </c>
      <c r="I507" s="90">
        <v>11395580.82</v>
      </c>
      <c r="J507" s="90">
        <v>17111977.149999999</v>
      </c>
      <c r="K507" s="90">
        <v>446892.78</v>
      </c>
      <c r="L507" s="90">
        <v>13442000</v>
      </c>
      <c r="M507" s="90">
        <v>3889784.64</v>
      </c>
      <c r="N507" s="90">
        <v>5545916.4000000004</v>
      </c>
      <c r="O507" s="90">
        <v>28257377.93</v>
      </c>
      <c r="P507" s="90">
        <v>100541636.90000001</v>
      </c>
      <c r="Q507" s="90">
        <v>729204.82</v>
      </c>
      <c r="R507" s="90">
        <v>396.4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">
      <c r="A508" s="89"/>
      <c r="B508" s="89"/>
      <c r="E508" t="s">
        <v>81</v>
      </c>
      <c r="F508" s="90">
        <v>123717.69</v>
      </c>
      <c r="G508" s="90">
        <v>22646.3</v>
      </c>
      <c r="H508" s="90">
        <v>9129.34</v>
      </c>
      <c r="I508" s="90">
        <v>3521.77</v>
      </c>
      <c r="J508" s="90">
        <v>18601.310000000001</v>
      </c>
      <c r="K508" s="90">
        <v>733.66</v>
      </c>
      <c r="L508" s="90">
        <v>4564.0600000000004</v>
      </c>
      <c r="M508" s="90">
        <v>6361.15</v>
      </c>
      <c r="N508" s="90">
        <v>7389.75</v>
      </c>
      <c r="O508" s="90">
        <v>-13914.1</v>
      </c>
      <c r="P508" s="90">
        <v>63487.55</v>
      </c>
      <c r="Q508" s="90">
        <v>1198.46</v>
      </c>
      <c r="R508" s="90">
        <v>-1.56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">
      <c r="A509" s="89"/>
      <c r="B509" s="89"/>
      <c r="D509" t="s">
        <v>87</v>
      </c>
      <c r="E509" t="s">
        <v>70</v>
      </c>
      <c r="F509" s="371">
        <v>241446817.5</v>
      </c>
      <c r="G509" s="90">
        <v>38353643.880000003</v>
      </c>
      <c r="H509" s="90">
        <v>21640463.73</v>
      </c>
      <c r="I509" s="90">
        <v>11399102.59</v>
      </c>
      <c r="J509" s="90">
        <v>17130578.460000001</v>
      </c>
      <c r="K509" s="90">
        <v>447626.44</v>
      </c>
      <c r="L509" s="90">
        <v>13446564.060000001</v>
      </c>
      <c r="M509" s="90">
        <v>3896145.79</v>
      </c>
      <c r="N509" s="90">
        <v>5553306.1500000004</v>
      </c>
      <c r="O509" s="90">
        <v>28243463.829999998</v>
      </c>
      <c r="P509" s="90">
        <v>100605124.45</v>
      </c>
      <c r="Q509" s="90">
        <v>730403.28</v>
      </c>
      <c r="R509" s="90">
        <v>394.84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">
      <c r="C510" s="101" t="s">
        <v>119</v>
      </c>
      <c r="D510" s="101" t="s">
        <v>70</v>
      </c>
      <c r="F510" s="93">
        <v>446469722.97000003</v>
      </c>
      <c r="G510" s="93">
        <v>51994648.539999999</v>
      </c>
      <c r="H510" s="93">
        <v>28603793.350000001</v>
      </c>
      <c r="I510" s="93">
        <v>14627453.57</v>
      </c>
      <c r="J510" s="93">
        <v>53236913.829999998</v>
      </c>
      <c r="K510" s="93">
        <v>1737348.9</v>
      </c>
      <c r="L510" s="93">
        <v>14919457.4</v>
      </c>
      <c r="M510" s="93">
        <v>16823651.079999998</v>
      </c>
      <c r="N510" s="93">
        <v>21002759.469999999</v>
      </c>
      <c r="O510" s="93">
        <v>102873213.72</v>
      </c>
      <c r="P510" s="93">
        <v>137810025.43000001</v>
      </c>
      <c r="Q510" s="93">
        <v>2839961.6000000001</v>
      </c>
      <c r="R510" s="93">
        <v>576.65</v>
      </c>
      <c r="S510" s="93">
        <v>0.12</v>
      </c>
      <c r="T510" s="94">
        <v>2.35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-83.04</v>
      </c>
    </row>
    <row r="511" spans="1:26" s="226" customFormat="1" ht="12.75" customHeight="1" x14ac:dyDescent="0.2">
      <c r="B511" s="98" t="s">
        <v>112</v>
      </c>
      <c r="C511" s="98" t="s">
        <v>70</v>
      </c>
      <c r="F511" s="100">
        <v>7689912617.5699997</v>
      </c>
      <c r="G511" s="100">
        <v>460509883.92000002</v>
      </c>
      <c r="H511" s="100">
        <v>257028430.24000001</v>
      </c>
      <c r="I511" s="100">
        <v>134312506.69</v>
      </c>
      <c r="J511" s="100">
        <v>1579005549.6600001</v>
      </c>
      <c r="K511" s="100">
        <v>61676400.039999999</v>
      </c>
      <c r="L511" s="100">
        <v>34128344.93</v>
      </c>
      <c r="M511" s="100">
        <v>541584187.87</v>
      </c>
      <c r="N511" s="100">
        <v>540082739.65999997</v>
      </c>
      <c r="O511" s="100">
        <v>2761992106.6999998</v>
      </c>
      <c r="P511" s="100">
        <v>1218762550.6400001</v>
      </c>
      <c r="Q511" s="100">
        <v>100846634.72</v>
      </c>
      <c r="R511" s="100">
        <v>-16277.43</v>
      </c>
      <c r="S511" s="100">
        <v>0.14000000000000001</v>
      </c>
      <c r="T511" s="226">
        <v>6.41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-446.62</v>
      </c>
    </row>
    <row r="512" spans="1:26" ht="12" customHeight="1" x14ac:dyDescent="0.2">
      <c r="A512" s="89" t="s">
        <v>78</v>
      </c>
      <c r="B512" s="89" t="s">
        <v>70</v>
      </c>
      <c r="F512" s="371">
        <v>7694513192.7299995</v>
      </c>
      <c r="G512" s="90">
        <v>460821321.98000002</v>
      </c>
      <c r="H512" s="90">
        <v>257203175.43000001</v>
      </c>
      <c r="I512" s="90">
        <v>134407059.25999999</v>
      </c>
      <c r="J512" s="90">
        <v>1579977025.5999999</v>
      </c>
      <c r="K512" s="90">
        <v>61707932.560000002</v>
      </c>
      <c r="L512" s="90">
        <v>34128344.93</v>
      </c>
      <c r="M512" s="90">
        <v>541864308.33000004</v>
      </c>
      <c r="N512" s="90">
        <v>540392643.28999996</v>
      </c>
      <c r="O512" s="90">
        <v>2763535205.4499998</v>
      </c>
      <c r="P512" s="90">
        <v>1219593015.28</v>
      </c>
      <c r="Q512" s="90">
        <v>100899955.88</v>
      </c>
      <c r="R512" s="90">
        <v>-16266.45</v>
      </c>
      <c r="S512" s="90">
        <v>0.14000000000000001</v>
      </c>
      <c r="T512">
        <v>6.41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-535.36</v>
      </c>
    </row>
    <row r="513" spans="2:26" ht="12.75" customHeight="1" x14ac:dyDescent="0.2">
      <c r="B513" s="89"/>
      <c r="C513" s="89"/>
      <c r="E513" t="s">
        <v>73</v>
      </c>
      <c r="F513" s="90">
        <v>-226278.07</v>
      </c>
      <c r="G513" s="90">
        <v>26896.68</v>
      </c>
      <c r="H513" s="90">
        <v>15292.29</v>
      </c>
      <c r="I513" s="90">
        <v>7987.79</v>
      </c>
      <c r="J513" s="90">
        <v>-105125.62</v>
      </c>
      <c r="K513" s="90">
        <v>-3487.78</v>
      </c>
      <c r="L513" s="90">
        <v>0</v>
      </c>
      <c r="M513" s="90">
        <v>-30596.02</v>
      </c>
      <c r="N513" s="90">
        <v>-33825.99</v>
      </c>
      <c r="O513" s="90">
        <v>-169274.83</v>
      </c>
      <c r="P513" s="90">
        <v>71546.22</v>
      </c>
      <c r="Q513" s="90">
        <v>-5690.81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">
      <c r="B514" s="89"/>
      <c r="C514" s="89"/>
      <c r="D514" t="s">
        <v>156</v>
      </c>
      <c r="E514" t="s">
        <v>70</v>
      </c>
      <c r="F514" s="90">
        <v>-226278.07</v>
      </c>
      <c r="G514" s="90">
        <v>26896.68</v>
      </c>
      <c r="H514" s="90">
        <v>15292.29</v>
      </c>
      <c r="I514" s="90">
        <v>7987.79</v>
      </c>
      <c r="J514" s="90">
        <v>-105125.62</v>
      </c>
      <c r="K514" s="90">
        <v>-3487.78</v>
      </c>
      <c r="L514" s="90">
        <v>0</v>
      </c>
      <c r="M514" s="90">
        <v>-30596.02</v>
      </c>
      <c r="N514" s="90">
        <v>-33825.99</v>
      </c>
      <c r="O514" s="90">
        <v>-169274.83</v>
      </c>
      <c r="P514" s="90">
        <v>71546.22</v>
      </c>
      <c r="Q514" s="90">
        <v>-5690.81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">
      <c r="C515" s="656" t="s">
        <v>155</v>
      </c>
      <c r="D515" s="657" t="s">
        <v>70</v>
      </c>
      <c r="E515" s="657"/>
      <c r="F515" s="658">
        <v>-226278.07</v>
      </c>
      <c r="G515" s="658">
        <v>26896.68</v>
      </c>
      <c r="H515" s="658">
        <v>15292.29</v>
      </c>
      <c r="I515" s="658">
        <v>7987.79</v>
      </c>
      <c r="J515" s="658">
        <v>-105125.62</v>
      </c>
      <c r="K515" s="658">
        <v>-3487.78</v>
      </c>
      <c r="L515" s="658">
        <v>0</v>
      </c>
      <c r="M515" s="658">
        <v>-30596.02</v>
      </c>
      <c r="N515" s="658">
        <v>-33825.99</v>
      </c>
      <c r="O515" s="658">
        <v>-169274.83</v>
      </c>
      <c r="P515" s="658">
        <v>71546.22</v>
      </c>
      <c r="Q515" s="658">
        <v>-5690.81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">
      <c r="E516" s="89" t="s">
        <v>73</v>
      </c>
      <c r="F516" s="90">
        <v>0</v>
      </c>
      <c r="G516" s="90">
        <v>0</v>
      </c>
      <c r="H516" s="90">
        <v>0</v>
      </c>
      <c r="I516" s="90">
        <v>0</v>
      </c>
      <c r="J516" s="90">
        <v>0</v>
      </c>
      <c r="K516" s="90">
        <v>0</v>
      </c>
      <c r="L516" s="90">
        <v>0</v>
      </c>
      <c r="M516" s="90">
        <v>0</v>
      </c>
      <c r="N516" s="90">
        <v>0</v>
      </c>
      <c r="O516" s="90">
        <v>0</v>
      </c>
      <c r="P516" s="90">
        <v>0</v>
      </c>
      <c r="Q516" s="90">
        <v>0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">
      <c r="D517" t="s">
        <v>115</v>
      </c>
      <c r="E517" s="89" t="s">
        <v>70</v>
      </c>
      <c r="F517" s="371">
        <v>0</v>
      </c>
      <c r="G517" s="90">
        <v>0</v>
      </c>
      <c r="H517" s="90">
        <v>0</v>
      </c>
      <c r="I517" s="90">
        <v>0</v>
      </c>
      <c r="J517" s="90">
        <v>0</v>
      </c>
      <c r="K517" s="90">
        <v>0</v>
      </c>
      <c r="L517" s="90">
        <v>0</v>
      </c>
      <c r="M517" s="90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">
      <c r="C522" s="223" t="s">
        <v>120</v>
      </c>
      <c r="D522" s="223" t="s">
        <v>70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>
        <v>0</v>
      </c>
      <c r="P522" s="225">
        <v>0</v>
      </c>
      <c r="Q522" s="225">
        <v>0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">
      <c r="D523" s="89"/>
      <c r="E523" s="89" t="s">
        <v>73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">
      <c r="D524" s="89" t="s">
        <v>82</v>
      </c>
      <c r="E524" s="89" t="s">
        <v>70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">
      <c r="D525" s="89"/>
      <c r="E525" s="89" t="s">
        <v>73</v>
      </c>
      <c r="F525" s="371">
        <v>-31196.09</v>
      </c>
      <c r="G525" s="90">
        <v>2454.39</v>
      </c>
      <c r="H525" s="90">
        <v>1386.66</v>
      </c>
      <c r="I525" s="90">
        <v>731.55</v>
      </c>
      <c r="J525" s="90">
        <v>-14691.57</v>
      </c>
      <c r="K525" s="90">
        <v>-406.98</v>
      </c>
      <c r="L525" s="90">
        <v>0</v>
      </c>
      <c r="M525" s="90">
        <v>-3570.02</v>
      </c>
      <c r="N525" s="90">
        <v>-3811.48</v>
      </c>
      <c r="O525" s="90">
        <v>-19139.53</v>
      </c>
      <c r="P525" s="90">
        <v>6514.92</v>
      </c>
      <c r="Q525" s="90">
        <v>-664.03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">
      <c r="D526" s="89" t="s">
        <v>86</v>
      </c>
      <c r="E526" s="89" t="s">
        <v>70</v>
      </c>
      <c r="F526" s="371">
        <v>-31196.09</v>
      </c>
      <c r="G526" s="90">
        <v>2454.39</v>
      </c>
      <c r="H526" s="90">
        <v>1386.66</v>
      </c>
      <c r="I526" s="90">
        <v>731.55</v>
      </c>
      <c r="J526" s="90">
        <v>-14691.57</v>
      </c>
      <c r="K526" s="90">
        <v>-406.98</v>
      </c>
      <c r="L526" s="90">
        <v>0</v>
      </c>
      <c r="M526" s="90">
        <v>-3570.02</v>
      </c>
      <c r="N526" s="90">
        <v>-3811.48</v>
      </c>
      <c r="O526" s="90">
        <v>-19139.53</v>
      </c>
      <c r="P526" s="90">
        <v>6514.92</v>
      </c>
      <c r="Q526" s="90">
        <v>-664.03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">
      <c r="C529" s="94" t="s">
        <v>119</v>
      </c>
      <c r="D529" s="94" t="s">
        <v>70</v>
      </c>
      <c r="E529" s="101"/>
      <c r="F529" s="93">
        <v>-31196.09</v>
      </c>
      <c r="G529" s="93">
        <v>2454.39</v>
      </c>
      <c r="H529" s="93">
        <v>1386.66</v>
      </c>
      <c r="I529" s="93">
        <v>731.55</v>
      </c>
      <c r="J529" s="93">
        <v>-14691.57</v>
      </c>
      <c r="K529" s="93">
        <v>-406.98</v>
      </c>
      <c r="L529" s="93">
        <v>0</v>
      </c>
      <c r="M529" s="93">
        <v>-3570.02</v>
      </c>
      <c r="N529" s="93">
        <v>-3811.48</v>
      </c>
      <c r="O529" s="93">
        <v>-19139.53</v>
      </c>
      <c r="P529" s="93">
        <v>6514.92</v>
      </c>
      <c r="Q529" s="93">
        <v>-664.03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">
      <c r="B530" s="378" t="s">
        <v>122</v>
      </c>
      <c r="C530" s="378" t="s">
        <v>70</v>
      </c>
      <c r="E530" s="376"/>
      <c r="F530" s="377">
        <v>-257474.16</v>
      </c>
      <c r="G530" s="377">
        <v>29351.07</v>
      </c>
      <c r="H530" s="377">
        <v>16678.95</v>
      </c>
      <c r="I530" s="377">
        <v>8719.34</v>
      </c>
      <c r="J530" s="377">
        <v>-119817.19</v>
      </c>
      <c r="K530" s="377">
        <v>-3894.76</v>
      </c>
      <c r="L530" s="377">
        <v>0</v>
      </c>
      <c r="M530" s="377">
        <v>-34166.04</v>
      </c>
      <c r="N530" s="377">
        <v>-37637.47</v>
      </c>
      <c r="O530" s="377">
        <v>-188414.36</v>
      </c>
      <c r="P530" s="377">
        <v>78061.14</v>
      </c>
      <c r="Q530" s="377">
        <v>-6354.84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">
      <c r="E531" s="89" t="s">
        <v>73</v>
      </c>
      <c r="F531" s="90">
        <v>-633811893.26999998</v>
      </c>
      <c r="G531" s="90">
        <v>10445313.449999999</v>
      </c>
      <c r="H531" s="90">
        <v>6043668.3499999996</v>
      </c>
      <c r="I531" s="90">
        <v>3225979.12</v>
      </c>
      <c r="J531" s="90">
        <v>-194493967.5</v>
      </c>
      <c r="K531" s="90">
        <v>-7524083.8399999999</v>
      </c>
      <c r="L531" s="90">
        <v>0</v>
      </c>
      <c r="M531" s="90">
        <v>-66004810.5</v>
      </c>
      <c r="N531" s="90">
        <v>-65630053.07</v>
      </c>
      <c r="O531" s="90">
        <v>-335335691.50999999</v>
      </c>
      <c r="P531" s="90">
        <v>27741086.859999999</v>
      </c>
      <c r="Q531" s="90">
        <v>-12279334.630000001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">
      <c r="D532" s="89" t="s">
        <v>156</v>
      </c>
      <c r="E532" s="89" t="s">
        <v>70</v>
      </c>
      <c r="F532" s="90">
        <v>-633811893.26999998</v>
      </c>
      <c r="G532" s="90">
        <v>10445313.449999999</v>
      </c>
      <c r="H532" s="90">
        <v>6043668.3499999996</v>
      </c>
      <c r="I532" s="90">
        <v>3225979.12</v>
      </c>
      <c r="J532" s="90">
        <v>-194493967.5</v>
      </c>
      <c r="K532" s="90">
        <v>-7524083.8399999999</v>
      </c>
      <c r="L532" s="90">
        <v>0</v>
      </c>
      <c r="M532" s="90">
        <v>-66004810.5</v>
      </c>
      <c r="N532" s="90">
        <v>-65630053.07</v>
      </c>
      <c r="O532" s="90">
        <v>-335335691.50999999</v>
      </c>
      <c r="P532" s="90">
        <v>27741086.859999999</v>
      </c>
      <c r="Q532" s="90">
        <v>-12279334.630000001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">
      <c r="C533" s="656" t="s">
        <v>155</v>
      </c>
      <c r="D533" s="657" t="s">
        <v>70</v>
      </c>
      <c r="E533" s="657"/>
      <c r="F533" s="738">
        <v>-633811893.26999998</v>
      </c>
      <c r="G533" s="658">
        <v>10445313.449999999</v>
      </c>
      <c r="H533" s="658">
        <v>6043668.3499999996</v>
      </c>
      <c r="I533" s="658">
        <v>3225979.12</v>
      </c>
      <c r="J533" s="658">
        <v>-194493967.5</v>
      </c>
      <c r="K533" s="658">
        <v>-7524083.8399999999</v>
      </c>
      <c r="L533" s="658">
        <v>0</v>
      </c>
      <c r="M533" s="658">
        <v>-66004810.5</v>
      </c>
      <c r="N533" s="658">
        <v>-65630053.07</v>
      </c>
      <c r="O533" s="658">
        <v>-335335691.50999999</v>
      </c>
      <c r="P533" s="658">
        <v>27741086.859999999</v>
      </c>
      <c r="Q533" s="658">
        <v>-12279334.630000001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">
      <c r="D534" s="89"/>
      <c r="E534" s="89" t="s">
        <v>73</v>
      </c>
      <c r="F534" s="371">
        <v>572676.61</v>
      </c>
      <c r="G534" s="90">
        <v>54198.01</v>
      </c>
      <c r="H534" s="90">
        <v>26146.59</v>
      </c>
      <c r="I534" s="90">
        <v>14647.13</v>
      </c>
      <c r="J534" s="90">
        <v>98253.74</v>
      </c>
      <c r="K534" s="90">
        <v>3141.26</v>
      </c>
      <c r="L534" s="90">
        <v>0</v>
      </c>
      <c r="M534" s="90">
        <v>27604.79</v>
      </c>
      <c r="N534" s="90">
        <v>32810.74</v>
      </c>
      <c r="O534" s="90">
        <v>165741.59</v>
      </c>
      <c r="P534" s="90">
        <v>144992.38</v>
      </c>
      <c r="Q534" s="90">
        <v>5140.38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">
      <c r="D535" s="89" t="s">
        <v>115</v>
      </c>
      <c r="E535" s="89" t="s">
        <v>70</v>
      </c>
      <c r="F535" s="371">
        <v>572676.61</v>
      </c>
      <c r="G535" s="90">
        <v>54198.01</v>
      </c>
      <c r="H535" s="90">
        <v>26146.59</v>
      </c>
      <c r="I535" s="90">
        <v>14647.13</v>
      </c>
      <c r="J535" s="90">
        <v>98253.74</v>
      </c>
      <c r="K535" s="90">
        <v>3141.26</v>
      </c>
      <c r="L535" s="90">
        <v>0</v>
      </c>
      <c r="M535" s="90">
        <v>27604.79</v>
      </c>
      <c r="N535" s="90">
        <v>32810.74</v>
      </c>
      <c r="O535" s="90">
        <v>165741.59</v>
      </c>
      <c r="P535" s="90">
        <v>144992.38</v>
      </c>
      <c r="Q535" s="90">
        <v>5140.38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">
      <c r="E536" s="89" t="s">
        <v>73</v>
      </c>
      <c r="F536" s="90">
        <v>-11495.84</v>
      </c>
      <c r="G536" s="90">
        <v>-603.07000000000005</v>
      </c>
      <c r="H536" s="90">
        <v>-277.45999999999998</v>
      </c>
      <c r="I536" s="90">
        <v>-168.37</v>
      </c>
      <c r="J536" s="90">
        <v>-2860.6</v>
      </c>
      <c r="K536" s="90">
        <v>-72.14</v>
      </c>
      <c r="L536" s="90">
        <v>0</v>
      </c>
      <c r="M536" s="90">
        <v>-632.82000000000005</v>
      </c>
      <c r="N536" s="90">
        <v>-848.15</v>
      </c>
      <c r="O536" s="90">
        <v>-4298.83</v>
      </c>
      <c r="P536" s="90">
        <v>-1616.7</v>
      </c>
      <c r="Q536" s="90">
        <v>-117.7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">
      <c r="D537" s="773" t="s">
        <v>116</v>
      </c>
      <c r="E537" s="89" t="s">
        <v>70</v>
      </c>
      <c r="F537" s="90">
        <v>-11495.84</v>
      </c>
      <c r="G537" s="90">
        <v>-603.07000000000005</v>
      </c>
      <c r="H537" s="90">
        <v>-277.45999999999998</v>
      </c>
      <c r="I537" s="90">
        <v>-168.37</v>
      </c>
      <c r="J537" s="90">
        <v>-2860.6</v>
      </c>
      <c r="K537" s="90">
        <v>-72.14</v>
      </c>
      <c r="L537" s="90">
        <v>0</v>
      </c>
      <c r="M537" s="90">
        <v>-632.82000000000005</v>
      </c>
      <c r="N537" s="90">
        <v>-848.15</v>
      </c>
      <c r="O537" s="90">
        <v>-4298.83</v>
      </c>
      <c r="P537" s="90">
        <v>-1616.7</v>
      </c>
      <c r="Q537" s="90">
        <v>-117.7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">
      <c r="E538" s="89" t="s">
        <v>73</v>
      </c>
      <c r="F538" s="90">
        <v>-298279.45</v>
      </c>
      <c r="G538" s="90">
        <v>-728.17</v>
      </c>
      <c r="H538" s="90">
        <v>-809.31</v>
      </c>
      <c r="I538" s="90">
        <v>-376.02</v>
      </c>
      <c r="J538" s="90">
        <v>-85680.91</v>
      </c>
      <c r="K538" s="90">
        <v>-3328.71</v>
      </c>
      <c r="L538" s="90">
        <v>0</v>
      </c>
      <c r="M538" s="90">
        <v>-29199.66</v>
      </c>
      <c r="N538" s="90">
        <v>-27733.040000000001</v>
      </c>
      <c r="O538" s="90">
        <v>-143587.22</v>
      </c>
      <c r="P538" s="90">
        <v>-1405.26</v>
      </c>
      <c r="Q538" s="90">
        <v>-5431.15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">
      <c r="D539" s="89" t="s">
        <v>118</v>
      </c>
      <c r="E539" s="89" t="s">
        <v>70</v>
      </c>
      <c r="F539" s="90">
        <v>-298279.45</v>
      </c>
      <c r="G539" s="90">
        <v>-728.17</v>
      </c>
      <c r="H539" s="90">
        <v>-809.31</v>
      </c>
      <c r="I539" s="90">
        <v>-376.02</v>
      </c>
      <c r="J539" s="90">
        <v>-85680.91</v>
      </c>
      <c r="K539" s="90">
        <v>-3328.71</v>
      </c>
      <c r="L539" s="90">
        <v>0</v>
      </c>
      <c r="M539" s="90">
        <v>-29199.66</v>
      </c>
      <c r="N539" s="90">
        <v>-27733.040000000001</v>
      </c>
      <c r="O539" s="90">
        <v>-143587.22</v>
      </c>
      <c r="P539" s="90">
        <v>-1405.26</v>
      </c>
      <c r="Q539" s="90">
        <v>-5431.15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">
      <c r="C540" s="223" t="s">
        <v>120</v>
      </c>
      <c r="D540" s="223" t="s">
        <v>70</v>
      </c>
      <c r="F540" s="225">
        <v>262901.32</v>
      </c>
      <c r="G540" s="225">
        <v>52866.77</v>
      </c>
      <c r="H540" s="225">
        <v>25059.82</v>
      </c>
      <c r="I540" s="225">
        <v>14102.74</v>
      </c>
      <c r="J540" s="225">
        <v>9712.23</v>
      </c>
      <c r="K540" s="225">
        <v>-259.58999999999997</v>
      </c>
      <c r="L540" s="225">
        <v>0</v>
      </c>
      <c r="M540" s="225">
        <v>-2227.69</v>
      </c>
      <c r="N540" s="225">
        <v>4229.55</v>
      </c>
      <c r="O540" s="225">
        <v>17855.54</v>
      </c>
      <c r="P540" s="225">
        <v>141970.42000000001</v>
      </c>
      <c r="Q540" s="225">
        <v>-408.47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">
      <c r="E541" s="89" t="s">
        <v>73</v>
      </c>
      <c r="F541" s="90">
        <v>4631259.42</v>
      </c>
      <c r="G541" s="90">
        <v>558477.52</v>
      </c>
      <c r="H541" s="90">
        <v>316498.74</v>
      </c>
      <c r="I541" s="90">
        <v>167983.06</v>
      </c>
      <c r="J541" s="90">
        <v>664622.81999999995</v>
      </c>
      <c r="K541" s="90">
        <v>17733.669999999998</v>
      </c>
      <c r="L541" s="90">
        <v>0</v>
      </c>
      <c r="M541" s="90">
        <v>156640.94</v>
      </c>
      <c r="N541" s="90">
        <v>207558.96</v>
      </c>
      <c r="O541" s="90">
        <v>1018989.61</v>
      </c>
      <c r="P541" s="90">
        <v>1493820.31</v>
      </c>
      <c r="Q541" s="90">
        <v>28933.79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">
      <c r="D542" s="89" t="s">
        <v>82</v>
      </c>
      <c r="E542" s="89" t="s">
        <v>70</v>
      </c>
      <c r="F542" s="90">
        <v>4631259.42</v>
      </c>
      <c r="G542" s="90">
        <v>558477.52</v>
      </c>
      <c r="H542" s="90">
        <v>316498.74</v>
      </c>
      <c r="I542" s="90">
        <v>167983.06</v>
      </c>
      <c r="J542" s="90">
        <v>664622.81999999995</v>
      </c>
      <c r="K542" s="90">
        <v>17733.669999999998</v>
      </c>
      <c r="L542" s="90">
        <v>0</v>
      </c>
      <c r="M542" s="90">
        <v>156640.94</v>
      </c>
      <c r="N542" s="90">
        <v>207558.96</v>
      </c>
      <c r="O542" s="90">
        <v>1018989.61</v>
      </c>
      <c r="P542" s="90">
        <v>1493820.31</v>
      </c>
      <c r="Q542" s="90">
        <v>28933.79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">
      <c r="E543" s="89" t="s">
        <v>73</v>
      </c>
      <c r="F543" s="90">
        <v>-24884555.57</v>
      </c>
      <c r="G543" s="90">
        <v>-576046.6</v>
      </c>
      <c r="H543" s="90">
        <v>-198940.76</v>
      </c>
      <c r="I543" s="90">
        <v>-60712.45</v>
      </c>
      <c r="J543" s="90">
        <v>-7153441.0499999998</v>
      </c>
      <c r="K543" s="90">
        <v>-233032.41</v>
      </c>
      <c r="L543" s="90">
        <v>0</v>
      </c>
      <c r="M543" s="90">
        <v>-2048680.17</v>
      </c>
      <c r="N543" s="90">
        <v>-2449168.17</v>
      </c>
      <c r="O543" s="90">
        <v>-10286515.01</v>
      </c>
      <c r="P543" s="90">
        <v>-1497871.91</v>
      </c>
      <c r="Q543" s="90">
        <v>-380147.04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">
      <c r="D544" s="89" t="s">
        <v>86</v>
      </c>
      <c r="E544" s="89" t="s">
        <v>70</v>
      </c>
      <c r="F544" s="90">
        <v>-24884555.57</v>
      </c>
      <c r="G544" s="90">
        <v>-576046.6</v>
      </c>
      <c r="H544" s="90">
        <v>-198940.76</v>
      </c>
      <c r="I544" s="90">
        <v>-60712.45</v>
      </c>
      <c r="J544" s="90">
        <v>-7153441.0499999998</v>
      </c>
      <c r="K544" s="90">
        <v>-233032.41</v>
      </c>
      <c r="L544" s="90">
        <v>0</v>
      </c>
      <c r="M544" s="90">
        <v>-2048680.17</v>
      </c>
      <c r="N544" s="90">
        <v>-2449168.17</v>
      </c>
      <c r="O544" s="90">
        <v>-10286515.01</v>
      </c>
      <c r="P544" s="90">
        <v>-1497871.91</v>
      </c>
      <c r="Q544" s="90">
        <v>-380147.04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">
      <c r="E545" s="89" t="s">
        <v>73</v>
      </c>
      <c r="F545" s="90">
        <v>45950466.710000001</v>
      </c>
      <c r="G545" s="90">
        <v>8781115.8200000003</v>
      </c>
      <c r="H545" s="90">
        <v>4940851.97</v>
      </c>
      <c r="I545" s="90">
        <v>2611795.86</v>
      </c>
      <c r="J545" s="90">
        <v>1898372.42</v>
      </c>
      <c r="K545" s="90">
        <v>49151.99</v>
      </c>
      <c r="L545" s="90">
        <v>0</v>
      </c>
      <c r="M545" s="90">
        <v>431154.43</v>
      </c>
      <c r="N545" s="90">
        <v>619734.97</v>
      </c>
      <c r="O545" s="90">
        <v>3109869.82</v>
      </c>
      <c r="P545" s="90">
        <v>23428222.719999999</v>
      </c>
      <c r="Q545" s="90">
        <v>80196.710000000006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">
      <c r="D546" s="89" t="s">
        <v>87</v>
      </c>
      <c r="E546" s="89" t="s">
        <v>70</v>
      </c>
      <c r="F546" s="90">
        <v>45950466.710000001</v>
      </c>
      <c r="G546" s="90">
        <v>8781115.8200000003</v>
      </c>
      <c r="H546" s="90">
        <v>4940851.97</v>
      </c>
      <c r="I546" s="90">
        <v>2611795.86</v>
      </c>
      <c r="J546" s="90">
        <v>1898372.42</v>
      </c>
      <c r="K546" s="90">
        <v>49151.99</v>
      </c>
      <c r="L546" s="90">
        <v>0</v>
      </c>
      <c r="M546" s="90">
        <v>431154.43</v>
      </c>
      <c r="N546" s="90">
        <v>619734.97</v>
      </c>
      <c r="O546" s="90">
        <v>3109869.82</v>
      </c>
      <c r="P546" s="90">
        <v>23428222.719999999</v>
      </c>
      <c r="Q546" s="90">
        <v>80196.710000000006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">
      <c r="C547" s="101" t="s">
        <v>119</v>
      </c>
      <c r="D547" s="101" t="s">
        <v>70</v>
      </c>
      <c r="F547" s="93">
        <v>25697170.559999999</v>
      </c>
      <c r="G547" s="93">
        <v>8763546.7400000002</v>
      </c>
      <c r="H547" s="93">
        <v>5058409.95</v>
      </c>
      <c r="I547" s="93">
        <v>2719066.47</v>
      </c>
      <c r="J547" s="93">
        <v>-4590445.8099999996</v>
      </c>
      <c r="K547" s="93">
        <v>-166146.75</v>
      </c>
      <c r="L547" s="93">
        <v>0</v>
      </c>
      <c r="M547" s="93">
        <v>-1460884.8</v>
      </c>
      <c r="N547" s="93">
        <v>-1621874.24</v>
      </c>
      <c r="O547" s="93">
        <v>-6157655.5800000001</v>
      </c>
      <c r="P547" s="93">
        <v>23424171.120000001</v>
      </c>
      <c r="Q547" s="93">
        <v>-271016.53999999998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">
      <c r="B548" s="98" t="s">
        <v>112</v>
      </c>
      <c r="C548" s="98" t="s">
        <v>70</v>
      </c>
      <c r="F548" s="100">
        <v>-607851821.38999999</v>
      </c>
      <c r="G548" s="100">
        <v>19261726.960000001</v>
      </c>
      <c r="H548" s="100">
        <v>11127138.119999999</v>
      </c>
      <c r="I548" s="100">
        <v>5959148.3300000001</v>
      </c>
      <c r="J548" s="100">
        <v>-199074701.08000001</v>
      </c>
      <c r="K548" s="100">
        <v>-7690490.1799999997</v>
      </c>
      <c r="L548" s="100">
        <v>0</v>
      </c>
      <c r="M548" s="100">
        <v>-67467922.989999995</v>
      </c>
      <c r="N548" s="100">
        <v>-67247697.760000005</v>
      </c>
      <c r="O548" s="100">
        <v>-341475491.55000001</v>
      </c>
      <c r="P548" s="100">
        <v>51307228.399999999</v>
      </c>
      <c r="Q548" s="100">
        <v>-12550759.640000001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">
      <c r="A549" s="89" t="s">
        <v>79</v>
      </c>
      <c r="B549" s="89" t="s">
        <v>70</v>
      </c>
      <c r="F549" s="90">
        <v>-608109295.54999995</v>
      </c>
      <c r="G549" s="90">
        <v>19291078.030000001</v>
      </c>
      <c r="H549" s="90">
        <v>11143817.07</v>
      </c>
      <c r="I549" s="90">
        <v>5967867.6699999999</v>
      </c>
      <c r="J549" s="90">
        <v>-199194518.27000001</v>
      </c>
      <c r="K549" s="90">
        <v>-7694384.9400000004</v>
      </c>
      <c r="L549" s="90">
        <v>0</v>
      </c>
      <c r="M549" s="90">
        <v>-67502089.030000001</v>
      </c>
      <c r="N549" s="90">
        <v>-67285335.230000004</v>
      </c>
      <c r="O549" s="90">
        <v>-341663905.91000003</v>
      </c>
      <c r="P549" s="90">
        <v>51385289.539999999</v>
      </c>
      <c r="Q549" s="90">
        <v>-12557114.48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">
      <c r="A550" s="89" t="s">
        <v>70</v>
      </c>
      <c r="F550" s="90">
        <v>7085963940.6599998</v>
      </c>
      <c r="G550" s="90">
        <v>480076955.60000002</v>
      </c>
      <c r="H550" s="90">
        <v>268331934.46000001</v>
      </c>
      <c r="I550" s="90">
        <v>140368351.19999999</v>
      </c>
      <c r="J550" s="90">
        <v>1380700865.1500001</v>
      </c>
      <c r="K550" s="90">
        <v>54010222.780000001</v>
      </c>
      <c r="L550" s="90">
        <v>34128344.93</v>
      </c>
      <c r="M550" s="90">
        <v>474333055</v>
      </c>
      <c r="N550" s="90">
        <v>473070222.56999999</v>
      </c>
      <c r="O550" s="90">
        <v>2421735127.8499999</v>
      </c>
      <c r="P550" s="90">
        <v>1270888239.8299999</v>
      </c>
      <c r="Q550" s="90">
        <v>88337416.549999997</v>
      </c>
      <c r="R550" s="90">
        <v>-16266.45</v>
      </c>
      <c r="S550" s="90">
        <v>0.14000000000000001</v>
      </c>
      <c r="T550">
        <v>6.41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-535.36</v>
      </c>
    </row>
    <row r="551" spans="1:26" ht="12.75" customHeight="1" x14ac:dyDescent="0.2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">
      <c r="C568" s="778" t="s">
        <v>2</v>
      </c>
      <c r="D568" s="775" t="s">
        <v>132</v>
      </c>
      <c r="E568" s="98" t="s">
        <v>70</v>
      </c>
      <c r="F568" s="100">
        <f>F511+F548+F460-L460-L511</f>
        <v>7047492494.7299986</v>
      </c>
      <c r="G568" s="100">
        <f>G511+G460</f>
        <v>460474439.50999999</v>
      </c>
      <c r="H568" s="100">
        <f t="shared" ref="H568:AO568" si="23">H511+H460</f>
        <v>257013372.20000002</v>
      </c>
      <c r="I568" s="100">
        <f t="shared" si="23"/>
        <v>134305930.96000001</v>
      </c>
      <c r="J568" s="100">
        <f t="shared" si="23"/>
        <v>1578923907.48</v>
      </c>
      <c r="K568" s="100">
        <f t="shared" si="23"/>
        <v>61673075.199999996</v>
      </c>
      <c r="L568" s="100">
        <f t="shared" si="23"/>
        <v>34128344.93</v>
      </c>
      <c r="M568" s="100">
        <f t="shared" si="23"/>
        <v>541555023.57000005</v>
      </c>
      <c r="N568" s="100">
        <f t="shared" si="23"/>
        <v>540045654.16999996</v>
      </c>
      <c r="O568" s="100">
        <f t="shared" si="23"/>
        <v>2761855935.0099998</v>
      </c>
      <c r="P568" s="100">
        <f t="shared" si="23"/>
        <v>1218672485.6500001</v>
      </c>
      <c r="Q568" s="100">
        <f t="shared" si="23"/>
        <v>100841209.87</v>
      </c>
      <c r="R568" s="100">
        <f t="shared" si="23"/>
        <v>-16277.43</v>
      </c>
      <c r="S568" s="100">
        <f t="shared" si="23"/>
        <v>0.14000000000000001</v>
      </c>
      <c r="T568" s="100">
        <f t="shared" si="23"/>
        <v>6.41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-446.62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">
      <c r="C569" s="778"/>
      <c r="D569" s="775"/>
      <c r="E569" s="98" t="s">
        <v>73</v>
      </c>
      <c r="F569" s="100">
        <f>F548</f>
        <v>-607851821.38999999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">
      <c r="C570" s="778"/>
      <c r="D570" s="775" t="s">
        <v>133</v>
      </c>
      <c r="E570" s="233" t="s">
        <v>70</v>
      </c>
      <c r="F570" s="234">
        <f>F530+F486-L486</f>
        <v>4343101</v>
      </c>
      <c r="G570" s="234">
        <f>G486</f>
        <v>311438.06</v>
      </c>
      <c r="H570" s="234">
        <f t="shared" ref="G570:AA570" si="24">H486</f>
        <v>174745.19</v>
      </c>
      <c r="I570" s="234">
        <f t="shared" si="24"/>
        <v>94552.57</v>
      </c>
      <c r="J570" s="234">
        <f t="shared" si="24"/>
        <v>971475.94</v>
      </c>
      <c r="K570" s="234">
        <f t="shared" si="24"/>
        <v>31532.52</v>
      </c>
      <c r="L570" s="234">
        <f t="shared" si="24"/>
        <v>0</v>
      </c>
      <c r="M570" s="234">
        <f t="shared" si="24"/>
        <v>280120.46000000002</v>
      </c>
      <c r="N570" s="234">
        <f t="shared" si="24"/>
        <v>309903.63</v>
      </c>
      <c r="O570" s="234">
        <f t="shared" si="24"/>
        <v>1543098.75</v>
      </c>
      <c r="P570" s="234">
        <f t="shared" si="24"/>
        <v>830464.64</v>
      </c>
      <c r="Q570" s="234">
        <f t="shared" si="24"/>
        <v>53321.16</v>
      </c>
      <c r="R570" s="234">
        <f t="shared" si="24"/>
        <v>10.98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-88.74</v>
      </c>
      <c r="AA570" s="234">
        <f t="shared" si="24"/>
        <v>0</v>
      </c>
    </row>
    <row r="571" spans="1:41" ht="12.75" customHeight="1" x14ac:dyDescent="0.2">
      <c r="C571" s="778"/>
      <c r="D571" s="775"/>
      <c r="E571" s="233" t="s">
        <v>73</v>
      </c>
      <c r="F571" s="234">
        <f>F530</f>
        <v>-257474.16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">
      <c r="C573" s="778" t="s">
        <v>160</v>
      </c>
      <c r="D573" s="775" t="s">
        <v>132</v>
      </c>
      <c r="E573" s="223" t="s">
        <v>70</v>
      </c>
      <c r="F573" s="225">
        <f>F540+F500-L500</f>
        <v>5616850</v>
      </c>
      <c r="G573" s="225">
        <f>G500</f>
        <v>348026.22</v>
      </c>
      <c r="H573" s="225">
        <f t="shared" ref="G573:AO573" si="25">H500</f>
        <v>182658.96</v>
      </c>
      <c r="I573" s="225">
        <f t="shared" si="25"/>
        <v>98773.43</v>
      </c>
      <c r="J573" s="225">
        <f t="shared" si="25"/>
        <v>1121911.54</v>
      </c>
      <c r="K573" s="225">
        <f t="shared" si="25"/>
        <v>39196.07</v>
      </c>
      <c r="L573" s="225">
        <f t="shared" si="25"/>
        <v>0</v>
      </c>
      <c r="M573" s="225">
        <f t="shared" si="25"/>
        <v>344054.1</v>
      </c>
      <c r="N573" s="225">
        <f t="shared" si="25"/>
        <v>366770.81</v>
      </c>
      <c r="O573" s="225">
        <f t="shared" si="25"/>
        <v>1860672.37</v>
      </c>
      <c r="P573" s="225">
        <f t="shared" si="25"/>
        <v>927916.55</v>
      </c>
      <c r="Q573" s="225">
        <f t="shared" si="25"/>
        <v>64006.76</v>
      </c>
      <c r="R573" s="225">
        <f t="shared" si="25"/>
        <v>-38.130000000000003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">
      <c r="C574" s="778"/>
      <c r="D574" s="775"/>
      <c r="E574" s="223" t="s">
        <v>73</v>
      </c>
      <c r="F574" s="225">
        <f>F540</f>
        <v>262901.32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">
      <c r="C575" s="778"/>
      <c r="D575" s="775" t="s">
        <v>133</v>
      </c>
      <c r="E575" s="227" t="s">
        <v>70</v>
      </c>
      <c r="F575" s="228">
        <f>F522+F475-L475</f>
        <v>41900</v>
      </c>
      <c r="G575" s="228">
        <f t="shared" ref="G575:Z575" si="26">G475</f>
        <v>2593.4699999999998</v>
      </c>
      <c r="H575" s="228">
        <f t="shared" si="26"/>
        <v>1464.28</v>
      </c>
      <c r="I575" s="228">
        <f t="shared" si="26"/>
        <v>768.54</v>
      </c>
      <c r="J575" s="228">
        <f t="shared" si="26"/>
        <v>8475</v>
      </c>
      <c r="K575" s="228">
        <f t="shared" si="26"/>
        <v>336.82</v>
      </c>
      <c r="L575" s="228">
        <f t="shared" si="26"/>
        <v>0</v>
      </c>
      <c r="M575" s="228">
        <f t="shared" si="26"/>
        <v>2954.55</v>
      </c>
      <c r="N575" s="228">
        <f t="shared" si="26"/>
        <v>2903.79</v>
      </c>
      <c r="O575" s="228">
        <f t="shared" si="26"/>
        <v>14989.18</v>
      </c>
      <c r="P575" s="228">
        <f t="shared" si="26"/>
        <v>6864.83</v>
      </c>
      <c r="Q575" s="228">
        <f t="shared" si="26"/>
        <v>549.54</v>
      </c>
      <c r="R575" s="228">
        <f t="shared" si="26"/>
        <v>0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">
      <c r="C576" s="778"/>
      <c r="D576" s="775"/>
      <c r="E576" s="227" t="s">
        <v>73</v>
      </c>
      <c r="F576" s="228">
        <f>F522</f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">
      <c r="C578" s="778" t="s">
        <v>155</v>
      </c>
      <c r="D578" s="775" t="s">
        <v>132</v>
      </c>
      <c r="E578" s="221" t="s">
        <v>70</v>
      </c>
      <c r="F578" s="222">
        <f>F533+F490+F452-L452-L490</f>
        <v>6584787380.4700003</v>
      </c>
      <c r="G578" s="222">
        <f t="shared" ref="G578:Z578" si="27">G490+G452</f>
        <v>408144652.49000001</v>
      </c>
      <c r="H578" s="222">
        <f t="shared" si="27"/>
        <v>228232395.09</v>
      </c>
      <c r="I578" s="222">
        <f t="shared" si="27"/>
        <v>119582094.92999999</v>
      </c>
      <c r="J578" s="222">
        <f t="shared" si="27"/>
        <v>1524594519.48</v>
      </c>
      <c r="K578" s="222">
        <f t="shared" si="27"/>
        <v>59897729.049999997</v>
      </c>
      <c r="L578" s="222">
        <f t="shared" si="27"/>
        <v>19208887.530000001</v>
      </c>
      <c r="M578" s="222">
        <f t="shared" si="27"/>
        <v>524397834.05000001</v>
      </c>
      <c r="N578" s="222">
        <f t="shared" si="27"/>
        <v>518689495.65999997</v>
      </c>
      <c r="O578" s="222">
        <f t="shared" si="27"/>
        <v>2657171147.7400002</v>
      </c>
      <c r="P578" s="222">
        <f t="shared" si="27"/>
        <v>1079967383.1800001</v>
      </c>
      <c r="Q578" s="222">
        <f t="shared" si="27"/>
        <v>97939197.519999996</v>
      </c>
      <c r="R578" s="222">
        <f t="shared" si="27"/>
        <v>-16815.95</v>
      </c>
      <c r="S578" s="222">
        <f t="shared" si="27"/>
        <v>0.02</v>
      </c>
      <c r="T578" s="222">
        <f t="shared" si="27"/>
        <v>4.0599999999999996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-363.58</v>
      </c>
    </row>
    <row r="579" spans="1:41" ht="12.75" customHeight="1" x14ac:dyDescent="0.2">
      <c r="C579" s="778"/>
      <c r="D579" s="775"/>
      <c r="E579" s="221" t="s">
        <v>73</v>
      </c>
      <c r="F579" s="222">
        <f>F533</f>
        <v>-633811893.26999998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">
      <c r="C580" s="778"/>
      <c r="D580" s="775" t="s">
        <v>133</v>
      </c>
      <c r="E580" s="229" t="s">
        <v>70</v>
      </c>
      <c r="F580" s="230">
        <f>F515+F465-L465</f>
        <v>3610007</v>
      </c>
      <c r="G580" s="230">
        <f t="shared" ref="G580:Z580" si="28">G465</f>
        <v>257262.75</v>
      </c>
      <c r="H580" s="230">
        <f t="shared" si="28"/>
        <v>144117.51999999999</v>
      </c>
      <c r="I580" s="230">
        <f t="shared" si="28"/>
        <v>78318.55</v>
      </c>
      <c r="J580" s="230">
        <f t="shared" si="28"/>
        <v>797142.56</v>
      </c>
      <c r="K580" s="230">
        <f t="shared" si="28"/>
        <v>26303.65</v>
      </c>
      <c r="L580" s="230">
        <f t="shared" si="28"/>
        <v>0</v>
      </c>
      <c r="M580" s="230">
        <f t="shared" si="28"/>
        <v>230741.2</v>
      </c>
      <c r="N580" s="230">
        <f t="shared" si="28"/>
        <v>257553.6</v>
      </c>
      <c r="O580" s="230">
        <f t="shared" si="28"/>
        <v>1317195.17</v>
      </c>
      <c r="P580" s="230">
        <f t="shared" si="28"/>
        <v>682944.24</v>
      </c>
      <c r="Q580" s="230">
        <f t="shared" si="28"/>
        <v>44789.86</v>
      </c>
      <c r="R580" s="230">
        <f t="shared" si="28"/>
        <v>4.71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-88.74</v>
      </c>
    </row>
    <row r="581" spans="1:41" ht="12.75" customHeight="1" x14ac:dyDescent="0.2">
      <c r="C581" s="778"/>
      <c r="D581" s="775"/>
      <c r="E581" s="229" t="s">
        <v>73</v>
      </c>
      <c r="F581" s="230">
        <f>F515</f>
        <v>-226278.07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">
      <c r="C583" s="776" t="s">
        <v>326</v>
      </c>
      <c r="D583" s="775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">
      <c r="C584" s="776"/>
      <c r="D584" s="775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">
      <c r="C585" s="776"/>
      <c r="D585" s="775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">
      <c r="C586" s="776"/>
      <c r="D586" s="775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">
      <c r="C588" s="778" t="s">
        <v>119</v>
      </c>
      <c r="D588" s="775" t="s">
        <v>132</v>
      </c>
      <c r="E588" s="101" t="s">
        <v>70</v>
      </c>
      <c r="F588" s="93">
        <f>F547+F510+F459-L459-L510</f>
        <v>457088264.26000005</v>
      </c>
      <c r="G588" s="93">
        <f t="shared" ref="G588:AO588" si="29">G510+G459</f>
        <v>51981760.799999997</v>
      </c>
      <c r="H588" s="93">
        <f t="shared" si="29"/>
        <v>28598318.150000002</v>
      </c>
      <c r="I588" s="93">
        <f t="shared" si="29"/>
        <v>14625062.6</v>
      </c>
      <c r="J588" s="93">
        <f t="shared" si="29"/>
        <v>53207476.460000001</v>
      </c>
      <c r="K588" s="93">
        <f t="shared" si="29"/>
        <v>1736150.0799999998</v>
      </c>
      <c r="L588" s="93">
        <f t="shared" si="29"/>
        <v>14919457.4</v>
      </c>
      <c r="M588" s="93">
        <f t="shared" si="29"/>
        <v>16813135.419999998</v>
      </c>
      <c r="N588" s="93">
        <f t="shared" si="29"/>
        <v>20989387.699999999</v>
      </c>
      <c r="O588" s="93">
        <f t="shared" si="29"/>
        <v>102824114.90000001</v>
      </c>
      <c r="P588" s="93">
        <f t="shared" si="29"/>
        <v>137777185.92000002</v>
      </c>
      <c r="Q588" s="93">
        <f t="shared" si="29"/>
        <v>2838005.5900000003</v>
      </c>
      <c r="R588" s="93">
        <f t="shared" si="29"/>
        <v>576.65</v>
      </c>
      <c r="S588" s="93">
        <f t="shared" si="29"/>
        <v>0.12</v>
      </c>
      <c r="T588" s="93">
        <f t="shared" si="29"/>
        <v>2.35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-83.04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">
      <c r="C589" s="778"/>
      <c r="D589" s="775"/>
      <c r="E589" s="101" t="s">
        <v>73</v>
      </c>
      <c r="F589" s="93">
        <f>F547</f>
        <v>25697170.559999999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">
      <c r="C590" s="778"/>
      <c r="D590" s="775" t="s">
        <v>133</v>
      </c>
      <c r="E590" s="235" t="s">
        <v>70</v>
      </c>
      <c r="F590" s="236">
        <f>F529+F485-L485</f>
        <v>691194</v>
      </c>
      <c r="G590" s="236">
        <f t="shared" ref="G590:Z590" si="30">G485</f>
        <v>51581.84</v>
      </c>
      <c r="H590" s="236">
        <f t="shared" si="30"/>
        <v>29163.39</v>
      </c>
      <c r="I590" s="236">
        <f t="shared" si="30"/>
        <v>15465.48</v>
      </c>
      <c r="J590" s="236">
        <f t="shared" si="30"/>
        <v>165858.38</v>
      </c>
      <c r="K590" s="236">
        <f t="shared" si="30"/>
        <v>4892.05</v>
      </c>
      <c r="L590" s="236">
        <f t="shared" si="30"/>
        <v>0</v>
      </c>
      <c r="M590" s="236">
        <f t="shared" si="30"/>
        <v>46424.71</v>
      </c>
      <c r="N590" s="236">
        <f t="shared" si="30"/>
        <v>49446.239999999998</v>
      </c>
      <c r="O590" s="236">
        <f t="shared" si="30"/>
        <v>210914.4</v>
      </c>
      <c r="P590" s="236">
        <f t="shared" si="30"/>
        <v>140655.57</v>
      </c>
      <c r="Q590" s="236">
        <f t="shared" si="30"/>
        <v>7981.76</v>
      </c>
      <c r="R590" s="236">
        <f t="shared" si="30"/>
        <v>6.27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">
      <c r="C591" s="778"/>
      <c r="D591" s="775"/>
      <c r="E591" s="235" t="s">
        <v>73</v>
      </c>
      <c r="F591" s="236">
        <f>F529</f>
        <v>-31196.09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">
      <c r="C593" s="777" t="s">
        <v>161</v>
      </c>
      <c r="D593" s="775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">
      <c r="C594" s="777"/>
      <c r="D594" s="775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">
      <c r="C595" s="777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">
      <c r="C596" s="777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">
      <c r="D598" s="458" t="s">
        <v>186</v>
      </c>
      <c r="E598" s="459" t="s">
        <v>70</v>
      </c>
      <c r="F598" s="460">
        <f>F460</f>
        <v>-439956.52</v>
      </c>
      <c r="G598" s="460">
        <f t="shared" ref="G598:Z598" si="31">G460</f>
        <v>-35444.410000000003</v>
      </c>
      <c r="H598" s="460">
        <f t="shared" si="31"/>
        <v>-15058.04</v>
      </c>
      <c r="I598" s="460">
        <f t="shared" si="31"/>
        <v>-6575.73</v>
      </c>
      <c r="J598" s="460">
        <f t="shared" si="31"/>
        <v>-81642.179999999993</v>
      </c>
      <c r="K598" s="460">
        <f t="shared" si="31"/>
        <v>-3324.84</v>
      </c>
      <c r="L598" s="460">
        <f t="shared" si="31"/>
        <v>0</v>
      </c>
      <c r="M598" s="460">
        <f t="shared" si="31"/>
        <v>-29164.3</v>
      </c>
      <c r="N598" s="460">
        <f t="shared" si="31"/>
        <v>-37085.49</v>
      </c>
      <c r="O598" s="460">
        <f t="shared" si="31"/>
        <v>-136171.69</v>
      </c>
      <c r="P598" s="460">
        <f t="shared" si="31"/>
        <v>-90064.99</v>
      </c>
      <c r="Q598" s="460">
        <f t="shared" si="31"/>
        <v>-5424.85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">
      <c r="E619" t="s">
        <v>72</v>
      </c>
      <c r="F619" s="90">
        <v>52706.16</v>
      </c>
      <c r="G619" s="90">
        <v>3111.59</v>
      </c>
      <c r="H619" s="90">
        <v>1751.34</v>
      </c>
      <c r="I619" s="90">
        <v>897.63</v>
      </c>
      <c r="J619" s="90">
        <v>11377.58</v>
      </c>
      <c r="K619" s="90">
        <v>312.11</v>
      </c>
      <c r="L619" s="90">
        <v>0</v>
      </c>
      <c r="M619" s="90">
        <v>2737.85</v>
      </c>
      <c r="N619" s="90">
        <v>3754.56</v>
      </c>
      <c r="O619" s="90">
        <v>19228.87</v>
      </c>
      <c r="P619" s="90">
        <v>9026.77</v>
      </c>
      <c r="Q619" s="90">
        <v>509.25</v>
      </c>
      <c r="R619" s="90">
        <v>-1.39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">
      <c r="D621" t="s">
        <v>82</v>
      </c>
      <c r="E621" t="s">
        <v>70</v>
      </c>
      <c r="F621" s="90">
        <v>52706.16</v>
      </c>
      <c r="G621" s="90">
        <v>3111.59</v>
      </c>
      <c r="H621" s="90">
        <v>1751.34</v>
      </c>
      <c r="I621" s="90">
        <v>897.63</v>
      </c>
      <c r="J621" s="90">
        <v>11377.58</v>
      </c>
      <c r="K621" s="90">
        <v>312.11</v>
      </c>
      <c r="L621" s="90">
        <v>0</v>
      </c>
      <c r="M621" s="90">
        <v>2737.85</v>
      </c>
      <c r="N621" s="90">
        <v>3754.56</v>
      </c>
      <c r="O621" s="90">
        <v>19228.87</v>
      </c>
      <c r="P621" s="90">
        <v>9026.77</v>
      </c>
      <c r="Q621" s="90">
        <v>509.25</v>
      </c>
      <c r="R621" s="90">
        <v>-1.39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">
      <c r="E622" t="s">
        <v>72</v>
      </c>
      <c r="F622" s="90">
        <v>49921.06</v>
      </c>
      <c r="G622" s="90">
        <v>3993.69</v>
      </c>
      <c r="H622" s="90">
        <v>2254.83</v>
      </c>
      <c r="I622" s="90">
        <v>1183.5</v>
      </c>
      <c r="J622" s="90">
        <v>9237.34</v>
      </c>
      <c r="K622" s="90">
        <v>236.44</v>
      </c>
      <c r="L622" s="90">
        <v>0</v>
      </c>
      <c r="M622" s="90">
        <v>2074.09</v>
      </c>
      <c r="N622" s="90">
        <v>3047.22</v>
      </c>
      <c r="O622" s="90">
        <v>15606.67</v>
      </c>
      <c r="P622" s="90">
        <v>11901.49</v>
      </c>
      <c r="Q622" s="90">
        <v>385.79</v>
      </c>
      <c r="R622" s="90">
        <v>0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">
      <c r="E623" t="s">
        <v>81</v>
      </c>
      <c r="F623" s="90">
        <v>402.4</v>
      </c>
      <c r="G623" s="90">
        <v>32.54</v>
      </c>
      <c r="H623" s="90">
        <v>18.34</v>
      </c>
      <c r="I623" s="90">
        <v>9.5299999999999994</v>
      </c>
      <c r="J623" s="90">
        <v>74.319999999999993</v>
      </c>
      <c r="K623" s="90">
        <v>1.9</v>
      </c>
      <c r="L623" s="90">
        <v>0</v>
      </c>
      <c r="M623" s="90">
        <v>16.7</v>
      </c>
      <c r="N623" s="90">
        <v>24.53</v>
      </c>
      <c r="O623" s="90">
        <v>125.62</v>
      </c>
      <c r="P623" s="90">
        <v>95.81</v>
      </c>
      <c r="Q623" s="90">
        <v>3.11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">
      <c r="D624" t="s">
        <v>86</v>
      </c>
      <c r="E624" t="s">
        <v>70</v>
      </c>
      <c r="F624" s="90">
        <v>50323.46</v>
      </c>
      <c r="G624" s="90">
        <v>4026.23</v>
      </c>
      <c r="H624" s="90">
        <v>2273.17</v>
      </c>
      <c r="I624" s="90">
        <v>1193.03</v>
      </c>
      <c r="J624" s="90">
        <v>9311.66</v>
      </c>
      <c r="K624" s="90">
        <v>238.34</v>
      </c>
      <c r="L624" s="90">
        <v>0</v>
      </c>
      <c r="M624" s="90">
        <v>2090.79</v>
      </c>
      <c r="N624" s="90">
        <v>3071.75</v>
      </c>
      <c r="O624" s="90">
        <v>15732.29</v>
      </c>
      <c r="P624" s="90">
        <v>11997.3</v>
      </c>
      <c r="Q624" s="90">
        <v>388.9</v>
      </c>
      <c r="R624" s="90">
        <v>0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">
      <c r="E625" s="89" t="s">
        <v>72</v>
      </c>
      <c r="F625" s="371">
        <v>306792.77</v>
      </c>
      <c r="G625" s="90">
        <v>19035.04</v>
      </c>
      <c r="H625" s="90">
        <v>9869.84</v>
      </c>
      <c r="I625" s="90">
        <v>5496.23</v>
      </c>
      <c r="J625" s="90">
        <v>71436.63</v>
      </c>
      <c r="K625" s="90">
        <v>1696.42</v>
      </c>
      <c r="L625" s="90">
        <v>0</v>
      </c>
      <c r="M625" s="90">
        <v>14880.73</v>
      </c>
      <c r="N625" s="90">
        <v>20748.09</v>
      </c>
      <c r="O625" s="90">
        <v>103786.58</v>
      </c>
      <c r="P625" s="90">
        <v>57071.46</v>
      </c>
      <c r="Q625" s="90">
        <v>2767.81</v>
      </c>
      <c r="R625" s="90">
        <v>3.94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">
      <c r="E626" t="s">
        <v>81</v>
      </c>
      <c r="F626" s="90">
        <v>7697.23</v>
      </c>
      <c r="G626" s="90">
        <v>484.57</v>
      </c>
      <c r="H626" s="90">
        <v>243.67</v>
      </c>
      <c r="I626" s="90">
        <v>136.38</v>
      </c>
      <c r="J626" s="90">
        <v>1785.86</v>
      </c>
      <c r="K626" s="90">
        <v>43.42</v>
      </c>
      <c r="L626" s="90">
        <v>0</v>
      </c>
      <c r="M626" s="90">
        <v>379.97</v>
      </c>
      <c r="N626" s="90">
        <v>517.96</v>
      </c>
      <c r="O626" s="90">
        <v>2585.2600000000002</v>
      </c>
      <c r="P626" s="90">
        <v>1449.26</v>
      </c>
      <c r="Q626" s="90">
        <v>70.739999999999995</v>
      </c>
      <c r="R626" s="90">
        <v>0.14000000000000001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">
      <c r="D627" t="s">
        <v>87</v>
      </c>
      <c r="E627" s="89" t="s">
        <v>70</v>
      </c>
      <c r="F627" s="371">
        <v>314490</v>
      </c>
      <c r="G627" s="90">
        <v>19519.61</v>
      </c>
      <c r="H627" s="90">
        <v>10113.51</v>
      </c>
      <c r="I627" s="90">
        <v>5632.61</v>
      </c>
      <c r="J627" s="90">
        <v>73222.490000000005</v>
      </c>
      <c r="K627" s="90">
        <v>1739.84</v>
      </c>
      <c r="L627" s="90">
        <v>0</v>
      </c>
      <c r="M627" s="90">
        <v>15260.7</v>
      </c>
      <c r="N627" s="90">
        <v>21266.05</v>
      </c>
      <c r="O627" s="90">
        <v>106371.84</v>
      </c>
      <c r="P627" s="90">
        <v>58520.72</v>
      </c>
      <c r="Q627" s="90">
        <v>2838.55</v>
      </c>
      <c r="R627" s="90">
        <v>4.08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">
      <c r="C628" s="101" t="s">
        <v>119</v>
      </c>
      <c r="D628" s="101" t="s">
        <v>70</v>
      </c>
      <c r="F628" s="93">
        <v>417519.62</v>
      </c>
      <c r="G628" s="93">
        <v>26657.43</v>
      </c>
      <c r="H628" s="93">
        <v>14138.02</v>
      </c>
      <c r="I628" s="93">
        <v>7723.27</v>
      </c>
      <c r="J628" s="93">
        <v>93911.73</v>
      </c>
      <c r="K628" s="93">
        <v>2290.29</v>
      </c>
      <c r="L628" s="93">
        <v>0</v>
      </c>
      <c r="M628" s="93">
        <v>20089.34</v>
      </c>
      <c r="N628" s="93">
        <v>28092.36</v>
      </c>
      <c r="O628" s="93">
        <v>141333</v>
      </c>
      <c r="P628" s="93">
        <v>79544.789999999994</v>
      </c>
      <c r="Q628" s="93">
        <v>3736.7</v>
      </c>
      <c r="R628" s="93">
        <v>2.69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">
      <c r="B629" s="378" t="s">
        <v>122</v>
      </c>
      <c r="C629" s="378" t="s">
        <v>70</v>
      </c>
      <c r="E629" s="376"/>
      <c r="F629" s="710">
        <v>417519.62</v>
      </c>
      <c r="G629" s="377">
        <v>26657.43</v>
      </c>
      <c r="H629" s="377">
        <v>14138.02</v>
      </c>
      <c r="I629" s="377">
        <v>7723.27</v>
      </c>
      <c r="J629" s="377">
        <v>93911.73</v>
      </c>
      <c r="K629" s="377">
        <v>2290.29</v>
      </c>
      <c r="L629" s="377">
        <v>0</v>
      </c>
      <c r="M629" s="377">
        <v>20089.34</v>
      </c>
      <c r="N629" s="377">
        <v>28092.36</v>
      </c>
      <c r="O629" s="377">
        <v>141333</v>
      </c>
      <c r="P629" s="377">
        <v>79544.789999999994</v>
      </c>
      <c r="Q629" s="377">
        <v>3736.7</v>
      </c>
      <c r="R629" s="377">
        <v>2.69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">
      <c r="C630" s="89"/>
      <c r="D630" s="89"/>
      <c r="E630" t="s">
        <v>72</v>
      </c>
      <c r="F630" s="371">
        <v>12815008425</v>
      </c>
      <c r="G630" s="90">
        <v>696132424.70000005</v>
      </c>
      <c r="H630" s="90">
        <v>392646983.91000003</v>
      </c>
      <c r="I630" s="90">
        <v>205894711.43000001</v>
      </c>
      <c r="J630" s="90">
        <v>2739311715.7199998</v>
      </c>
      <c r="K630" s="90">
        <v>104518413.20999999</v>
      </c>
      <c r="L630" s="90">
        <v>8994251.4000000004</v>
      </c>
      <c r="M630" s="90">
        <v>916374237.59000003</v>
      </c>
      <c r="N630" s="90">
        <v>897814237.13</v>
      </c>
      <c r="O630" s="90">
        <v>4614704417.4799995</v>
      </c>
      <c r="P630" s="90">
        <v>2068182494.3299999</v>
      </c>
      <c r="Q630" s="90">
        <v>170581693.38999999</v>
      </c>
      <c r="R630" s="90">
        <v>-147155.29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">
      <c r="C631" s="89"/>
      <c r="D631" s="89"/>
      <c r="E631" t="s">
        <v>81</v>
      </c>
      <c r="F631" s="90">
        <v>8188043.2599999998</v>
      </c>
      <c r="G631" s="90">
        <v>712370.33</v>
      </c>
      <c r="H631" s="90">
        <v>342656.4</v>
      </c>
      <c r="I631" s="90">
        <v>174871.02</v>
      </c>
      <c r="J631" s="90">
        <v>1410634.79</v>
      </c>
      <c r="K631" s="90">
        <v>60481.35</v>
      </c>
      <c r="L631" s="90">
        <v>2825.7</v>
      </c>
      <c r="M631" s="90">
        <v>530371.72</v>
      </c>
      <c r="N631" s="90">
        <v>474850.33</v>
      </c>
      <c r="O631" s="90">
        <v>2281402.9900000002</v>
      </c>
      <c r="P631" s="90">
        <v>2098966.4300000002</v>
      </c>
      <c r="Q631" s="90">
        <v>98638.71</v>
      </c>
      <c r="R631" s="90">
        <v>6.82</v>
      </c>
      <c r="S631" s="90">
        <v>0</v>
      </c>
      <c r="T631">
        <v>7.04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-40.369999999999997</v>
      </c>
    </row>
    <row r="632" spans="1:26" ht="12.75" customHeight="1" x14ac:dyDescent="0.2">
      <c r="D632" t="s">
        <v>156</v>
      </c>
      <c r="E632" s="89" t="s">
        <v>70</v>
      </c>
      <c r="F632" s="90">
        <v>12823196468.26</v>
      </c>
      <c r="G632" s="90">
        <v>696844795.02999997</v>
      </c>
      <c r="H632" s="90">
        <v>392989640.31</v>
      </c>
      <c r="I632" s="90">
        <v>206069582.44999999</v>
      </c>
      <c r="J632" s="90">
        <v>2740722350.5100002</v>
      </c>
      <c r="K632" s="90">
        <v>104578894.56</v>
      </c>
      <c r="L632" s="90">
        <v>8997077.0999999996</v>
      </c>
      <c r="M632" s="90">
        <v>916904609.30999994</v>
      </c>
      <c r="N632" s="90">
        <v>898289087.46000004</v>
      </c>
      <c r="O632" s="90">
        <v>4616985820.4700003</v>
      </c>
      <c r="P632" s="90">
        <v>2070281460.76</v>
      </c>
      <c r="Q632" s="90">
        <v>170680332.09999999</v>
      </c>
      <c r="R632" s="90">
        <v>-147148.47</v>
      </c>
      <c r="S632" s="90">
        <v>0</v>
      </c>
      <c r="T632">
        <v>7.04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-40.369999999999997</v>
      </c>
    </row>
    <row r="633" spans="1:26" s="656" customFormat="1" ht="12.75" customHeight="1" x14ac:dyDescent="0.2">
      <c r="A633" s="657"/>
      <c r="B633" s="657"/>
      <c r="C633" s="656" t="s">
        <v>155</v>
      </c>
      <c r="D633" s="656" t="s">
        <v>70</v>
      </c>
      <c r="F633" s="658">
        <v>12823196468.26</v>
      </c>
      <c r="G633" s="658">
        <v>696844795.02999997</v>
      </c>
      <c r="H633" s="658">
        <v>392989640.31</v>
      </c>
      <c r="I633" s="658">
        <v>206069582.44999999</v>
      </c>
      <c r="J633" s="658">
        <v>2740722350.5100002</v>
      </c>
      <c r="K633" s="658">
        <v>104578894.56</v>
      </c>
      <c r="L633" s="658">
        <v>8997077.0999999996</v>
      </c>
      <c r="M633" s="658">
        <v>916904609.30999994</v>
      </c>
      <c r="N633" s="658">
        <v>898289087.46000004</v>
      </c>
      <c r="O633" s="658">
        <v>4616985820.4700003</v>
      </c>
      <c r="P633" s="658">
        <v>2070281460.76</v>
      </c>
      <c r="Q633" s="658">
        <v>170680332.09999999</v>
      </c>
      <c r="R633" s="658">
        <v>-147148.47</v>
      </c>
      <c r="S633" s="658">
        <v>0</v>
      </c>
      <c r="T633" s="656">
        <v>7.04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-40.369999999999997</v>
      </c>
    </row>
    <row r="634" spans="1:26" ht="12.75" customHeight="1" x14ac:dyDescent="0.2">
      <c r="E634" s="89" t="s">
        <v>72</v>
      </c>
      <c r="F634" s="90">
        <v>31744217.359999999</v>
      </c>
      <c r="G634" s="90">
        <v>1896011.44</v>
      </c>
      <c r="H634" s="90">
        <v>1043946.05</v>
      </c>
      <c r="I634" s="90">
        <v>566202.44999999995</v>
      </c>
      <c r="J634" s="90">
        <v>6825335.7800000003</v>
      </c>
      <c r="K634" s="90">
        <v>247149.67</v>
      </c>
      <c r="L634" s="90">
        <v>0</v>
      </c>
      <c r="M634" s="90">
        <v>2156364.29</v>
      </c>
      <c r="N634" s="90">
        <v>2123158.7400000002</v>
      </c>
      <c r="O634" s="90">
        <v>11056616.23</v>
      </c>
      <c r="P634" s="90">
        <v>5422637.6600000001</v>
      </c>
      <c r="Q634" s="90">
        <v>406705.98</v>
      </c>
      <c r="R634" s="90">
        <v>89.07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">
      <c r="E635" s="89" t="s">
        <v>81</v>
      </c>
      <c r="F635" s="371">
        <v>90800.2</v>
      </c>
      <c r="G635" s="90">
        <v>5476.81</v>
      </c>
      <c r="H635" s="90">
        <v>2878.22</v>
      </c>
      <c r="I635" s="90">
        <v>1571.13</v>
      </c>
      <c r="J635" s="90">
        <v>19966.919999999998</v>
      </c>
      <c r="K635" s="90">
        <v>645.25</v>
      </c>
      <c r="L635" s="90">
        <v>0</v>
      </c>
      <c r="M635" s="90">
        <v>5639.74</v>
      </c>
      <c r="N635" s="90">
        <v>6109.13</v>
      </c>
      <c r="O635" s="90">
        <v>31292.26</v>
      </c>
      <c r="P635" s="90">
        <v>16162.57</v>
      </c>
      <c r="Q635" s="90">
        <v>1059.69</v>
      </c>
      <c r="R635" s="90">
        <v>-1.52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">
      <c r="D636" t="s">
        <v>156</v>
      </c>
      <c r="E636" s="89" t="s">
        <v>70</v>
      </c>
      <c r="F636" s="371">
        <v>31835017.559999999</v>
      </c>
      <c r="G636" s="90">
        <v>1901488.25</v>
      </c>
      <c r="H636" s="90">
        <v>1046824.27</v>
      </c>
      <c r="I636" s="90">
        <v>567773.57999999996</v>
      </c>
      <c r="J636" s="90">
        <v>6845302.7000000002</v>
      </c>
      <c r="K636" s="90">
        <v>247794.92</v>
      </c>
      <c r="L636" s="90">
        <v>0</v>
      </c>
      <c r="M636" s="90">
        <v>2162004.0299999998</v>
      </c>
      <c r="N636" s="90">
        <v>2129267.87</v>
      </c>
      <c r="O636" s="90">
        <v>11087908.49</v>
      </c>
      <c r="P636" s="90">
        <v>5438800.2300000004</v>
      </c>
      <c r="Q636" s="90">
        <v>407765.67</v>
      </c>
      <c r="R636" s="90">
        <v>87.55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">
      <c r="C637" s="739" t="s">
        <v>326</v>
      </c>
      <c r="D637" s="739" t="s">
        <v>70</v>
      </c>
      <c r="E637" s="231"/>
      <c r="F637" s="740">
        <v>31835017.559999999</v>
      </c>
      <c r="G637" s="232">
        <v>1901488.25</v>
      </c>
      <c r="H637" s="232">
        <v>1046824.27</v>
      </c>
      <c r="I637" s="232">
        <v>567773.57999999996</v>
      </c>
      <c r="J637" s="232">
        <v>6845302.7000000002</v>
      </c>
      <c r="K637" s="232">
        <v>247794.92</v>
      </c>
      <c r="L637" s="232">
        <v>0</v>
      </c>
      <c r="M637" s="232">
        <v>2162004.0299999998</v>
      </c>
      <c r="N637" s="232">
        <v>2129267.87</v>
      </c>
      <c r="O637" s="232">
        <v>11087908.49</v>
      </c>
      <c r="P637" s="232">
        <v>5438800.2300000004</v>
      </c>
      <c r="Q637" s="232">
        <v>407765.67</v>
      </c>
      <c r="R637" s="232">
        <v>87.55</v>
      </c>
      <c r="S637" s="232">
        <v>0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">
      <c r="E638" s="89" t="s">
        <v>72</v>
      </c>
      <c r="F638" s="371">
        <v>23681387.870000001</v>
      </c>
      <c r="G638" s="90">
        <v>1342192.95</v>
      </c>
      <c r="H638" s="90">
        <v>741594.96</v>
      </c>
      <c r="I638" s="90">
        <v>386605.36</v>
      </c>
      <c r="J638" s="90">
        <v>3574834.93</v>
      </c>
      <c r="K638" s="90">
        <v>163810.99</v>
      </c>
      <c r="L638" s="90">
        <v>0</v>
      </c>
      <c r="M638" s="90">
        <v>1432646.73</v>
      </c>
      <c r="N638" s="90">
        <v>1903396.27</v>
      </c>
      <c r="O638" s="90">
        <v>9913238.5800000001</v>
      </c>
      <c r="P638" s="90">
        <v>3949237.62</v>
      </c>
      <c r="Q638" s="90">
        <v>273858.43</v>
      </c>
      <c r="R638" s="90">
        <v>-28.95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">
      <c r="E639" s="89" t="s">
        <v>81</v>
      </c>
      <c r="F639" s="90">
        <v>203478.11</v>
      </c>
      <c r="G639" s="90">
        <v>12513.73</v>
      </c>
      <c r="H639" s="90">
        <v>6267.59</v>
      </c>
      <c r="I639" s="90">
        <v>3281.56</v>
      </c>
      <c r="J639" s="90">
        <v>40756.89</v>
      </c>
      <c r="K639" s="90">
        <v>1395.27</v>
      </c>
      <c r="L639" s="90">
        <v>0</v>
      </c>
      <c r="M639" s="90">
        <v>12103.55</v>
      </c>
      <c r="N639" s="90">
        <v>15375.27</v>
      </c>
      <c r="O639" s="90">
        <v>72617.7</v>
      </c>
      <c r="P639" s="90">
        <v>36833.599999999999</v>
      </c>
      <c r="Q639" s="90">
        <v>2332.77</v>
      </c>
      <c r="R639" s="90">
        <v>0.24</v>
      </c>
      <c r="S639" s="90">
        <v>-0.06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">
      <c r="D640" s="89" t="s">
        <v>82</v>
      </c>
      <c r="E640" s="89" t="s">
        <v>70</v>
      </c>
      <c r="F640" s="90">
        <v>23884865.98</v>
      </c>
      <c r="G640" s="90">
        <v>1354706.68</v>
      </c>
      <c r="H640" s="90">
        <v>747862.55</v>
      </c>
      <c r="I640" s="90">
        <v>389886.92</v>
      </c>
      <c r="J640" s="90">
        <v>3615591.82</v>
      </c>
      <c r="K640" s="90">
        <v>165206.26</v>
      </c>
      <c r="L640" s="90">
        <v>0</v>
      </c>
      <c r="M640" s="90">
        <v>1444750.28</v>
      </c>
      <c r="N640" s="90">
        <v>1918771.54</v>
      </c>
      <c r="O640" s="90">
        <v>9985856.2799999993</v>
      </c>
      <c r="P640" s="90">
        <v>3986071.22</v>
      </c>
      <c r="Q640" s="90">
        <v>276191.2</v>
      </c>
      <c r="R640" s="90">
        <v>-28.71</v>
      </c>
      <c r="S640" s="90">
        <v>-0.06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">
      <c r="C641" s="89"/>
      <c r="D641" s="89"/>
      <c r="E641" t="s">
        <v>72</v>
      </c>
      <c r="F641" s="90">
        <v>37326194.020000003</v>
      </c>
      <c r="G641" s="90">
        <v>2341567.69</v>
      </c>
      <c r="H641" s="90">
        <v>1226225.5900000001</v>
      </c>
      <c r="I641" s="90">
        <v>646313.07999999996</v>
      </c>
      <c r="J641" s="90">
        <v>4830560.8899999997</v>
      </c>
      <c r="K641" s="90">
        <v>328790.96000000002</v>
      </c>
      <c r="L641" s="90">
        <v>10</v>
      </c>
      <c r="M641" s="90">
        <v>2887566.34</v>
      </c>
      <c r="N641" s="90">
        <v>2940701.95</v>
      </c>
      <c r="O641" s="90">
        <v>14675858.98</v>
      </c>
      <c r="P641" s="90">
        <v>6912081.8600000003</v>
      </c>
      <c r="Q641" s="90">
        <v>536760.03</v>
      </c>
      <c r="R641" s="90">
        <v>-243.35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">
      <c r="B642" s="89"/>
      <c r="C642" s="89"/>
      <c r="E642" t="s">
        <v>81</v>
      </c>
      <c r="F642" s="90">
        <v>1803780.95</v>
      </c>
      <c r="G642" s="90">
        <v>148635.04999999999</v>
      </c>
      <c r="H642" s="90">
        <v>70152.759999999995</v>
      </c>
      <c r="I642" s="90">
        <v>35493.919999999998</v>
      </c>
      <c r="J642" s="90">
        <v>325744.40000000002</v>
      </c>
      <c r="K642" s="90">
        <v>14357.08</v>
      </c>
      <c r="L642" s="90">
        <v>0</v>
      </c>
      <c r="M642" s="90">
        <v>125760.45</v>
      </c>
      <c r="N642" s="90">
        <v>115572.28</v>
      </c>
      <c r="O642" s="90">
        <v>509189.7</v>
      </c>
      <c r="P642" s="90">
        <v>435456.11</v>
      </c>
      <c r="Q642" s="90">
        <v>23424.97</v>
      </c>
      <c r="R642" s="90">
        <v>-6.29</v>
      </c>
      <c r="S642" s="90">
        <v>-0.02</v>
      </c>
      <c r="T642">
        <v>0.54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">
      <c r="A643" s="89"/>
      <c r="B643" s="89"/>
      <c r="D643" t="s">
        <v>86</v>
      </c>
      <c r="E643" t="s">
        <v>70</v>
      </c>
      <c r="F643" s="90">
        <v>39129974.969999999</v>
      </c>
      <c r="G643" s="90">
        <v>2490202.7400000002</v>
      </c>
      <c r="H643" s="90">
        <v>1296378.3500000001</v>
      </c>
      <c r="I643" s="90">
        <v>681807</v>
      </c>
      <c r="J643" s="90">
        <v>5156305.29</v>
      </c>
      <c r="K643" s="90">
        <v>343148.04</v>
      </c>
      <c r="L643" s="90">
        <v>10</v>
      </c>
      <c r="M643" s="90">
        <v>3013326.79</v>
      </c>
      <c r="N643" s="90">
        <v>3056274.23</v>
      </c>
      <c r="O643" s="90">
        <v>15185048.68</v>
      </c>
      <c r="P643" s="90">
        <v>7347537.9699999997</v>
      </c>
      <c r="Q643" s="90">
        <v>560185</v>
      </c>
      <c r="R643" s="90">
        <v>-249.64</v>
      </c>
      <c r="S643" s="90">
        <v>-0.02</v>
      </c>
      <c r="T643">
        <v>0.54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">
      <c r="E644" s="89" t="s">
        <v>72</v>
      </c>
      <c r="F644" s="90">
        <v>165149724.53999999</v>
      </c>
      <c r="G644" s="90">
        <v>26075002.84</v>
      </c>
      <c r="H644" s="90">
        <v>14679186.140000001</v>
      </c>
      <c r="I644" s="90">
        <v>7710705.0300000003</v>
      </c>
      <c r="J644" s="90">
        <v>8226271.1699999999</v>
      </c>
      <c r="K644" s="90">
        <v>298707.28000000003</v>
      </c>
      <c r="L644" s="90">
        <v>5865000</v>
      </c>
      <c r="M644" s="90">
        <v>2614088.5499999998</v>
      </c>
      <c r="N644" s="90">
        <v>3478316.82</v>
      </c>
      <c r="O644" s="90">
        <v>18102958.870000001</v>
      </c>
      <c r="P644" s="90">
        <v>77609539.060000002</v>
      </c>
      <c r="Q644" s="90">
        <v>490342.43</v>
      </c>
      <c r="R644" s="90">
        <v>-393.65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">
      <c r="A645" s="89"/>
      <c r="B645" s="89"/>
      <c r="E645" t="s">
        <v>81</v>
      </c>
      <c r="F645" s="90">
        <v>1037886.13</v>
      </c>
      <c r="G645" s="90">
        <v>151445.04</v>
      </c>
      <c r="H645" s="90">
        <v>83302.720000000001</v>
      </c>
      <c r="I645" s="90">
        <v>44417.4</v>
      </c>
      <c r="J645" s="90">
        <v>83722.740000000005</v>
      </c>
      <c r="K645" s="90">
        <v>2286.4899999999998</v>
      </c>
      <c r="L645" s="90">
        <v>39642.230000000003</v>
      </c>
      <c r="M645" s="90">
        <v>20012.88</v>
      </c>
      <c r="N645" s="90">
        <v>25666.09</v>
      </c>
      <c r="O645" s="90">
        <v>131338.6</v>
      </c>
      <c r="P645" s="90">
        <v>452293.81</v>
      </c>
      <c r="Q645" s="90">
        <v>3759.65</v>
      </c>
      <c r="R645" s="90">
        <v>-1.41</v>
      </c>
      <c r="S645" s="90">
        <v>-0.11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">
      <c r="D646" t="s">
        <v>87</v>
      </c>
      <c r="E646" s="89" t="s">
        <v>70</v>
      </c>
      <c r="F646" s="90">
        <v>166187610.66999999</v>
      </c>
      <c r="G646" s="90">
        <v>26226447.879999999</v>
      </c>
      <c r="H646" s="90">
        <v>14762488.859999999</v>
      </c>
      <c r="I646" s="90">
        <v>7755122.4299999997</v>
      </c>
      <c r="J646" s="90">
        <v>8309993.9100000001</v>
      </c>
      <c r="K646" s="90">
        <v>300993.77</v>
      </c>
      <c r="L646" s="90">
        <v>5904642.2300000004</v>
      </c>
      <c r="M646" s="90">
        <v>2634101.4300000002</v>
      </c>
      <c r="N646" s="90">
        <v>3503982.91</v>
      </c>
      <c r="O646" s="90">
        <v>18234297.469999999</v>
      </c>
      <c r="P646" s="90">
        <v>78061832.870000005</v>
      </c>
      <c r="Q646" s="90">
        <v>494102.08</v>
      </c>
      <c r="R646" s="90">
        <v>-395.06</v>
      </c>
      <c r="S646" s="90">
        <v>-0.11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">
      <c r="A647" s="101"/>
      <c r="B647" s="101"/>
      <c r="C647" s="94" t="s">
        <v>119</v>
      </c>
      <c r="D647" s="94" t="s">
        <v>70</v>
      </c>
      <c r="F647" s="93">
        <v>229202451.62</v>
      </c>
      <c r="G647" s="93">
        <v>30071357.300000001</v>
      </c>
      <c r="H647" s="93">
        <v>16806729.760000002</v>
      </c>
      <c r="I647" s="93">
        <v>8826816.3499999996</v>
      </c>
      <c r="J647" s="93">
        <v>17081891.02</v>
      </c>
      <c r="K647" s="93">
        <v>809348.07</v>
      </c>
      <c r="L647" s="93">
        <v>5904652.2300000004</v>
      </c>
      <c r="M647" s="93">
        <v>7092178.5</v>
      </c>
      <c r="N647" s="93">
        <v>8479028.6799999997</v>
      </c>
      <c r="O647" s="93">
        <v>43405202.43</v>
      </c>
      <c r="P647" s="93">
        <v>89395442.060000002</v>
      </c>
      <c r="Q647" s="93">
        <v>1330478.28</v>
      </c>
      <c r="R647" s="93">
        <v>-673.41</v>
      </c>
      <c r="S647" s="93">
        <v>-0.19</v>
      </c>
      <c r="T647" s="94">
        <v>0.54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">
      <c r="B648" s="226" t="s">
        <v>112</v>
      </c>
      <c r="C648" s="226" t="s">
        <v>70</v>
      </c>
      <c r="E648" s="98"/>
      <c r="F648" s="100">
        <v>13084233937.440001</v>
      </c>
      <c r="G648" s="100">
        <v>728817640.58000004</v>
      </c>
      <c r="H648" s="100">
        <v>410843194.33999997</v>
      </c>
      <c r="I648" s="100">
        <v>215464172.38</v>
      </c>
      <c r="J648" s="100">
        <v>2764649544.23</v>
      </c>
      <c r="K648" s="100">
        <v>105636037.55</v>
      </c>
      <c r="L648" s="100">
        <v>14901729.33</v>
      </c>
      <c r="M648" s="100">
        <v>926158791.84000003</v>
      </c>
      <c r="N648" s="100">
        <v>908897384.00999999</v>
      </c>
      <c r="O648" s="100">
        <v>4671478931.3900003</v>
      </c>
      <c r="P648" s="100">
        <v>2165115703.0500002</v>
      </c>
      <c r="Q648" s="100">
        <v>172418576.05000001</v>
      </c>
      <c r="R648" s="100">
        <v>-147734.32999999999</v>
      </c>
      <c r="S648" s="100">
        <v>-0.19</v>
      </c>
      <c r="T648" s="226">
        <v>7.58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-40.369999999999997</v>
      </c>
    </row>
    <row r="649" spans="1:26" ht="13.5" customHeight="1" x14ac:dyDescent="0.2">
      <c r="A649" t="s">
        <v>78</v>
      </c>
      <c r="B649" t="s">
        <v>70</v>
      </c>
      <c r="E649" s="89"/>
      <c r="F649" s="90">
        <v>13084651457.059999</v>
      </c>
      <c r="G649" s="90">
        <v>728844298.00999999</v>
      </c>
      <c r="H649" s="90">
        <v>410857332.36000001</v>
      </c>
      <c r="I649" s="90">
        <v>215471895.65000001</v>
      </c>
      <c r="J649" s="90">
        <v>2764743455.96</v>
      </c>
      <c r="K649" s="90">
        <v>105638327.84</v>
      </c>
      <c r="L649" s="90">
        <v>14901729.33</v>
      </c>
      <c r="M649" s="90">
        <v>926178881.17999995</v>
      </c>
      <c r="N649" s="90">
        <v>908925476.37</v>
      </c>
      <c r="O649" s="90">
        <v>4671620264.3900003</v>
      </c>
      <c r="P649" s="90">
        <v>2165195247.8400002</v>
      </c>
      <c r="Q649" s="90">
        <v>172422312.75</v>
      </c>
      <c r="R649" s="90">
        <v>-147731.64000000001</v>
      </c>
      <c r="S649" s="90">
        <v>-0.19</v>
      </c>
      <c r="T649">
        <v>7.58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-40.369999999999997</v>
      </c>
    </row>
    <row r="650" spans="1:26" x14ac:dyDescent="0.2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">
      <c r="E653" t="s">
        <v>73</v>
      </c>
      <c r="F653" s="90">
        <v>-7906.16</v>
      </c>
      <c r="G653" s="90">
        <v>-466.73</v>
      </c>
      <c r="H653" s="90">
        <v>-262.7</v>
      </c>
      <c r="I653" s="90">
        <v>-134.63999999999999</v>
      </c>
      <c r="J653" s="90">
        <v>-1706.65</v>
      </c>
      <c r="K653" s="90">
        <v>-46.82</v>
      </c>
      <c r="L653" s="90">
        <v>0</v>
      </c>
      <c r="M653" s="90">
        <v>-410.68</v>
      </c>
      <c r="N653" s="90">
        <v>-563.19000000000005</v>
      </c>
      <c r="O653" s="90">
        <v>-2884.34</v>
      </c>
      <c r="P653" s="90">
        <v>-1354.02</v>
      </c>
      <c r="Q653" s="90">
        <v>-76.39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">
      <c r="D654" t="s">
        <v>82</v>
      </c>
      <c r="E654" t="s">
        <v>70</v>
      </c>
      <c r="F654" s="90">
        <v>-7906.16</v>
      </c>
      <c r="G654" s="90">
        <v>-466.73</v>
      </c>
      <c r="H654" s="90">
        <v>-262.7</v>
      </c>
      <c r="I654" s="90">
        <v>-134.63999999999999</v>
      </c>
      <c r="J654" s="90">
        <v>-1706.65</v>
      </c>
      <c r="K654" s="90">
        <v>-46.82</v>
      </c>
      <c r="L654" s="90">
        <v>0</v>
      </c>
      <c r="M654" s="90">
        <v>-410.68</v>
      </c>
      <c r="N654" s="90">
        <v>-563.19000000000005</v>
      </c>
      <c r="O654" s="90">
        <v>-2884.34</v>
      </c>
      <c r="P654" s="90">
        <v>-1354.02</v>
      </c>
      <c r="Q654" s="90">
        <v>-76.39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">
      <c r="E655" t="s">
        <v>73</v>
      </c>
      <c r="F655" s="90">
        <v>32235.54</v>
      </c>
      <c r="G655" s="90">
        <v>2648.41</v>
      </c>
      <c r="H655" s="90">
        <v>1490.18</v>
      </c>
      <c r="I655" s="90">
        <v>761.92</v>
      </c>
      <c r="J655" s="90">
        <v>5936.43</v>
      </c>
      <c r="K655" s="90">
        <v>152.22</v>
      </c>
      <c r="L655" s="90">
        <v>0</v>
      </c>
      <c r="M655" s="90">
        <v>1335.24</v>
      </c>
      <c r="N655" s="90">
        <v>1960.56</v>
      </c>
      <c r="O655" s="90">
        <v>10040.34</v>
      </c>
      <c r="P655" s="90">
        <v>7661.89</v>
      </c>
      <c r="Q655" s="90">
        <v>248.35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">
      <c r="D656" t="s">
        <v>86</v>
      </c>
      <c r="E656" t="s">
        <v>70</v>
      </c>
      <c r="F656" s="90">
        <v>32235.54</v>
      </c>
      <c r="G656" s="90">
        <v>2648.41</v>
      </c>
      <c r="H656" s="90">
        <v>1490.18</v>
      </c>
      <c r="I656" s="90">
        <v>761.92</v>
      </c>
      <c r="J656" s="90">
        <v>5936.43</v>
      </c>
      <c r="K656" s="90">
        <v>152.22</v>
      </c>
      <c r="L656" s="90">
        <v>0</v>
      </c>
      <c r="M656" s="90">
        <v>1335.24</v>
      </c>
      <c r="N656" s="90">
        <v>1960.56</v>
      </c>
      <c r="O656" s="90">
        <v>10040.34</v>
      </c>
      <c r="P656" s="90">
        <v>7661.89</v>
      </c>
      <c r="Q656" s="90">
        <v>248.35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">
      <c r="C659" s="101" t="s">
        <v>119</v>
      </c>
      <c r="D659" s="101" t="s">
        <v>70</v>
      </c>
      <c r="F659" s="93">
        <v>24329.38</v>
      </c>
      <c r="G659" s="93">
        <v>2181.6799999999998</v>
      </c>
      <c r="H659" s="93">
        <v>1227.48</v>
      </c>
      <c r="I659" s="93">
        <v>627.28</v>
      </c>
      <c r="J659" s="93">
        <v>4229.78</v>
      </c>
      <c r="K659" s="93">
        <v>105.4</v>
      </c>
      <c r="L659" s="93">
        <v>0</v>
      </c>
      <c r="M659" s="93">
        <v>924.56</v>
      </c>
      <c r="N659" s="93">
        <v>1397.37</v>
      </c>
      <c r="O659" s="93">
        <v>7156</v>
      </c>
      <c r="P659" s="93">
        <v>6307.87</v>
      </c>
      <c r="Q659" s="93">
        <v>171.96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">
      <c r="B660" s="378" t="s">
        <v>122</v>
      </c>
      <c r="C660" s="378" t="s">
        <v>70</v>
      </c>
      <c r="E660" s="376"/>
      <c r="F660" s="710">
        <v>24329.38</v>
      </c>
      <c r="G660" s="377">
        <v>2181.6799999999998</v>
      </c>
      <c r="H660" s="377">
        <v>1227.48</v>
      </c>
      <c r="I660" s="377">
        <v>627.28</v>
      </c>
      <c r="J660" s="377">
        <v>4229.78</v>
      </c>
      <c r="K660" s="377">
        <v>105.4</v>
      </c>
      <c r="L660" s="377">
        <v>0</v>
      </c>
      <c r="M660" s="377">
        <v>924.56</v>
      </c>
      <c r="N660" s="377">
        <v>1397.37</v>
      </c>
      <c r="O660" s="377">
        <v>7156</v>
      </c>
      <c r="P660" s="377">
        <v>6307.87</v>
      </c>
      <c r="Q660" s="377">
        <v>171.96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">
      <c r="E661" s="89" t="s">
        <v>73</v>
      </c>
      <c r="F661" s="371">
        <v>-1113041546.26</v>
      </c>
      <c r="G661" s="90">
        <v>-34176388.439999998</v>
      </c>
      <c r="H661" s="90">
        <v>-19324425.780000001</v>
      </c>
      <c r="I661" s="90">
        <v>-10114900.890000001</v>
      </c>
      <c r="J661" s="90">
        <v>-275747180.08999997</v>
      </c>
      <c r="K661" s="90">
        <v>-10481720.58</v>
      </c>
      <c r="L661" s="90">
        <v>0</v>
      </c>
      <c r="M661" s="90">
        <v>-91967934.269999996</v>
      </c>
      <c r="N661" s="90">
        <v>-91302320.329999998</v>
      </c>
      <c r="O661" s="90">
        <v>-463542591.24000001</v>
      </c>
      <c r="P661" s="90">
        <v>-99282901.75</v>
      </c>
      <c r="Q661" s="90">
        <v>-17101182.890000001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">
      <c r="D662" t="s">
        <v>156</v>
      </c>
      <c r="E662" s="89" t="s">
        <v>70</v>
      </c>
      <c r="F662" s="371">
        <v>-1113041546.26</v>
      </c>
      <c r="G662" s="90">
        <v>-34176388.439999998</v>
      </c>
      <c r="H662" s="90">
        <v>-19324425.780000001</v>
      </c>
      <c r="I662" s="90">
        <v>-10114900.890000001</v>
      </c>
      <c r="J662" s="90">
        <v>-275747180.08999997</v>
      </c>
      <c r="K662" s="90">
        <v>-10481720.58</v>
      </c>
      <c r="L662" s="90">
        <v>0</v>
      </c>
      <c r="M662" s="90">
        <v>-91967934.269999996</v>
      </c>
      <c r="N662" s="90">
        <v>-91302320.329999998</v>
      </c>
      <c r="O662" s="90">
        <v>-463542591.24000001</v>
      </c>
      <c r="P662" s="90">
        <v>-99282901.75</v>
      </c>
      <c r="Q662" s="90">
        <v>-17101182.890000001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">
      <c r="A663" s="657"/>
      <c r="B663" s="657"/>
      <c r="C663" s="656" t="s">
        <v>155</v>
      </c>
      <c r="D663" s="656" t="s">
        <v>70</v>
      </c>
      <c r="F663" s="658">
        <v>-1113041546.26</v>
      </c>
      <c r="G663" s="658">
        <v>-34176388.439999998</v>
      </c>
      <c r="H663" s="658">
        <v>-19324425.780000001</v>
      </c>
      <c r="I663" s="658">
        <v>-10114900.890000001</v>
      </c>
      <c r="J663" s="658">
        <v>-275747180.08999997</v>
      </c>
      <c r="K663" s="658">
        <v>-10481720.58</v>
      </c>
      <c r="L663" s="658">
        <v>0</v>
      </c>
      <c r="M663" s="658">
        <v>-91967934.269999996</v>
      </c>
      <c r="N663" s="658">
        <v>-91302320.329999998</v>
      </c>
      <c r="O663" s="658">
        <v>-463542591.24000001</v>
      </c>
      <c r="P663" s="658">
        <v>-99282901.75</v>
      </c>
      <c r="Q663" s="658">
        <v>-17101182.890000001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">
      <c r="E664" s="89" t="s">
        <v>73</v>
      </c>
      <c r="F664" s="371">
        <v>-4970797.5599999996</v>
      </c>
      <c r="G664" s="90">
        <v>-269325.89</v>
      </c>
      <c r="H664" s="90">
        <v>-149624.97</v>
      </c>
      <c r="I664" s="90">
        <v>-78121.59</v>
      </c>
      <c r="J664" s="90">
        <v>-1076036.6299999999</v>
      </c>
      <c r="K664" s="90">
        <v>-39426.57</v>
      </c>
      <c r="L664" s="90">
        <v>0</v>
      </c>
      <c r="M664" s="90">
        <v>-348506.58</v>
      </c>
      <c r="N664" s="90">
        <v>-354157.74</v>
      </c>
      <c r="O664" s="90">
        <v>-1798678.49</v>
      </c>
      <c r="P664" s="90">
        <v>-792592.58</v>
      </c>
      <c r="Q664" s="90">
        <v>-64326.52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">
      <c r="D665" t="s">
        <v>156</v>
      </c>
      <c r="E665" s="89" t="s">
        <v>70</v>
      </c>
      <c r="F665" s="371">
        <v>-4970797.5599999996</v>
      </c>
      <c r="G665" s="90">
        <v>-269325.89</v>
      </c>
      <c r="H665" s="90">
        <v>-149624.97</v>
      </c>
      <c r="I665" s="90">
        <v>-78121.59</v>
      </c>
      <c r="J665" s="90">
        <v>-1076036.6299999999</v>
      </c>
      <c r="K665" s="90">
        <v>-39426.57</v>
      </c>
      <c r="L665" s="90">
        <v>0</v>
      </c>
      <c r="M665" s="90">
        <v>-348506.58</v>
      </c>
      <c r="N665" s="90">
        <v>-354157.74</v>
      </c>
      <c r="O665" s="90">
        <v>-1798678.49</v>
      </c>
      <c r="P665" s="90">
        <v>-792592.58</v>
      </c>
      <c r="Q665" s="90">
        <v>-64326.52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">
      <c r="C666" s="739" t="s">
        <v>326</v>
      </c>
      <c r="D666" s="739" t="s">
        <v>70</v>
      </c>
      <c r="E666" s="231"/>
      <c r="F666" s="740">
        <v>-4970797.5599999996</v>
      </c>
      <c r="G666" s="232">
        <v>-269325.89</v>
      </c>
      <c r="H666" s="232">
        <v>-149624.97</v>
      </c>
      <c r="I666" s="232">
        <v>-78121.59</v>
      </c>
      <c r="J666" s="232">
        <v>-1076036.6299999999</v>
      </c>
      <c r="K666" s="232">
        <v>-39426.57</v>
      </c>
      <c r="L666" s="232">
        <v>0</v>
      </c>
      <c r="M666" s="232">
        <v>-348506.58</v>
      </c>
      <c r="N666" s="232">
        <v>-354157.74</v>
      </c>
      <c r="O666" s="232">
        <v>-1798678.49</v>
      </c>
      <c r="P666" s="232">
        <v>-792592.58</v>
      </c>
      <c r="Q666" s="232">
        <v>-64326.52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">
      <c r="E667" s="89" t="s">
        <v>73</v>
      </c>
      <c r="F667" s="371">
        <v>-187855.98</v>
      </c>
      <c r="G667" s="90">
        <v>203417.85</v>
      </c>
      <c r="H667" s="90">
        <v>118300.72</v>
      </c>
      <c r="I667" s="90">
        <v>61829.01</v>
      </c>
      <c r="J667" s="90">
        <v>-228807.34</v>
      </c>
      <c r="K667" s="90">
        <v>-10295.56</v>
      </c>
      <c r="L667" s="90">
        <v>0</v>
      </c>
      <c r="M667" s="90">
        <v>-90305.3</v>
      </c>
      <c r="N667" s="90">
        <v>-128220.63</v>
      </c>
      <c r="O667" s="90">
        <v>-702462.52</v>
      </c>
      <c r="P667" s="90">
        <v>605486.11</v>
      </c>
      <c r="Q667" s="90">
        <v>-16798.32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">
      <c r="D668" s="89" t="s">
        <v>82</v>
      </c>
      <c r="E668" s="89" t="s">
        <v>70</v>
      </c>
      <c r="F668" s="90">
        <v>-187855.98</v>
      </c>
      <c r="G668" s="90">
        <v>203417.85</v>
      </c>
      <c r="H668" s="90">
        <v>118300.72</v>
      </c>
      <c r="I668" s="90">
        <v>61829.01</v>
      </c>
      <c r="J668" s="90">
        <v>-228807.34</v>
      </c>
      <c r="K668" s="90">
        <v>-10295.56</v>
      </c>
      <c r="L668" s="90">
        <v>0</v>
      </c>
      <c r="M668" s="90">
        <v>-90305.3</v>
      </c>
      <c r="N668" s="90">
        <v>-128220.63</v>
      </c>
      <c r="O668" s="90">
        <v>-702462.52</v>
      </c>
      <c r="P668" s="90">
        <v>605486.11</v>
      </c>
      <c r="Q668" s="90">
        <v>-16798.32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">
      <c r="E669" s="89" t="s">
        <v>73</v>
      </c>
      <c r="F669" s="90">
        <v>2459860.0299999998</v>
      </c>
      <c r="G669" s="90">
        <v>709867.57</v>
      </c>
      <c r="H669" s="90">
        <v>402138.38</v>
      </c>
      <c r="I669" s="90">
        <v>215517.65</v>
      </c>
      <c r="J669" s="90">
        <v>-244697.65</v>
      </c>
      <c r="K669" s="90">
        <v>-17630.91</v>
      </c>
      <c r="L669" s="90">
        <v>0</v>
      </c>
      <c r="M669" s="90">
        <v>-152005.54</v>
      </c>
      <c r="N669" s="90">
        <v>-109036.85</v>
      </c>
      <c r="O669" s="90">
        <v>-437383.69</v>
      </c>
      <c r="P669" s="90">
        <v>2121895.4</v>
      </c>
      <c r="Q669" s="90">
        <v>-28804.33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">
      <c r="D670" s="89" t="s">
        <v>86</v>
      </c>
      <c r="E670" s="89" t="s">
        <v>70</v>
      </c>
      <c r="F670" s="90">
        <v>2459860.0299999998</v>
      </c>
      <c r="G670" s="90">
        <v>709867.57</v>
      </c>
      <c r="H670" s="90">
        <v>402138.38</v>
      </c>
      <c r="I670" s="90">
        <v>215517.65</v>
      </c>
      <c r="J670" s="90">
        <v>-244697.65</v>
      </c>
      <c r="K670" s="90">
        <v>-17630.91</v>
      </c>
      <c r="L670" s="90">
        <v>0</v>
      </c>
      <c r="M670" s="90">
        <v>-152005.54</v>
      </c>
      <c r="N670" s="90">
        <v>-109036.85</v>
      </c>
      <c r="O670" s="90">
        <v>-437383.69</v>
      </c>
      <c r="P670" s="90">
        <v>2121895.4</v>
      </c>
      <c r="Q670" s="90">
        <v>-28804.33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">
      <c r="E671" s="89" t="s">
        <v>73</v>
      </c>
      <c r="F671" s="90">
        <v>79419817.370000005</v>
      </c>
      <c r="G671" s="90">
        <v>15404559.300000001</v>
      </c>
      <c r="H671" s="90">
        <v>8757302.6400000006</v>
      </c>
      <c r="I671" s="90">
        <v>4758799.7300000004</v>
      </c>
      <c r="J671" s="90">
        <v>1342820.06</v>
      </c>
      <c r="K671" s="90">
        <v>41036.71</v>
      </c>
      <c r="L671" s="90">
        <v>0</v>
      </c>
      <c r="M671" s="90">
        <v>357948.17</v>
      </c>
      <c r="N671" s="90">
        <v>413932.09</v>
      </c>
      <c r="O671" s="90">
        <v>2225480.44</v>
      </c>
      <c r="P671" s="90">
        <v>46050982.399999999</v>
      </c>
      <c r="Q671" s="90">
        <v>66955.83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">
      <c r="D672" s="89" t="s">
        <v>87</v>
      </c>
      <c r="E672" s="89" t="s">
        <v>70</v>
      </c>
      <c r="F672" s="90">
        <v>79419817.370000005</v>
      </c>
      <c r="G672" s="90">
        <v>15404559.300000001</v>
      </c>
      <c r="H672" s="90">
        <v>8757302.6400000006</v>
      </c>
      <c r="I672" s="90">
        <v>4758799.7300000004</v>
      </c>
      <c r="J672" s="90">
        <v>1342820.06</v>
      </c>
      <c r="K672" s="90">
        <v>41036.71</v>
      </c>
      <c r="L672" s="90">
        <v>0</v>
      </c>
      <c r="M672" s="90">
        <v>357948.17</v>
      </c>
      <c r="N672" s="90">
        <v>413932.09</v>
      </c>
      <c r="O672" s="90">
        <v>2225480.44</v>
      </c>
      <c r="P672" s="90">
        <v>46050982.399999999</v>
      </c>
      <c r="Q672" s="90">
        <v>66955.83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">
      <c r="C673" s="94" t="s">
        <v>119</v>
      </c>
      <c r="D673" s="94" t="s">
        <v>70</v>
      </c>
      <c r="E673" s="101"/>
      <c r="F673" s="93">
        <v>81691821.420000002</v>
      </c>
      <c r="G673" s="93">
        <v>16317844.720000001</v>
      </c>
      <c r="H673" s="93">
        <v>9277741.7400000002</v>
      </c>
      <c r="I673" s="93">
        <v>5036146.3899999997</v>
      </c>
      <c r="J673" s="93">
        <v>869315.07</v>
      </c>
      <c r="K673" s="93">
        <v>13110.24</v>
      </c>
      <c r="L673" s="93">
        <v>0</v>
      </c>
      <c r="M673" s="93">
        <v>115637.33</v>
      </c>
      <c r="N673" s="93">
        <v>176674.61</v>
      </c>
      <c r="O673" s="93">
        <v>1085634.23</v>
      </c>
      <c r="P673" s="93">
        <v>48778363.909999996</v>
      </c>
      <c r="Q673" s="93">
        <v>21353.18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">
      <c r="B674" s="98" t="s">
        <v>112</v>
      </c>
      <c r="C674" s="98" t="s">
        <v>70</v>
      </c>
      <c r="F674" s="100">
        <v>-1036320522.4</v>
      </c>
      <c r="G674" s="100">
        <v>-18127869.609999999</v>
      </c>
      <c r="H674" s="100">
        <v>-10196309.01</v>
      </c>
      <c r="I674" s="100">
        <v>-5156876.09</v>
      </c>
      <c r="J674" s="100">
        <v>-275953901.64999998</v>
      </c>
      <c r="K674" s="100">
        <v>-10508036.91</v>
      </c>
      <c r="L674" s="100">
        <v>0</v>
      </c>
      <c r="M674" s="100">
        <v>-92200803.519999996</v>
      </c>
      <c r="N674" s="100">
        <v>-91479803.459999993</v>
      </c>
      <c r="O674" s="100">
        <v>-464255635.5</v>
      </c>
      <c r="P674" s="100">
        <v>-51297130.420000002</v>
      </c>
      <c r="Q674" s="100">
        <v>-17144156.23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">
      <c r="A675" s="89" t="s">
        <v>79</v>
      </c>
      <c r="B675" s="89" t="s">
        <v>70</v>
      </c>
      <c r="F675" s="90">
        <v>-1036296193.02</v>
      </c>
      <c r="G675" s="90">
        <v>-18125687.93</v>
      </c>
      <c r="H675" s="90">
        <v>-10195081.529999999</v>
      </c>
      <c r="I675" s="90">
        <v>-5156248.8099999996</v>
      </c>
      <c r="J675" s="90">
        <v>-275949671.87</v>
      </c>
      <c r="K675" s="90">
        <v>-10507931.51</v>
      </c>
      <c r="L675" s="90">
        <v>0</v>
      </c>
      <c r="M675" s="90">
        <v>-92199878.959999993</v>
      </c>
      <c r="N675" s="90">
        <v>-91478406.090000004</v>
      </c>
      <c r="O675" s="90">
        <v>-464248479.5</v>
      </c>
      <c r="P675" s="90">
        <v>-51290822.549999997</v>
      </c>
      <c r="Q675" s="90">
        <v>-17143984.27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">
      <c r="A676" s="89" t="s">
        <v>70</v>
      </c>
      <c r="F676" s="90">
        <v>12048355264.040001</v>
      </c>
      <c r="G676" s="90">
        <v>710718610.08000004</v>
      </c>
      <c r="H676" s="90">
        <v>400662250.82999998</v>
      </c>
      <c r="I676" s="90">
        <v>210315646.84</v>
      </c>
      <c r="J676" s="90">
        <v>2488793784.0900002</v>
      </c>
      <c r="K676" s="90">
        <v>95130396.329999998</v>
      </c>
      <c r="L676" s="90">
        <v>14901729.33</v>
      </c>
      <c r="M676" s="90">
        <v>833979002.22000003</v>
      </c>
      <c r="N676" s="90">
        <v>817447070.27999997</v>
      </c>
      <c r="O676" s="90">
        <v>4207371784.8899999</v>
      </c>
      <c r="P676" s="90">
        <v>2113904425.29</v>
      </c>
      <c r="Q676" s="90">
        <v>155278328.47999999</v>
      </c>
      <c r="R676" s="90">
        <v>-147731.64000000001</v>
      </c>
      <c r="S676" s="90">
        <v>-0.19</v>
      </c>
      <c r="T676">
        <v>7.58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-40.369999999999997</v>
      </c>
    </row>
    <row r="677" spans="1:41" ht="12.75" customHeight="1" x14ac:dyDescent="0.2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">
      <c r="C680" s="778" t="s">
        <v>2</v>
      </c>
      <c r="D680" s="775" t="s">
        <v>132</v>
      </c>
      <c r="E680" s="98" t="s">
        <v>70</v>
      </c>
      <c r="F680" s="100">
        <f>F674+F648+F613-L613-L648</f>
        <v>12033011685.710001</v>
      </c>
      <c r="G680" s="100">
        <f t="shared" ref="G680:AO680" si="32">G648+G613</f>
        <v>728817640.58000004</v>
      </c>
      <c r="H680" s="100">
        <f t="shared" si="32"/>
        <v>410843194.33999997</v>
      </c>
      <c r="I680" s="100">
        <f t="shared" si="32"/>
        <v>215464172.38</v>
      </c>
      <c r="J680" s="100">
        <f t="shared" si="32"/>
        <v>2764649544.23</v>
      </c>
      <c r="K680" s="100">
        <f t="shared" si="32"/>
        <v>105636037.55</v>
      </c>
      <c r="L680" s="100">
        <f t="shared" si="32"/>
        <v>14901729.33</v>
      </c>
      <c r="M680" s="100">
        <f t="shared" si="32"/>
        <v>926158791.84000003</v>
      </c>
      <c r="N680" s="100">
        <f t="shared" si="32"/>
        <v>908897384.00999999</v>
      </c>
      <c r="O680" s="100">
        <f t="shared" si="32"/>
        <v>4671478931.3900003</v>
      </c>
      <c r="P680" s="100">
        <f t="shared" si="32"/>
        <v>2165115703.0500002</v>
      </c>
      <c r="Q680" s="100">
        <f t="shared" si="32"/>
        <v>172418576.05000001</v>
      </c>
      <c r="R680" s="100">
        <f t="shared" si="32"/>
        <v>-147734.32999999999</v>
      </c>
      <c r="S680" s="100">
        <f t="shared" si="32"/>
        <v>-0.19</v>
      </c>
      <c r="T680" s="100">
        <f t="shared" si="32"/>
        <v>7.58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-40.369999999999997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">
      <c r="C681" s="778"/>
      <c r="D681" s="775"/>
      <c r="E681" s="98" t="s">
        <v>73</v>
      </c>
      <c r="F681" s="100">
        <f>F674</f>
        <v>-1036320522.4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">
      <c r="C682" s="778"/>
      <c r="D682" s="775" t="s">
        <v>133</v>
      </c>
      <c r="E682" s="233" t="s">
        <v>70</v>
      </c>
      <c r="F682" s="234">
        <f>F660+F629-L629</f>
        <v>441849</v>
      </c>
      <c r="G682" s="234">
        <f>G629</f>
        <v>26657.43</v>
      </c>
      <c r="H682" s="234">
        <f t="shared" ref="H682:AO682" si="33">H629</f>
        <v>14138.02</v>
      </c>
      <c r="I682" s="234">
        <f t="shared" si="33"/>
        <v>7723.27</v>
      </c>
      <c r="J682" s="234">
        <f t="shared" si="33"/>
        <v>93911.73</v>
      </c>
      <c r="K682" s="234">
        <f t="shared" si="33"/>
        <v>2290.29</v>
      </c>
      <c r="L682" s="234">
        <f t="shared" si="33"/>
        <v>0</v>
      </c>
      <c r="M682" s="234">
        <f t="shared" si="33"/>
        <v>20089.34</v>
      </c>
      <c r="N682" s="234">
        <f t="shared" si="33"/>
        <v>28092.36</v>
      </c>
      <c r="O682" s="234">
        <f t="shared" si="33"/>
        <v>141333</v>
      </c>
      <c r="P682" s="234">
        <f t="shared" si="33"/>
        <v>79544.789999999994</v>
      </c>
      <c r="Q682" s="234">
        <f t="shared" si="33"/>
        <v>3736.7</v>
      </c>
      <c r="R682" s="234">
        <f t="shared" si="33"/>
        <v>2.69</v>
      </c>
      <c r="S682" s="234">
        <f t="shared" si="33"/>
        <v>0</v>
      </c>
      <c r="T682" s="234">
        <f t="shared" si="33"/>
        <v>0</v>
      </c>
      <c r="U682" s="234">
        <f t="shared" si="33"/>
        <v>0</v>
      </c>
      <c r="V682" s="234">
        <f t="shared" si="33"/>
        <v>0</v>
      </c>
      <c r="W682" s="234">
        <f t="shared" si="33"/>
        <v>0</v>
      </c>
      <c r="X682" s="234">
        <f t="shared" si="33"/>
        <v>0</v>
      </c>
      <c r="Y682" s="234">
        <f t="shared" si="33"/>
        <v>0</v>
      </c>
      <c r="Z682" s="234">
        <f t="shared" si="33"/>
        <v>0</v>
      </c>
      <c r="AA682" s="234">
        <f t="shared" si="33"/>
        <v>0</v>
      </c>
      <c r="AB682" s="234">
        <f t="shared" si="33"/>
        <v>0</v>
      </c>
      <c r="AC682" s="234">
        <f t="shared" si="33"/>
        <v>0</v>
      </c>
      <c r="AD682" s="234">
        <f t="shared" si="33"/>
        <v>0</v>
      </c>
      <c r="AE682" s="234">
        <f t="shared" si="33"/>
        <v>0</v>
      </c>
      <c r="AF682" s="234">
        <f t="shared" si="33"/>
        <v>0</v>
      </c>
      <c r="AG682" s="234">
        <f t="shared" si="33"/>
        <v>0</v>
      </c>
      <c r="AH682" s="234">
        <f t="shared" si="33"/>
        <v>0</v>
      </c>
      <c r="AI682" s="234">
        <f t="shared" si="33"/>
        <v>0</v>
      </c>
      <c r="AJ682" s="234">
        <f t="shared" si="33"/>
        <v>0</v>
      </c>
      <c r="AK682" s="234">
        <f t="shared" si="33"/>
        <v>0</v>
      </c>
      <c r="AL682" s="234">
        <f t="shared" si="33"/>
        <v>0</v>
      </c>
      <c r="AM682" s="234">
        <f t="shared" si="33"/>
        <v>0</v>
      </c>
      <c r="AN682" s="234">
        <f t="shared" si="33"/>
        <v>0</v>
      </c>
      <c r="AO682" s="234">
        <f t="shared" si="33"/>
        <v>0</v>
      </c>
    </row>
    <row r="683" spans="1:41" ht="12.75" customHeight="1" x14ac:dyDescent="0.2">
      <c r="C683" s="778"/>
      <c r="D683" s="775"/>
      <c r="E683" s="233" t="s">
        <v>73</v>
      </c>
      <c r="F683" s="234">
        <f>F660</f>
        <v>24329.38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">
      <c r="C685" s="778" t="s">
        <v>160</v>
      </c>
      <c r="D685" s="775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">
      <c r="C686" s="778"/>
      <c r="D686" s="775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">
      <c r="C687" s="778"/>
      <c r="D687" s="775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">
      <c r="C688" s="778"/>
      <c r="D688" s="775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">
      <c r="C690" s="778" t="s">
        <v>155</v>
      </c>
      <c r="D690" s="775" t="s">
        <v>132</v>
      </c>
      <c r="E690" s="221" t="s">
        <v>70</v>
      </c>
      <c r="F690" s="222">
        <f>F663+F633-L633</f>
        <v>11701157844.9</v>
      </c>
      <c r="G690" s="222">
        <f>G633</f>
        <v>696844795.02999997</v>
      </c>
      <c r="H690" s="222">
        <f t="shared" ref="H690:AO690" si="34">H633</f>
        <v>392989640.31</v>
      </c>
      <c r="I690" s="222">
        <f t="shared" si="34"/>
        <v>206069582.44999999</v>
      </c>
      <c r="J690" s="222">
        <f t="shared" si="34"/>
        <v>2740722350.5100002</v>
      </c>
      <c r="K690" s="222">
        <f t="shared" si="34"/>
        <v>104578894.56</v>
      </c>
      <c r="L690" s="222">
        <f t="shared" si="34"/>
        <v>8997077.0999999996</v>
      </c>
      <c r="M690" s="222">
        <f t="shared" si="34"/>
        <v>916904609.30999994</v>
      </c>
      <c r="N690" s="222">
        <f t="shared" si="34"/>
        <v>898289087.46000004</v>
      </c>
      <c r="O690" s="222">
        <f t="shared" si="34"/>
        <v>4616985820.4700003</v>
      </c>
      <c r="P690" s="222">
        <f t="shared" si="34"/>
        <v>2070281460.76</v>
      </c>
      <c r="Q690" s="222">
        <f t="shared" si="34"/>
        <v>170680332.09999999</v>
      </c>
      <c r="R690" s="222">
        <f t="shared" si="34"/>
        <v>-147148.47</v>
      </c>
      <c r="S690" s="222">
        <f t="shared" si="34"/>
        <v>0</v>
      </c>
      <c r="T690" s="222">
        <f t="shared" si="34"/>
        <v>7.04</v>
      </c>
      <c r="U690" s="222">
        <f t="shared" si="34"/>
        <v>0</v>
      </c>
      <c r="V690" s="222">
        <f t="shared" si="34"/>
        <v>0</v>
      </c>
      <c r="W690" s="222">
        <f t="shared" si="34"/>
        <v>0</v>
      </c>
      <c r="X690" s="222">
        <f t="shared" si="34"/>
        <v>0</v>
      </c>
      <c r="Y690" s="222">
        <f t="shared" si="34"/>
        <v>0</v>
      </c>
      <c r="Z690" s="222">
        <f t="shared" si="34"/>
        <v>-40.369999999999997</v>
      </c>
      <c r="AA690" s="222">
        <f t="shared" si="34"/>
        <v>0</v>
      </c>
      <c r="AB690" s="222">
        <f t="shared" si="34"/>
        <v>0</v>
      </c>
      <c r="AC690" s="222">
        <f t="shared" si="34"/>
        <v>0</v>
      </c>
      <c r="AD690" s="222">
        <f t="shared" si="34"/>
        <v>0</v>
      </c>
      <c r="AE690" s="222">
        <f t="shared" si="34"/>
        <v>0</v>
      </c>
      <c r="AF690" s="222">
        <f t="shared" si="34"/>
        <v>0</v>
      </c>
      <c r="AG690" s="222">
        <f t="shared" si="34"/>
        <v>0</v>
      </c>
      <c r="AH690" s="222">
        <f t="shared" si="34"/>
        <v>0</v>
      </c>
      <c r="AI690" s="222">
        <f t="shared" si="34"/>
        <v>0</v>
      </c>
      <c r="AJ690" s="222">
        <f t="shared" si="34"/>
        <v>0</v>
      </c>
      <c r="AK690" s="222">
        <f t="shared" si="34"/>
        <v>0</v>
      </c>
      <c r="AL690" s="222">
        <f t="shared" si="34"/>
        <v>0</v>
      </c>
      <c r="AM690" s="222">
        <f t="shared" si="34"/>
        <v>0</v>
      </c>
      <c r="AN690" s="222">
        <f t="shared" si="34"/>
        <v>0</v>
      </c>
      <c r="AO690" s="222">
        <f t="shared" si="34"/>
        <v>0</v>
      </c>
    </row>
    <row r="691" spans="1:41" ht="12.75" customHeight="1" x14ac:dyDescent="0.2">
      <c r="C691" s="778"/>
      <c r="D691" s="775"/>
      <c r="E691" s="221" t="s">
        <v>73</v>
      </c>
      <c r="F691" s="222">
        <f>F663</f>
        <v>-1113041546.26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">
      <c r="C692" s="778"/>
      <c r="D692" s="775" t="s">
        <v>133</v>
      </c>
      <c r="E692" s="242" t="s">
        <v>70</v>
      </c>
      <c r="F692" s="243">
        <f>F652+F618-L618</f>
        <v>0</v>
      </c>
      <c r="G692" s="243">
        <f>G618</f>
        <v>0</v>
      </c>
      <c r="H692" s="243">
        <v>0</v>
      </c>
      <c r="I692" s="243">
        <v>0</v>
      </c>
      <c r="J692" s="243">
        <v>0</v>
      </c>
      <c r="K692" s="243">
        <v>0</v>
      </c>
      <c r="L692" s="243">
        <v>0</v>
      </c>
      <c r="M692" s="243">
        <v>0</v>
      </c>
      <c r="N692" s="243">
        <v>0</v>
      </c>
      <c r="O692" s="243">
        <v>0</v>
      </c>
      <c r="P692" s="243">
        <v>0</v>
      </c>
      <c r="Q692" s="243">
        <v>0</v>
      </c>
      <c r="R692" s="243">
        <v>0</v>
      </c>
      <c r="S692" s="243">
        <v>0</v>
      </c>
      <c r="T692" s="243">
        <v>0</v>
      </c>
      <c r="U692" s="243">
        <v>0</v>
      </c>
      <c r="V692" s="243">
        <v>0</v>
      </c>
      <c r="W692" s="243">
        <v>0</v>
      </c>
      <c r="X692" s="243">
        <v>0</v>
      </c>
      <c r="Y692" s="243">
        <v>0</v>
      </c>
      <c r="Z692" s="243">
        <v>0</v>
      </c>
      <c r="AA692" s="243">
        <v>0</v>
      </c>
      <c r="AB692" s="243">
        <v>0</v>
      </c>
      <c r="AC692" s="243">
        <v>0</v>
      </c>
      <c r="AD692" s="243">
        <v>0</v>
      </c>
      <c r="AE692" s="243">
        <v>0</v>
      </c>
      <c r="AF692" s="243">
        <v>0</v>
      </c>
      <c r="AG692" s="243">
        <v>0</v>
      </c>
      <c r="AH692" s="243">
        <v>0</v>
      </c>
      <c r="AI692" s="243">
        <v>0</v>
      </c>
      <c r="AJ692" s="243">
        <v>0</v>
      </c>
      <c r="AK692" s="243">
        <v>0</v>
      </c>
      <c r="AL692" s="243">
        <v>0</v>
      </c>
      <c r="AM692" s="243">
        <v>0</v>
      </c>
      <c r="AN692" s="243">
        <v>0</v>
      </c>
      <c r="AO692" s="243">
        <v>0</v>
      </c>
    </row>
    <row r="693" spans="1:41" ht="12.75" customHeight="1" x14ac:dyDescent="0.2">
      <c r="C693" s="778"/>
      <c r="D693" s="775"/>
      <c r="E693" s="242" t="s">
        <v>73</v>
      </c>
      <c r="F693" s="243">
        <f>F652</f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">
      <c r="C695" s="776" t="s">
        <v>326</v>
      </c>
      <c r="D695" s="775" t="s">
        <v>132</v>
      </c>
      <c r="E695" s="373" t="s">
        <v>70</v>
      </c>
      <c r="F695" s="374">
        <f>F666+F637-L637</f>
        <v>26864220</v>
      </c>
      <c r="G695" s="374">
        <f>G637</f>
        <v>1901488.25</v>
      </c>
      <c r="H695" s="374">
        <f t="shared" ref="H695:AO695" si="35">H637</f>
        <v>1046824.27</v>
      </c>
      <c r="I695" s="374">
        <f t="shared" si="35"/>
        <v>567773.57999999996</v>
      </c>
      <c r="J695" s="374">
        <f t="shared" si="35"/>
        <v>6845302.7000000002</v>
      </c>
      <c r="K695" s="374">
        <f t="shared" si="35"/>
        <v>247794.92</v>
      </c>
      <c r="L695" s="374">
        <f>L637</f>
        <v>0</v>
      </c>
      <c r="M695" s="374">
        <f t="shared" si="35"/>
        <v>2162004.0299999998</v>
      </c>
      <c r="N695" s="374">
        <f t="shared" si="35"/>
        <v>2129267.87</v>
      </c>
      <c r="O695" s="374">
        <f t="shared" si="35"/>
        <v>11087908.49</v>
      </c>
      <c r="P695" s="374">
        <f t="shared" si="35"/>
        <v>5438800.2300000004</v>
      </c>
      <c r="Q695" s="374">
        <f t="shared" si="35"/>
        <v>407765.67</v>
      </c>
      <c r="R695" s="374">
        <f t="shared" si="35"/>
        <v>87.55</v>
      </c>
      <c r="S695" s="374">
        <f t="shared" si="35"/>
        <v>0</v>
      </c>
      <c r="T695" s="374">
        <f t="shared" si="35"/>
        <v>0</v>
      </c>
      <c r="U695" s="374">
        <f t="shared" si="35"/>
        <v>0</v>
      </c>
      <c r="V695" s="374">
        <f t="shared" si="35"/>
        <v>0</v>
      </c>
      <c r="W695" s="374">
        <f t="shared" si="35"/>
        <v>0</v>
      </c>
      <c r="X695" s="374">
        <f t="shared" si="35"/>
        <v>0</v>
      </c>
      <c r="Y695" s="374">
        <f t="shared" si="35"/>
        <v>0</v>
      </c>
      <c r="Z695" s="374">
        <f t="shared" si="35"/>
        <v>0</v>
      </c>
      <c r="AA695" s="374">
        <f t="shared" si="35"/>
        <v>0</v>
      </c>
      <c r="AB695" s="374">
        <f t="shared" si="35"/>
        <v>0</v>
      </c>
      <c r="AC695" s="374">
        <f t="shared" si="35"/>
        <v>0</v>
      </c>
      <c r="AD695" s="374">
        <f t="shared" si="35"/>
        <v>0</v>
      </c>
      <c r="AE695" s="374">
        <f t="shared" si="35"/>
        <v>0</v>
      </c>
      <c r="AF695" s="374">
        <f t="shared" si="35"/>
        <v>0</v>
      </c>
      <c r="AG695" s="374">
        <f t="shared" si="35"/>
        <v>0</v>
      </c>
      <c r="AH695" s="374">
        <f t="shared" si="35"/>
        <v>0</v>
      </c>
      <c r="AI695" s="374">
        <f t="shared" si="35"/>
        <v>0</v>
      </c>
      <c r="AJ695" s="374">
        <f t="shared" si="35"/>
        <v>0</v>
      </c>
      <c r="AK695" s="374">
        <f t="shared" si="35"/>
        <v>0</v>
      </c>
      <c r="AL695" s="374">
        <f t="shared" si="35"/>
        <v>0</v>
      </c>
      <c r="AM695" s="374">
        <f t="shared" si="35"/>
        <v>0</v>
      </c>
      <c r="AN695" s="374">
        <f t="shared" si="35"/>
        <v>0</v>
      </c>
      <c r="AO695" s="374">
        <f t="shared" si="35"/>
        <v>0</v>
      </c>
    </row>
    <row r="696" spans="1:41" ht="12.75" customHeight="1" x14ac:dyDescent="0.2">
      <c r="C696" s="776"/>
      <c r="D696" s="775"/>
      <c r="E696" s="373" t="s">
        <v>73</v>
      </c>
      <c r="F696" s="374">
        <f>F666</f>
        <v>-4970797.5599999996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">
      <c r="C697" s="776"/>
      <c r="D697" s="775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">
      <c r="C698" s="776"/>
      <c r="D698" s="775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">
      <c r="C700" s="778" t="s">
        <v>119</v>
      </c>
      <c r="D700" s="775" t="s">
        <v>132</v>
      </c>
      <c r="E700" s="101" t="s">
        <v>70</v>
      </c>
      <c r="F700" s="93">
        <f>F647+F673+F612-L612-L647</f>
        <v>304989620.81</v>
      </c>
      <c r="G700" s="93">
        <f t="shared" ref="G700:AO700" si="36">G647+G612</f>
        <v>30071357.300000001</v>
      </c>
      <c r="H700" s="93">
        <f t="shared" si="36"/>
        <v>16806729.760000002</v>
      </c>
      <c r="I700" s="93">
        <f t="shared" si="36"/>
        <v>8826816.3499999996</v>
      </c>
      <c r="J700" s="93">
        <f t="shared" si="36"/>
        <v>17081891.02</v>
      </c>
      <c r="K700" s="93">
        <f t="shared" si="36"/>
        <v>809348.07</v>
      </c>
      <c r="L700" s="93">
        <f t="shared" si="36"/>
        <v>5904652.2300000004</v>
      </c>
      <c r="M700" s="93">
        <f t="shared" si="36"/>
        <v>7092178.5</v>
      </c>
      <c r="N700" s="93">
        <f t="shared" si="36"/>
        <v>8479028.6799999997</v>
      </c>
      <c r="O700" s="93">
        <f t="shared" si="36"/>
        <v>43405202.43</v>
      </c>
      <c r="P700" s="93">
        <f t="shared" si="36"/>
        <v>89395442.060000002</v>
      </c>
      <c r="Q700" s="93">
        <f t="shared" si="36"/>
        <v>1330478.28</v>
      </c>
      <c r="R700" s="93">
        <f t="shared" si="36"/>
        <v>-673.41</v>
      </c>
      <c r="S700" s="93">
        <f t="shared" si="36"/>
        <v>-0.19</v>
      </c>
      <c r="T700" s="93">
        <f t="shared" si="36"/>
        <v>0.54</v>
      </c>
      <c r="U700" s="93">
        <f t="shared" si="36"/>
        <v>0</v>
      </c>
      <c r="V700" s="93">
        <f t="shared" si="36"/>
        <v>0</v>
      </c>
      <c r="W700" s="93">
        <f t="shared" si="36"/>
        <v>0</v>
      </c>
      <c r="X700" s="93">
        <f t="shared" si="36"/>
        <v>0</v>
      </c>
      <c r="Y700" s="93">
        <f t="shared" si="36"/>
        <v>0</v>
      </c>
      <c r="Z700" s="93">
        <f t="shared" si="36"/>
        <v>0</v>
      </c>
      <c r="AA700" s="93">
        <f t="shared" si="36"/>
        <v>0</v>
      </c>
      <c r="AB700" s="93">
        <f t="shared" si="36"/>
        <v>0</v>
      </c>
      <c r="AC700" s="93">
        <f t="shared" si="36"/>
        <v>0</v>
      </c>
      <c r="AD700" s="93">
        <f t="shared" si="36"/>
        <v>0</v>
      </c>
      <c r="AE700" s="93">
        <f t="shared" si="36"/>
        <v>0</v>
      </c>
      <c r="AF700" s="93">
        <f t="shared" si="36"/>
        <v>0</v>
      </c>
      <c r="AG700" s="93">
        <f t="shared" si="36"/>
        <v>0</v>
      </c>
      <c r="AH700" s="93">
        <f t="shared" si="36"/>
        <v>0</v>
      </c>
      <c r="AI700" s="93">
        <f t="shared" si="36"/>
        <v>0</v>
      </c>
      <c r="AJ700" s="93">
        <f t="shared" si="36"/>
        <v>0</v>
      </c>
      <c r="AK700" s="93">
        <f t="shared" si="36"/>
        <v>0</v>
      </c>
      <c r="AL700" s="93">
        <f t="shared" si="36"/>
        <v>0</v>
      </c>
      <c r="AM700" s="93">
        <f t="shared" si="36"/>
        <v>0</v>
      </c>
      <c r="AN700" s="93">
        <f t="shared" si="36"/>
        <v>0</v>
      </c>
      <c r="AO700" s="93">
        <f t="shared" si="36"/>
        <v>0</v>
      </c>
    </row>
    <row r="701" spans="1:41" ht="12.75" customHeight="1" x14ac:dyDescent="0.2">
      <c r="C701" s="778"/>
      <c r="D701" s="775"/>
      <c r="E701" s="101" t="s">
        <v>73</v>
      </c>
      <c r="F701" s="93">
        <f>F673</f>
        <v>81691821.420000002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">
      <c r="C702" s="778"/>
      <c r="D702" s="775" t="s">
        <v>133</v>
      </c>
      <c r="E702" s="235" t="s">
        <v>70</v>
      </c>
      <c r="F702" s="236">
        <f>F659+F628-L628</f>
        <v>441849</v>
      </c>
      <c r="G702" s="236">
        <f>G628</f>
        <v>26657.43</v>
      </c>
      <c r="H702" s="236">
        <f t="shared" ref="H702:AO702" si="37">H628</f>
        <v>14138.02</v>
      </c>
      <c r="I702" s="236">
        <f t="shared" si="37"/>
        <v>7723.27</v>
      </c>
      <c r="J702" s="236">
        <f t="shared" si="37"/>
        <v>93911.73</v>
      </c>
      <c r="K702" s="236">
        <f t="shared" si="37"/>
        <v>2290.29</v>
      </c>
      <c r="L702" s="236">
        <f t="shared" si="37"/>
        <v>0</v>
      </c>
      <c r="M702" s="236">
        <f t="shared" si="37"/>
        <v>20089.34</v>
      </c>
      <c r="N702" s="236">
        <f t="shared" si="37"/>
        <v>28092.36</v>
      </c>
      <c r="O702" s="236">
        <f t="shared" si="37"/>
        <v>141333</v>
      </c>
      <c r="P702" s="236">
        <f t="shared" si="37"/>
        <v>79544.789999999994</v>
      </c>
      <c r="Q702" s="236">
        <f t="shared" si="37"/>
        <v>3736.7</v>
      </c>
      <c r="R702" s="236">
        <f t="shared" si="37"/>
        <v>2.69</v>
      </c>
      <c r="S702" s="236">
        <f t="shared" si="37"/>
        <v>0</v>
      </c>
      <c r="T702" s="236">
        <f t="shared" si="37"/>
        <v>0</v>
      </c>
      <c r="U702" s="236">
        <f t="shared" si="37"/>
        <v>0</v>
      </c>
      <c r="V702" s="236">
        <f t="shared" si="37"/>
        <v>0</v>
      </c>
      <c r="W702" s="236">
        <f t="shared" si="37"/>
        <v>0</v>
      </c>
      <c r="X702" s="236">
        <f t="shared" si="37"/>
        <v>0</v>
      </c>
      <c r="Y702" s="236">
        <f t="shared" si="37"/>
        <v>0</v>
      </c>
      <c r="Z702" s="236">
        <f t="shared" si="37"/>
        <v>0</v>
      </c>
      <c r="AA702" s="236">
        <f t="shared" si="37"/>
        <v>0</v>
      </c>
      <c r="AB702" s="236">
        <f t="shared" si="37"/>
        <v>0</v>
      </c>
      <c r="AC702" s="236">
        <f t="shared" si="37"/>
        <v>0</v>
      </c>
      <c r="AD702" s="236">
        <f t="shared" si="37"/>
        <v>0</v>
      </c>
      <c r="AE702" s="236">
        <f t="shared" si="37"/>
        <v>0</v>
      </c>
      <c r="AF702" s="236">
        <f t="shared" si="37"/>
        <v>0</v>
      </c>
      <c r="AG702" s="236">
        <f t="shared" si="37"/>
        <v>0</v>
      </c>
      <c r="AH702" s="236">
        <f t="shared" si="37"/>
        <v>0</v>
      </c>
      <c r="AI702" s="236">
        <f t="shared" si="37"/>
        <v>0</v>
      </c>
      <c r="AJ702" s="236">
        <f t="shared" si="37"/>
        <v>0</v>
      </c>
      <c r="AK702" s="236">
        <f t="shared" si="37"/>
        <v>0</v>
      </c>
      <c r="AL702" s="236">
        <f t="shared" si="37"/>
        <v>0</v>
      </c>
      <c r="AM702" s="236">
        <f t="shared" si="37"/>
        <v>0</v>
      </c>
      <c r="AN702" s="236">
        <f t="shared" si="37"/>
        <v>0</v>
      </c>
      <c r="AO702" s="236">
        <f t="shared" si="37"/>
        <v>0</v>
      </c>
    </row>
    <row r="703" spans="1:41" ht="12.75" customHeight="1" x14ac:dyDescent="0.2">
      <c r="C703" s="778"/>
      <c r="D703" s="775"/>
      <c r="E703" s="235" t="s">
        <v>73</v>
      </c>
      <c r="F703" s="236">
        <f>F659</f>
        <v>24329.38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">
      <c r="C705" s="777" t="s">
        <v>161</v>
      </c>
      <c r="D705" s="775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">
      <c r="C706" s="777"/>
      <c r="D706" s="775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">
      <c r="C707" s="777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">
      <c r="C708" s="777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">
      <c r="D710" s="458" t="s">
        <v>186</v>
      </c>
      <c r="E710" s="459" t="s">
        <v>70</v>
      </c>
      <c r="F710" s="460">
        <f>F614</f>
        <v>0</v>
      </c>
      <c r="G710" s="460">
        <f t="shared" ref="G710:AA710" si="38">G614</f>
        <v>0</v>
      </c>
      <c r="H710" s="460">
        <f t="shared" si="38"/>
        <v>0</v>
      </c>
      <c r="I710" s="460">
        <f t="shared" si="38"/>
        <v>0</v>
      </c>
      <c r="J710" s="460">
        <f t="shared" si="38"/>
        <v>0</v>
      </c>
      <c r="K710" s="460">
        <f t="shared" si="38"/>
        <v>0</v>
      </c>
      <c r="L710" s="460">
        <f t="shared" si="38"/>
        <v>0</v>
      </c>
      <c r="M710" s="460">
        <f t="shared" si="38"/>
        <v>0</v>
      </c>
      <c r="N710" s="460">
        <f t="shared" si="38"/>
        <v>0</v>
      </c>
      <c r="O710" s="460">
        <f t="shared" si="38"/>
        <v>0</v>
      </c>
      <c r="P710" s="460">
        <f t="shared" si="38"/>
        <v>0</v>
      </c>
      <c r="Q710" s="460">
        <f t="shared" si="38"/>
        <v>0</v>
      </c>
      <c r="R710" s="460">
        <f t="shared" si="38"/>
        <v>0</v>
      </c>
      <c r="S710" s="460">
        <f t="shared" si="38"/>
        <v>0</v>
      </c>
      <c r="T710" s="460">
        <f t="shared" si="38"/>
        <v>0</v>
      </c>
      <c r="U710" s="460">
        <f t="shared" si="38"/>
        <v>0</v>
      </c>
      <c r="V710" s="460">
        <f t="shared" si="38"/>
        <v>0</v>
      </c>
      <c r="W710" s="460">
        <f t="shared" si="38"/>
        <v>0</v>
      </c>
      <c r="X710" s="460">
        <f t="shared" si="38"/>
        <v>0</v>
      </c>
      <c r="Y710" s="460">
        <f t="shared" si="38"/>
        <v>0</v>
      </c>
      <c r="Z710" s="460">
        <f t="shared" si="38"/>
        <v>0</v>
      </c>
      <c r="AA710" s="460">
        <f t="shared" si="38"/>
        <v>0</v>
      </c>
    </row>
    <row r="711" spans="3:41" ht="12.75" customHeight="1" x14ac:dyDescent="0.2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85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2.75" x14ac:dyDescent="0.2"/>
  <cols>
    <col min="2" max="2" width="22.42578125" bestFit="1" customWidth="1"/>
    <col min="3" max="3" width="18.85546875" customWidth="1"/>
    <col min="4" max="4" width="23.140625" bestFit="1" customWidth="1"/>
    <col min="5" max="5" width="15.140625" bestFit="1" customWidth="1"/>
    <col min="6" max="6" width="15.42578125" bestFit="1" customWidth="1"/>
    <col min="7" max="8" width="16.140625" bestFit="1" customWidth="1"/>
    <col min="9" max="9" width="15.140625" bestFit="1" customWidth="1"/>
    <col min="10" max="10" width="17" bestFit="1" customWidth="1"/>
    <col min="11" max="11" width="13.5703125" bestFit="1" customWidth="1"/>
    <col min="12" max="12" width="15.5703125" bestFit="1" customWidth="1"/>
    <col min="13" max="15" width="15.140625" bestFit="1" customWidth="1"/>
    <col min="16" max="16" width="20.42578125" bestFit="1" customWidth="1"/>
    <col min="17" max="17" width="11.5703125" customWidth="1"/>
    <col min="18" max="18" width="13.5703125" bestFit="1" customWidth="1"/>
  </cols>
  <sheetData>
    <row r="1" spans="2:18" x14ac:dyDescent="0.2">
      <c r="B1" s="97" t="s">
        <v>74</v>
      </c>
    </row>
    <row r="2" spans="2:18" ht="12.75" customHeight="1" x14ac:dyDescent="0.2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">
      <c r="D7" t="s">
        <v>72</v>
      </c>
      <c r="E7" s="384">
        <v>104754634.94</v>
      </c>
      <c r="F7" s="89">
        <v>6975298.6900000004</v>
      </c>
      <c r="G7" s="89">
        <v>3988878.11</v>
      </c>
      <c r="H7" s="384">
        <v>1891710.46</v>
      </c>
      <c r="I7" s="89">
        <v>21813833.059999999</v>
      </c>
      <c r="J7" s="89">
        <v>885097.78</v>
      </c>
      <c r="K7" s="89">
        <v>0</v>
      </c>
      <c r="L7" s="89">
        <v>8065770.6100000003</v>
      </c>
      <c r="M7" s="89">
        <v>7536469.1200000001</v>
      </c>
      <c r="N7" s="89">
        <v>33213003.719999999</v>
      </c>
      <c r="O7" s="89">
        <v>19115514.460000001</v>
      </c>
      <c r="P7" s="89">
        <v>1269059.56</v>
      </c>
      <c r="Q7" s="89">
        <v>-0.63</v>
      </c>
      <c r="R7">
        <v>0</v>
      </c>
    </row>
    <row r="8" spans="2:18" ht="12.75" customHeight="1" x14ac:dyDescent="0.2">
      <c r="D8" t="s">
        <v>81</v>
      </c>
      <c r="E8">
        <v>15816.77</v>
      </c>
      <c r="F8">
        <v>1163.3800000000001</v>
      </c>
      <c r="G8">
        <v>642.32000000000005</v>
      </c>
      <c r="H8">
        <v>341.55</v>
      </c>
      <c r="I8">
        <v>3027.69</v>
      </c>
      <c r="J8">
        <v>126.06</v>
      </c>
      <c r="K8">
        <v>0</v>
      </c>
      <c r="L8">
        <v>1110.6099999999999</v>
      </c>
      <c r="M8">
        <v>1054.19</v>
      </c>
      <c r="N8">
        <v>4963.7299999999996</v>
      </c>
      <c r="O8">
        <v>3181.55</v>
      </c>
      <c r="P8">
        <v>205.61</v>
      </c>
      <c r="Q8">
        <v>0.08</v>
      </c>
      <c r="R8">
        <v>0</v>
      </c>
    </row>
    <row r="9" spans="2:18" ht="12.75" customHeight="1" x14ac:dyDescent="0.2">
      <c r="C9" t="s">
        <v>156</v>
      </c>
      <c r="D9" t="s">
        <v>70</v>
      </c>
      <c r="E9">
        <v>104770451.70999999</v>
      </c>
      <c r="F9">
        <v>6976462.0700000003</v>
      </c>
      <c r="G9">
        <v>3989520.43</v>
      </c>
      <c r="H9">
        <v>1892052.01</v>
      </c>
      <c r="I9">
        <v>21816860.75</v>
      </c>
      <c r="J9">
        <v>885223.84</v>
      </c>
      <c r="K9">
        <v>0</v>
      </c>
      <c r="L9">
        <v>8066881.2199999997</v>
      </c>
      <c r="M9">
        <v>7537523.3099999996</v>
      </c>
      <c r="N9">
        <v>33217967.449999999</v>
      </c>
      <c r="O9">
        <v>19118696.010000002</v>
      </c>
      <c r="P9">
        <v>1269265.17</v>
      </c>
      <c r="Q9">
        <v>-0.55000000000000004</v>
      </c>
      <c r="R9">
        <v>0</v>
      </c>
    </row>
    <row r="10" spans="2:18" s="286" customFormat="1" ht="12.75" customHeight="1" x14ac:dyDescent="0.2">
      <c r="B10" s="286" t="s">
        <v>155</v>
      </c>
      <c r="C10" s="286" t="s">
        <v>70</v>
      </c>
      <c r="E10" s="286">
        <v>104770451.70999999</v>
      </c>
      <c r="F10" s="286">
        <v>6976462.0700000003</v>
      </c>
      <c r="G10" s="286">
        <v>3989520.43</v>
      </c>
      <c r="H10" s="286">
        <v>1892052.01</v>
      </c>
      <c r="I10" s="286">
        <v>21816860.75</v>
      </c>
      <c r="J10" s="286">
        <v>885223.84</v>
      </c>
      <c r="K10" s="286">
        <v>0</v>
      </c>
      <c r="L10" s="286">
        <v>8066881.2199999997</v>
      </c>
      <c r="M10" s="286">
        <v>7537523.3099999996</v>
      </c>
      <c r="N10" s="286">
        <v>33217967.449999999</v>
      </c>
      <c r="O10" s="286">
        <v>19118696.010000002</v>
      </c>
      <c r="P10" s="286">
        <v>1269265.17</v>
      </c>
      <c r="Q10" s="286">
        <v>-0.55000000000000004</v>
      </c>
      <c r="R10" s="286">
        <v>0</v>
      </c>
    </row>
    <row r="11" spans="2:18" ht="12.75" customHeight="1" x14ac:dyDescent="0.2">
      <c r="B11" s="142"/>
      <c r="D11" t="s">
        <v>72</v>
      </c>
      <c r="E11" s="142">
        <v>2066328.15</v>
      </c>
      <c r="F11">
        <v>95509.13</v>
      </c>
      <c r="G11">
        <v>53786.6</v>
      </c>
      <c r="H11">
        <v>25807.38</v>
      </c>
      <c r="I11">
        <v>498516.51</v>
      </c>
      <c r="J11">
        <v>14869.65</v>
      </c>
      <c r="K11">
        <v>0</v>
      </c>
      <c r="L11">
        <v>154839.34</v>
      </c>
      <c r="M11">
        <v>178346.64</v>
      </c>
      <c r="N11">
        <v>760377.7</v>
      </c>
      <c r="O11">
        <v>261105.9</v>
      </c>
      <c r="P11">
        <v>23181.14</v>
      </c>
      <c r="Q11">
        <v>-11.84</v>
      </c>
      <c r="R11">
        <v>0</v>
      </c>
    </row>
    <row r="12" spans="2:18" ht="12.75" customHeight="1" x14ac:dyDescent="0.2">
      <c r="B12" s="142"/>
      <c r="D12" t="s">
        <v>81</v>
      </c>
      <c r="E12" s="142">
        <v>53.09</v>
      </c>
      <c r="F12">
        <v>2.2000000000000002</v>
      </c>
      <c r="G12">
        <v>1.21</v>
      </c>
      <c r="H12">
        <v>0.66</v>
      </c>
      <c r="I12">
        <v>13.81</v>
      </c>
      <c r="J12">
        <v>0.47</v>
      </c>
      <c r="K12">
        <v>0</v>
      </c>
      <c r="L12">
        <v>4.1100000000000003</v>
      </c>
      <c r="M12">
        <v>4.2</v>
      </c>
      <c r="N12">
        <v>19.61</v>
      </c>
      <c r="O12">
        <v>6.05</v>
      </c>
      <c r="P12">
        <v>0.77</v>
      </c>
      <c r="Q12">
        <v>0</v>
      </c>
      <c r="R12">
        <v>0</v>
      </c>
    </row>
    <row r="13" spans="2:18" ht="12.75" customHeight="1" x14ac:dyDescent="0.2">
      <c r="B13" s="142"/>
      <c r="C13" t="s">
        <v>82</v>
      </c>
      <c r="D13" t="s">
        <v>70</v>
      </c>
      <c r="E13" s="142">
        <v>2066381.24</v>
      </c>
      <c r="F13">
        <v>95511.33</v>
      </c>
      <c r="G13">
        <v>53787.81</v>
      </c>
      <c r="H13">
        <v>25808.04</v>
      </c>
      <c r="I13">
        <v>498530.32</v>
      </c>
      <c r="J13">
        <v>14870.12</v>
      </c>
      <c r="K13">
        <v>0</v>
      </c>
      <c r="L13">
        <v>154843.45000000001</v>
      </c>
      <c r="M13">
        <v>178350.84</v>
      </c>
      <c r="N13">
        <v>760397.31</v>
      </c>
      <c r="O13">
        <v>261111.95</v>
      </c>
      <c r="P13">
        <v>23181.91</v>
      </c>
      <c r="Q13">
        <v>-11.84</v>
      </c>
      <c r="R13">
        <v>0</v>
      </c>
    </row>
    <row r="14" spans="2:18" ht="12.75" customHeight="1" x14ac:dyDescent="0.2">
      <c r="B14" s="142"/>
      <c r="D14" t="s">
        <v>72</v>
      </c>
      <c r="E14">
        <v>1667705.29</v>
      </c>
      <c r="F14">
        <v>94831.21</v>
      </c>
      <c r="G14">
        <v>53653.37</v>
      </c>
      <c r="H14">
        <v>23974.41</v>
      </c>
      <c r="I14">
        <v>360931.98</v>
      </c>
      <c r="J14">
        <v>13656.23</v>
      </c>
      <c r="K14">
        <v>0</v>
      </c>
      <c r="L14">
        <v>118901.31</v>
      </c>
      <c r="M14">
        <v>135021.65</v>
      </c>
      <c r="N14">
        <v>589240.87</v>
      </c>
      <c r="O14">
        <v>258802.75</v>
      </c>
      <c r="P14">
        <v>18683.400000000001</v>
      </c>
      <c r="Q14">
        <v>8.11</v>
      </c>
      <c r="R14">
        <v>0</v>
      </c>
    </row>
    <row r="15" spans="2:18" ht="12.75" customHeight="1" x14ac:dyDescent="0.2">
      <c r="B15" s="142"/>
      <c r="D15" t="s">
        <v>81</v>
      </c>
      <c r="E15">
        <v>534.46</v>
      </c>
      <c r="F15">
        <v>31.52</v>
      </c>
      <c r="G15">
        <v>17.829999999999998</v>
      </c>
      <c r="H15">
        <v>9.34</v>
      </c>
      <c r="I15">
        <v>118.64</v>
      </c>
      <c r="J15">
        <v>4.45</v>
      </c>
      <c r="K15">
        <v>0</v>
      </c>
      <c r="L15">
        <v>39.04</v>
      </c>
      <c r="M15">
        <v>38.33</v>
      </c>
      <c r="N15">
        <v>181.9</v>
      </c>
      <c r="O15">
        <v>86.11</v>
      </c>
      <c r="P15">
        <v>7.3</v>
      </c>
      <c r="Q15">
        <v>0</v>
      </c>
      <c r="R15">
        <v>0</v>
      </c>
    </row>
    <row r="16" spans="2:18" ht="12.75" customHeight="1" x14ac:dyDescent="0.2">
      <c r="B16" s="142"/>
      <c r="C16" t="s">
        <v>86</v>
      </c>
      <c r="D16" t="s">
        <v>70</v>
      </c>
      <c r="E16" s="142">
        <v>1668239.75</v>
      </c>
      <c r="F16">
        <v>94862.73</v>
      </c>
      <c r="G16">
        <v>53671.199999999997</v>
      </c>
      <c r="H16">
        <v>23983.75</v>
      </c>
      <c r="I16">
        <v>361050.62</v>
      </c>
      <c r="J16">
        <v>13660.68</v>
      </c>
      <c r="K16">
        <v>0</v>
      </c>
      <c r="L16">
        <v>118940.35</v>
      </c>
      <c r="M16">
        <v>135059.98000000001</v>
      </c>
      <c r="N16">
        <v>589422.77</v>
      </c>
      <c r="O16">
        <v>258888.86</v>
      </c>
      <c r="P16">
        <v>18690.7</v>
      </c>
      <c r="Q16">
        <v>8.11</v>
      </c>
      <c r="R16">
        <v>0</v>
      </c>
    </row>
    <row r="17" spans="1:18" ht="12.75" customHeight="1" x14ac:dyDescent="0.2">
      <c r="B17" s="142"/>
      <c r="D17" t="s">
        <v>72</v>
      </c>
      <c r="E17" s="142">
        <v>18251249.02</v>
      </c>
      <c r="F17">
        <v>2466979.2999999998</v>
      </c>
      <c r="G17">
        <v>1389961.36</v>
      </c>
      <c r="H17">
        <v>841642.79</v>
      </c>
      <c r="I17">
        <v>1865966.03</v>
      </c>
      <c r="J17">
        <v>51082.32</v>
      </c>
      <c r="K17">
        <v>0</v>
      </c>
      <c r="L17">
        <v>482981.31</v>
      </c>
      <c r="M17">
        <v>671717.75</v>
      </c>
      <c r="N17">
        <v>3043351.32</v>
      </c>
      <c r="O17">
        <v>7354815.6399999997</v>
      </c>
      <c r="P17">
        <v>82820.66</v>
      </c>
      <c r="Q17">
        <v>-69.459999999999994</v>
      </c>
      <c r="R17">
        <v>0</v>
      </c>
    </row>
    <row r="18" spans="1:18" ht="12.75" customHeight="1" x14ac:dyDescent="0.2">
      <c r="B18" s="142"/>
      <c r="D18" t="s">
        <v>81</v>
      </c>
      <c r="E18" s="142">
        <v>35670.699999999997</v>
      </c>
      <c r="F18">
        <v>6587.48</v>
      </c>
      <c r="G18">
        <v>3721.93</v>
      </c>
      <c r="H18">
        <v>1963.44</v>
      </c>
      <c r="I18">
        <v>1660.15</v>
      </c>
      <c r="J18">
        <v>49.7</v>
      </c>
      <c r="K18">
        <v>0</v>
      </c>
      <c r="L18">
        <v>436.97</v>
      </c>
      <c r="M18">
        <v>541.21</v>
      </c>
      <c r="N18">
        <v>2526.1</v>
      </c>
      <c r="O18">
        <v>18102.54</v>
      </c>
      <c r="P18">
        <v>81.19</v>
      </c>
      <c r="Q18">
        <v>-0.01</v>
      </c>
      <c r="R18">
        <v>0</v>
      </c>
    </row>
    <row r="19" spans="1:18" ht="12.75" customHeight="1" x14ac:dyDescent="0.2">
      <c r="B19" s="142"/>
      <c r="C19" s="89" t="s">
        <v>87</v>
      </c>
      <c r="D19" s="89" t="s">
        <v>70</v>
      </c>
      <c r="E19" s="90">
        <v>18286919.719999999</v>
      </c>
      <c r="F19" s="90">
        <v>2473566.7799999998</v>
      </c>
      <c r="G19" s="90">
        <v>1393683.29</v>
      </c>
      <c r="H19" s="90">
        <v>843606.23</v>
      </c>
      <c r="I19" s="90">
        <v>1867626.18</v>
      </c>
      <c r="J19" s="90">
        <v>51132.02</v>
      </c>
      <c r="K19" s="90">
        <v>0</v>
      </c>
      <c r="L19" s="90">
        <v>483418.28</v>
      </c>
      <c r="M19" s="90">
        <v>672258.96</v>
      </c>
      <c r="N19" s="90">
        <v>3045877.42</v>
      </c>
      <c r="O19" s="90">
        <v>7372918.1799999997</v>
      </c>
      <c r="P19" s="90">
        <v>82901.850000000006</v>
      </c>
      <c r="Q19" s="90">
        <v>-69.47</v>
      </c>
      <c r="R19">
        <v>0</v>
      </c>
    </row>
    <row r="20" spans="1:18" s="94" customFormat="1" ht="12.75" customHeight="1" x14ac:dyDescent="0.2">
      <c r="B20" s="101" t="s">
        <v>119</v>
      </c>
      <c r="C20" s="101" t="s">
        <v>70</v>
      </c>
      <c r="E20" s="93">
        <v>22021540.710000001</v>
      </c>
      <c r="F20" s="93">
        <v>2663940.84</v>
      </c>
      <c r="G20" s="93">
        <v>1501142.3</v>
      </c>
      <c r="H20" s="93">
        <v>893398.02</v>
      </c>
      <c r="I20" s="93">
        <v>2727207.12</v>
      </c>
      <c r="J20" s="93">
        <v>79662.820000000007</v>
      </c>
      <c r="K20" s="93">
        <v>0</v>
      </c>
      <c r="L20" s="93">
        <v>757202.08</v>
      </c>
      <c r="M20" s="93">
        <v>985669.78</v>
      </c>
      <c r="N20" s="93">
        <v>4395697.5</v>
      </c>
      <c r="O20" s="93">
        <v>7892918.9900000002</v>
      </c>
      <c r="P20" s="93">
        <v>124774.46</v>
      </c>
      <c r="Q20" s="93">
        <v>-73.2</v>
      </c>
      <c r="R20" s="94">
        <v>0</v>
      </c>
    </row>
    <row r="21" spans="1:18" s="226" customFormat="1" ht="12.75" customHeight="1" x14ac:dyDescent="0.2">
      <c r="A21" s="98" t="s">
        <v>78</v>
      </c>
      <c r="B21" s="98" t="s">
        <v>70</v>
      </c>
      <c r="E21" s="100">
        <v>126791992.42</v>
      </c>
      <c r="F21" s="100">
        <v>9640402.9100000001</v>
      </c>
      <c r="G21" s="100">
        <v>5490662.7300000004</v>
      </c>
      <c r="H21" s="100">
        <v>2785450.03</v>
      </c>
      <c r="I21" s="100">
        <v>24544067.870000001</v>
      </c>
      <c r="J21" s="100">
        <v>964886.66</v>
      </c>
      <c r="K21" s="100">
        <v>0</v>
      </c>
      <c r="L21" s="100">
        <v>8824083.3000000007</v>
      </c>
      <c r="M21" s="100">
        <v>8523193.0899999999</v>
      </c>
      <c r="N21" s="100">
        <v>37613664.950000003</v>
      </c>
      <c r="O21" s="100">
        <v>27011615</v>
      </c>
      <c r="P21" s="100">
        <v>1394039.63</v>
      </c>
      <c r="Q21" s="100">
        <v>-73.75</v>
      </c>
      <c r="R21" s="226">
        <v>0</v>
      </c>
    </row>
    <row r="22" spans="1:18" ht="12.75" customHeight="1" x14ac:dyDescent="0.2">
      <c r="D22" s="89" t="s">
        <v>73</v>
      </c>
      <c r="E22" s="371">
        <v>-7679309.1900000004</v>
      </c>
      <c r="F22" s="90">
        <v>637875.65</v>
      </c>
      <c r="G22" s="90">
        <v>341985.27</v>
      </c>
      <c r="H22" s="90">
        <v>179997</v>
      </c>
      <c r="I22" s="90">
        <v>-2784147.34</v>
      </c>
      <c r="J22" s="90">
        <v>-136924.32</v>
      </c>
      <c r="K22" s="90">
        <v>0</v>
      </c>
      <c r="L22" s="90">
        <v>-1201987.1299999999</v>
      </c>
      <c r="M22" s="90">
        <v>-1088414.75</v>
      </c>
      <c r="N22" s="90">
        <v>-5141699.01</v>
      </c>
      <c r="O22" s="90">
        <v>1734349.59</v>
      </c>
      <c r="P22" s="90">
        <v>-220344.15</v>
      </c>
      <c r="Q22" s="90">
        <v>0</v>
      </c>
      <c r="R22">
        <v>0</v>
      </c>
    </row>
    <row r="23" spans="1:18" ht="12.75" customHeight="1" x14ac:dyDescent="0.2">
      <c r="C23" s="89" t="s">
        <v>156</v>
      </c>
      <c r="D23" s="89" t="s">
        <v>70</v>
      </c>
      <c r="E23" s="90">
        <v>-7679309.1900000004</v>
      </c>
      <c r="F23" s="90">
        <v>637875.65</v>
      </c>
      <c r="G23" s="90">
        <v>341985.27</v>
      </c>
      <c r="H23" s="90">
        <v>179997</v>
      </c>
      <c r="I23" s="90">
        <v>-2784147.34</v>
      </c>
      <c r="J23" s="90">
        <v>-136924.32</v>
      </c>
      <c r="K23" s="90">
        <v>0</v>
      </c>
      <c r="L23" s="90">
        <v>-1201987.1299999999</v>
      </c>
      <c r="M23" s="90">
        <v>-1088414.75</v>
      </c>
      <c r="N23" s="90">
        <v>-5141699.01</v>
      </c>
      <c r="O23" s="90">
        <v>1734349.59</v>
      </c>
      <c r="P23" s="90">
        <v>-220344.15</v>
      </c>
      <c r="Q23" s="90">
        <v>0</v>
      </c>
      <c r="R23">
        <v>0</v>
      </c>
    </row>
    <row r="24" spans="1:18" s="286" customFormat="1" ht="12.75" customHeight="1" x14ac:dyDescent="0.2">
      <c r="B24" s="286" t="s">
        <v>155</v>
      </c>
      <c r="C24" s="286" t="s">
        <v>70</v>
      </c>
      <c r="E24" s="286">
        <v>-7679309.1900000004</v>
      </c>
      <c r="F24" s="286">
        <v>637875.65</v>
      </c>
      <c r="G24" s="286">
        <v>341985.27</v>
      </c>
      <c r="H24" s="286">
        <v>179997</v>
      </c>
      <c r="I24" s="286">
        <v>-2784147.34</v>
      </c>
      <c r="J24" s="286">
        <v>-136924.32</v>
      </c>
      <c r="K24" s="286">
        <v>0</v>
      </c>
      <c r="L24" s="286">
        <v>-1201987.1299999999</v>
      </c>
      <c r="M24" s="286">
        <v>-1088414.75</v>
      </c>
      <c r="N24" s="286">
        <v>-5141699.01</v>
      </c>
      <c r="O24" s="286">
        <v>1734349.59</v>
      </c>
      <c r="P24" s="286">
        <v>-220344.15</v>
      </c>
      <c r="Q24" s="286">
        <v>0</v>
      </c>
      <c r="R24" s="286">
        <v>0</v>
      </c>
    </row>
    <row r="25" spans="1:18" ht="12.75" customHeight="1" x14ac:dyDescent="0.2">
      <c r="D25" s="89" t="s">
        <v>73</v>
      </c>
      <c r="E25" s="371">
        <v>-50554.720000000001</v>
      </c>
      <c r="F25" s="90">
        <v>4736.1099999999997</v>
      </c>
      <c r="G25" s="90">
        <v>2674.07</v>
      </c>
      <c r="H25" s="90">
        <v>345.4</v>
      </c>
      <c r="I25" s="90">
        <v>-23429.040000000001</v>
      </c>
      <c r="J25" s="90">
        <v>-1776.06</v>
      </c>
      <c r="K25" s="90">
        <v>0</v>
      </c>
      <c r="L25" s="90">
        <v>-14634.19</v>
      </c>
      <c r="M25" s="90">
        <v>-5072.07</v>
      </c>
      <c r="N25" s="90">
        <v>-23919.85</v>
      </c>
      <c r="O25" s="90">
        <v>13249.96</v>
      </c>
      <c r="P25" s="90">
        <v>-2729.05</v>
      </c>
      <c r="Q25" s="90">
        <v>0</v>
      </c>
      <c r="R25">
        <v>0</v>
      </c>
    </row>
    <row r="26" spans="1:18" ht="12.75" customHeight="1" x14ac:dyDescent="0.2">
      <c r="C26" s="89" t="s">
        <v>82</v>
      </c>
      <c r="D26" s="89" t="s">
        <v>70</v>
      </c>
      <c r="E26" s="90">
        <v>-50554.720000000001</v>
      </c>
      <c r="F26" s="90">
        <v>4736.1099999999997</v>
      </c>
      <c r="G26" s="90">
        <v>2674.07</v>
      </c>
      <c r="H26" s="90">
        <v>345.4</v>
      </c>
      <c r="I26" s="90">
        <v>-23429.040000000001</v>
      </c>
      <c r="J26" s="90">
        <v>-1776.06</v>
      </c>
      <c r="K26" s="90">
        <v>0</v>
      </c>
      <c r="L26" s="90">
        <v>-14634.19</v>
      </c>
      <c r="M26" s="90">
        <v>-5072.07</v>
      </c>
      <c r="N26" s="90">
        <v>-23919.85</v>
      </c>
      <c r="O26" s="90">
        <v>13249.96</v>
      </c>
      <c r="P26" s="90">
        <v>-2729.05</v>
      </c>
      <c r="Q26" s="90">
        <v>0</v>
      </c>
      <c r="R26">
        <v>0</v>
      </c>
    </row>
    <row r="27" spans="1:18" ht="12.75" customHeight="1" x14ac:dyDescent="0.2">
      <c r="D27" s="89" t="s">
        <v>73</v>
      </c>
      <c r="E27" s="90">
        <v>-41372.31</v>
      </c>
      <c r="F27" s="90">
        <v>12793.71</v>
      </c>
      <c r="G27" s="90">
        <v>7223.37</v>
      </c>
      <c r="H27" s="90">
        <v>821.96</v>
      </c>
      <c r="I27" s="90">
        <v>-13378.5</v>
      </c>
      <c r="J27" s="90">
        <v>-1510.5</v>
      </c>
      <c r="K27" s="90">
        <v>0</v>
      </c>
      <c r="L27" s="90">
        <v>-12344.21</v>
      </c>
      <c r="M27" s="90">
        <v>-12400.64</v>
      </c>
      <c r="N27" s="90">
        <v>-55249.52</v>
      </c>
      <c r="O27" s="90">
        <v>35136.410000000003</v>
      </c>
      <c r="P27" s="90">
        <v>-2464.39</v>
      </c>
      <c r="Q27" s="90">
        <v>0</v>
      </c>
      <c r="R27">
        <v>0</v>
      </c>
    </row>
    <row r="28" spans="1:18" ht="12.75" customHeight="1" x14ac:dyDescent="0.2">
      <c r="C28" s="89" t="s">
        <v>86</v>
      </c>
      <c r="D28" s="89" t="s">
        <v>70</v>
      </c>
      <c r="E28" s="90">
        <v>-41372.31</v>
      </c>
      <c r="F28" s="90">
        <v>12793.71</v>
      </c>
      <c r="G28" s="90">
        <v>7223.37</v>
      </c>
      <c r="H28" s="90">
        <v>821.96</v>
      </c>
      <c r="I28" s="90">
        <v>-13378.5</v>
      </c>
      <c r="J28" s="90">
        <v>-1510.5</v>
      </c>
      <c r="K28" s="90">
        <v>0</v>
      </c>
      <c r="L28" s="90">
        <v>-12344.21</v>
      </c>
      <c r="M28" s="90">
        <v>-12400.64</v>
      </c>
      <c r="N28" s="90">
        <v>-55249.52</v>
      </c>
      <c r="O28" s="90">
        <v>35136.410000000003</v>
      </c>
      <c r="P28" s="90">
        <v>-2464.39</v>
      </c>
      <c r="Q28" s="90">
        <v>0</v>
      </c>
      <c r="R28">
        <v>0</v>
      </c>
    </row>
    <row r="29" spans="1:18" ht="12.75" customHeight="1" x14ac:dyDescent="0.2">
      <c r="D29" s="89" t="s">
        <v>73</v>
      </c>
      <c r="E29" s="90">
        <v>6927796.9199999999</v>
      </c>
      <c r="F29" s="90">
        <v>1130170.6499999999</v>
      </c>
      <c r="G29" s="90">
        <v>623361.6</v>
      </c>
      <c r="H29" s="90">
        <v>304609.90999999997</v>
      </c>
      <c r="I29" s="90">
        <v>533203.52</v>
      </c>
      <c r="J29" s="90">
        <v>13692.34</v>
      </c>
      <c r="K29" s="90">
        <v>0</v>
      </c>
      <c r="L29" s="90">
        <v>126469.3</v>
      </c>
      <c r="M29" s="90">
        <v>172463.37</v>
      </c>
      <c r="N29" s="90">
        <v>810419.93</v>
      </c>
      <c r="O29" s="90">
        <v>3191349.94</v>
      </c>
      <c r="P29" s="90">
        <v>22056.36</v>
      </c>
      <c r="Q29" s="90">
        <v>0</v>
      </c>
      <c r="R29">
        <v>0</v>
      </c>
    </row>
    <row r="30" spans="1:18" ht="12.75" customHeight="1" x14ac:dyDescent="0.2">
      <c r="C30" s="89" t="s">
        <v>87</v>
      </c>
      <c r="D30" s="89" t="s">
        <v>70</v>
      </c>
      <c r="E30" s="90">
        <v>6927796.9199999999</v>
      </c>
      <c r="F30" s="90">
        <v>1130170.6499999999</v>
      </c>
      <c r="G30" s="90">
        <v>623361.6</v>
      </c>
      <c r="H30" s="90">
        <v>304609.90999999997</v>
      </c>
      <c r="I30" s="90">
        <v>533203.52</v>
      </c>
      <c r="J30" s="90">
        <v>13692.34</v>
      </c>
      <c r="K30" s="90">
        <v>0</v>
      </c>
      <c r="L30" s="90">
        <v>126469.3</v>
      </c>
      <c r="M30" s="90">
        <v>172463.37</v>
      </c>
      <c r="N30" s="90">
        <v>810419.93</v>
      </c>
      <c r="O30" s="90">
        <v>3191349.94</v>
      </c>
      <c r="P30" s="90">
        <v>22056.36</v>
      </c>
      <c r="Q30" s="90">
        <v>0</v>
      </c>
      <c r="R30">
        <v>0</v>
      </c>
    </row>
    <row r="31" spans="1:18" s="94" customFormat="1" ht="12.75" customHeight="1" x14ac:dyDescent="0.2">
      <c r="B31" s="101" t="s">
        <v>119</v>
      </c>
      <c r="C31" s="101" t="s">
        <v>70</v>
      </c>
      <c r="E31" s="93">
        <v>6835869.8899999997</v>
      </c>
      <c r="F31" s="93">
        <v>1147700.47</v>
      </c>
      <c r="G31" s="93">
        <v>633259.04</v>
      </c>
      <c r="H31" s="93">
        <v>305777.27</v>
      </c>
      <c r="I31" s="93">
        <v>496395.98</v>
      </c>
      <c r="J31" s="93">
        <v>10405.780000000001</v>
      </c>
      <c r="K31" s="93">
        <v>0</v>
      </c>
      <c r="L31" s="93">
        <v>99490.9</v>
      </c>
      <c r="M31" s="93">
        <v>154990.66</v>
      </c>
      <c r="N31" s="93">
        <v>731250.56</v>
      </c>
      <c r="O31" s="93">
        <v>3239736.31</v>
      </c>
      <c r="P31" s="93">
        <v>16862.919999999998</v>
      </c>
      <c r="Q31" s="93">
        <v>0</v>
      </c>
      <c r="R31" s="94">
        <v>0</v>
      </c>
    </row>
    <row r="32" spans="1:18" s="226" customFormat="1" ht="12.75" customHeight="1" x14ac:dyDescent="0.2">
      <c r="A32" s="98" t="s">
        <v>79</v>
      </c>
      <c r="B32" s="98" t="s">
        <v>70</v>
      </c>
      <c r="E32" s="100">
        <v>-843439.3</v>
      </c>
      <c r="F32" s="100">
        <v>1785576.12</v>
      </c>
      <c r="G32" s="100">
        <v>975244.31</v>
      </c>
      <c r="H32" s="100">
        <v>485774.27</v>
      </c>
      <c r="I32" s="100">
        <v>-2287751.36</v>
      </c>
      <c r="J32" s="100">
        <v>-126518.54</v>
      </c>
      <c r="K32" s="100">
        <v>0</v>
      </c>
      <c r="L32" s="100">
        <v>-1102496.23</v>
      </c>
      <c r="M32" s="100">
        <v>-933424.09</v>
      </c>
      <c r="N32" s="100">
        <v>-4410448.45</v>
      </c>
      <c r="O32" s="100">
        <v>4974085.9000000004</v>
      </c>
      <c r="P32" s="100">
        <v>-203481.23</v>
      </c>
      <c r="Q32" s="100">
        <v>0</v>
      </c>
      <c r="R32" s="226">
        <v>0</v>
      </c>
    </row>
    <row r="33" spans="1:19" ht="12.75" customHeight="1" x14ac:dyDescent="0.2">
      <c r="A33" s="89" t="s">
        <v>70</v>
      </c>
      <c r="E33" s="90">
        <v>125948553.12</v>
      </c>
      <c r="F33" s="90">
        <v>11425979.029999999</v>
      </c>
      <c r="G33" s="90">
        <v>6465907.04</v>
      </c>
      <c r="H33" s="90">
        <v>3271224.3</v>
      </c>
      <c r="I33" s="90">
        <v>22256316.510000002</v>
      </c>
      <c r="J33" s="90">
        <v>838368.12</v>
      </c>
      <c r="K33" s="90">
        <v>0</v>
      </c>
      <c r="L33" s="90">
        <v>7721587.0700000003</v>
      </c>
      <c r="M33" s="90">
        <v>7589769</v>
      </c>
      <c r="N33" s="90">
        <v>33203216.5</v>
      </c>
      <c r="O33" s="90">
        <v>31985700.899999999</v>
      </c>
      <c r="P33" s="90">
        <v>1190558.3999999999</v>
      </c>
      <c r="Q33" s="90">
        <v>-73.75</v>
      </c>
      <c r="R33" s="144">
        <v>0</v>
      </c>
    </row>
    <row r="34" spans="1:19" ht="12.75" customHeight="1" x14ac:dyDescent="0.2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">
      <c r="B47" s="778" t="s">
        <v>2</v>
      </c>
      <c r="C47" s="775" t="s">
        <v>132</v>
      </c>
      <c r="D47" s="98" t="s">
        <v>70</v>
      </c>
      <c r="E47" s="100">
        <f>E21+E32-K21</f>
        <v>125948553.12</v>
      </c>
      <c r="F47" s="100">
        <f>F21</f>
        <v>9640402.9100000001</v>
      </c>
      <c r="G47" s="100">
        <f t="shared" ref="G47:S47" si="0">G21</f>
        <v>5490662.7300000004</v>
      </c>
      <c r="H47" s="100">
        <f t="shared" si="0"/>
        <v>2785450.03</v>
      </c>
      <c r="I47" s="100">
        <f t="shared" si="0"/>
        <v>24544067.870000001</v>
      </c>
      <c r="J47" s="100">
        <f t="shared" si="0"/>
        <v>964886.66</v>
      </c>
      <c r="K47" s="100">
        <f t="shared" si="0"/>
        <v>0</v>
      </c>
      <c r="L47" s="100">
        <f t="shared" si="0"/>
        <v>8824083.3000000007</v>
      </c>
      <c r="M47" s="100">
        <f t="shared" si="0"/>
        <v>8523193.0899999999</v>
      </c>
      <c r="N47" s="100">
        <f t="shared" si="0"/>
        <v>37613664.950000003</v>
      </c>
      <c r="O47" s="100">
        <f t="shared" si="0"/>
        <v>27011615</v>
      </c>
      <c r="P47" s="100">
        <f t="shared" si="0"/>
        <v>1394039.63</v>
      </c>
      <c r="Q47" s="100">
        <f t="shared" si="0"/>
        <v>-73.75</v>
      </c>
      <c r="R47" s="100">
        <f t="shared" si="0"/>
        <v>0</v>
      </c>
      <c r="S47" s="100">
        <f t="shared" si="0"/>
        <v>0</v>
      </c>
    </row>
    <row r="48" spans="1:19" ht="12.75" customHeight="1" x14ac:dyDescent="0.2">
      <c r="B48" s="778"/>
      <c r="C48" s="775"/>
      <c r="D48" s="98" t="s">
        <v>73</v>
      </c>
      <c r="E48" s="100">
        <f>E32</f>
        <v>-843439.3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">
      <c r="B50" s="778" t="s">
        <v>160</v>
      </c>
      <c r="C50" s="775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">
      <c r="B51" s="778"/>
      <c r="C51" s="775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">
      <c r="B53" s="778" t="s">
        <v>155</v>
      </c>
      <c r="C53" s="775" t="s">
        <v>132</v>
      </c>
      <c r="D53" s="221" t="s">
        <v>70</v>
      </c>
      <c r="E53" s="222">
        <f>E24+E10+E6-K6-K10</f>
        <v>97091142.519999996</v>
      </c>
      <c r="F53" s="222">
        <f>F10+F6</f>
        <v>6976462.0700000003</v>
      </c>
      <c r="G53" s="222">
        <f t="shared" ref="G53:S53" si="1">G10+G6</f>
        <v>3989520.43</v>
      </c>
      <c r="H53" s="222">
        <f t="shared" si="1"/>
        <v>1892052.01</v>
      </c>
      <c r="I53" s="222">
        <f t="shared" si="1"/>
        <v>21816860.75</v>
      </c>
      <c r="J53" s="222">
        <f t="shared" si="1"/>
        <v>885223.84</v>
      </c>
      <c r="K53" s="222">
        <f t="shared" si="1"/>
        <v>0</v>
      </c>
      <c r="L53" s="222">
        <f t="shared" si="1"/>
        <v>8066881.2199999997</v>
      </c>
      <c r="M53" s="222">
        <f t="shared" si="1"/>
        <v>7537523.3099999996</v>
      </c>
      <c r="N53" s="222">
        <f t="shared" si="1"/>
        <v>33217967.449999999</v>
      </c>
      <c r="O53" s="222">
        <f t="shared" si="1"/>
        <v>19118696.010000002</v>
      </c>
      <c r="P53" s="222">
        <f t="shared" si="1"/>
        <v>1269265.17</v>
      </c>
      <c r="Q53" s="222">
        <f t="shared" si="1"/>
        <v>-0.55000000000000004</v>
      </c>
      <c r="R53" s="222">
        <f t="shared" si="1"/>
        <v>0</v>
      </c>
      <c r="S53" s="222">
        <f t="shared" si="1"/>
        <v>0</v>
      </c>
    </row>
    <row r="54" spans="1:19" ht="12.75" customHeight="1" x14ac:dyDescent="0.2">
      <c r="B54" s="778"/>
      <c r="C54" s="775"/>
      <c r="D54" s="221" t="s">
        <v>73</v>
      </c>
      <c r="E54" s="222">
        <f>E24</f>
        <v>-7679309.1900000004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">
      <c r="B56" s="776" t="s">
        <v>326</v>
      </c>
      <c r="C56" s="775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">
      <c r="B57" s="776"/>
      <c r="C57" s="775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">
      <c r="B59" s="778" t="s">
        <v>119</v>
      </c>
      <c r="C59" s="775" t="s">
        <v>132</v>
      </c>
      <c r="D59" s="101" t="s">
        <v>70</v>
      </c>
      <c r="E59" s="93">
        <f>E20+E31-K20</f>
        <v>28857410.600000001</v>
      </c>
      <c r="F59" s="93">
        <f>F20</f>
        <v>2663940.84</v>
      </c>
      <c r="G59" s="93">
        <f t="shared" ref="G59:S59" si="2">G20</f>
        <v>1501142.3</v>
      </c>
      <c r="H59" s="93">
        <f t="shared" si="2"/>
        <v>893398.02</v>
      </c>
      <c r="I59" s="93">
        <f t="shared" si="2"/>
        <v>2727207.12</v>
      </c>
      <c r="J59" s="93">
        <f t="shared" si="2"/>
        <v>79662.820000000007</v>
      </c>
      <c r="K59" s="93">
        <f t="shared" si="2"/>
        <v>0</v>
      </c>
      <c r="L59" s="93">
        <f t="shared" si="2"/>
        <v>757202.08</v>
      </c>
      <c r="M59" s="93">
        <f t="shared" si="2"/>
        <v>985669.78</v>
      </c>
      <c r="N59" s="93">
        <f t="shared" si="2"/>
        <v>4395697.5</v>
      </c>
      <c r="O59" s="93">
        <f t="shared" si="2"/>
        <v>7892918.9900000002</v>
      </c>
      <c r="P59" s="93">
        <f t="shared" si="2"/>
        <v>124774.46</v>
      </c>
      <c r="Q59" s="93">
        <f t="shared" si="2"/>
        <v>-73.2</v>
      </c>
      <c r="R59" s="93">
        <f t="shared" si="2"/>
        <v>0</v>
      </c>
      <c r="S59" s="93">
        <f t="shared" si="2"/>
        <v>0</v>
      </c>
    </row>
    <row r="60" spans="1:19" ht="12.75" customHeight="1" x14ac:dyDescent="0.2">
      <c r="B60" s="778"/>
      <c r="C60" s="775"/>
      <c r="D60" s="101" t="s">
        <v>73</v>
      </c>
      <c r="E60" s="93">
        <f>E31</f>
        <v>6835869.8899999997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">
      <c r="B62" s="777" t="s">
        <v>161</v>
      </c>
      <c r="C62" s="775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">
      <c r="B63" s="777"/>
      <c r="C63" s="775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"/>
    <row r="65" spans="2:18" x14ac:dyDescent="0.2">
      <c r="B65" s="97" t="s">
        <v>75</v>
      </c>
    </row>
    <row r="66" spans="2:18" ht="12.75" customHeight="1" x14ac:dyDescent="0.2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">
      <c r="B70" s="739" t="s">
        <v>85</v>
      </c>
      <c r="C70" s="739" t="s">
        <v>70</v>
      </c>
      <c r="D70" s="231"/>
      <c r="E70" s="740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">
      <c r="B71" s="142"/>
      <c r="D71" s="89" t="s">
        <v>72</v>
      </c>
      <c r="E71" s="90">
        <v>71702408.709999993</v>
      </c>
      <c r="F71" s="90">
        <v>4119196.88</v>
      </c>
      <c r="G71" s="90">
        <v>2445784.34</v>
      </c>
      <c r="H71" s="90">
        <v>988499.28</v>
      </c>
      <c r="I71" s="90">
        <v>18958221.460000001</v>
      </c>
      <c r="J71" s="90">
        <v>632942.16</v>
      </c>
      <c r="K71" s="90">
        <v>0</v>
      </c>
      <c r="L71" s="90">
        <v>5923929.5</v>
      </c>
      <c r="M71" s="90">
        <v>5752498.0499999998</v>
      </c>
      <c r="N71" s="90">
        <v>23264098.649999999</v>
      </c>
      <c r="O71" s="90">
        <v>8731555.5600000005</v>
      </c>
      <c r="P71" s="90">
        <v>885560.39</v>
      </c>
      <c r="Q71" s="90">
        <v>122.44</v>
      </c>
      <c r="R71">
        <v>0</v>
      </c>
    </row>
    <row r="72" spans="2:18" ht="12.75" customHeight="1" x14ac:dyDescent="0.2">
      <c r="B72" s="142"/>
      <c r="D72" s="89" t="s">
        <v>81</v>
      </c>
      <c r="E72" s="90">
        <v>95038.85</v>
      </c>
      <c r="F72" s="90">
        <v>9024.33</v>
      </c>
      <c r="G72" s="90">
        <v>4730.41</v>
      </c>
      <c r="H72" s="90">
        <v>2571.8200000000002</v>
      </c>
      <c r="I72" s="90">
        <v>19131.48</v>
      </c>
      <c r="J72" s="90">
        <v>648.99</v>
      </c>
      <c r="K72" s="90">
        <v>0</v>
      </c>
      <c r="L72" s="90">
        <v>5659.74</v>
      </c>
      <c r="M72" s="90">
        <v>6117.92</v>
      </c>
      <c r="N72" s="90">
        <v>28047</v>
      </c>
      <c r="O72" s="90">
        <v>18026.080000000002</v>
      </c>
      <c r="P72" s="90">
        <v>1059.27</v>
      </c>
      <c r="Q72" s="90">
        <v>21.81</v>
      </c>
      <c r="R72">
        <v>0</v>
      </c>
    </row>
    <row r="73" spans="2:18" ht="12.75" customHeight="1" x14ac:dyDescent="0.2">
      <c r="B73" s="142"/>
      <c r="C73" t="s">
        <v>156</v>
      </c>
      <c r="D73" s="89" t="s">
        <v>70</v>
      </c>
      <c r="E73" s="371">
        <v>71797447.560000002</v>
      </c>
      <c r="F73" s="90">
        <v>4128221.21</v>
      </c>
      <c r="G73" s="90">
        <v>2450514.75</v>
      </c>
      <c r="H73" s="90">
        <v>991071.1</v>
      </c>
      <c r="I73" s="90">
        <v>18977352.940000001</v>
      </c>
      <c r="J73" s="90">
        <v>633591.15</v>
      </c>
      <c r="K73" s="90">
        <v>0</v>
      </c>
      <c r="L73" s="90">
        <v>5929589.2400000002</v>
      </c>
      <c r="M73" s="90">
        <v>5758615.9699999997</v>
      </c>
      <c r="N73" s="90">
        <v>23292145.649999999</v>
      </c>
      <c r="O73" s="90">
        <v>8749581.6400000006</v>
      </c>
      <c r="P73" s="90">
        <v>886619.66</v>
      </c>
      <c r="Q73" s="90">
        <v>144.25</v>
      </c>
      <c r="R73">
        <v>0</v>
      </c>
    </row>
    <row r="74" spans="2:18" s="286" customFormat="1" ht="12.75" customHeight="1" x14ac:dyDescent="0.2">
      <c r="B74" s="751" t="s">
        <v>155</v>
      </c>
      <c r="C74" s="286" t="s">
        <v>70</v>
      </c>
      <c r="D74" s="229"/>
      <c r="E74" s="752">
        <v>71797447.560000002</v>
      </c>
      <c r="F74" s="230">
        <v>4128221.21</v>
      </c>
      <c r="G74" s="230">
        <v>2450514.75</v>
      </c>
      <c r="H74" s="230">
        <v>991071.1</v>
      </c>
      <c r="I74" s="230">
        <v>18977352.940000001</v>
      </c>
      <c r="J74" s="230">
        <v>633591.15</v>
      </c>
      <c r="K74" s="230">
        <v>0</v>
      </c>
      <c r="L74" s="230">
        <v>5929589.2400000002</v>
      </c>
      <c r="M74" s="230">
        <v>5758615.9699999997</v>
      </c>
      <c r="N74" s="230">
        <v>23292145.649999999</v>
      </c>
      <c r="O74" s="230">
        <v>8749581.6400000006</v>
      </c>
      <c r="P74" s="230">
        <v>886619.66</v>
      </c>
      <c r="Q74" s="230">
        <v>144.25</v>
      </c>
      <c r="R74" s="286">
        <v>0</v>
      </c>
    </row>
    <row r="75" spans="2:18" ht="12.6" customHeight="1" x14ac:dyDescent="0.2">
      <c r="B75" s="142"/>
      <c r="D75" s="89" t="s">
        <v>72</v>
      </c>
      <c r="E75" s="371">
        <v>22093258.93</v>
      </c>
      <c r="F75" s="90">
        <v>1421141.73</v>
      </c>
      <c r="G75" s="90">
        <v>778144.37</v>
      </c>
      <c r="H75" s="90">
        <v>342749</v>
      </c>
      <c r="I75" s="90">
        <v>6034872.3399999999</v>
      </c>
      <c r="J75" s="90">
        <v>158457.39000000001</v>
      </c>
      <c r="K75" s="90">
        <v>0</v>
      </c>
      <c r="L75" s="90">
        <v>1458906.22</v>
      </c>
      <c r="M75" s="90">
        <v>1770857.01</v>
      </c>
      <c r="N75" s="90">
        <v>5515356.04</v>
      </c>
      <c r="O75" s="90">
        <v>4418000.63</v>
      </c>
      <c r="P75" s="90">
        <v>194910.48</v>
      </c>
      <c r="Q75" s="90">
        <v>-136.28</v>
      </c>
      <c r="R75">
        <v>0</v>
      </c>
    </row>
    <row r="76" spans="2:18" ht="12.75" customHeight="1" x14ac:dyDescent="0.2">
      <c r="B76" s="142"/>
      <c r="D76" s="89" t="s">
        <v>81</v>
      </c>
      <c r="E76" s="371">
        <v>17021.45</v>
      </c>
      <c r="F76" s="90">
        <v>1413.33</v>
      </c>
      <c r="G76" s="90">
        <v>751.77</v>
      </c>
      <c r="H76" s="90">
        <v>431.98</v>
      </c>
      <c r="I76" s="90">
        <v>3886.9</v>
      </c>
      <c r="J76" s="90">
        <v>91.78</v>
      </c>
      <c r="K76" s="90">
        <v>0</v>
      </c>
      <c r="L76" s="90">
        <v>805.04</v>
      </c>
      <c r="M76" s="90">
        <v>1177.57</v>
      </c>
      <c r="N76" s="90">
        <v>5500.97</v>
      </c>
      <c r="O76" s="90">
        <v>2812.31</v>
      </c>
      <c r="P76" s="90">
        <v>149.78</v>
      </c>
      <c r="Q76" s="90">
        <v>0.02</v>
      </c>
      <c r="R76">
        <v>0</v>
      </c>
    </row>
    <row r="77" spans="2:18" ht="12.75" customHeight="1" x14ac:dyDescent="0.2">
      <c r="B77" s="142"/>
      <c r="C77" t="s">
        <v>115</v>
      </c>
      <c r="D77" s="89" t="s">
        <v>70</v>
      </c>
      <c r="E77" s="90">
        <v>22110280.379999999</v>
      </c>
      <c r="F77" s="90">
        <v>1422555.06</v>
      </c>
      <c r="G77" s="90">
        <v>778896.14</v>
      </c>
      <c r="H77" s="90">
        <v>343180.98</v>
      </c>
      <c r="I77" s="90">
        <v>6038759.2400000002</v>
      </c>
      <c r="J77" s="90">
        <v>158549.17000000001</v>
      </c>
      <c r="K77" s="90">
        <v>0</v>
      </c>
      <c r="L77" s="90">
        <v>1459711.26</v>
      </c>
      <c r="M77" s="90">
        <v>1772034.58</v>
      </c>
      <c r="N77" s="90">
        <v>5520857.0099999998</v>
      </c>
      <c r="O77" s="90">
        <v>4420812.9400000004</v>
      </c>
      <c r="P77" s="90">
        <v>195060.26</v>
      </c>
      <c r="Q77" s="90">
        <v>-136.26</v>
      </c>
      <c r="R77">
        <v>0</v>
      </c>
    </row>
    <row r="78" spans="2:18" ht="12.75" customHeight="1" x14ac:dyDescent="0.2">
      <c r="B78" s="142"/>
      <c r="C78" s="89"/>
      <c r="D78" s="89" t="s">
        <v>72</v>
      </c>
      <c r="E78" s="371">
        <v>1616173.63</v>
      </c>
      <c r="F78" s="90">
        <v>90529.5</v>
      </c>
      <c r="G78" s="90">
        <v>47826.83</v>
      </c>
      <c r="H78" s="90">
        <v>24108.87</v>
      </c>
      <c r="I78" s="90">
        <v>433611.64</v>
      </c>
      <c r="J78" s="90">
        <v>13309</v>
      </c>
      <c r="K78" s="90">
        <v>0</v>
      </c>
      <c r="L78" s="90">
        <v>100420.03</v>
      </c>
      <c r="M78" s="90">
        <v>121133.57</v>
      </c>
      <c r="N78" s="90">
        <v>423371.69</v>
      </c>
      <c r="O78" s="90">
        <v>346736.28</v>
      </c>
      <c r="P78" s="90">
        <v>15115.46</v>
      </c>
      <c r="Q78" s="90">
        <v>10.76</v>
      </c>
      <c r="R78">
        <v>0</v>
      </c>
    </row>
    <row r="79" spans="2:18" ht="12.75" customHeight="1" x14ac:dyDescent="0.2">
      <c r="B79" s="142"/>
      <c r="D79" s="89" t="s">
        <v>81</v>
      </c>
      <c r="E79" s="371">
        <v>406.42</v>
      </c>
      <c r="F79" s="90">
        <v>41.47</v>
      </c>
      <c r="G79" s="90">
        <v>21.23</v>
      </c>
      <c r="H79" s="90">
        <v>12.67</v>
      </c>
      <c r="I79" s="90">
        <v>83.96</v>
      </c>
      <c r="J79" s="90">
        <v>1.95</v>
      </c>
      <c r="K79" s="90">
        <v>0</v>
      </c>
      <c r="L79" s="90">
        <v>17.12</v>
      </c>
      <c r="M79" s="90">
        <v>25.02</v>
      </c>
      <c r="N79" s="90">
        <v>117.24</v>
      </c>
      <c r="O79" s="90">
        <v>82.58</v>
      </c>
      <c r="P79" s="90">
        <v>3.19</v>
      </c>
      <c r="Q79" s="90">
        <v>-0.01</v>
      </c>
      <c r="R79">
        <v>0</v>
      </c>
    </row>
    <row r="80" spans="2:18" ht="12.75" customHeight="1" x14ac:dyDescent="0.2">
      <c r="B80" s="142"/>
      <c r="C80" s="89" t="s">
        <v>116</v>
      </c>
      <c r="D80" s="89" t="s">
        <v>70</v>
      </c>
      <c r="E80" s="371">
        <v>1616580.05</v>
      </c>
      <c r="F80" s="90">
        <v>90570.97</v>
      </c>
      <c r="G80" s="90">
        <v>47848.06</v>
      </c>
      <c r="H80" s="90">
        <v>24121.54</v>
      </c>
      <c r="I80" s="90">
        <v>433695.6</v>
      </c>
      <c r="J80" s="90">
        <v>13310.95</v>
      </c>
      <c r="K80" s="90">
        <v>0</v>
      </c>
      <c r="L80" s="90">
        <v>100437.15</v>
      </c>
      <c r="M80" s="90">
        <v>121158.59</v>
      </c>
      <c r="N80" s="90">
        <v>423488.93</v>
      </c>
      <c r="O80" s="90">
        <v>346818.86</v>
      </c>
      <c r="P80" s="90">
        <v>15118.65</v>
      </c>
      <c r="Q80" s="90">
        <v>10.75</v>
      </c>
      <c r="R80">
        <v>0</v>
      </c>
    </row>
    <row r="81" spans="2:18" ht="12.75" customHeight="1" x14ac:dyDescent="0.2">
      <c r="B81" s="142"/>
      <c r="C81" s="89"/>
      <c r="D81" s="89" t="s">
        <v>72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2:18" ht="12.75" customHeight="1" x14ac:dyDescent="0.2">
      <c r="B82" s="142"/>
      <c r="C82" s="89"/>
      <c r="D82" s="89" t="s">
        <v>81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2:18" ht="12.75" customHeight="1" x14ac:dyDescent="0.2">
      <c r="B83" s="142"/>
      <c r="C83" s="773">
        <v>3</v>
      </c>
      <c r="D83" s="89" t="s">
        <v>70</v>
      </c>
      <c r="E83" s="371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>
        <v>0</v>
      </c>
    </row>
    <row r="84" spans="2:18" ht="12.75" customHeight="1" x14ac:dyDescent="0.2">
      <c r="B84" s="142"/>
      <c r="C84" s="89"/>
      <c r="D84" s="89" t="s">
        <v>72</v>
      </c>
      <c r="E84" s="371">
        <v>27690465.370000001</v>
      </c>
      <c r="F84" s="90">
        <v>1701572.26</v>
      </c>
      <c r="G84" s="90">
        <v>971553.65</v>
      </c>
      <c r="H84" s="90">
        <v>405189.21</v>
      </c>
      <c r="I84" s="90">
        <v>7839404.5700000003</v>
      </c>
      <c r="J84" s="90">
        <v>234550.49</v>
      </c>
      <c r="K84" s="90">
        <v>0</v>
      </c>
      <c r="L84" s="90">
        <v>2072653.22</v>
      </c>
      <c r="M84" s="90">
        <v>2236559.98</v>
      </c>
      <c r="N84" s="90">
        <v>8259845.4400000004</v>
      </c>
      <c r="O84" s="90">
        <v>3677240.61</v>
      </c>
      <c r="P84" s="90">
        <v>291796.3</v>
      </c>
      <c r="Q84" s="90">
        <v>99.64</v>
      </c>
      <c r="R84">
        <v>0</v>
      </c>
    </row>
    <row r="85" spans="2:18" ht="12.75" customHeight="1" x14ac:dyDescent="0.2">
      <c r="B85" s="142"/>
      <c r="C85" s="89"/>
      <c r="D85" s="89" t="s">
        <v>81</v>
      </c>
      <c r="E85" s="371">
        <v>220606.32</v>
      </c>
      <c r="F85" s="90">
        <v>2079.3000000000002</v>
      </c>
      <c r="G85" s="90">
        <v>1101.5999999999999</v>
      </c>
      <c r="H85" s="90">
        <v>634.08000000000004</v>
      </c>
      <c r="I85" s="90">
        <v>4056.19</v>
      </c>
      <c r="J85" s="90">
        <v>100.05</v>
      </c>
      <c r="K85" s="90">
        <v>0</v>
      </c>
      <c r="L85" s="90">
        <v>31497.06</v>
      </c>
      <c r="M85" s="90">
        <v>39422.949999999997</v>
      </c>
      <c r="N85" s="90">
        <v>118658.47</v>
      </c>
      <c r="O85" s="90">
        <v>22893.4</v>
      </c>
      <c r="P85" s="90">
        <v>163.27000000000001</v>
      </c>
      <c r="Q85" s="90">
        <v>-0.05</v>
      </c>
      <c r="R85">
        <v>0</v>
      </c>
    </row>
    <row r="86" spans="2:18" ht="12.75" customHeight="1" x14ac:dyDescent="0.2">
      <c r="B86" s="142"/>
      <c r="C86" s="89" t="s">
        <v>118</v>
      </c>
      <c r="D86" s="89" t="s">
        <v>70</v>
      </c>
      <c r="E86" s="371">
        <v>27911071.690000001</v>
      </c>
      <c r="F86" s="90">
        <v>1703651.56</v>
      </c>
      <c r="G86" s="90">
        <v>972655.25</v>
      </c>
      <c r="H86" s="90">
        <v>405823.29</v>
      </c>
      <c r="I86" s="90">
        <v>7843460.7599999998</v>
      </c>
      <c r="J86" s="90">
        <v>234650.54</v>
      </c>
      <c r="K86" s="90">
        <v>0</v>
      </c>
      <c r="L86" s="90">
        <v>2104150.2799999998</v>
      </c>
      <c r="M86" s="90">
        <v>2275982.9300000002</v>
      </c>
      <c r="N86" s="90">
        <v>8378503.9100000001</v>
      </c>
      <c r="O86" s="90">
        <v>3700134.01</v>
      </c>
      <c r="P86" s="90">
        <v>291959.57</v>
      </c>
      <c r="Q86" s="90">
        <v>99.59</v>
      </c>
      <c r="R86">
        <v>0</v>
      </c>
    </row>
    <row r="87" spans="2:18" ht="12.75" customHeight="1" x14ac:dyDescent="0.2">
      <c r="B87" s="142"/>
      <c r="C87" s="89"/>
      <c r="D87" s="89" t="s">
        <v>72</v>
      </c>
      <c r="E87" s="371">
        <v>831919.29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4321.1400000000003</v>
      </c>
      <c r="M87" s="90">
        <v>6126.52</v>
      </c>
      <c r="N87" s="90">
        <v>6629.52</v>
      </c>
      <c r="O87" s="90">
        <v>814845.14</v>
      </c>
      <c r="P87" s="90">
        <v>0</v>
      </c>
      <c r="Q87" s="90">
        <v>-3.03</v>
      </c>
      <c r="R87">
        <v>0</v>
      </c>
    </row>
    <row r="88" spans="2:18" ht="12.75" customHeight="1" x14ac:dyDescent="0.2">
      <c r="B88" s="142"/>
      <c r="C88" s="89"/>
      <c r="D88" s="89" t="s">
        <v>81</v>
      </c>
      <c r="E88" s="371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>
        <v>0</v>
      </c>
    </row>
    <row r="89" spans="2:18" ht="12.75" customHeight="1" x14ac:dyDescent="0.2">
      <c r="B89" s="142"/>
      <c r="C89" s="773" t="s">
        <v>340</v>
      </c>
      <c r="D89" s="89" t="s">
        <v>70</v>
      </c>
      <c r="E89" s="371">
        <v>831919.29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4321.1400000000003</v>
      </c>
      <c r="M89" s="90">
        <v>6126.52</v>
      </c>
      <c r="N89" s="90">
        <v>6629.52</v>
      </c>
      <c r="O89" s="90">
        <v>814845.14</v>
      </c>
      <c r="P89" s="90">
        <v>0</v>
      </c>
      <c r="Q89" s="90">
        <v>-3.03</v>
      </c>
      <c r="R89">
        <v>0</v>
      </c>
    </row>
    <row r="90" spans="2:18" s="224" customFormat="1" ht="12.75" customHeight="1" x14ac:dyDescent="0.2">
      <c r="B90" s="224" t="s">
        <v>120</v>
      </c>
      <c r="C90" s="224" t="s">
        <v>70</v>
      </c>
      <c r="E90" s="224">
        <v>52469851.409999996</v>
      </c>
      <c r="F90" s="224">
        <v>3216777.59</v>
      </c>
      <c r="G90" s="224">
        <v>1799399.45</v>
      </c>
      <c r="H90" s="224">
        <v>773125.81</v>
      </c>
      <c r="I90" s="224">
        <v>14315915.6</v>
      </c>
      <c r="J90" s="224">
        <v>406510.66</v>
      </c>
      <c r="K90" s="224">
        <v>0</v>
      </c>
      <c r="L90" s="224">
        <v>3668619.83</v>
      </c>
      <c r="M90" s="224">
        <v>4175302.62</v>
      </c>
      <c r="N90" s="224">
        <v>14329479.369999999</v>
      </c>
      <c r="O90" s="224">
        <v>9282610.9499999993</v>
      </c>
      <c r="P90" s="224">
        <v>502138.48</v>
      </c>
      <c r="Q90" s="224">
        <v>-28.95</v>
      </c>
      <c r="R90" s="224">
        <v>0</v>
      </c>
    </row>
    <row r="91" spans="2:18" ht="12.75" customHeight="1" x14ac:dyDescent="0.2">
      <c r="D91" t="s">
        <v>72</v>
      </c>
      <c r="E91" s="142">
        <v>11075334.51</v>
      </c>
      <c r="F91">
        <v>821378.55</v>
      </c>
      <c r="G91">
        <v>465927.35</v>
      </c>
      <c r="H91">
        <v>215214.87</v>
      </c>
      <c r="I91">
        <v>2963943.27</v>
      </c>
      <c r="J91">
        <v>82515.34</v>
      </c>
      <c r="K91">
        <v>0</v>
      </c>
      <c r="L91">
        <v>658290.51</v>
      </c>
      <c r="M91">
        <v>834824.5</v>
      </c>
      <c r="N91">
        <v>3348380.91</v>
      </c>
      <c r="O91">
        <v>1591238.38</v>
      </c>
      <c r="P91">
        <v>93600.37</v>
      </c>
      <c r="Q91">
        <v>20.46</v>
      </c>
      <c r="R91">
        <v>0</v>
      </c>
    </row>
    <row r="92" spans="2:18" ht="12.75" customHeight="1" x14ac:dyDescent="0.2">
      <c r="D92" t="s">
        <v>81</v>
      </c>
      <c r="E92" s="142">
        <v>20136.060000000001</v>
      </c>
      <c r="F92">
        <v>2455.33</v>
      </c>
      <c r="G92">
        <v>1132.97</v>
      </c>
      <c r="H92">
        <v>675.49</v>
      </c>
      <c r="I92">
        <v>3924.78</v>
      </c>
      <c r="J92">
        <v>92.44</v>
      </c>
      <c r="K92">
        <v>0</v>
      </c>
      <c r="L92">
        <v>810.75</v>
      </c>
      <c r="M92">
        <v>1058.05</v>
      </c>
      <c r="N92">
        <v>4906.9799999999996</v>
      </c>
      <c r="O92">
        <v>4928.45</v>
      </c>
      <c r="P92">
        <v>150.80000000000001</v>
      </c>
      <c r="Q92">
        <v>0.02</v>
      </c>
      <c r="R92">
        <v>0</v>
      </c>
    </row>
    <row r="93" spans="2:18" ht="12.75" customHeight="1" x14ac:dyDescent="0.2">
      <c r="C93" t="s">
        <v>82</v>
      </c>
      <c r="D93" t="s">
        <v>70</v>
      </c>
      <c r="E93" s="142">
        <v>11095470.57</v>
      </c>
      <c r="F93">
        <v>823833.88</v>
      </c>
      <c r="G93">
        <v>467060.32</v>
      </c>
      <c r="H93">
        <v>215890.36</v>
      </c>
      <c r="I93">
        <v>2967868.05</v>
      </c>
      <c r="J93">
        <v>82607.78</v>
      </c>
      <c r="K93">
        <v>0</v>
      </c>
      <c r="L93">
        <v>659101.26</v>
      </c>
      <c r="M93">
        <v>835882.55</v>
      </c>
      <c r="N93">
        <v>3353287.89</v>
      </c>
      <c r="O93">
        <v>1596166.83</v>
      </c>
      <c r="P93">
        <v>93751.17</v>
      </c>
      <c r="Q93">
        <v>20.48</v>
      </c>
      <c r="R93">
        <v>0</v>
      </c>
    </row>
    <row r="94" spans="2:18" ht="12.75" customHeight="1" x14ac:dyDescent="0.2">
      <c r="D94" t="s">
        <v>72</v>
      </c>
      <c r="E94" s="142">
        <v>38346937.409999996</v>
      </c>
      <c r="F94">
        <v>3218428.18</v>
      </c>
      <c r="G94">
        <v>1802927.88</v>
      </c>
      <c r="H94">
        <v>864947.8</v>
      </c>
      <c r="I94">
        <v>8956303.5800000001</v>
      </c>
      <c r="J94">
        <v>272835.84999999998</v>
      </c>
      <c r="K94">
        <v>0</v>
      </c>
      <c r="L94">
        <v>2439524.5499999998</v>
      </c>
      <c r="M94">
        <v>2783253.06</v>
      </c>
      <c r="N94">
        <v>10966064.279999999</v>
      </c>
      <c r="O94">
        <v>6668396.54</v>
      </c>
      <c r="P94">
        <v>374240.28</v>
      </c>
      <c r="Q94">
        <v>15.41</v>
      </c>
      <c r="R94">
        <v>0</v>
      </c>
    </row>
    <row r="95" spans="2:18" ht="12.75" customHeight="1" x14ac:dyDescent="0.2">
      <c r="D95" t="s">
        <v>81</v>
      </c>
      <c r="E95" s="142">
        <v>435116.55</v>
      </c>
      <c r="F95">
        <v>47759.13</v>
      </c>
      <c r="G95">
        <v>22622.799999999999</v>
      </c>
      <c r="H95">
        <v>11464.99</v>
      </c>
      <c r="I95">
        <v>86745.59</v>
      </c>
      <c r="J95">
        <v>2665.2</v>
      </c>
      <c r="K95">
        <v>0</v>
      </c>
      <c r="L95">
        <v>22811.78</v>
      </c>
      <c r="M95">
        <v>28601.42</v>
      </c>
      <c r="N95">
        <v>113175.65</v>
      </c>
      <c r="O95">
        <v>94916.98</v>
      </c>
      <c r="P95">
        <v>4352.25</v>
      </c>
      <c r="Q95">
        <v>0.76</v>
      </c>
      <c r="R95">
        <v>0</v>
      </c>
    </row>
    <row r="96" spans="2:18" ht="12.75" customHeight="1" x14ac:dyDescent="0.2">
      <c r="C96" t="s">
        <v>86</v>
      </c>
      <c r="D96" t="s">
        <v>70</v>
      </c>
      <c r="E96">
        <v>38782053.960000001</v>
      </c>
      <c r="F96">
        <v>3266187.31</v>
      </c>
      <c r="G96">
        <v>1825550.68</v>
      </c>
      <c r="H96">
        <v>876412.79</v>
      </c>
      <c r="I96">
        <v>9043049.1699999999</v>
      </c>
      <c r="J96">
        <v>275501.05</v>
      </c>
      <c r="K96">
        <v>0</v>
      </c>
      <c r="L96">
        <v>2462336.33</v>
      </c>
      <c r="M96">
        <v>2811854.48</v>
      </c>
      <c r="N96">
        <v>11079239.93</v>
      </c>
      <c r="O96">
        <v>6763313.5199999996</v>
      </c>
      <c r="P96">
        <v>378592.53</v>
      </c>
      <c r="Q96">
        <v>16.170000000000002</v>
      </c>
      <c r="R96">
        <v>0</v>
      </c>
    </row>
    <row r="97" spans="1:18" ht="12.75" customHeight="1" x14ac:dyDescent="0.2">
      <c r="D97" t="s">
        <v>72</v>
      </c>
      <c r="E97">
        <v>42498048.93</v>
      </c>
      <c r="F97">
        <v>5756619.9299999997</v>
      </c>
      <c r="G97">
        <v>3216233.52</v>
      </c>
      <c r="H97">
        <v>1817946.33</v>
      </c>
      <c r="I97">
        <v>1910670.24</v>
      </c>
      <c r="J97">
        <v>53108.69</v>
      </c>
      <c r="K97">
        <v>0</v>
      </c>
      <c r="L97">
        <v>473073.31</v>
      </c>
      <c r="M97">
        <v>611269.16</v>
      </c>
      <c r="N97">
        <v>2270384.89</v>
      </c>
      <c r="O97">
        <v>26329366.120000001</v>
      </c>
      <c r="P97">
        <v>59347.07</v>
      </c>
      <c r="Q97">
        <v>29.67</v>
      </c>
      <c r="R97">
        <v>0</v>
      </c>
    </row>
    <row r="98" spans="1:18" ht="12.75" customHeight="1" x14ac:dyDescent="0.2">
      <c r="D98" t="s">
        <v>81</v>
      </c>
      <c r="E98" s="142">
        <v>9526.39</v>
      </c>
      <c r="F98">
        <v>1485.4</v>
      </c>
      <c r="G98">
        <v>831.8</v>
      </c>
      <c r="H98">
        <v>440.06</v>
      </c>
      <c r="I98">
        <v>1225.21</v>
      </c>
      <c r="J98">
        <v>39.880000000000003</v>
      </c>
      <c r="K98">
        <v>0</v>
      </c>
      <c r="L98">
        <v>349.95</v>
      </c>
      <c r="M98">
        <v>378.78</v>
      </c>
      <c r="N98">
        <v>1754.01</v>
      </c>
      <c r="O98">
        <v>2956.22</v>
      </c>
      <c r="P98">
        <v>65.09</v>
      </c>
      <c r="Q98">
        <v>-0.01</v>
      </c>
      <c r="R98">
        <v>0</v>
      </c>
    </row>
    <row r="99" spans="1:18" ht="12.75" customHeight="1" x14ac:dyDescent="0.2">
      <c r="C99" s="89" t="s">
        <v>87</v>
      </c>
      <c r="D99" s="89" t="s">
        <v>70</v>
      </c>
      <c r="E99" s="90">
        <v>42507575.32</v>
      </c>
      <c r="F99" s="90">
        <v>5758105.3300000001</v>
      </c>
      <c r="G99" s="90">
        <v>3217065.32</v>
      </c>
      <c r="H99" s="90">
        <v>1818386.39</v>
      </c>
      <c r="I99" s="90">
        <v>1911895.45</v>
      </c>
      <c r="J99" s="90">
        <v>53148.57</v>
      </c>
      <c r="K99" s="90">
        <v>0</v>
      </c>
      <c r="L99" s="90">
        <v>473423.26</v>
      </c>
      <c r="M99" s="90">
        <v>611647.93999999994</v>
      </c>
      <c r="N99" s="90">
        <v>2272138.9</v>
      </c>
      <c r="O99" s="90">
        <v>26332322.34</v>
      </c>
      <c r="P99" s="90">
        <v>59412.160000000003</v>
      </c>
      <c r="Q99" s="90">
        <v>29.66</v>
      </c>
      <c r="R99">
        <v>0</v>
      </c>
    </row>
    <row r="100" spans="1:18" s="94" customFormat="1" ht="12.75" customHeight="1" x14ac:dyDescent="0.2">
      <c r="B100" s="94" t="s">
        <v>119</v>
      </c>
      <c r="C100" s="101" t="s">
        <v>70</v>
      </c>
      <c r="D100" s="101"/>
      <c r="E100" s="93">
        <v>92385099.849999994</v>
      </c>
      <c r="F100" s="93">
        <v>9848126.5199999996</v>
      </c>
      <c r="G100" s="93">
        <v>5509676.3200000003</v>
      </c>
      <c r="H100" s="93">
        <v>2910689.54</v>
      </c>
      <c r="I100" s="93">
        <v>13922812.67</v>
      </c>
      <c r="J100" s="93">
        <v>411257.4</v>
      </c>
      <c r="K100" s="93">
        <v>0</v>
      </c>
      <c r="L100" s="93">
        <v>3594860.85</v>
      </c>
      <c r="M100" s="93">
        <v>4259384.97</v>
      </c>
      <c r="N100" s="93">
        <v>16704666.720000001</v>
      </c>
      <c r="O100" s="93">
        <v>34691802.689999998</v>
      </c>
      <c r="P100" s="93">
        <v>531755.86</v>
      </c>
      <c r="Q100" s="93">
        <v>66.31</v>
      </c>
      <c r="R100" s="94">
        <v>0</v>
      </c>
    </row>
    <row r="101" spans="1:18" s="226" customFormat="1" ht="12.75" customHeight="1" x14ac:dyDescent="0.2">
      <c r="A101" s="98" t="s">
        <v>78</v>
      </c>
      <c r="B101" s="98" t="s">
        <v>70</v>
      </c>
      <c r="E101" s="100">
        <v>216652398.81999999</v>
      </c>
      <c r="F101" s="100">
        <v>17193125.32</v>
      </c>
      <c r="G101" s="100">
        <v>9759590.5199999996</v>
      </c>
      <c r="H101" s="100">
        <v>4674886.45</v>
      </c>
      <c r="I101" s="100">
        <v>47216081.210000001</v>
      </c>
      <c r="J101" s="100">
        <v>1451359.21</v>
      </c>
      <c r="K101" s="100">
        <v>0</v>
      </c>
      <c r="L101" s="100">
        <v>13193069.92</v>
      </c>
      <c r="M101" s="100">
        <v>14193303.560000001</v>
      </c>
      <c r="N101" s="100">
        <v>54326291.740000002</v>
      </c>
      <c r="O101" s="100">
        <v>52723995.280000001</v>
      </c>
      <c r="P101" s="100">
        <v>1920514</v>
      </c>
      <c r="Q101" s="100">
        <v>181.61</v>
      </c>
      <c r="R101" s="226">
        <v>0</v>
      </c>
    </row>
    <row r="102" spans="1:18" ht="12.75" customHeight="1" x14ac:dyDescent="0.2">
      <c r="C102" s="89"/>
      <c r="D102" s="89" t="s">
        <v>73</v>
      </c>
      <c r="E102" s="90">
        <v>-16121294.859999999</v>
      </c>
      <c r="F102" s="90">
        <v>-535197.18999999994</v>
      </c>
      <c r="G102" s="90">
        <v>-315094.83</v>
      </c>
      <c r="H102" s="90">
        <v>-189104.93</v>
      </c>
      <c r="I102" s="90">
        <v>-4617623.13</v>
      </c>
      <c r="J102" s="90">
        <v>-160785.5</v>
      </c>
      <c r="K102" s="90">
        <v>0</v>
      </c>
      <c r="L102" s="90">
        <v>-1360058.01</v>
      </c>
      <c r="M102" s="90">
        <v>-1315487.9099999999</v>
      </c>
      <c r="N102" s="90">
        <v>-6434917.6900000004</v>
      </c>
      <c r="O102" s="90">
        <v>-931826.69</v>
      </c>
      <c r="P102" s="90">
        <v>-261198.98</v>
      </c>
      <c r="Q102" s="90">
        <v>0</v>
      </c>
      <c r="R102">
        <v>0</v>
      </c>
    </row>
    <row r="103" spans="1:18" ht="12.75" customHeight="1" x14ac:dyDescent="0.2">
      <c r="C103" s="89" t="s">
        <v>156</v>
      </c>
      <c r="D103" s="89" t="s">
        <v>70</v>
      </c>
      <c r="E103" s="371">
        <v>-16121294.859999999</v>
      </c>
      <c r="F103" s="90">
        <v>-535197.18999999994</v>
      </c>
      <c r="G103" s="90">
        <v>-315094.83</v>
      </c>
      <c r="H103" s="90">
        <v>-189104.93</v>
      </c>
      <c r="I103" s="90">
        <v>-4617623.13</v>
      </c>
      <c r="J103" s="90">
        <v>-160785.5</v>
      </c>
      <c r="K103" s="90">
        <v>0</v>
      </c>
      <c r="L103" s="90">
        <v>-1360058.01</v>
      </c>
      <c r="M103" s="90">
        <v>-1315487.9099999999</v>
      </c>
      <c r="N103" s="90">
        <v>-6434917.6900000004</v>
      </c>
      <c r="O103" s="90">
        <v>-931826.69</v>
      </c>
      <c r="P103" s="90">
        <v>-261198.98</v>
      </c>
      <c r="Q103" s="90">
        <v>0</v>
      </c>
      <c r="R103">
        <v>0</v>
      </c>
    </row>
    <row r="104" spans="1:18" s="286" customFormat="1" ht="12.75" customHeight="1" x14ac:dyDescent="0.2">
      <c r="B104" s="286" t="s">
        <v>155</v>
      </c>
      <c r="C104" s="229" t="s">
        <v>70</v>
      </c>
      <c r="D104" s="229"/>
      <c r="E104" s="752">
        <v>-16121294.859999999</v>
      </c>
      <c r="F104" s="230">
        <v>-535197.18999999994</v>
      </c>
      <c r="G104" s="230">
        <v>-315094.83</v>
      </c>
      <c r="H104" s="230">
        <v>-189104.93</v>
      </c>
      <c r="I104" s="230">
        <v>-4617623.13</v>
      </c>
      <c r="J104" s="230">
        <v>-160785.5</v>
      </c>
      <c r="K104" s="230">
        <v>0</v>
      </c>
      <c r="L104" s="230">
        <v>-1360058.01</v>
      </c>
      <c r="M104" s="230">
        <v>-1315487.9099999999</v>
      </c>
      <c r="N104" s="230">
        <v>-6434917.6900000004</v>
      </c>
      <c r="O104" s="230">
        <v>-931826.69</v>
      </c>
      <c r="P104" s="230">
        <v>-261198.98</v>
      </c>
      <c r="Q104" s="230">
        <v>0</v>
      </c>
      <c r="R104" s="286">
        <v>0</v>
      </c>
    </row>
    <row r="105" spans="1:18" ht="12.75" customHeight="1" x14ac:dyDescent="0.2">
      <c r="C105" s="89"/>
      <c r="D105" s="89" t="s">
        <v>73</v>
      </c>
      <c r="E105" s="371">
        <v>-7006158.79</v>
      </c>
      <c r="F105" s="90">
        <v>-282130</v>
      </c>
      <c r="G105" s="90">
        <v>-165135.70000000001</v>
      </c>
      <c r="H105" s="90">
        <v>-90452.73</v>
      </c>
      <c r="I105" s="90">
        <v>-1975334.97</v>
      </c>
      <c r="J105" s="90">
        <v>-54298.01</v>
      </c>
      <c r="K105" s="90">
        <v>0</v>
      </c>
      <c r="L105" s="90">
        <v>-461440.15</v>
      </c>
      <c r="M105" s="90">
        <v>-581546.05000000005</v>
      </c>
      <c r="N105" s="90">
        <v>-2784117.01</v>
      </c>
      <c r="O105" s="90">
        <v>-524106.95</v>
      </c>
      <c r="P105" s="90">
        <v>-87597.22</v>
      </c>
      <c r="Q105" s="90">
        <v>0</v>
      </c>
      <c r="R105">
        <v>0</v>
      </c>
    </row>
    <row r="106" spans="1:18" ht="12.75" customHeight="1" x14ac:dyDescent="0.2">
      <c r="C106" s="89" t="s">
        <v>115</v>
      </c>
      <c r="D106" s="89" t="s">
        <v>70</v>
      </c>
      <c r="E106" s="90">
        <v>-7006158.79</v>
      </c>
      <c r="F106" s="90">
        <v>-282130</v>
      </c>
      <c r="G106" s="90">
        <v>-165135.70000000001</v>
      </c>
      <c r="H106" s="90">
        <v>-90452.73</v>
      </c>
      <c r="I106" s="90">
        <v>-1975334.97</v>
      </c>
      <c r="J106" s="90">
        <v>-54298.01</v>
      </c>
      <c r="K106" s="90">
        <v>0</v>
      </c>
      <c r="L106" s="90">
        <v>-461440.15</v>
      </c>
      <c r="M106" s="90">
        <v>-581546.05000000005</v>
      </c>
      <c r="N106" s="90">
        <v>-2784117.01</v>
      </c>
      <c r="O106" s="90">
        <v>-524106.95</v>
      </c>
      <c r="P106" s="90">
        <v>-87597.22</v>
      </c>
      <c r="Q106" s="90">
        <v>0</v>
      </c>
      <c r="R106">
        <v>0</v>
      </c>
    </row>
    <row r="107" spans="1:18" ht="12.75" customHeight="1" x14ac:dyDescent="0.2">
      <c r="C107" s="89"/>
      <c r="D107" s="89" t="s">
        <v>73</v>
      </c>
      <c r="E107" s="371">
        <v>-413701.38</v>
      </c>
      <c r="F107" s="90">
        <v>-13440.26</v>
      </c>
      <c r="G107" s="90">
        <v>-10533.25</v>
      </c>
      <c r="H107" s="90">
        <v>-5516.47</v>
      </c>
      <c r="I107" s="90">
        <v>-126463.9</v>
      </c>
      <c r="J107" s="90">
        <v>-3757.16</v>
      </c>
      <c r="K107" s="90">
        <v>0</v>
      </c>
      <c r="L107" s="90">
        <v>-30796.66</v>
      </c>
      <c r="M107" s="90">
        <v>-32644.48</v>
      </c>
      <c r="N107" s="90">
        <v>-158503.21</v>
      </c>
      <c r="O107" s="90">
        <v>-25915.95</v>
      </c>
      <c r="P107" s="90">
        <v>-6130.04</v>
      </c>
      <c r="Q107" s="90">
        <v>0</v>
      </c>
      <c r="R107">
        <v>0</v>
      </c>
    </row>
    <row r="108" spans="1:18" ht="12.75" customHeight="1" x14ac:dyDescent="0.2">
      <c r="C108" s="89" t="s">
        <v>116</v>
      </c>
      <c r="D108" s="89" t="s">
        <v>70</v>
      </c>
      <c r="E108" s="90">
        <v>-413701.38</v>
      </c>
      <c r="F108" s="90">
        <v>-13440.26</v>
      </c>
      <c r="G108" s="90">
        <v>-10533.25</v>
      </c>
      <c r="H108" s="90">
        <v>-5516.47</v>
      </c>
      <c r="I108" s="90">
        <v>-126463.9</v>
      </c>
      <c r="J108" s="90">
        <v>-3757.16</v>
      </c>
      <c r="K108" s="90">
        <v>0</v>
      </c>
      <c r="L108" s="90">
        <v>-30796.66</v>
      </c>
      <c r="M108" s="90">
        <v>-32644.48</v>
      </c>
      <c r="N108" s="90">
        <v>-158503.21</v>
      </c>
      <c r="O108" s="90">
        <v>-25915.95</v>
      </c>
      <c r="P108" s="90">
        <v>-6130.04</v>
      </c>
      <c r="Q108" s="90">
        <v>0</v>
      </c>
      <c r="R108">
        <v>0</v>
      </c>
    </row>
    <row r="109" spans="1:18" ht="12.75" customHeight="1" x14ac:dyDescent="0.2">
      <c r="C109" s="89"/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">
      <c r="C110" s="773">
        <v>3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ht="12.75" customHeight="1" x14ac:dyDescent="0.2">
      <c r="C111" s="89"/>
      <c r="D111" s="89" t="s">
        <v>73</v>
      </c>
      <c r="E111" s="371">
        <v>-9635661.9499999993</v>
      </c>
      <c r="F111" s="90">
        <v>-380166.3</v>
      </c>
      <c r="G111" s="90">
        <v>-217737.2</v>
      </c>
      <c r="H111" s="90">
        <v>-115469.42</v>
      </c>
      <c r="I111" s="90">
        <v>-2737350.45</v>
      </c>
      <c r="J111" s="90">
        <v>-82659.66</v>
      </c>
      <c r="K111" s="90">
        <v>0</v>
      </c>
      <c r="L111" s="90">
        <v>-722316.87</v>
      </c>
      <c r="M111" s="90">
        <v>-795775.12</v>
      </c>
      <c r="N111" s="90">
        <v>-3736800.42</v>
      </c>
      <c r="O111" s="90">
        <v>-713130.36</v>
      </c>
      <c r="P111" s="90">
        <v>-134256.15</v>
      </c>
      <c r="Q111" s="90">
        <v>0</v>
      </c>
      <c r="R111">
        <v>0</v>
      </c>
    </row>
    <row r="112" spans="1:18" ht="12.75" customHeight="1" x14ac:dyDescent="0.2">
      <c r="C112" s="89" t="s">
        <v>118</v>
      </c>
      <c r="D112" s="89" t="s">
        <v>70</v>
      </c>
      <c r="E112" s="371">
        <v>-9635661.9499999993</v>
      </c>
      <c r="F112" s="90">
        <v>-380166.3</v>
      </c>
      <c r="G112" s="90">
        <v>-217737.2</v>
      </c>
      <c r="H112" s="90">
        <v>-115469.42</v>
      </c>
      <c r="I112" s="90">
        <v>-2737350.45</v>
      </c>
      <c r="J112" s="90">
        <v>-82659.66</v>
      </c>
      <c r="K112" s="90">
        <v>0</v>
      </c>
      <c r="L112" s="90">
        <v>-722316.87</v>
      </c>
      <c r="M112" s="90">
        <v>-795775.12</v>
      </c>
      <c r="N112" s="90">
        <v>-3736800.42</v>
      </c>
      <c r="O112" s="90">
        <v>-713130.36</v>
      </c>
      <c r="P112" s="90">
        <v>-134256.15</v>
      </c>
      <c r="Q112" s="90">
        <v>0</v>
      </c>
      <c r="R112">
        <v>0</v>
      </c>
    </row>
    <row r="113" spans="1:19" ht="12.75" customHeight="1" x14ac:dyDescent="0.2">
      <c r="C113" s="89"/>
      <c r="D113" s="89" t="s">
        <v>73</v>
      </c>
      <c r="E113" s="371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">
      <c r="C114" s="773">
        <v>9</v>
      </c>
      <c r="D114" s="89" t="s">
        <v>70</v>
      </c>
      <c r="E114" s="371">
        <v>0</v>
      </c>
      <c r="F114" s="90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>
        <v>0</v>
      </c>
    </row>
    <row r="115" spans="1:19" s="224" customFormat="1" ht="12.75" customHeight="1" x14ac:dyDescent="0.2">
      <c r="B115" s="223" t="s">
        <v>120</v>
      </c>
      <c r="C115" s="223" t="s">
        <v>70</v>
      </c>
      <c r="E115" s="225">
        <v>-17055522.120000001</v>
      </c>
      <c r="F115" s="225">
        <v>-675736.56</v>
      </c>
      <c r="G115" s="225">
        <v>-393406.15</v>
      </c>
      <c r="H115" s="225">
        <v>-211438.62</v>
      </c>
      <c r="I115" s="225">
        <v>-4839149.32</v>
      </c>
      <c r="J115" s="225">
        <v>-140714.82999999999</v>
      </c>
      <c r="K115" s="225">
        <v>0</v>
      </c>
      <c r="L115" s="225">
        <v>-1214553.68</v>
      </c>
      <c r="M115" s="225">
        <v>-1409965.65</v>
      </c>
      <c r="N115" s="225">
        <v>-6679420.6399999997</v>
      </c>
      <c r="O115" s="225">
        <v>-1263153.26</v>
      </c>
      <c r="P115" s="225">
        <v>-227983.41</v>
      </c>
      <c r="Q115" s="225">
        <v>0</v>
      </c>
      <c r="R115" s="224">
        <v>0</v>
      </c>
    </row>
    <row r="116" spans="1:19" ht="12.75" customHeight="1" x14ac:dyDescent="0.2">
      <c r="D116" s="89" t="s">
        <v>73</v>
      </c>
      <c r="E116" s="371">
        <v>-2195603.12</v>
      </c>
      <c r="F116" s="90">
        <v>-15588.17</v>
      </c>
      <c r="G116" s="90">
        <v>-50720.73</v>
      </c>
      <c r="H116" s="90">
        <v>1774.73</v>
      </c>
      <c r="I116" s="90">
        <v>-677747.58</v>
      </c>
      <c r="J116" s="90">
        <v>-19775.439999999999</v>
      </c>
      <c r="K116" s="90">
        <v>0</v>
      </c>
      <c r="L116" s="90">
        <v>-165236.81</v>
      </c>
      <c r="M116" s="90">
        <v>-211413.62</v>
      </c>
      <c r="N116" s="90">
        <v>-1031747.22</v>
      </c>
      <c r="O116" s="90">
        <v>5802.43</v>
      </c>
      <c r="P116" s="90">
        <v>-30950.71</v>
      </c>
      <c r="Q116" s="90">
        <v>0</v>
      </c>
      <c r="R116">
        <v>0</v>
      </c>
    </row>
    <row r="117" spans="1:19" ht="12.75" customHeight="1" x14ac:dyDescent="0.2">
      <c r="C117" t="s">
        <v>82</v>
      </c>
      <c r="D117" s="89" t="s">
        <v>70</v>
      </c>
      <c r="E117" s="371">
        <v>-2195603.12</v>
      </c>
      <c r="F117" s="90">
        <v>-15588.17</v>
      </c>
      <c r="G117" s="90">
        <v>-50720.73</v>
      </c>
      <c r="H117" s="90">
        <v>1774.73</v>
      </c>
      <c r="I117" s="90">
        <v>-677747.58</v>
      </c>
      <c r="J117" s="90">
        <v>-19775.439999999999</v>
      </c>
      <c r="K117" s="90">
        <v>0</v>
      </c>
      <c r="L117" s="90">
        <v>-165236.81</v>
      </c>
      <c r="M117" s="90">
        <v>-211413.62</v>
      </c>
      <c r="N117" s="90">
        <v>-1031747.22</v>
      </c>
      <c r="O117" s="90">
        <v>5802.43</v>
      </c>
      <c r="P117" s="90">
        <v>-30950.71</v>
      </c>
      <c r="Q117" s="90">
        <v>0</v>
      </c>
      <c r="R117">
        <v>0</v>
      </c>
    </row>
    <row r="118" spans="1:19" ht="12.75" customHeight="1" x14ac:dyDescent="0.2">
      <c r="D118" s="89" t="s">
        <v>73</v>
      </c>
      <c r="E118" s="371">
        <v>-3983459.54</v>
      </c>
      <c r="F118" s="90">
        <v>385104.44</v>
      </c>
      <c r="G118" s="90">
        <v>177913.53</v>
      </c>
      <c r="H118" s="90">
        <v>79365.09</v>
      </c>
      <c r="I118" s="90">
        <v>-1770775.18</v>
      </c>
      <c r="J118" s="90">
        <v>-54327.37</v>
      </c>
      <c r="K118" s="90">
        <v>0</v>
      </c>
      <c r="L118" s="90">
        <v>-463238.89</v>
      </c>
      <c r="M118" s="90">
        <v>-534634.66</v>
      </c>
      <c r="N118" s="90">
        <v>-2522494.73</v>
      </c>
      <c r="O118" s="90">
        <v>806737.08</v>
      </c>
      <c r="P118" s="90">
        <v>-87108.85</v>
      </c>
      <c r="Q118" s="90">
        <v>0</v>
      </c>
      <c r="R118">
        <v>0</v>
      </c>
    </row>
    <row r="119" spans="1:19" ht="12.75" customHeight="1" x14ac:dyDescent="0.2">
      <c r="C119" t="s">
        <v>86</v>
      </c>
      <c r="D119" s="89" t="s">
        <v>70</v>
      </c>
      <c r="E119" s="371">
        <v>-3983459.54</v>
      </c>
      <c r="F119" s="90">
        <v>385104.44</v>
      </c>
      <c r="G119" s="90">
        <v>177913.53</v>
      </c>
      <c r="H119" s="90">
        <v>79365.09</v>
      </c>
      <c r="I119" s="90">
        <v>-1770775.18</v>
      </c>
      <c r="J119" s="90">
        <v>-54327.37</v>
      </c>
      <c r="K119" s="90">
        <v>0</v>
      </c>
      <c r="L119" s="90">
        <v>-463238.89</v>
      </c>
      <c r="M119" s="90">
        <v>-534634.66</v>
      </c>
      <c r="N119" s="90">
        <v>-2522494.73</v>
      </c>
      <c r="O119" s="90">
        <v>806737.08</v>
      </c>
      <c r="P119" s="90">
        <v>-87108.85</v>
      </c>
      <c r="Q119" s="90">
        <v>0</v>
      </c>
      <c r="R119">
        <v>0</v>
      </c>
    </row>
    <row r="120" spans="1:19" ht="12.75" customHeight="1" x14ac:dyDescent="0.2">
      <c r="D120" s="89" t="s">
        <v>73</v>
      </c>
      <c r="E120" s="371">
        <v>1242572.98</v>
      </c>
      <c r="F120" s="90">
        <v>343686.51</v>
      </c>
      <c r="G120" s="90">
        <v>192507.93</v>
      </c>
      <c r="H120" s="90">
        <v>97880.49</v>
      </c>
      <c r="I120" s="90">
        <v>-39549.620000000003</v>
      </c>
      <c r="J120" s="90">
        <v>-1348.98</v>
      </c>
      <c r="K120" s="90">
        <v>0</v>
      </c>
      <c r="L120" s="90">
        <v>-4691</v>
      </c>
      <c r="M120" s="90">
        <v>-3711.96</v>
      </c>
      <c r="N120" s="90">
        <v>-23147.87</v>
      </c>
      <c r="O120" s="90">
        <v>682556.78</v>
      </c>
      <c r="P120" s="90">
        <v>-1609.3</v>
      </c>
      <c r="Q120" s="90">
        <v>0</v>
      </c>
      <c r="R120">
        <v>0</v>
      </c>
    </row>
    <row r="121" spans="1:19" ht="12.75" customHeight="1" x14ac:dyDescent="0.2">
      <c r="C121" t="s">
        <v>87</v>
      </c>
      <c r="D121" s="89" t="s">
        <v>70</v>
      </c>
      <c r="E121" s="90">
        <v>1242572.98</v>
      </c>
      <c r="F121" s="90">
        <v>343686.51</v>
      </c>
      <c r="G121" s="90">
        <v>192507.93</v>
      </c>
      <c r="H121" s="90">
        <v>97880.49</v>
      </c>
      <c r="I121" s="90">
        <v>-39549.620000000003</v>
      </c>
      <c r="J121" s="90">
        <v>-1348.98</v>
      </c>
      <c r="K121" s="90">
        <v>0</v>
      </c>
      <c r="L121" s="90">
        <v>-4691</v>
      </c>
      <c r="M121" s="90">
        <v>-3711.96</v>
      </c>
      <c r="N121" s="90">
        <v>-23147.87</v>
      </c>
      <c r="O121" s="90">
        <v>682556.78</v>
      </c>
      <c r="P121" s="90">
        <v>-1609.3</v>
      </c>
      <c r="Q121" s="90">
        <v>0</v>
      </c>
      <c r="R121">
        <v>0</v>
      </c>
    </row>
    <row r="122" spans="1:19" s="94" customFormat="1" ht="12.75" customHeight="1" x14ac:dyDescent="0.2">
      <c r="B122" s="101" t="s">
        <v>119</v>
      </c>
      <c r="C122" s="101" t="s">
        <v>70</v>
      </c>
      <c r="E122" s="93">
        <v>-4936489.68</v>
      </c>
      <c r="F122" s="93">
        <v>713202.78</v>
      </c>
      <c r="G122" s="93">
        <v>319700.73</v>
      </c>
      <c r="H122" s="93">
        <v>179020.31</v>
      </c>
      <c r="I122" s="93">
        <v>-2488072.38</v>
      </c>
      <c r="J122" s="93">
        <v>-75451.789999999994</v>
      </c>
      <c r="K122" s="93">
        <v>0</v>
      </c>
      <c r="L122" s="93">
        <v>-633166.69999999995</v>
      </c>
      <c r="M122" s="93">
        <v>-749760.24</v>
      </c>
      <c r="N122" s="93">
        <v>-3577389.82</v>
      </c>
      <c r="O122" s="93">
        <v>1495096.29</v>
      </c>
      <c r="P122" s="93">
        <v>-119668.86</v>
      </c>
      <c r="Q122" s="93">
        <v>0</v>
      </c>
      <c r="R122" s="94">
        <v>0</v>
      </c>
    </row>
    <row r="123" spans="1:19" s="226" customFormat="1" ht="12.75" customHeight="1" x14ac:dyDescent="0.2">
      <c r="A123" s="98" t="s">
        <v>79</v>
      </c>
      <c r="B123" s="98" t="s">
        <v>70</v>
      </c>
      <c r="E123" s="100">
        <v>-38113306.659999996</v>
      </c>
      <c r="F123" s="100">
        <v>-497730.97</v>
      </c>
      <c r="G123" s="100">
        <v>-388800.25</v>
      </c>
      <c r="H123" s="100">
        <v>-221523.24</v>
      </c>
      <c r="I123" s="100">
        <v>-11944844.83</v>
      </c>
      <c r="J123" s="100">
        <v>-376952.12</v>
      </c>
      <c r="K123" s="100">
        <v>0</v>
      </c>
      <c r="L123" s="100">
        <v>-3207778.39</v>
      </c>
      <c r="M123" s="100">
        <v>-3475213.8</v>
      </c>
      <c r="N123" s="100">
        <v>-16691728.15</v>
      </c>
      <c r="O123" s="100">
        <v>-699883.66</v>
      </c>
      <c r="P123" s="100">
        <v>-608851.25</v>
      </c>
      <c r="Q123" s="100">
        <v>0</v>
      </c>
      <c r="R123" s="226">
        <v>0</v>
      </c>
    </row>
    <row r="124" spans="1:19" ht="12.75" customHeight="1" x14ac:dyDescent="0.2">
      <c r="A124" s="89" t="s">
        <v>70</v>
      </c>
      <c r="E124" s="90">
        <v>178539092.16</v>
      </c>
      <c r="F124" s="90">
        <v>16695394.35</v>
      </c>
      <c r="G124" s="90">
        <v>9370790.2699999996</v>
      </c>
      <c r="H124" s="90">
        <v>4453363.21</v>
      </c>
      <c r="I124" s="90">
        <v>35271236.380000003</v>
      </c>
      <c r="J124" s="90">
        <v>1074407.0900000001</v>
      </c>
      <c r="K124" s="90">
        <v>0</v>
      </c>
      <c r="L124" s="90">
        <v>9985291.5299999993</v>
      </c>
      <c r="M124" s="90">
        <v>10718089.76</v>
      </c>
      <c r="N124" s="90">
        <v>37634563.590000004</v>
      </c>
      <c r="O124" s="90">
        <v>52024111.619999997</v>
      </c>
      <c r="P124" s="90">
        <v>1311662.75</v>
      </c>
      <c r="Q124" s="90">
        <v>181.61</v>
      </c>
      <c r="R124">
        <v>0</v>
      </c>
    </row>
    <row r="125" spans="1:19" ht="12.75" customHeight="1" x14ac:dyDescent="0.2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hidden="1" customHeight="1" x14ac:dyDescent="0.2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hidden="1" customHeight="1" x14ac:dyDescent="0.2">
      <c r="A144" s="89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spans="1:19" ht="12.75" hidden="1" customHeight="1" x14ac:dyDescent="0.2">
      <c r="A145" s="89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spans="1:19" ht="12.75" hidden="1" customHeight="1" x14ac:dyDescent="0.2">
      <c r="A146" s="89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 spans="1:19" ht="12.75" hidden="1" customHeight="1" x14ac:dyDescent="0.2">
      <c r="A147" s="89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 spans="1:19" ht="12.75" hidden="1" customHeight="1" x14ac:dyDescent="0.2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customHeight="1" x14ac:dyDescent="0.2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customHeight="1" x14ac:dyDescent="0.2">
      <c r="B155" s="778" t="s">
        <v>2</v>
      </c>
      <c r="C155" s="775" t="s">
        <v>132</v>
      </c>
      <c r="D155" s="98" t="s">
        <v>70</v>
      </c>
      <c r="E155" s="100">
        <f>E101+E123-K101</f>
        <v>178539092.16</v>
      </c>
      <c r="F155" s="100">
        <f t="shared" ref="F155:R155" si="3">F101</f>
        <v>17193125.32</v>
      </c>
      <c r="G155" s="100">
        <f t="shared" si="3"/>
        <v>9759590.5199999996</v>
      </c>
      <c r="H155" s="100">
        <f t="shared" si="3"/>
        <v>4674886.45</v>
      </c>
      <c r="I155" s="100">
        <f t="shared" si="3"/>
        <v>47216081.210000001</v>
      </c>
      <c r="J155" s="100">
        <f t="shared" si="3"/>
        <v>1451359.21</v>
      </c>
      <c r="K155" s="100">
        <f t="shared" si="3"/>
        <v>0</v>
      </c>
      <c r="L155" s="100">
        <f t="shared" si="3"/>
        <v>13193069.92</v>
      </c>
      <c r="M155" s="100">
        <f t="shared" si="3"/>
        <v>14193303.560000001</v>
      </c>
      <c r="N155" s="100">
        <f t="shared" si="3"/>
        <v>54326291.740000002</v>
      </c>
      <c r="O155" s="100">
        <f t="shared" si="3"/>
        <v>52723995.280000001</v>
      </c>
      <c r="P155" s="100">
        <f t="shared" si="3"/>
        <v>1920514</v>
      </c>
      <c r="Q155" s="100">
        <f t="shared" si="3"/>
        <v>181.61</v>
      </c>
      <c r="R155" s="100">
        <f t="shared" si="3"/>
        <v>0</v>
      </c>
    </row>
    <row r="156" spans="1:19" ht="12.75" customHeight="1" x14ac:dyDescent="0.2">
      <c r="B156" s="778"/>
      <c r="C156" s="775"/>
      <c r="D156" s="98" t="s">
        <v>73</v>
      </c>
      <c r="E156" s="100">
        <f>E123</f>
        <v>-38113306.659999996</v>
      </c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</row>
    <row r="157" spans="1:19" ht="12.75" customHeight="1" x14ac:dyDescent="0.2">
      <c r="A157" s="89"/>
      <c r="B157" s="97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9" ht="12.75" customHeight="1" x14ac:dyDescent="0.2">
      <c r="B158" s="778" t="s">
        <v>160</v>
      </c>
      <c r="C158" s="775" t="s">
        <v>132</v>
      </c>
      <c r="D158" s="223" t="s">
        <v>70</v>
      </c>
      <c r="E158" s="225">
        <f>E115+E90+E70-K70-K90</f>
        <v>35414329.289999992</v>
      </c>
      <c r="F158" s="225">
        <f>F90+F70</f>
        <v>3216777.59</v>
      </c>
      <c r="G158" s="225">
        <f t="shared" ref="G158:R158" si="4">G90+G70</f>
        <v>1799399.45</v>
      </c>
      <c r="H158" s="225">
        <f t="shared" si="4"/>
        <v>773125.81</v>
      </c>
      <c r="I158" s="225">
        <f t="shared" si="4"/>
        <v>14315915.6</v>
      </c>
      <c r="J158" s="225">
        <f t="shared" si="4"/>
        <v>406510.66</v>
      </c>
      <c r="K158" s="225">
        <f t="shared" si="4"/>
        <v>0</v>
      </c>
      <c r="L158" s="225">
        <f t="shared" si="4"/>
        <v>3668619.83</v>
      </c>
      <c r="M158" s="225">
        <f t="shared" si="4"/>
        <v>4175302.62</v>
      </c>
      <c r="N158" s="225">
        <f t="shared" si="4"/>
        <v>14329479.369999999</v>
      </c>
      <c r="O158" s="225">
        <f t="shared" si="4"/>
        <v>9282610.9499999993</v>
      </c>
      <c r="P158" s="225">
        <f t="shared" si="4"/>
        <v>502138.48</v>
      </c>
      <c r="Q158" s="225">
        <f t="shared" si="4"/>
        <v>-28.95</v>
      </c>
      <c r="R158" s="225">
        <f t="shared" si="4"/>
        <v>0</v>
      </c>
    </row>
    <row r="159" spans="1:19" ht="12.75" customHeight="1" x14ac:dyDescent="0.2">
      <c r="B159" s="778"/>
      <c r="C159" s="775"/>
      <c r="D159" s="223" t="s">
        <v>73</v>
      </c>
      <c r="E159" s="225">
        <f>E115</f>
        <v>-17055522.120000001</v>
      </c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</row>
    <row r="160" spans="1:19" ht="12.6" customHeight="1" x14ac:dyDescent="0.2">
      <c r="A160" s="89"/>
      <c r="B160" s="97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1:18" ht="12.75" customHeight="1" x14ac:dyDescent="0.2">
      <c r="B161" s="778" t="s">
        <v>155</v>
      </c>
      <c r="C161" s="775" t="s">
        <v>132</v>
      </c>
      <c r="D161" s="221" t="s">
        <v>70</v>
      </c>
      <c r="E161" s="222">
        <f>E104+E74-K74</f>
        <v>55676152.700000003</v>
      </c>
      <c r="F161" s="222">
        <f t="shared" ref="F161:R161" si="5">F74</f>
        <v>4128221.21</v>
      </c>
      <c r="G161" s="222">
        <f t="shared" si="5"/>
        <v>2450514.75</v>
      </c>
      <c r="H161" s="222">
        <f t="shared" si="5"/>
        <v>991071.1</v>
      </c>
      <c r="I161" s="222">
        <f t="shared" si="5"/>
        <v>18977352.940000001</v>
      </c>
      <c r="J161" s="222">
        <f t="shared" si="5"/>
        <v>633591.15</v>
      </c>
      <c r="K161" s="222">
        <f t="shared" si="5"/>
        <v>0</v>
      </c>
      <c r="L161" s="222">
        <f t="shared" si="5"/>
        <v>5929589.2400000002</v>
      </c>
      <c r="M161" s="222">
        <f t="shared" si="5"/>
        <v>5758615.9699999997</v>
      </c>
      <c r="N161" s="222">
        <f t="shared" si="5"/>
        <v>23292145.649999999</v>
      </c>
      <c r="O161" s="222">
        <f t="shared" si="5"/>
        <v>8749581.6400000006</v>
      </c>
      <c r="P161" s="222">
        <f t="shared" si="5"/>
        <v>886619.66</v>
      </c>
      <c r="Q161" s="222">
        <f t="shared" si="5"/>
        <v>144.25</v>
      </c>
      <c r="R161" s="222">
        <f t="shared" si="5"/>
        <v>0</v>
      </c>
    </row>
    <row r="162" spans="1:18" ht="12.75" customHeight="1" x14ac:dyDescent="0.2">
      <c r="B162" s="778"/>
      <c r="C162" s="775"/>
      <c r="D162" s="221" t="s">
        <v>73</v>
      </c>
      <c r="E162" s="222">
        <f>E104</f>
        <v>-16121294.859999999</v>
      </c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</row>
    <row r="163" spans="1:18" ht="12.75" customHeight="1" x14ac:dyDescent="0.2">
      <c r="A163" s="89"/>
      <c r="B163" s="97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</row>
    <row r="164" spans="1:18" ht="12.75" customHeight="1" x14ac:dyDescent="0.2">
      <c r="B164" s="776" t="s">
        <v>326</v>
      </c>
      <c r="C164" s="775" t="s">
        <v>132</v>
      </c>
      <c r="D164" s="373" t="s">
        <v>70</v>
      </c>
      <c r="E164" s="374">
        <v>0</v>
      </c>
      <c r="F164" s="374">
        <v>0</v>
      </c>
      <c r="G164" s="374">
        <v>0</v>
      </c>
      <c r="H164" s="374">
        <v>0</v>
      </c>
      <c r="I164" s="374">
        <v>0</v>
      </c>
      <c r="J164" s="374">
        <v>0</v>
      </c>
      <c r="K164" s="374">
        <v>0</v>
      </c>
      <c r="L164" s="374">
        <v>0</v>
      </c>
      <c r="M164" s="374">
        <v>0</v>
      </c>
      <c r="N164" s="374">
        <v>0</v>
      </c>
      <c r="O164" s="374">
        <v>0</v>
      </c>
      <c r="P164" s="374">
        <v>0</v>
      </c>
      <c r="Q164" s="374">
        <v>0</v>
      </c>
      <c r="R164" s="374">
        <v>0</v>
      </c>
    </row>
    <row r="165" spans="1:18" ht="12.75" customHeight="1" x14ac:dyDescent="0.2">
      <c r="B165" s="776"/>
      <c r="C165" s="775"/>
      <c r="D165" s="373" t="s">
        <v>73</v>
      </c>
      <c r="E165" s="374">
        <v>0</v>
      </c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</row>
    <row r="166" spans="1:18" ht="12.75" customHeight="1" x14ac:dyDescent="0.2">
      <c r="A166" s="89"/>
      <c r="B166" s="97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</row>
    <row r="167" spans="1:18" ht="12.75" customHeight="1" x14ac:dyDescent="0.2">
      <c r="B167" s="778" t="s">
        <v>119</v>
      </c>
      <c r="C167" s="775" t="s">
        <v>132</v>
      </c>
      <c r="D167" s="101" t="s">
        <v>70</v>
      </c>
      <c r="E167" s="93">
        <f>E100+E122-K100</f>
        <v>87448610.169999987</v>
      </c>
      <c r="F167" s="93">
        <f t="shared" ref="F167:R167" si="6">F100</f>
        <v>9848126.5199999996</v>
      </c>
      <c r="G167" s="93">
        <f t="shared" si="6"/>
        <v>5509676.3200000003</v>
      </c>
      <c r="H167" s="93">
        <f t="shared" si="6"/>
        <v>2910689.54</v>
      </c>
      <c r="I167" s="93">
        <f t="shared" si="6"/>
        <v>13922812.67</v>
      </c>
      <c r="J167" s="93">
        <f t="shared" si="6"/>
        <v>411257.4</v>
      </c>
      <c r="K167" s="93">
        <f t="shared" si="6"/>
        <v>0</v>
      </c>
      <c r="L167" s="93">
        <f t="shared" si="6"/>
        <v>3594860.85</v>
      </c>
      <c r="M167" s="93">
        <f t="shared" si="6"/>
        <v>4259384.97</v>
      </c>
      <c r="N167" s="93">
        <f t="shared" si="6"/>
        <v>16704666.720000001</v>
      </c>
      <c r="O167" s="93">
        <f t="shared" si="6"/>
        <v>34691802.689999998</v>
      </c>
      <c r="P167" s="93">
        <f t="shared" si="6"/>
        <v>531755.86</v>
      </c>
      <c r="Q167" s="93">
        <f t="shared" si="6"/>
        <v>66.31</v>
      </c>
      <c r="R167" s="93">
        <f t="shared" si="6"/>
        <v>0</v>
      </c>
    </row>
    <row r="168" spans="1:18" ht="12.75" customHeight="1" x14ac:dyDescent="0.2">
      <c r="B168" s="778"/>
      <c r="C168" s="775"/>
      <c r="D168" s="101" t="s">
        <v>73</v>
      </c>
      <c r="E168" s="93">
        <f>E122</f>
        <v>-4936489.68</v>
      </c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</row>
    <row r="169" spans="1:18" ht="12.75" customHeight="1" x14ac:dyDescent="0.2">
      <c r="A169" s="89"/>
      <c r="B169" s="97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1:18" ht="12.75" customHeight="1" x14ac:dyDescent="0.2">
      <c r="B170" s="777" t="s">
        <v>161</v>
      </c>
      <c r="C170" s="775" t="s">
        <v>132</v>
      </c>
      <c r="D170" s="231" t="s">
        <v>70</v>
      </c>
      <c r="E170" s="232">
        <v>0</v>
      </c>
      <c r="F170" s="232">
        <v>0</v>
      </c>
      <c r="G170" s="232">
        <v>0</v>
      </c>
      <c r="H170" s="232">
        <v>0</v>
      </c>
      <c r="I170" s="232">
        <v>0</v>
      </c>
      <c r="J170" s="232">
        <v>0</v>
      </c>
      <c r="K170" s="232">
        <v>0</v>
      </c>
      <c r="L170" s="232">
        <v>0</v>
      </c>
      <c r="M170" s="232">
        <v>0</v>
      </c>
      <c r="N170" s="232">
        <v>0</v>
      </c>
      <c r="O170" s="232">
        <v>0</v>
      </c>
      <c r="P170" s="232">
        <v>0</v>
      </c>
      <c r="Q170" s="232">
        <v>0</v>
      </c>
      <c r="R170" s="232">
        <v>0</v>
      </c>
    </row>
    <row r="171" spans="1:18" ht="12.75" customHeight="1" x14ac:dyDescent="0.2">
      <c r="B171" s="777"/>
      <c r="C171" s="775"/>
      <c r="D171" s="231" t="s">
        <v>73</v>
      </c>
      <c r="E171" s="232">
        <v>0</v>
      </c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</row>
    <row r="172" spans="1:18" s="238" customFormat="1" x14ac:dyDescent="0.2"/>
    <row r="173" spans="1:18" x14ac:dyDescent="0.2">
      <c r="B173" s="97" t="s">
        <v>76</v>
      </c>
    </row>
    <row r="174" spans="1:18" ht="12.6" customHeight="1" x14ac:dyDescent="0.2">
      <c r="E174" s="89" t="s">
        <v>70</v>
      </c>
      <c r="F174" s="89" t="s">
        <v>64</v>
      </c>
      <c r="G174" s="89" t="s">
        <v>65</v>
      </c>
      <c r="H174" s="219" t="s">
        <v>164</v>
      </c>
      <c r="I174" s="89" t="s">
        <v>69</v>
      </c>
      <c r="J174" s="89" t="s">
        <v>68</v>
      </c>
      <c r="K174" s="89" t="s">
        <v>83</v>
      </c>
      <c r="L174" s="89" t="s">
        <v>66</v>
      </c>
      <c r="M174" s="89" t="s">
        <v>63</v>
      </c>
      <c r="N174" s="89" t="s">
        <v>61</v>
      </c>
      <c r="O174" s="89" t="s">
        <v>62</v>
      </c>
      <c r="P174" s="89" t="s">
        <v>67</v>
      </c>
      <c r="Q174" s="89" t="s">
        <v>84</v>
      </c>
      <c r="R174" s="384" t="s">
        <v>225</v>
      </c>
    </row>
    <row r="175" spans="1:18" ht="12.75" customHeight="1" x14ac:dyDescent="0.2">
      <c r="D175" s="89" t="s">
        <v>72</v>
      </c>
      <c r="E175" s="371">
        <v>73523.100000000006</v>
      </c>
      <c r="F175" s="90">
        <v>9264.07</v>
      </c>
      <c r="G175" s="90">
        <v>5230.51</v>
      </c>
      <c r="H175" s="90">
        <v>2745.35</v>
      </c>
      <c r="I175" s="90">
        <v>13953.55</v>
      </c>
      <c r="J175" s="90">
        <v>241.72</v>
      </c>
      <c r="K175" s="90">
        <v>0</v>
      </c>
      <c r="L175" s="90">
        <v>2120.39</v>
      </c>
      <c r="M175" s="90">
        <v>3083.67</v>
      </c>
      <c r="N175" s="90">
        <v>14598.9</v>
      </c>
      <c r="O175" s="90">
        <v>21890.54</v>
      </c>
      <c r="P175" s="90">
        <v>394.4</v>
      </c>
      <c r="Q175" s="90">
        <v>0</v>
      </c>
      <c r="R175">
        <v>0</v>
      </c>
    </row>
    <row r="176" spans="1:18" ht="12.75" customHeight="1" x14ac:dyDescent="0.2"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">
      <c r="C177" t="s">
        <v>332</v>
      </c>
      <c r="D177" s="89" t="s">
        <v>70</v>
      </c>
      <c r="E177" s="371">
        <v>73523.100000000006</v>
      </c>
      <c r="F177" s="90">
        <v>9264.07</v>
      </c>
      <c r="G177" s="90">
        <v>5230.51</v>
      </c>
      <c r="H177" s="90">
        <v>2745.35</v>
      </c>
      <c r="I177" s="90">
        <v>13953.55</v>
      </c>
      <c r="J177" s="90">
        <v>241.72</v>
      </c>
      <c r="K177" s="90">
        <v>0</v>
      </c>
      <c r="L177" s="90">
        <v>2120.39</v>
      </c>
      <c r="M177" s="90">
        <v>3083.67</v>
      </c>
      <c r="N177" s="90">
        <v>14598.9</v>
      </c>
      <c r="O177" s="90">
        <v>21890.54</v>
      </c>
      <c r="P177" s="90">
        <v>394.4</v>
      </c>
      <c r="Q177" s="90">
        <v>0</v>
      </c>
      <c r="R177">
        <v>0</v>
      </c>
    </row>
    <row r="178" spans="1:18" s="739" customFormat="1" ht="12.75" customHeight="1" x14ac:dyDescent="0.2">
      <c r="B178" s="739" t="s">
        <v>85</v>
      </c>
      <c r="C178" s="739" t="s">
        <v>70</v>
      </c>
      <c r="D178" s="231"/>
      <c r="E178" s="740">
        <v>73523.100000000006</v>
      </c>
      <c r="F178" s="232">
        <v>9264.07</v>
      </c>
      <c r="G178" s="232">
        <v>5230.51</v>
      </c>
      <c r="H178" s="232">
        <v>2745.35</v>
      </c>
      <c r="I178" s="232">
        <v>13953.55</v>
      </c>
      <c r="J178" s="232">
        <v>241.72</v>
      </c>
      <c r="K178" s="232">
        <v>0</v>
      </c>
      <c r="L178" s="232">
        <v>2120.39</v>
      </c>
      <c r="M178" s="232">
        <v>3083.67</v>
      </c>
      <c r="N178" s="232">
        <v>14598.9</v>
      </c>
      <c r="O178" s="232">
        <v>21890.54</v>
      </c>
      <c r="P178" s="232">
        <v>394.4</v>
      </c>
      <c r="Q178" s="232">
        <v>0</v>
      </c>
      <c r="R178" s="739">
        <v>0</v>
      </c>
    </row>
    <row r="179" spans="1:18" ht="12.6" customHeight="1" x14ac:dyDescent="0.2">
      <c r="D179" t="s">
        <v>72</v>
      </c>
      <c r="E179">
        <v>10207291.73</v>
      </c>
      <c r="F179">
        <v>691727.66</v>
      </c>
      <c r="G179">
        <v>397192.92</v>
      </c>
      <c r="H179">
        <v>197980.04</v>
      </c>
      <c r="I179">
        <v>2063996.04</v>
      </c>
      <c r="J179">
        <v>75420.05</v>
      </c>
      <c r="K179">
        <v>22742.37</v>
      </c>
      <c r="L179">
        <v>669158.80000000005</v>
      </c>
      <c r="M179">
        <v>682630.8</v>
      </c>
      <c r="N179">
        <v>3576274.42</v>
      </c>
      <c r="O179">
        <v>1725169.95</v>
      </c>
      <c r="P179">
        <v>104984.24</v>
      </c>
      <c r="Q179">
        <v>14.44</v>
      </c>
      <c r="R179">
        <v>0</v>
      </c>
    </row>
    <row r="180" spans="1:18" ht="12.75" customHeight="1" x14ac:dyDescent="0.2">
      <c r="D180" t="s">
        <v>81</v>
      </c>
      <c r="E180">
        <v>10777.75</v>
      </c>
      <c r="F180">
        <v>739.4</v>
      </c>
      <c r="G180">
        <v>426.95</v>
      </c>
      <c r="H180">
        <v>220.46</v>
      </c>
      <c r="I180">
        <v>2409.2399999999998</v>
      </c>
      <c r="J180">
        <v>88.57</v>
      </c>
      <c r="K180">
        <v>0</v>
      </c>
      <c r="L180">
        <v>743.28</v>
      </c>
      <c r="M180">
        <v>730.41</v>
      </c>
      <c r="N180">
        <v>3555.68</v>
      </c>
      <c r="O180">
        <v>1718.33</v>
      </c>
      <c r="P180">
        <v>145.30000000000001</v>
      </c>
      <c r="Q180">
        <v>0.13</v>
      </c>
      <c r="R180">
        <v>0</v>
      </c>
    </row>
    <row r="181" spans="1:18" ht="12.75" customHeight="1" x14ac:dyDescent="0.2">
      <c r="C181" t="s">
        <v>156</v>
      </c>
      <c r="D181" s="89" t="s">
        <v>70</v>
      </c>
      <c r="E181" s="371">
        <v>10218069.48</v>
      </c>
      <c r="F181" s="90">
        <v>692467.06</v>
      </c>
      <c r="G181" s="90">
        <v>397619.87</v>
      </c>
      <c r="H181" s="90">
        <v>198200.5</v>
      </c>
      <c r="I181" s="90">
        <v>2066405.28</v>
      </c>
      <c r="J181" s="90">
        <v>75508.62</v>
      </c>
      <c r="K181" s="90">
        <v>22742.37</v>
      </c>
      <c r="L181" s="90">
        <v>669902.07999999996</v>
      </c>
      <c r="M181" s="90">
        <v>683361.21</v>
      </c>
      <c r="N181" s="90">
        <v>3579830.1</v>
      </c>
      <c r="O181" s="90">
        <v>1726888.28</v>
      </c>
      <c r="P181" s="90">
        <v>105129.54</v>
      </c>
      <c r="Q181" s="90">
        <v>14.57</v>
      </c>
      <c r="R181">
        <v>0</v>
      </c>
    </row>
    <row r="182" spans="1:18" s="656" customFormat="1" ht="12.75" customHeight="1" x14ac:dyDescent="0.2">
      <c r="B182" s="656" t="s">
        <v>155</v>
      </c>
      <c r="C182" s="656" t="s">
        <v>70</v>
      </c>
      <c r="E182" s="741">
        <v>10218069.48</v>
      </c>
      <c r="F182" s="656">
        <v>692467.06</v>
      </c>
      <c r="G182" s="656">
        <v>397619.87</v>
      </c>
      <c r="H182" s="656">
        <v>198200.5</v>
      </c>
      <c r="I182" s="656">
        <v>2066405.28</v>
      </c>
      <c r="J182" s="656">
        <v>75508.62</v>
      </c>
      <c r="K182" s="656">
        <v>22742.37</v>
      </c>
      <c r="L182" s="656">
        <v>669902.07999999996</v>
      </c>
      <c r="M182" s="656">
        <v>683361.21</v>
      </c>
      <c r="N182" s="656">
        <v>3579830.1</v>
      </c>
      <c r="O182" s="656">
        <v>1726888.28</v>
      </c>
      <c r="P182" s="656">
        <v>105129.54</v>
      </c>
      <c r="Q182" s="656">
        <v>14.57</v>
      </c>
      <c r="R182" s="656">
        <v>0</v>
      </c>
    </row>
    <row r="183" spans="1:18" ht="12.75" customHeight="1" x14ac:dyDescent="0.2">
      <c r="D183" t="s">
        <v>72</v>
      </c>
      <c r="E183" s="142">
        <v>1272712.9099999999</v>
      </c>
      <c r="F183">
        <v>67036.89</v>
      </c>
      <c r="G183">
        <v>39501.06</v>
      </c>
      <c r="H183">
        <v>23477.74</v>
      </c>
      <c r="I183">
        <v>289895.21000000002</v>
      </c>
      <c r="J183">
        <v>8195.0499999999993</v>
      </c>
      <c r="K183">
        <v>0</v>
      </c>
      <c r="L183">
        <v>74764.14</v>
      </c>
      <c r="M183">
        <v>110184.35</v>
      </c>
      <c r="N183">
        <v>481645.44</v>
      </c>
      <c r="O183">
        <v>163596.31</v>
      </c>
      <c r="P183">
        <v>14405.04</v>
      </c>
      <c r="Q183">
        <v>11.68</v>
      </c>
      <c r="R183">
        <v>0</v>
      </c>
    </row>
    <row r="184" spans="1:18" ht="12.75" customHeight="1" x14ac:dyDescent="0.2">
      <c r="D184" t="s">
        <v>81</v>
      </c>
      <c r="E184" s="142">
        <v>12.81</v>
      </c>
      <c r="F184">
        <v>0.52</v>
      </c>
      <c r="G184">
        <v>0.28999999999999998</v>
      </c>
      <c r="H184">
        <v>0.15</v>
      </c>
      <c r="I184">
        <v>3.5</v>
      </c>
      <c r="J184">
        <v>0.08</v>
      </c>
      <c r="K184">
        <v>0</v>
      </c>
      <c r="L184">
        <v>0.73</v>
      </c>
      <c r="M184">
        <v>1.08</v>
      </c>
      <c r="N184">
        <v>5.1100000000000003</v>
      </c>
      <c r="O184">
        <v>1.21</v>
      </c>
      <c r="P184">
        <v>0.14000000000000001</v>
      </c>
      <c r="Q184">
        <v>0</v>
      </c>
      <c r="R184">
        <v>0</v>
      </c>
    </row>
    <row r="185" spans="1:18" ht="12.75" customHeight="1" x14ac:dyDescent="0.2">
      <c r="C185" t="s">
        <v>82</v>
      </c>
      <c r="D185" t="s">
        <v>70</v>
      </c>
      <c r="E185" s="142">
        <v>1272725.72</v>
      </c>
      <c r="F185">
        <v>67037.41</v>
      </c>
      <c r="G185">
        <v>39501.35</v>
      </c>
      <c r="H185">
        <v>23477.89</v>
      </c>
      <c r="I185">
        <v>289898.71000000002</v>
      </c>
      <c r="J185">
        <v>8195.1299999999992</v>
      </c>
      <c r="K185">
        <v>0</v>
      </c>
      <c r="L185">
        <v>74764.87</v>
      </c>
      <c r="M185">
        <v>110185.43</v>
      </c>
      <c r="N185">
        <v>481650.55</v>
      </c>
      <c r="O185">
        <v>163597.51999999999</v>
      </c>
      <c r="P185">
        <v>14405.18</v>
      </c>
      <c r="Q185">
        <v>11.68</v>
      </c>
      <c r="R185">
        <v>0</v>
      </c>
    </row>
    <row r="186" spans="1:18" ht="12.75" customHeight="1" x14ac:dyDescent="0.2">
      <c r="D186" t="s">
        <v>72</v>
      </c>
      <c r="E186" s="142">
        <v>983440.41</v>
      </c>
      <c r="F186">
        <v>68653.41</v>
      </c>
      <c r="G186">
        <v>38553.57</v>
      </c>
      <c r="H186">
        <v>20740.34</v>
      </c>
      <c r="I186">
        <v>220594.68</v>
      </c>
      <c r="J186">
        <v>4977.4799999999996</v>
      </c>
      <c r="K186">
        <v>0</v>
      </c>
      <c r="L186">
        <v>53236.89</v>
      </c>
      <c r="M186">
        <v>65079.83</v>
      </c>
      <c r="N186">
        <v>340285.14</v>
      </c>
      <c r="O186">
        <v>162040.31</v>
      </c>
      <c r="P186">
        <v>9295.93</v>
      </c>
      <c r="Q186">
        <v>-17.170000000000002</v>
      </c>
      <c r="R186">
        <v>0</v>
      </c>
    </row>
    <row r="187" spans="1:18" ht="12.75" customHeight="1" x14ac:dyDescent="0.2">
      <c r="D187" t="s">
        <v>81</v>
      </c>
      <c r="E187" s="142">
        <v>593.62</v>
      </c>
      <c r="F187">
        <v>4.2</v>
      </c>
      <c r="G187">
        <v>2.37</v>
      </c>
      <c r="H187">
        <v>1.25</v>
      </c>
      <c r="I187">
        <v>0</v>
      </c>
      <c r="J187">
        <v>9.5399999999999991</v>
      </c>
      <c r="K187">
        <v>0</v>
      </c>
      <c r="L187">
        <v>83.75</v>
      </c>
      <c r="M187">
        <v>82.2</v>
      </c>
      <c r="N187">
        <v>385.01</v>
      </c>
      <c r="O187">
        <v>9.75</v>
      </c>
      <c r="P187">
        <v>15.58</v>
      </c>
      <c r="Q187">
        <v>-0.03</v>
      </c>
      <c r="R187">
        <v>0</v>
      </c>
    </row>
    <row r="188" spans="1:18" ht="12.75" customHeight="1" x14ac:dyDescent="0.2">
      <c r="C188" t="s">
        <v>86</v>
      </c>
      <c r="D188" t="s">
        <v>70</v>
      </c>
      <c r="E188" s="142">
        <v>984034.03</v>
      </c>
      <c r="F188">
        <v>68657.61</v>
      </c>
      <c r="G188">
        <v>38555.94</v>
      </c>
      <c r="H188">
        <v>20741.59</v>
      </c>
      <c r="I188">
        <v>220594.68</v>
      </c>
      <c r="J188">
        <v>4987.0200000000004</v>
      </c>
      <c r="K188">
        <v>0</v>
      </c>
      <c r="L188">
        <v>53320.639999999999</v>
      </c>
      <c r="M188">
        <v>65162.03</v>
      </c>
      <c r="N188">
        <v>340670.15</v>
      </c>
      <c r="O188">
        <v>162050.06</v>
      </c>
      <c r="P188">
        <v>9311.51</v>
      </c>
      <c r="Q188">
        <v>-17.2</v>
      </c>
      <c r="R188">
        <v>0</v>
      </c>
    </row>
    <row r="189" spans="1:18" ht="12.75" customHeight="1" x14ac:dyDescent="0.2">
      <c r="D189" t="s">
        <v>72</v>
      </c>
      <c r="E189" s="142">
        <v>10889834.800000001</v>
      </c>
      <c r="F189">
        <v>1776974.67</v>
      </c>
      <c r="G189">
        <v>603192.44999999995</v>
      </c>
      <c r="H189">
        <v>505061.73</v>
      </c>
      <c r="I189">
        <v>1046769.67</v>
      </c>
      <c r="J189">
        <v>28744.59</v>
      </c>
      <c r="K189">
        <v>0</v>
      </c>
      <c r="L189">
        <v>266799.07</v>
      </c>
      <c r="M189">
        <v>384022.27</v>
      </c>
      <c r="N189">
        <v>1863093.08</v>
      </c>
      <c r="O189">
        <v>4364983.13</v>
      </c>
      <c r="P189">
        <v>50156.58</v>
      </c>
      <c r="Q189">
        <v>37.56</v>
      </c>
      <c r="R189">
        <v>0</v>
      </c>
    </row>
    <row r="190" spans="1:18" ht="12.75" customHeight="1" x14ac:dyDescent="0.2">
      <c r="D190" t="s">
        <v>81</v>
      </c>
      <c r="E190" s="142">
        <v>269071.07</v>
      </c>
      <c r="F190">
        <v>55015.17</v>
      </c>
      <c r="G190">
        <v>31018.76</v>
      </c>
      <c r="H190">
        <v>16363.81</v>
      </c>
      <c r="I190">
        <v>12244.44</v>
      </c>
      <c r="J190">
        <v>300.42</v>
      </c>
      <c r="K190">
        <v>0</v>
      </c>
      <c r="L190">
        <v>2679.67</v>
      </c>
      <c r="M190">
        <v>3831.33</v>
      </c>
      <c r="N190">
        <v>17411.71</v>
      </c>
      <c r="O190">
        <v>129718.24</v>
      </c>
      <c r="P190">
        <v>487.91</v>
      </c>
      <c r="Q190">
        <v>-0.39</v>
      </c>
      <c r="R190">
        <v>0</v>
      </c>
    </row>
    <row r="191" spans="1:18" ht="12.75" customHeight="1" x14ac:dyDescent="0.2">
      <c r="A191" s="89"/>
      <c r="B191" s="89"/>
      <c r="C191" t="s">
        <v>87</v>
      </c>
      <c r="D191" t="s">
        <v>70</v>
      </c>
      <c r="E191" s="90">
        <v>11158905.869999999</v>
      </c>
      <c r="F191" s="90">
        <v>1831989.84</v>
      </c>
      <c r="G191" s="90">
        <v>634211.21</v>
      </c>
      <c r="H191" s="90">
        <v>521425.54</v>
      </c>
      <c r="I191" s="90">
        <v>1059014.1100000001</v>
      </c>
      <c r="J191" s="90">
        <v>29045.01</v>
      </c>
      <c r="K191" s="90">
        <v>0</v>
      </c>
      <c r="L191" s="90">
        <v>269478.74</v>
      </c>
      <c r="M191" s="90">
        <v>387853.6</v>
      </c>
      <c r="N191" s="90">
        <v>1880504.79</v>
      </c>
      <c r="O191" s="90">
        <v>4494701.37</v>
      </c>
      <c r="P191" s="90">
        <v>50644.49</v>
      </c>
      <c r="Q191" s="90">
        <v>37.17</v>
      </c>
      <c r="R191">
        <v>0</v>
      </c>
    </row>
    <row r="192" spans="1:18" s="94" customFormat="1" ht="12.75" customHeight="1" x14ac:dyDescent="0.2">
      <c r="A192" s="101"/>
      <c r="B192" s="101" t="s">
        <v>119</v>
      </c>
      <c r="C192" s="94" t="s">
        <v>70</v>
      </c>
      <c r="E192" s="93">
        <v>13415665.619999999</v>
      </c>
      <c r="F192" s="93">
        <v>1967684.86</v>
      </c>
      <c r="G192" s="93">
        <v>712268.5</v>
      </c>
      <c r="H192" s="93">
        <v>565645.02</v>
      </c>
      <c r="I192" s="93">
        <v>1569507.5</v>
      </c>
      <c r="J192" s="93">
        <v>42227.16</v>
      </c>
      <c r="K192" s="93">
        <v>0</v>
      </c>
      <c r="L192" s="93">
        <v>397564.25</v>
      </c>
      <c r="M192" s="93">
        <v>563201.06000000006</v>
      </c>
      <c r="N192" s="93">
        <v>2702825.49</v>
      </c>
      <c r="O192" s="93">
        <v>4820348.95</v>
      </c>
      <c r="P192" s="93">
        <v>74361.179999999993</v>
      </c>
      <c r="Q192" s="93">
        <v>31.65</v>
      </c>
      <c r="R192" s="94">
        <v>0</v>
      </c>
    </row>
    <row r="193" spans="1:18" s="226" customFormat="1" ht="12.75" customHeight="1" x14ac:dyDescent="0.2">
      <c r="A193" s="226" t="s">
        <v>78</v>
      </c>
      <c r="B193" s="226" t="s">
        <v>70</v>
      </c>
      <c r="D193" s="98"/>
      <c r="E193" s="100">
        <v>23707258.199999999</v>
      </c>
      <c r="F193" s="100">
        <v>2669415.9900000002</v>
      </c>
      <c r="G193" s="100">
        <v>1115118.8799999999</v>
      </c>
      <c r="H193" s="100">
        <v>766590.87</v>
      </c>
      <c r="I193" s="100">
        <v>3649866.33</v>
      </c>
      <c r="J193" s="100">
        <v>117977.5</v>
      </c>
      <c r="K193" s="100">
        <v>22742.37</v>
      </c>
      <c r="L193" s="100">
        <v>1069586.72</v>
      </c>
      <c r="M193" s="100">
        <v>1249645.94</v>
      </c>
      <c r="N193" s="100">
        <v>6297254.4900000002</v>
      </c>
      <c r="O193" s="100">
        <v>6569127.7699999996</v>
      </c>
      <c r="P193" s="100">
        <v>179885.12</v>
      </c>
      <c r="Q193" s="100">
        <v>46.22</v>
      </c>
      <c r="R193" s="226">
        <v>0</v>
      </c>
    </row>
    <row r="194" spans="1:18" ht="12.75" customHeight="1" x14ac:dyDescent="0.2">
      <c r="C194" s="89"/>
      <c r="D194" s="89" t="s">
        <v>73</v>
      </c>
      <c r="E194" s="371">
        <v>-235930.54</v>
      </c>
      <c r="F194" s="90">
        <v>179509.93</v>
      </c>
      <c r="G194" s="90">
        <v>97518.46</v>
      </c>
      <c r="H194" s="90">
        <v>31515.45</v>
      </c>
      <c r="I194" s="90">
        <v>-494732.77</v>
      </c>
      <c r="J194" s="90">
        <v>-10768.31</v>
      </c>
      <c r="K194" s="90">
        <v>0</v>
      </c>
      <c r="L194" s="90">
        <v>-79292.72</v>
      </c>
      <c r="M194" s="90">
        <v>-76908.97</v>
      </c>
      <c r="N194" s="90">
        <v>-361796.09</v>
      </c>
      <c r="O194" s="90">
        <v>496533.67</v>
      </c>
      <c r="P194" s="90">
        <v>-17509.189999999999</v>
      </c>
      <c r="Q194" s="90">
        <v>0</v>
      </c>
      <c r="R194">
        <v>0</v>
      </c>
    </row>
    <row r="195" spans="1:18" ht="12.75" customHeight="1" x14ac:dyDescent="0.2">
      <c r="C195" s="89" t="s">
        <v>156</v>
      </c>
      <c r="D195" s="89" t="s">
        <v>70</v>
      </c>
      <c r="E195" s="371">
        <v>-235930.54</v>
      </c>
      <c r="F195" s="90">
        <v>179509.93</v>
      </c>
      <c r="G195" s="90">
        <v>97518.46</v>
      </c>
      <c r="H195" s="90">
        <v>31515.45</v>
      </c>
      <c r="I195" s="90">
        <v>-494732.77</v>
      </c>
      <c r="J195" s="90">
        <v>-10768.31</v>
      </c>
      <c r="K195" s="90">
        <v>0</v>
      </c>
      <c r="L195" s="90">
        <v>-79292.72</v>
      </c>
      <c r="M195" s="90">
        <v>-76908.97</v>
      </c>
      <c r="N195" s="90">
        <v>-361796.09</v>
      </c>
      <c r="O195" s="90">
        <v>496533.67</v>
      </c>
      <c r="P195" s="90">
        <v>-17509.189999999999</v>
      </c>
      <c r="Q195" s="90">
        <v>0</v>
      </c>
      <c r="R195">
        <v>0</v>
      </c>
    </row>
    <row r="196" spans="1:18" s="237" customFormat="1" ht="12.75" customHeight="1" x14ac:dyDescent="0.2">
      <c r="B196" s="237" t="s">
        <v>155</v>
      </c>
      <c r="C196" s="221" t="s">
        <v>70</v>
      </c>
      <c r="D196" s="221"/>
      <c r="E196" s="566">
        <v>-235930.54</v>
      </c>
      <c r="F196" s="222">
        <v>179509.93</v>
      </c>
      <c r="G196" s="222">
        <v>97518.46</v>
      </c>
      <c r="H196" s="222">
        <v>31515.45</v>
      </c>
      <c r="I196" s="222">
        <v>-494732.77</v>
      </c>
      <c r="J196" s="222">
        <v>-10768.31</v>
      </c>
      <c r="K196" s="222">
        <v>0</v>
      </c>
      <c r="L196" s="222">
        <v>-79292.72</v>
      </c>
      <c r="M196" s="222">
        <v>-76908.97</v>
      </c>
      <c r="N196" s="222">
        <v>-361796.09</v>
      </c>
      <c r="O196" s="222">
        <v>496533.67</v>
      </c>
      <c r="P196" s="222">
        <v>-17509.189999999999</v>
      </c>
      <c r="Q196" s="222">
        <v>0</v>
      </c>
      <c r="R196" s="237">
        <v>0</v>
      </c>
    </row>
    <row r="197" spans="1:18" ht="12.75" customHeight="1" x14ac:dyDescent="0.2">
      <c r="C197" s="89"/>
      <c r="D197" s="89" t="s">
        <v>73</v>
      </c>
      <c r="E197" s="371">
        <v>64033.1</v>
      </c>
      <c r="F197" s="90">
        <v>7214.71</v>
      </c>
      <c r="G197" s="90">
        <v>4104.6000000000004</v>
      </c>
      <c r="H197" s="90">
        <v>2011.77</v>
      </c>
      <c r="I197" s="90">
        <v>10666.45</v>
      </c>
      <c r="J197" s="90">
        <v>222.72</v>
      </c>
      <c r="K197" s="90">
        <v>0</v>
      </c>
      <c r="L197" s="90">
        <v>1953.71</v>
      </c>
      <c r="M197" s="90">
        <v>3521.83</v>
      </c>
      <c r="N197" s="90">
        <v>16901.91</v>
      </c>
      <c r="O197" s="90">
        <v>17071.919999999998</v>
      </c>
      <c r="P197" s="90">
        <v>363.48</v>
      </c>
      <c r="Q197" s="90">
        <v>0</v>
      </c>
      <c r="R197">
        <v>0</v>
      </c>
    </row>
    <row r="198" spans="1:18" ht="12.75" customHeight="1" x14ac:dyDescent="0.2">
      <c r="C198" t="s">
        <v>82</v>
      </c>
      <c r="D198" t="s">
        <v>70</v>
      </c>
      <c r="E198">
        <v>64033.1</v>
      </c>
      <c r="F198">
        <v>7214.71</v>
      </c>
      <c r="G198">
        <v>4104.6000000000004</v>
      </c>
      <c r="H198">
        <v>2011.77</v>
      </c>
      <c r="I198">
        <v>10666.45</v>
      </c>
      <c r="J198">
        <v>222.72</v>
      </c>
      <c r="K198">
        <v>0</v>
      </c>
      <c r="L198">
        <v>1953.71</v>
      </c>
      <c r="M198">
        <v>3521.83</v>
      </c>
      <c r="N198">
        <v>16901.91</v>
      </c>
      <c r="O198">
        <v>17071.919999999998</v>
      </c>
      <c r="P198">
        <v>363.48</v>
      </c>
      <c r="Q198">
        <v>0</v>
      </c>
      <c r="R198">
        <v>0</v>
      </c>
    </row>
    <row r="199" spans="1:18" ht="12.75" customHeight="1" x14ac:dyDescent="0.2">
      <c r="D199" t="s">
        <v>73</v>
      </c>
      <c r="E199">
        <v>143391.71</v>
      </c>
      <c r="F199">
        <v>17683.3</v>
      </c>
      <c r="G199">
        <v>9483.69</v>
      </c>
      <c r="H199">
        <v>4051.59</v>
      </c>
      <c r="I199">
        <v>19388.95</v>
      </c>
      <c r="J199">
        <v>458.99</v>
      </c>
      <c r="K199">
        <v>0</v>
      </c>
      <c r="L199">
        <v>4524.54</v>
      </c>
      <c r="M199">
        <v>8575.41</v>
      </c>
      <c r="N199">
        <v>33527.4</v>
      </c>
      <c r="O199">
        <v>44872.41</v>
      </c>
      <c r="P199">
        <v>825.43</v>
      </c>
      <c r="Q199">
        <v>0</v>
      </c>
      <c r="R199">
        <v>0</v>
      </c>
    </row>
    <row r="200" spans="1:18" ht="12.75" customHeight="1" x14ac:dyDescent="0.2">
      <c r="C200" t="s">
        <v>86</v>
      </c>
      <c r="D200" t="s">
        <v>70</v>
      </c>
      <c r="E200">
        <v>143391.71</v>
      </c>
      <c r="F200">
        <v>17683.3</v>
      </c>
      <c r="G200">
        <v>9483.69</v>
      </c>
      <c r="H200">
        <v>4051.59</v>
      </c>
      <c r="I200">
        <v>19388.95</v>
      </c>
      <c r="J200">
        <v>458.99</v>
      </c>
      <c r="K200">
        <v>0</v>
      </c>
      <c r="L200">
        <v>4524.54</v>
      </c>
      <c r="M200">
        <v>8575.41</v>
      </c>
      <c r="N200">
        <v>33527.4</v>
      </c>
      <c r="O200">
        <v>44872.41</v>
      </c>
      <c r="P200">
        <v>825.43</v>
      </c>
      <c r="Q200">
        <v>0</v>
      </c>
      <c r="R200">
        <v>0</v>
      </c>
    </row>
    <row r="201" spans="1:18" ht="12.75" customHeight="1" x14ac:dyDescent="0.2">
      <c r="D201" s="89" t="s">
        <v>73</v>
      </c>
      <c r="E201" s="90">
        <v>2930318.19</v>
      </c>
      <c r="F201" s="90">
        <v>567936.48</v>
      </c>
      <c r="G201" s="90">
        <v>316279.55</v>
      </c>
      <c r="H201" s="90">
        <v>167772.67</v>
      </c>
      <c r="I201" s="90">
        <v>74829.75</v>
      </c>
      <c r="J201" s="90">
        <v>1886.12</v>
      </c>
      <c r="K201" s="90">
        <v>0</v>
      </c>
      <c r="L201" s="90">
        <v>25238.91</v>
      </c>
      <c r="M201" s="90">
        <v>37822.78</v>
      </c>
      <c r="N201" s="90">
        <v>177754.7</v>
      </c>
      <c r="O201" s="90">
        <v>1557167.31</v>
      </c>
      <c r="P201" s="90">
        <v>3629.92</v>
      </c>
      <c r="Q201" s="90">
        <v>0</v>
      </c>
      <c r="R201">
        <v>0</v>
      </c>
    </row>
    <row r="202" spans="1:18" ht="12.75" customHeight="1" x14ac:dyDescent="0.2">
      <c r="C202" t="s">
        <v>87</v>
      </c>
      <c r="D202" s="89" t="s">
        <v>70</v>
      </c>
      <c r="E202" s="90">
        <v>2930318.19</v>
      </c>
      <c r="F202" s="90">
        <v>567936.48</v>
      </c>
      <c r="G202" s="90">
        <v>316279.55</v>
      </c>
      <c r="H202" s="90">
        <v>167772.67</v>
      </c>
      <c r="I202" s="90">
        <v>74829.75</v>
      </c>
      <c r="J202" s="90">
        <v>1886.12</v>
      </c>
      <c r="K202" s="90">
        <v>0</v>
      </c>
      <c r="L202" s="90">
        <v>25238.91</v>
      </c>
      <c r="M202" s="90">
        <v>37822.78</v>
      </c>
      <c r="N202" s="90">
        <v>177754.7</v>
      </c>
      <c r="O202" s="90">
        <v>1557167.31</v>
      </c>
      <c r="P202" s="90">
        <v>3629.92</v>
      </c>
      <c r="Q202" s="90">
        <v>0</v>
      </c>
      <c r="R202">
        <v>0</v>
      </c>
    </row>
    <row r="203" spans="1:18" s="94" customFormat="1" ht="12.75" customHeight="1" x14ac:dyDescent="0.2">
      <c r="B203" s="101" t="s">
        <v>119</v>
      </c>
      <c r="C203" s="101" t="s">
        <v>70</v>
      </c>
      <c r="E203" s="93">
        <v>3137743</v>
      </c>
      <c r="F203" s="93">
        <v>592834.49</v>
      </c>
      <c r="G203" s="93">
        <v>329867.84000000003</v>
      </c>
      <c r="H203" s="93">
        <v>173836.03</v>
      </c>
      <c r="I203" s="93">
        <v>104885.15</v>
      </c>
      <c r="J203" s="93">
        <v>2567.83</v>
      </c>
      <c r="K203" s="93">
        <v>0</v>
      </c>
      <c r="L203" s="93">
        <v>31717.16</v>
      </c>
      <c r="M203" s="93">
        <v>49920.02</v>
      </c>
      <c r="N203" s="93">
        <v>228184.01</v>
      </c>
      <c r="O203" s="93">
        <v>1619111.64</v>
      </c>
      <c r="P203" s="93">
        <v>4818.83</v>
      </c>
      <c r="Q203" s="93">
        <v>0</v>
      </c>
      <c r="R203" s="94">
        <v>0</v>
      </c>
    </row>
    <row r="204" spans="1:18" s="226" customFormat="1" ht="12.75" customHeight="1" x14ac:dyDescent="0.2">
      <c r="A204" s="98" t="s">
        <v>79</v>
      </c>
      <c r="B204" s="98" t="s">
        <v>70</v>
      </c>
      <c r="E204" s="100">
        <v>2901812.46</v>
      </c>
      <c r="F204" s="100">
        <v>772344.42</v>
      </c>
      <c r="G204" s="100">
        <v>427386.3</v>
      </c>
      <c r="H204" s="100">
        <v>205351.48</v>
      </c>
      <c r="I204" s="100">
        <v>-389847.62</v>
      </c>
      <c r="J204" s="100">
        <v>-8200.48</v>
      </c>
      <c r="K204" s="100">
        <v>0</v>
      </c>
      <c r="L204" s="100">
        <v>-47575.56</v>
      </c>
      <c r="M204" s="100">
        <v>-26988.95</v>
      </c>
      <c r="N204" s="100">
        <v>-133612.07999999999</v>
      </c>
      <c r="O204" s="100">
        <v>2115645.31</v>
      </c>
      <c r="P204" s="100">
        <v>-12690.36</v>
      </c>
      <c r="Q204" s="100">
        <v>0</v>
      </c>
      <c r="R204" s="226">
        <v>0</v>
      </c>
    </row>
    <row r="205" spans="1:18" ht="12.75" customHeight="1" x14ac:dyDescent="0.2">
      <c r="A205" s="89" t="s">
        <v>70</v>
      </c>
      <c r="E205" s="90">
        <v>26609070.66</v>
      </c>
      <c r="F205" s="90">
        <v>3441760.41</v>
      </c>
      <c r="G205" s="90">
        <v>1542505.18</v>
      </c>
      <c r="H205" s="90">
        <v>971942.35</v>
      </c>
      <c r="I205" s="90">
        <v>3260018.71</v>
      </c>
      <c r="J205" s="90">
        <v>109777.02</v>
      </c>
      <c r="K205" s="90">
        <v>22742.37</v>
      </c>
      <c r="L205" s="90">
        <v>1022011.16</v>
      </c>
      <c r="M205" s="90">
        <v>1222656.99</v>
      </c>
      <c r="N205" s="90">
        <v>6163642.4100000001</v>
      </c>
      <c r="O205" s="90">
        <v>8684773.0800000001</v>
      </c>
      <c r="P205" s="90">
        <v>167194.76</v>
      </c>
      <c r="Q205" s="90">
        <v>46.22</v>
      </c>
      <c r="R205">
        <v>0</v>
      </c>
    </row>
    <row r="206" spans="1:18" ht="12.75" customHeight="1" x14ac:dyDescent="0.2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hidden="1" customHeight="1" x14ac:dyDescent="0.2">
      <c r="A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</row>
    <row r="227" spans="1:18" ht="12.75" hidden="1" customHeight="1" x14ac:dyDescent="0.2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18" ht="12.75" hidden="1" customHeight="1" x14ac:dyDescent="0.2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8" ht="12.75" hidden="1" customHeight="1" x14ac:dyDescent="0.2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8" ht="12.75" hidden="1" customHeight="1" x14ac:dyDescent="0.2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8" ht="12.75" hidden="1" customHeight="1" x14ac:dyDescent="0.2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8" ht="12.75" hidden="1" customHeight="1" x14ac:dyDescent="0.2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customHeight="1" x14ac:dyDescent="0.2">
      <c r="C237" s="89"/>
      <c r="D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1:18" ht="12.75" hidden="1" customHeight="1" x14ac:dyDescent="0.2">
      <c r="D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</row>
    <row r="239" spans="1:18" ht="12.75" hidden="1" customHeight="1" x14ac:dyDescent="0.2">
      <c r="C239" s="89"/>
      <c r="D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</row>
    <row r="240" spans="1:18" ht="12.75" hidden="1" customHeight="1" x14ac:dyDescent="0.2">
      <c r="D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</row>
    <row r="241" spans="1:18" ht="12.75" hidden="1" customHeight="1" x14ac:dyDescent="0.2">
      <c r="C241" s="89"/>
      <c r="D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1:18" ht="12.75" hidden="1" customHeight="1" x14ac:dyDescent="0.2">
      <c r="B242" s="89"/>
      <c r="C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</row>
    <row r="243" spans="1:18" ht="12.75" hidden="1" customHeight="1" x14ac:dyDescent="0.2">
      <c r="A243" s="89"/>
      <c r="B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</row>
    <row r="244" spans="1:18" ht="12.75" hidden="1" customHeight="1" x14ac:dyDescent="0.2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</row>
    <row r="245" spans="1:18" ht="12.75" hidden="1" customHeight="1" x14ac:dyDescent="0.2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hidden="1" customHeight="1" x14ac:dyDescent="0.2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hidden="1" customHeight="1" x14ac:dyDescent="0.2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8" ht="12.75" hidden="1" customHeight="1" x14ac:dyDescent="0.2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8" ht="12.75" hidden="1" customHeight="1" x14ac:dyDescent="0.2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8" ht="12.75" hidden="1" customHeight="1" x14ac:dyDescent="0.2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8" ht="12.75" hidden="1" customHeight="1" x14ac:dyDescent="0.2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8" ht="12.75" hidden="1" customHeight="1" x14ac:dyDescent="0.2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8" ht="12.75" hidden="1" customHeight="1" x14ac:dyDescent="0.2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8" ht="12.75" hidden="1" customHeight="1" x14ac:dyDescent="0.2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8" ht="12.75" hidden="1" customHeight="1" x14ac:dyDescent="0.2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8" ht="12.75" hidden="1" customHeight="1" x14ac:dyDescent="0.2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7" ht="12.75" hidden="1" customHeight="1" x14ac:dyDescent="0.2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7" ht="12.75" hidden="1" customHeight="1" x14ac:dyDescent="0.2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7" ht="12.75" hidden="1" customHeight="1" x14ac:dyDescent="0.2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7" ht="12.75" hidden="1" customHeight="1" x14ac:dyDescent="0.2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7" ht="12.75" hidden="1" customHeight="1" x14ac:dyDescent="0.2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7" ht="12.75" hidden="1" customHeight="1" x14ac:dyDescent="0.2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7" ht="12.75" hidden="1" customHeight="1" x14ac:dyDescent="0.2">
      <c r="A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</row>
    <row r="264" spans="1:17" ht="12.75" hidden="1" customHeight="1" x14ac:dyDescent="0.2">
      <c r="A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</row>
    <row r="265" spans="1:17" ht="12.75" hidden="1" customHeight="1" x14ac:dyDescent="0.2">
      <c r="A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</row>
    <row r="266" spans="1:17" ht="12.75" hidden="1" customHeight="1" x14ac:dyDescent="0.2">
      <c r="A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</row>
    <row r="267" spans="1:17" ht="12.75" hidden="1" customHeight="1" x14ac:dyDescent="0.2">
      <c r="A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</row>
    <row r="268" spans="1:17" ht="12.75" hidden="1" customHeight="1" x14ac:dyDescent="0.2">
      <c r="A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</row>
    <row r="269" spans="1:17" ht="12.75" hidden="1" customHeight="1" x14ac:dyDescent="0.2">
      <c r="A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</row>
    <row r="270" spans="1:17" ht="12.75" hidden="1" customHeight="1" x14ac:dyDescent="0.2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</row>
    <row r="271" spans="1:17" ht="12.75" hidden="1" customHeight="1" x14ac:dyDescent="0.2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7" ht="12.75" customHeight="1" x14ac:dyDescent="0.2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8" ht="12.75" customHeight="1" x14ac:dyDescent="0.2">
      <c r="B273" s="778" t="s">
        <v>2</v>
      </c>
      <c r="C273" s="775" t="s">
        <v>132</v>
      </c>
      <c r="D273" s="98" t="s">
        <v>70</v>
      </c>
      <c r="E273" s="100">
        <f>E193+E204-K193</f>
        <v>26586328.289999999</v>
      </c>
      <c r="F273" s="100">
        <f>F193</f>
        <v>2669415.9900000002</v>
      </c>
      <c r="G273" s="100">
        <f t="shared" ref="G273:R273" si="7">G193</f>
        <v>1115118.8799999999</v>
      </c>
      <c r="H273" s="100">
        <f t="shared" si="7"/>
        <v>766590.87</v>
      </c>
      <c r="I273" s="100">
        <f t="shared" si="7"/>
        <v>3649866.33</v>
      </c>
      <c r="J273" s="100">
        <f t="shared" si="7"/>
        <v>117977.5</v>
      </c>
      <c r="K273" s="100">
        <f t="shared" si="7"/>
        <v>22742.37</v>
      </c>
      <c r="L273" s="100">
        <f t="shared" si="7"/>
        <v>1069586.72</v>
      </c>
      <c r="M273" s="100">
        <f t="shared" si="7"/>
        <v>1249645.94</v>
      </c>
      <c r="N273" s="100">
        <f t="shared" si="7"/>
        <v>6297254.4900000002</v>
      </c>
      <c r="O273" s="100">
        <f t="shared" si="7"/>
        <v>6569127.7699999996</v>
      </c>
      <c r="P273" s="100">
        <f t="shared" si="7"/>
        <v>179885.12</v>
      </c>
      <c r="Q273" s="100">
        <f t="shared" si="7"/>
        <v>46.22</v>
      </c>
      <c r="R273" s="100">
        <f t="shared" si="7"/>
        <v>0</v>
      </c>
    </row>
    <row r="274" spans="1:18" ht="12.75" customHeight="1" x14ac:dyDescent="0.2">
      <c r="B274" s="778"/>
      <c r="C274" s="775"/>
      <c r="D274" s="98" t="s">
        <v>73</v>
      </c>
      <c r="E274" s="100">
        <f>E204</f>
        <v>2901812.46</v>
      </c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</row>
    <row r="275" spans="1:18" ht="12.75" customHeight="1" x14ac:dyDescent="0.2">
      <c r="A275" s="89"/>
      <c r="B275" s="97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">
      <c r="B276" s="778" t="s">
        <v>160</v>
      </c>
      <c r="C276" s="775" t="s">
        <v>132</v>
      </c>
      <c r="D276" s="223" t="s">
        <v>70</v>
      </c>
      <c r="E276" s="225">
        <v>0</v>
      </c>
      <c r="F276" s="225">
        <v>0</v>
      </c>
      <c r="G276" s="225">
        <v>0</v>
      </c>
      <c r="H276" s="225">
        <v>0</v>
      </c>
      <c r="I276" s="225">
        <v>0</v>
      </c>
      <c r="J276" s="225">
        <v>0</v>
      </c>
      <c r="K276" s="225">
        <v>0</v>
      </c>
      <c r="L276" s="225">
        <v>0</v>
      </c>
      <c r="M276" s="225">
        <v>0</v>
      </c>
      <c r="N276" s="225">
        <v>0</v>
      </c>
      <c r="O276" s="225">
        <v>0</v>
      </c>
      <c r="P276" s="225">
        <v>0</v>
      </c>
      <c r="Q276" s="225">
        <v>0</v>
      </c>
      <c r="R276" s="225">
        <v>0</v>
      </c>
    </row>
    <row r="277" spans="1:18" ht="12.75" customHeight="1" x14ac:dyDescent="0.2">
      <c r="B277" s="778"/>
      <c r="C277" s="775"/>
      <c r="D277" s="223" t="s">
        <v>73</v>
      </c>
      <c r="E277" s="225">
        <v>0</v>
      </c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18" ht="12.75" customHeight="1" x14ac:dyDescent="0.2">
      <c r="A278" s="89"/>
      <c r="B278" s="97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ht="12.75" customHeight="1" x14ac:dyDescent="0.2">
      <c r="B279" s="778" t="s">
        <v>155</v>
      </c>
      <c r="C279" s="775" t="s">
        <v>132</v>
      </c>
      <c r="D279" s="221" t="s">
        <v>70</v>
      </c>
      <c r="E279" s="222">
        <f>E196+E182+E178-K182-K178</f>
        <v>10032919.670000002</v>
      </c>
      <c r="F279" s="222">
        <f>F178+F182</f>
        <v>701731.13</v>
      </c>
      <c r="G279" s="222">
        <f t="shared" ref="G279:R279" si="8">G178+G182</f>
        <v>402850.38</v>
      </c>
      <c r="H279" s="222">
        <f t="shared" si="8"/>
        <v>200945.85</v>
      </c>
      <c r="I279" s="222">
        <f t="shared" si="8"/>
        <v>2080358.83</v>
      </c>
      <c r="J279" s="222">
        <f t="shared" si="8"/>
        <v>75750.34</v>
      </c>
      <c r="K279" s="222">
        <f t="shared" si="8"/>
        <v>22742.37</v>
      </c>
      <c r="L279" s="222">
        <f t="shared" si="8"/>
        <v>672022.47</v>
      </c>
      <c r="M279" s="222">
        <f t="shared" si="8"/>
        <v>686444.88</v>
      </c>
      <c r="N279" s="222">
        <f t="shared" si="8"/>
        <v>3594429</v>
      </c>
      <c r="O279" s="222">
        <f t="shared" si="8"/>
        <v>1748778.82</v>
      </c>
      <c r="P279" s="222">
        <f t="shared" si="8"/>
        <v>105523.93999999999</v>
      </c>
      <c r="Q279" s="222">
        <f t="shared" si="8"/>
        <v>14.57</v>
      </c>
      <c r="R279" s="222">
        <f t="shared" si="8"/>
        <v>0</v>
      </c>
    </row>
    <row r="280" spans="1:18" ht="12.75" customHeight="1" x14ac:dyDescent="0.2">
      <c r="B280" s="778"/>
      <c r="C280" s="775"/>
      <c r="D280" s="221" t="s">
        <v>73</v>
      </c>
      <c r="E280" s="222">
        <f>E196</f>
        <v>-235930.54</v>
      </c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</row>
    <row r="281" spans="1:18" ht="12.75" customHeight="1" x14ac:dyDescent="0.2">
      <c r="B281" s="719"/>
      <c r="C281" s="220"/>
      <c r="D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</row>
    <row r="282" spans="1:18" ht="12.75" customHeight="1" x14ac:dyDescent="0.2">
      <c r="B282" s="776" t="s">
        <v>326</v>
      </c>
      <c r="C282" s="775" t="s">
        <v>132</v>
      </c>
      <c r="D282" s="373" t="s">
        <v>70</v>
      </c>
      <c r="E282" s="374">
        <v>0</v>
      </c>
      <c r="F282" s="374">
        <v>0</v>
      </c>
      <c r="G282" s="374">
        <v>0</v>
      </c>
      <c r="H282" s="374">
        <v>0</v>
      </c>
      <c r="I282" s="374">
        <v>0</v>
      </c>
      <c r="J282" s="374">
        <v>0</v>
      </c>
      <c r="K282" s="374">
        <v>0</v>
      </c>
      <c r="L282" s="374">
        <v>0</v>
      </c>
      <c r="M282" s="374">
        <v>0</v>
      </c>
      <c r="N282" s="374">
        <v>0</v>
      </c>
      <c r="O282" s="374">
        <v>0</v>
      </c>
      <c r="P282" s="374">
        <v>0</v>
      </c>
      <c r="Q282" s="374">
        <v>0</v>
      </c>
      <c r="R282" s="374">
        <v>0</v>
      </c>
    </row>
    <row r="283" spans="1:18" ht="12.75" customHeight="1" x14ac:dyDescent="0.2">
      <c r="B283" s="776"/>
      <c r="C283" s="775"/>
      <c r="D283" s="373" t="s">
        <v>73</v>
      </c>
      <c r="E283" s="374">
        <v>0</v>
      </c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18" ht="12.75" customHeight="1" x14ac:dyDescent="0.2">
      <c r="B284" s="719"/>
      <c r="C284" s="220"/>
      <c r="D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</row>
    <row r="285" spans="1:18" ht="12.75" customHeight="1" x14ac:dyDescent="0.2">
      <c r="B285" s="778" t="s">
        <v>119</v>
      </c>
      <c r="C285" s="775" t="s">
        <v>132</v>
      </c>
      <c r="D285" s="101" t="s">
        <v>70</v>
      </c>
      <c r="E285" s="93">
        <f>E192+E203-K192</f>
        <v>16553408.619999999</v>
      </c>
      <c r="F285" s="93">
        <f>F192</f>
        <v>1967684.86</v>
      </c>
      <c r="G285" s="93">
        <f t="shared" ref="G285:R285" si="9">G192</f>
        <v>712268.5</v>
      </c>
      <c r="H285" s="93">
        <f t="shared" si="9"/>
        <v>565645.02</v>
      </c>
      <c r="I285" s="93">
        <f t="shared" si="9"/>
        <v>1569507.5</v>
      </c>
      <c r="J285" s="93">
        <f t="shared" si="9"/>
        <v>42227.16</v>
      </c>
      <c r="K285" s="93">
        <f t="shared" si="9"/>
        <v>0</v>
      </c>
      <c r="L285" s="93">
        <f t="shared" si="9"/>
        <v>397564.25</v>
      </c>
      <c r="M285" s="93">
        <f t="shared" si="9"/>
        <v>563201.06000000006</v>
      </c>
      <c r="N285" s="93">
        <f t="shared" si="9"/>
        <v>2702825.49</v>
      </c>
      <c r="O285" s="93">
        <f t="shared" si="9"/>
        <v>4820348.95</v>
      </c>
      <c r="P285" s="93">
        <f t="shared" si="9"/>
        <v>74361.179999999993</v>
      </c>
      <c r="Q285" s="93">
        <f t="shared" si="9"/>
        <v>31.65</v>
      </c>
      <c r="R285" s="93">
        <f t="shared" si="9"/>
        <v>0</v>
      </c>
    </row>
    <row r="286" spans="1:18" ht="12.75" customHeight="1" x14ac:dyDescent="0.2">
      <c r="B286" s="778"/>
      <c r="C286" s="775"/>
      <c r="D286" s="101" t="s">
        <v>73</v>
      </c>
      <c r="E286" s="93">
        <f>E203</f>
        <v>3137743</v>
      </c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</row>
    <row r="287" spans="1:18" ht="12.75" customHeight="1" x14ac:dyDescent="0.2">
      <c r="A287" s="89"/>
      <c r="B287" s="97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</row>
    <row r="288" spans="1:18" ht="12.75" customHeight="1" x14ac:dyDescent="0.2">
      <c r="B288" s="777" t="s">
        <v>161</v>
      </c>
      <c r="C288" s="775" t="s">
        <v>132</v>
      </c>
      <c r="D288" s="231" t="s">
        <v>70</v>
      </c>
      <c r="E288" s="232">
        <v>0</v>
      </c>
      <c r="F288" s="232">
        <v>0</v>
      </c>
      <c r="G288" s="232">
        <v>0</v>
      </c>
      <c r="H288" s="232">
        <v>0</v>
      </c>
      <c r="I288" s="232">
        <v>0</v>
      </c>
      <c r="J288" s="232">
        <v>0</v>
      </c>
      <c r="K288" s="232">
        <v>0</v>
      </c>
      <c r="L288" s="232">
        <v>0</v>
      </c>
      <c r="M288" s="232">
        <v>0</v>
      </c>
      <c r="N288" s="232">
        <v>0</v>
      </c>
      <c r="O288" s="232">
        <v>0</v>
      </c>
      <c r="P288" s="232">
        <v>0</v>
      </c>
      <c r="Q288" s="232">
        <v>0</v>
      </c>
      <c r="R288" s="232">
        <v>0</v>
      </c>
    </row>
    <row r="289" spans="2:18" ht="12.75" customHeight="1" x14ac:dyDescent="0.2">
      <c r="B289" s="777"/>
      <c r="C289" s="775"/>
      <c r="D289" s="231" t="s">
        <v>73</v>
      </c>
      <c r="E289" s="232">
        <v>0</v>
      </c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</row>
    <row r="290" spans="2:18" s="238" customFormat="1" x14ac:dyDescent="0.2"/>
    <row r="291" spans="2:18" ht="15" customHeight="1" x14ac:dyDescent="0.2">
      <c r="B291" s="97" t="s">
        <v>88</v>
      </c>
    </row>
    <row r="292" spans="2:18" ht="11.45" customHeight="1" x14ac:dyDescent="0.2">
      <c r="E292" s="89" t="s">
        <v>70</v>
      </c>
      <c r="F292" s="89" t="s">
        <v>64</v>
      </c>
      <c r="G292" s="89" t="s">
        <v>65</v>
      </c>
      <c r="H292" s="219" t="s">
        <v>164</v>
      </c>
      <c r="I292" s="89" t="s">
        <v>69</v>
      </c>
      <c r="J292" s="89" t="s">
        <v>68</v>
      </c>
      <c r="K292" s="89" t="s">
        <v>83</v>
      </c>
      <c r="L292" s="89" t="s">
        <v>66</v>
      </c>
      <c r="M292" s="89" t="s">
        <v>63</v>
      </c>
      <c r="N292" s="89" t="s">
        <v>61</v>
      </c>
      <c r="O292" s="89" t="s">
        <v>62</v>
      </c>
      <c r="P292" s="89" t="s">
        <v>67</v>
      </c>
      <c r="Q292" s="89" t="s">
        <v>84</v>
      </c>
      <c r="R292" s="384" t="s">
        <v>225</v>
      </c>
    </row>
    <row r="293" spans="2:18" ht="11.45" customHeight="1" x14ac:dyDescent="0.2">
      <c r="D293" t="s">
        <v>72</v>
      </c>
      <c r="E293" s="89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 s="384">
        <v>0</v>
      </c>
    </row>
    <row r="294" spans="2:18" ht="12.75" customHeight="1" x14ac:dyDescent="0.2">
      <c r="D294" t="s">
        <v>81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 s="384">
        <v>0</v>
      </c>
    </row>
    <row r="295" spans="2:18" ht="11.45" customHeight="1" x14ac:dyDescent="0.2">
      <c r="C295" t="s">
        <v>332</v>
      </c>
      <c r="D295" t="s">
        <v>70</v>
      </c>
      <c r="E295" s="384">
        <v>0</v>
      </c>
      <c r="F295" s="89">
        <v>0</v>
      </c>
      <c r="G295" s="89">
        <v>0</v>
      </c>
      <c r="H295" s="384">
        <v>0</v>
      </c>
      <c r="I295" s="89">
        <v>0</v>
      </c>
      <c r="J295" s="89">
        <v>0</v>
      </c>
      <c r="K295" s="89">
        <v>0</v>
      </c>
      <c r="L295" s="89">
        <v>0</v>
      </c>
      <c r="M295" s="89">
        <v>0</v>
      </c>
      <c r="N295" s="89">
        <v>0</v>
      </c>
      <c r="O295" s="89">
        <v>0</v>
      </c>
      <c r="P295" s="89">
        <v>0</v>
      </c>
      <c r="Q295" s="89">
        <v>0</v>
      </c>
      <c r="R295" s="384">
        <v>0</v>
      </c>
    </row>
    <row r="296" spans="2:18" s="739" customFormat="1" ht="11.45" customHeight="1" x14ac:dyDescent="0.2">
      <c r="B296" s="739" t="s">
        <v>85</v>
      </c>
      <c r="C296" s="739" t="s">
        <v>70</v>
      </c>
      <c r="E296" s="769">
        <v>0</v>
      </c>
      <c r="F296" s="231">
        <v>0</v>
      </c>
      <c r="G296" s="231">
        <v>0</v>
      </c>
      <c r="H296" s="769">
        <v>0</v>
      </c>
      <c r="I296" s="231">
        <v>0</v>
      </c>
      <c r="J296" s="231">
        <v>0</v>
      </c>
      <c r="K296" s="231">
        <v>0</v>
      </c>
      <c r="L296" s="231">
        <v>0</v>
      </c>
      <c r="M296" s="231">
        <v>0</v>
      </c>
      <c r="N296" s="231">
        <v>0</v>
      </c>
      <c r="O296" s="231">
        <v>0</v>
      </c>
      <c r="P296" s="231">
        <v>0</v>
      </c>
      <c r="Q296" s="231">
        <v>0</v>
      </c>
      <c r="R296" s="769">
        <v>0</v>
      </c>
    </row>
    <row r="297" spans="2:18" ht="11.45" customHeight="1" x14ac:dyDescent="0.2">
      <c r="D297" t="s">
        <v>72</v>
      </c>
      <c r="E297" s="384">
        <v>76457865.810000002</v>
      </c>
      <c r="F297" s="89">
        <v>3641666.89</v>
      </c>
      <c r="G297" s="89">
        <v>2133608.73</v>
      </c>
      <c r="H297" s="384">
        <v>921850.4</v>
      </c>
      <c r="I297" s="89">
        <v>19097451.010000002</v>
      </c>
      <c r="J297" s="89">
        <v>695259.51</v>
      </c>
      <c r="K297" s="89">
        <v>0</v>
      </c>
      <c r="L297" s="89">
        <v>6005916.7599999998</v>
      </c>
      <c r="M297" s="89">
        <v>5940381.5199999996</v>
      </c>
      <c r="N297" s="89">
        <v>26946237.780000001</v>
      </c>
      <c r="O297" s="89">
        <v>9968241.8399999999</v>
      </c>
      <c r="P297" s="89">
        <v>1107336.69</v>
      </c>
      <c r="Q297" s="89">
        <v>-85.32</v>
      </c>
      <c r="R297" s="384">
        <v>0</v>
      </c>
    </row>
    <row r="298" spans="2:18" ht="12.75" customHeight="1" x14ac:dyDescent="0.2">
      <c r="D298" t="s">
        <v>81</v>
      </c>
      <c r="E298" s="384">
        <v>-546491.49</v>
      </c>
      <c r="F298" s="89">
        <v>1918.82</v>
      </c>
      <c r="G298" s="89">
        <v>919.78</v>
      </c>
      <c r="H298" s="384">
        <v>476.91</v>
      </c>
      <c r="I298" s="89">
        <v>3849.93</v>
      </c>
      <c r="J298" s="89">
        <v>129.94</v>
      </c>
      <c r="K298" s="89">
        <v>0</v>
      </c>
      <c r="L298" s="89">
        <v>1057.79</v>
      </c>
      <c r="M298" s="89">
        <v>1241.1199999999999</v>
      </c>
      <c r="N298" s="89">
        <v>-561414.15</v>
      </c>
      <c r="O298" s="89">
        <v>5114.92</v>
      </c>
      <c r="P298" s="89">
        <v>213.4</v>
      </c>
      <c r="Q298" s="89">
        <v>0.05</v>
      </c>
      <c r="R298" s="384">
        <v>0</v>
      </c>
    </row>
    <row r="299" spans="2:18" ht="12.75" customHeight="1" x14ac:dyDescent="0.2">
      <c r="C299" t="s">
        <v>156</v>
      </c>
      <c r="D299" t="s">
        <v>70</v>
      </c>
      <c r="E299" s="384">
        <v>75911374.319999993</v>
      </c>
      <c r="F299" s="89">
        <v>3643585.71</v>
      </c>
      <c r="G299" s="89">
        <v>2134528.5099999998</v>
      </c>
      <c r="H299" s="384">
        <v>922327.31</v>
      </c>
      <c r="I299" s="89">
        <v>19101300.940000001</v>
      </c>
      <c r="J299" s="89">
        <v>695389.45</v>
      </c>
      <c r="K299" s="89">
        <v>0</v>
      </c>
      <c r="L299" s="89">
        <v>6006974.5499999998</v>
      </c>
      <c r="M299" s="89">
        <v>5941622.6399999997</v>
      </c>
      <c r="N299" s="89">
        <v>26384823.629999999</v>
      </c>
      <c r="O299" s="89">
        <v>9973356.7599999998</v>
      </c>
      <c r="P299" s="89">
        <v>1107550.0900000001</v>
      </c>
      <c r="Q299" s="89">
        <v>-85.27</v>
      </c>
      <c r="R299">
        <v>0</v>
      </c>
    </row>
    <row r="300" spans="2:18" s="286" customFormat="1" ht="12.75" customHeight="1" x14ac:dyDescent="0.2">
      <c r="B300" s="286" t="s">
        <v>155</v>
      </c>
      <c r="C300" s="286" t="s">
        <v>70</v>
      </c>
      <c r="E300" s="753">
        <v>75911374.319999993</v>
      </c>
      <c r="F300" s="229">
        <v>3643585.71</v>
      </c>
      <c r="G300" s="229">
        <v>2134528.5099999998</v>
      </c>
      <c r="H300" s="753">
        <v>922327.31</v>
      </c>
      <c r="I300" s="229">
        <v>19101300.940000001</v>
      </c>
      <c r="J300" s="229">
        <v>695389.45</v>
      </c>
      <c r="K300" s="229">
        <v>0</v>
      </c>
      <c r="L300" s="229">
        <v>6006974.5499999998</v>
      </c>
      <c r="M300" s="229">
        <v>5941622.6399999997</v>
      </c>
      <c r="N300" s="229">
        <v>26384823.629999999</v>
      </c>
      <c r="O300" s="229">
        <v>9973356.7599999998</v>
      </c>
      <c r="P300" s="229">
        <v>1107550.0900000001</v>
      </c>
      <c r="Q300" s="229">
        <v>-85.27</v>
      </c>
      <c r="R300" s="286">
        <v>0</v>
      </c>
    </row>
    <row r="301" spans="2:18" ht="12.75" customHeight="1" x14ac:dyDescent="0.2">
      <c r="D301" t="s">
        <v>72</v>
      </c>
      <c r="E301" s="384">
        <v>18002757.07</v>
      </c>
      <c r="F301" s="89">
        <v>1980153.06</v>
      </c>
      <c r="G301" s="89">
        <v>1079854.53</v>
      </c>
      <c r="H301" s="384">
        <v>147100.26999999999</v>
      </c>
      <c r="I301" s="89">
        <v>3091993.19</v>
      </c>
      <c r="J301" s="89">
        <v>84501.79</v>
      </c>
      <c r="K301" s="89">
        <v>0</v>
      </c>
      <c r="L301" s="89">
        <v>825464.85</v>
      </c>
      <c r="M301" s="89">
        <v>929998.07</v>
      </c>
      <c r="N301" s="89">
        <v>4347249.1399999997</v>
      </c>
      <c r="O301" s="89">
        <v>5394420.5199999996</v>
      </c>
      <c r="P301" s="89">
        <v>121980.8</v>
      </c>
      <c r="Q301" s="89">
        <v>40.85</v>
      </c>
      <c r="R301">
        <v>0</v>
      </c>
    </row>
    <row r="302" spans="2:18" ht="12.75" customHeight="1" x14ac:dyDescent="0.2">
      <c r="D302" t="s">
        <v>81</v>
      </c>
      <c r="E302" s="384">
        <v>-51796.34</v>
      </c>
      <c r="F302" s="89">
        <v>3.25</v>
      </c>
      <c r="G302" s="89">
        <v>1.82</v>
      </c>
      <c r="H302" s="384">
        <v>1.49</v>
      </c>
      <c r="I302" s="89">
        <v>15.8</v>
      </c>
      <c r="J302" s="89">
        <v>0.87</v>
      </c>
      <c r="K302" s="89">
        <v>0</v>
      </c>
      <c r="L302" s="89">
        <v>4.9000000000000004</v>
      </c>
      <c r="M302" s="89">
        <v>4.8899999999999997</v>
      </c>
      <c r="N302" s="89">
        <v>-51839.46</v>
      </c>
      <c r="O302" s="89">
        <v>8.66</v>
      </c>
      <c r="P302" s="89">
        <v>1.44</v>
      </c>
      <c r="Q302" s="89">
        <v>0</v>
      </c>
      <c r="R302">
        <v>0</v>
      </c>
    </row>
    <row r="303" spans="2:18" ht="12.75" customHeight="1" x14ac:dyDescent="0.2">
      <c r="C303" t="s">
        <v>115</v>
      </c>
      <c r="D303" t="s">
        <v>70</v>
      </c>
      <c r="E303" s="384">
        <v>17950960.73</v>
      </c>
      <c r="F303" s="89">
        <v>1980156.31</v>
      </c>
      <c r="G303" s="89">
        <v>1079856.3500000001</v>
      </c>
      <c r="H303" s="384">
        <v>147101.76000000001</v>
      </c>
      <c r="I303" s="89">
        <v>3092008.99</v>
      </c>
      <c r="J303" s="89">
        <v>84502.66</v>
      </c>
      <c r="K303" s="89">
        <v>0</v>
      </c>
      <c r="L303" s="89">
        <v>825469.75</v>
      </c>
      <c r="M303" s="89">
        <v>930002.96</v>
      </c>
      <c r="N303" s="89">
        <v>4295409.68</v>
      </c>
      <c r="O303" s="89">
        <v>5394429.1799999997</v>
      </c>
      <c r="P303" s="89">
        <v>121982.24</v>
      </c>
      <c r="Q303" s="89">
        <v>40.85</v>
      </c>
      <c r="R303">
        <v>0</v>
      </c>
    </row>
    <row r="304" spans="2:18" ht="12.75" customHeight="1" x14ac:dyDescent="0.2">
      <c r="D304" t="s">
        <v>72</v>
      </c>
      <c r="E304" s="384">
        <v>6669914.1100000003</v>
      </c>
      <c r="F304" s="89">
        <v>1324974.27</v>
      </c>
      <c r="G304" s="89">
        <v>751701.9</v>
      </c>
      <c r="H304" s="384">
        <v>74006.929999999993</v>
      </c>
      <c r="I304" s="89">
        <v>332831.09000000003</v>
      </c>
      <c r="J304" s="89">
        <v>10219.219999999999</v>
      </c>
      <c r="K304" s="89">
        <v>0</v>
      </c>
      <c r="L304" s="89">
        <v>73839.360000000001</v>
      </c>
      <c r="M304" s="89">
        <v>81220.13</v>
      </c>
      <c r="N304" s="89">
        <v>435049.09</v>
      </c>
      <c r="O304" s="89">
        <v>3571186.75</v>
      </c>
      <c r="P304" s="89">
        <v>14889.6</v>
      </c>
      <c r="Q304" s="89">
        <v>-4.2300000000000004</v>
      </c>
      <c r="R304">
        <v>0</v>
      </c>
    </row>
    <row r="305" spans="2:18" ht="12.75" customHeight="1" x14ac:dyDescent="0.2">
      <c r="D305" t="s">
        <v>81</v>
      </c>
      <c r="E305" s="384">
        <v>-8785.59</v>
      </c>
      <c r="F305" s="89">
        <v>0</v>
      </c>
      <c r="G305" s="89">
        <v>0</v>
      </c>
      <c r="H305" s="384">
        <v>0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-8785.59</v>
      </c>
      <c r="O305" s="89">
        <v>0</v>
      </c>
      <c r="P305" s="89">
        <v>0</v>
      </c>
      <c r="Q305" s="89">
        <v>0</v>
      </c>
      <c r="R305">
        <v>0</v>
      </c>
    </row>
    <row r="306" spans="2:18" ht="12.75" customHeight="1" x14ac:dyDescent="0.2">
      <c r="C306" t="s">
        <v>116</v>
      </c>
      <c r="D306" t="s">
        <v>70</v>
      </c>
      <c r="E306" s="384">
        <v>6661128.5199999996</v>
      </c>
      <c r="F306" s="89">
        <v>1324974.27</v>
      </c>
      <c r="G306" s="89">
        <v>751701.9</v>
      </c>
      <c r="H306" s="384">
        <v>74006.929999999993</v>
      </c>
      <c r="I306" s="89">
        <v>332831.09000000003</v>
      </c>
      <c r="J306" s="89">
        <v>10219.219999999999</v>
      </c>
      <c r="K306" s="89">
        <v>0</v>
      </c>
      <c r="L306" s="89">
        <v>73839.360000000001</v>
      </c>
      <c r="M306" s="89">
        <v>81220.13</v>
      </c>
      <c r="N306" s="89">
        <v>426263.5</v>
      </c>
      <c r="O306" s="89">
        <v>3571186.75</v>
      </c>
      <c r="P306" s="89">
        <v>14889.6</v>
      </c>
      <c r="Q306" s="89">
        <v>-4.2300000000000004</v>
      </c>
      <c r="R306">
        <v>0</v>
      </c>
    </row>
    <row r="307" spans="2:18" ht="12.75" customHeight="1" x14ac:dyDescent="0.2">
      <c r="D307" t="s">
        <v>72</v>
      </c>
      <c r="E307" s="384">
        <v>0</v>
      </c>
      <c r="F307" s="89">
        <v>0</v>
      </c>
      <c r="G307" s="89">
        <v>0</v>
      </c>
      <c r="H307" s="384">
        <v>0</v>
      </c>
      <c r="I307" s="89">
        <v>0</v>
      </c>
      <c r="J307" s="89">
        <v>0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0</v>
      </c>
      <c r="Q307" s="89">
        <v>0</v>
      </c>
      <c r="R307">
        <v>0</v>
      </c>
    </row>
    <row r="308" spans="2:18" ht="12.75" customHeight="1" x14ac:dyDescent="0.2">
      <c r="D308" t="s">
        <v>81</v>
      </c>
      <c r="E308" s="384">
        <v>0</v>
      </c>
      <c r="F308" s="89">
        <v>0</v>
      </c>
      <c r="G308" s="89">
        <v>0</v>
      </c>
      <c r="H308" s="384">
        <v>0</v>
      </c>
      <c r="I308" s="89">
        <v>0</v>
      </c>
      <c r="J308" s="89">
        <v>0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0</v>
      </c>
      <c r="Q308" s="89">
        <v>0</v>
      </c>
      <c r="R308">
        <v>0</v>
      </c>
    </row>
    <row r="309" spans="2:18" ht="12.75" customHeight="1" x14ac:dyDescent="0.2">
      <c r="C309" s="772">
        <v>3</v>
      </c>
      <c r="D309" t="s">
        <v>70</v>
      </c>
      <c r="E309" s="384">
        <v>0</v>
      </c>
      <c r="F309" s="89">
        <v>0</v>
      </c>
      <c r="G309" s="89">
        <v>0</v>
      </c>
      <c r="H309" s="384">
        <v>0</v>
      </c>
      <c r="I309" s="89">
        <v>0</v>
      </c>
      <c r="J309" s="89">
        <v>0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0</v>
      </c>
      <c r="Q309" s="89">
        <v>0</v>
      </c>
      <c r="R309">
        <v>0</v>
      </c>
    </row>
    <row r="310" spans="2:18" ht="12.75" customHeight="1" x14ac:dyDescent="0.2">
      <c r="B310" s="89"/>
      <c r="C310" s="89"/>
      <c r="D310" t="s">
        <v>72</v>
      </c>
      <c r="E310" s="371">
        <v>18793865.449999999</v>
      </c>
      <c r="F310" s="90">
        <v>1178975.76</v>
      </c>
      <c r="G310" s="90">
        <v>662155.76</v>
      </c>
      <c r="H310" s="90">
        <v>252823.43</v>
      </c>
      <c r="I310" s="90">
        <v>4498808.16</v>
      </c>
      <c r="J310" s="90">
        <v>134388.49</v>
      </c>
      <c r="K310" s="90">
        <v>0</v>
      </c>
      <c r="L310" s="90">
        <v>1287740.81</v>
      </c>
      <c r="M310" s="90">
        <v>1382529.63</v>
      </c>
      <c r="N310" s="90">
        <v>5942810.0499999998</v>
      </c>
      <c r="O310" s="90">
        <v>3255861.06</v>
      </c>
      <c r="P310" s="90">
        <v>197723.5</v>
      </c>
      <c r="Q310" s="90">
        <v>48.8</v>
      </c>
      <c r="R310">
        <v>0</v>
      </c>
    </row>
    <row r="311" spans="2:18" ht="12.75" customHeight="1" x14ac:dyDescent="0.2">
      <c r="B311" s="89"/>
      <c r="C311" s="89"/>
      <c r="D311" t="s">
        <v>81</v>
      </c>
      <c r="E311" s="371">
        <v>-95398.53</v>
      </c>
      <c r="F311" s="90">
        <v>34.9</v>
      </c>
      <c r="G311" s="90">
        <v>18.75</v>
      </c>
      <c r="H311" s="90">
        <v>10.18</v>
      </c>
      <c r="I311" s="90">
        <v>106.03</v>
      </c>
      <c r="J311" s="90">
        <v>3.53</v>
      </c>
      <c r="K311" s="90">
        <v>0</v>
      </c>
      <c r="L311" s="90">
        <v>31</v>
      </c>
      <c r="M311" s="90">
        <v>32.71</v>
      </c>
      <c r="N311" s="90">
        <v>-95734.22</v>
      </c>
      <c r="O311" s="90">
        <v>92.81</v>
      </c>
      <c r="P311" s="90">
        <v>5.78</v>
      </c>
      <c r="Q311" s="90">
        <v>0</v>
      </c>
      <c r="R311">
        <v>0</v>
      </c>
    </row>
    <row r="312" spans="2:18" ht="12.75" customHeight="1" x14ac:dyDescent="0.2">
      <c r="B312" s="89"/>
      <c r="C312" s="89" t="s">
        <v>118</v>
      </c>
      <c r="D312" t="s">
        <v>70</v>
      </c>
      <c r="E312" s="371">
        <v>18698466.920000002</v>
      </c>
      <c r="F312" s="90">
        <v>1179010.6599999999</v>
      </c>
      <c r="G312" s="90">
        <v>662174.51</v>
      </c>
      <c r="H312" s="90">
        <v>252833.61</v>
      </c>
      <c r="I312" s="90">
        <v>4498914.1900000004</v>
      </c>
      <c r="J312" s="90">
        <v>134392.01999999999</v>
      </c>
      <c r="K312" s="90">
        <v>0</v>
      </c>
      <c r="L312" s="90">
        <v>1287771.81</v>
      </c>
      <c r="M312" s="90">
        <v>1382562.34</v>
      </c>
      <c r="N312" s="90">
        <v>5847075.8300000001</v>
      </c>
      <c r="O312" s="90">
        <v>3255953.87</v>
      </c>
      <c r="P312" s="90">
        <v>197729.28</v>
      </c>
      <c r="Q312" s="90">
        <v>48.8</v>
      </c>
      <c r="R312">
        <v>0</v>
      </c>
    </row>
    <row r="313" spans="2:18" ht="12.75" customHeight="1" x14ac:dyDescent="0.2">
      <c r="B313" s="89"/>
      <c r="C313" s="89"/>
      <c r="D313" t="s">
        <v>72</v>
      </c>
      <c r="E313" s="371">
        <v>20152773.109999999</v>
      </c>
      <c r="F313" s="90">
        <v>4557090.0199999996</v>
      </c>
      <c r="G313" s="90">
        <v>2578655.79</v>
      </c>
      <c r="H313" s="90">
        <v>537655.12</v>
      </c>
      <c r="I313" s="90">
        <v>59605.89</v>
      </c>
      <c r="J313" s="90">
        <v>1466.04</v>
      </c>
      <c r="K313" s="90">
        <v>0</v>
      </c>
      <c r="L313" s="90">
        <v>12859.98</v>
      </c>
      <c r="M313" s="90">
        <v>18847.080000000002</v>
      </c>
      <c r="N313" s="90">
        <v>93515.82</v>
      </c>
      <c r="O313" s="90">
        <v>12290686.24</v>
      </c>
      <c r="P313" s="90">
        <v>2391.9899999999998</v>
      </c>
      <c r="Q313" s="90">
        <v>-0.86</v>
      </c>
      <c r="R313">
        <v>0</v>
      </c>
    </row>
    <row r="314" spans="2:18" ht="12.75" customHeight="1" x14ac:dyDescent="0.2">
      <c r="B314" s="89"/>
      <c r="C314" s="89"/>
      <c r="D314" t="s">
        <v>81</v>
      </c>
      <c r="E314" s="371">
        <v>-2377.86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-2377.86</v>
      </c>
      <c r="O314" s="90">
        <v>0</v>
      </c>
      <c r="P314" s="90">
        <v>0</v>
      </c>
      <c r="Q314" s="90">
        <v>0</v>
      </c>
      <c r="R314">
        <v>0</v>
      </c>
    </row>
    <row r="315" spans="2:18" ht="12.75" customHeight="1" x14ac:dyDescent="0.2">
      <c r="B315" s="89"/>
      <c r="C315" s="773" t="s">
        <v>340</v>
      </c>
      <c r="D315" t="s">
        <v>70</v>
      </c>
      <c r="E315" s="371">
        <v>20150395.25</v>
      </c>
      <c r="F315" s="90">
        <v>4557090.0199999996</v>
      </c>
      <c r="G315" s="90">
        <v>2578655.79</v>
      </c>
      <c r="H315" s="90">
        <v>537655.12</v>
      </c>
      <c r="I315" s="90">
        <v>59605.89</v>
      </c>
      <c r="J315" s="90">
        <v>1466.04</v>
      </c>
      <c r="K315" s="90">
        <v>0</v>
      </c>
      <c r="L315" s="90">
        <v>12859.98</v>
      </c>
      <c r="M315" s="90">
        <v>18847.080000000002</v>
      </c>
      <c r="N315" s="90">
        <v>91137.96</v>
      </c>
      <c r="O315" s="90">
        <v>12290686.24</v>
      </c>
      <c r="P315" s="90">
        <v>2391.9899999999998</v>
      </c>
      <c r="Q315" s="90">
        <v>-0.86</v>
      </c>
      <c r="R315">
        <v>0</v>
      </c>
    </row>
    <row r="316" spans="2:18" s="224" customFormat="1" ht="12.75" customHeight="1" x14ac:dyDescent="0.2">
      <c r="B316" s="224" t="s">
        <v>120</v>
      </c>
      <c r="C316" s="223" t="s">
        <v>70</v>
      </c>
      <c r="D316" s="223"/>
      <c r="E316" s="225">
        <v>63460951.420000002</v>
      </c>
      <c r="F316" s="225">
        <v>9041231.2599999998</v>
      </c>
      <c r="G316" s="225">
        <v>5072388.55</v>
      </c>
      <c r="H316" s="225">
        <v>1011597.42</v>
      </c>
      <c r="I316" s="225">
        <v>7983360.1600000001</v>
      </c>
      <c r="J316" s="225">
        <v>230579.94</v>
      </c>
      <c r="K316" s="225">
        <v>0</v>
      </c>
      <c r="L316" s="225">
        <v>2199940.9</v>
      </c>
      <c r="M316" s="225">
        <v>2412632.5099999998</v>
      </c>
      <c r="N316" s="225">
        <v>10659886.970000001</v>
      </c>
      <c r="O316" s="225">
        <v>24512256.039999999</v>
      </c>
      <c r="P316" s="225">
        <v>336993.11</v>
      </c>
      <c r="Q316" s="225">
        <v>84.56</v>
      </c>
      <c r="R316" s="224">
        <v>0</v>
      </c>
    </row>
    <row r="317" spans="2:18" ht="12.75" customHeight="1" x14ac:dyDescent="0.2">
      <c r="C317" s="89"/>
      <c r="D317" s="89" t="s">
        <v>72</v>
      </c>
      <c r="E317" s="371">
        <v>2277123.2799999998</v>
      </c>
      <c r="F317" s="90">
        <v>152739.62</v>
      </c>
      <c r="G317" s="90">
        <v>87677.85</v>
      </c>
      <c r="H317" s="90">
        <v>38295.050000000003</v>
      </c>
      <c r="I317" s="90">
        <v>554007.76</v>
      </c>
      <c r="J317" s="90">
        <v>14388.41</v>
      </c>
      <c r="K317" s="90">
        <v>0</v>
      </c>
      <c r="L317" s="90">
        <v>147147.26999999999</v>
      </c>
      <c r="M317" s="90">
        <v>179783.34</v>
      </c>
      <c r="N317" s="90">
        <v>665128.14</v>
      </c>
      <c r="O317" s="90">
        <v>417327.57</v>
      </c>
      <c r="P317" s="90">
        <v>20628.34</v>
      </c>
      <c r="Q317" s="90">
        <v>-7.0000000000000007E-2</v>
      </c>
      <c r="R317">
        <v>0</v>
      </c>
    </row>
    <row r="318" spans="2:18" ht="12.75" customHeight="1" x14ac:dyDescent="0.2">
      <c r="C318" s="89"/>
      <c r="D318" s="89" t="s">
        <v>81</v>
      </c>
      <c r="E318" s="371">
        <v>-10387.44</v>
      </c>
      <c r="F318" s="90">
        <v>1.9</v>
      </c>
      <c r="G318" s="90">
        <v>1.07</v>
      </c>
      <c r="H318" s="90">
        <v>0.56999999999999995</v>
      </c>
      <c r="I318" s="90">
        <v>4.54</v>
      </c>
      <c r="J318" s="90">
        <v>0.19</v>
      </c>
      <c r="K318" s="90">
        <v>0</v>
      </c>
      <c r="L318" s="90">
        <v>1.71</v>
      </c>
      <c r="M318" s="90">
        <v>1.68</v>
      </c>
      <c r="N318" s="90">
        <v>-10404.469999999999</v>
      </c>
      <c r="O318" s="90">
        <v>5.05</v>
      </c>
      <c r="P318" s="90">
        <v>0.32</v>
      </c>
      <c r="Q318" s="90">
        <v>0</v>
      </c>
      <c r="R318">
        <v>0</v>
      </c>
    </row>
    <row r="319" spans="2:18" ht="12.75" customHeight="1" x14ac:dyDescent="0.2">
      <c r="C319" s="89" t="s">
        <v>82</v>
      </c>
      <c r="D319" s="89" t="s">
        <v>70</v>
      </c>
      <c r="E319" s="371">
        <v>2266735.84</v>
      </c>
      <c r="F319" s="90">
        <v>152741.51999999999</v>
      </c>
      <c r="G319" s="90">
        <v>87678.92</v>
      </c>
      <c r="H319" s="90">
        <v>38295.620000000003</v>
      </c>
      <c r="I319" s="90">
        <v>554012.30000000005</v>
      </c>
      <c r="J319" s="90">
        <v>14388.6</v>
      </c>
      <c r="K319" s="90">
        <v>0</v>
      </c>
      <c r="L319" s="90">
        <v>147148.98000000001</v>
      </c>
      <c r="M319" s="90">
        <v>179785.02</v>
      </c>
      <c r="N319" s="90">
        <v>654723.67000000004</v>
      </c>
      <c r="O319" s="90">
        <v>417332.62</v>
      </c>
      <c r="P319" s="90">
        <v>20628.66</v>
      </c>
      <c r="Q319" s="90">
        <v>-7.0000000000000007E-2</v>
      </c>
      <c r="R319">
        <v>0</v>
      </c>
    </row>
    <row r="320" spans="2:18" ht="12.75" customHeight="1" x14ac:dyDescent="0.2">
      <c r="C320" s="89"/>
      <c r="D320" s="89" t="s">
        <v>72</v>
      </c>
      <c r="E320" s="371">
        <v>17823216.399999999</v>
      </c>
      <c r="F320" s="90">
        <v>1523087.01</v>
      </c>
      <c r="G320" s="90">
        <v>848548.71</v>
      </c>
      <c r="H320" s="90">
        <v>462824.84</v>
      </c>
      <c r="I320" s="90">
        <v>2992961.48</v>
      </c>
      <c r="J320" s="90">
        <v>133872.67000000001</v>
      </c>
      <c r="K320" s="90">
        <v>0</v>
      </c>
      <c r="L320" s="90">
        <v>965569.75</v>
      </c>
      <c r="M320" s="90">
        <v>960588.18</v>
      </c>
      <c r="N320" s="90">
        <v>5618487.4000000004</v>
      </c>
      <c r="O320" s="90">
        <v>4104888.6</v>
      </c>
      <c r="P320" s="90">
        <v>212352.11</v>
      </c>
      <c r="Q320" s="90">
        <v>35.65</v>
      </c>
      <c r="R320">
        <v>0</v>
      </c>
    </row>
    <row r="321" spans="1:18" ht="12.75" customHeight="1" x14ac:dyDescent="0.2">
      <c r="C321" s="89"/>
      <c r="D321" s="89" t="s">
        <v>81</v>
      </c>
      <c r="E321" s="371">
        <v>-46587.5</v>
      </c>
      <c r="F321" s="90">
        <v>1483</v>
      </c>
      <c r="G321" s="90">
        <v>717.39</v>
      </c>
      <c r="H321" s="90">
        <v>339.69</v>
      </c>
      <c r="I321" s="90">
        <v>5293.47</v>
      </c>
      <c r="J321" s="90">
        <v>169.6</v>
      </c>
      <c r="K321" s="90">
        <v>0</v>
      </c>
      <c r="L321" s="90">
        <v>1488.2</v>
      </c>
      <c r="M321" s="90">
        <v>1776.19</v>
      </c>
      <c r="N321" s="90">
        <v>-62026.43</v>
      </c>
      <c r="O321" s="90">
        <v>3894.77</v>
      </c>
      <c r="P321" s="90">
        <v>276.56</v>
      </c>
      <c r="Q321" s="90">
        <v>0.06</v>
      </c>
      <c r="R321">
        <v>0</v>
      </c>
    </row>
    <row r="322" spans="1:18" ht="12.75" customHeight="1" x14ac:dyDescent="0.2">
      <c r="C322" s="89" t="s">
        <v>86</v>
      </c>
      <c r="D322" s="89" t="s">
        <v>70</v>
      </c>
      <c r="E322" s="371">
        <v>17776628.899999999</v>
      </c>
      <c r="F322" s="90">
        <v>1524570.01</v>
      </c>
      <c r="G322" s="90">
        <v>849266.1</v>
      </c>
      <c r="H322" s="90">
        <v>463164.53</v>
      </c>
      <c r="I322" s="90">
        <v>2998254.95</v>
      </c>
      <c r="J322" s="90">
        <v>134042.26999999999</v>
      </c>
      <c r="K322" s="90">
        <v>0</v>
      </c>
      <c r="L322" s="90">
        <v>967057.95</v>
      </c>
      <c r="M322" s="90">
        <v>962364.37</v>
      </c>
      <c r="N322" s="90">
        <v>5556460.9699999997</v>
      </c>
      <c r="O322" s="90">
        <v>4108783.37</v>
      </c>
      <c r="P322" s="90">
        <v>212628.67</v>
      </c>
      <c r="Q322" s="90">
        <v>35.71</v>
      </c>
      <c r="R322">
        <v>0</v>
      </c>
    </row>
    <row r="323" spans="1:18" ht="12.75" customHeight="1" x14ac:dyDescent="0.2">
      <c r="C323" s="89"/>
      <c r="D323" s="89" t="s">
        <v>72</v>
      </c>
      <c r="E323" s="371">
        <v>13787623.17</v>
      </c>
      <c r="F323" s="90">
        <v>1736916.2</v>
      </c>
      <c r="G323" s="90">
        <v>917147.14</v>
      </c>
      <c r="H323" s="90">
        <v>417543.06</v>
      </c>
      <c r="I323" s="90">
        <v>1703135.96</v>
      </c>
      <c r="J323" s="90">
        <v>49848.3</v>
      </c>
      <c r="K323" s="90">
        <v>0</v>
      </c>
      <c r="L323" s="90">
        <v>466832.57</v>
      </c>
      <c r="M323" s="90">
        <v>613137.31999999995</v>
      </c>
      <c r="N323" s="90">
        <v>3103461.76</v>
      </c>
      <c r="O323" s="90">
        <v>4698151.2699999996</v>
      </c>
      <c r="P323" s="90">
        <v>81479.960000000006</v>
      </c>
      <c r="Q323" s="90">
        <v>-30.37</v>
      </c>
      <c r="R323">
        <v>0</v>
      </c>
    </row>
    <row r="324" spans="1:18" ht="12.75" customHeight="1" x14ac:dyDescent="0.2">
      <c r="C324" s="89"/>
      <c r="D324" s="89" t="s">
        <v>81</v>
      </c>
      <c r="E324" s="371">
        <v>-32280.94</v>
      </c>
      <c r="F324" s="90">
        <v>60.61</v>
      </c>
      <c r="G324" s="90">
        <v>33.97</v>
      </c>
      <c r="H324" s="90">
        <v>18.12</v>
      </c>
      <c r="I324" s="90">
        <v>181.51</v>
      </c>
      <c r="J324" s="90">
        <v>4.47</v>
      </c>
      <c r="K324" s="90">
        <v>0</v>
      </c>
      <c r="L324" s="90">
        <v>38.979999999999997</v>
      </c>
      <c r="M324" s="90">
        <v>56.44</v>
      </c>
      <c r="N324" s="90">
        <v>-32843.919999999998</v>
      </c>
      <c r="O324" s="90">
        <v>161.6</v>
      </c>
      <c r="P324" s="90">
        <v>7.28</v>
      </c>
      <c r="Q324" s="90">
        <v>0</v>
      </c>
      <c r="R324">
        <v>0</v>
      </c>
    </row>
    <row r="325" spans="1:18" ht="12.75" customHeight="1" x14ac:dyDescent="0.2">
      <c r="A325" s="89"/>
      <c r="B325" s="89"/>
      <c r="C325" t="s">
        <v>87</v>
      </c>
      <c r="D325" t="s">
        <v>70</v>
      </c>
      <c r="E325" s="90">
        <v>13755342.23</v>
      </c>
      <c r="F325" s="90">
        <v>1736976.81</v>
      </c>
      <c r="G325" s="90">
        <v>917181.11</v>
      </c>
      <c r="H325" s="90">
        <v>417561.18</v>
      </c>
      <c r="I325" s="90">
        <v>1703317.47</v>
      </c>
      <c r="J325" s="90">
        <v>49852.77</v>
      </c>
      <c r="K325" s="90">
        <v>0</v>
      </c>
      <c r="L325" s="90">
        <v>466871.55</v>
      </c>
      <c r="M325" s="90">
        <v>613193.76</v>
      </c>
      <c r="N325" s="90">
        <v>3070617.84</v>
      </c>
      <c r="O325" s="90">
        <v>4698312.87</v>
      </c>
      <c r="P325" s="90">
        <v>81487.240000000005</v>
      </c>
      <c r="Q325" s="90">
        <v>-30.37</v>
      </c>
      <c r="R325">
        <v>0</v>
      </c>
    </row>
    <row r="326" spans="1:18" s="94" customFormat="1" ht="12.75" customHeight="1" x14ac:dyDescent="0.2">
      <c r="B326" s="101" t="s">
        <v>119</v>
      </c>
      <c r="C326" s="101" t="s">
        <v>70</v>
      </c>
      <c r="E326" s="93">
        <v>33798706.969999999</v>
      </c>
      <c r="F326" s="93">
        <v>3414288.34</v>
      </c>
      <c r="G326" s="93">
        <v>1854126.13</v>
      </c>
      <c r="H326" s="93">
        <v>919021.33</v>
      </c>
      <c r="I326" s="93">
        <v>5255584.72</v>
      </c>
      <c r="J326" s="93">
        <v>198283.64</v>
      </c>
      <c r="K326" s="93">
        <v>0</v>
      </c>
      <c r="L326" s="93">
        <v>1581078.48</v>
      </c>
      <c r="M326" s="93">
        <v>1755343.15</v>
      </c>
      <c r="N326" s="93">
        <v>9281802.4800000004</v>
      </c>
      <c r="O326" s="93">
        <v>9224428.8599999994</v>
      </c>
      <c r="P326" s="93">
        <v>314744.57</v>
      </c>
      <c r="Q326" s="93">
        <v>5.27</v>
      </c>
      <c r="R326" s="94">
        <v>0</v>
      </c>
    </row>
    <row r="327" spans="1:18" s="226" customFormat="1" ht="12.75" customHeight="1" x14ac:dyDescent="0.2">
      <c r="A327" s="98" t="s">
        <v>78</v>
      </c>
      <c r="B327" s="98" t="s">
        <v>70</v>
      </c>
      <c r="E327" s="100">
        <v>173171032.71000001</v>
      </c>
      <c r="F327" s="100">
        <v>16099105.310000001</v>
      </c>
      <c r="G327" s="100">
        <v>9061043.1899999995</v>
      </c>
      <c r="H327" s="100">
        <v>2852946.06</v>
      </c>
      <c r="I327" s="100">
        <v>32340245.82</v>
      </c>
      <c r="J327" s="100">
        <v>1124253.03</v>
      </c>
      <c r="K327" s="100">
        <v>0</v>
      </c>
      <c r="L327" s="100">
        <v>9787993.9299999997</v>
      </c>
      <c r="M327" s="100">
        <v>10109598.300000001</v>
      </c>
      <c r="N327" s="100">
        <v>46326513.079999998</v>
      </c>
      <c r="O327" s="100">
        <v>43710041.659999996</v>
      </c>
      <c r="P327" s="100">
        <v>1759287.77</v>
      </c>
      <c r="Q327" s="100">
        <v>4.5599999999999996</v>
      </c>
      <c r="R327" s="226">
        <v>0</v>
      </c>
    </row>
    <row r="328" spans="1:18" ht="12.75" customHeight="1" x14ac:dyDescent="0.2">
      <c r="B328" s="89"/>
      <c r="C328" s="89"/>
      <c r="D328" t="s">
        <v>73</v>
      </c>
      <c r="E328" s="371">
        <v>-15136443.210000001</v>
      </c>
      <c r="F328" s="90">
        <v>-369511.1</v>
      </c>
      <c r="G328" s="90">
        <v>-227710.81</v>
      </c>
      <c r="H328" s="90">
        <v>-126803.1</v>
      </c>
      <c r="I328" s="90">
        <v>-4033648.5</v>
      </c>
      <c r="J328" s="90">
        <v>-147379.69</v>
      </c>
      <c r="K328" s="90">
        <v>0</v>
      </c>
      <c r="L328" s="90">
        <v>-1289953.2</v>
      </c>
      <c r="M328" s="90">
        <v>-1256717.02</v>
      </c>
      <c r="N328" s="90">
        <v>-6507002.75</v>
      </c>
      <c r="O328" s="90">
        <v>-933290.3</v>
      </c>
      <c r="P328" s="90">
        <v>-244426.74</v>
      </c>
      <c r="Q328" s="90">
        <v>0</v>
      </c>
      <c r="R328">
        <v>0</v>
      </c>
    </row>
    <row r="329" spans="1:18" ht="12.75" customHeight="1" x14ac:dyDescent="0.2">
      <c r="B329" s="89"/>
      <c r="C329" s="89" t="s">
        <v>156</v>
      </c>
      <c r="D329" t="s">
        <v>70</v>
      </c>
      <c r="E329" s="371">
        <v>-15136443.210000001</v>
      </c>
      <c r="F329" s="90">
        <v>-369511.1</v>
      </c>
      <c r="G329" s="90">
        <v>-227710.81</v>
      </c>
      <c r="H329" s="90">
        <v>-126803.1</v>
      </c>
      <c r="I329" s="90">
        <v>-4033648.5</v>
      </c>
      <c r="J329" s="90">
        <v>-147379.69</v>
      </c>
      <c r="K329" s="90">
        <v>0</v>
      </c>
      <c r="L329" s="90">
        <v>-1289953.2</v>
      </c>
      <c r="M329" s="90">
        <v>-1256717.02</v>
      </c>
      <c r="N329" s="90">
        <v>-6507002.75</v>
      </c>
      <c r="O329" s="90">
        <v>-933290.3</v>
      </c>
      <c r="P329" s="90">
        <v>-244426.74</v>
      </c>
      <c r="Q329" s="90">
        <v>0</v>
      </c>
      <c r="R329">
        <v>0</v>
      </c>
    </row>
    <row r="330" spans="1:18" s="286" customFormat="1" ht="12.75" customHeight="1" x14ac:dyDescent="0.2">
      <c r="B330" s="229" t="s">
        <v>155</v>
      </c>
      <c r="C330" s="229" t="s">
        <v>70</v>
      </c>
      <c r="E330" s="752">
        <v>-15136443.210000001</v>
      </c>
      <c r="F330" s="230">
        <v>-369511.1</v>
      </c>
      <c r="G330" s="230">
        <v>-227710.81</v>
      </c>
      <c r="H330" s="230">
        <v>-126803.1</v>
      </c>
      <c r="I330" s="230">
        <v>-4033648.5</v>
      </c>
      <c r="J330" s="230">
        <v>-147379.69</v>
      </c>
      <c r="K330" s="230">
        <v>0</v>
      </c>
      <c r="L330" s="230">
        <v>-1289953.2</v>
      </c>
      <c r="M330" s="230">
        <v>-1256717.02</v>
      </c>
      <c r="N330" s="230">
        <v>-6507002.75</v>
      </c>
      <c r="O330" s="230">
        <v>-933290.3</v>
      </c>
      <c r="P330" s="230">
        <v>-244426.74</v>
      </c>
      <c r="Q330" s="230">
        <v>0</v>
      </c>
      <c r="R330" s="286">
        <v>0</v>
      </c>
    </row>
    <row r="331" spans="1:18" ht="12.75" customHeight="1" x14ac:dyDescent="0.2">
      <c r="B331" s="89"/>
      <c r="C331" s="89"/>
      <c r="D331" t="s">
        <v>73</v>
      </c>
      <c r="E331" s="371">
        <v>-1043741.98</v>
      </c>
      <c r="F331" s="90">
        <v>-14192.02</v>
      </c>
      <c r="G331" s="90">
        <v>-10774.43</v>
      </c>
      <c r="H331" s="90">
        <v>-10859.18</v>
      </c>
      <c r="I331" s="90">
        <v>-330949.89</v>
      </c>
      <c r="J331" s="90">
        <v>-7903.04</v>
      </c>
      <c r="K331" s="90">
        <v>0</v>
      </c>
      <c r="L331" s="90">
        <v>-70303.88</v>
      </c>
      <c r="M331" s="90">
        <v>-94909.58</v>
      </c>
      <c r="N331" s="90">
        <v>-462724.97</v>
      </c>
      <c r="O331" s="90">
        <v>-28052.959999999999</v>
      </c>
      <c r="P331" s="90">
        <v>-13072.03</v>
      </c>
      <c r="Q331" s="90">
        <v>0</v>
      </c>
      <c r="R331">
        <v>0</v>
      </c>
    </row>
    <row r="332" spans="1:18" ht="12.75" customHeight="1" x14ac:dyDescent="0.2">
      <c r="B332" s="89"/>
      <c r="C332" s="89" t="s">
        <v>115</v>
      </c>
      <c r="D332" t="s">
        <v>70</v>
      </c>
      <c r="E332" s="371">
        <v>-1043741.98</v>
      </c>
      <c r="F332" s="90">
        <v>-14192.02</v>
      </c>
      <c r="G332" s="90">
        <v>-10774.43</v>
      </c>
      <c r="H332" s="90">
        <v>-10859.18</v>
      </c>
      <c r="I332" s="90">
        <v>-330949.89</v>
      </c>
      <c r="J332" s="90">
        <v>-7903.04</v>
      </c>
      <c r="K332" s="90">
        <v>0</v>
      </c>
      <c r="L332" s="90">
        <v>-70303.88</v>
      </c>
      <c r="M332" s="90">
        <v>-94909.58</v>
      </c>
      <c r="N332" s="90">
        <v>-462724.97</v>
      </c>
      <c r="O332" s="90">
        <v>-28052.959999999999</v>
      </c>
      <c r="P332" s="90">
        <v>-13072.03</v>
      </c>
      <c r="Q332" s="90">
        <v>0</v>
      </c>
      <c r="R332">
        <v>0</v>
      </c>
    </row>
    <row r="333" spans="1:18" ht="12.75" customHeight="1" x14ac:dyDescent="0.2">
      <c r="B333" s="89"/>
      <c r="C333" s="89"/>
      <c r="D333" t="s">
        <v>73</v>
      </c>
      <c r="E333" s="371">
        <v>409790.29</v>
      </c>
      <c r="F333" s="90">
        <v>71510.58</v>
      </c>
      <c r="G333" s="90">
        <v>40399.269999999997</v>
      </c>
      <c r="H333" s="90">
        <v>20582.099999999999</v>
      </c>
      <c r="I333" s="90">
        <v>26016.28</v>
      </c>
      <c r="J333" s="90">
        <v>512.45000000000005</v>
      </c>
      <c r="K333" s="90">
        <v>0</v>
      </c>
      <c r="L333" s="90">
        <v>4821.18</v>
      </c>
      <c r="M333" s="90">
        <v>7956.37</v>
      </c>
      <c r="N333" s="90">
        <v>47274.38</v>
      </c>
      <c r="O333" s="90">
        <v>190253.72</v>
      </c>
      <c r="P333" s="90">
        <v>463.96</v>
      </c>
      <c r="Q333" s="90">
        <v>0</v>
      </c>
      <c r="R333">
        <v>0</v>
      </c>
    </row>
    <row r="334" spans="1:18" ht="12.75" customHeight="1" x14ac:dyDescent="0.2">
      <c r="B334" s="89"/>
      <c r="C334" s="89" t="s">
        <v>116</v>
      </c>
      <c r="D334" t="s">
        <v>70</v>
      </c>
      <c r="E334" s="371">
        <v>409790.29</v>
      </c>
      <c r="F334" s="90">
        <v>71510.58</v>
      </c>
      <c r="G334" s="90">
        <v>40399.269999999997</v>
      </c>
      <c r="H334" s="90">
        <v>20582.099999999999</v>
      </c>
      <c r="I334" s="90">
        <v>26016.28</v>
      </c>
      <c r="J334" s="90">
        <v>512.45000000000005</v>
      </c>
      <c r="K334" s="90">
        <v>0</v>
      </c>
      <c r="L334" s="90">
        <v>4821.18</v>
      </c>
      <c r="M334" s="90">
        <v>7956.37</v>
      </c>
      <c r="N334" s="90">
        <v>47274.38</v>
      </c>
      <c r="O334" s="90">
        <v>190253.72</v>
      </c>
      <c r="P334" s="90">
        <v>463.96</v>
      </c>
      <c r="Q334" s="90">
        <v>0</v>
      </c>
      <c r="R334">
        <v>0</v>
      </c>
    </row>
    <row r="335" spans="1:18" ht="12.75" customHeight="1" x14ac:dyDescent="0.2">
      <c r="B335" s="89"/>
      <c r="C335" s="89"/>
      <c r="D335" t="s">
        <v>73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1:18" ht="12.75" customHeight="1" x14ac:dyDescent="0.2">
      <c r="B336" s="89"/>
      <c r="C336" s="773">
        <v>3</v>
      </c>
      <c r="D336" t="s">
        <v>70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1:18" ht="12.75" customHeight="1" x14ac:dyDescent="0.2">
      <c r="B337" s="89"/>
      <c r="C337" s="89"/>
      <c r="D337" t="s">
        <v>73</v>
      </c>
      <c r="E337" s="371">
        <v>-1982195.66</v>
      </c>
      <c r="F337" s="90">
        <v>-22977.42</v>
      </c>
      <c r="G337" s="90">
        <v>-17204.09</v>
      </c>
      <c r="H337" s="90">
        <v>-9704.7199999999993</v>
      </c>
      <c r="I337" s="90">
        <v>-625614.14</v>
      </c>
      <c r="J337" s="90">
        <v>-19604.240000000002</v>
      </c>
      <c r="K337" s="90">
        <v>0</v>
      </c>
      <c r="L337" s="90">
        <v>-164286.15</v>
      </c>
      <c r="M337" s="90">
        <v>-182986.96</v>
      </c>
      <c r="N337" s="90">
        <v>-899171.51</v>
      </c>
      <c r="O337" s="90">
        <v>-7932.64</v>
      </c>
      <c r="P337" s="90">
        <v>-32713.79</v>
      </c>
      <c r="Q337" s="90">
        <v>0</v>
      </c>
      <c r="R337">
        <v>0</v>
      </c>
    </row>
    <row r="338" spans="1:18" ht="12.75" customHeight="1" x14ac:dyDescent="0.2">
      <c r="B338" s="89"/>
      <c r="C338" s="89" t="s">
        <v>118</v>
      </c>
      <c r="D338" t="s">
        <v>70</v>
      </c>
      <c r="E338" s="371">
        <v>-1982195.66</v>
      </c>
      <c r="F338" s="90">
        <v>-22977.42</v>
      </c>
      <c r="G338" s="90">
        <v>-17204.09</v>
      </c>
      <c r="H338" s="90">
        <v>-9704.7199999999993</v>
      </c>
      <c r="I338" s="90">
        <v>-625614.14</v>
      </c>
      <c r="J338" s="90">
        <v>-19604.240000000002</v>
      </c>
      <c r="K338" s="90">
        <v>0</v>
      </c>
      <c r="L338" s="90">
        <v>-164286.15</v>
      </c>
      <c r="M338" s="90">
        <v>-182986.96</v>
      </c>
      <c r="N338" s="90">
        <v>-899171.51</v>
      </c>
      <c r="O338" s="90">
        <v>-7932.64</v>
      </c>
      <c r="P338" s="90">
        <v>-32713.79</v>
      </c>
      <c r="Q338" s="90">
        <v>0</v>
      </c>
      <c r="R338">
        <v>0</v>
      </c>
    </row>
    <row r="339" spans="1:18" ht="12.75" customHeight="1" x14ac:dyDescent="0.2">
      <c r="B339" s="89"/>
      <c r="C339" s="89"/>
      <c r="D339" t="s">
        <v>73</v>
      </c>
      <c r="E339" s="371">
        <v>5663564.75</v>
      </c>
      <c r="F339" s="90">
        <v>1321214.3500000001</v>
      </c>
      <c r="G339" s="90">
        <v>747616.79</v>
      </c>
      <c r="H339" s="90">
        <v>398940.3</v>
      </c>
      <c r="I339" s="90">
        <v>17881.759999999998</v>
      </c>
      <c r="J339" s="90">
        <v>439.81</v>
      </c>
      <c r="K339" s="90">
        <v>0</v>
      </c>
      <c r="L339" s="90">
        <v>3857.99</v>
      </c>
      <c r="M339" s="90">
        <v>5654.13</v>
      </c>
      <c r="N339" s="90">
        <v>28054.76</v>
      </c>
      <c r="O339" s="90">
        <v>3139187.26</v>
      </c>
      <c r="P339" s="90">
        <v>717.6</v>
      </c>
      <c r="Q339" s="90">
        <v>0</v>
      </c>
      <c r="R339">
        <v>0</v>
      </c>
    </row>
    <row r="340" spans="1:18" ht="12.75" customHeight="1" x14ac:dyDescent="0.2">
      <c r="B340" s="89"/>
      <c r="C340" s="773" t="s">
        <v>340</v>
      </c>
      <c r="D340" t="s">
        <v>70</v>
      </c>
      <c r="E340" s="371">
        <v>5663564.75</v>
      </c>
      <c r="F340" s="90">
        <v>1321214.3500000001</v>
      </c>
      <c r="G340" s="90">
        <v>747616.79</v>
      </c>
      <c r="H340" s="90">
        <v>398940.3</v>
      </c>
      <c r="I340" s="90">
        <v>17881.759999999998</v>
      </c>
      <c r="J340" s="90">
        <v>439.81</v>
      </c>
      <c r="K340" s="90">
        <v>0</v>
      </c>
      <c r="L340" s="90">
        <v>3857.99</v>
      </c>
      <c r="M340" s="90">
        <v>5654.13</v>
      </c>
      <c r="N340" s="90">
        <v>28054.76</v>
      </c>
      <c r="O340" s="90">
        <v>3139187.26</v>
      </c>
      <c r="P340" s="90">
        <v>717.6</v>
      </c>
      <c r="Q340" s="90">
        <v>0</v>
      </c>
      <c r="R340">
        <v>0</v>
      </c>
    </row>
    <row r="341" spans="1:18" s="224" customFormat="1" ht="12.75" customHeight="1" x14ac:dyDescent="0.2">
      <c r="B341" s="224" t="s">
        <v>120</v>
      </c>
      <c r="C341" s="224" t="s">
        <v>70</v>
      </c>
      <c r="D341" s="223"/>
      <c r="E341" s="225">
        <v>3047417.4</v>
      </c>
      <c r="F341" s="225">
        <v>1355555.49</v>
      </c>
      <c r="G341" s="225">
        <v>760037.54</v>
      </c>
      <c r="H341" s="225">
        <v>398958.5</v>
      </c>
      <c r="I341" s="225">
        <v>-912665.99</v>
      </c>
      <c r="J341" s="225">
        <v>-26555.02</v>
      </c>
      <c r="K341" s="225">
        <v>0</v>
      </c>
      <c r="L341" s="225">
        <v>-225910.86</v>
      </c>
      <c r="M341" s="225">
        <v>-264286.03999999998</v>
      </c>
      <c r="N341" s="225">
        <v>-1286567.3400000001</v>
      </c>
      <c r="O341" s="225">
        <v>3293455.38</v>
      </c>
      <c r="P341" s="225">
        <v>-44604.26</v>
      </c>
      <c r="Q341" s="225">
        <v>0</v>
      </c>
      <c r="R341" s="224">
        <v>0</v>
      </c>
    </row>
    <row r="342" spans="1:18" ht="12.75" customHeight="1" x14ac:dyDescent="0.2">
      <c r="D342" s="89" t="s">
        <v>73</v>
      </c>
      <c r="E342" s="371">
        <v>9692.06</v>
      </c>
      <c r="F342" s="90">
        <v>18576</v>
      </c>
      <c r="G342" s="90">
        <v>10518.42</v>
      </c>
      <c r="H342" s="90">
        <v>4573.71</v>
      </c>
      <c r="I342" s="90">
        <v>-24440.48</v>
      </c>
      <c r="J342" s="90">
        <v>-562.32000000000005</v>
      </c>
      <c r="K342" s="90">
        <v>0</v>
      </c>
      <c r="L342" s="90">
        <v>-4141.51</v>
      </c>
      <c r="M342" s="90">
        <v>-6583.19</v>
      </c>
      <c r="N342" s="90">
        <v>-37234</v>
      </c>
      <c r="O342" s="90">
        <v>50301.63</v>
      </c>
      <c r="P342" s="90">
        <v>-1316.2</v>
      </c>
      <c r="Q342" s="90">
        <v>0</v>
      </c>
      <c r="R342">
        <v>0</v>
      </c>
    </row>
    <row r="343" spans="1:18" ht="12.75" customHeight="1" x14ac:dyDescent="0.2">
      <c r="C343" t="s">
        <v>82</v>
      </c>
      <c r="D343" s="89" t="s">
        <v>70</v>
      </c>
      <c r="E343" s="371">
        <v>9692.06</v>
      </c>
      <c r="F343" s="90">
        <v>18576</v>
      </c>
      <c r="G343" s="90">
        <v>10518.42</v>
      </c>
      <c r="H343" s="90">
        <v>4573.71</v>
      </c>
      <c r="I343" s="90">
        <v>-24440.48</v>
      </c>
      <c r="J343" s="90">
        <v>-562.32000000000005</v>
      </c>
      <c r="K343" s="90">
        <v>0</v>
      </c>
      <c r="L343" s="90">
        <v>-4141.51</v>
      </c>
      <c r="M343" s="90">
        <v>-6583.19</v>
      </c>
      <c r="N343" s="90">
        <v>-37234</v>
      </c>
      <c r="O343" s="90">
        <v>50301.63</v>
      </c>
      <c r="P343" s="90">
        <v>-1316.2</v>
      </c>
      <c r="Q343" s="90">
        <v>0</v>
      </c>
      <c r="R343">
        <v>0</v>
      </c>
    </row>
    <row r="344" spans="1:18" ht="12.75" customHeight="1" x14ac:dyDescent="0.2">
      <c r="D344" s="89" t="s">
        <v>73</v>
      </c>
      <c r="E344" s="371">
        <v>-2115945.87</v>
      </c>
      <c r="F344" s="90">
        <v>-122058.6</v>
      </c>
      <c r="G344" s="90">
        <v>-70601.09</v>
      </c>
      <c r="H344" s="90">
        <v>-36379.54</v>
      </c>
      <c r="I344" s="90">
        <v>-755087.5</v>
      </c>
      <c r="J344" s="90">
        <v>-27028.55</v>
      </c>
      <c r="K344" s="90">
        <v>0</v>
      </c>
      <c r="L344" s="90">
        <v>-232649.91</v>
      </c>
      <c r="M344" s="90">
        <v>-236476.23</v>
      </c>
      <c r="N344" s="90">
        <v>-1214265.58</v>
      </c>
      <c r="O344" s="90">
        <v>622705.67000000004</v>
      </c>
      <c r="P344" s="90">
        <v>-44104.54</v>
      </c>
      <c r="Q344" s="90">
        <v>0</v>
      </c>
      <c r="R344">
        <v>0</v>
      </c>
    </row>
    <row r="345" spans="1:18" ht="12.75" customHeight="1" x14ac:dyDescent="0.2">
      <c r="C345" t="s">
        <v>86</v>
      </c>
      <c r="D345" s="89" t="s">
        <v>70</v>
      </c>
      <c r="E345" s="371">
        <v>-2115945.87</v>
      </c>
      <c r="F345" s="90">
        <v>-122058.6</v>
      </c>
      <c r="G345" s="90">
        <v>-70601.09</v>
      </c>
      <c r="H345" s="90">
        <v>-36379.54</v>
      </c>
      <c r="I345" s="90">
        <v>-755087.5</v>
      </c>
      <c r="J345" s="90">
        <v>-27028.55</v>
      </c>
      <c r="K345" s="90">
        <v>0</v>
      </c>
      <c r="L345" s="90">
        <v>-232649.91</v>
      </c>
      <c r="M345" s="90">
        <v>-236476.23</v>
      </c>
      <c r="N345" s="90">
        <v>-1214265.58</v>
      </c>
      <c r="O345" s="90">
        <v>622705.67000000004</v>
      </c>
      <c r="P345" s="90">
        <v>-44104.54</v>
      </c>
      <c r="Q345" s="90">
        <v>0</v>
      </c>
      <c r="R345">
        <v>0</v>
      </c>
    </row>
    <row r="346" spans="1:18" ht="12.75" customHeight="1" x14ac:dyDescent="0.2">
      <c r="C346" s="89"/>
      <c r="D346" s="89" t="s">
        <v>73</v>
      </c>
      <c r="E346" s="90">
        <v>2486196.64</v>
      </c>
      <c r="F346" s="90">
        <v>154533.22</v>
      </c>
      <c r="G346" s="90">
        <v>85945.77</v>
      </c>
      <c r="H346" s="90">
        <v>39304.26</v>
      </c>
      <c r="I346" s="90">
        <v>304865</v>
      </c>
      <c r="J346" s="90">
        <v>11493.68</v>
      </c>
      <c r="K346" s="90">
        <v>0</v>
      </c>
      <c r="L346" s="90">
        <v>105978.94</v>
      </c>
      <c r="M346" s="90">
        <v>138622.16</v>
      </c>
      <c r="N346" s="90">
        <v>699474.3</v>
      </c>
      <c r="O346" s="90">
        <v>927281.31</v>
      </c>
      <c r="P346" s="90">
        <v>18698</v>
      </c>
      <c r="Q346" s="90">
        <v>0</v>
      </c>
      <c r="R346">
        <v>0</v>
      </c>
    </row>
    <row r="347" spans="1:18" ht="12.75" customHeight="1" x14ac:dyDescent="0.2">
      <c r="B347" s="89"/>
      <c r="C347" s="89" t="s">
        <v>87</v>
      </c>
      <c r="D347" t="s">
        <v>70</v>
      </c>
      <c r="E347" s="90">
        <v>2486196.64</v>
      </c>
      <c r="F347" s="90">
        <v>154533.22</v>
      </c>
      <c r="G347" s="90">
        <v>85945.77</v>
      </c>
      <c r="H347" s="90">
        <v>39304.26</v>
      </c>
      <c r="I347" s="90">
        <v>304865</v>
      </c>
      <c r="J347" s="90">
        <v>11493.68</v>
      </c>
      <c r="K347" s="90">
        <v>0</v>
      </c>
      <c r="L347" s="90">
        <v>105978.94</v>
      </c>
      <c r="M347" s="90">
        <v>138622.16</v>
      </c>
      <c r="N347" s="90">
        <v>699474.3</v>
      </c>
      <c r="O347" s="90">
        <v>927281.31</v>
      </c>
      <c r="P347" s="90">
        <v>18698</v>
      </c>
      <c r="Q347" s="90">
        <v>0</v>
      </c>
      <c r="R347">
        <v>0</v>
      </c>
    </row>
    <row r="348" spans="1:18" s="94" customFormat="1" ht="12.75" customHeight="1" x14ac:dyDescent="0.2">
      <c r="B348" s="101" t="s">
        <v>119</v>
      </c>
      <c r="C348" s="101" t="s">
        <v>70</v>
      </c>
      <c r="E348" s="93">
        <v>379942.83</v>
      </c>
      <c r="F348" s="93">
        <v>51050.62</v>
      </c>
      <c r="G348" s="93">
        <v>25863.1</v>
      </c>
      <c r="H348" s="93">
        <v>7498.43</v>
      </c>
      <c r="I348" s="93">
        <v>-474662.98</v>
      </c>
      <c r="J348" s="93">
        <v>-16097.19</v>
      </c>
      <c r="K348" s="93">
        <v>0</v>
      </c>
      <c r="L348" s="93">
        <v>-130812.48</v>
      </c>
      <c r="M348" s="93">
        <v>-104437.26</v>
      </c>
      <c r="N348" s="93">
        <v>-552025.28</v>
      </c>
      <c r="O348" s="93">
        <v>1600288.61</v>
      </c>
      <c r="P348" s="93">
        <v>-26722.74</v>
      </c>
      <c r="Q348" s="93">
        <v>0</v>
      </c>
      <c r="R348" s="94">
        <v>0</v>
      </c>
    </row>
    <row r="349" spans="1:18" s="226" customFormat="1" ht="12.75" customHeight="1" x14ac:dyDescent="0.2">
      <c r="A349" s="98" t="s">
        <v>79</v>
      </c>
      <c r="B349" s="98" t="s">
        <v>70</v>
      </c>
      <c r="E349" s="100">
        <v>-11709082.98</v>
      </c>
      <c r="F349" s="100">
        <v>1037095.01</v>
      </c>
      <c r="G349" s="100">
        <v>558189.82999999996</v>
      </c>
      <c r="H349" s="100">
        <v>279653.83</v>
      </c>
      <c r="I349" s="100">
        <v>-5420977.4699999997</v>
      </c>
      <c r="J349" s="100">
        <v>-190031.9</v>
      </c>
      <c r="K349" s="100">
        <v>0</v>
      </c>
      <c r="L349" s="100">
        <v>-1646676.54</v>
      </c>
      <c r="M349" s="100">
        <v>-1625440.32</v>
      </c>
      <c r="N349" s="100">
        <v>-8345595.3700000001</v>
      </c>
      <c r="O349" s="100">
        <v>3960453.69</v>
      </c>
      <c r="P349" s="100">
        <v>-315753.74</v>
      </c>
      <c r="Q349" s="100">
        <v>0</v>
      </c>
      <c r="R349" s="226">
        <v>0</v>
      </c>
    </row>
    <row r="350" spans="1:18" ht="12.75" customHeight="1" x14ac:dyDescent="0.2">
      <c r="A350" s="89" t="s">
        <v>70</v>
      </c>
      <c r="E350" s="90">
        <v>161461949.72999999</v>
      </c>
      <c r="F350" s="90">
        <v>17136200.32</v>
      </c>
      <c r="G350" s="90">
        <v>9619233.0199999996</v>
      </c>
      <c r="H350" s="90">
        <v>3132599.89</v>
      </c>
      <c r="I350" s="90">
        <v>26919268.350000001</v>
      </c>
      <c r="J350" s="90">
        <v>934221.13</v>
      </c>
      <c r="K350" s="90">
        <v>0</v>
      </c>
      <c r="L350" s="90">
        <v>8141317.3899999997</v>
      </c>
      <c r="M350" s="90">
        <v>8484157.9800000004</v>
      </c>
      <c r="N350" s="90">
        <v>37980917.710000001</v>
      </c>
      <c r="O350" s="90">
        <v>47670495.350000001</v>
      </c>
      <c r="P350" s="90">
        <v>1443534.03</v>
      </c>
      <c r="Q350" s="90">
        <v>4.5599999999999996</v>
      </c>
      <c r="R350">
        <v>0</v>
      </c>
    </row>
    <row r="351" spans="1:18" ht="12.75" customHeight="1" x14ac:dyDescent="0.2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1:18" ht="12.75" customHeight="1" x14ac:dyDescent="0.2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3:17" ht="12.75" hidden="1" customHeight="1" x14ac:dyDescent="0.2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3:17" ht="12.75" hidden="1" customHeight="1" x14ac:dyDescent="0.2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3:17" ht="12.75" hidden="1" customHeight="1" x14ac:dyDescent="0.2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3:17" ht="12.75" hidden="1" customHeight="1" x14ac:dyDescent="0.2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3:17" ht="12.75" hidden="1" customHeight="1" x14ac:dyDescent="0.2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3:17" ht="12.75" hidden="1" customHeight="1" x14ac:dyDescent="0.2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3:17" ht="12.75" hidden="1" customHeight="1" x14ac:dyDescent="0.2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3:17" ht="12.75" hidden="1" customHeight="1" x14ac:dyDescent="0.2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3:17" ht="12.75" hidden="1" customHeight="1" x14ac:dyDescent="0.2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3:17" ht="12.75" hidden="1" customHeight="1" x14ac:dyDescent="0.2">
      <c r="C362" s="89"/>
      <c r="D362" s="89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</row>
    <row r="363" spans="3:17" ht="12.75" hidden="1" customHeight="1" x14ac:dyDescent="0.2">
      <c r="C363" s="89"/>
      <c r="D363" s="89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</row>
    <row r="364" spans="3:17" ht="12.75" hidden="1" customHeight="1" x14ac:dyDescent="0.2">
      <c r="C364" s="89"/>
      <c r="D364" s="89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</row>
    <row r="365" spans="3:17" ht="12.75" hidden="1" customHeight="1" x14ac:dyDescent="0.2">
      <c r="C365" s="89"/>
      <c r="D365" s="89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</row>
    <row r="366" spans="3:17" ht="12.75" hidden="1" customHeight="1" x14ac:dyDescent="0.2">
      <c r="C366" s="89"/>
      <c r="D366" s="89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</row>
    <row r="367" spans="3:17" ht="12.75" hidden="1" customHeight="1" x14ac:dyDescent="0.2">
      <c r="C367" s="89"/>
      <c r="D367" s="89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</row>
    <row r="368" spans="3:17" ht="12.75" hidden="1" customHeight="1" x14ac:dyDescent="0.2">
      <c r="C368" s="89"/>
      <c r="D368" s="89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</row>
    <row r="369" spans="2:18" ht="12.75" hidden="1" customHeight="1" x14ac:dyDescent="0.2">
      <c r="C369" s="89"/>
      <c r="D369" s="89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</row>
    <row r="370" spans="2:18" ht="12.75" hidden="1" customHeight="1" x14ac:dyDescent="0.2">
      <c r="C370" s="89"/>
      <c r="D370" s="89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</row>
    <row r="371" spans="2:18" ht="12.75" hidden="1" customHeight="1" x14ac:dyDescent="0.2">
      <c r="C371" s="89"/>
      <c r="D371" s="89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</row>
    <row r="372" spans="2:18" ht="12.75" hidden="1" customHeight="1" x14ac:dyDescent="0.2">
      <c r="C372" s="89"/>
      <c r="D372" s="89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</row>
    <row r="373" spans="2:18" ht="12.75" hidden="1" customHeight="1" x14ac:dyDescent="0.2">
      <c r="C373" s="89"/>
      <c r="D373" s="89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</row>
    <row r="374" spans="2:18" ht="12.75" hidden="1" customHeight="1" x14ac:dyDescent="0.2">
      <c r="C374" s="89"/>
      <c r="D374" s="89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</row>
    <row r="375" spans="2:18" ht="12.75" hidden="1" customHeight="1" x14ac:dyDescent="0.2">
      <c r="C375" s="89"/>
      <c r="D375" s="89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</row>
    <row r="376" spans="2:18" ht="12.75" hidden="1" customHeight="1" x14ac:dyDescent="0.2">
      <c r="C376" s="89"/>
      <c r="D376" s="89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</row>
    <row r="377" spans="2:18" ht="12.75" hidden="1" customHeight="1" x14ac:dyDescent="0.2">
      <c r="C377" s="89"/>
      <c r="D377" s="89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</row>
    <row r="378" spans="2:18" ht="12.75" hidden="1" customHeight="1" x14ac:dyDescent="0.2">
      <c r="C378" s="89"/>
      <c r="D378" s="89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</row>
    <row r="379" spans="2:18" ht="12.75" hidden="1" customHeight="1" x14ac:dyDescent="0.2">
      <c r="C379" s="89"/>
      <c r="D379" s="89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</row>
    <row r="380" spans="2:18" ht="12.75" hidden="1" customHeight="1" x14ac:dyDescent="0.2">
      <c r="C380" s="89"/>
      <c r="D380" s="89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</row>
    <row r="381" spans="2:18" ht="12.75" hidden="1" customHeight="1" x14ac:dyDescent="0.2">
      <c r="C381" s="89"/>
      <c r="D381" s="89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</row>
    <row r="382" spans="2:18" ht="12.75" hidden="1" customHeight="1" x14ac:dyDescent="0.2">
      <c r="C382" s="89"/>
      <c r="D382" s="89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</row>
    <row r="383" spans="2:18" ht="12.75" customHeight="1" x14ac:dyDescent="0.2">
      <c r="C383" s="89"/>
      <c r="D383" s="89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</row>
    <row r="384" spans="2:18" ht="12.75" customHeight="1" x14ac:dyDescent="0.2">
      <c r="B384" s="778" t="s">
        <v>2</v>
      </c>
      <c r="C384" s="775" t="s">
        <v>132</v>
      </c>
      <c r="D384" s="98" t="s">
        <v>70</v>
      </c>
      <c r="E384" s="100">
        <f>E327+E349-K327</f>
        <v>161461949.73000002</v>
      </c>
      <c r="F384" s="100">
        <f t="shared" ref="F384:R384" si="10">F327</f>
        <v>16099105.310000001</v>
      </c>
      <c r="G384" s="100">
        <f t="shared" si="10"/>
        <v>9061043.1899999995</v>
      </c>
      <c r="H384" s="100">
        <f t="shared" si="10"/>
        <v>2852946.06</v>
      </c>
      <c r="I384" s="100">
        <f t="shared" si="10"/>
        <v>32340245.82</v>
      </c>
      <c r="J384" s="100">
        <f t="shared" si="10"/>
        <v>1124253.03</v>
      </c>
      <c r="K384" s="100">
        <f t="shared" si="10"/>
        <v>0</v>
      </c>
      <c r="L384" s="100">
        <f t="shared" si="10"/>
        <v>9787993.9299999997</v>
      </c>
      <c r="M384" s="100">
        <f t="shared" si="10"/>
        <v>10109598.300000001</v>
      </c>
      <c r="N384" s="100">
        <f t="shared" si="10"/>
        <v>46326513.079999998</v>
      </c>
      <c r="O384" s="100">
        <f t="shared" si="10"/>
        <v>43710041.659999996</v>
      </c>
      <c r="P384" s="100">
        <f t="shared" si="10"/>
        <v>1759287.77</v>
      </c>
      <c r="Q384" s="100">
        <f t="shared" si="10"/>
        <v>4.5599999999999996</v>
      </c>
      <c r="R384" s="100">
        <f t="shared" si="10"/>
        <v>0</v>
      </c>
    </row>
    <row r="385" spans="1:18" ht="12.75" customHeight="1" x14ac:dyDescent="0.2">
      <c r="B385" s="778"/>
      <c r="C385" s="775"/>
      <c r="D385" s="98" t="s">
        <v>73</v>
      </c>
      <c r="E385" s="100">
        <f>E349</f>
        <v>-11709082.98</v>
      </c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</row>
    <row r="386" spans="1:18" ht="12.75" customHeight="1" x14ac:dyDescent="0.2">
      <c r="A386" s="89"/>
      <c r="B386" s="97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</row>
    <row r="387" spans="1:18" ht="12.75" customHeight="1" x14ac:dyDescent="0.2">
      <c r="B387" s="778" t="s">
        <v>160</v>
      </c>
      <c r="C387" s="775" t="s">
        <v>132</v>
      </c>
      <c r="D387" s="223" t="s">
        <v>70</v>
      </c>
      <c r="E387" s="225">
        <f>E341+E316+E296-K296-K316</f>
        <v>66508368.82</v>
      </c>
      <c r="F387" s="225">
        <f t="shared" ref="F387:R387" si="11">F316+F296</f>
        <v>9041231.2599999998</v>
      </c>
      <c r="G387" s="225">
        <f t="shared" si="11"/>
        <v>5072388.55</v>
      </c>
      <c r="H387" s="225">
        <f t="shared" si="11"/>
        <v>1011597.42</v>
      </c>
      <c r="I387" s="225">
        <f t="shared" si="11"/>
        <v>7983360.1600000001</v>
      </c>
      <c r="J387" s="225">
        <f t="shared" si="11"/>
        <v>230579.94</v>
      </c>
      <c r="K387" s="225">
        <f t="shared" si="11"/>
        <v>0</v>
      </c>
      <c r="L387" s="225">
        <f t="shared" si="11"/>
        <v>2199940.9</v>
      </c>
      <c r="M387" s="225">
        <f t="shared" si="11"/>
        <v>2412632.5099999998</v>
      </c>
      <c r="N387" s="225">
        <f t="shared" si="11"/>
        <v>10659886.970000001</v>
      </c>
      <c r="O387" s="225">
        <f t="shared" si="11"/>
        <v>24512256.039999999</v>
      </c>
      <c r="P387" s="225">
        <f t="shared" si="11"/>
        <v>336993.11</v>
      </c>
      <c r="Q387" s="225">
        <f t="shared" si="11"/>
        <v>84.56</v>
      </c>
      <c r="R387" s="225">
        <f t="shared" si="11"/>
        <v>0</v>
      </c>
    </row>
    <row r="388" spans="1:18" ht="12.75" customHeight="1" x14ac:dyDescent="0.2">
      <c r="B388" s="778"/>
      <c r="C388" s="775"/>
      <c r="D388" s="223" t="s">
        <v>73</v>
      </c>
      <c r="E388" s="225">
        <f>E341</f>
        <v>3047417.4</v>
      </c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</row>
    <row r="389" spans="1:18" ht="12.75" customHeight="1" x14ac:dyDescent="0.2">
      <c r="A389" s="89"/>
      <c r="B389" s="97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</row>
    <row r="390" spans="1:18" ht="12.75" customHeight="1" x14ac:dyDescent="0.2">
      <c r="B390" s="778" t="s">
        <v>155</v>
      </c>
      <c r="C390" s="775" t="s">
        <v>132</v>
      </c>
      <c r="D390" s="221" t="s">
        <v>70</v>
      </c>
      <c r="E390" s="222">
        <f>E330+E300-K300</f>
        <v>60774931.109999992</v>
      </c>
      <c r="F390" s="222">
        <f t="shared" ref="F390:R390" si="12">F300</f>
        <v>3643585.71</v>
      </c>
      <c r="G390" s="222">
        <f t="shared" si="12"/>
        <v>2134528.5099999998</v>
      </c>
      <c r="H390" s="222">
        <f t="shared" si="12"/>
        <v>922327.31</v>
      </c>
      <c r="I390" s="222">
        <f t="shared" si="12"/>
        <v>19101300.940000001</v>
      </c>
      <c r="J390" s="222">
        <f t="shared" si="12"/>
        <v>695389.45</v>
      </c>
      <c r="K390" s="222">
        <f t="shared" si="12"/>
        <v>0</v>
      </c>
      <c r="L390" s="222">
        <f t="shared" si="12"/>
        <v>6006974.5499999998</v>
      </c>
      <c r="M390" s="222">
        <f t="shared" si="12"/>
        <v>5941622.6399999997</v>
      </c>
      <c r="N390" s="222">
        <f t="shared" si="12"/>
        <v>26384823.629999999</v>
      </c>
      <c r="O390" s="222">
        <f t="shared" si="12"/>
        <v>9973356.7599999998</v>
      </c>
      <c r="P390" s="222">
        <f t="shared" si="12"/>
        <v>1107550.0900000001</v>
      </c>
      <c r="Q390" s="222">
        <f t="shared" si="12"/>
        <v>-85.27</v>
      </c>
      <c r="R390" s="222">
        <f t="shared" si="12"/>
        <v>0</v>
      </c>
    </row>
    <row r="391" spans="1:18" ht="12.75" customHeight="1" x14ac:dyDescent="0.2">
      <c r="B391" s="778"/>
      <c r="C391" s="775"/>
      <c r="D391" s="221" t="s">
        <v>73</v>
      </c>
      <c r="E391" s="222">
        <f>E330</f>
        <v>-15136443.210000001</v>
      </c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</row>
    <row r="392" spans="1:18" ht="12.75" customHeight="1" x14ac:dyDescent="0.2">
      <c r="A392" s="89"/>
      <c r="B392" s="97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</row>
    <row r="393" spans="1:18" ht="12.75" customHeight="1" x14ac:dyDescent="0.2">
      <c r="B393" s="776" t="s">
        <v>326</v>
      </c>
      <c r="C393" s="775" t="s">
        <v>132</v>
      </c>
      <c r="D393" s="373" t="s">
        <v>70</v>
      </c>
      <c r="E393" s="374">
        <v>0</v>
      </c>
      <c r="F393" s="374">
        <v>0</v>
      </c>
      <c r="G393" s="374">
        <v>0</v>
      </c>
      <c r="H393" s="374">
        <v>0</v>
      </c>
      <c r="I393" s="374">
        <v>0</v>
      </c>
      <c r="J393" s="374">
        <v>0</v>
      </c>
      <c r="K393" s="374">
        <v>0</v>
      </c>
      <c r="L393" s="374">
        <v>0</v>
      </c>
      <c r="M393" s="374">
        <v>0</v>
      </c>
      <c r="N393" s="374">
        <v>0</v>
      </c>
      <c r="O393" s="374">
        <v>0</v>
      </c>
      <c r="P393" s="374">
        <v>0</v>
      </c>
      <c r="Q393" s="374">
        <v>0</v>
      </c>
      <c r="R393" s="374">
        <v>0</v>
      </c>
    </row>
    <row r="394" spans="1:18" ht="12.75" customHeight="1" x14ac:dyDescent="0.2">
      <c r="B394" s="776"/>
      <c r="C394" s="775"/>
      <c r="D394" s="373" t="s">
        <v>73</v>
      </c>
      <c r="E394" s="374">
        <v>0</v>
      </c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</row>
    <row r="395" spans="1:18" ht="12.75" customHeight="1" x14ac:dyDescent="0.2">
      <c r="A395" s="89"/>
      <c r="B395" s="97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</row>
    <row r="396" spans="1:18" ht="12.75" customHeight="1" x14ac:dyDescent="0.2">
      <c r="A396" s="142" t="s">
        <v>226</v>
      </c>
      <c r="B396" s="778" t="s">
        <v>119</v>
      </c>
      <c r="C396" s="775" t="s">
        <v>132</v>
      </c>
      <c r="D396" s="101" t="s">
        <v>70</v>
      </c>
      <c r="E396" s="93">
        <f>E326+E348-K326</f>
        <v>34178649.799999997</v>
      </c>
      <c r="F396" s="93">
        <f t="shared" ref="F396:R396" si="13">F326</f>
        <v>3414288.34</v>
      </c>
      <c r="G396" s="93">
        <f t="shared" si="13"/>
        <v>1854126.13</v>
      </c>
      <c r="H396" s="93">
        <f t="shared" si="13"/>
        <v>919021.33</v>
      </c>
      <c r="I396" s="93">
        <f t="shared" si="13"/>
        <v>5255584.72</v>
      </c>
      <c r="J396" s="93">
        <f t="shared" si="13"/>
        <v>198283.64</v>
      </c>
      <c r="K396" s="93">
        <f t="shared" si="13"/>
        <v>0</v>
      </c>
      <c r="L396" s="93">
        <f t="shared" si="13"/>
        <v>1581078.48</v>
      </c>
      <c r="M396" s="93">
        <f t="shared" si="13"/>
        <v>1755343.15</v>
      </c>
      <c r="N396" s="93">
        <f t="shared" si="13"/>
        <v>9281802.4800000004</v>
      </c>
      <c r="O396" s="93">
        <f t="shared" si="13"/>
        <v>9224428.8599999994</v>
      </c>
      <c r="P396" s="93">
        <f t="shared" si="13"/>
        <v>314744.57</v>
      </c>
      <c r="Q396" s="93">
        <f t="shared" si="13"/>
        <v>5.27</v>
      </c>
      <c r="R396" s="93">
        <f t="shared" si="13"/>
        <v>0</v>
      </c>
    </row>
    <row r="397" spans="1:18" ht="12.75" customHeight="1" x14ac:dyDescent="0.2">
      <c r="B397" s="778"/>
      <c r="C397" s="775"/>
      <c r="D397" s="101" t="s">
        <v>73</v>
      </c>
      <c r="E397" s="93">
        <f>E348</f>
        <v>379942.83</v>
      </c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</row>
    <row r="398" spans="1:18" ht="12.75" customHeight="1" x14ac:dyDescent="0.2">
      <c r="A398" s="89"/>
      <c r="B398" s="97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</row>
    <row r="399" spans="1:18" ht="12.75" customHeight="1" x14ac:dyDescent="0.2">
      <c r="B399" s="777" t="s">
        <v>161</v>
      </c>
      <c r="C399" s="775" t="s">
        <v>132</v>
      </c>
      <c r="D399" s="231" t="s">
        <v>70</v>
      </c>
      <c r="E399" s="232">
        <v>0</v>
      </c>
      <c r="F399" s="232">
        <v>0</v>
      </c>
      <c r="G399" s="232">
        <v>0</v>
      </c>
      <c r="H399" s="232">
        <v>0</v>
      </c>
      <c r="I399" s="232">
        <v>0</v>
      </c>
      <c r="J399" s="232">
        <v>0</v>
      </c>
      <c r="K399" s="232">
        <v>0</v>
      </c>
      <c r="L399" s="232">
        <v>0</v>
      </c>
      <c r="M399" s="232">
        <v>0</v>
      </c>
      <c r="N399" s="232">
        <v>0</v>
      </c>
      <c r="O399" s="232">
        <v>0</v>
      </c>
      <c r="P399" s="232">
        <v>0</v>
      </c>
      <c r="Q399" s="232">
        <v>0</v>
      </c>
      <c r="R399" s="232">
        <v>0</v>
      </c>
    </row>
    <row r="400" spans="1:18" ht="12.75" customHeight="1" x14ac:dyDescent="0.2">
      <c r="B400" s="777"/>
      <c r="C400" s="775"/>
      <c r="D400" s="231" t="s">
        <v>73</v>
      </c>
      <c r="E400" s="232">
        <v>0</v>
      </c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spans="2:19" s="238" customFormat="1" x14ac:dyDescent="0.2"/>
    <row r="402" spans="2:19" x14ac:dyDescent="0.2">
      <c r="B402" s="97" t="s">
        <v>93</v>
      </c>
    </row>
    <row r="403" spans="2:19" x14ac:dyDescent="0.2">
      <c r="E403" s="89" t="s">
        <v>70</v>
      </c>
      <c r="F403" s="89" t="s">
        <v>64</v>
      </c>
      <c r="G403" s="89" t="s">
        <v>65</v>
      </c>
      <c r="H403" s="219" t="s">
        <v>164</v>
      </c>
      <c r="I403" s="89" t="s">
        <v>69</v>
      </c>
      <c r="J403" s="89" t="s">
        <v>68</v>
      </c>
      <c r="K403" s="89" t="s">
        <v>83</v>
      </c>
      <c r="L403" s="89" t="s">
        <v>66</v>
      </c>
      <c r="M403" s="89" t="s">
        <v>63</v>
      </c>
      <c r="N403" s="89" t="s">
        <v>61</v>
      </c>
      <c r="O403" s="89" t="s">
        <v>62</v>
      </c>
      <c r="P403" s="89" t="s">
        <v>67</v>
      </c>
      <c r="Q403" s="89" t="s">
        <v>84</v>
      </c>
      <c r="R403" s="384" t="s">
        <v>225</v>
      </c>
    </row>
    <row r="404" spans="2:19" ht="11.45" customHeight="1" x14ac:dyDescent="0.2">
      <c r="D404" t="s">
        <v>72</v>
      </c>
      <c r="E404" s="89">
        <v>0</v>
      </c>
      <c r="F404" s="89">
        <v>0</v>
      </c>
      <c r="G404" s="89">
        <v>0</v>
      </c>
      <c r="H404" s="384">
        <v>0</v>
      </c>
      <c r="I404" s="89">
        <v>0</v>
      </c>
      <c r="J404" s="89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v>0</v>
      </c>
      <c r="P404" s="89">
        <v>0</v>
      </c>
      <c r="Q404" s="89">
        <v>0</v>
      </c>
      <c r="R404" s="384">
        <v>0</v>
      </c>
    </row>
    <row r="405" spans="2:19" ht="12.75" customHeight="1" x14ac:dyDescent="0.2">
      <c r="D405" t="s">
        <v>81</v>
      </c>
      <c r="E405" s="384">
        <v>0</v>
      </c>
      <c r="F405" s="89">
        <v>0</v>
      </c>
      <c r="G405" s="89">
        <v>0</v>
      </c>
      <c r="H405" s="384">
        <v>0</v>
      </c>
      <c r="I405" s="89">
        <v>0</v>
      </c>
      <c r="J405" s="89">
        <v>0</v>
      </c>
      <c r="K405" s="89">
        <v>0</v>
      </c>
      <c r="L405" s="89">
        <v>0</v>
      </c>
      <c r="M405" s="89">
        <v>0</v>
      </c>
      <c r="N405" s="89">
        <v>0</v>
      </c>
      <c r="O405" s="89">
        <v>0</v>
      </c>
      <c r="P405" s="89">
        <v>0</v>
      </c>
      <c r="Q405" s="89">
        <v>0</v>
      </c>
      <c r="R405" s="384">
        <v>0</v>
      </c>
    </row>
    <row r="406" spans="2:19" ht="11.45" customHeight="1" x14ac:dyDescent="0.2">
      <c r="C406" t="s">
        <v>332</v>
      </c>
      <c r="D406" t="s">
        <v>70</v>
      </c>
      <c r="E406" s="384">
        <v>0</v>
      </c>
      <c r="F406" s="89">
        <v>0</v>
      </c>
      <c r="G406" s="89">
        <v>0</v>
      </c>
      <c r="H406" s="384">
        <v>0</v>
      </c>
      <c r="I406" s="89">
        <v>0</v>
      </c>
      <c r="J406" s="89">
        <v>0</v>
      </c>
      <c r="K406" s="89">
        <v>0</v>
      </c>
      <c r="L406" s="89">
        <v>0</v>
      </c>
      <c r="M406" s="89">
        <v>0</v>
      </c>
      <c r="N406" s="89">
        <v>0</v>
      </c>
      <c r="O406" s="89">
        <v>0</v>
      </c>
      <c r="P406" s="89">
        <v>0</v>
      </c>
      <c r="Q406" s="89">
        <v>0</v>
      </c>
      <c r="R406" s="384">
        <v>0</v>
      </c>
    </row>
    <row r="407" spans="2:19" s="739" customFormat="1" ht="11.45" customHeight="1" x14ac:dyDescent="0.2">
      <c r="B407" s="739" t="s">
        <v>85</v>
      </c>
      <c r="C407" s="739" t="s">
        <v>70</v>
      </c>
      <c r="E407" s="769">
        <v>0</v>
      </c>
      <c r="F407" s="231">
        <v>0</v>
      </c>
      <c r="G407" s="231">
        <v>0</v>
      </c>
      <c r="H407" s="769">
        <v>0</v>
      </c>
      <c r="I407" s="231">
        <v>0</v>
      </c>
      <c r="J407" s="231">
        <v>0</v>
      </c>
      <c r="K407" s="231">
        <v>0</v>
      </c>
      <c r="L407" s="231">
        <v>0</v>
      </c>
      <c r="M407" s="231">
        <v>0</v>
      </c>
      <c r="N407" s="231">
        <v>0</v>
      </c>
      <c r="O407" s="231">
        <v>0</v>
      </c>
      <c r="P407" s="231">
        <v>0</v>
      </c>
      <c r="Q407" s="231">
        <v>0</v>
      </c>
      <c r="R407" s="769">
        <v>0</v>
      </c>
    </row>
    <row r="408" spans="2:19" ht="12.75" customHeight="1" x14ac:dyDescent="0.2">
      <c r="D408" s="89" t="s">
        <v>72</v>
      </c>
      <c r="E408" s="90">
        <v>19713558.23</v>
      </c>
      <c r="F408" s="90">
        <v>1433611.21</v>
      </c>
      <c r="G408" s="90">
        <v>821473.98</v>
      </c>
      <c r="H408" s="90">
        <v>381759.58</v>
      </c>
      <c r="I408" s="90">
        <v>4009241.14</v>
      </c>
      <c r="J408" s="90">
        <v>149648.65</v>
      </c>
      <c r="K408" s="90">
        <v>0</v>
      </c>
      <c r="L408" s="90">
        <v>1253740.49</v>
      </c>
      <c r="M408" s="90">
        <v>1363565.37</v>
      </c>
      <c r="N408" s="90">
        <v>5819071.1500000004</v>
      </c>
      <c r="O408" s="90">
        <v>4269755.25</v>
      </c>
      <c r="P408" s="90">
        <v>211601.51</v>
      </c>
      <c r="Q408" s="90">
        <v>89.9</v>
      </c>
      <c r="R408">
        <v>0</v>
      </c>
    </row>
    <row r="409" spans="2:19" ht="12.75" customHeight="1" x14ac:dyDescent="0.2">
      <c r="D409" s="89" t="s">
        <v>81</v>
      </c>
      <c r="E409" s="90">
        <v>18754.009999999998</v>
      </c>
      <c r="F409" s="90">
        <v>1185.98</v>
      </c>
      <c r="G409" s="90">
        <v>657.93</v>
      </c>
      <c r="H409" s="90">
        <v>342.39</v>
      </c>
      <c r="I409" s="90">
        <v>3726.74</v>
      </c>
      <c r="J409" s="90">
        <v>150.80000000000001</v>
      </c>
      <c r="K409" s="90">
        <v>0</v>
      </c>
      <c r="L409" s="90">
        <v>1322.67</v>
      </c>
      <c r="M409" s="90">
        <v>1225.1400000000001</v>
      </c>
      <c r="N409" s="90">
        <v>6423.46</v>
      </c>
      <c r="O409" s="90">
        <v>3472.69</v>
      </c>
      <c r="P409" s="90">
        <v>246.08</v>
      </c>
      <c r="Q409" s="90">
        <v>0.13</v>
      </c>
      <c r="R409">
        <v>0</v>
      </c>
    </row>
    <row r="410" spans="2:19" ht="12.75" customHeight="1" x14ac:dyDescent="0.2">
      <c r="B410" s="89"/>
      <c r="C410" s="89" t="s">
        <v>156</v>
      </c>
      <c r="D410" t="s">
        <v>70</v>
      </c>
      <c r="E410" s="90">
        <v>19732312.239999998</v>
      </c>
      <c r="F410" s="90">
        <v>1434797.19</v>
      </c>
      <c r="G410" s="90">
        <v>822131.91</v>
      </c>
      <c r="H410" s="90">
        <v>382101.97</v>
      </c>
      <c r="I410" s="90">
        <v>4012967.88</v>
      </c>
      <c r="J410" s="90">
        <v>149799.45000000001</v>
      </c>
      <c r="K410" s="90">
        <v>0</v>
      </c>
      <c r="L410" s="90">
        <v>1255063.1599999999</v>
      </c>
      <c r="M410" s="90">
        <v>1364790.51</v>
      </c>
      <c r="N410" s="90">
        <v>5825494.6100000003</v>
      </c>
      <c r="O410" s="90">
        <v>4273227.9400000004</v>
      </c>
      <c r="P410" s="90">
        <v>211847.59</v>
      </c>
      <c r="Q410" s="90">
        <v>90.03</v>
      </c>
      <c r="R410">
        <v>0</v>
      </c>
    </row>
    <row r="411" spans="2:19" s="237" customFormat="1" ht="12.75" customHeight="1" x14ac:dyDescent="0.2">
      <c r="B411" s="221" t="s">
        <v>155</v>
      </c>
      <c r="C411" s="221" t="s">
        <v>70</v>
      </c>
      <c r="E411" s="222">
        <v>19732312.239999998</v>
      </c>
      <c r="F411" s="222">
        <v>1434797.19</v>
      </c>
      <c r="G411" s="222">
        <v>822131.91</v>
      </c>
      <c r="H411" s="222">
        <v>382101.97</v>
      </c>
      <c r="I411" s="222">
        <v>4012967.88</v>
      </c>
      <c r="J411" s="222">
        <v>149799.45000000001</v>
      </c>
      <c r="K411" s="222">
        <v>0</v>
      </c>
      <c r="L411" s="222">
        <v>1255063.1599999999</v>
      </c>
      <c r="M411" s="222">
        <v>1364790.51</v>
      </c>
      <c r="N411" s="222">
        <v>5825494.6100000003</v>
      </c>
      <c r="O411" s="222">
        <v>4273227.9400000004</v>
      </c>
      <c r="P411" s="222">
        <v>211847.59</v>
      </c>
      <c r="Q411" s="222">
        <v>90.03</v>
      </c>
      <c r="R411" s="237">
        <v>0</v>
      </c>
    </row>
    <row r="412" spans="2:19" ht="12.75" customHeight="1" x14ac:dyDescent="0.2">
      <c r="D412" t="s">
        <v>72</v>
      </c>
      <c r="E412" s="142">
        <v>7522088.9400000004</v>
      </c>
      <c r="F412">
        <v>452084.23</v>
      </c>
      <c r="G412">
        <v>257859.84</v>
      </c>
      <c r="H412">
        <v>110457.94</v>
      </c>
      <c r="I412">
        <v>1817304.03</v>
      </c>
      <c r="J412">
        <v>58755.74</v>
      </c>
      <c r="K412">
        <v>0</v>
      </c>
      <c r="L412">
        <v>533049.52</v>
      </c>
      <c r="M412">
        <v>533000.77</v>
      </c>
      <c r="N412">
        <v>2377838.02</v>
      </c>
      <c r="O412">
        <v>1292657.05</v>
      </c>
      <c r="P412">
        <v>89104.17</v>
      </c>
      <c r="Q412">
        <v>-22.37</v>
      </c>
      <c r="R412">
        <v>0</v>
      </c>
    </row>
    <row r="413" spans="2:19" ht="12.75" customHeight="1" x14ac:dyDescent="0.2">
      <c r="D413" t="s">
        <v>81</v>
      </c>
      <c r="E413" s="142">
        <v>7478.7</v>
      </c>
      <c r="F413">
        <v>443.1</v>
      </c>
      <c r="G413">
        <v>249.22</v>
      </c>
      <c r="H413">
        <v>133.69</v>
      </c>
      <c r="I413">
        <v>1658</v>
      </c>
      <c r="J413">
        <v>59.23</v>
      </c>
      <c r="K413">
        <v>0</v>
      </c>
      <c r="L413">
        <v>512.44000000000005</v>
      </c>
      <c r="M413">
        <v>531.97</v>
      </c>
      <c r="N413">
        <v>2482.92</v>
      </c>
      <c r="O413">
        <v>1311.38</v>
      </c>
      <c r="P413">
        <v>96.59</v>
      </c>
      <c r="Q413">
        <v>0.16</v>
      </c>
      <c r="R413">
        <v>0</v>
      </c>
    </row>
    <row r="414" spans="2:19" ht="12.75" customHeight="1" x14ac:dyDescent="0.2">
      <c r="C414" t="s">
        <v>156</v>
      </c>
      <c r="D414" t="s">
        <v>70</v>
      </c>
      <c r="E414" s="142">
        <v>7529567.6399999997</v>
      </c>
      <c r="F414">
        <v>452527.33</v>
      </c>
      <c r="G414">
        <v>258109.06</v>
      </c>
      <c r="H414">
        <v>110591.63</v>
      </c>
      <c r="I414">
        <v>1818962.03</v>
      </c>
      <c r="J414">
        <v>58814.97</v>
      </c>
      <c r="K414">
        <v>0</v>
      </c>
      <c r="L414">
        <v>533561.96</v>
      </c>
      <c r="M414">
        <v>533532.74</v>
      </c>
      <c r="N414">
        <v>2380320.94</v>
      </c>
      <c r="O414">
        <v>1293968.43</v>
      </c>
      <c r="P414">
        <v>89200.76</v>
      </c>
      <c r="Q414">
        <v>-22.21</v>
      </c>
      <c r="R414">
        <v>0</v>
      </c>
    </row>
    <row r="415" spans="2:19" s="739" customFormat="1" ht="12.75" customHeight="1" x14ac:dyDescent="0.2">
      <c r="B415" s="739" t="s">
        <v>326</v>
      </c>
      <c r="C415" s="739" t="s">
        <v>70</v>
      </c>
      <c r="E415" s="231">
        <v>7529567.6399999997</v>
      </c>
      <c r="F415" s="740">
        <v>452527.33</v>
      </c>
      <c r="G415" s="232">
        <v>258109.06</v>
      </c>
      <c r="H415" s="232">
        <v>110591.63</v>
      </c>
      <c r="I415" s="232">
        <v>1818962.03</v>
      </c>
      <c r="J415" s="232">
        <v>58814.97</v>
      </c>
      <c r="K415" s="232">
        <v>0</v>
      </c>
      <c r="L415" s="232">
        <v>533561.96</v>
      </c>
      <c r="M415" s="232">
        <v>533532.74</v>
      </c>
      <c r="N415" s="232">
        <v>2380320.94</v>
      </c>
      <c r="O415" s="232">
        <v>1293968.43</v>
      </c>
      <c r="P415" s="232">
        <v>89200.76</v>
      </c>
      <c r="Q415" s="232">
        <v>-22.21</v>
      </c>
      <c r="R415" s="232">
        <v>0</v>
      </c>
      <c r="S415" s="232"/>
    </row>
    <row r="416" spans="2:19" ht="12.75" customHeight="1" x14ac:dyDescent="0.2">
      <c r="D416" t="s">
        <v>72</v>
      </c>
      <c r="E416" s="142">
        <v>2071705.94</v>
      </c>
      <c r="F416">
        <v>103319.02</v>
      </c>
      <c r="G416">
        <v>57420.42</v>
      </c>
      <c r="H416">
        <v>21085.54</v>
      </c>
      <c r="I416">
        <v>346150.26</v>
      </c>
      <c r="J416">
        <v>11031.32</v>
      </c>
      <c r="K416">
        <v>0</v>
      </c>
      <c r="L416">
        <v>145571.06</v>
      </c>
      <c r="M416">
        <v>183039.97</v>
      </c>
      <c r="N416">
        <v>809955.99</v>
      </c>
      <c r="O416">
        <v>379524.28</v>
      </c>
      <c r="P416">
        <v>14610.01</v>
      </c>
      <c r="Q416">
        <v>-1.93</v>
      </c>
      <c r="R416">
        <v>0</v>
      </c>
    </row>
    <row r="417" spans="1:19" ht="12.75" customHeight="1" x14ac:dyDescent="0.2">
      <c r="D417" t="s">
        <v>81</v>
      </c>
      <c r="E417" s="142">
        <v>5827.74</v>
      </c>
      <c r="F417">
        <v>335.75</v>
      </c>
      <c r="G417">
        <v>183.23</v>
      </c>
      <c r="H417">
        <v>102.43</v>
      </c>
      <c r="I417">
        <v>1405.62</v>
      </c>
      <c r="J417">
        <v>35.880000000000003</v>
      </c>
      <c r="K417">
        <v>0</v>
      </c>
      <c r="L417">
        <v>312.68</v>
      </c>
      <c r="M417">
        <v>400.21</v>
      </c>
      <c r="N417">
        <v>1989.45</v>
      </c>
      <c r="O417">
        <v>1003.89</v>
      </c>
      <c r="P417">
        <v>58.46</v>
      </c>
      <c r="Q417">
        <v>0.14000000000000001</v>
      </c>
      <c r="R417">
        <v>0</v>
      </c>
    </row>
    <row r="418" spans="1:19" ht="12.75" customHeight="1" x14ac:dyDescent="0.2">
      <c r="C418" t="s">
        <v>82</v>
      </c>
      <c r="D418" t="s">
        <v>70</v>
      </c>
      <c r="E418" s="142">
        <v>2077533.68</v>
      </c>
      <c r="F418">
        <v>103654.77</v>
      </c>
      <c r="G418">
        <v>57603.65</v>
      </c>
      <c r="H418">
        <v>21187.97</v>
      </c>
      <c r="I418">
        <v>347555.88</v>
      </c>
      <c r="J418">
        <v>11067.2</v>
      </c>
      <c r="K418">
        <v>0</v>
      </c>
      <c r="L418">
        <v>145883.74</v>
      </c>
      <c r="M418">
        <v>183440.18</v>
      </c>
      <c r="N418">
        <v>811945.44</v>
      </c>
      <c r="O418">
        <v>380528.17</v>
      </c>
      <c r="P418">
        <v>14668.47</v>
      </c>
      <c r="Q418">
        <v>-1.79</v>
      </c>
      <c r="R418">
        <v>0</v>
      </c>
    </row>
    <row r="419" spans="1:19" ht="12.75" customHeight="1" x14ac:dyDescent="0.2">
      <c r="D419" t="s">
        <v>72</v>
      </c>
      <c r="E419" s="142">
        <v>564214.29</v>
      </c>
      <c r="F419">
        <v>17423.509999999998</v>
      </c>
      <c r="G419">
        <v>9851.94</v>
      </c>
      <c r="H419">
        <v>1306.08</v>
      </c>
      <c r="I419">
        <v>70737.58</v>
      </c>
      <c r="J419">
        <v>2919.74</v>
      </c>
      <c r="K419">
        <v>0</v>
      </c>
      <c r="L419">
        <v>56924.86</v>
      </c>
      <c r="M419">
        <v>66619.45</v>
      </c>
      <c r="N419">
        <v>239269.57</v>
      </c>
      <c r="O419">
        <v>97907.86</v>
      </c>
      <c r="P419">
        <v>1248.93</v>
      </c>
      <c r="Q419">
        <v>4.7699999999999996</v>
      </c>
      <c r="R419">
        <v>0</v>
      </c>
    </row>
    <row r="420" spans="1:19" ht="12.75" customHeight="1" x14ac:dyDescent="0.2">
      <c r="D420" t="s">
        <v>81</v>
      </c>
      <c r="E420" s="142">
        <v>15983.37</v>
      </c>
      <c r="F420">
        <v>1350.57</v>
      </c>
      <c r="G420">
        <v>675.27</v>
      </c>
      <c r="H420">
        <v>377.77</v>
      </c>
      <c r="I420">
        <v>2442.13</v>
      </c>
      <c r="J420">
        <v>121.05</v>
      </c>
      <c r="K420">
        <v>0</v>
      </c>
      <c r="L420">
        <v>1025.0999999999999</v>
      </c>
      <c r="M420">
        <v>984.77</v>
      </c>
      <c r="N420">
        <v>4740.8500000000004</v>
      </c>
      <c r="O420">
        <v>4068.12</v>
      </c>
      <c r="P420">
        <v>197.44</v>
      </c>
      <c r="Q420">
        <v>0.3</v>
      </c>
      <c r="R420">
        <v>0</v>
      </c>
    </row>
    <row r="421" spans="1:19" ht="12.75" customHeight="1" x14ac:dyDescent="0.2">
      <c r="C421" t="s">
        <v>86</v>
      </c>
      <c r="D421" t="s">
        <v>70</v>
      </c>
      <c r="E421" s="142">
        <v>580197.66</v>
      </c>
      <c r="F421">
        <v>18774.080000000002</v>
      </c>
      <c r="G421">
        <v>10527.21</v>
      </c>
      <c r="H421">
        <v>1683.85</v>
      </c>
      <c r="I421">
        <v>73179.710000000006</v>
      </c>
      <c r="J421">
        <v>3040.79</v>
      </c>
      <c r="K421">
        <v>0</v>
      </c>
      <c r="L421">
        <v>57949.96</v>
      </c>
      <c r="M421">
        <v>67604.22</v>
      </c>
      <c r="N421">
        <v>244010.42</v>
      </c>
      <c r="O421">
        <v>101975.98</v>
      </c>
      <c r="P421">
        <v>1446.37</v>
      </c>
      <c r="Q421">
        <v>5.07</v>
      </c>
      <c r="R421">
        <v>0</v>
      </c>
    </row>
    <row r="422" spans="1:19" ht="12.75" customHeight="1" x14ac:dyDescent="0.2">
      <c r="D422" t="s">
        <v>72</v>
      </c>
      <c r="E422" s="142">
        <v>9223422.1400000006</v>
      </c>
      <c r="F422">
        <v>1035458.12</v>
      </c>
      <c r="G422">
        <v>588303.9</v>
      </c>
      <c r="H422">
        <v>292492.33</v>
      </c>
      <c r="I422">
        <v>925765.26</v>
      </c>
      <c r="J422">
        <v>26352.799999999999</v>
      </c>
      <c r="K422">
        <v>990006.55</v>
      </c>
      <c r="L422">
        <v>272062.34000000003</v>
      </c>
      <c r="M422">
        <v>350629.12</v>
      </c>
      <c r="N422">
        <v>1502001.28</v>
      </c>
      <c r="O422">
        <v>3205703.11</v>
      </c>
      <c r="P422">
        <v>34728.980000000003</v>
      </c>
      <c r="Q422">
        <v>-81.650000000000006</v>
      </c>
      <c r="R422">
        <v>0</v>
      </c>
    </row>
    <row r="423" spans="1:19" ht="12.75" customHeight="1" x14ac:dyDescent="0.2">
      <c r="B423" s="142"/>
      <c r="D423" t="s">
        <v>81</v>
      </c>
      <c r="E423" s="142">
        <v>19833.349999999999</v>
      </c>
      <c r="F423">
        <v>1583.47</v>
      </c>
      <c r="G423">
        <v>870.86</v>
      </c>
      <c r="H423">
        <v>471.95</v>
      </c>
      <c r="I423">
        <v>3975.48</v>
      </c>
      <c r="J423">
        <v>100.34</v>
      </c>
      <c r="K423">
        <v>0</v>
      </c>
      <c r="L423">
        <v>881.78</v>
      </c>
      <c r="M423">
        <v>1143.53</v>
      </c>
      <c r="N423">
        <v>5829.84</v>
      </c>
      <c r="O423">
        <v>4812.5200000000004</v>
      </c>
      <c r="P423">
        <v>163.4</v>
      </c>
      <c r="Q423">
        <v>0.18</v>
      </c>
      <c r="R423">
        <v>0</v>
      </c>
    </row>
    <row r="424" spans="1:19" ht="12.75" customHeight="1" x14ac:dyDescent="0.2">
      <c r="B424" s="142"/>
      <c r="C424" t="s">
        <v>87</v>
      </c>
      <c r="D424" t="s">
        <v>70</v>
      </c>
      <c r="E424" s="142">
        <v>9243255.4900000002</v>
      </c>
      <c r="F424">
        <v>1037041.59</v>
      </c>
      <c r="G424">
        <v>589174.76</v>
      </c>
      <c r="H424">
        <v>292964.28000000003</v>
      </c>
      <c r="I424">
        <v>929740.74</v>
      </c>
      <c r="J424">
        <v>26453.14</v>
      </c>
      <c r="K424">
        <v>990006.55</v>
      </c>
      <c r="L424">
        <v>272944.12</v>
      </c>
      <c r="M424">
        <v>351772.65</v>
      </c>
      <c r="N424">
        <v>1507831.12</v>
      </c>
      <c r="O424">
        <v>3210515.63</v>
      </c>
      <c r="P424">
        <v>34892.379999999997</v>
      </c>
      <c r="Q424">
        <v>-81.47</v>
      </c>
      <c r="R424">
        <v>0</v>
      </c>
    </row>
    <row r="425" spans="1:19" s="94" customFormat="1" ht="12.75" customHeight="1" x14ac:dyDescent="0.2">
      <c r="B425" s="101" t="s">
        <v>119</v>
      </c>
      <c r="C425" s="101" t="s">
        <v>70</v>
      </c>
      <c r="E425" s="93">
        <v>11900986.83</v>
      </c>
      <c r="F425" s="93">
        <v>1159470.44</v>
      </c>
      <c r="G425" s="93">
        <v>657305.62</v>
      </c>
      <c r="H425" s="93">
        <v>315836.09999999998</v>
      </c>
      <c r="I425" s="93">
        <v>1350476.33</v>
      </c>
      <c r="J425" s="93">
        <v>40561.129999999997</v>
      </c>
      <c r="K425" s="93">
        <v>990006.55</v>
      </c>
      <c r="L425" s="93">
        <v>476777.82</v>
      </c>
      <c r="M425" s="93">
        <v>602817.05000000005</v>
      </c>
      <c r="N425" s="93">
        <v>2563786.98</v>
      </c>
      <c r="O425" s="93">
        <v>3693019.78</v>
      </c>
      <c r="P425" s="93">
        <v>51007.22</v>
      </c>
      <c r="Q425" s="93">
        <v>-78.19</v>
      </c>
      <c r="R425" s="94">
        <v>0</v>
      </c>
    </row>
    <row r="426" spans="1:19" s="226" customFormat="1" ht="12.75" customHeight="1" x14ac:dyDescent="0.2">
      <c r="A426" s="98" t="s">
        <v>78</v>
      </c>
      <c r="B426" s="98" t="s">
        <v>70</v>
      </c>
      <c r="E426" s="100">
        <v>39162866.710000001</v>
      </c>
      <c r="F426" s="100">
        <v>3046794.96</v>
      </c>
      <c r="G426" s="100">
        <v>1737546.59</v>
      </c>
      <c r="H426" s="100">
        <v>808529.7</v>
      </c>
      <c r="I426" s="100">
        <v>7182406.2400000002</v>
      </c>
      <c r="J426" s="100">
        <v>249175.55</v>
      </c>
      <c r="K426" s="100">
        <v>990006.55</v>
      </c>
      <c r="L426" s="100">
        <v>2265402.94</v>
      </c>
      <c r="M426" s="100">
        <v>2501140.2999999998</v>
      </c>
      <c r="N426" s="100">
        <v>10769602.529999999</v>
      </c>
      <c r="O426" s="100">
        <v>9260216.1500000004</v>
      </c>
      <c r="P426" s="100">
        <v>352055.57</v>
      </c>
      <c r="Q426" s="100">
        <v>-10.37</v>
      </c>
      <c r="R426" s="226">
        <v>0</v>
      </c>
    </row>
    <row r="427" spans="1:19" ht="12.75" customHeight="1" x14ac:dyDescent="0.2">
      <c r="C427" s="89"/>
      <c r="D427" s="89" t="s">
        <v>73</v>
      </c>
      <c r="E427" s="90">
        <v>3691549.5</v>
      </c>
      <c r="F427" s="90">
        <v>530921.56999999995</v>
      </c>
      <c r="G427" s="90">
        <v>272938.43</v>
      </c>
      <c r="H427" s="90">
        <v>117564.27</v>
      </c>
      <c r="I427" s="90">
        <v>369298.5</v>
      </c>
      <c r="J427" s="90">
        <v>12339.48</v>
      </c>
      <c r="K427" s="90">
        <v>0</v>
      </c>
      <c r="L427" s="90">
        <v>114960.22</v>
      </c>
      <c r="M427" s="90">
        <v>67403.39</v>
      </c>
      <c r="N427" s="90">
        <v>586625.34</v>
      </c>
      <c r="O427" s="90">
        <v>1598903.62</v>
      </c>
      <c r="P427" s="90">
        <v>20594.68</v>
      </c>
      <c r="Q427" s="90">
        <v>0</v>
      </c>
      <c r="R427">
        <v>0</v>
      </c>
    </row>
    <row r="428" spans="1:19" ht="12.75" customHeight="1" x14ac:dyDescent="0.2">
      <c r="B428" s="89"/>
      <c r="C428" s="89" t="s">
        <v>156</v>
      </c>
      <c r="D428" t="s">
        <v>70</v>
      </c>
      <c r="E428" s="90">
        <v>3691549.5</v>
      </c>
      <c r="F428" s="90">
        <v>530921.56999999995</v>
      </c>
      <c r="G428" s="90">
        <v>272938.43</v>
      </c>
      <c r="H428" s="90">
        <v>117564.27</v>
      </c>
      <c r="I428" s="90">
        <v>369298.5</v>
      </c>
      <c r="J428" s="90">
        <v>12339.48</v>
      </c>
      <c r="K428" s="90">
        <v>0</v>
      </c>
      <c r="L428" s="90">
        <v>114960.22</v>
      </c>
      <c r="M428" s="90">
        <v>67403.39</v>
      </c>
      <c r="N428" s="90">
        <v>586625.34</v>
      </c>
      <c r="O428" s="90">
        <v>1598903.62</v>
      </c>
      <c r="P428" s="90">
        <v>20594.68</v>
      </c>
      <c r="Q428" s="90">
        <v>0</v>
      </c>
      <c r="R428">
        <v>0</v>
      </c>
    </row>
    <row r="429" spans="1:19" s="237" customFormat="1" ht="12.75" customHeight="1" x14ac:dyDescent="0.2">
      <c r="B429" s="221" t="s">
        <v>155</v>
      </c>
      <c r="C429" s="221" t="s">
        <v>70</v>
      </c>
      <c r="E429" s="222">
        <v>3691549.5</v>
      </c>
      <c r="F429" s="222">
        <v>530921.56999999995</v>
      </c>
      <c r="G429" s="222">
        <v>272938.43</v>
      </c>
      <c r="H429" s="222">
        <v>117564.27</v>
      </c>
      <c r="I429" s="222">
        <v>369298.5</v>
      </c>
      <c r="J429" s="222">
        <v>12339.48</v>
      </c>
      <c r="K429" s="222">
        <v>0</v>
      </c>
      <c r="L429" s="222">
        <v>114960.22</v>
      </c>
      <c r="M429" s="222">
        <v>67403.39</v>
      </c>
      <c r="N429" s="222">
        <v>586625.34</v>
      </c>
      <c r="O429" s="222">
        <v>1598903.62</v>
      </c>
      <c r="P429" s="222">
        <v>20594.68</v>
      </c>
      <c r="Q429" s="222">
        <v>0</v>
      </c>
      <c r="R429" s="237">
        <v>0</v>
      </c>
    </row>
    <row r="430" spans="1:19" ht="12.75" customHeight="1" x14ac:dyDescent="0.2">
      <c r="B430" s="142"/>
      <c r="C430" s="89"/>
      <c r="D430" s="89" t="s">
        <v>73</v>
      </c>
      <c r="E430" s="371">
        <v>-1287165.1599999999</v>
      </c>
      <c r="F430" s="90">
        <v>-66624.22</v>
      </c>
      <c r="G430" s="90">
        <v>-37615.300000000003</v>
      </c>
      <c r="H430" s="90">
        <v>-19739.189999999999</v>
      </c>
      <c r="I430" s="90">
        <v>-287087.38</v>
      </c>
      <c r="J430" s="90">
        <v>-10837.21</v>
      </c>
      <c r="K430" s="90">
        <v>0</v>
      </c>
      <c r="L430" s="90">
        <v>-91013.79</v>
      </c>
      <c r="M430" s="90">
        <v>-91573.95</v>
      </c>
      <c r="N430" s="90">
        <v>-468346.31</v>
      </c>
      <c r="O430" s="90">
        <v>-196727.98</v>
      </c>
      <c r="P430" s="90">
        <v>-17599.830000000002</v>
      </c>
      <c r="Q430" s="90">
        <v>0</v>
      </c>
      <c r="R430">
        <v>0</v>
      </c>
    </row>
    <row r="431" spans="1:19" ht="12.75" customHeight="1" x14ac:dyDescent="0.2">
      <c r="B431" s="142"/>
      <c r="C431" s="89" t="s">
        <v>156</v>
      </c>
      <c r="D431" s="89" t="s">
        <v>70</v>
      </c>
      <c r="E431" s="371">
        <v>-1287165.1599999999</v>
      </c>
      <c r="F431" s="90">
        <v>-66624.22</v>
      </c>
      <c r="G431" s="90">
        <v>-37615.300000000003</v>
      </c>
      <c r="H431" s="90">
        <v>-19739.189999999999</v>
      </c>
      <c r="I431" s="90">
        <v>-287087.38</v>
      </c>
      <c r="J431" s="90">
        <v>-10837.21</v>
      </c>
      <c r="K431" s="90">
        <v>0</v>
      </c>
      <c r="L431" s="90">
        <v>-91013.79</v>
      </c>
      <c r="M431" s="90">
        <v>-91573.95</v>
      </c>
      <c r="N431" s="90">
        <v>-468346.31</v>
      </c>
      <c r="O431" s="90">
        <v>-196727.98</v>
      </c>
      <c r="P431" s="90">
        <v>-17599.830000000002</v>
      </c>
      <c r="Q431" s="90">
        <v>0</v>
      </c>
      <c r="R431">
        <v>0</v>
      </c>
    </row>
    <row r="432" spans="1:19" s="739" customFormat="1" ht="12.75" customHeight="1" x14ac:dyDescent="0.2">
      <c r="B432" s="739" t="s">
        <v>326</v>
      </c>
      <c r="C432" s="739" t="s">
        <v>70</v>
      </c>
      <c r="E432" s="231">
        <v>-1287165.1599999999</v>
      </c>
      <c r="F432" s="740">
        <v>-66624.22</v>
      </c>
      <c r="G432" s="232">
        <v>-37615.300000000003</v>
      </c>
      <c r="H432" s="232">
        <v>-19739.189999999999</v>
      </c>
      <c r="I432" s="232">
        <v>-287087.38</v>
      </c>
      <c r="J432" s="232">
        <v>-10837.21</v>
      </c>
      <c r="K432" s="232">
        <v>0</v>
      </c>
      <c r="L432" s="232">
        <v>-91013.79</v>
      </c>
      <c r="M432" s="232">
        <v>-91573.95</v>
      </c>
      <c r="N432" s="232">
        <v>-468346.31</v>
      </c>
      <c r="O432" s="232">
        <v>-196727.98</v>
      </c>
      <c r="P432" s="232">
        <v>-17599.830000000002</v>
      </c>
      <c r="Q432" s="232">
        <v>0</v>
      </c>
      <c r="R432" s="232">
        <v>0</v>
      </c>
      <c r="S432" s="232"/>
    </row>
    <row r="433" spans="1:18" ht="12.75" customHeight="1" x14ac:dyDescent="0.2">
      <c r="B433" s="142"/>
      <c r="C433" s="89"/>
      <c r="D433" s="89" t="s">
        <v>73</v>
      </c>
      <c r="E433" s="371">
        <v>-210692.92</v>
      </c>
      <c r="F433" s="90">
        <v>-10566.31</v>
      </c>
      <c r="G433" s="90">
        <v>-5965.83</v>
      </c>
      <c r="H433" s="90">
        <v>-3131.3</v>
      </c>
      <c r="I433" s="90">
        <v>-45955.45</v>
      </c>
      <c r="J433" s="90">
        <v>-1566.98</v>
      </c>
      <c r="K433" s="90">
        <v>0</v>
      </c>
      <c r="L433" s="90">
        <v>-13745.76</v>
      </c>
      <c r="M433" s="90">
        <v>-15917.58</v>
      </c>
      <c r="N433" s="90">
        <v>-79341.42</v>
      </c>
      <c r="O433" s="90">
        <v>-31945.58</v>
      </c>
      <c r="P433" s="90">
        <v>-2556.71</v>
      </c>
      <c r="Q433" s="90">
        <v>0</v>
      </c>
      <c r="R433">
        <v>0</v>
      </c>
    </row>
    <row r="434" spans="1:18" ht="12.75" customHeight="1" x14ac:dyDescent="0.2">
      <c r="B434" s="142"/>
      <c r="C434" s="89" t="s">
        <v>82</v>
      </c>
      <c r="D434" s="89" t="s">
        <v>70</v>
      </c>
      <c r="E434" s="371">
        <v>-210692.92</v>
      </c>
      <c r="F434" s="90">
        <v>-10566.31</v>
      </c>
      <c r="G434" s="90">
        <v>-5965.83</v>
      </c>
      <c r="H434" s="90">
        <v>-3131.3</v>
      </c>
      <c r="I434" s="90">
        <v>-45955.45</v>
      </c>
      <c r="J434" s="90">
        <v>-1566.98</v>
      </c>
      <c r="K434" s="90">
        <v>0</v>
      </c>
      <c r="L434" s="90">
        <v>-13745.76</v>
      </c>
      <c r="M434" s="90">
        <v>-15917.58</v>
      </c>
      <c r="N434" s="90">
        <v>-79341.42</v>
      </c>
      <c r="O434" s="90">
        <v>-31945.58</v>
      </c>
      <c r="P434" s="90">
        <v>-2556.71</v>
      </c>
      <c r="Q434" s="90">
        <v>0</v>
      </c>
      <c r="R434">
        <v>0</v>
      </c>
    </row>
    <row r="435" spans="1:18" ht="12.75" customHeight="1" x14ac:dyDescent="0.2">
      <c r="B435" s="142"/>
      <c r="C435" s="89"/>
      <c r="D435" s="89" t="s">
        <v>73</v>
      </c>
      <c r="E435" s="371">
        <v>-108192.45</v>
      </c>
      <c r="F435" s="90">
        <v>-4309.76</v>
      </c>
      <c r="G435" s="90">
        <v>-2433.3200000000002</v>
      </c>
      <c r="H435" s="90">
        <v>-1277.18</v>
      </c>
      <c r="I435" s="90">
        <v>-18004.79</v>
      </c>
      <c r="J435" s="90">
        <v>-1041.42</v>
      </c>
      <c r="K435" s="90">
        <v>0</v>
      </c>
      <c r="L435" s="90">
        <v>-9135.26</v>
      </c>
      <c r="M435" s="90">
        <v>-8882.84</v>
      </c>
      <c r="N435" s="90">
        <v>-48363.54</v>
      </c>
      <c r="O435" s="90">
        <v>-13045.17</v>
      </c>
      <c r="P435" s="90">
        <v>-1699.17</v>
      </c>
      <c r="Q435" s="90">
        <v>0</v>
      </c>
      <c r="R435">
        <v>0</v>
      </c>
    </row>
    <row r="436" spans="1:18" ht="12.75" customHeight="1" x14ac:dyDescent="0.2">
      <c r="B436" s="142"/>
      <c r="C436" s="89" t="s">
        <v>86</v>
      </c>
      <c r="D436" s="89" t="s">
        <v>70</v>
      </c>
      <c r="E436" s="371">
        <v>-108192.45</v>
      </c>
      <c r="F436" s="90">
        <v>-4309.76</v>
      </c>
      <c r="G436" s="90">
        <v>-2433.3200000000002</v>
      </c>
      <c r="H436" s="90">
        <v>-1277.18</v>
      </c>
      <c r="I436" s="90">
        <v>-18004.79</v>
      </c>
      <c r="J436" s="90">
        <v>-1041.42</v>
      </c>
      <c r="K436" s="90">
        <v>0</v>
      </c>
      <c r="L436" s="90">
        <v>-9135.26</v>
      </c>
      <c r="M436" s="90">
        <v>-8882.84</v>
      </c>
      <c r="N436" s="90">
        <v>-48363.54</v>
      </c>
      <c r="O436" s="90">
        <v>-13045.17</v>
      </c>
      <c r="P436" s="90">
        <v>-1699.17</v>
      </c>
      <c r="Q436" s="90">
        <v>0</v>
      </c>
      <c r="R436">
        <v>0</v>
      </c>
    </row>
    <row r="437" spans="1:18" ht="12.75" customHeight="1" x14ac:dyDescent="0.2">
      <c r="B437" s="142"/>
      <c r="C437" s="89"/>
      <c r="D437" s="89" t="s">
        <v>73</v>
      </c>
      <c r="E437" s="371">
        <v>2725143.28</v>
      </c>
      <c r="F437" s="90">
        <v>679374.88</v>
      </c>
      <c r="G437" s="90">
        <v>126898.74</v>
      </c>
      <c r="H437" s="90">
        <v>10627.02</v>
      </c>
      <c r="I437" s="90">
        <v>-60093.33</v>
      </c>
      <c r="J437" s="90">
        <v>-2491.7399999999998</v>
      </c>
      <c r="K437" s="90">
        <v>0</v>
      </c>
      <c r="L437" s="90">
        <v>-16227.77</v>
      </c>
      <c r="M437" s="90">
        <v>-16672.310000000001</v>
      </c>
      <c r="N437" s="90">
        <v>-94111.77</v>
      </c>
      <c r="O437" s="90">
        <v>2101905.15</v>
      </c>
      <c r="P437" s="90">
        <v>-4065.59</v>
      </c>
      <c r="Q437" s="90">
        <v>0</v>
      </c>
      <c r="R437">
        <v>0</v>
      </c>
    </row>
    <row r="438" spans="1:18" ht="12.75" customHeight="1" x14ac:dyDescent="0.2">
      <c r="B438" s="142"/>
      <c r="C438" s="89" t="s">
        <v>87</v>
      </c>
      <c r="D438" s="89" t="s">
        <v>70</v>
      </c>
      <c r="E438" s="371">
        <v>2725143.28</v>
      </c>
      <c r="F438" s="90">
        <v>679374.88</v>
      </c>
      <c r="G438" s="90">
        <v>126898.74</v>
      </c>
      <c r="H438" s="90">
        <v>10627.02</v>
      </c>
      <c r="I438" s="90">
        <v>-60093.33</v>
      </c>
      <c r="J438" s="90">
        <v>-2491.7399999999998</v>
      </c>
      <c r="K438" s="90">
        <v>0</v>
      </c>
      <c r="L438" s="90">
        <v>-16227.77</v>
      </c>
      <c r="M438" s="90">
        <v>-16672.310000000001</v>
      </c>
      <c r="N438" s="90">
        <v>-94111.77</v>
      </c>
      <c r="O438" s="90">
        <v>2101905.15</v>
      </c>
      <c r="P438" s="90">
        <v>-4065.59</v>
      </c>
      <c r="Q438" s="90">
        <v>0</v>
      </c>
      <c r="R438">
        <v>0</v>
      </c>
    </row>
    <row r="439" spans="1:18" s="94" customFormat="1" ht="12.75" customHeight="1" x14ac:dyDescent="0.2">
      <c r="B439" s="101" t="s">
        <v>119</v>
      </c>
      <c r="C439" s="101" t="s">
        <v>70</v>
      </c>
      <c r="E439" s="93">
        <v>2406257.91</v>
      </c>
      <c r="F439" s="93">
        <v>664498.81000000006</v>
      </c>
      <c r="G439" s="93">
        <v>118499.59</v>
      </c>
      <c r="H439" s="93">
        <v>6218.54</v>
      </c>
      <c r="I439" s="93">
        <v>-124053.57</v>
      </c>
      <c r="J439" s="93">
        <v>-5100.1400000000003</v>
      </c>
      <c r="K439" s="93">
        <v>0</v>
      </c>
      <c r="L439" s="93">
        <v>-39108.79</v>
      </c>
      <c r="M439" s="93">
        <v>-41472.730000000003</v>
      </c>
      <c r="N439" s="93">
        <v>-221816.73</v>
      </c>
      <c r="O439" s="93">
        <v>2056914.4</v>
      </c>
      <c r="P439" s="93">
        <v>-8321.4699999999993</v>
      </c>
      <c r="Q439" s="93">
        <v>0</v>
      </c>
      <c r="R439" s="94">
        <v>0</v>
      </c>
    </row>
    <row r="440" spans="1:18" s="226" customFormat="1" ht="12.75" customHeight="1" x14ac:dyDescent="0.2">
      <c r="A440" s="98" t="s">
        <v>79</v>
      </c>
      <c r="B440" s="98" t="s">
        <v>70</v>
      </c>
      <c r="E440" s="100">
        <v>4810642.25</v>
      </c>
      <c r="F440" s="100">
        <v>1128796.1599999999</v>
      </c>
      <c r="G440" s="100">
        <v>353822.71999999997</v>
      </c>
      <c r="H440" s="100">
        <v>104043.62</v>
      </c>
      <c r="I440" s="100">
        <v>-41842.449999999997</v>
      </c>
      <c r="J440" s="100">
        <v>-3597.87</v>
      </c>
      <c r="K440" s="100">
        <v>0</v>
      </c>
      <c r="L440" s="100">
        <v>-15162.36</v>
      </c>
      <c r="M440" s="100">
        <v>-65643.289999999994</v>
      </c>
      <c r="N440" s="100">
        <v>-103537.7</v>
      </c>
      <c r="O440" s="100">
        <v>3459090.04</v>
      </c>
      <c r="P440" s="100">
        <v>-5326.62</v>
      </c>
      <c r="Q440" s="100">
        <v>0</v>
      </c>
      <c r="R440" s="226">
        <v>0</v>
      </c>
    </row>
    <row r="441" spans="1:18" ht="12.75" customHeight="1" x14ac:dyDescent="0.2">
      <c r="A441" s="89" t="s">
        <v>70</v>
      </c>
      <c r="E441" s="90">
        <v>43973508.960000001</v>
      </c>
      <c r="F441" s="90">
        <v>4175591.12</v>
      </c>
      <c r="G441" s="90">
        <v>2091369.31</v>
      </c>
      <c r="H441" s="90">
        <v>912573.32</v>
      </c>
      <c r="I441" s="90">
        <v>7140563.79</v>
      </c>
      <c r="J441" s="90">
        <v>245577.68</v>
      </c>
      <c r="K441" s="90">
        <v>990006.55</v>
      </c>
      <c r="L441" s="90">
        <v>2250240.58</v>
      </c>
      <c r="M441" s="90">
        <v>2435497.0099999998</v>
      </c>
      <c r="N441" s="90">
        <v>10666064.83</v>
      </c>
      <c r="O441" s="90">
        <v>12719306.189999999</v>
      </c>
      <c r="P441" s="90">
        <v>346728.95</v>
      </c>
      <c r="Q441" s="90">
        <v>-10.37</v>
      </c>
      <c r="R441" s="90">
        <v>0</v>
      </c>
    </row>
    <row r="442" spans="1:18" ht="12.75" hidden="1" customHeight="1" x14ac:dyDescent="0.2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hidden="1" customHeight="1" x14ac:dyDescent="0.2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hidden="1" customHeight="1" x14ac:dyDescent="0.2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hidden="1" customHeight="1" x14ac:dyDescent="0.2">
      <c r="A446" s="89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18" ht="12.75" hidden="1" customHeight="1" x14ac:dyDescent="0.2">
      <c r="A447" s="89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hidden="1" customHeight="1" x14ac:dyDescent="0.2">
      <c r="A448" s="89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hidden="1" customHeight="1" x14ac:dyDescent="0.2">
      <c r="A449" s="89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</row>
    <row r="450" spans="1:18" ht="12.75" hidden="1" customHeight="1" x14ac:dyDescent="0.2">
      <c r="A450" s="89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hidden="1" customHeight="1" x14ac:dyDescent="0.2">
      <c r="A451" s="89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hidden="1" customHeight="1" x14ac:dyDescent="0.2">
      <c r="A452" s="89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</row>
    <row r="453" spans="1:18" ht="12.75" hidden="1" customHeight="1" x14ac:dyDescent="0.2">
      <c r="A453" s="89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hidden="1" customHeight="1" x14ac:dyDescent="0.2">
      <c r="A454" s="89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hidden="1" customHeight="1" x14ac:dyDescent="0.2">
      <c r="A455" s="89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</row>
    <row r="456" spans="1:18" ht="12.75" hidden="1" customHeight="1" x14ac:dyDescent="0.2">
      <c r="A456" s="89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hidden="1" customHeight="1" x14ac:dyDescent="0.2">
      <c r="A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hidden="1" customHeight="1" x14ac:dyDescent="0.2">
      <c r="A458" s="89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</row>
    <row r="459" spans="1:18" ht="12.75" hidden="1" customHeight="1" x14ac:dyDescent="0.2">
      <c r="A459" s="89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hidden="1" customHeight="1" x14ac:dyDescent="0.2">
      <c r="A460" s="89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hidden="1" customHeight="1" x14ac:dyDescent="0.2">
      <c r="A461" s="89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</row>
    <row r="462" spans="1:18" ht="12.75" hidden="1" customHeight="1" x14ac:dyDescent="0.2">
      <c r="A462" s="89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ht="12.75" hidden="1" customHeight="1" x14ac:dyDescent="0.2">
      <c r="A463" s="89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</row>
    <row r="464" spans="1:18" ht="12.75" hidden="1" customHeight="1" x14ac:dyDescent="0.2">
      <c r="A464" s="89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</row>
    <row r="465" spans="1:18" ht="12.75" hidden="1" customHeight="1" x14ac:dyDescent="0.2">
      <c r="A465" s="89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</row>
    <row r="466" spans="1:18" ht="12.75" customHeight="1" x14ac:dyDescent="0.2">
      <c r="A466" s="89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</row>
    <row r="467" spans="1:18" ht="12.75" customHeight="1" x14ac:dyDescent="0.2">
      <c r="A467" s="89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</row>
    <row r="468" spans="1:18" ht="12.75" customHeight="1" x14ac:dyDescent="0.2">
      <c r="B468" s="778" t="s">
        <v>2</v>
      </c>
      <c r="C468" s="775" t="s">
        <v>132</v>
      </c>
      <c r="D468" s="98" t="s">
        <v>70</v>
      </c>
      <c r="E468" s="100">
        <f>E440+E426-K426</f>
        <v>42983502.410000004</v>
      </c>
      <c r="F468" s="100">
        <f>F426</f>
        <v>3046794.96</v>
      </c>
      <c r="G468" s="100">
        <f t="shared" ref="G468:R468" si="14">G426</f>
        <v>1737546.59</v>
      </c>
      <c r="H468" s="100">
        <f t="shared" si="14"/>
        <v>808529.7</v>
      </c>
      <c r="I468" s="100">
        <f t="shared" si="14"/>
        <v>7182406.2400000002</v>
      </c>
      <c r="J468" s="100">
        <f t="shared" si="14"/>
        <v>249175.55</v>
      </c>
      <c r="K468" s="100">
        <f t="shared" si="14"/>
        <v>990006.55</v>
      </c>
      <c r="L468" s="100">
        <f t="shared" si="14"/>
        <v>2265402.94</v>
      </c>
      <c r="M468" s="100">
        <f t="shared" si="14"/>
        <v>2501140.2999999998</v>
      </c>
      <c r="N468" s="100">
        <f t="shared" si="14"/>
        <v>10769602.529999999</v>
      </c>
      <c r="O468" s="100">
        <f t="shared" si="14"/>
        <v>9260216.1500000004</v>
      </c>
      <c r="P468" s="100">
        <f>P426</f>
        <v>352055.57</v>
      </c>
      <c r="Q468" s="100">
        <f t="shared" si="14"/>
        <v>-10.37</v>
      </c>
      <c r="R468" s="100">
        <f t="shared" si="14"/>
        <v>0</v>
      </c>
    </row>
    <row r="469" spans="1:18" ht="12.75" customHeight="1" x14ac:dyDescent="0.2">
      <c r="B469" s="778"/>
      <c r="C469" s="775"/>
      <c r="D469" s="98" t="s">
        <v>73</v>
      </c>
      <c r="E469" s="100">
        <f>E440</f>
        <v>4810642.25</v>
      </c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</row>
    <row r="470" spans="1:18" ht="12.75" customHeight="1" x14ac:dyDescent="0.2">
      <c r="A470" s="89"/>
      <c r="B470" s="97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</row>
    <row r="471" spans="1:18" ht="12.75" customHeight="1" x14ac:dyDescent="0.2">
      <c r="B471" s="778" t="s">
        <v>160</v>
      </c>
      <c r="C471" s="775" t="s">
        <v>132</v>
      </c>
      <c r="D471" s="223" t="s">
        <v>70</v>
      </c>
      <c r="E471" s="225">
        <v>0</v>
      </c>
      <c r="F471" s="225">
        <v>0</v>
      </c>
      <c r="G471" s="225">
        <v>0</v>
      </c>
      <c r="H471" s="225">
        <v>0</v>
      </c>
      <c r="I471" s="225">
        <v>0</v>
      </c>
      <c r="J471" s="225">
        <v>0</v>
      </c>
      <c r="K471" s="225">
        <v>0</v>
      </c>
      <c r="L471" s="225">
        <v>0</v>
      </c>
      <c r="M471" s="225">
        <v>0</v>
      </c>
      <c r="N471" s="225">
        <v>0</v>
      </c>
      <c r="O471" s="225">
        <v>0</v>
      </c>
      <c r="P471" s="225">
        <v>0</v>
      </c>
      <c r="Q471" s="225">
        <v>0</v>
      </c>
      <c r="R471" s="225">
        <v>0</v>
      </c>
    </row>
    <row r="472" spans="1:18" ht="12.75" customHeight="1" x14ac:dyDescent="0.2">
      <c r="B472" s="778"/>
      <c r="C472" s="775"/>
      <c r="D472" s="223" t="s">
        <v>73</v>
      </c>
      <c r="E472" s="225">
        <v>0</v>
      </c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</row>
    <row r="473" spans="1:18" ht="12.75" customHeight="1" x14ac:dyDescent="0.2">
      <c r="A473" s="89"/>
      <c r="B473" s="97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</row>
    <row r="474" spans="1:18" ht="12.75" customHeight="1" x14ac:dyDescent="0.2">
      <c r="B474" s="778" t="s">
        <v>155</v>
      </c>
      <c r="C474" s="775" t="s">
        <v>132</v>
      </c>
      <c r="D474" s="221" t="s">
        <v>70</v>
      </c>
      <c r="E474" s="222">
        <f>E429+E411+E407-K407-K411</f>
        <v>23423861.739999998</v>
      </c>
      <c r="F474" s="222">
        <f>F411+F407</f>
        <v>1434797.19</v>
      </c>
      <c r="G474" s="222">
        <f t="shared" ref="G474:R474" si="15">G411+G407</f>
        <v>822131.91</v>
      </c>
      <c r="H474" s="222">
        <f t="shared" si="15"/>
        <v>382101.97</v>
      </c>
      <c r="I474" s="222">
        <f t="shared" si="15"/>
        <v>4012967.88</v>
      </c>
      <c r="J474" s="222">
        <f t="shared" si="15"/>
        <v>149799.45000000001</v>
      </c>
      <c r="K474" s="222">
        <f t="shared" si="15"/>
        <v>0</v>
      </c>
      <c r="L474" s="222">
        <f t="shared" si="15"/>
        <v>1255063.1599999999</v>
      </c>
      <c r="M474" s="222">
        <f t="shared" si="15"/>
        <v>1364790.51</v>
      </c>
      <c r="N474" s="222">
        <f t="shared" si="15"/>
        <v>5825494.6100000003</v>
      </c>
      <c r="O474" s="222">
        <f t="shared" si="15"/>
        <v>4273227.9400000004</v>
      </c>
      <c r="P474" s="222">
        <f t="shared" si="15"/>
        <v>211847.59</v>
      </c>
      <c r="Q474" s="222">
        <f t="shared" si="15"/>
        <v>90.03</v>
      </c>
      <c r="R474" s="222">
        <f t="shared" si="15"/>
        <v>0</v>
      </c>
    </row>
    <row r="475" spans="1:18" ht="12.75" customHeight="1" x14ac:dyDescent="0.2">
      <c r="B475" s="778"/>
      <c r="C475" s="775"/>
      <c r="D475" s="221" t="s">
        <v>73</v>
      </c>
      <c r="E475" s="222">
        <f>E429</f>
        <v>3691549.5</v>
      </c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</row>
    <row r="476" spans="1:18" ht="12.75" customHeight="1" x14ac:dyDescent="0.2">
      <c r="A476" s="89"/>
      <c r="B476" s="97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</row>
    <row r="477" spans="1:18" ht="12.75" customHeight="1" x14ac:dyDescent="0.2">
      <c r="B477" s="776" t="s">
        <v>326</v>
      </c>
      <c r="C477" s="775" t="s">
        <v>132</v>
      </c>
      <c r="D477" s="373" t="s">
        <v>70</v>
      </c>
      <c r="E477" s="374">
        <f>E432+E415-K415</f>
        <v>6242402.4799999995</v>
      </c>
      <c r="F477" s="374">
        <f>F415</f>
        <v>452527.33</v>
      </c>
      <c r="G477" s="374">
        <f t="shared" ref="G477:R477" si="16">G415</f>
        <v>258109.06</v>
      </c>
      <c r="H477" s="374">
        <f t="shared" si="16"/>
        <v>110591.63</v>
      </c>
      <c r="I477" s="374">
        <f t="shared" si="16"/>
        <v>1818962.03</v>
      </c>
      <c r="J477" s="374">
        <f t="shared" si="16"/>
        <v>58814.97</v>
      </c>
      <c r="K477" s="374">
        <f t="shared" si="16"/>
        <v>0</v>
      </c>
      <c r="L477" s="374">
        <f t="shared" si="16"/>
        <v>533561.96</v>
      </c>
      <c r="M477" s="374">
        <f t="shared" si="16"/>
        <v>533532.74</v>
      </c>
      <c r="N477" s="374">
        <f t="shared" si="16"/>
        <v>2380320.94</v>
      </c>
      <c r="O477" s="374">
        <f t="shared" si="16"/>
        <v>1293968.43</v>
      </c>
      <c r="P477" s="374">
        <f t="shared" si="16"/>
        <v>89200.76</v>
      </c>
      <c r="Q477" s="374">
        <f t="shared" si="16"/>
        <v>-22.21</v>
      </c>
      <c r="R477" s="374">
        <f t="shared" si="16"/>
        <v>0</v>
      </c>
    </row>
    <row r="478" spans="1:18" ht="12.75" customHeight="1" x14ac:dyDescent="0.2">
      <c r="B478" s="776"/>
      <c r="C478" s="775"/>
      <c r="D478" s="373" t="s">
        <v>73</v>
      </c>
      <c r="E478" s="374">
        <f>E432</f>
        <v>-1287165.1599999999</v>
      </c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</row>
    <row r="479" spans="1:18" ht="12.75" customHeight="1" x14ac:dyDescent="0.2">
      <c r="B479" s="719"/>
      <c r="C479" s="220"/>
      <c r="D479" s="89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</row>
    <row r="480" spans="1:18" ht="12.75" customHeight="1" x14ac:dyDescent="0.2">
      <c r="B480" s="778" t="s">
        <v>119</v>
      </c>
      <c r="C480" s="775" t="s">
        <v>132</v>
      </c>
      <c r="D480" s="101" t="s">
        <v>70</v>
      </c>
      <c r="E480" s="93">
        <f>E425+E439-K425</f>
        <v>13317238.189999999</v>
      </c>
      <c r="F480" s="93">
        <f>F425</f>
        <v>1159470.44</v>
      </c>
      <c r="G480" s="93">
        <f t="shared" ref="G480:R480" si="17">G425</f>
        <v>657305.62</v>
      </c>
      <c r="H480" s="93">
        <f t="shared" si="17"/>
        <v>315836.09999999998</v>
      </c>
      <c r="I480" s="93">
        <f t="shared" si="17"/>
        <v>1350476.33</v>
      </c>
      <c r="J480" s="93">
        <f t="shared" si="17"/>
        <v>40561.129999999997</v>
      </c>
      <c r="K480" s="93">
        <f t="shared" si="17"/>
        <v>990006.55</v>
      </c>
      <c r="L480" s="93">
        <f t="shared" si="17"/>
        <v>476777.82</v>
      </c>
      <c r="M480" s="93">
        <f t="shared" si="17"/>
        <v>602817.05000000005</v>
      </c>
      <c r="N480" s="93">
        <f t="shared" si="17"/>
        <v>2563786.98</v>
      </c>
      <c r="O480" s="93">
        <f t="shared" si="17"/>
        <v>3693019.78</v>
      </c>
      <c r="P480" s="93">
        <f t="shared" si="17"/>
        <v>51007.22</v>
      </c>
      <c r="Q480" s="93">
        <f t="shared" si="17"/>
        <v>-78.19</v>
      </c>
      <c r="R480" s="93">
        <f t="shared" si="17"/>
        <v>0</v>
      </c>
    </row>
    <row r="481" spans="1:18" ht="12.75" customHeight="1" x14ac:dyDescent="0.2">
      <c r="B481" s="778"/>
      <c r="C481" s="775"/>
      <c r="D481" s="101" t="s">
        <v>73</v>
      </c>
      <c r="E481" s="93">
        <f>E439</f>
        <v>2406257.91</v>
      </c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</row>
    <row r="482" spans="1:18" ht="12.75" customHeight="1" x14ac:dyDescent="0.2">
      <c r="A482" s="89"/>
      <c r="B482" s="97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</row>
    <row r="483" spans="1:18" ht="12.75" customHeight="1" x14ac:dyDescent="0.2">
      <c r="B483" s="777" t="s">
        <v>161</v>
      </c>
      <c r="C483" s="775" t="s">
        <v>132</v>
      </c>
      <c r="D483" s="231" t="s">
        <v>70</v>
      </c>
      <c r="E483" s="232">
        <v>0</v>
      </c>
      <c r="F483" s="232">
        <v>0</v>
      </c>
      <c r="G483" s="232">
        <v>0</v>
      </c>
      <c r="H483" s="232">
        <v>0</v>
      </c>
      <c r="I483" s="232">
        <v>0</v>
      </c>
      <c r="J483" s="232">
        <v>0</v>
      </c>
      <c r="K483" s="232">
        <v>0</v>
      </c>
      <c r="L483" s="232">
        <v>0</v>
      </c>
      <c r="M483" s="232">
        <v>0</v>
      </c>
      <c r="N483" s="232">
        <v>0</v>
      </c>
      <c r="O483" s="232">
        <v>0</v>
      </c>
      <c r="P483" s="232">
        <v>0</v>
      </c>
      <c r="Q483" s="232">
        <v>0</v>
      </c>
      <c r="R483" s="232">
        <v>0</v>
      </c>
    </row>
    <row r="484" spans="1:18" ht="12.75" customHeight="1" x14ac:dyDescent="0.2">
      <c r="B484" s="777"/>
      <c r="C484" s="775"/>
      <c r="D484" s="231" t="s">
        <v>73</v>
      </c>
      <c r="E484" s="232">
        <v>0</v>
      </c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s="238" customFormat="1" x14ac:dyDescent="0.2"/>
  </sheetData>
  <mergeCells count="60">
    <mergeCell ref="B59:B60"/>
    <mergeCell ref="C59:C60"/>
    <mergeCell ref="B170:B171"/>
    <mergeCell ref="C170:C171"/>
    <mergeCell ref="B62:B63"/>
    <mergeCell ref="C62:C63"/>
    <mergeCell ref="B155:B156"/>
    <mergeCell ref="C155:C156"/>
    <mergeCell ref="B158:B159"/>
    <mergeCell ref="C158:C159"/>
    <mergeCell ref="B161:B162"/>
    <mergeCell ref="C161:C162"/>
    <mergeCell ref="B167:B168"/>
    <mergeCell ref="C167:C168"/>
    <mergeCell ref="B164:B165"/>
    <mergeCell ref="C164:C165"/>
    <mergeCell ref="B47:B48"/>
    <mergeCell ref="C47:C48"/>
    <mergeCell ref="B50:B51"/>
    <mergeCell ref="C50:C51"/>
    <mergeCell ref="B56:B57"/>
    <mergeCell ref="C56:C57"/>
    <mergeCell ref="B53:B54"/>
    <mergeCell ref="C53:C54"/>
    <mergeCell ref="B273:B274"/>
    <mergeCell ref="C273:C274"/>
    <mergeCell ref="B276:B277"/>
    <mergeCell ref="C276:C277"/>
    <mergeCell ref="B279:B280"/>
    <mergeCell ref="C279:C280"/>
    <mergeCell ref="B285:B286"/>
    <mergeCell ref="C285:C286"/>
    <mergeCell ref="B282:B283"/>
    <mergeCell ref="C282:C283"/>
    <mergeCell ref="B288:B289"/>
    <mergeCell ref="C288:C289"/>
    <mergeCell ref="B384:B385"/>
    <mergeCell ref="C384:C385"/>
    <mergeCell ref="B387:B388"/>
    <mergeCell ref="C387:C388"/>
    <mergeCell ref="B390:B391"/>
    <mergeCell ref="C390:C391"/>
    <mergeCell ref="B396:B397"/>
    <mergeCell ref="C396:C397"/>
    <mergeCell ref="B399:B400"/>
    <mergeCell ref="C399:C400"/>
    <mergeCell ref="B393:B394"/>
    <mergeCell ref="C393:C394"/>
    <mergeCell ref="B468:B469"/>
    <mergeCell ref="C468:C469"/>
    <mergeCell ref="B471:B472"/>
    <mergeCell ref="C471:C472"/>
    <mergeCell ref="B474:B475"/>
    <mergeCell ref="C474:C475"/>
    <mergeCell ref="B480:B481"/>
    <mergeCell ref="C480:C481"/>
    <mergeCell ref="B483:B484"/>
    <mergeCell ref="C483:C484"/>
    <mergeCell ref="B477:B478"/>
    <mergeCell ref="C477:C47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2578125" defaultRowHeight="12.75" x14ac:dyDescent="0.2"/>
  <cols>
    <col min="1" max="1" width="21.140625" style="616" customWidth="1"/>
    <col min="2" max="2" width="19.85546875" style="616" bestFit="1" customWidth="1"/>
    <col min="3" max="3" width="24.85546875" style="616" bestFit="1" customWidth="1"/>
    <col min="4" max="4" width="23.140625" style="616" bestFit="1" customWidth="1"/>
    <col min="5" max="5" width="15.85546875" style="616" bestFit="1" customWidth="1"/>
    <col min="6" max="6" width="15.42578125" style="616" bestFit="1" customWidth="1"/>
    <col min="7" max="7" width="15.42578125" style="616" customWidth="1"/>
    <col min="8" max="8" width="16.42578125" style="616" bestFit="1" customWidth="1"/>
    <col min="9" max="9" width="18" style="616" bestFit="1" customWidth="1"/>
    <col min="10" max="10" width="17" style="616" bestFit="1" customWidth="1"/>
    <col min="11" max="11" width="15.5703125" style="616" bestFit="1" customWidth="1"/>
    <col min="12" max="13" width="15.85546875" style="616" bestFit="1" customWidth="1"/>
    <col min="14" max="14" width="21.42578125" style="616" bestFit="1" customWidth="1"/>
    <col min="15" max="16" width="20.42578125" style="616" bestFit="1" customWidth="1"/>
    <col min="17" max="17" width="20" style="616" bestFit="1" customWidth="1"/>
    <col min="18" max="16384" width="11.42578125" style="616"/>
  </cols>
  <sheetData>
    <row r="1" spans="1:18" x14ac:dyDescent="0.2">
      <c r="B1" s="617" t="s">
        <v>74</v>
      </c>
    </row>
    <row r="2" spans="1:18" ht="12.75" customHeight="1" x14ac:dyDescent="0.2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">
      <c r="C3" s="616" t="s">
        <v>72</v>
      </c>
      <c r="D3" s="618">
        <v>-15794348.210000001</v>
      </c>
      <c r="E3" s="618">
        <v>-792653.97</v>
      </c>
      <c r="F3" s="618">
        <v>-443520.95</v>
      </c>
      <c r="G3" s="620">
        <v>-235150.45</v>
      </c>
      <c r="H3" s="618">
        <v>-3808729.66</v>
      </c>
      <c r="I3" s="618">
        <v>-139986.99</v>
      </c>
      <c r="J3" s="618">
        <v>-1241530.57</v>
      </c>
      <c r="K3" s="618">
        <v>-1202003.46</v>
      </c>
      <c r="L3" s="618">
        <v>-5520144.8200000003</v>
      </c>
      <c r="M3" s="618">
        <v>-2181286.4300000002</v>
      </c>
      <c r="N3" s="618">
        <v>-229451.13</v>
      </c>
      <c r="O3" s="618">
        <v>110.22</v>
      </c>
      <c r="P3" s="618">
        <v>0</v>
      </c>
      <c r="Q3" s="618">
        <v>0</v>
      </c>
      <c r="R3" s="616">
        <v>0</v>
      </c>
    </row>
    <row r="4" spans="1:18" ht="12.6" customHeight="1" x14ac:dyDescent="0.2">
      <c r="C4" s="616" t="s">
        <v>81</v>
      </c>
      <c r="D4" s="618">
        <v>-23575</v>
      </c>
      <c r="E4" s="618">
        <v>-1070.04</v>
      </c>
      <c r="F4" s="618">
        <v>-517.29999999999995</v>
      </c>
      <c r="G4" s="620">
        <v>-287.08999999999997</v>
      </c>
      <c r="H4" s="618">
        <v>-5416.02</v>
      </c>
      <c r="I4" s="618">
        <v>-247.11</v>
      </c>
      <c r="J4" s="618">
        <v>-2165.6999999999998</v>
      </c>
      <c r="K4" s="618">
        <v>-1867.54</v>
      </c>
      <c r="L4" s="618">
        <v>-8699.17</v>
      </c>
      <c r="M4" s="618">
        <v>-2902.92</v>
      </c>
      <c r="N4" s="618">
        <v>-402.93</v>
      </c>
      <c r="O4" s="618">
        <v>0.82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">
      <c r="B5" s="622" t="s">
        <v>78</v>
      </c>
      <c r="C5" s="622" t="s">
        <v>70</v>
      </c>
      <c r="D5" s="622">
        <v>-15817923.210000001</v>
      </c>
      <c r="E5" s="622">
        <v>-793724.01</v>
      </c>
      <c r="F5" s="622">
        <v>-444038.25</v>
      </c>
      <c r="G5" s="622">
        <v>-235437.54</v>
      </c>
      <c r="H5" s="622">
        <v>-3814145.68</v>
      </c>
      <c r="I5" s="622">
        <v>-140234.1</v>
      </c>
      <c r="J5" s="622">
        <v>-1243696.27</v>
      </c>
      <c r="K5" s="622">
        <v>-1203871</v>
      </c>
      <c r="L5" s="622">
        <v>-5528843.9900000002</v>
      </c>
      <c r="M5" s="622">
        <v>-2184189.35</v>
      </c>
      <c r="N5" s="622">
        <v>-229854.06</v>
      </c>
      <c r="O5" s="622">
        <v>111.04</v>
      </c>
      <c r="P5" s="621">
        <v>0</v>
      </c>
      <c r="Q5" s="622">
        <v>0</v>
      </c>
      <c r="R5" s="622">
        <v>0</v>
      </c>
    </row>
    <row r="6" spans="1:18" ht="12.75" customHeight="1" x14ac:dyDescent="0.2">
      <c r="C6" s="616" t="s">
        <v>73</v>
      </c>
      <c r="D6" s="618">
        <v>283961.51</v>
      </c>
      <c r="E6" s="618">
        <v>-50016.63</v>
      </c>
      <c r="F6" s="618">
        <v>-28439.29</v>
      </c>
      <c r="G6" s="620">
        <v>-8473.6</v>
      </c>
      <c r="H6" s="618">
        <v>123071.72</v>
      </c>
      <c r="I6" s="618">
        <v>6856.23</v>
      </c>
      <c r="J6" s="618">
        <v>57818.27</v>
      </c>
      <c r="K6" s="618">
        <v>55412.62</v>
      </c>
      <c r="L6" s="618">
        <v>258242.83</v>
      </c>
      <c r="M6" s="618">
        <v>-141530</v>
      </c>
      <c r="N6" s="618">
        <v>11019.36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">
      <c r="B7" s="624" t="s">
        <v>79</v>
      </c>
      <c r="C7" s="624" t="s">
        <v>70</v>
      </c>
      <c r="D7" s="624">
        <v>283961.51</v>
      </c>
      <c r="E7" s="624">
        <v>-50016.63</v>
      </c>
      <c r="F7" s="624">
        <v>-28439.29</v>
      </c>
      <c r="G7" s="624">
        <v>-8473.6</v>
      </c>
      <c r="H7" s="624">
        <v>123071.72</v>
      </c>
      <c r="I7" s="624">
        <v>6856.23</v>
      </c>
      <c r="J7" s="624">
        <v>57818.27</v>
      </c>
      <c r="K7" s="624">
        <v>55412.62</v>
      </c>
      <c r="L7" s="624">
        <v>258242.83</v>
      </c>
      <c r="M7" s="624">
        <v>-141530</v>
      </c>
      <c r="N7" s="624">
        <v>11019.36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">
      <c r="A8" s="625" t="s">
        <v>155</v>
      </c>
      <c r="B8" s="625" t="s">
        <v>70</v>
      </c>
      <c r="D8" s="626">
        <v>-15533961.699999999</v>
      </c>
      <c r="E8" s="626">
        <v>-843740.64</v>
      </c>
      <c r="F8" s="626">
        <v>-472477.54</v>
      </c>
      <c r="G8" s="627">
        <v>-243911.14</v>
      </c>
      <c r="H8" s="626">
        <v>-3691073.96</v>
      </c>
      <c r="I8" s="626">
        <v>-133377.87</v>
      </c>
      <c r="J8" s="626">
        <v>-1185878</v>
      </c>
      <c r="K8" s="626">
        <v>-1148458.3799999999</v>
      </c>
      <c r="L8" s="626">
        <v>-5270601.16</v>
      </c>
      <c r="M8" s="626">
        <v>-2325719.35</v>
      </c>
      <c r="N8" s="626">
        <v>-218834.7</v>
      </c>
      <c r="O8" s="626">
        <v>111.04</v>
      </c>
      <c r="P8" s="626">
        <v>0</v>
      </c>
      <c r="Q8" s="626">
        <v>0</v>
      </c>
      <c r="R8" s="625">
        <v>0</v>
      </c>
    </row>
    <row r="9" spans="1:18" ht="12.75" customHeight="1" x14ac:dyDescent="0.2">
      <c r="C9" s="616" t="s">
        <v>72</v>
      </c>
      <c r="D9" s="618">
        <v>-762167.27</v>
      </c>
      <c r="E9" s="618">
        <v>-48309.04</v>
      </c>
      <c r="F9" s="618">
        <v>-26455.25</v>
      </c>
      <c r="G9" s="620">
        <v>-13891.43</v>
      </c>
      <c r="H9" s="618">
        <v>-192277.47</v>
      </c>
      <c r="I9" s="618">
        <v>-4768.8500000000004</v>
      </c>
      <c r="J9" s="618">
        <v>-58119.3</v>
      </c>
      <c r="K9" s="618">
        <v>-51919.38</v>
      </c>
      <c r="L9" s="618">
        <v>-246558.5</v>
      </c>
      <c r="M9" s="618">
        <v>-112077.14</v>
      </c>
      <c r="N9" s="618">
        <v>-7780.61</v>
      </c>
      <c r="O9" s="618">
        <v>-10.3</v>
      </c>
      <c r="P9" s="618">
        <v>0</v>
      </c>
      <c r="Q9" s="618">
        <v>0</v>
      </c>
      <c r="R9" s="616">
        <v>0</v>
      </c>
    </row>
    <row r="10" spans="1:18" ht="12.6" customHeight="1" x14ac:dyDescent="0.2">
      <c r="C10" s="616" t="s">
        <v>81</v>
      </c>
      <c r="D10" s="618">
        <v>-177.06</v>
      </c>
      <c r="E10" s="618">
        <v>-11.22</v>
      </c>
      <c r="F10" s="618">
        <v>-6.34</v>
      </c>
      <c r="G10" s="620">
        <v>-3.35</v>
      </c>
      <c r="H10" s="618">
        <v>-43.6</v>
      </c>
      <c r="I10" s="618">
        <v>-1.05</v>
      </c>
      <c r="J10" s="618">
        <v>-9.24</v>
      </c>
      <c r="K10" s="618">
        <v>-12.57</v>
      </c>
      <c r="L10" s="618">
        <v>-57.05</v>
      </c>
      <c r="M10" s="618">
        <v>-30.93</v>
      </c>
      <c r="N10" s="618">
        <v>-1.71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">
      <c r="B11" s="622" t="s">
        <v>78</v>
      </c>
      <c r="C11" s="622" t="s">
        <v>70</v>
      </c>
      <c r="D11" s="622">
        <v>-762344.33</v>
      </c>
      <c r="E11" s="622">
        <v>-48320.26</v>
      </c>
      <c r="F11" s="622">
        <v>-26461.59</v>
      </c>
      <c r="G11" s="622">
        <v>-13894.78</v>
      </c>
      <c r="H11" s="622">
        <v>-192321.07</v>
      </c>
      <c r="I11" s="622">
        <v>-4769.8999999999996</v>
      </c>
      <c r="J11" s="622">
        <v>-58128.54</v>
      </c>
      <c r="K11" s="622">
        <v>-51931.95</v>
      </c>
      <c r="L11" s="622">
        <v>-246615.55</v>
      </c>
      <c r="M11" s="622">
        <v>-112108.07</v>
      </c>
      <c r="N11" s="622">
        <v>-7782.32</v>
      </c>
      <c r="O11" s="622">
        <v>-10.3</v>
      </c>
      <c r="P11" s="621">
        <v>0</v>
      </c>
      <c r="Q11" s="622">
        <v>0</v>
      </c>
      <c r="R11" s="622">
        <v>0</v>
      </c>
    </row>
    <row r="12" spans="1:18" ht="12.75" customHeight="1" x14ac:dyDescent="0.2">
      <c r="C12" s="616" t="s">
        <v>73</v>
      </c>
      <c r="D12" s="618">
        <v>-240407.06</v>
      </c>
      <c r="E12" s="618">
        <v>-14057.56</v>
      </c>
      <c r="F12" s="618">
        <v>-7937.89</v>
      </c>
      <c r="G12" s="620">
        <v>-4170.17</v>
      </c>
      <c r="H12" s="618">
        <v>-58249.85</v>
      </c>
      <c r="I12" s="618">
        <v>-1605.37</v>
      </c>
      <c r="J12" s="618">
        <v>-14082</v>
      </c>
      <c r="K12" s="618">
        <v>-17535.88</v>
      </c>
      <c r="L12" s="618">
        <v>-81716.350000000006</v>
      </c>
      <c r="M12" s="618">
        <v>-38432.730000000003</v>
      </c>
      <c r="N12" s="618">
        <v>-2619.2600000000002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">
      <c r="B13" s="624" t="s">
        <v>79</v>
      </c>
      <c r="C13" s="624" t="s">
        <v>70</v>
      </c>
      <c r="D13" s="624">
        <v>-240407.06</v>
      </c>
      <c r="E13" s="624">
        <v>-14057.56</v>
      </c>
      <c r="F13" s="624">
        <v>-7937.89</v>
      </c>
      <c r="G13" s="624">
        <v>-4170.17</v>
      </c>
      <c r="H13" s="624">
        <v>-58249.85</v>
      </c>
      <c r="I13" s="624">
        <v>-1605.37</v>
      </c>
      <c r="J13" s="624">
        <v>-14082</v>
      </c>
      <c r="K13" s="624">
        <v>-17535.88</v>
      </c>
      <c r="L13" s="624">
        <v>-81716.350000000006</v>
      </c>
      <c r="M13" s="624">
        <v>-38432.730000000003</v>
      </c>
      <c r="N13" s="624">
        <v>-2619.2600000000002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">
      <c r="A14" s="628" t="s">
        <v>119</v>
      </c>
      <c r="B14" s="628" t="s">
        <v>70</v>
      </c>
      <c r="D14" s="628">
        <v>-1002751.39</v>
      </c>
      <c r="E14" s="628">
        <v>-62377.82</v>
      </c>
      <c r="F14" s="628">
        <v>-34399.480000000003</v>
      </c>
      <c r="G14" s="628">
        <v>-18064.95</v>
      </c>
      <c r="H14" s="628">
        <v>-250570.92</v>
      </c>
      <c r="I14" s="628">
        <v>-6375.27</v>
      </c>
      <c r="J14" s="628">
        <v>-72210.539999999994</v>
      </c>
      <c r="K14" s="628">
        <v>-69467.83</v>
      </c>
      <c r="L14" s="628">
        <v>-328331.90000000002</v>
      </c>
      <c r="M14" s="628">
        <v>-150540.79999999999</v>
      </c>
      <c r="N14" s="628">
        <v>-10401.58</v>
      </c>
      <c r="O14" s="628">
        <v>-10.3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">
      <c r="A15" s="630" t="s">
        <v>70</v>
      </c>
      <c r="D15" s="630">
        <v>-16536713.09</v>
      </c>
      <c r="E15" s="630">
        <v>-906118.46</v>
      </c>
      <c r="F15" s="630">
        <v>-506877.02</v>
      </c>
      <c r="G15" s="630">
        <v>-261976.09</v>
      </c>
      <c r="H15" s="630">
        <v>-3941644.88</v>
      </c>
      <c r="I15" s="630">
        <v>-139753.14000000001</v>
      </c>
      <c r="J15" s="630">
        <v>-1258088.54</v>
      </c>
      <c r="K15" s="630">
        <v>-1217926.21</v>
      </c>
      <c r="L15" s="630">
        <v>-5598933.0599999996</v>
      </c>
      <c r="M15" s="630">
        <v>-2476260.15</v>
      </c>
      <c r="N15" s="630">
        <v>-229236.28</v>
      </c>
      <c r="O15" s="630">
        <v>100.74</v>
      </c>
      <c r="P15" s="631">
        <v>0</v>
      </c>
      <c r="Q15" s="630">
        <v>0</v>
      </c>
      <c r="R15" s="630">
        <v>0</v>
      </c>
    </row>
    <row r="16" spans="1:18" ht="12.75" customHeight="1" x14ac:dyDescent="0.2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">
      <c r="A73" s="781" t="s">
        <v>2</v>
      </c>
      <c r="B73" s="780" t="s">
        <v>132</v>
      </c>
      <c r="C73" s="766" t="s">
        <v>70</v>
      </c>
      <c r="D73" s="766">
        <f>D15-P15</f>
        <v>-16536713.09</v>
      </c>
      <c r="E73" s="766">
        <f>E5+E11</f>
        <v>-842044.27</v>
      </c>
      <c r="F73" s="766">
        <f t="shared" ref="F73:R73" si="0">F5+F11</f>
        <v>-470499.84000000003</v>
      </c>
      <c r="G73" s="766">
        <f t="shared" si="0"/>
        <v>-249332.32</v>
      </c>
      <c r="H73" s="766">
        <f t="shared" si="0"/>
        <v>-4006466.75</v>
      </c>
      <c r="I73" s="766">
        <f t="shared" si="0"/>
        <v>-145004</v>
      </c>
      <c r="J73" s="766">
        <f t="shared" si="0"/>
        <v>-1301824.81</v>
      </c>
      <c r="K73" s="766">
        <f t="shared" si="0"/>
        <v>-1255802.95</v>
      </c>
      <c r="L73" s="766">
        <f t="shared" si="0"/>
        <v>-5775459.54</v>
      </c>
      <c r="M73" s="766">
        <f t="shared" si="0"/>
        <v>-2296297.42</v>
      </c>
      <c r="N73" s="766">
        <f t="shared" si="0"/>
        <v>-237636.38</v>
      </c>
      <c r="O73" s="766">
        <f t="shared" si="0"/>
        <v>100.74000000000001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">
      <c r="A74" s="781"/>
      <c r="B74" s="780"/>
      <c r="C74" s="766" t="s">
        <v>73</v>
      </c>
      <c r="D74" s="766">
        <f>D7+D13</f>
        <v>43554.450000000012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">
      <c r="A79" s="781" t="s">
        <v>155</v>
      </c>
      <c r="B79" s="780" t="s">
        <v>132</v>
      </c>
      <c r="C79" s="633" t="s">
        <v>70</v>
      </c>
      <c r="D79" s="633">
        <f>D8-P8</f>
        <v>-15533961.699999999</v>
      </c>
      <c r="E79" s="633">
        <f>E5</f>
        <v>-793724.01</v>
      </c>
      <c r="F79" s="633">
        <f t="shared" ref="F79:R79" si="1">F5</f>
        <v>-444038.25</v>
      </c>
      <c r="G79" s="633">
        <f t="shared" si="1"/>
        <v>-235437.54</v>
      </c>
      <c r="H79" s="633">
        <f t="shared" si="1"/>
        <v>-3814145.68</v>
      </c>
      <c r="I79" s="633">
        <f t="shared" si="1"/>
        <v>-140234.1</v>
      </c>
      <c r="J79" s="633">
        <f t="shared" si="1"/>
        <v>-1243696.27</v>
      </c>
      <c r="K79" s="633">
        <f t="shared" si="1"/>
        <v>-1203871</v>
      </c>
      <c r="L79" s="633">
        <f t="shared" si="1"/>
        <v>-5528843.9900000002</v>
      </c>
      <c r="M79" s="633">
        <f t="shared" si="1"/>
        <v>-2184189.35</v>
      </c>
      <c r="N79" s="633">
        <f t="shared" si="1"/>
        <v>-229854.06</v>
      </c>
      <c r="O79" s="633">
        <f t="shared" si="1"/>
        <v>111.04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">
      <c r="A80" s="781"/>
      <c r="B80" s="780"/>
      <c r="C80" s="633" t="s">
        <v>73</v>
      </c>
      <c r="D80" s="633">
        <f>D7</f>
        <v>283961.51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">
      <c r="A82" s="779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">
      <c r="A83" s="779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">
      <c r="A85" s="781" t="s">
        <v>119</v>
      </c>
      <c r="B85" s="780" t="s">
        <v>132</v>
      </c>
      <c r="C85" s="628" t="s">
        <v>70</v>
      </c>
      <c r="D85" s="628">
        <f>D14-P14</f>
        <v>-1002751.39</v>
      </c>
      <c r="E85" s="628">
        <f>E11</f>
        <v>-48320.26</v>
      </c>
      <c r="F85" s="628">
        <f t="shared" ref="F85:R85" si="2">F11</f>
        <v>-26461.59</v>
      </c>
      <c r="G85" s="628">
        <f t="shared" si="2"/>
        <v>-13894.78</v>
      </c>
      <c r="H85" s="628">
        <f t="shared" si="2"/>
        <v>-192321.07</v>
      </c>
      <c r="I85" s="628">
        <f t="shared" si="2"/>
        <v>-4769.8999999999996</v>
      </c>
      <c r="J85" s="628">
        <f t="shared" si="2"/>
        <v>-58128.54</v>
      </c>
      <c r="K85" s="628">
        <f t="shared" si="2"/>
        <v>-51931.95</v>
      </c>
      <c r="L85" s="628">
        <f t="shared" si="2"/>
        <v>-246615.55</v>
      </c>
      <c r="M85" s="628">
        <f t="shared" si="2"/>
        <v>-112108.07</v>
      </c>
      <c r="N85" s="628">
        <f t="shared" si="2"/>
        <v>-7782.32</v>
      </c>
      <c r="O85" s="628">
        <f t="shared" si="2"/>
        <v>-10.3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">
      <c r="A86" s="781"/>
      <c r="B86" s="780"/>
      <c r="C86" s="628" t="s">
        <v>73</v>
      </c>
      <c r="D86" s="628">
        <f>D13</f>
        <v>-240407.06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">
      <c r="A88" s="782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">
      <c r="A89" s="782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"/>
    <row r="91" spans="1:18" x14ac:dyDescent="0.2">
      <c r="B91" s="617" t="s">
        <v>75</v>
      </c>
    </row>
    <row r="92" spans="1:18" ht="12.6" customHeight="1" x14ac:dyDescent="0.2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">
      <c r="C93" s="616" t="s">
        <v>72</v>
      </c>
      <c r="D93" s="618">
        <v>-53998016.210000001</v>
      </c>
      <c r="E93" s="618">
        <v>-11667185.220000001</v>
      </c>
      <c r="F93" s="618">
        <v>-5414703.4900000002</v>
      </c>
      <c r="G93" s="620">
        <v>-2951482.17</v>
      </c>
      <c r="H93" s="618">
        <v>-3201477.24</v>
      </c>
      <c r="I93" s="618">
        <v>-115838.75</v>
      </c>
      <c r="J93" s="618">
        <v>-1017620.75</v>
      </c>
      <c r="K93" s="618">
        <v>-1016768.4</v>
      </c>
      <c r="L93" s="618">
        <v>-4764304</v>
      </c>
      <c r="M93" s="618">
        <v>-23659660.940000001</v>
      </c>
      <c r="N93" s="618">
        <v>-188999.83</v>
      </c>
      <c r="O93" s="618">
        <v>24.58</v>
      </c>
      <c r="P93" s="616">
        <v>0</v>
      </c>
      <c r="Q93" s="618">
        <v>0</v>
      </c>
      <c r="R93" s="616">
        <v>0</v>
      </c>
    </row>
    <row r="94" spans="1:18" ht="12.75" customHeight="1" x14ac:dyDescent="0.2">
      <c r="C94" s="616" t="s">
        <v>81</v>
      </c>
      <c r="D94" s="618">
        <v>-15789581.83</v>
      </c>
      <c r="E94" s="618">
        <v>-4170790.83</v>
      </c>
      <c r="F94" s="618">
        <v>-1943304.33</v>
      </c>
      <c r="G94" s="620">
        <v>-1075257.96</v>
      </c>
      <c r="H94" s="618">
        <v>-52026.8</v>
      </c>
      <c r="I94" s="618">
        <v>-1440.2</v>
      </c>
      <c r="J94" s="618">
        <v>-12737.8</v>
      </c>
      <c r="K94" s="618">
        <v>-15000.59</v>
      </c>
      <c r="L94" s="618">
        <v>-66290.83</v>
      </c>
      <c r="M94" s="618">
        <v>-8450381.2699999996</v>
      </c>
      <c r="N94" s="618">
        <v>-2350.38</v>
      </c>
      <c r="O94" s="618">
        <v>-0.84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">
      <c r="B95" s="622" t="s">
        <v>78</v>
      </c>
      <c r="C95" s="622" t="s">
        <v>70</v>
      </c>
      <c r="D95" s="622">
        <v>-69787598.040000007</v>
      </c>
      <c r="E95" s="622">
        <v>-15837976.050000001</v>
      </c>
      <c r="F95" s="622">
        <v>-7358007.8200000003</v>
      </c>
      <c r="G95" s="622">
        <v>-4026740.13</v>
      </c>
      <c r="H95" s="622">
        <v>-3253504.04</v>
      </c>
      <c r="I95" s="622">
        <v>-117278.95</v>
      </c>
      <c r="J95" s="622">
        <v>-1030358.55</v>
      </c>
      <c r="K95" s="622">
        <v>-1031768.99</v>
      </c>
      <c r="L95" s="622">
        <v>-4830594.83</v>
      </c>
      <c r="M95" s="622">
        <v>-32110042.210000001</v>
      </c>
      <c r="N95" s="622">
        <v>-191350.21</v>
      </c>
      <c r="O95" s="622">
        <v>23.74</v>
      </c>
      <c r="P95" s="621">
        <v>0</v>
      </c>
      <c r="Q95" s="622">
        <v>0</v>
      </c>
      <c r="R95" s="622">
        <v>0</v>
      </c>
    </row>
    <row r="96" spans="1:18" ht="12.75" customHeight="1" x14ac:dyDescent="0.2">
      <c r="C96" s="616" t="s">
        <v>73</v>
      </c>
      <c r="D96" s="618">
        <v>-991410.96</v>
      </c>
      <c r="E96" s="618">
        <v>-916794.52</v>
      </c>
      <c r="F96" s="618">
        <v>-399784.58</v>
      </c>
      <c r="G96" s="620">
        <v>-225583.16</v>
      </c>
      <c r="H96" s="618">
        <v>753139.3</v>
      </c>
      <c r="I96" s="618">
        <v>27321.94</v>
      </c>
      <c r="J96" s="618">
        <v>241143.71</v>
      </c>
      <c r="K96" s="618">
        <v>238753.51</v>
      </c>
      <c r="L96" s="618">
        <v>1113806.24</v>
      </c>
      <c r="M96" s="618">
        <v>-1867991.13</v>
      </c>
      <c r="N96" s="618">
        <v>44577.73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">
      <c r="B97" s="623" t="s">
        <v>79</v>
      </c>
      <c r="C97" s="623" t="s">
        <v>70</v>
      </c>
      <c r="D97" s="636">
        <v>-991410.96</v>
      </c>
      <c r="E97" s="624">
        <v>-916794.52</v>
      </c>
      <c r="F97" s="624">
        <v>-399784.58</v>
      </c>
      <c r="G97" s="636">
        <v>-225583.16</v>
      </c>
      <c r="H97" s="624">
        <v>753139.3</v>
      </c>
      <c r="I97" s="624">
        <v>27321.94</v>
      </c>
      <c r="J97" s="624">
        <v>241143.71</v>
      </c>
      <c r="K97" s="624">
        <v>238753.51</v>
      </c>
      <c r="L97" s="624">
        <v>1113806.24</v>
      </c>
      <c r="M97" s="624">
        <v>-1867991.13</v>
      </c>
      <c r="N97" s="624">
        <v>44577.73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">
      <c r="A98" s="625" t="s">
        <v>155</v>
      </c>
      <c r="B98" s="625" t="s">
        <v>70</v>
      </c>
      <c r="D98" s="626">
        <v>-70779009</v>
      </c>
      <c r="E98" s="626">
        <v>-16754770.57</v>
      </c>
      <c r="F98" s="626">
        <v>-7757792.4000000004</v>
      </c>
      <c r="G98" s="627">
        <v>-4252323.29</v>
      </c>
      <c r="H98" s="626">
        <v>-2500364.7400000002</v>
      </c>
      <c r="I98" s="626">
        <v>-89957.01</v>
      </c>
      <c r="J98" s="626">
        <v>-789214.84</v>
      </c>
      <c r="K98" s="626">
        <v>-793015.48</v>
      </c>
      <c r="L98" s="626">
        <v>-3716788.59</v>
      </c>
      <c r="M98" s="626">
        <v>-33978033.340000004</v>
      </c>
      <c r="N98" s="626">
        <v>-146772.48000000001</v>
      </c>
      <c r="O98" s="626">
        <v>23.74</v>
      </c>
      <c r="P98" s="625">
        <v>0</v>
      </c>
      <c r="Q98" s="626">
        <v>0</v>
      </c>
      <c r="R98" s="625">
        <v>0</v>
      </c>
    </row>
    <row r="99" spans="1:18" ht="12.75" customHeight="1" x14ac:dyDescent="0.2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">
      <c r="C105" s="616" t="s">
        <v>72</v>
      </c>
      <c r="D105" s="618">
        <v>-377166.8</v>
      </c>
      <c r="E105" s="618">
        <v>-43251.45</v>
      </c>
      <c r="F105" s="618">
        <v>-24151.06</v>
      </c>
      <c r="G105" s="620">
        <v>-13029.67</v>
      </c>
      <c r="H105" s="618">
        <v>-77002.42</v>
      </c>
      <c r="I105" s="618">
        <v>-2284.7600000000002</v>
      </c>
      <c r="J105" s="618">
        <v>-20041.71</v>
      </c>
      <c r="K105" s="618">
        <v>-20313.509999999998</v>
      </c>
      <c r="L105" s="618">
        <v>-87724.06</v>
      </c>
      <c r="M105" s="618">
        <v>-86066.71</v>
      </c>
      <c r="N105" s="618">
        <v>-3305.91</v>
      </c>
      <c r="O105" s="618">
        <v>4.46</v>
      </c>
      <c r="P105" s="616">
        <v>0</v>
      </c>
      <c r="Q105" s="618">
        <v>0</v>
      </c>
      <c r="R105" s="616">
        <v>0</v>
      </c>
    </row>
    <row r="106" spans="1:18" ht="12.75" customHeight="1" x14ac:dyDescent="0.2">
      <c r="C106" s="616" t="s">
        <v>81</v>
      </c>
      <c r="D106" s="618">
        <v>-9054.66</v>
      </c>
      <c r="E106" s="618">
        <v>-491.84</v>
      </c>
      <c r="F106" s="618">
        <v>-219.75</v>
      </c>
      <c r="G106" s="620">
        <v>-125.76</v>
      </c>
      <c r="H106" s="618">
        <v>-2696.53</v>
      </c>
      <c r="I106" s="618">
        <v>-61.76</v>
      </c>
      <c r="J106" s="618">
        <v>-541.98</v>
      </c>
      <c r="K106" s="618">
        <v>-671.69</v>
      </c>
      <c r="L106" s="618">
        <v>-3161.57</v>
      </c>
      <c r="M106" s="618">
        <v>-983.04</v>
      </c>
      <c r="N106" s="618">
        <v>-100.83</v>
      </c>
      <c r="O106" s="618">
        <v>0.09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">
      <c r="B107" s="622" t="s">
        <v>78</v>
      </c>
      <c r="C107" s="622" t="s">
        <v>70</v>
      </c>
      <c r="D107" s="622">
        <v>-386221.46</v>
      </c>
      <c r="E107" s="622">
        <v>-43743.29</v>
      </c>
      <c r="F107" s="622">
        <v>-24370.81</v>
      </c>
      <c r="G107" s="622">
        <v>-13155.43</v>
      </c>
      <c r="H107" s="622">
        <v>-79698.95</v>
      </c>
      <c r="I107" s="622">
        <v>-2346.52</v>
      </c>
      <c r="J107" s="622">
        <v>-20583.689999999999</v>
      </c>
      <c r="K107" s="622">
        <v>-20985.200000000001</v>
      </c>
      <c r="L107" s="622">
        <v>-90885.63</v>
      </c>
      <c r="M107" s="622">
        <v>-87049.75</v>
      </c>
      <c r="N107" s="622">
        <v>-3406.74</v>
      </c>
      <c r="O107" s="622">
        <v>4.55</v>
      </c>
      <c r="P107" s="621">
        <v>0</v>
      </c>
      <c r="Q107" s="622">
        <v>0</v>
      </c>
      <c r="R107" s="622">
        <v>0</v>
      </c>
    </row>
    <row r="108" spans="1:18" ht="12.75" customHeight="1" x14ac:dyDescent="0.2">
      <c r="C108" s="616" t="s">
        <v>73</v>
      </c>
      <c r="D108" s="620">
        <v>95471.46</v>
      </c>
      <c r="E108" s="618">
        <v>4869.41</v>
      </c>
      <c r="F108" s="618">
        <v>2653.99</v>
      </c>
      <c r="G108" s="620">
        <v>1418.22</v>
      </c>
      <c r="H108" s="618">
        <v>24431.4</v>
      </c>
      <c r="I108" s="618">
        <v>804.56</v>
      </c>
      <c r="J108" s="618">
        <v>7057.6</v>
      </c>
      <c r="K108" s="618">
        <v>7551.54</v>
      </c>
      <c r="L108" s="618">
        <v>35697.19</v>
      </c>
      <c r="M108" s="618">
        <v>9674.81</v>
      </c>
      <c r="N108" s="618">
        <v>1312.74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">
      <c r="B109" s="623" t="s">
        <v>79</v>
      </c>
      <c r="C109" s="623" t="s">
        <v>70</v>
      </c>
      <c r="D109" s="636">
        <v>95471.46</v>
      </c>
      <c r="E109" s="624">
        <v>4869.41</v>
      </c>
      <c r="F109" s="624">
        <v>2653.99</v>
      </c>
      <c r="G109" s="636">
        <v>1418.22</v>
      </c>
      <c r="H109" s="624">
        <v>24431.4</v>
      </c>
      <c r="I109" s="624">
        <v>804.56</v>
      </c>
      <c r="J109" s="624">
        <v>7057.6</v>
      </c>
      <c r="K109" s="624">
        <v>7551.54</v>
      </c>
      <c r="L109" s="624">
        <v>35697.19</v>
      </c>
      <c r="M109" s="624">
        <v>9674.81</v>
      </c>
      <c r="N109" s="624">
        <v>1312.74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">
      <c r="A110" s="628" t="s">
        <v>119</v>
      </c>
      <c r="B110" s="628" t="s">
        <v>70</v>
      </c>
      <c r="D110" s="628">
        <v>-290750</v>
      </c>
      <c r="E110" s="628">
        <v>-38873.879999999997</v>
      </c>
      <c r="F110" s="628">
        <v>-21716.82</v>
      </c>
      <c r="G110" s="628">
        <v>-11737.21</v>
      </c>
      <c r="H110" s="628">
        <v>-55267.55</v>
      </c>
      <c r="I110" s="628">
        <v>-1541.96</v>
      </c>
      <c r="J110" s="628">
        <v>-13526.09</v>
      </c>
      <c r="K110" s="628">
        <v>-13433.66</v>
      </c>
      <c r="L110" s="628">
        <v>-55188.44</v>
      </c>
      <c r="M110" s="628">
        <v>-77374.94</v>
      </c>
      <c r="N110" s="628">
        <v>-2094</v>
      </c>
      <c r="O110" s="628">
        <v>4.55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">
      <c r="A111" s="630" t="s">
        <v>70</v>
      </c>
      <c r="D111" s="630">
        <v>-71069759</v>
      </c>
      <c r="E111" s="630">
        <v>-16793644.449999999</v>
      </c>
      <c r="F111" s="630">
        <v>-7779509.2199999997</v>
      </c>
      <c r="G111" s="630">
        <v>-4264060.5</v>
      </c>
      <c r="H111" s="630">
        <v>-2555632.29</v>
      </c>
      <c r="I111" s="630">
        <v>-91498.97</v>
      </c>
      <c r="J111" s="630">
        <v>-802740.93</v>
      </c>
      <c r="K111" s="630">
        <v>-806449.14</v>
      </c>
      <c r="L111" s="630">
        <v>-3771977.03</v>
      </c>
      <c r="M111" s="630">
        <v>-34055408.280000001</v>
      </c>
      <c r="N111" s="630">
        <v>-148866.48000000001</v>
      </c>
      <c r="O111" s="630">
        <v>28.29</v>
      </c>
      <c r="P111" s="631">
        <v>0</v>
      </c>
      <c r="Q111" s="630">
        <v>0</v>
      </c>
      <c r="R111" s="630">
        <v>0</v>
      </c>
    </row>
    <row r="112" spans="1:18" ht="12.75" customHeight="1" x14ac:dyDescent="0.2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">
      <c r="A174" s="781" t="s">
        <v>2</v>
      </c>
      <c r="B174" s="780" t="s">
        <v>132</v>
      </c>
      <c r="C174" s="766" t="s">
        <v>70</v>
      </c>
      <c r="D174" s="766">
        <f>D111-P111</f>
        <v>-71069759</v>
      </c>
      <c r="E174" s="766">
        <f>E95+E101+E107</f>
        <v>-15881719.34</v>
      </c>
      <c r="F174" s="766">
        <f t="shared" ref="F174:R174" si="3">F95+F101+F107</f>
        <v>-7382378.6299999999</v>
      </c>
      <c r="G174" s="766">
        <f t="shared" si="3"/>
        <v>-4039895.56</v>
      </c>
      <c r="H174" s="766">
        <f t="shared" si="3"/>
        <v>-3333202.99</v>
      </c>
      <c r="I174" s="766">
        <f t="shared" si="3"/>
        <v>-119625.47</v>
      </c>
      <c r="J174" s="766">
        <f t="shared" si="3"/>
        <v>-1050942.24</v>
      </c>
      <c r="K174" s="766">
        <f t="shared" si="3"/>
        <v>-1052754.19</v>
      </c>
      <c r="L174" s="766">
        <f t="shared" si="3"/>
        <v>-4921480.46</v>
      </c>
      <c r="M174" s="766">
        <f t="shared" si="3"/>
        <v>-32197091.960000001</v>
      </c>
      <c r="N174" s="766">
        <f t="shared" si="3"/>
        <v>-194756.94999999998</v>
      </c>
      <c r="O174" s="766">
        <f t="shared" si="3"/>
        <v>28.29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">
      <c r="A175" s="781"/>
      <c r="B175" s="780"/>
      <c r="C175" s="766" t="s">
        <v>73</v>
      </c>
      <c r="D175" s="766">
        <f>D97+D103+D109</f>
        <v>-895939.5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">
      <c r="A180" s="781" t="s">
        <v>155</v>
      </c>
      <c r="B180" s="780" t="s">
        <v>132</v>
      </c>
      <c r="C180" s="633" t="s">
        <v>70</v>
      </c>
      <c r="D180" s="633">
        <f>D98-P98</f>
        <v>-70779009</v>
      </c>
      <c r="E180" s="633">
        <f>E95</f>
        <v>-15837976.050000001</v>
      </c>
      <c r="F180" s="633">
        <f t="shared" ref="F180:R180" si="5">F95</f>
        <v>-7358007.8200000003</v>
      </c>
      <c r="G180" s="633">
        <f t="shared" si="5"/>
        <v>-4026740.13</v>
      </c>
      <c r="H180" s="633">
        <f t="shared" si="5"/>
        <v>-3253504.04</v>
      </c>
      <c r="I180" s="633">
        <f t="shared" si="5"/>
        <v>-117278.95</v>
      </c>
      <c r="J180" s="633">
        <f t="shared" si="5"/>
        <v>-1030358.55</v>
      </c>
      <c r="K180" s="633">
        <f t="shared" si="5"/>
        <v>-1031768.99</v>
      </c>
      <c r="L180" s="633">
        <f t="shared" si="5"/>
        <v>-4830594.83</v>
      </c>
      <c r="M180" s="633">
        <f t="shared" si="5"/>
        <v>-32110042.210000001</v>
      </c>
      <c r="N180" s="633">
        <f t="shared" si="5"/>
        <v>-191350.21</v>
      </c>
      <c r="O180" s="633">
        <f t="shared" si="5"/>
        <v>23.74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">
      <c r="A181" s="781"/>
      <c r="B181" s="780"/>
      <c r="C181" s="633" t="s">
        <v>73</v>
      </c>
      <c r="D181" s="633">
        <f>D97</f>
        <v>-991410.96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">
      <c r="A183" s="779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">
      <c r="A184" s="779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">
      <c r="A186" s="781" t="s">
        <v>119</v>
      </c>
      <c r="B186" s="780" t="s">
        <v>132</v>
      </c>
      <c r="C186" s="628" t="s">
        <v>70</v>
      </c>
      <c r="D186" s="628">
        <f>D110-P110</f>
        <v>-290750</v>
      </c>
      <c r="E186" s="628">
        <f>E107</f>
        <v>-43743.29</v>
      </c>
      <c r="F186" s="628">
        <f t="shared" ref="F186:R186" si="6">F107</f>
        <v>-24370.81</v>
      </c>
      <c r="G186" s="628">
        <f t="shared" si="6"/>
        <v>-13155.43</v>
      </c>
      <c r="H186" s="628">
        <f t="shared" si="6"/>
        <v>-79698.95</v>
      </c>
      <c r="I186" s="628">
        <f t="shared" si="6"/>
        <v>-2346.52</v>
      </c>
      <c r="J186" s="628">
        <f t="shared" si="6"/>
        <v>-20583.689999999999</v>
      </c>
      <c r="K186" s="628">
        <f t="shared" si="6"/>
        <v>-20985.200000000001</v>
      </c>
      <c r="L186" s="628">
        <f t="shared" si="6"/>
        <v>-90885.63</v>
      </c>
      <c r="M186" s="628">
        <f t="shared" si="6"/>
        <v>-87049.75</v>
      </c>
      <c r="N186" s="628">
        <f t="shared" si="6"/>
        <v>-3406.74</v>
      </c>
      <c r="O186" s="628">
        <f t="shared" si="6"/>
        <v>4.55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">
      <c r="A187" s="781"/>
      <c r="B187" s="780"/>
      <c r="C187" s="628" t="s">
        <v>73</v>
      </c>
      <c r="D187" s="628">
        <f>D109</f>
        <v>95471.46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">
      <c r="A189" s="782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">
      <c r="A190" s="782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"/>
    <row r="192" spans="1:18" x14ac:dyDescent="0.2">
      <c r="B192" s="617" t="s">
        <v>76</v>
      </c>
    </row>
    <row r="193" spans="1:18" x14ac:dyDescent="0.2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">
      <c r="B194" s="618"/>
      <c r="C194" s="618" t="s">
        <v>72</v>
      </c>
      <c r="D194" s="618">
        <v>-27227798.780000001</v>
      </c>
      <c r="E194" s="618">
        <v>-2315528.48</v>
      </c>
      <c r="F194" s="618">
        <v>-1284217.58</v>
      </c>
      <c r="G194" s="618">
        <v>-681382.92</v>
      </c>
      <c r="H194" s="618">
        <v>-5451652.1900000004</v>
      </c>
      <c r="I194" s="618">
        <v>-202328.82</v>
      </c>
      <c r="J194" s="618">
        <v>-1782592.35</v>
      </c>
      <c r="K194" s="618">
        <v>-1715323.71</v>
      </c>
      <c r="L194" s="618">
        <v>-8067276.2800000003</v>
      </c>
      <c r="M194" s="618">
        <v>-5394689.7300000004</v>
      </c>
      <c r="N194" s="618">
        <v>-332680.61</v>
      </c>
      <c r="O194" s="618">
        <v>-126.11</v>
      </c>
      <c r="P194" s="616">
        <v>0</v>
      </c>
      <c r="Q194" s="618">
        <v>0</v>
      </c>
      <c r="R194" s="618">
        <v>0</v>
      </c>
    </row>
    <row r="195" spans="1:18" ht="12.75" customHeight="1" x14ac:dyDescent="0.2">
      <c r="B195" s="618"/>
      <c r="C195" s="618" t="s">
        <v>81</v>
      </c>
      <c r="D195" s="618">
        <v>-345928.04</v>
      </c>
      <c r="E195" s="618">
        <v>-25008.84</v>
      </c>
      <c r="F195" s="618">
        <v>-12602.88</v>
      </c>
      <c r="G195" s="618">
        <v>-7036.43</v>
      </c>
      <c r="H195" s="618">
        <v>-80348.210000000006</v>
      </c>
      <c r="I195" s="618">
        <v>-2983.37</v>
      </c>
      <c r="J195" s="618">
        <v>-25907.02</v>
      </c>
      <c r="K195" s="618">
        <v>-22627.65</v>
      </c>
      <c r="L195" s="618">
        <v>-105993.62</v>
      </c>
      <c r="M195" s="618">
        <v>-58451.89</v>
      </c>
      <c r="N195" s="618">
        <v>-4966.2700000000004</v>
      </c>
      <c r="O195" s="618">
        <v>-1.86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">
      <c r="B196" s="622" t="s">
        <v>78</v>
      </c>
      <c r="C196" s="622" t="s">
        <v>70</v>
      </c>
      <c r="D196" s="622">
        <v>-27573726.82</v>
      </c>
      <c r="E196" s="622">
        <v>-2340537.3199999998</v>
      </c>
      <c r="F196" s="622">
        <v>-1296820.46</v>
      </c>
      <c r="G196" s="622">
        <v>-688419.35</v>
      </c>
      <c r="H196" s="622">
        <v>-5532000.4000000004</v>
      </c>
      <c r="I196" s="622">
        <v>-205312.19</v>
      </c>
      <c r="J196" s="622">
        <v>-1808499.37</v>
      </c>
      <c r="K196" s="622">
        <v>-1737951.36</v>
      </c>
      <c r="L196" s="622">
        <v>-8173269.9000000004</v>
      </c>
      <c r="M196" s="622">
        <v>-5453141.6200000001</v>
      </c>
      <c r="N196" s="622">
        <v>-337646.88</v>
      </c>
      <c r="O196" s="622">
        <v>-127.97</v>
      </c>
      <c r="P196" s="621">
        <v>0</v>
      </c>
      <c r="Q196" s="622">
        <v>0</v>
      </c>
      <c r="R196" s="622">
        <v>0</v>
      </c>
    </row>
    <row r="197" spans="1:18" ht="12.75" customHeight="1" x14ac:dyDescent="0.2">
      <c r="B197" s="618"/>
      <c r="C197" s="618" t="s">
        <v>73</v>
      </c>
      <c r="D197" s="618">
        <v>-4430593.18</v>
      </c>
      <c r="E197" s="618">
        <v>-1063182.6399999999</v>
      </c>
      <c r="F197" s="618">
        <v>-614089.04</v>
      </c>
      <c r="G197" s="618">
        <v>-323946.96000000002</v>
      </c>
      <c r="H197" s="618">
        <v>-38852</v>
      </c>
      <c r="I197" s="618">
        <v>-204.27</v>
      </c>
      <c r="J197" s="618">
        <v>8451.7900000000009</v>
      </c>
      <c r="K197" s="618">
        <v>15720.47</v>
      </c>
      <c r="L197" s="618">
        <v>51334.92</v>
      </c>
      <c r="M197" s="618">
        <v>-2466098.35</v>
      </c>
      <c r="N197" s="618">
        <v>272.89999999999998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">
      <c r="B198" s="623" t="s">
        <v>79</v>
      </c>
      <c r="C198" s="623" t="s">
        <v>70</v>
      </c>
      <c r="D198" s="624">
        <v>-4430593.18</v>
      </c>
      <c r="E198" s="624">
        <v>-1063182.6399999999</v>
      </c>
      <c r="F198" s="624">
        <v>-614089.04</v>
      </c>
      <c r="G198" s="636">
        <v>-323946.96000000002</v>
      </c>
      <c r="H198" s="624">
        <v>-38852</v>
      </c>
      <c r="I198" s="624">
        <v>-204.27</v>
      </c>
      <c r="J198" s="624">
        <v>8451.7900000000009</v>
      </c>
      <c r="K198" s="624">
        <v>15720.47</v>
      </c>
      <c r="L198" s="624">
        <v>51334.92</v>
      </c>
      <c r="M198" s="624">
        <v>-2466098.35</v>
      </c>
      <c r="N198" s="624">
        <v>272.89999999999998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">
      <c r="A199" s="637" t="s">
        <v>155</v>
      </c>
      <c r="B199" s="633" t="s">
        <v>70</v>
      </c>
      <c r="C199" s="633"/>
      <c r="D199" s="633">
        <v>-32004320</v>
      </c>
      <c r="E199" s="633">
        <v>-3403719.96</v>
      </c>
      <c r="F199" s="633">
        <v>-1910909.5</v>
      </c>
      <c r="G199" s="633">
        <v>-1012366.31</v>
      </c>
      <c r="H199" s="633">
        <v>-5570852.4000000004</v>
      </c>
      <c r="I199" s="633">
        <v>-205516.46</v>
      </c>
      <c r="J199" s="633">
        <v>-1800047.58</v>
      </c>
      <c r="K199" s="633">
        <v>-1722230.89</v>
      </c>
      <c r="L199" s="633">
        <v>-8121934.9800000004</v>
      </c>
      <c r="M199" s="633">
        <v>-7919239.9699999997</v>
      </c>
      <c r="N199" s="633">
        <v>-337373.98</v>
      </c>
      <c r="O199" s="633">
        <v>-127.97</v>
      </c>
      <c r="P199" s="637">
        <v>0</v>
      </c>
      <c r="Q199" s="633">
        <v>0</v>
      </c>
      <c r="R199" s="633">
        <v>0</v>
      </c>
    </row>
    <row r="200" spans="1:18" ht="12.75" customHeight="1" x14ac:dyDescent="0.2">
      <c r="C200" s="616" t="s">
        <v>72</v>
      </c>
      <c r="D200" s="618">
        <v>-397050.36</v>
      </c>
      <c r="E200" s="618">
        <v>-18659.830000000002</v>
      </c>
      <c r="F200" s="618">
        <v>-10362.450000000001</v>
      </c>
      <c r="G200" s="620">
        <v>-4678.66</v>
      </c>
      <c r="H200" s="618">
        <v>-109695.93</v>
      </c>
      <c r="I200" s="618">
        <v>-3357.59</v>
      </c>
      <c r="J200" s="618">
        <v>-29452.65</v>
      </c>
      <c r="K200" s="618">
        <v>-33114.32</v>
      </c>
      <c r="L200" s="618">
        <v>-139136.35999999999</v>
      </c>
      <c r="M200" s="618">
        <v>-43529.99</v>
      </c>
      <c r="N200" s="618">
        <v>-5062.0200000000004</v>
      </c>
      <c r="O200" s="618">
        <v>-0.56000000000000005</v>
      </c>
      <c r="P200" s="618">
        <v>0</v>
      </c>
      <c r="Q200" s="618">
        <v>0</v>
      </c>
      <c r="R200" s="616">
        <v>0</v>
      </c>
    </row>
    <row r="201" spans="1:18" ht="12.6" customHeight="1" x14ac:dyDescent="0.2">
      <c r="C201" s="616" t="s">
        <v>81</v>
      </c>
      <c r="D201" s="618">
        <v>-785.24</v>
      </c>
      <c r="E201" s="618">
        <v>-33.72</v>
      </c>
      <c r="F201" s="618">
        <v>-17.399999999999999</v>
      </c>
      <c r="G201" s="620">
        <v>-10.35</v>
      </c>
      <c r="H201" s="618">
        <v>-222.64</v>
      </c>
      <c r="I201" s="618">
        <v>-7.01</v>
      </c>
      <c r="J201" s="618">
        <v>-61.61</v>
      </c>
      <c r="K201" s="618">
        <v>-60.33</v>
      </c>
      <c r="L201" s="618">
        <v>-281.64999999999998</v>
      </c>
      <c r="M201" s="618">
        <v>-79.05</v>
      </c>
      <c r="N201" s="618">
        <v>-11.44</v>
      </c>
      <c r="O201" s="618">
        <v>-0.04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">
      <c r="B202" s="622" t="s">
        <v>78</v>
      </c>
      <c r="C202" s="622" t="s">
        <v>70</v>
      </c>
      <c r="D202" s="622">
        <v>-397835.6</v>
      </c>
      <c r="E202" s="622">
        <v>-18693.55</v>
      </c>
      <c r="F202" s="622">
        <v>-10379.85</v>
      </c>
      <c r="G202" s="622">
        <v>-4689.01</v>
      </c>
      <c r="H202" s="622">
        <v>-109918.57</v>
      </c>
      <c r="I202" s="622">
        <v>-3364.6</v>
      </c>
      <c r="J202" s="622">
        <v>-29514.26</v>
      </c>
      <c r="K202" s="622">
        <v>-33174.65</v>
      </c>
      <c r="L202" s="622">
        <v>-139418.01</v>
      </c>
      <c r="M202" s="622">
        <v>-43609.04</v>
      </c>
      <c r="N202" s="622">
        <v>-5073.46</v>
      </c>
      <c r="O202" s="622">
        <v>-0.6</v>
      </c>
      <c r="P202" s="621">
        <v>0</v>
      </c>
      <c r="Q202" s="622">
        <v>0</v>
      </c>
      <c r="R202" s="622">
        <v>0</v>
      </c>
    </row>
    <row r="203" spans="1:18" ht="12.75" customHeight="1" x14ac:dyDescent="0.2">
      <c r="C203" s="616" t="s">
        <v>73</v>
      </c>
      <c r="D203" s="618">
        <v>91175.8</v>
      </c>
      <c r="E203" s="618">
        <v>4274.38</v>
      </c>
      <c r="F203" s="618">
        <v>2344.1799999999998</v>
      </c>
      <c r="G203" s="620">
        <v>1290.1400000000001</v>
      </c>
      <c r="H203" s="618">
        <v>24141.72</v>
      </c>
      <c r="I203" s="618">
        <v>835.82</v>
      </c>
      <c r="J203" s="618">
        <v>7331.65</v>
      </c>
      <c r="K203" s="618">
        <v>6999.36</v>
      </c>
      <c r="L203" s="618">
        <v>32593.77</v>
      </c>
      <c r="M203" s="618">
        <v>10001.11</v>
      </c>
      <c r="N203" s="618">
        <v>1363.67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">
      <c r="B204" s="624" t="s">
        <v>79</v>
      </c>
      <c r="C204" s="624" t="s">
        <v>70</v>
      </c>
      <c r="D204" s="624">
        <v>91175.8</v>
      </c>
      <c r="E204" s="624">
        <v>4274.38</v>
      </c>
      <c r="F204" s="624">
        <v>2344.1799999999998</v>
      </c>
      <c r="G204" s="624">
        <v>1290.1400000000001</v>
      </c>
      <c r="H204" s="624">
        <v>24141.72</v>
      </c>
      <c r="I204" s="624">
        <v>835.82</v>
      </c>
      <c r="J204" s="624">
        <v>7331.65</v>
      </c>
      <c r="K204" s="624">
        <v>6999.36</v>
      </c>
      <c r="L204" s="624">
        <v>32593.77</v>
      </c>
      <c r="M204" s="624">
        <v>10001.11</v>
      </c>
      <c r="N204" s="624">
        <v>1363.67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">
      <c r="A205" s="628" t="s">
        <v>119</v>
      </c>
      <c r="B205" s="628" t="s">
        <v>70</v>
      </c>
      <c r="D205" s="628">
        <v>-306659.8</v>
      </c>
      <c r="E205" s="628">
        <v>-14419.17</v>
      </c>
      <c r="F205" s="628">
        <v>-8035.67</v>
      </c>
      <c r="G205" s="628">
        <v>-3398.87</v>
      </c>
      <c r="H205" s="628">
        <v>-85776.85</v>
      </c>
      <c r="I205" s="628">
        <v>-2528.7800000000002</v>
      </c>
      <c r="J205" s="628">
        <v>-22182.61</v>
      </c>
      <c r="K205" s="628">
        <v>-26175.29</v>
      </c>
      <c r="L205" s="628">
        <v>-106824.24</v>
      </c>
      <c r="M205" s="628">
        <v>-33607.93</v>
      </c>
      <c r="N205" s="628">
        <v>-3709.79</v>
      </c>
      <c r="O205" s="628">
        <v>-0.6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">
      <c r="A206" s="630" t="s">
        <v>70</v>
      </c>
      <c r="D206" s="630">
        <v>-32310979.800000001</v>
      </c>
      <c r="E206" s="630">
        <v>-3418139.13</v>
      </c>
      <c r="F206" s="630">
        <v>-1918945.17</v>
      </c>
      <c r="G206" s="630">
        <v>-1015765.18</v>
      </c>
      <c r="H206" s="630">
        <v>-5656629.25</v>
      </c>
      <c r="I206" s="630">
        <v>-208045.24</v>
      </c>
      <c r="J206" s="630">
        <v>-1822230.19</v>
      </c>
      <c r="K206" s="630">
        <v>-1748406.18</v>
      </c>
      <c r="L206" s="630">
        <v>-8228759.2199999997</v>
      </c>
      <c r="M206" s="630">
        <v>-7952847.9000000004</v>
      </c>
      <c r="N206" s="630">
        <v>-341083.77</v>
      </c>
      <c r="O206" s="630">
        <v>-128.57</v>
      </c>
      <c r="P206" s="631">
        <v>0</v>
      </c>
      <c r="Q206" s="631">
        <v>0</v>
      </c>
      <c r="R206" s="631">
        <v>0</v>
      </c>
    </row>
    <row r="207" spans="1:18" ht="12.75" customHeight="1" x14ac:dyDescent="0.2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">
      <c r="A211" s="781" t="s">
        <v>2</v>
      </c>
      <c r="B211" s="780" t="s">
        <v>132</v>
      </c>
      <c r="C211" s="766" t="s">
        <v>70</v>
      </c>
      <c r="D211" s="766">
        <f>D206-P206</f>
        <v>-32310979.800000001</v>
      </c>
      <c r="E211" s="766">
        <f>E196+E202</f>
        <v>-2359230.8699999996</v>
      </c>
      <c r="F211" s="766">
        <f t="shared" ref="F211:R211" si="7">F196+F202</f>
        <v>-1307200.31</v>
      </c>
      <c r="G211" s="766">
        <f t="shared" si="7"/>
        <v>-693108.36</v>
      </c>
      <c r="H211" s="766">
        <f t="shared" si="7"/>
        <v>-5641918.9700000007</v>
      </c>
      <c r="I211" s="766">
        <f t="shared" si="7"/>
        <v>-208676.79</v>
      </c>
      <c r="J211" s="766">
        <f t="shared" si="7"/>
        <v>-1838013.6300000001</v>
      </c>
      <c r="K211" s="766">
        <f t="shared" si="7"/>
        <v>-1771126.01</v>
      </c>
      <c r="L211" s="766">
        <f t="shared" si="7"/>
        <v>-8312687.9100000001</v>
      </c>
      <c r="M211" s="766">
        <f t="shared" si="7"/>
        <v>-5496750.6600000001</v>
      </c>
      <c r="N211" s="766">
        <f t="shared" si="7"/>
        <v>-342720.34</v>
      </c>
      <c r="O211" s="766">
        <f t="shared" si="7"/>
        <v>-128.57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">
      <c r="A212" s="781"/>
      <c r="B212" s="780"/>
      <c r="C212" s="766" t="s">
        <v>73</v>
      </c>
      <c r="D212" s="766">
        <f>D198+D204</f>
        <v>-4339417.38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">
      <c r="A217" s="781" t="s">
        <v>155</v>
      </c>
      <c r="B217" s="780" t="s">
        <v>132</v>
      </c>
      <c r="C217" s="633" t="s">
        <v>70</v>
      </c>
      <c r="D217" s="633">
        <f>D199-P199</f>
        <v>-32004320</v>
      </c>
      <c r="E217" s="633">
        <f>E196</f>
        <v>-2340537.3199999998</v>
      </c>
      <c r="F217" s="633">
        <f t="shared" ref="F217:R217" si="8">F196</f>
        <v>-1296820.46</v>
      </c>
      <c r="G217" s="633">
        <f t="shared" si="8"/>
        <v>-688419.35</v>
      </c>
      <c r="H217" s="633">
        <f t="shared" si="8"/>
        <v>-5532000.4000000004</v>
      </c>
      <c r="I217" s="633">
        <f t="shared" si="8"/>
        <v>-205312.19</v>
      </c>
      <c r="J217" s="633">
        <f t="shared" si="8"/>
        <v>-1808499.37</v>
      </c>
      <c r="K217" s="633">
        <f t="shared" si="8"/>
        <v>-1737951.36</v>
      </c>
      <c r="L217" s="633">
        <f t="shared" si="8"/>
        <v>-8173269.9000000004</v>
      </c>
      <c r="M217" s="633">
        <f t="shared" si="8"/>
        <v>-5453141.6200000001</v>
      </c>
      <c r="N217" s="633">
        <f t="shared" si="8"/>
        <v>-337646.88</v>
      </c>
      <c r="O217" s="633">
        <f t="shared" si="8"/>
        <v>-127.97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">
      <c r="A218" s="781"/>
      <c r="B218" s="780"/>
      <c r="C218" s="633" t="s">
        <v>73</v>
      </c>
      <c r="D218" s="633">
        <f>D198</f>
        <v>-4430593.18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">
      <c r="A220" s="779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">
      <c r="A221" s="779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">
      <c r="A223" s="781" t="s">
        <v>119</v>
      </c>
      <c r="B223" s="780" t="s">
        <v>132</v>
      </c>
      <c r="C223" s="628" t="s">
        <v>70</v>
      </c>
      <c r="D223" s="628">
        <f>D205-P205</f>
        <v>-306659.8</v>
      </c>
      <c r="E223" s="628">
        <f>E202</f>
        <v>-18693.55</v>
      </c>
      <c r="F223" s="628">
        <f t="shared" ref="F223:R223" si="9">F202</f>
        <v>-10379.85</v>
      </c>
      <c r="G223" s="628">
        <f t="shared" si="9"/>
        <v>-4689.01</v>
      </c>
      <c r="H223" s="628">
        <f t="shared" si="9"/>
        <v>-109918.57</v>
      </c>
      <c r="I223" s="628">
        <f t="shared" si="9"/>
        <v>-3364.6</v>
      </c>
      <c r="J223" s="628">
        <f t="shared" si="9"/>
        <v>-29514.26</v>
      </c>
      <c r="K223" s="628">
        <f t="shared" si="9"/>
        <v>-33174.65</v>
      </c>
      <c r="L223" s="628">
        <f t="shared" si="9"/>
        <v>-139418.01</v>
      </c>
      <c r="M223" s="628">
        <f t="shared" si="9"/>
        <v>-43609.04</v>
      </c>
      <c r="N223" s="628">
        <f t="shared" si="9"/>
        <v>-5073.46</v>
      </c>
      <c r="O223" s="628">
        <f t="shared" si="9"/>
        <v>-0.6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">
      <c r="A224" s="781"/>
      <c r="B224" s="780"/>
      <c r="C224" s="628" t="s">
        <v>73</v>
      </c>
      <c r="D224" s="628">
        <f>D204</f>
        <v>91175.8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">
      <c r="A226" s="782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">
      <c r="A227" s="782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"/>
    <row r="229" spans="1:18" x14ac:dyDescent="0.2">
      <c r="B229" s="617" t="s">
        <v>88</v>
      </c>
    </row>
    <row r="230" spans="1:18" ht="12.75" customHeight="1" x14ac:dyDescent="0.2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">
      <c r="C231" s="616" t="s">
        <v>72</v>
      </c>
      <c r="D231" s="620">
        <v>-21566863.359999999</v>
      </c>
      <c r="E231" s="618">
        <v>-1602733.56</v>
      </c>
      <c r="F231" s="618">
        <v>-896891.02</v>
      </c>
      <c r="G231" s="620">
        <v>-475692.34</v>
      </c>
      <c r="H231" s="618">
        <v>-4329801.24</v>
      </c>
      <c r="I231" s="618">
        <v>-156115.79</v>
      </c>
      <c r="J231" s="618">
        <v>-1354110.99</v>
      </c>
      <c r="K231" s="618">
        <v>-1357517.45</v>
      </c>
      <c r="L231" s="618">
        <v>-6863140.8499999996</v>
      </c>
      <c r="M231" s="618">
        <v>-4276100.4400000004</v>
      </c>
      <c r="N231" s="618">
        <v>-254729.55</v>
      </c>
      <c r="O231" s="618">
        <v>-30.13</v>
      </c>
      <c r="P231" s="618">
        <v>0</v>
      </c>
      <c r="Q231" s="618">
        <v>0</v>
      </c>
      <c r="R231" s="616">
        <v>0</v>
      </c>
    </row>
    <row r="232" spans="1:18" ht="12.75" customHeight="1" x14ac:dyDescent="0.2">
      <c r="C232" s="616" t="s">
        <v>81</v>
      </c>
      <c r="D232" s="620">
        <v>-10375865.33</v>
      </c>
      <c r="E232" s="618">
        <v>-1376999.44</v>
      </c>
      <c r="F232" s="618">
        <v>-590233.5</v>
      </c>
      <c r="G232" s="620">
        <v>-209963.97</v>
      </c>
      <c r="H232" s="618">
        <v>-1412012.61</v>
      </c>
      <c r="I232" s="618">
        <v>-55947.15</v>
      </c>
      <c r="J232" s="618">
        <v>-490779.37</v>
      </c>
      <c r="K232" s="618">
        <v>-582672.57999999996</v>
      </c>
      <c r="L232" s="618">
        <v>-1966418.97</v>
      </c>
      <c r="M232" s="618">
        <v>-3599557.03</v>
      </c>
      <c r="N232" s="618">
        <v>-91288.76</v>
      </c>
      <c r="O232" s="618">
        <v>8.34</v>
      </c>
      <c r="P232" s="618">
        <v>0</v>
      </c>
      <c r="Q232" s="618">
        <v>0</v>
      </c>
      <c r="R232" s="616">
        <v>-0.28999999999999998</v>
      </c>
    </row>
    <row r="233" spans="1:18" s="621" customFormat="1" ht="12.75" customHeight="1" x14ac:dyDescent="0.2">
      <c r="B233" s="622" t="s">
        <v>78</v>
      </c>
      <c r="C233" s="622" t="s">
        <v>70</v>
      </c>
      <c r="D233" s="622">
        <v>-31942728.690000001</v>
      </c>
      <c r="E233" s="622">
        <v>-2979733</v>
      </c>
      <c r="F233" s="622">
        <v>-1487124.52</v>
      </c>
      <c r="G233" s="622">
        <v>-685656.31</v>
      </c>
      <c r="H233" s="622">
        <v>-5741813.8499999996</v>
      </c>
      <c r="I233" s="622">
        <v>-212062.94</v>
      </c>
      <c r="J233" s="622">
        <v>-1844890.36</v>
      </c>
      <c r="K233" s="622">
        <v>-1940190.03</v>
      </c>
      <c r="L233" s="622">
        <v>-8829559.8200000003</v>
      </c>
      <c r="M233" s="622">
        <v>-7875657.4699999997</v>
      </c>
      <c r="N233" s="622">
        <v>-346018.31</v>
      </c>
      <c r="O233" s="622">
        <v>-21.79</v>
      </c>
      <c r="P233" s="621">
        <v>0</v>
      </c>
      <c r="Q233" s="622">
        <v>0</v>
      </c>
      <c r="R233" s="622">
        <v>-0.28999999999999998</v>
      </c>
    </row>
    <row r="234" spans="1:18" ht="12.75" customHeight="1" x14ac:dyDescent="0.2">
      <c r="C234" s="616" t="s">
        <v>73</v>
      </c>
      <c r="D234" s="620">
        <v>2174082.7999999998</v>
      </c>
      <c r="E234" s="618">
        <v>22089.07</v>
      </c>
      <c r="F234" s="618">
        <v>10938.57</v>
      </c>
      <c r="G234" s="620">
        <v>6096.13</v>
      </c>
      <c r="H234" s="618">
        <v>636523.27</v>
      </c>
      <c r="I234" s="618">
        <v>22219.55</v>
      </c>
      <c r="J234" s="618">
        <v>194912.33</v>
      </c>
      <c r="K234" s="618">
        <v>197393.84</v>
      </c>
      <c r="L234" s="618">
        <v>989072.18</v>
      </c>
      <c r="M234" s="618">
        <v>58583.97</v>
      </c>
      <c r="N234" s="618">
        <v>36253.89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">
      <c r="B235" s="624" t="s">
        <v>79</v>
      </c>
      <c r="C235" s="624" t="s">
        <v>70</v>
      </c>
      <c r="D235" s="624">
        <v>2174082.7999999998</v>
      </c>
      <c r="E235" s="624">
        <v>22089.07</v>
      </c>
      <c r="F235" s="624">
        <v>10938.57</v>
      </c>
      <c r="G235" s="624">
        <v>6096.13</v>
      </c>
      <c r="H235" s="624">
        <v>636523.27</v>
      </c>
      <c r="I235" s="624">
        <v>22219.55</v>
      </c>
      <c r="J235" s="624">
        <v>194912.33</v>
      </c>
      <c r="K235" s="624">
        <v>197393.84</v>
      </c>
      <c r="L235" s="624">
        <v>989072.18</v>
      </c>
      <c r="M235" s="624">
        <v>58583.97</v>
      </c>
      <c r="N235" s="624">
        <v>36253.89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">
      <c r="A236" s="755" t="s">
        <v>155</v>
      </c>
      <c r="B236" s="755" t="s">
        <v>70</v>
      </c>
      <c r="D236" s="756">
        <v>-29768645.890000001</v>
      </c>
      <c r="E236" s="757">
        <v>-2957643.93</v>
      </c>
      <c r="F236" s="757">
        <v>-1476185.95</v>
      </c>
      <c r="G236" s="756">
        <v>-679560.18</v>
      </c>
      <c r="H236" s="757">
        <v>-5105290.58</v>
      </c>
      <c r="I236" s="757">
        <v>-189843.39</v>
      </c>
      <c r="J236" s="757">
        <v>-1649978.03</v>
      </c>
      <c r="K236" s="757">
        <v>-1742796.19</v>
      </c>
      <c r="L236" s="757">
        <v>-7840487.6399999997</v>
      </c>
      <c r="M236" s="757">
        <v>-7817073.5</v>
      </c>
      <c r="N236" s="757">
        <v>-309764.42</v>
      </c>
      <c r="O236" s="757">
        <v>-21.79</v>
      </c>
      <c r="P236" s="757">
        <v>0</v>
      </c>
      <c r="Q236" s="757">
        <v>0</v>
      </c>
      <c r="R236" s="755">
        <v>-0.28999999999999998</v>
      </c>
    </row>
    <row r="237" spans="1:18" ht="12.75" customHeight="1" x14ac:dyDescent="0.2">
      <c r="C237" s="616" t="s">
        <v>72</v>
      </c>
      <c r="D237" s="620">
        <v>-855911.65</v>
      </c>
      <c r="E237" s="618">
        <v>-56578.79</v>
      </c>
      <c r="F237" s="618">
        <v>-29944.45</v>
      </c>
      <c r="G237" s="620">
        <v>-16676.990000000002</v>
      </c>
      <c r="H237" s="618">
        <v>-192512.79</v>
      </c>
      <c r="I237" s="618">
        <v>-5218.1499999999996</v>
      </c>
      <c r="J237" s="618">
        <v>-44076.57</v>
      </c>
      <c r="K237" s="618">
        <v>-55205.51</v>
      </c>
      <c r="L237" s="618">
        <v>-296108.40999999997</v>
      </c>
      <c r="M237" s="618">
        <v>-151081.81</v>
      </c>
      <c r="N237" s="618">
        <v>-8513.86</v>
      </c>
      <c r="O237" s="618">
        <v>5.68</v>
      </c>
      <c r="P237" s="618">
        <v>0</v>
      </c>
      <c r="Q237" s="618">
        <v>0</v>
      </c>
      <c r="R237" s="616">
        <v>0</v>
      </c>
    </row>
    <row r="238" spans="1:18" ht="12.75" customHeight="1" x14ac:dyDescent="0.2">
      <c r="C238" s="616" t="s">
        <v>81</v>
      </c>
      <c r="D238" s="620">
        <v>-456.33</v>
      </c>
      <c r="E238" s="618">
        <v>-43.08</v>
      </c>
      <c r="F238" s="618">
        <v>-19.82</v>
      </c>
      <c r="G238" s="620">
        <v>-11.45</v>
      </c>
      <c r="H238" s="618">
        <v>-92.32</v>
      </c>
      <c r="I238" s="618">
        <v>-2.2799999999999998</v>
      </c>
      <c r="J238" s="618">
        <v>-19.89</v>
      </c>
      <c r="K238" s="618">
        <v>-24.84</v>
      </c>
      <c r="L238" s="618">
        <v>-122.9</v>
      </c>
      <c r="M238" s="618">
        <v>-116.06</v>
      </c>
      <c r="N238" s="618">
        <v>-3.69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">
      <c r="B239" s="622" t="s">
        <v>78</v>
      </c>
      <c r="C239" s="622" t="s">
        <v>70</v>
      </c>
      <c r="D239" s="622">
        <v>-856367.98</v>
      </c>
      <c r="E239" s="622">
        <v>-56621.87</v>
      </c>
      <c r="F239" s="622">
        <v>-29964.27</v>
      </c>
      <c r="G239" s="622">
        <v>-16688.439999999999</v>
      </c>
      <c r="H239" s="622">
        <v>-192605.11</v>
      </c>
      <c r="I239" s="622">
        <v>-5220.43</v>
      </c>
      <c r="J239" s="622">
        <v>-44096.46</v>
      </c>
      <c r="K239" s="622">
        <v>-55230.35</v>
      </c>
      <c r="L239" s="622">
        <v>-296231.31</v>
      </c>
      <c r="M239" s="622">
        <v>-151197.87</v>
      </c>
      <c r="N239" s="622">
        <v>-8517.5499999999993</v>
      </c>
      <c r="O239" s="622">
        <v>5.68</v>
      </c>
      <c r="P239" s="621">
        <v>0</v>
      </c>
      <c r="Q239" s="622">
        <v>0</v>
      </c>
      <c r="R239" s="622">
        <v>0</v>
      </c>
    </row>
    <row r="240" spans="1:18" ht="12.75" customHeight="1" x14ac:dyDescent="0.2">
      <c r="C240" s="616" t="s">
        <v>73</v>
      </c>
      <c r="D240" s="620">
        <v>120337.98</v>
      </c>
      <c r="E240" s="618">
        <v>-5853.75</v>
      </c>
      <c r="F240" s="618">
        <v>-3466.39</v>
      </c>
      <c r="G240" s="620">
        <v>-1802.77</v>
      </c>
      <c r="H240" s="618">
        <v>44564.39</v>
      </c>
      <c r="I240" s="618">
        <v>1338.88</v>
      </c>
      <c r="J240" s="618">
        <v>11744.63</v>
      </c>
      <c r="K240" s="618">
        <v>14317.92</v>
      </c>
      <c r="L240" s="618">
        <v>72511.87</v>
      </c>
      <c r="M240" s="618">
        <v>-15201.3</v>
      </c>
      <c r="N240" s="618">
        <v>2184.5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">
      <c r="B241" s="624" t="s">
        <v>79</v>
      </c>
      <c r="C241" s="624" t="s">
        <v>70</v>
      </c>
      <c r="D241" s="624">
        <v>120337.98</v>
      </c>
      <c r="E241" s="624">
        <v>-5853.75</v>
      </c>
      <c r="F241" s="624">
        <v>-3466.39</v>
      </c>
      <c r="G241" s="624">
        <v>-1802.77</v>
      </c>
      <c r="H241" s="624">
        <v>44564.39</v>
      </c>
      <c r="I241" s="624">
        <v>1338.88</v>
      </c>
      <c r="J241" s="624">
        <v>11744.63</v>
      </c>
      <c r="K241" s="624">
        <v>14317.92</v>
      </c>
      <c r="L241" s="624">
        <v>72511.87</v>
      </c>
      <c r="M241" s="624">
        <v>-15201.3</v>
      </c>
      <c r="N241" s="624">
        <v>2184.5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">
      <c r="A242" s="763" t="s">
        <v>120</v>
      </c>
      <c r="B242" s="763" t="s">
        <v>70</v>
      </c>
      <c r="D242" s="765">
        <v>-736030</v>
      </c>
      <c r="E242" s="764">
        <v>-62475.62</v>
      </c>
      <c r="F242" s="764">
        <v>-33430.660000000003</v>
      </c>
      <c r="G242" s="765">
        <v>-18491.21</v>
      </c>
      <c r="H242" s="764">
        <v>-148040.72</v>
      </c>
      <c r="I242" s="764">
        <v>-3881.55</v>
      </c>
      <c r="J242" s="764">
        <v>-32351.83</v>
      </c>
      <c r="K242" s="764">
        <v>-40912.43</v>
      </c>
      <c r="L242" s="764">
        <v>-223719.44</v>
      </c>
      <c r="M242" s="764">
        <v>-166399.17000000001</v>
      </c>
      <c r="N242" s="764">
        <v>-6333.05</v>
      </c>
      <c r="O242" s="764">
        <v>5.68</v>
      </c>
      <c r="P242" s="764">
        <v>0</v>
      </c>
      <c r="Q242" s="764">
        <v>0</v>
      </c>
      <c r="R242" s="763">
        <v>0</v>
      </c>
    </row>
    <row r="243" spans="1:18" ht="12.75" customHeight="1" x14ac:dyDescent="0.2">
      <c r="C243" s="616" t="s">
        <v>72</v>
      </c>
      <c r="D243" s="620">
        <v>-3952597.5</v>
      </c>
      <c r="E243" s="618">
        <v>-239180.98</v>
      </c>
      <c r="F243" s="618">
        <v>-134746.5</v>
      </c>
      <c r="G243" s="620">
        <v>-69663.42</v>
      </c>
      <c r="H243" s="618">
        <v>-865036.73</v>
      </c>
      <c r="I243" s="618">
        <v>-28695.58</v>
      </c>
      <c r="J243" s="618">
        <v>-279525.13</v>
      </c>
      <c r="K243" s="618">
        <v>-279118.37</v>
      </c>
      <c r="L243" s="618">
        <v>-1359152.73</v>
      </c>
      <c r="M243" s="618">
        <v>-648894.61</v>
      </c>
      <c r="N243" s="618">
        <v>-48597.18</v>
      </c>
      <c r="O243" s="618">
        <v>13.73</v>
      </c>
      <c r="P243" s="618">
        <v>0</v>
      </c>
      <c r="Q243" s="618">
        <v>0</v>
      </c>
      <c r="R243" s="616">
        <v>0</v>
      </c>
    </row>
    <row r="244" spans="1:18" ht="12.75" customHeight="1" x14ac:dyDescent="0.2">
      <c r="C244" s="616" t="s">
        <v>81</v>
      </c>
      <c r="D244" s="620">
        <v>-72621.509999999995</v>
      </c>
      <c r="E244" s="618">
        <v>-5294.3</v>
      </c>
      <c r="F244" s="618">
        <v>-1735.02</v>
      </c>
      <c r="G244" s="620">
        <v>-406.34</v>
      </c>
      <c r="H244" s="618">
        <v>-9879.81</v>
      </c>
      <c r="I244" s="618">
        <v>-851.94</v>
      </c>
      <c r="J244" s="618">
        <v>-7477.78</v>
      </c>
      <c r="K244" s="618">
        <v>-6895.96</v>
      </c>
      <c r="L244" s="618">
        <v>-23542.38</v>
      </c>
      <c r="M244" s="618">
        <v>-15148.31</v>
      </c>
      <c r="N244" s="618">
        <v>-1390.75</v>
      </c>
      <c r="O244" s="618">
        <v>1.08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">
      <c r="B245" s="622" t="s">
        <v>78</v>
      </c>
      <c r="C245" s="622" t="s">
        <v>70</v>
      </c>
      <c r="D245" s="622">
        <v>-4025219.01</v>
      </c>
      <c r="E245" s="622">
        <v>-244475.28</v>
      </c>
      <c r="F245" s="622">
        <v>-136481.51999999999</v>
      </c>
      <c r="G245" s="622">
        <v>-70069.759999999995</v>
      </c>
      <c r="H245" s="622">
        <v>-874916.54</v>
      </c>
      <c r="I245" s="622">
        <v>-29547.52</v>
      </c>
      <c r="J245" s="622">
        <v>-287002.90999999997</v>
      </c>
      <c r="K245" s="622">
        <v>-286014.33</v>
      </c>
      <c r="L245" s="622">
        <v>-1382695.11</v>
      </c>
      <c r="M245" s="622">
        <v>-664042.92000000004</v>
      </c>
      <c r="N245" s="622">
        <v>-49987.93</v>
      </c>
      <c r="O245" s="622">
        <v>14.81</v>
      </c>
      <c r="P245" s="621">
        <v>0</v>
      </c>
      <c r="Q245" s="622">
        <v>0</v>
      </c>
      <c r="R245" s="622">
        <v>0</v>
      </c>
    </row>
    <row r="246" spans="1:18" ht="12.75" customHeight="1" x14ac:dyDescent="0.2">
      <c r="C246" s="616" t="s">
        <v>73</v>
      </c>
      <c r="D246" s="618">
        <v>791790.67</v>
      </c>
      <c r="E246" s="618">
        <v>30614.54</v>
      </c>
      <c r="F246" s="618">
        <v>15664.41</v>
      </c>
      <c r="G246" s="620">
        <v>8427.0300000000007</v>
      </c>
      <c r="H246" s="618">
        <v>198488.51</v>
      </c>
      <c r="I246" s="618">
        <v>7139.75</v>
      </c>
      <c r="J246" s="618">
        <v>62630.13</v>
      </c>
      <c r="K246" s="618">
        <v>62193.599999999999</v>
      </c>
      <c r="L246" s="618">
        <v>307975.48</v>
      </c>
      <c r="M246" s="618">
        <v>87007.94</v>
      </c>
      <c r="N246" s="618">
        <v>11649.28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">
      <c r="B247" s="624" t="s">
        <v>79</v>
      </c>
      <c r="C247" s="624" t="s">
        <v>70</v>
      </c>
      <c r="D247" s="624">
        <v>791790.67</v>
      </c>
      <c r="E247" s="624">
        <v>30614.54</v>
      </c>
      <c r="F247" s="624">
        <v>15664.41</v>
      </c>
      <c r="G247" s="624">
        <v>8427.0300000000007</v>
      </c>
      <c r="H247" s="624">
        <v>198488.51</v>
      </c>
      <c r="I247" s="624">
        <v>7139.75</v>
      </c>
      <c r="J247" s="624">
        <v>62630.13</v>
      </c>
      <c r="K247" s="624">
        <v>62193.599999999999</v>
      </c>
      <c r="L247" s="624">
        <v>307975.48</v>
      </c>
      <c r="M247" s="624">
        <v>87007.94</v>
      </c>
      <c r="N247" s="624">
        <v>11649.28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">
      <c r="A248" s="754" t="s">
        <v>119</v>
      </c>
      <c r="B248" s="628" t="s">
        <v>70</v>
      </c>
      <c r="C248" s="628"/>
      <c r="D248" s="628">
        <v>-3233428.34</v>
      </c>
      <c r="E248" s="628">
        <v>-213860.74</v>
      </c>
      <c r="F248" s="628">
        <v>-120817.11</v>
      </c>
      <c r="G248" s="628">
        <v>-61642.73</v>
      </c>
      <c r="H248" s="628">
        <v>-676428.03</v>
      </c>
      <c r="I248" s="628">
        <v>-22407.77</v>
      </c>
      <c r="J248" s="628">
        <v>-224372.78</v>
      </c>
      <c r="K248" s="628">
        <v>-223820.73</v>
      </c>
      <c r="L248" s="628">
        <v>-1074719.6299999999</v>
      </c>
      <c r="M248" s="628">
        <v>-577034.98</v>
      </c>
      <c r="N248" s="628">
        <v>-38338.65</v>
      </c>
      <c r="O248" s="628">
        <v>14.81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">
      <c r="A249" s="630" t="s">
        <v>70</v>
      </c>
      <c r="D249" s="630">
        <v>-33738104.229999997</v>
      </c>
      <c r="E249" s="630">
        <v>-3233980.29</v>
      </c>
      <c r="F249" s="630">
        <v>-1630433.72</v>
      </c>
      <c r="G249" s="630">
        <v>-759694.12</v>
      </c>
      <c r="H249" s="630">
        <v>-5929759.3300000001</v>
      </c>
      <c r="I249" s="630">
        <v>-216132.71</v>
      </c>
      <c r="J249" s="630">
        <v>-1906702.64</v>
      </c>
      <c r="K249" s="630">
        <v>-2007529.35</v>
      </c>
      <c r="L249" s="630">
        <v>-9138926.7100000009</v>
      </c>
      <c r="M249" s="630">
        <v>-8560507.6500000004</v>
      </c>
      <c r="N249" s="630">
        <v>-354436.12</v>
      </c>
      <c r="O249" s="630">
        <v>-1.3</v>
      </c>
      <c r="P249" s="631">
        <v>0</v>
      </c>
      <c r="Q249" s="631">
        <v>0</v>
      </c>
      <c r="R249" s="631">
        <v>-0.28999999999999998</v>
      </c>
    </row>
    <row r="250" spans="1:18" ht="12.75" customHeight="1" x14ac:dyDescent="0.2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">
      <c r="A326" s="781" t="s">
        <v>2</v>
      </c>
      <c r="B326" s="780" t="s">
        <v>132</v>
      </c>
      <c r="C326" s="766" t="s">
        <v>70</v>
      </c>
      <c r="D326" s="766">
        <f>D249-P249</f>
        <v>-33738104.229999997</v>
      </c>
      <c r="E326" s="766">
        <f>E245+E239+E233</f>
        <v>-3280830.15</v>
      </c>
      <c r="F326" s="766">
        <f t="shared" ref="F326:R326" si="10">F245+F239+F233</f>
        <v>-1653570.31</v>
      </c>
      <c r="G326" s="766">
        <f t="shared" si="10"/>
        <v>-772414.51</v>
      </c>
      <c r="H326" s="766">
        <f t="shared" si="10"/>
        <v>-6809335.5</v>
      </c>
      <c r="I326" s="766">
        <f t="shared" si="10"/>
        <v>-246830.89</v>
      </c>
      <c r="J326" s="766">
        <f t="shared" si="10"/>
        <v>-2175989.73</v>
      </c>
      <c r="K326" s="766">
        <f t="shared" si="10"/>
        <v>-2281434.71</v>
      </c>
      <c r="L326" s="766">
        <f t="shared" si="10"/>
        <v>-10508486.24</v>
      </c>
      <c r="M326" s="766">
        <f t="shared" si="10"/>
        <v>-8690898.2599999998</v>
      </c>
      <c r="N326" s="766">
        <f t="shared" si="10"/>
        <v>-404523.79</v>
      </c>
      <c r="O326" s="766">
        <f t="shared" si="10"/>
        <v>-1.2999999999999972</v>
      </c>
      <c r="P326" s="766">
        <f t="shared" si="10"/>
        <v>0</v>
      </c>
      <c r="Q326" s="766">
        <f t="shared" si="10"/>
        <v>0</v>
      </c>
      <c r="R326" s="766">
        <f t="shared" si="10"/>
        <v>-0.28999999999999998</v>
      </c>
    </row>
    <row r="327" spans="1:18" ht="12.75" customHeight="1" x14ac:dyDescent="0.2">
      <c r="A327" s="781"/>
      <c r="B327" s="780"/>
      <c r="C327" s="766" t="s">
        <v>73</v>
      </c>
      <c r="D327" s="766">
        <f>D247+D241+D235</f>
        <v>3086211.4499999997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">
      <c r="A329" s="781" t="s">
        <v>160</v>
      </c>
      <c r="B329" s="780" t="s">
        <v>132</v>
      </c>
      <c r="C329" s="632" t="s">
        <v>70</v>
      </c>
      <c r="D329" s="632">
        <f>D242-P242</f>
        <v>-736030</v>
      </c>
      <c r="E329" s="632">
        <f>E239</f>
        <v>-56621.87</v>
      </c>
      <c r="F329" s="632">
        <f t="shared" ref="F329:R329" si="11">F239</f>
        <v>-29964.27</v>
      </c>
      <c r="G329" s="632">
        <f t="shared" si="11"/>
        <v>-16688.439999999999</v>
      </c>
      <c r="H329" s="632">
        <f t="shared" si="11"/>
        <v>-192605.11</v>
      </c>
      <c r="I329" s="632">
        <f t="shared" si="11"/>
        <v>-5220.43</v>
      </c>
      <c r="J329" s="632">
        <f t="shared" si="11"/>
        <v>-44096.46</v>
      </c>
      <c r="K329" s="632">
        <f t="shared" si="11"/>
        <v>-55230.35</v>
      </c>
      <c r="L329" s="632">
        <f t="shared" si="11"/>
        <v>-296231.31</v>
      </c>
      <c r="M329" s="632">
        <f t="shared" si="11"/>
        <v>-151197.87</v>
      </c>
      <c r="N329" s="632">
        <f t="shared" si="11"/>
        <v>-8517.5499999999993</v>
      </c>
      <c r="O329" s="632">
        <f t="shared" si="11"/>
        <v>5.68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">
      <c r="A330" s="781"/>
      <c r="B330" s="780"/>
      <c r="C330" s="632" t="s">
        <v>73</v>
      </c>
      <c r="D330" s="714">
        <f>D241</f>
        <v>120337.98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">
      <c r="A332" s="781" t="s">
        <v>155</v>
      </c>
      <c r="B332" s="780" t="s">
        <v>132</v>
      </c>
      <c r="C332" s="633" t="s">
        <v>70</v>
      </c>
      <c r="D332" s="633">
        <f>D236-P236</f>
        <v>-29768645.890000001</v>
      </c>
      <c r="E332" s="633">
        <f>E233</f>
        <v>-2979733</v>
      </c>
      <c r="F332" s="633">
        <f t="shared" ref="F332:R332" si="12">F233</f>
        <v>-1487124.52</v>
      </c>
      <c r="G332" s="633">
        <f t="shared" si="12"/>
        <v>-685656.31</v>
      </c>
      <c r="H332" s="633">
        <f t="shared" si="12"/>
        <v>-5741813.8499999996</v>
      </c>
      <c r="I332" s="633">
        <f t="shared" si="12"/>
        <v>-212062.94</v>
      </c>
      <c r="J332" s="633">
        <f t="shared" si="12"/>
        <v>-1844890.36</v>
      </c>
      <c r="K332" s="633">
        <f t="shared" si="12"/>
        <v>-1940190.03</v>
      </c>
      <c r="L332" s="633">
        <f t="shared" si="12"/>
        <v>-8829559.8200000003</v>
      </c>
      <c r="M332" s="633">
        <f t="shared" si="12"/>
        <v>-7875657.4699999997</v>
      </c>
      <c r="N332" s="633">
        <f t="shared" si="12"/>
        <v>-346018.31</v>
      </c>
      <c r="O332" s="633">
        <f t="shared" si="12"/>
        <v>-21.79</v>
      </c>
      <c r="P332" s="633">
        <f t="shared" si="12"/>
        <v>0</v>
      </c>
      <c r="Q332" s="633">
        <f t="shared" si="12"/>
        <v>0</v>
      </c>
      <c r="R332" s="633">
        <f t="shared" si="12"/>
        <v>-0.28999999999999998</v>
      </c>
    </row>
    <row r="333" spans="1:18" ht="12.75" customHeight="1" x14ac:dyDescent="0.2">
      <c r="A333" s="781"/>
      <c r="B333" s="780"/>
      <c r="C333" s="633" t="s">
        <v>73</v>
      </c>
      <c r="D333" s="633">
        <f>D235</f>
        <v>2174082.7999999998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">
      <c r="A335" s="779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">
      <c r="A336" s="779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">
      <c r="A338" s="781" t="s">
        <v>119</v>
      </c>
      <c r="B338" s="780" t="s">
        <v>132</v>
      </c>
      <c r="C338" s="628" t="s">
        <v>70</v>
      </c>
      <c r="D338" s="628">
        <f>D248-P248</f>
        <v>-3233428.34</v>
      </c>
      <c r="E338" s="628">
        <f>E245</f>
        <v>-244475.28</v>
      </c>
      <c r="F338" s="628">
        <f t="shared" ref="F338:R338" si="13">F245</f>
        <v>-136481.51999999999</v>
      </c>
      <c r="G338" s="628">
        <f t="shared" si="13"/>
        <v>-70069.759999999995</v>
      </c>
      <c r="H338" s="628">
        <f t="shared" si="13"/>
        <v>-874916.54</v>
      </c>
      <c r="I338" s="628">
        <f t="shared" si="13"/>
        <v>-29547.52</v>
      </c>
      <c r="J338" s="628">
        <f t="shared" si="13"/>
        <v>-287002.90999999997</v>
      </c>
      <c r="K338" s="628">
        <f t="shared" si="13"/>
        <v>-286014.33</v>
      </c>
      <c r="L338" s="628">
        <f t="shared" si="13"/>
        <v>-1382695.11</v>
      </c>
      <c r="M338" s="628">
        <f t="shared" si="13"/>
        <v>-664042.92000000004</v>
      </c>
      <c r="N338" s="628">
        <f t="shared" si="13"/>
        <v>-49987.93</v>
      </c>
      <c r="O338" s="628">
        <f t="shared" si="13"/>
        <v>14.81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">
      <c r="A339" s="781"/>
      <c r="B339" s="780"/>
      <c r="C339" s="628" t="s">
        <v>73</v>
      </c>
      <c r="D339" s="628">
        <f>D247</f>
        <v>791790.67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">
      <c r="A341" s="782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">
      <c r="A342" s="782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"/>
    <row r="344" spans="1:18" x14ac:dyDescent="0.2">
      <c r="B344" s="617" t="s">
        <v>93</v>
      </c>
    </row>
    <row r="345" spans="1:18" ht="12.75" customHeight="1" x14ac:dyDescent="0.2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">
      <c r="C346" s="618" t="s">
        <v>72</v>
      </c>
      <c r="D346" s="618">
        <v>-2459958.9900000002</v>
      </c>
      <c r="E346" s="618">
        <v>-131176.29999999999</v>
      </c>
      <c r="F346" s="618">
        <v>-73947.600000000006</v>
      </c>
      <c r="G346" s="618">
        <v>-38360.959999999999</v>
      </c>
      <c r="H346" s="618">
        <v>-516845.27</v>
      </c>
      <c r="I346" s="618">
        <v>-20608.349999999999</v>
      </c>
      <c r="J346" s="618">
        <v>-180773.73</v>
      </c>
      <c r="K346" s="618">
        <v>-177017.02</v>
      </c>
      <c r="L346" s="618">
        <v>-903639.16</v>
      </c>
      <c r="M346" s="618">
        <v>-383975.32</v>
      </c>
      <c r="N346" s="618">
        <v>-33624.080000000002</v>
      </c>
      <c r="O346" s="618">
        <v>8.8000000000000007</v>
      </c>
      <c r="P346" s="616">
        <v>0</v>
      </c>
      <c r="Q346" s="618">
        <v>0</v>
      </c>
      <c r="R346" s="616">
        <v>0</v>
      </c>
    </row>
    <row r="347" spans="1:18" ht="12" customHeight="1" x14ac:dyDescent="0.2">
      <c r="C347" s="618" t="s">
        <v>81</v>
      </c>
      <c r="D347" s="618">
        <v>-1530.78</v>
      </c>
      <c r="E347" s="618">
        <v>-92.42</v>
      </c>
      <c r="F347" s="618">
        <v>-52.15</v>
      </c>
      <c r="G347" s="618">
        <v>-27.92</v>
      </c>
      <c r="H347" s="618">
        <v>-308.89999999999998</v>
      </c>
      <c r="I347" s="618">
        <v>-11.75</v>
      </c>
      <c r="J347" s="618">
        <v>-106.44</v>
      </c>
      <c r="K347" s="618">
        <v>-103.99</v>
      </c>
      <c r="L347" s="618">
        <v>-527.01</v>
      </c>
      <c r="M347" s="618">
        <v>-281.02999999999997</v>
      </c>
      <c r="N347" s="618">
        <v>-19.16</v>
      </c>
      <c r="O347" s="618">
        <v>-0.01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">
      <c r="A348" s="622"/>
      <c r="B348" s="621" t="s">
        <v>78</v>
      </c>
      <c r="C348" s="621" t="s">
        <v>70</v>
      </c>
      <c r="D348" s="622">
        <v>-2461489.77</v>
      </c>
      <c r="E348" s="622">
        <v>-131268.72</v>
      </c>
      <c r="F348" s="622">
        <v>-73999.75</v>
      </c>
      <c r="G348" s="622">
        <v>-38388.879999999997</v>
      </c>
      <c r="H348" s="622">
        <v>-517154.17</v>
      </c>
      <c r="I348" s="622">
        <v>-20620.099999999999</v>
      </c>
      <c r="J348" s="622">
        <v>-180880.17</v>
      </c>
      <c r="K348" s="622">
        <v>-177121.01</v>
      </c>
      <c r="L348" s="622">
        <v>-904166.17</v>
      </c>
      <c r="M348" s="622">
        <v>-384256.35</v>
      </c>
      <c r="N348" s="622">
        <v>-33643.24</v>
      </c>
      <c r="O348" s="622">
        <v>8.7899999999999991</v>
      </c>
      <c r="P348" s="621">
        <v>0</v>
      </c>
      <c r="Q348" s="621">
        <v>0</v>
      </c>
      <c r="R348" s="621">
        <v>0</v>
      </c>
    </row>
    <row r="349" spans="1:18" ht="12" customHeight="1" x14ac:dyDescent="0.2">
      <c r="C349" s="618" t="s">
        <v>73</v>
      </c>
      <c r="D349" s="618">
        <v>395889.77</v>
      </c>
      <c r="E349" s="618">
        <v>21738.99</v>
      </c>
      <c r="F349" s="618">
        <v>12237.73</v>
      </c>
      <c r="G349" s="618">
        <v>6281.21</v>
      </c>
      <c r="H349" s="618">
        <v>77529.75</v>
      </c>
      <c r="I349" s="618">
        <v>3370.36</v>
      </c>
      <c r="J349" s="618">
        <v>29563.65</v>
      </c>
      <c r="K349" s="618">
        <v>28884.29</v>
      </c>
      <c r="L349" s="618">
        <v>147901.79</v>
      </c>
      <c r="M349" s="618">
        <v>62883.22</v>
      </c>
      <c r="N349" s="618">
        <v>5498.78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">
      <c r="A350" s="624"/>
      <c r="B350" s="624" t="s">
        <v>79</v>
      </c>
      <c r="C350" s="623" t="s">
        <v>70</v>
      </c>
      <c r="D350" s="624">
        <v>395889.77</v>
      </c>
      <c r="E350" s="624">
        <v>21738.99</v>
      </c>
      <c r="F350" s="624">
        <v>12237.73</v>
      </c>
      <c r="G350" s="624">
        <v>6281.21</v>
      </c>
      <c r="H350" s="624">
        <v>77529.75</v>
      </c>
      <c r="I350" s="624">
        <v>3370.36</v>
      </c>
      <c r="J350" s="624">
        <v>29563.65</v>
      </c>
      <c r="K350" s="624">
        <v>28884.29</v>
      </c>
      <c r="L350" s="624">
        <v>147901.79</v>
      </c>
      <c r="M350" s="624">
        <v>62883.22</v>
      </c>
      <c r="N350" s="624">
        <v>5498.78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">
      <c r="A351" s="625" t="s">
        <v>155</v>
      </c>
      <c r="B351" s="625" t="s">
        <v>70</v>
      </c>
      <c r="D351" s="626">
        <v>-2065600</v>
      </c>
      <c r="E351" s="626">
        <v>-109529.73</v>
      </c>
      <c r="F351" s="626">
        <v>-61762.02</v>
      </c>
      <c r="G351" s="627">
        <v>-32107.67</v>
      </c>
      <c r="H351" s="626">
        <v>-439624.42</v>
      </c>
      <c r="I351" s="626">
        <v>-17249.740000000002</v>
      </c>
      <c r="J351" s="626">
        <v>-151316.51999999999</v>
      </c>
      <c r="K351" s="626">
        <v>-148236.72</v>
      </c>
      <c r="L351" s="626">
        <v>-756264.38</v>
      </c>
      <c r="M351" s="626">
        <v>-321373.13</v>
      </c>
      <c r="N351" s="626">
        <v>-28144.46</v>
      </c>
      <c r="O351" s="626">
        <v>8.7899999999999991</v>
      </c>
      <c r="P351" s="626">
        <v>0</v>
      </c>
      <c r="Q351" s="626">
        <v>0</v>
      </c>
      <c r="R351" s="625">
        <v>0</v>
      </c>
    </row>
    <row r="352" spans="1:18" ht="12.75" customHeight="1" x14ac:dyDescent="0.2">
      <c r="C352" s="616" t="s">
        <v>72</v>
      </c>
      <c r="D352" s="618">
        <v>-1083123.76</v>
      </c>
      <c r="E352" s="618">
        <v>-72781.119999999995</v>
      </c>
      <c r="F352" s="618">
        <v>-39747.019999999997</v>
      </c>
      <c r="G352" s="620">
        <v>-20862.82</v>
      </c>
      <c r="H352" s="618">
        <v>-236215.25</v>
      </c>
      <c r="I352" s="618">
        <v>-6590.57</v>
      </c>
      <c r="J352" s="618">
        <v>-57811.55</v>
      </c>
      <c r="K352" s="618">
        <v>-68511.12</v>
      </c>
      <c r="L352" s="618">
        <v>-351743.19</v>
      </c>
      <c r="M352" s="618">
        <v>-218096.95</v>
      </c>
      <c r="N352" s="618">
        <v>-10752.99</v>
      </c>
      <c r="O352" s="618">
        <v>-11.18</v>
      </c>
      <c r="P352" s="618">
        <v>0</v>
      </c>
      <c r="Q352" s="618">
        <v>0</v>
      </c>
      <c r="R352" s="616">
        <v>0</v>
      </c>
    </row>
    <row r="353" spans="1:18" ht="12.6" customHeight="1" x14ac:dyDescent="0.2">
      <c r="C353" s="616" t="s">
        <v>81</v>
      </c>
      <c r="D353" s="618">
        <v>-7940.15</v>
      </c>
      <c r="E353" s="618">
        <v>-601.51</v>
      </c>
      <c r="F353" s="618">
        <v>-315.89</v>
      </c>
      <c r="G353" s="620">
        <v>-174.4</v>
      </c>
      <c r="H353" s="618">
        <v>-1696</v>
      </c>
      <c r="I353" s="618">
        <v>-40.25</v>
      </c>
      <c r="J353" s="618">
        <v>-352.25</v>
      </c>
      <c r="K353" s="618">
        <v>-482.43</v>
      </c>
      <c r="L353" s="618">
        <v>-2396.34</v>
      </c>
      <c r="M353" s="618">
        <v>-1815.36</v>
      </c>
      <c r="N353" s="618">
        <v>-65.55</v>
      </c>
      <c r="O353" s="618">
        <v>-0.17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">
      <c r="B354" s="622" t="s">
        <v>78</v>
      </c>
      <c r="C354" s="622" t="s">
        <v>70</v>
      </c>
      <c r="D354" s="622">
        <v>-1091063.9099999999</v>
      </c>
      <c r="E354" s="622">
        <v>-73382.63</v>
      </c>
      <c r="F354" s="622">
        <v>-40062.910000000003</v>
      </c>
      <c r="G354" s="622">
        <v>-21037.22</v>
      </c>
      <c r="H354" s="622">
        <v>-237911.25</v>
      </c>
      <c r="I354" s="622">
        <v>-6630.82</v>
      </c>
      <c r="J354" s="622">
        <v>-58163.8</v>
      </c>
      <c r="K354" s="622">
        <v>-68993.55</v>
      </c>
      <c r="L354" s="622">
        <v>-354139.53</v>
      </c>
      <c r="M354" s="622">
        <v>-219912.31</v>
      </c>
      <c r="N354" s="622">
        <v>-10818.54</v>
      </c>
      <c r="O354" s="622">
        <v>-11.35</v>
      </c>
      <c r="P354" s="621">
        <v>0</v>
      </c>
      <c r="Q354" s="622">
        <v>0</v>
      </c>
      <c r="R354" s="622">
        <v>0</v>
      </c>
    </row>
    <row r="355" spans="1:18" ht="12.75" customHeight="1" x14ac:dyDescent="0.2">
      <c r="C355" s="616" t="s">
        <v>73</v>
      </c>
      <c r="D355" s="618">
        <v>64288.38</v>
      </c>
      <c r="E355" s="618">
        <v>-653.33000000000004</v>
      </c>
      <c r="F355" s="618">
        <v>-464.25</v>
      </c>
      <c r="G355" s="620">
        <v>-316.04000000000002</v>
      </c>
      <c r="H355" s="618">
        <v>19509.96</v>
      </c>
      <c r="I355" s="618">
        <v>788.95</v>
      </c>
      <c r="J355" s="618">
        <v>6920.78</v>
      </c>
      <c r="K355" s="618">
        <v>7226.71</v>
      </c>
      <c r="L355" s="618">
        <v>32486.74</v>
      </c>
      <c r="M355" s="618">
        <v>-2498.41</v>
      </c>
      <c r="N355" s="618">
        <v>1287.27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">
      <c r="B356" s="624" t="s">
        <v>79</v>
      </c>
      <c r="C356" s="624" t="s">
        <v>70</v>
      </c>
      <c r="D356" s="624">
        <v>64288.38</v>
      </c>
      <c r="E356" s="624">
        <v>-653.33000000000004</v>
      </c>
      <c r="F356" s="624">
        <v>-464.25</v>
      </c>
      <c r="G356" s="624">
        <v>-316.04000000000002</v>
      </c>
      <c r="H356" s="624">
        <v>19509.96</v>
      </c>
      <c r="I356" s="624">
        <v>788.95</v>
      </c>
      <c r="J356" s="624">
        <v>6920.78</v>
      </c>
      <c r="K356" s="624">
        <v>7226.71</v>
      </c>
      <c r="L356" s="624">
        <v>32486.74</v>
      </c>
      <c r="M356" s="624">
        <v>-2498.41</v>
      </c>
      <c r="N356" s="624">
        <v>1287.27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">
      <c r="A357" s="628" t="s">
        <v>119</v>
      </c>
      <c r="B357" s="628" t="s">
        <v>70</v>
      </c>
      <c r="D357" s="628">
        <v>-1026775.53</v>
      </c>
      <c r="E357" s="628">
        <v>-74035.960000000006</v>
      </c>
      <c r="F357" s="628">
        <v>-40527.160000000003</v>
      </c>
      <c r="G357" s="628">
        <v>-21353.26</v>
      </c>
      <c r="H357" s="628">
        <v>-218401.29</v>
      </c>
      <c r="I357" s="628">
        <v>-5841.87</v>
      </c>
      <c r="J357" s="628">
        <v>-51243.02</v>
      </c>
      <c r="K357" s="628">
        <v>-61766.84</v>
      </c>
      <c r="L357" s="628">
        <v>-321652.78999999998</v>
      </c>
      <c r="M357" s="628">
        <v>-222410.72</v>
      </c>
      <c r="N357" s="628">
        <v>-9531.27</v>
      </c>
      <c r="O357" s="628">
        <v>-11.35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">
      <c r="A358" s="630" t="s">
        <v>70</v>
      </c>
      <c r="D358" s="630">
        <v>-3092375.53</v>
      </c>
      <c r="E358" s="630">
        <v>-183565.69</v>
      </c>
      <c r="F358" s="630">
        <v>-102289.18</v>
      </c>
      <c r="G358" s="630">
        <v>-53460.93</v>
      </c>
      <c r="H358" s="630">
        <v>-658025.71</v>
      </c>
      <c r="I358" s="630">
        <v>-23091.61</v>
      </c>
      <c r="J358" s="630">
        <v>-202559.54</v>
      </c>
      <c r="K358" s="630">
        <v>-210003.56</v>
      </c>
      <c r="L358" s="630">
        <v>-1077917.17</v>
      </c>
      <c r="M358" s="630">
        <v>-543783.85</v>
      </c>
      <c r="N358" s="630">
        <v>-37675.730000000003</v>
      </c>
      <c r="O358" s="630">
        <v>-2.56</v>
      </c>
      <c r="P358" s="631">
        <v>0</v>
      </c>
      <c r="Q358" s="631">
        <v>0</v>
      </c>
      <c r="R358" s="631">
        <v>0</v>
      </c>
    </row>
    <row r="359" spans="1:18" ht="12.75" customHeight="1" x14ac:dyDescent="0.2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">
      <c r="A361" s="781" t="s">
        <v>2</v>
      </c>
      <c r="B361" s="780" t="s">
        <v>132</v>
      </c>
      <c r="C361" s="766" t="s">
        <v>70</v>
      </c>
      <c r="D361" s="766">
        <f>D358-P358</f>
        <v>-3092375.53</v>
      </c>
      <c r="E361" s="766">
        <f>E348+E354</f>
        <v>-204651.35</v>
      </c>
      <c r="F361" s="766">
        <f t="shared" ref="F361:R361" si="14">F348+F354</f>
        <v>-114062.66</v>
      </c>
      <c r="G361" s="766">
        <f t="shared" si="14"/>
        <v>-59426.1</v>
      </c>
      <c r="H361" s="766">
        <f t="shared" si="14"/>
        <v>-755065.41999999993</v>
      </c>
      <c r="I361" s="766">
        <f t="shared" si="14"/>
        <v>-27250.92</v>
      </c>
      <c r="J361" s="766">
        <f t="shared" si="14"/>
        <v>-239043.97000000003</v>
      </c>
      <c r="K361" s="766">
        <f t="shared" si="14"/>
        <v>-246114.56</v>
      </c>
      <c r="L361" s="766">
        <f t="shared" si="14"/>
        <v>-1258305.7000000002</v>
      </c>
      <c r="M361" s="766">
        <f t="shared" si="14"/>
        <v>-604168.65999999992</v>
      </c>
      <c r="N361" s="766">
        <f t="shared" si="14"/>
        <v>-44461.78</v>
      </c>
      <c r="O361" s="766">
        <f t="shared" si="14"/>
        <v>-2.5600000000000005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">
      <c r="A362" s="781"/>
      <c r="B362" s="780"/>
      <c r="C362" s="766" t="s">
        <v>73</v>
      </c>
      <c r="D362" s="767">
        <f>D350+D356</f>
        <v>460178.15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">
      <c r="A367" s="781" t="s">
        <v>155</v>
      </c>
      <c r="B367" s="780" t="s">
        <v>132</v>
      </c>
      <c r="C367" s="633" t="s">
        <v>70</v>
      </c>
      <c r="D367" s="633">
        <f>D351-P351</f>
        <v>-2065600</v>
      </c>
      <c r="E367" s="633">
        <f>E348</f>
        <v>-131268.72</v>
      </c>
      <c r="F367" s="633">
        <f t="shared" ref="F367:R367" si="15">F348</f>
        <v>-73999.75</v>
      </c>
      <c r="G367" s="633">
        <f t="shared" si="15"/>
        <v>-38388.879999999997</v>
      </c>
      <c r="H367" s="633">
        <f t="shared" si="15"/>
        <v>-517154.17</v>
      </c>
      <c r="I367" s="633">
        <f t="shared" si="15"/>
        <v>-20620.099999999999</v>
      </c>
      <c r="J367" s="633">
        <f t="shared" si="15"/>
        <v>-180880.17</v>
      </c>
      <c r="K367" s="633">
        <f t="shared" si="15"/>
        <v>-177121.01</v>
      </c>
      <c r="L367" s="633">
        <f t="shared" si="15"/>
        <v>-904166.17</v>
      </c>
      <c r="M367" s="633">
        <f t="shared" si="15"/>
        <v>-384256.35</v>
      </c>
      <c r="N367" s="633">
        <f t="shared" si="15"/>
        <v>-33643.24</v>
      </c>
      <c r="O367" s="633">
        <f t="shared" si="15"/>
        <v>8.7899999999999991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">
      <c r="A368" s="781"/>
      <c r="B368" s="780"/>
      <c r="C368" s="633" t="s">
        <v>73</v>
      </c>
      <c r="D368" s="633">
        <f>D350</f>
        <v>395889.77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">
      <c r="A370" s="779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">
      <c r="A371" s="779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">
      <c r="A373" s="781" t="s">
        <v>119</v>
      </c>
      <c r="B373" s="780" t="s">
        <v>132</v>
      </c>
      <c r="C373" s="628" t="s">
        <v>70</v>
      </c>
      <c r="D373" s="628">
        <f>D357-P357</f>
        <v>-1026775.53</v>
      </c>
      <c r="E373" s="628">
        <f>E354</f>
        <v>-73382.63</v>
      </c>
      <c r="F373" s="628">
        <f t="shared" ref="F373:R373" si="16">F354</f>
        <v>-40062.910000000003</v>
      </c>
      <c r="G373" s="628">
        <f t="shared" si="16"/>
        <v>-21037.22</v>
      </c>
      <c r="H373" s="628">
        <f t="shared" si="16"/>
        <v>-237911.25</v>
      </c>
      <c r="I373" s="628">
        <f t="shared" si="16"/>
        <v>-6630.82</v>
      </c>
      <c r="J373" s="628">
        <f t="shared" si="16"/>
        <v>-58163.8</v>
      </c>
      <c r="K373" s="628">
        <f t="shared" si="16"/>
        <v>-68993.55</v>
      </c>
      <c r="L373" s="628">
        <f t="shared" si="16"/>
        <v>-354139.53</v>
      </c>
      <c r="M373" s="628">
        <f t="shared" si="16"/>
        <v>-219912.31</v>
      </c>
      <c r="N373" s="628">
        <f t="shared" si="16"/>
        <v>-10818.54</v>
      </c>
      <c r="O373" s="628">
        <f t="shared" si="16"/>
        <v>-11.35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">
      <c r="A374" s="781"/>
      <c r="B374" s="780"/>
      <c r="C374" s="628" t="s">
        <v>73</v>
      </c>
      <c r="D374" s="629">
        <f>D356</f>
        <v>64288.38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">
      <c r="A376" s="782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">
      <c r="A377" s="782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"/>
    <row r="381" spans="1:18" x14ac:dyDescent="0.2">
      <c r="D381" s="616">
        <f t="shared" ref="D381:R381" si="17">D73+D174+D211+D326+D361</f>
        <v>-156747931.65000001</v>
      </c>
      <c r="E381" s="616">
        <f t="shared" si="17"/>
        <v>-22568475.98</v>
      </c>
      <c r="F381" s="616">
        <f t="shared" si="17"/>
        <v>-10927711.75</v>
      </c>
      <c r="G381" s="616">
        <f t="shared" si="17"/>
        <v>-5814176.8499999996</v>
      </c>
      <c r="H381" s="616">
        <f t="shared" si="17"/>
        <v>-20545989.630000003</v>
      </c>
      <c r="I381" s="616">
        <f t="shared" si="17"/>
        <v>-747388.07000000007</v>
      </c>
      <c r="J381" s="616">
        <f t="shared" si="17"/>
        <v>-6605814.3799999999</v>
      </c>
      <c r="K381" s="616">
        <f t="shared" si="17"/>
        <v>-6607232.419999999</v>
      </c>
      <c r="L381" s="616">
        <f t="shared" si="17"/>
        <v>-30776419.849999998</v>
      </c>
      <c r="M381" s="616">
        <f t="shared" si="17"/>
        <v>-49285206.960000001</v>
      </c>
      <c r="N381" s="616">
        <f t="shared" si="17"/>
        <v>-1224099.24</v>
      </c>
      <c r="O381" s="616">
        <f t="shared" si="17"/>
        <v>-3.3999999999999897</v>
      </c>
      <c r="P381" s="616">
        <f t="shared" si="17"/>
        <v>0</v>
      </c>
      <c r="Q381" s="616">
        <f t="shared" si="17"/>
        <v>0</v>
      </c>
      <c r="R381" s="616">
        <f t="shared" si="17"/>
        <v>-0.28999999999999998</v>
      </c>
    </row>
    <row r="382" spans="1:18" x14ac:dyDescent="0.2">
      <c r="D382" s="616">
        <f>D74+D175+D212+D327+D362</f>
        <v>-1645412.83</v>
      </c>
    </row>
  </sheetData>
  <mergeCells count="60"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  <mergeCell ref="A332:A333"/>
    <mergeCell ref="B332:B333"/>
    <mergeCell ref="A338:A339"/>
    <mergeCell ref="B338:B339"/>
    <mergeCell ref="A335:A336"/>
    <mergeCell ref="B335:B336"/>
    <mergeCell ref="A226:A227"/>
    <mergeCell ref="B226:B227"/>
    <mergeCell ref="A326:A327"/>
    <mergeCell ref="B326:B327"/>
    <mergeCell ref="A329:A330"/>
    <mergeCell ref="B329:B330"/>
    <mergeCell ref="A214:A215"/>
    <mergeCell ref="B214:B215"/>
    <mergeCell ref="A217:A218"/>
    <mergeCell ref="B217:B218"/>
    <mergeCell ref="A223:A224"/>
    <mergeCell ref="B223:B224"/>
    <mergeCell ref="A186:A187"/>
    <mergeCell ref="B186:B187"/>
    <mergeCell ref="A189:A190"/>
    <mergeCell ref="B189:B190"/>
    <mergeCell ref="A211:A212"/>
    <mergeCell ref="B211:B212"/>
    <mergeCell ref="A73:A74"/>
    <mergeCell ref="B73:B74"/>
    <mergeCell ref="A76:A77"/>
    <mergeCell ref="B76:B77"/>
    <mergeCell ref="A79:A80"/>
    <mergeCell ref="B79:B80"/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2.75" x14ac:dyDescent="0.2"/>
  <cols>
    <col min="2" max="2" width="24.42578125" bestFit="1" customWidth="1"/>
    <col min="3" max="3" width="17" style="144" bestFit="1" customWidth="1"/>
    <col min="4" max="4" width="23.140625" bestFit="1" customWidth="1"/>
    <col min="5" max="5" width="15.85546875" bestFit="1" customWidth="1"/>
    <col min="6" max="6" width="16.140625" customWidth="1"/>
    <col min="7" max="7" width="15.42578125" bestFit="1" customWidth="1"/>
    <col min="8" max="8" width="15" bestFit="1" customWidth="1"/>
    <col min="9" max="9" width="15.140625" bestFit="1" customWidth="1"/>
    <col min="10" max="10" width="17" bestFit="1" customWidth="1"/>
    <col min="11" max="12" width="15.5703125" bestFit="1" customWidth="1"/>
    <col min="13" max="13" width="15.140625" bestFit="1" customWidth="1"/>
    <col min="14" max="14" width="17.85546875" bestFit="1" customWidth="1"/>
    <col min="15" max="15" width="15.5703125" customWidth="1"/>
    <col min="16" max="16" width="20.42578125" bestFit="1" customWidth="1"/>
  </cols>
  <sheetData>
    <row r="1" spans="1:16" x14ac:dyDescent="0.2">
      <c r="B1" s="97" t="s">
        <v>74</v>
      </c>
    </row>
    <row r="2" spans="1:16" ht="12.75" customHeight="1" x14ac:dyDescent="0.2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">
      <c r="B3" s="89" t="s">
        <v>72</v>
      </c>
      <c r="C3" s="90">
        <v>796773.47</v>
      </c>
      <c r="D3" s="90">
        <v>65524.22</v>
      </c>
      <c r="E3" s="90">
        <v>36995.019999999997</v>
      </c>
      <c r="F3" s="90">
        <v>19417.650000000001</v>
      </c>
      <c r="G3" s="90">
        <v>156624.35</v>
      </c>
      <c r="H3" s="90">
        <v>5557.5</v>
      </c>
      <c r="I3" s="90">
        <v>0</v>
      </c>
      <c r="J3" s="90">
        <v>52109.79</v>
      </c>
      <c r="K3" s="90">
        <v>47607.03</v>
      </c>
      <c r="L3" s="90">
        <v>225441.17</v>
      </c>
      <c r="M3" s="90">
        <v>178429.31</v>
      </c>
      <c r="N3" s="90">
        <v>9067.43</v>
      </c>
      <c r="O3" s="90">
        <v>0</v>
      </c>
    </row>
    <row r="4" spans="1:16" ht="12.75" customHeight="1" x14ac:dyDescent="0.2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">
      <c r="A5" s="376" t="s">
        <v>78</v>
      </c>
      <c r="B5" s="376" t="s">
        <v>70</v>
      </c>
      <c r="C5" s="377">
        <v>796773.47</v>
      </c>
      <c r="D5" s="377">
        <v>65524.22</v>
      </c>
      <c r="E5" s="377">
        <v>36995.019999999997</v>
      </c>
      <c r="F5" s="377">
        <v>19417.650000000001</v>
      </c>
      <c r="G5" s="377">
        <v>156624.35</v>
      </c>
      <c r="H5" s="377">
        <v>5557.5</v>
      </c>
      <c r="I5" s="377">
        <v>0</v>
      </c>
      <c r="J5" s="377">
        <v>52109.79</v>
      </c>
      <c r="K5" s="377">
        <v>47607.03</v>
      </c>
      <c r="L5" s="377">
        <v>225441.17</v>
      </c>
      <c r="M5" s="377">
        <v>178429.31</v>
      </c>
      <c r="N5" s="377">
        <v>9067.43</v>
      </c>
      <c r="O5" s="377">
        <v>0</v>
      </c>
      <c r="P5" s="378"/>
    </row>
    <row r="6" spans="1:16" ht="12.75" customHeight="1" x14ac:dyDescent="0.2">
      <c r="B6" s="89" t="s">
        <v>73</v>
      </c>
      <c r="C6" s="90">
        <v>176919.99</v>
      </c>
      <c r="D6" s="90">
        <v>32442.78</v>
      </c>
      <c r="E6" s="90">
        <v>18317.240000000002</v>
      </c>
      <c r="F6" s="90">
        <v>9614.2099999999991</v>
      </c>
      <c r="G6" s="90">
        <v>9543.57</v>
      </c>
      <c r="H6" s="90">
        <v>280.5</v>
      </c>
      <c r="I6" s="90">
        <v>0</v>
      </c>
      <c r="J6" s="90">
        <v>1116.45</v>
      </c>
      <c r="K6" s="90">
        <v>2883.45</v>
      </c>
      <c r="L6" s="90">
        <v>13655.06</v>
      </c>
      <c r="M6" s="90">
        <v>88609.08</v>
      </c>
      <c r="N6" s="90">
        <v>457.65</v>
      </c>
      <c r="O6" s="90">
        <v>0</v>
      </c>
    </row>
    <row r="7" spans="1:16" ht="12.75" customHeight="1" x14ac:dyDescent="0.2">
      <c r="A7" s="373" t="s">
        <v>79</v>
      </c>
      <c r="B7" s="373" t="s">
        <v>70</v>
      </c>
      <c r="C7" s="374">
        <v>176919.99</v>
      </c>
      <c r="D7" s="374">
        <v>32442.78</v>
      </c>
      <c r="E7" s="374">
        <v>18317.240000000002</v>
      </c>
      <c r="F7" s="374">
        <v>9614.2099999999991</v>
      </c>
      <c r="G7" s="374">
        <v>9543.57</v>
      </c>
      <c r="H7" s="374">
        <v>280.5</v>
      </c>
      <c r="I7" s="374">
        <v>0</v>
      </c>
      <c r="J7" s="374">
        <v>1116.45</v>
      </c>
      <c r="K7" s="374">
        <v>2883.45</v>
      </c>
      <c r="L7" s="374">
        <v>13655.06</v>
      </c>
      <c r="M7" s="374">
        <v>88609.08</v>
      </c>
      <c r="N7" s="374">
        <v>457.65</v>
      </c>
      <c r="O7" s="374">
        <v>0</v>
      </c>
      <c r="P7" s="372"/>
    </row>
    <row r="8" spans="1:16" ht="12.75" customHeight="1" x14ac:dyDescent="0.2">
      <c r="A8" s="89" t="s">
        <v>70</v>
      </c>
      <c r="C8" s="90">
        <v>973693.46</v>
      </c>
      <c r="D8" s="90">
        <v>97967</v>
      </c>
      <c r="E8" s="90">
        <v>55312.26</v>
      </c>
      <c r="F8" s="90">
        <v>29031.86</v>
      </c>
      <c r="G8" s="90">
        <v>166167.92000000001</v>
      </c>
      <c r="H8" s="90">
        <v>5838</v>
      </c>
      <c r="I8" s="90">
        <v>0</v>
      </c>
      <c r="J8" s="90">
        <v>53226.239999999998</v>
      </c>
      <c r="K8" s="90">
        <v>50490.48</v>
      </c>
      <c r="L8" s="90">
        <v>239096.23</v>
      </c>
      <c r="M8" s="90">
        <v>267038.39</v>
      </c>
      <c r="N8" s="90">
        <v>9525.08</v>
      </c>
      <c r="O8" s="90">
        <v>0</v>
      </c>
    </row>
    <row r="9" spans="1:16" ht="12.75" customHeight="1" x14ac:dyDescent="0.2"/>
    <row r="10" spans="1:16" ht="12.75" customHeight="1" x14ac:dyDescent="0.2">
      <c r="B10" s="145" t="s">
        <v>70</v>
      </c>
      <c r="C10" s="99">
        <f>C8-I8</f>
        <v>973693.46</v>
      </c>
      <c r="D10" s="99">
        <f>D5</f>
        <v>65524.22</v>
      </c>
      <c r="E10" s="99">
        <f t="shared" ref="E10:P10" si="0">E5</f>
        <v>36995.019999999997</v>
      </c>
      <c r="F10" s="99">
        <f t="shared" si="0"/>
        <v>19417.650000000001</v>
      </c>
      <c r="G10" s="99">
        <f t="shared" si="0"/>
        <v>156624.35</v>
      </c>
      <c r="H10" s="99">
        <f t="shared" si="0"/>
        <v>5557.5</v>
      </c>
      <c r="I10" s="99">
        <f t="shared" si="0"/>
        <v>0</v>
      </c>
      <c r="J10" s="99">
        <f t="shared" si="0"/>
        <v>52109.79</v>
      </c>
      <c r="K10" s="99">
        <f t="shared" si="0"/>
        <v>47607.03</v>
      </c>
      <c r="L10" s="99">
        <f t="shared" si="0"/>
        <v>225441.17</v>
      </c>
      <c r="M10" s="99">
        <f t="shared" si="0"/>
        <v>178429.31</v>
      </c>
      <c r="N10" s="99">
        <f t="shared" si="0"/>
        <v>9067.43</v>
      </c>
      <c r="O10" s="99">
        <f>O5</f>
        <v>0</v>
      </c>
      <c r="P10" s="99">
        <f t="shared" si="0"/>
        <v>0</v>
      </c>
    </row>
    <row r="11" spans="1:16" ht="12.75" customHeight="1" x14ac:dyDescent="0.2">
      <c r="B11" s="145" t="s">
        <v>73</v>
      </c>
      <c r="C11" s="99">
        <f>C7</f>
        <v>176919.99</v>
      </c>
      <c r="D11" s="150"/>
    </row>
    <row r="12" spans="1:16" x14ac:dyDescent="0.2">
      <c r="D12" s="150"/>
    </row>
    <row r="13" spans="1:16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">
      <c r="B14" s="97" t="s">
        <v>75</v>
      </c>
    </row>
    <row r="15" spans="1:16" ht="12.75" customHeight="1" x14ac:dyDescent="0.2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">
      <c r="B16" t="s">
        <v>72</v>
      </c>
      <c r="C16" s="89">
        <v>448371.28</v>
      </c>
      <c r="D16" s="89">
        <v>31889</v>
      </c>
      <c r="E16" s="89">
        <v>18568.04</v>
      </c>
      <c r="F16" s="384">
        <v>8864.59</v>
      </c>
      <c r="G16" s="89">
        <v>92916.35</v>
      </c>
      <c r="H16" s="89">
        <v>3882.28</v>
      </c>
      <c r="I16" s="89">
        <v>0</v>
      </c>
      <c r="J16" s="89">
        <v>61344.03</v>
      </c>
      <c r="K16" s="89">
        <v>33520.25</v>
      </c>
      <c r="L16" s="89">
        <v>127751.61</v>
      </c>
      <c r="M16" s="89">
        <v>64498.2</v>
      </c>
      <c r="N16" s="89">
        <v>5137.3</v>
      </c>
      <c r="O16" s="89">
        <v>-0.37</v>
      </c>
    </row>
    <row r="17" spans="1:16" ht="12.75" customHeight="1" x14ac:dyDescent="0.2">
      <c r="B17" t="s">
        <v>81</v>
      </c>
      <c r="C17" s="89">
        <v>172.61</v>
      </c>
      <c r="D17" s="89">
        <v>8.6199999999999992</v>
      </c>
      <c r="E17" s="89">
        <v>4.87</v>
      </c>
      <c r="F17" s="384">
        <v>2.5499999999999998</v>
      </c>
      <c r="G17" s="89">
        <v>43.14</v>
      </c>
      <c r="H17" s="89">
        <v>1.6</v>
      </c>
      <c r="I17" s="89">
        <v>0</v>
      </c>
      <c r="J17" s="89">
        <v>14.06</v>
      </c>
      <c r="K17" s="89">
        <v>13.76</v>
      </c>
      <c r="L17" s="89">
        <v>64.260000000000005</v>
      </c>
      <c r="M17" s="89">
        <v>17.12</v>
      </c>
      <c r="N17" s="89">
        <v>2.62</v>
      </c>
      <c r="O17" s="89">
        <v>0.01</v>
      </c>
    </row>
    <row r="18" spans="1:16" ht="12.75" customHeight="1" x14ac:dyDescent="0.2">
      <c r="A18" s="376" t="s">
        <v>78</v>
      </c>
      <c r="B18" s="376" t="s">
        <v>70</v>
      </c>
      <c r="C18" s="377">
        <v>448543.89</v>
      </c>
      <c r="D18" s="377">
        <v>31897.62</v>
      </c>
      <c r="E18" s="377">
        <v>18572.91</v>
      </c>
      <c r="F18" s="377">
        <v>8867.14</v>
      </c>
      <c r="G18" s="377">
        <v>92959.49</v>
      </c>
      <c r="H18" s="377">
        <v>3883.88</v>
      </c>
      <c r="I18" s="377">
        <v>0</v>
      </c>
      <c r="J18" s="377">
        <v>61358.09</v>
      </c>
      <c r="K18" s="377">
        <v>33534.01</v>
      </c>
      <c r="L18" s="377">
        <v>127815.87</v>
      </c>
      <c r="M18" s="377">
        <v>64515.32</v>
      </c>
      <c r="N18" s="377">
        <v>5139.92</v>
      </c>
      <c r="O18" s="377">
        <v>-0.36</v>
      </c>
      <c r="P18" s="378"/>
    </row>
    <row r="19" spans="1:16" ht="12.75" customHeight="1" x14ac:dyDescent="0.2">
      <c r="B19" s="89" t="s">
        <v>73</v>
      </c>
      <c r="C19" s="90">
        <v>-232518.12</v>
      </c>
      <c r="D19" s="90">
        <v>-15692.52</v>
      </c>
      <c r="E19" s="90">
        <v>-8860.02</v>
      </c>
      <c r="F19" s="90">
        <v>-4649.05</v>
      </c>
      <c r="G19" s="90">
        <v>-48588.46</v>
      </c>
      <c r="H19" s="90">
        <v>-1735.35</v>
      </c>
      <c r="I19" s="90">
        <v>0</v>
      </c>
      <c r="J19" s="90">
        <v>-35751.35</v>
      </c>
      <c r="K19" s="90">
        <v>-14884.94</v>
      </c>
      <c r="L19" s="90">
        <v>-70344.960000000006</v>
      </c>
      <c r="M19" s="90">
        <v>-29180.14</v>
      </c>
      <c r="N19" s="90">
        <v>-2831.33</v>
      </c>
      <c r="O19" s="90">
        <v>0</v>
      </c>
    </row>
    <row r="20" spans="1:16" ht="12.75" customHeight="1" x14ac:dyDescent="0.2">
      <c r="A20" s="373" t="s">
        <v>79</v>
      </c>
      <c r="B20" s="373" t="s">
        <v>70</v>
      </c>
      <c r="C20" s="374">
        <v>-232518.12</v>
      </c>
      <c r="D20" s="374">
        <v>-15692.52</v>
      </c>
      <c r="E20" s="374">
        <v>-8860.02</v>
      </c>
      <c r="F20" s="374">
        <v>-4649.05</v>
      </c>
      <c r="G20" s="374">
        <v>-48588.46</v>
      </c>
      <c r="H20" s="374">
        <v>-1735.35</v>
      </c>
      <c r="I20" s="374">
        <v>0</v>
      </c>
      <c r="J20" s="374">
        <v>-35751.35</v>
      </c>
      <c r="K20" s="374">
        <v>-14884.94</v>
      </c>
      <c r="L20" s="374">
        <v>-70344.960000000006</v>
      </c>
      <c r="M20" s="374">
        <v>-29180.14</v>
      </c>
      <c r="N20" s="374">
        <v>-2831.33</v>
      </c>
      <c r="O20" s="374">
        <v>0</v>
      </c>
      <c r="P20" s="372"/>
    </row>
    <row r="21" spans="1:16" ht="12.75" customHeight="1" x14ac:dyDescent="0.2">
      <c r="A21" s="89" t="s">
        <v>70</v>
      </c>
      <c r="C21" s="90">
        <v>216025.77</v>
      </c>
      <c r="D21" s="90">
        <v>16205.1</v>
      </c>
      <c r="E21" s="90">
        <v>9712.89</v>
      </c>
      <c r="F21" s="90">
        <v>4218.09</v>
      </c>
      <c r="G21" s="90">
        <v>44371.03</v>
      </c>
      <c r="H21" s="90">
        <v>2148.5300000000002</v>
      </c>
      <c r="I21" s="90">
        <v>0</v>
      </c>
      <c r="J21" s="90">
        <v>25606.74</v>
      </c>
      <c r="K21" s="90">
        <v>18649.07</v>
      </c>
      <c r="L21" s="90">
        <v>57470.91</v>
      </c>
      <c r="M21" s="90">
        <v>35335.18</v>
      </c>
      <c r="N21" s="90">
        <v>2308.59</v>
      </c>
      <c r="O21" s="90">
        <v>-0.36</v>
      </c>
    </row>
    <row r="22" spans="1:16" ht="12.75" customHeight="1" x14ac:dyDescent="0.2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">
      <c r="B23" s="145" t="s">
        <v>70</v>
      </c>
      <c r="C23" s="99">
        <f>C21-I21</f>
        <v>216025.77</v>
      </c>
      <c r="D23" s="99">
        <f>D18</f>
        <v>31897.62</v>
      </c>
      <c r="E23" s="99">
        <f t="shared" ref="E23:P23" si="1">E18</f>
        <v>18572.91</v>
      </c>
      <c r="F23" s="99">
        <f t="shared" si="1"/>
        <v>8867.14</v>
      </c>
      <c r="G23" s="99">
        <f t="shared" si="1"/>
        <v>92959.49</v>
      </c>
      <c r="H23" s="99">
        <f t="shared" si="1"/>
        <v>3883.88</v>
      </c>
      <c r="I23" s="99">
        <f t="shared" si="1"/>
        <v>0</v>
      </c>
      <c r="J23" s="99">
        <f t="shared" si="1"/>
        <v>61358.09</v>
      </c>
      <c r="K23" s="99">
        <f t="shared" si="1"/>
        <v>33534.01</v>
      </c>
      <c r="L23" s="99">
        <f t="shared" si="1"/>
        <v>127815.87</v>
      </c>
      <c r="M23" s="99">
        <f t="shared" si="1"/>
        <v>64515.32</v>
      </c>
      <c r="N23" s="99">
        <f t="shared" si="1"/>
        <v>5139.92</v>
      </c>
      <c r="O23" s="99">
        <f>O18</f>
        <v>-0.36</v>
      </c>
      <c r="P23" s="99">
        <f t="shared" si="1"/>
        <v>0</v>
      </c>
    </row>
    <row r="24" spans="1:16" ht="12.75" customHeight="1" x14ac:dyDescent="0.2">
      <c r="B24" s="145" t="s">
        <v>73</v>
      </c>
      <c r="C24" s="99">
        <f>C20</f>
        <v>-232518.12</v>
      </c>
    </row>
    <row r="26" spans="1:16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">
      <c r="B27" s="97" t="s">
        <v>76</v>
      </c>
    </row>
    <row r="28" spans="1:16" ht="12.75" customHeight="1" x14ac:dyDescent="0.2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">
      <c r="B29" s="89" t="s">
        <v>72</v>
      </c>
      <c r="C29" s="90">
        <v>93864.95</v>
      </c>
      <c r="D29" s="90">
        <v>6620.63</v>
      </c>
      <c r="E29" s="90">
        <v>3738.02</v>
      </c>
      <c r="F29" s="90">
        <v>1961.98</v>
      </c>
      <c r="G29" s="90">
        <v>20927.5</v>
      </c>
      <c r="H29" s="90">
        <v>743.08</v>
      </c>
      <c r="I29" s="90">
        <v>0</v>
      </c>
      <c r="J29" s="90">
        <v>6518.28</v>
      </c>
      <c r="K29" s="90">
        <v>6410.86</v>
      </c>
      <c r="L29" s="90">
        <v>30349.1</v>
      </c>
      <c r="M29" s="90">
        <v>15383.1</v>
      </c>
      <c r="N29" s="90">
        <v>1212.4000000000001</v>
      </c>
      <c r="O29" s="90">
        <v>0</v>
      </c>
    </row>
    <row r="30" spans="1:16" ht="12.75" customHeight="1" x14ac:dyDescent="0.2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">
      <c r="A31" s="376" t="s">
        <v>78</v>
      </c>
      <c r="B31" s="376" t="s">
        <v>70</v>
      </c>
      <c r="C31" s="377">
        <v>93864.95</v>
      </c>
      <c r="D31" s="377">
        <v>6620.63</v>
      </c>
      <c r="E31" s="377">
        <v>3738.02</v>
      </c>
      <c r="F31" s="377">
        <v>1961.98</v>
      </c>
      <c r="G31" s="377">
        <v>20927.5</v>
      </c>
      <c r="H31" s="377">
        <v>743.08</v>
      </c>
      <c r="I31" s="377">
        <v>0</v>
      </c>
      <c r="J31" s="377">
        <v>6518.28</v>
      </c>
      <c r="K31" s="377">
        <v>6410.86</v>
      </c>
      <c r="L31" s="377">
        <v>30349.1</v>
      </c>
      <c r="M31" s="377">
        <v>15383.1</v>
      </c>
      <c r="N31" s="377">
        <v>1212.4000000000001</v>
      </c>
      <c r="O31" s="377">
        <v>0</v>
      </c>
      <c r="P31" s="378"/>
    </row>
    <row r="32" spans="1:16" ht="12.75" customHeight="1" x14ac:dyDescent="0.2">
      <c r="B32" s="89" t="s">
        <v>73</v>
      </c>
      <c r="C32" s="90">
        <v>10366.879999999999</v>
      </c>
      <c r="D32" s="90">
        <v>1686.92</v>
      </c>
      <c r="E32" s="90">
        <v>952.43</v>
      </c>
      <c r="F32" s="90">
        <v>499.9</v>
      </c>
      <c r="G32" s="90">
        <v>1046.3800000000001</v>
      </c>
      <c r="H32" s="90">
        <v>37.15</v>
      </c>
      <c r="I32" s="90">
        <v>0</v>
      </c>
      <c r="J32" s="90">
        <v>325.91000000000003</v>
      </c>
      <c r="K32" s="90">
        <v>320.55</v>
      </c>
      <c r="L32" s="90">
        <v>1517.46</v>
      </c>
      <c r="M32" s="90">
        <v>3919.56</v>
      </c>
      <c r="N32" s="90">
        <v>60.62</v>
      </c>
      <c r="O32" s="90">
        <v>0</v>
      </c>
    </row>
    <row r="33" spans="1:16" ht="12.75" customHeight="1" x14ac:dyDescent="0.2">
      <c r="A33" s="373" t="s">
        <v>79</v>
      </c>
      <c r="B33" s="373" t="s">
        <v>70</v>
      </c>
      <c r="C33" s="374">
        <v>10366.879999999999</v>
      </c>
      <c r="D33" s="374">
        <v>1686.92</v>
      </c>
      <c r="E33" s="374">
        <v>952.43</v>
      </c>
      <c r="F33" s="374">
        <v>499.9</v>
      </c>
      <c r="G33" s="374">
        <v>1046.3800000000001</v>
      </c>
      <c r="H33" s="374">
        <v>37.15</v>
      </c>
      <c r="I33" s="374">
        <v>0</v>
      </c>
      <c r="J33" s="374">
        <v>325.91000000000003</v>
      </c>
      <c r="K33" s="374">
        <v>320.55</v>
      </c>
      <c r="L33" s="374">
        <v>1517.46</v>
      </c>
      <c r="M33" s="374">
        <v>3919.56</v>
      </c>
      <c r="N33" s="374">
        <v>60.62</v>
      </c>
      <c r="O33" s="374">
        <v>0</v>
      </c>
      <c r="P33" s="372"/>
    </row>
    <row r="34" spans="1:16" ht="12.75" customHeight="1" x14ac:dyDescent="0.2">
      <c r="A34" s="89" t="s">
        <v>70</v>
      </c>
      <c r="C34" s="90">
        <v>104231.83</v>
      </c>
      <c r="D34" s="90">
        <v>8307.5499999999993</v>
      </c>
      <c r="E34" s="90">
        <v>4690.45</v>
      </c>
      <c r="F34" s="90">
        <v>2461.88</v>
      </c>
      <c r="G34" s="90">
        <v>21973.88</v>
      </c>
      <c r="H34" s="90">
        <v>780.23</v>
      </c>
      <c r="I34" s="90">
        <v>0</v>
      </c>
      <c r="J34" s="90">
        <v>6844.19</v>
      </c>
      <c r="K34" s="90">
        <v>6731.41</v>
      </c>
      <c r="L34" s="90">
        <v>31866.560000000001</v>
      </c>
      <c r="M34" s="90">
        <v>19302.66</v>
      </c>
      <c r="N34" s="90">
        <v>1273.02</v>
      </c>
      <c r="O34" s="90">
        <v>0</v>
      </c>
    </row>
    <row r="35" spans="1:16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">
      <c r="B36" s="145" t="s">
        <v>70</v>
      </c>
      <c r="C36" s="99">
        <f>C34-I34</f>
        <v>104231.83</v>
      </c>
      <c r="D36" s="99">
        <f>D31</f>
        <v>6620.63</v>
      </c>
      <c r="E36" s="99">
        <f t="shared" ref="E36:P36" si="2">E31</f>
        <v>3738.02</v>
      </c>
      <c r="F36" s="99">
        <f t="shared" si="2"/>
        <v>1961.98</v>
      </c>
      <c r="G36" s="99">
        <f t="shared" si="2"/>
        <v>20927.5</v>
      </c>
      <c r="H36" s="99">
        <f t="shared" si="2"/>
        <v>743.08</v>
      </c>
      <c r="I36" s="99">
        <f t="shared" si="2"/>
        <v>0</v>
      </c>
      <c r="J36" s="99">
        <f t="shared" si="2"/>
        <v>6518.28</v>
      </c>
      <c r="K36" s="99">
        <f t="shared" si="2"/>
        <v>6410.86</v>
      </c>
      <c r="L36" s="99">
        <f t="shared" si="2"/>
        <v>30349.1</v>
      </c>
      <c r="M36" s="99">
        <f t="shared" si="2"/>
        <v>15383.1</v>
      </c>
      <c r="N36" s="99">
        <f t="shared" si="2"/>
        <v>1212.4000000000001</v>
      </c>
      <c r="O36" s="99">
        <f>O31</f>
        <v>0</v>
      </c>
      <c r="P36" s="99">
        <f t="shared" si="2"/>
        <v>0</v>
      </c>
    </row>
    <row r="37" spans="1:16" ht="12.75" customHeight="1" x14ac:dyDescent="0.2">
      <c r="B37" s="145" t="s">
        <v>73</v>
      </c>
      <c r="C37" s="99">
        <f>C33</f>
        <v>10366.879999999999</v>
      </c>
    </row>
    <row r="39" spans="1:16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">
      <c r="B40" s="97" t="s">
        <v>88</v>
      </c>
    </row>
    <row r="41" spans="1:16" ht="12.75" customHeight="1" x14ac:dyDescent="0.2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">
      <c r="B42" t="s">
        <v>72</v>
      </c>
      <c r="C42" s="89">
        <v>43025.120000000003</v>
      </c>
      <c r="D42" s="89">
        <v>1890.6</v>
      </c>
      <c r="E42" s="89">
        <v>1067.43</v>
      </c>
      <c r="F42" s="384">
        <v>560.27</v>
      </c>
      <c r="G42" s="89">
        <v>10800.02</v>
      </c>
      <c r="H42" s="89">
        <v>371.66</v>
      </c>
      <c r="I42" s="89">
        <v>0</v>
      </c>
      <c r="J42" s="89">
        <v>3260.18</v>
      </c>
      <c r="K42" s="89">
        <v>3149.08</v>
      </c>
      <c r="L42" s="89">
        <v>16313.73</v>
      </c>
      <c r="M42" s="89">
        <v>5005.76</v>
      </c>
      <c r="N42" s="89">
        <v>606.39</v>
      </c>
      <c r="O42" s="89">
        <v>0</v>
      </c>
    </row>
    <row r="43" spans="1:16" ht="12.75" customHeight="1" x14ac:dyDescent="0.2">
      <c r="B43" s="89" t="s">
        <v>81</v>
      </c>
      <c r="C43" s="90">
        <v>-616.91999999999996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-616.91999999999996</v>
      </c>
      <c r="M43" s="90">
        <v>0</v>
      </c>
      <c r="N43" s="90">
        <v>0</v>
      </c>
      <c r="O43" s="90">
        <v>0</v>
      </c>
    </row>
    <row r="44" spans="1:16" ht="12.75" customHeight="1" x14ac:dyDescent="0.2">
      <c r="A44" s="376" t="s">
        <v>78</v>
      </c>
      <c r="B44" s="376" t="s">
        <v>70</v>
      </c>
      <c r="C44" s="377">
        <v>42408.2</v>
      </c>
      <c r="D44" s="377">
        <v>1890.6</v>
      </c>
      <c r="E44" s="377">
        <v>1067.43</v>
      </c>
      <c r="F44" s="377">
        <v>560.27</v>
      </c>
      <c r="G44" s="377">
        <v>10800.02</v>
      </c>
      <c r="H44" s="377">
        <v>371.66</v>
      </c>
      <c r="I44" s="377">
        <v>0</v>
      </c>
      <c r="J44" s="377">
        <v>3260.18</v>
      </c>
      <c r="K44" s="377">
        <v>3149.08</v>
      </c>
      <c r="L44" s="377">
        <v>15696.81</v>
      </c>
      <c r="M44" s="377">
        <v>5005.76</v>
      </c>
      <c r="N44" s="377">
        <v>606.39</v>
      </c>
      <c r="O44" s="377">
        <v>0</v>
      </c>
      <c r="P44" s="378"/>
    </row>
    <row r="45" spans="1:16" ht="12.75" customHeight="1" x14ac:dyDescent="0.2">
      <c r="B45" s="89" t="s">
        <v>73</v>
      </c>
      <c r="C45" s="90">
        <v>-6453.76</v>
      </c>
      <c r="D45" s="90">
        <v>-283.58999999999997</v>
      </c>
      <c r="E45" s="90">
        <v>-160.11000000000001</v>
      </c>
      <c r="F45" s="90">
        <v>-84.04</v>
      </c>
      <c r="G45" s="90">
        <v>-1620</v>
      </c>
      <c r="H45" s="90">
        <v>-55.75</v>
      </c>
      <c r="I45" s="90">
        <v>0</v>
      </c>
      <c r="J45" s="90">
        <v>-489.03</v>
      </c>
      <c r="K45" s="90">
        <v>-472.36</v>
      </c>
      <c r="L45" s="90">
        <v>-2447.06</v>
      </c>
      <c r="M45" s="90">
        <v>-750.86</v>
      </c>
      <c r="N45" s="90">
        <v>-90.96</v>
      </c>
      <c r="O45" s="90">
        <v>0</v>
      </c>
    </row>
    <row r="46" spans="1:16" ht="12.75" customHeight="1" x14ac:dyDescent="0.2">
      <c r="A46" s="373" t="s">
        <v>79</v>
      </c>
      <c r="B46" s="373" t="s">
        <v>70</v>
      </c>
      <c r="C46" s="374">
        <v>-6453.76</v>
      </c>
      <c r="D46" s="374">
        <v>-283.58999999999997</v>
      </c>
      <c r="E46" s="374">
        <v>-160.11000000000001</v>
      </c>
      <c r="F46" s="374">
        <v>-84.04</v>
      </c>
      <c r="G46" s="374">
        <v>-1620</v>
      </c>
      <c r="H46" s="374">
        <v>-55.75</v>
      </c>
      <c r="I46" s="374">
        <v>0</v>
      </c>
      <c r="J46" s="374">
        <v>-489.03</v>
      </c>
      <c r="K46" s="374">
        <v>-472.36</v>
      </c>
      <c r="L46" s="374">
        <v>-2447.06</v>
      </c>
      <c r="M46" s="374">
        <v>-750.86</v>
      </c>
      <c r="N46" s="374">
        <v>-90.96</v>
      </c>
      <c r="O46" s="374">
        <v>0</v>
      </c>
      <c r="P46" s="372"/>
    </row>
    <row r="47" spans="1:16" ht="12.75" customHeight="1" x14ac:dyDescent="0.2">
      <c r="A47" s="89" t="s">
        <v>70</v>
      </c>
      <c r="C47" s="90">
        <v>35954.44</v>
      </c>
      <c r="D47" s="90">
        <v>1607.01</v>
      </c>
      <c r="E47" s="90">
        <v>907.32</v>
      </c>
      <c r="F47" s="90">
        <v>476.23</v>
      </c>
      <c r="G47" s="90">
        <v>9180.02</v>
      </c>
      <c r="H47" s="90">
        <v>315.91000000000003</v>
      </c>
      <c r="I47" s="90">
        <v>0</v>
      </c>
      <c r="J47" s="90">
        <v>2771.15</v>
      </c>
      <c r="K47" s="90">
        <v>2676.72</v>
      </c>
      <c r="L47" s="90">
        <v>13249.75</v>
      </c>
      <c r="M47" s="90">
        <v>4254.8999999999996</v>
      </c>
      <c r="N47" s="90">
        <v>515.42999999999995</v>
      </c>
      <c r="O47" s="90">
        <v>0</v>
      </c>
    </row>
    <row r="48" spans="1:16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">
      <c r="B49" s="145" t="s">
        <v>70</v>
      </c>
      <c r="C49" s="99">
        <f>C47-I47</f>
        <v>35954.44</v>
      </c>
      <c r="D49" s="99">
        <f>D44</f>
        <v>1890.6</v>
      </c>
      <c r="E49" s="99">
        <f t="shared" ref="E49:P49" si="3">E44</f>
        <v>1067.43</v>
      </c>
      <c r="F49" s="99">
        <f t="shared" si="3"/>
        <v>560.27</v>
      </c>
      <c r="G49" s="99">
        <f t="shared" si="3"/>
        <v>10800.02</v>
      </c>
      <c r="H49" s="99">
        <f t="shared" si="3"/>
        <v>371.66</v>
      </c>
      <c r="I49" s="99">
        <f t="shared" si="3"/>
        <v>0</v>
      </c>
      <c r="J49" s="99">
        <f t="shared" si="3"/>
        <v>3260.18</v>
      </c>
      <c r="K49" s="99">
        <f t="shared" si="3"/>
        <v>3149.08</v>
      </c>
      <c r="L49" s="99">
        <f t="shared" si="3"/>
        <v>15696.81</v>
      </c>
      <c r="M49" s="99">
        <f t="shared" si="3"/>
        <v>5005.76</v>
      </c>
      <c r="N49" s="99">
        <f t="shared" si="3"/>
        <v>606.39</v>
      </c>
      <c r="O49" s="99">
        <f>O44</f>
        <v>0</v>
      </c>
      <c r="P49" s="99">
        <f t="shared" si="3"/>
        <v>0</v>
      </c>
    </row>
    <row r="50" spans="1:16" ht="12.75" customHeight="1" x14ac:dyDescent="0.2">
      <c r="B50" s="145" t="s">
        <v>73</v>
      </c>
      <c r="C50" s="99">
        <f>C46</f>
        <v>-6453.76</v>
      </c>
    </row>
    <row r="52" spans="1:16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">
      <c r="B53" s="97" t="s">
        <v>93</v>
      </c>
    </row>
    <row r="54" spans="1:16" ht="12.75" customHeight="1" x14ac:dyDescent="0.2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2.75" x14ac:dyDescent="0.2"/>
  <cols>
    <col min="2" max="2" width="24.42578125" bestFit="1" customWidth="1"/>
    <col min="3" max="3" width="15.140625" style="144" bestFit="1" customWidth="1"/>
    <col min="4" max="4" width="23.140625" bestFit="1" customWidth="1"/>
    <col min="5" max="5" width="15.85546875" bestFit="1" customWidth="1"/>
    <col min="6" max="6" width="16.5703125" customWidth="1"/>
    <col min="7" max="7" width="15.42578125" bestFit="1" customWidth="1"/>
    <col min="8" max="8" width="15" bestFit="1" customWidth="1"/>
    <col min="9" max="10" width="15" customWidth="1"/>
    <col min="11" max="11" width="15.140625" bestFit="1" customWidth="1"/>
    <col min="12" max="12" width="17" bestFit="1" customWidth="1"/>
    <col min="13" max="14" width="15.5703125" bestFit="1" customWidth="1"/>
    <col min="15" max="15" width="15.140625" bestFit="1" customWidth="1"/>
  </cols>
  <sheetData>
    <row r="1" spans="1:15" x14ac:dyDescent="0.2">
      <c r="B1" s="97" t="s">
        <v>74</v>
      </c>
    </row>
    <row r="2" spans="1:15" ht="12.75" customHeight="1" x14ac:dyDescent="0.2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">
      <c r="B11" s="145" t="s">
        <v>73</v>
      </c>
      <c r="C11" s="99">
        <f>C7</f>
        <v>0</v>
      </c>
    </row>
    <row r="13" spans="1:15" x14ac:dyDescent="0.2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">
      <c r="B14" s="97" t="s">
        <v>75</v>
      </c>
    </row>
    <row r="15" spans="1:15" ht="12.75" customHeight="1" x14ac:dyDescent="0.2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">
      <c r="B24" s="145" t="s">
        <v>73</v>
      </c>
      <c r="C24" s="99">
        <f>C20</f>
        <v>0</v>
      </c>
    </row>
    <row r="26" spans="1:15" x14ac:dyDescent="0.2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">
      <c r="B27" s="97" t="s">
        <v>76</v>
      </c>
    </row>
    <row r="28" spans="1:15" ht="12.75" customHeight="1" x14ac:dyDescent="0.2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">
      <c r="B37" s="145" t="s">
        <v>73</v>
      </c>
      <c r="C37" s="99">
        <f>C33</f>
        <v>0</v>
      </c>
    </row>
    <row r="39" spans="1:15" x14ac:dyDescent="0.2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">
      <c r="B40" s="97" t="s">
        <v>88</v>
      </c>
    </row>
    <row r="41" spans="1:15" ht="12.75" customHeight="1" x14ac:dyDescent="0.2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">
      <c r="B50" s="145" t="s">
        <v>73</v>
      </c>
      <c r="C50" s="99">
        <f>C46</f>
        <v>0</v>
      </c>
    </row>
    <row r="52" spans="1:15" x14ac:dyDescent="0.2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">
      <c r="B53" s="97" t="s">
        <v>93</v>
      </c>
    </row>
    <row r="54" spans="1:15" ht="12.75" customHeight="1" x14ac:dyDescent="0.2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9.140625" style="1" bestFit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8" width="16.85546875" style="1" customWidth="1"/>
    <col min="29" max="30" width="15.85546875" style="1" bestFit="1" customWidth="1"/>
    <col min="31" max="31" width="16.140625" style="1" customWidth="1"/>
    <col min="32" max="32" width="18.140625" style="1" customWidth="1"/>
    <col min="33" max="33" width="13.85546875" style="1" customWidth="1"/>
    <col min="34" max="34" width="3.42578125" style="1" customWidth="1"/>
    <col min="35" max="35" width="13.855468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NOTA'!C10</f>
        <v>973693.46</v>
      </c>
      <c r="E9" s="66">
        <f>'SALDOS POR NOTA'!D10</f>
        <v>65524.22</v>
      </c>
      <c r="F9" s="66">
        <f>'SALDOS POR NOTA'!E10</f>
        <v>36995.019999999997</v>
      </c>
      <c r="G9" s="66">
        <f>'SALDOS POR NOTA'!F10</f>
        <v>19417.650000000001</v>
      </c>
      <c r="H9" s="66">
        <f>'SALDOS POR NOTA'!G10</f>
        <v>156624.35</v>
      </c>
      <c r="I9" s="66">
        <f>'SALDOS POR NOTA'!H10</f>
        <v>5557.5</v>
      </c>
      <c r="J9" s="66">
        <v>0</v>
      </c>
      <c r="K9" s="30">
        <f>D9-E9-F9-G9-H9-I9-J9</f>
        <v>689574.72</v>
      </c>
      <c r="L9" s="37">
        <v>0</v>
      </c>
      <c r="M9" s="30">
        <f>K9-L9</f>
        <v>689574.72</v>
      </c>
      <c r="N9" s="37">
        <f>'SALDOS POR NOTA'!I10</f>
        <v>0</v>
      </c>
      <c r="O9" s="30">
        <f>M9+N9</f>
        <v>689574.72</v>
      </c>
      <c r="Q9" s="4"/>
      <c r="S9" s="14">
        <v>1</v>
      </c>
      <c r="T9" s="61" t="s">
        <v>10</v>
      </c>
      <c r="U9" s="66">
        <f>'SALDOS POR NOTA'!J10</f>
        <v>52109.79</v>
      </c>
      <c r="V9" s="66">
        <f>'SALDOS POR NOTA'!K10</f>
        <v>47607.03</v>
      </c>
      <c r="W9" s="66">
        <f>'SALDOS POR NOTA'!L10</f>
        <v>225441.17</v>
      </c>
      <c r="X9" s="66">
        <f>'SALDOS POR NOTA'!M10</f>
        <v>178429.31</v>
      </c>
      <c r="Y9" s="66">
        <f>'SALDOS POR NOTA'!N10</f>
        <v>9067.43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176919.99</v>
      </c>
      <c r="AD9" s="66">
        <f>'SALDOS POR NOTA'!C11</f>
        <v>176919.99</v>
      </c>
      <c r="AE9" s="115">
        <f>SUM(U9:AC9)</f>
        <v>689574.72</v>
      </c>
      <c r="AF9" s="117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NOTA'!C23</f>
        <v>216025.77</v>
      </c>
      <c r="E10" s="66">
        <f>'SALDOS POR NOTA'!D23</f>
        <v>31897.62</v>
      </c>
      <c r="F10" s="66">
        <f>'SALDOS POR NOTA'!E23</f>
        <v>18572.91</v>
      </c>
      <c r="G10" s="66">
        <f>'SALDOS POR NOTA'!F23</f>
        <v>8867.14</v>
      </c>
      <c r="H10" s="66">
        <f>'SALDOS POR NOTA'!G23</f>
        <v>92959.49</v>
      </c>
      <c r="I10" s="66">
        <f>'SALDOS POR NOTA'!H23</f>
        <v>3883.88</v>
      </c>
      <c r="J10" s="66">
        <v>0</v>
      </c>
      <c r="K10" s="31">
        <f t="shared" ref="K10:K13" si="0">D10-E10-F10-G10-H10-I10-J10</f>
        <v>59844.729999999974</v>
      </c>
      <c r="L10" s="38">
        <v>0</v>
      </c>
      <c r="M10" s="31">
        <f>K10-L10</f>
        <v>59844.729999999974</v>
      </c>
      <c r="N10" s="37">
        <f>'SALDOS POR NOTA'!I23</f>
        <v>0</v>
      </c>
      <c r="O10" s="31">
        <f t="shared" ref="O10:O12" si="1">M10+N10</f>
        <v>59844.729999999974</v>
      </c>
      <c r="Q10" s="4"/>
      <c r="S10" s="16">
        <v>2</v>
      </c>
      <c r="T10" s="62" t="s">
        <v>11</v>
      </c>
      <c r="U10" s="66">
        <f>'SALDOS POR NOTA'!J23</f>
        <v>61358.09</v>
      </c>
      <c r="V10" s="66">
        <f>'SALDOS POR NOTA'!K23</f>
        <v>33534.01</v>
      </c>
      <c r="W10" s="66">
        <f>'SALDOS POR NOTA'!L23</f>
        <v>127815.87</v>
      </c>
      <c r="X10" s="66">
        <f>'SALDOS POR NOTA'!M23</f>
        <v>64515.32</v>
      </c>
      <c r="Y10" s="66">
        <f>'SALDOS POR NOTA'!N23</f>
        <v>5139.92</v>
      </c>
      <c r="Z10" s="38">
        <f>L10*-1</f>
        <v>0</v>
      </c>
      <c r="AA10" s="382">
        <f>'SALDOS POR NOTA'!O23</f>
        <v>-0.36</v>
      </c>
      <c r="AB10" s="37">
        <f>N10</f>
        <v>0</v>
      </c>
      <c r="AC10" s="66">
        <f t="shared" ref="AC10:AC13" si="2">-J10+AD10</f>
        <v>-232518.12</v>
      </c>
      <c r="AD10" s="66">
        <f>'SALDOS POR NOTA'!C24</f>
        <v>-232518.12</v>
      </c>
      <c r="AE10" s="116">
        <f>SUM(U10:AC10)</f>
        <v>59844.729999999981</v>
      </c>
      <c r="AF10" s="118">
        <f>(AE10-O10)</f>
        <v>7.2759576141834259E-12</v>
      </c>
      <c r="AG10" s="1" t="b">
        <f t="shared" ref="AG10:AG14" si="3">AF10=0</f>
        <v>0</v>
      </c>
      <c r="AH10" s="4"/>
    </row>
    <row r="11" spans="1:34" x14ac:dyDescent="0.2">
      <c r="B11" s="16">
        <v>3</v>
      </c>
      <c r="C11" s="62" t="s">
        <v>12</v>
      </c>
      <c r="D11" s="66">
        <f>'SALDOS POR NOTA'!C36</f>
        <v>104231.83</v>
      </c>
      <c r="E11" s="66">
        <f>'SALDOS POR NOTA'!D36</f>
        <v>6620.63</v>
      </c>
      <c r="F11" s="66">
        <f>'SALDOS POR NOTA'!E36</f>
        <v>3738.02</v>
      </c>
      <c r="G11" s="66">
        <f>'SALDOS POR NOTA'!F36</f>
        <v>1961.98</v>
      </c>
      <c r="H11" s="66">
        <f>'SALDOS POR NOTA'!G36</f>
        <v>20927.5</v>
      </c>
      <c r="I11" s="66">
        <f>'SALDOS POR NOTA'!H36</f>
        <v>743.08</v>
      </c>
      <c r="J11" s="66">
        <v>0</v>
      </c>
      <c r="K11" s="31">
        <f t="shared" si="0"/>
        <v>70240.62</v>
      </c>
      <c r="L11" s="38">
        <v>0</v>
      </c>
      <c r="M11" s="31">
        <f>K11-L11</f>
        <v>70240.62</v>
      </c>
      <c r="N11" s="37">
        <f>'SALDOS POR NOTA'!I36</f>
        <v>0</v>
      </c>
      <c r="O11" s="31">
        <f t="shared" si="1"/>
        <v>70240.62</v>
      </c>
      <c r="Q11" s="4"/>
      <c r="S11" s="16">
        <v>3</v>
      </c>
      <c r="T11" s="62" t="s">
        <v>12</v>
      </c>
      <c r="U11" s="66">
        <f>'SALDOS POR NOTA'!J36</f>
        <v>6518.28</v>
      </c>
      <c r="V11" s="66">
        <f>'SALDOS POR NOTA'!K36</f>
        <v>6410.86</v>
      </c>
      <c r="W11" s="66">
        <f>'SALDOS POR NOTA'!L36</f>
        <v>30349.1</v>
      </c>
      <c r="X11" s="66">
        <f>'SALDOS POR NOTA'!M36</f>
        <v>15383.1</v>
      </c>
      <c r="Y11" s="66">
        <f>'SALDOS POR NOTA'!N36</f>
        <v>1212.4000000000001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10366.879999999999</v>
      </c>
      <c r="AD11" s="66">
        <f>'SALDOS POR NOTA'!C37</f>
        <v>10366.879999999999</v>
      </c>
      <c r="AE11" s="116">
        <f>SUM(U11:AC11)</f>
        <v>70240.62</v>
      </c>
      <c r="AF11" s="118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NOTA'!C49</f>
        <v>35954.44</v>
      </c>
      <c r="E12" s="66">
        <f>'SALDOS POR NOTA'!D49</f>
        <v>1890.6</v>
      </c>
      <c r="F12" s="66">
        <f>'SALDOS POR NOTA'!E49</f>
        <v>1067.43</v>
      </c>
      <c r="G12" s="66">
        <f>'SALDOS POR NOTA'!F49</f>
        <v>560.27</v>
      </c>
      <c r="H12" s="66">
        <f>'SALDOS POR NOTA'!G49</f>
        <v>10800.02</v>
      </c>
      <c r="I12" s="66">
        <f>'SALDOS POR NOTA'!H49</f>
        <v>371.66</v>
      </c>
      <c r="J12" s="66">
        <v>0</v>
      </c>
      <c r="K12" s="31">
        <f t="shared" si="0"/>
        <v>21264.460000000003</v>
      </c>
      <c r="L12" s="38">
        <v>0</v>
      </c>
      <c r="M12" s="31">
        <f>K12-L12</f>
        <v>21264.460000000003</v>
      </c>
      <c r="N12" s="37">
        <f>'SALDOS POR NOTA'!I49</f>
        <v>0</v>
      </c>
      <c r="O12" s="31">
        <f t="shared" si="1"/>
        <v>21264.460000000003</v>
      </c>
      <c r="Q12" s="4"/>
      <c r="S12" s="16">
        <v>4</v>
      </c>
      <c r="T12" s="62" t="s">
        <v>13</v>
      </c>
      <c r="U12" s="66">
        <f>'SALDOS POR NOTA'!J49</f>
        <v>3260.18</v>
      </c>
      <c r="V12" s="66">
        <f>'SALDOS POR NOTA'!K49</f>
        <v>3149.08</v>
      </c>
      <c r="W12" s="66">
        <f>'SALDOS POR NOTA'!L49</f>
        <v>15696.81</v>
      </c>
      <c r="X12" s="66">
        <f>'SALDOS POR NOTA'!M49</f>
        <v>5005.76</v>
      </c>
      <c r="Y12" s="66">
        <f>'SALDOS POR NOTA'!N49</f>
        <v>606.39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-6453.76</v>
      </c>
      <c r="AD12" s="66">
        <f>'SALDOS POR NOTA'!C50</f>
        <v>-6453.76</v>
      </c>
      <c r="AE12" s="116">
        <f>SUM(U12:AC12)</f>
        <v>21264.46</v>
      </c>
      <c r="AF12" s="118">
        <f>(AE12-O12)</f>
        <v>-3.637978807091713E-12</v>
      </c>
      <c r="AG12" s="1" t="b">
        <f t="shared" si="3"/>
        <v>0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1329905.5</v>
      </c>
      <c r="E14" s="43">
        <f t="shared" ref="E14:N14" si="4">SUM(E9:E13)</f>
        <v>105933.07</v>
      </c>
      <c r="F14" s="43">
        <f t="shared" si="4"/>
        <v>60373.37999999999</v>
      </c>
      <c r="G14" s="43">
        <f t="shared" si="4"/>
        <v>30807.040000000001</v>
      </c>
      <c r="H14" s="43">
        <f t="shared" si="4"/>
        <v>281311.36000000004</v>
      </c>
      <c r="I14" s="43">
        <f t="shared" si="4"/>
        <v>10556.12</v>
      </c>
      <c r="J14" s="43">
        <f t="shared" si="4"/>
        <v>0</v>
      </c>
      <c r="K14" s="32">
        <f t="shared" si="4"/>
        <v>840924.52999999991</v>
      </c>
      <c r="L14" s="23">
        <f t="shared" si="4"/>
        <v>0</v>
      </c>
      <c r="M14" s="76">
        <f t="shared" si="4"/>
        <v>840924.52999999991</v>
      </c>
      <c r="N14" s="23">
        <f t="shared" si="4"/>
        <v>0</v>
      </c>
      <c r="O14" s="76">
        <f>SUM(O9:O13)</f>
        <v>840924.52999999991</v>
      </c>
      <c r="P14" s="2"/>
      <c r="Q14" s="4"/>
      <c r="S14" s="21"/>
      <c r="T14" s="22" t="s">
        <v>2</v>
      </c>
      <c r="U14" s="43">
        <f>SUM(U9:U13)</f>
        <v>123246.34</v>
      </c>
      <c r="V14" s="43">
        <f t="shared" ref="V14:AB14" si="5">SUM(V9:V13)</f>
        <v>90700.98000000001</v>
      </c>
      <c r="W14" s="43">
        <f t="shared" si="5"/>
        <v>399302.95</v>
      </c>
      <c r="X14" s="43">
        <f t="shared" si="5"/>
        <v>263333.49</v>
      </c>
      <c r="Y14" s="43">
        <f t="shared" si="5"/>
        <v>16026.14</v>
      </c>
      <c r="Z14" s="43">
        <f t="shared" si="5"/>
        <v>0</v>
      </c>
      <c r="AA14" s="381">
        <f>SUM(AA9:AA13)</f>
        <v>-0.36</v>
      </c>
      <c r="AB14" s="43">
        <f t="shared" si="5"/>
        <v>0</v>
      </c>
      <c r="AC14" s="43">
        <f>SUM(AC9:AC13)</f>
        <v>-51685.010000000009</v>
      </c>
      <c r="AD14" s="43">
        <f>SUM(AD9:AD13)</f>
        <v>-51685.010000000009</v>
      </c>
      <c r="AE14" s="68">
        <f>SUM(AE9:AE13)</f>
        <v>840924.52999999991</v>
      </c>
      <c r="AF14" s="120">
        <f>SUM(AF9:AF13)</f>
        <v>3.637978807091713E-12</v>
      </c>
      <c r="AG14" s="1" t="b">
        <f t="shared" si="3"/>
        <v>0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892609.9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x14ac:dyDescent="0.2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x14ac:dyDescent="0.2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x14ac:dyDescent="0.2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x14ac:dyDescent="0.2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75" thickBot="1" x14ac:dyDescent="0.25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5" thickBot="1" x14ac:dyDescent="0.25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973693.46</v>
      </c>
      <c r="E47" s="66">
        <f t="shared" ref="E47:F47" si="13">E9+E28</f>
        <v>65524.22</v>
      </c>
      <c r="F47" s="66">
        <f t="shared" si="13"/>
        <v>36995.019999999997</v>
      </c>
      <c r="G47" s="66">
        <f t="shared" ref="G47" si="14">G9+G28</f>
        <v>19417.650000000001</v>
      </c>
      <c r="H47" s="66">
        <f t="shared" ref="H47:J51" si="15">H9+H28</f>
        <v>156624.35</v>
      </c>
      <c r="I47" s="66">
        <f t="shared" si="15"/>
        <v>5557.5</v>
      </c>
      <c r="J47" s="66">
        <f>J9+J28</f>
        <v>0</v>
      </c>
      <c r="K47" s="30">
        <f>D47-E47-F47-G47-H47-I47-J47</f>
        <v>689574.72</v>
      </c>
      <c r="L47" s="37">
        <v>0</v>
      </c>
      <c r="M47" s="30">
        <f>K47-L47</f>
        <v>689574.72</v>
      </c>
      <c r="N47" s="66">
        <f>N9+N28</f>
        <v>0</v>
      </c>
      <c r="O47" s="30">
        <f>M47+N47</f>
        <v>689574.72</v>
      </c>
      <c r="Q47" s="4"/>
      <c r="S47" s="14">
        <v>1</v>
      </c>
      <c r="T47" s="61" t="s">
        <v>10</v>
      </c>
      <c r="U47" s="140">
        <f t="shared" ref="U47:Y51" si="16">U9+U28</f>
        <v>52109.79</v>
      </c>
      <c r="V47" s="140">
        <f t="shared" si="16"/>
        <v>47607.03</v>
      </c>
      <c r="W47" s="140">
        <f t="shared" si="16"/>
        <v>225441.17</v>
      </c>
      <c r="X47" s="140">
        <f t="shared" si="16"/>
        <v>178429.31</v>
      </c>
      <c r="Y47" s="140">
        <f t="shared" si="16"/>
        <v>9067.43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176919.99</v>
      </c>
      <c r="AD47" s="75">
        <f t="shared" si="17"/>
        <v>176919.99</v>
      </c>
      <c r="AE47" s="69">
        <f>SUM(U47:AC47)</f>
        <v>689574.72</v>
      </c>
      <c r="AF47" s="117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216025.77</v>
      </c>
      <c r="E48" s="66">
        <f t="shared" si="18"/>
        <v>31897.62</v>
      </c>
      <c r="F48" s="66">
        <f t="shared" si="18"/>
        <v>18572.91</v>
      </c>
      <c r="G48" s="66">
        <f t="shared" ref="G48" si="19">G10+G29</f>
        <v>8867.14</v>
      </c>
      <c r="H48" s="66">
        <f t="shared" si="15"/>
        <v>92959.49</v>
      </c>
      <c r="I48" s="66">
        <f t="shared" si="15"/>
        <v>3883.88</v>
      </c>
      <c r="J48" s="66">
        <f t="shared" si="15"/>
        <v>0</v>
      </c>
      <c r="K48" s="31">
        <f>D48-E48-F48-G48-H48-I48-J48</f>
        <v>59844.729999999974</v>
      </c>
      <c r="L48" s="38">
        <v>0</v>
      </c>
      <c r="M48" s="31">
        <f>K48-L48</f>
        <v>59844.729999999974</v>
      </c>
      <c r="N48" s="66">
        <f>N10+N29</f>
        <v>0</v>
      </c>
      <c r="O48" s="31">
        <f t="shared" ref="O48:O51" si="20">M48+N48</f>
        <v>59844.729999999974</v>
      </c>
      <c r="Q48" s="4"/>
      <c r="S48" s="16">
        <v>2</v>
      </c>
      <c r="T48" s="62" t="s">
        <v>11</v>
      </c>
      <c r="U48" s="82">
        <f t="shared" si="16"/>
        <v>61358.09</v>
      </c>
      <c r="V48" s="82">
        <f t="shared" si="16"/>
        <v>33534.01</v>
      </c>
      <c r="W48" s="82">
        <f t="shared" si="16"/>
        <v>127815.87</v>
      </c>
      <c r="X48" s="82">
        <f t="shared" si="16"/>
        <v>64515.32</v>
      </c>
      <c r="Y48" s="82">
        <f t="shared" si="16"/>
        <v>5139.92</v>
      </c>
      <c r="Z48" s="88">
        <f>-L48</f>
        <v>0</v>
      </c>
      <c r="AA48" s="67">
        <f>AA10+AA29</f>
        <v>-0.36</v>
      </c>
      <c r="AB48" s="67">
        <f>AB10+AB29</f>
        <v>0</v>
      </c>
      <c r="AC48" s="67">
        <f t="shared" si="17"/>
        <v>-232518.12</v>
      </c>
      <c r="AD48" s="67">
        <f t="shared" si="17"/>
        <v>-232518.12</v>
      </c>
      <c r="AE48" s="70">
        <f>SUM(U48:AC48)</f>
        <v>59844.729999999981</v>
      </c>
      <c r="AF48" s="118">
        <f>(AE48-O48)</f>
        <v>7.2759576141834259E-12</v>
      </c>
      <c r="AG48" s="1" t="b">
        <f t="shared" ref="AG48:AG52" si="21">AF48=0</f>
        <v>0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104231.83</v>
      </c>
      <c r="E49" s="66">
        <f t="shared" si="18"/>
        <v>6620.63</v>
      </c>
      <c r="F49" s="66">
        <f t="shared" si="18"/>
        <v>3738.02</v>
      </c>
      <c r="G49" s="66">
        <f t="shared" ref="G49" si="22">G11+G30</f>
        <v>1961.98</v>
      </c>
      <c r="H49" s="66">
        <f t="shared" si="15"/>
        <v>20927.5</v>
      </c>
      <c r="I49" s="66">
        <f t="shared" si="15"/>
        <v>743.08</v>
      </c>
      <c r="J49" s="66">
        <f t="shared" si="15"/>
        <v>0</v>
      </c>
      <c r="K49" s="31">
        <f t="shared" ref="K49:K51" si="23">D49-E49-F49-G49-H49-I49-J49</f>
        <v>70240.62</v>
      </c>
      <c r="L49" s="38">
        <v>0</v>
      </c>
      <c r="M49" s="31">
        <f>K49-L49</f>
        <v>70240.62</v>
      </c>
      <c r="N49" s="66">
        <f>N11+N30</f>
        <v>0</v>
      </c>
      <c r="O49" s="31">
        <f t="shared" si="20"/>
        <v>70240.62</v>
      </c>
      <c r="Q49" s="4"/>
      <c r="S49" s="16">
        <v>3</v>
      </c>
      <c r="T49" s="62" t="s">
        <v>12</v>
      </c>
      <c r="U49" s="82">
        <f t="shared" si="16"/>
        <v>6518.28</v>
      </c>
      <c r="V49" s="82">
        <f t="shared" si="16"/>
        <v>6410.86</v>
      </c>
      <c r="W49" s="82">
        <f t="shared" si="16"/>
        <v>30349.1</v>
      </c>
      <c r="X49" s="82">
        <f t="shared" si="16"/>
        <v>15383.1</v>
      </c>
      <c r="Y49" s="82">
        <f t="shared" si="16"/>
        <v>1212.4000000000001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10366.879999999999</v>
      </c>
      <c r="AD49" s="67">
        <f t="shared" si="17"/>
        <v>10366.879999999999</v>
      </c>
      <c r="AE49" s="70">
        <f t="shared" ref="AE49:AE51" si="24">SUM(U49:AC49)</f>
        <v>70240.62</v>
      </c>
      <c r="AF49" s="118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35954.44</v>
      </c>
      <c r="E50" s="66">
        <f t="shared" si="18"/>
        <v>1890.6</v>
      </c>
      <c r="F50" s="66">
        <f t="shared" si="18"/>
        <v>1067.43</v>
      </c>
      <c r="G50" s="66">
        <f t="shared" ref="G50" si="25">G12+G31</f>
        <v>560.27</v>
      </c>
      <c r="H50" s="66">
        <f t="shared" si="15"/>
        <v>10800.02</v>
      </c>
      <c r="I50" s="66">
        <f t="shared" si="15"/>
        <v>371.66</v>
      </c>
      <c r="J50" s="66">
        <f t="shared" si="15"/>
        <v>0</v>
      </c>
      <c r="K50" s="31">
        <f t="shared" si="23"/>
        <v>21264.460000000003</v>
      </c>
      <c r="L50" s="38">
        <v>0</v>
      </c>
      <c r="M50" s="31">
        <f>K50-L50</f>
        <v>21264.460000000003</v>
      </c>
      <c r="N50" s="66">
        <f>N12+N31</f>
        <v>0</v>
      </c>
      <c r="O50" s="31">
        <f t="shared" si="20"/>
        <v>21264.460000000003</v>
      </c>
      <c r="Q50" s="4"/>
      <c r="S50" s="16">
        <v>4</v>
      </c>
      <c r="T50" s="62" t="s">
        <v>13</v>
      </c>
      <c r="U50" s="82">
        <f t="shared" si="16"/>
        <v>3260.18</v>
      </c>
      <c r="V50" s="82">
        <f t="shared" si="16"/>
        <v>3149.08</v>
      </c>
      <c r="W50" s="82">
        <f t="shared" si="16"/>
        <v>15696.81</v>
      </c>
      <c r="X50" s="82">
        <f t="shared" si="16"/>
        <v>5005.76</v>
      </c>
      <c r="Y50" s="82">
        <f t="shared" si="16"/>
        <v>606.39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-6453.76</v>
      </c>
      <c r="AD50" s="67">
        <f t="shared" si="17"/>
        <v>-6453.76</v>
      </c>
      <c r="AE50" s="70">
        <f t="shared" si="24"/>
        <v>21264.46</v>
      </c>
      <c r="AF50" s="118">
        <f>(AE50-O50)</f>
        <v>-3.637978807091713E-12</v>
      </c>
      <c r="AG50" s="1" t="b">
        <f t="shared" si="21"/>
        <v>0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1329905.5</v>
      </c>
      <c r="E52" s="43">
        <f t="shared" si="27"/>
        <v>105933.07</v>
      </c>
      <c r="F52" s="43">
        <f t="shared" si="27"/>
        <v>60373.37999999999</v>
      </c>
      <c r="G52" s="43">
        <f t="shared" si="27"/>
        <v>30807.040000000001</v>
      </c>
      <c r="H52" s="43">
        <f t="shared" si="27"/>
        <v>281311.36000000004</v>
      </c>
      <c r="I52" s="43">
        <f t="shared" si="27"/>
        <v>10556.12</v>
      </c>
      <c r="J52" s="43">
        <f t="shared" si="27"/>
        <v>0</v>
      </c>
      <c r="K52" s="32">
        <f t="shared" si="27"/>
        <v>840924.52999999991</v>
      </c>
      <c r="L52" s="23">
        <f t="shared" si="27"/>
        <v>0</v>
      </c>
      <c r="M52" s="76">
        <f t="shared" si="27"/>
        <v>840924.52999999991</v>
      </c>
      <c r="N52" s="23">
        <f t="shared" si="27"/>
        <v>0</v>
      </c>
      <c r="O52" s="76">
        <f t="shared" si="27"/>
        <v>840924.52999999991</v>
      </c>
      <c r="P52" s="2"/>
      <c r="Q52" s="4"/>
      <c r="S52" s="21"/>
      <c r="T52" s="22" t="s">
        <v>2</v>
      </c>
      <c r="U52" s="43">
        <f>SUM(U47:U51)</f>
        <v>123246.34</v>
      </c>
      <c r="V52" s="43">
        <f t="shared" ref="V52:AE52" si="28">SUM(V47:V51)</f>
        <v>90700.98000000001</v>
      </c>
      <c r="W52" s="43">
        <f t="shared" si="28"/>
        <v>399302.95</v>
      </c>
      <c r="X52" s="43">
        <f t="shared" si="28"/>
        <v>263333.49</v>
      </c>
      <c r="Y52" s="43">
        <f t="shared" si="28"/>
        <v>16026.14</v>
      </c>
      <c r="Z52" s="43">
        <f t="shared" si="28"/>
        <v>0</v>
      </c>
      <c r="AA52" s="43">
        <f>SUM(AA47:AA51)</f>
        <v>-0.36</v>
      </c>
      <c r="AB52" s="43">
        <f t="shared" si="28"/>
        <v>0</v>
      </c>
      <c r="AC52" s="43">
        <f>SUM(AC47:AC51)</f>
        <v>-51685.010000000009</v>
      </c>
      <c r="AD52" s="43">
        <f>SUM(AD47:AD51)</f>
        <v>-51685.010000000009</v>
      </c>
      <c r="AE52" s="68">
        <f t="shared" si="28"/>
        <v>840924.52999999991</v>
      </c>
      <c r="AF52" s="120">
        <f>SUM(AF47:AF51)</f>
        <v>3.637978807091713E-12</v>
      </c>
      <c r="AG52" s="1" t="b">
        <f t="shared" si="21"/>
        <v>0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892609.9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2.75" x14ac:dyDescent="0.2"/>
  <cols>
    <col min="1" max="1" width="2.85546875" customWidth="1"/>
    <col min="2" max="2" width="17.42578125" bestFit="1" customWidth="1"/>
    <col min="3" max="3" width="4.85546875" style="151" bestFit="1" customWidth="1"/>
    <col min="4" max="4" width="42.85546875" style="151" bestFit="1" customWidth="1"/>
    <col min="5" max="5" width="9" customWidth="1"/>
    <col min="6" max="6" width="15.85546875" customWidth="1"/>
    <col min="7" max="7" width="17.42578125" bestFit="1" customWidth="1"/>
    <col min="8" max="8" width="14.140625" customWidth="1"/>
    <col min="9" max="9" width="16.140625" bestFit="1" customWidth="1"/>
    <col min="10" max="10" width="16.85546875" customWidth="1"/>
    <col min="11" max="11" width="17.5703125" customWidth="1"/>
    <col min="12" max="12" width="15.5703125" bestFit="1" customWidth="1"/>
    <col min="13" max="13" width="15.85546875" bestFit="1" customWidth="1"/>
    <col min="14" max="14" width="17" customWidth="1"/>
    <col min="15" max="15" width="17.85546875" customWidth="1"/>
    <col min="16" max="16" width="16.85546875" customWidth="1"/>
    <col min="17" max="17" width="18" customWidth="1"/>
    <col min="18" max="18" width="14.140625" bestFit="1" customWidth="1"/>
    <col min="19" max="19" width="15.85546875" bestFit="1" customWidth="1"/>
    <col min="20" max="20" width="14.140625" bestFit="1" customWidth="1"/>
  </cols>
  <sheetData>
    <row r="1" spans="2:19" ht="13.5" thickBot="1" x14ac:dyDescent="0.25"/>
    <row r="2" spans="2:19" s="151" customFormat="1" ht="13.5" thickBot="1" x14ac:dyDescent="0.2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6.25" thickBot="1" x14ac:dyDescent="0.2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2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2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2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2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3.5" thickBot="1" x14ac:dyDescent="0.2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3.5" thickBot="1" x14ac:dyDescent="0.2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2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3.5" thickBot="1" x14ac:dyDescent="0.25"/>
    <row r="13" spans="2:19" s="151" customFormat="1" ht="13.5" thickBot="1" x14ac:dyDescent="0.2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6.25" thickBot="1" x14ac:dyDescent="0.2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2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2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2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2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3.5" thickBot="1" x14ac:dyDescent="0.2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3.5" thickBot="1" x14ac:dyDescent="0.2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3.5" thickBot="1" x14ac:dyDescent="0.2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3.5" thickBot="1" x14ac:dyDescent="0.2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2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2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2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2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2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3.5" thickBot="1" x14ac:dyDescent="0.2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3.5" thickBot="1" x14ac:dyDescent="0.2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2">
      <c r="G32" s="601"/>
      <c r="H32" s="167"/>
      <c r="I32" s="167"/>
      <c r="K32" s="645">
        <f>SUM(M31:N31)</f>
        <v>1719872614</v>
      </c>
      <c r="L32" s="270"/>
    </row>
    <row r="33" spans="7:17" x14ac:dyDescent="0.2">
      <c r="G33" s="601"/>
      <c r="H33" s="167"/>
      <c r="J33" s="270"/>
      <c r="K33" s="270"/>
      <c r="Q33" s="212"/>
    </row>
    <row r="34" spans="7:17" x14ac:dyDescent="0.2">
      <c r="G34" s="601"/>
      <c r="H34" s="167"/>
      <c r="Q34" s="212"/>
    </row>
    <row r="35" spans="7:17" x14ac:dyDescent="0.2">
      <c r="H35" s="167"/>
      <c r="K35" s="695"/>
      <c r="Q35" s="212"/>
    </row>
    <row r="36" spans="7:17" x14ac:dyDescent="0.2">
      <c r="H36" s="167"/>
      <c r="K36" s="695"/>
      <c r="Q36" s="212"/>
    </row>
    <row r="37" spans="7:17" x14ac:dyDescent="0.2">
      <c r="H37" s="167"/>
      <c r="K37" s="695"/>
      <c r="Q37" s="212"/>
    </row>
    <row r="38" spans="7:17" x14ac:dyDescent="0.2">
      <c r="H38" s="167"/>
      <c r="K38" s="695"/>
      <c r="Q38" s="212"/>
    </row>
    <row r="39" spans="7:17" x14ac:dyDescent="0.2">
      <c r="H39" s="167"/>
      <c r="K39" s="695"/>
    </row>
    <row r="40" spans="7:17" x14ac:dyDescent="0.2">
      <c r="H40" s="167"/>
      <c r="K40" s="695"/>
    </row>
    <row r="41" spans="7:17" x14ac:dyDescent="0.2">
      <c r="H41" s="167"/>
    </row>
    <row r="42" spans="7:17" x14ac:dyDescent="0.2">
      <c r="H42" s="167"/>
    </row>
    <row r="43" spans="7:17" x14ac:dyDescent="0.2">
      <c r="H43" s="167"/>
    </row>
    <row r="44" spans="7:17" x14ac:dyDescent="0.2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2578125" defaultRowHeight="12" x14ac:dyDescent="0.2"/>
  <cols>
    <col min="1" max="1" width="3" style="389" customWidth="1"/>
    <col min="2" max="2" width="4.42578125" style="389" bestFit="1" customWidth="1"/>
    <col min="3" max="3" width="38.140625" style="389" customWidth="1"/>
    <col min="4" max="4" width="15.140625" style="389" customWidth="1"/>
    <col min="5" max="5" width="16" style="389" customWidth="1"/>
    <col min="6" max="7" width="14.85546875" style="389" customWidth="1"/>
    <col min="8" max="9" width="16" style="389" customWidth="1"/>
    <col min="10" max="10" width="17.5703125" style="389" customWidth="1"/>
    <col min="11" max="11" width="3.85546875" style="389" customWidth="1"/>
    <col min="12" max="12" width="2.85546875" style="389" customWidth="1"/>
    <col min="13" max="13" width="4.5703125" style="389" customWidth="1"/>
    <col min="14" max="14" width="11.140625" style="389" customWidth="1"/>
    <col min="15" max="15" width="37.5703125" style="389" bestFit="1" customWidth="1"/>
    <col min="16" max="16" width="19.140625" style="389" customWidth="1"/>
    <col min="17" max="17" width="17.85546875" style="389" customWidth="1"/>
    <col min="18" max="18" width="16.42578125" style="389" customWidth="1"/>
    <col min="19" max="19" width="17.140625" style="389" customWidth="1"/>
    <col min="20" max="20" width="15.85546875" style="389" customWidth="1"/>
    <col min="21" max="21" width="16.140625" style="389" customWidth="1"/>
    <col min="22" max="22" width="13.140625" style="391" customWidth="1"/>
    <col min="23" max="23" width="13.85546875" style="389" customWidth="1"/>
    <col min="24" max="24" width="3.42578125" style="389" customWidth="1"/>
    <col min="25" max="25" width="13.85546875" style="389" bestFit="1" customWidth="1"/>
    <col min="26" max="27" width="11.42578125" style="389"/>
    <col min="28" max="28" width="15.85546875" style="389" bestFit="1" customWidth="1"/>
    <col min="29" max="16384" width="11.425781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.75" thickBot="1" x14ac:dyDescent="0.25">
      <c r="L3" s="390"/>
      <c r="X3" s="390"/>
    </row>
    <row r="4" spans="2:28" x14ac:dyDescent="0.2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75" x14ac:dyDescent="0.25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75" x14ac:dyDescent="0.25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75" x14ac:dyDescent="0.25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75" x14ac:dyDescent="0.25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75" x14ac:dyDescent="0.25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8" thickBot="1" x14ac:dyDescent="0.35">
      <c r="B10" s="399"/>
      <c r="C10" s="397"/>
      <c r="D10" s="410"/>
      <c r="E10" s="397" t="s">
        <v>27</v>
      </c>
      <c r="F10" s="457">
        <f>'CONSOLIDADO_TOTAL RECAUDO'!G102</f>
        <v>46219</v>
      </c>
      <c r="G10" s="408"/>
      <c r="H10" s="397" t="s">
        <v>28</v>
      </c>
      <c r="I10" s="457">
        <f>'CONSOLIDADO_TOTAL RECAUDO'!K102</f>
        <v>46234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75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x14ac:dyDescent="0.2">
      <c r="B12" s="422">
        <v>1</v>
      </c>
      <c r="C12" s="423" t="s">
        <v>10</v>
      </c>
      <c r="D12" s="424">
        <f>'Reporte Componentes R1'!F105*$D$24</f>
        <v>11217.37</v>
      </c>
      <c r="E12" s="424">
        <f>'Reporte Componentes R1'!G105*$D$24</f>
        <v>766.38</v>
      </c>
      <c r="F12" s="425">
        <f>'Reporte Componentes R1'!H105*$D$24</f>
        <v>325.58999999999997</v>
      </c>
      <c r="G12" s="425">
        <f>'Reporte Componentes R1'!I105*$D$24</f>
        <v>142.16999999999999</v>
      </c>
      <c r="H12" s="425">
        <f>'Reporte Componentes R1'!J105*$D$24</f>
        <v>1970.37</v>
      </c>
      <c r="I12" s="425">
        <f>'Reporte Componentes R1'!K105*$D$24</f>
        <v>127.32</v>
      </c>
      <c r="J12" s="426">
        <f t="shared" ref="J12:J16" si="0">D12-E12-F12-G12-H12-I12</f>
        <v>7885.5400000000018</v>
      </c>
      <c r="L12" s="428"/>
      <c r="N12" s="422">
        <v>1</v>
      </c>
      <c r="O12" s="423" t="s">
        <v>10</v>
      </c>
      <c r="P12" s="429">
        <f>'Reporte Componentes R1'!M105*$P$24</f>
        <v>1116.82</v>
      </c>
      <c r="Q12" s="430">
        <f>'Reporte Componentes R1'!N105*$P$24</f>
        <v>934.67</v>
      </c>
      <c r="R12" s="430">
        <f>'Reporte Componentes R1'!O105*$P$24</f>
        <v>3730.88</v>
      </c>
      <c r="S12" s="430">
        <f>'Reporte Componentes R1'!P105*$P$24</f>
        <v>1895.43</v>
      </c>
      <c r="T12" s="430">
        <f>'Reporte Componentes R1'!Q105*$P$24</f>
        <v>207.74</v>
      </c>
      <c r="U12" s="464">
        <f>SUM(P12:T12)</f>
        <v>7885.54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x14ac:dyDescent="0.2">
      <c r="B13" s="432">
        <v>2</v>
      </c>
      <c r="C13" s="433" t="s">
        <v>11</v>
      </c>
      <c r="D13" s="424">
        <f>'Reporte Componentes R1'!F284*$D$24</f>
        <v>405906.75</v>
      </c>
      <c r="E13" s="425">
        <f>'Reporte Componentes R1'!G284*$D$24</f>
        <v>36253.24</v>
      </c>
      <c r="F13" s="425">
        <f>'Reporte Componentes R1'!H284*$D$24</f>
        <v>15401.35</v>
      </c>
      <c r="G13" s="425">
        <f>'Reporte Componentes R1'!I284*$D$24</f>
        <v>6725.8</v>
      </c>
      <c r="H13" s="425">
        <f>'Reporte Componentes R1'!J284*$D$24</f>
        <v>80022.36</v>
      </c>
      <c r="I13" s="425">
        <f>'Reporte Componentes R1'!K284*$D$24</f>
        <v>3364.46</v>
      </c>
      <c r="J13" s="426">
        <f t="shared" si="0"/>
        <v>264139.54000000004</v>
      </c>
      <c r="L13" s="428"/>
      <c r="N13" s="432">
        <v>2</v>
      </c>
      <c r="O13" s="433" t="s">
        <v>11</v>
      </c>
      <c r="P13" s="434">
        <f>'Reporte Componentes R1'!M284*$P$24</f>
        <v>29514</v>
      </c>
      <c r="Q13" s="435">
        <f>'Reporte Componentes R1'!N284*$P$24</f>
        <v>36987.9</v>
      </c>
      <c r="R13" s="435">
        <f>'Reporte Componentes R1'!O284*$P$24</f>
        <v>124266.63</v>
      </c>
      <c r="S13" s="435">
        <f>'Reporte Componentes R1'!P284*$P$24</f>
        <v>67881.399999999994</v>
      </c>
      <c r="T13" s="435">
        <f>'Reporte Componentes R1'!Q284*$P$24</f>
        <v>5489.61</v>
      </c>
      <c r="U13" s="463">
        <f>SUM(P13:T13)</f>
        <v>264139.53999999998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x14ac:dyDescent="0.2">
      <c r="B14" s="432">
        <v>3</v>
      </c>
      <c r="C14" s="433" t="s">
        <v>12</v>
      </c>
      <c r="D14" s="424">
        <f>'Reporte Componentes R1'!F445*$D$24</f>
        <v>16458.46</v>
      </c>
      <c r="E14" s="424">
        <f>'Reporte Componentes R1'!G445*$D$24</f>
        <v>1490.88</v>
      </c>
      <c r="F14" s="424">
        <f>'Reporte Componentes R1'!H445*$D$24</f>
        <v>633.39</v>
      </c>
      <c r="G14" s="424">
        <f>'Reporte Componentes R1'!I445*$D$24</f>
        <v>276.60000000000002</v>
      </c>
      <c r="H14" s="424">
        <f>'Reporte Componentes R1'!J445*$D$24</f>
        <v>3142.56</v>
      </c>
      <c r="I14" s="424">
        <f>'Reporte Componentes R1'!K445*$D$24</f>
        <v>129.47999999999999</v>
      </c>
      <c r="J14" s="426">
        <f t="shared" si="0"/>
        <v>10785.55</v>
      </c>
      <c r="L14" s="428"/>
      <c r="N14" s="432">
        <v>3</v>
      </c>
      <c r="O14" s="433" t="s">
        <v>12</v>
      </c>
      <c r="P14" s="434">
        <f>'Reporte Componentes R1'!M445*$P$24</f>
        <v>1135.68</v>
      </c>
      <c r="Q14" s="435">
        <f>'Reporte Componentes R1'!N445*$P$24</f>
        <v>1423.48</v>
      </c>
      <c r="R14" s="435">
        <f>'Reporte Componentes R1'!O445*$P$24</f>
        <v>4781.43</v>
      </c>
      <c r="S14" s="435">
        <f>'Reporte Componentes R1'!P445*$P$24</f>
        <v>3233.73</v>
      </c>
      <c r="T14" s="435">
        <f>'Reporte Componentes R1'!Q445*$P$24</f>
        <v>211.23</v>
      </c>
      <c r="U14" s="463">
        <f>SUM(P14:T14)</f>
        <v>10785.55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x14ac:dyDescent="0.2">
      <c r="B15" s="432">
        <v>4</v>
      </c>
      <c r="C15" s="433" t="s">
        <v>13</v>
      </c>
      <c r="D15" s="424">
        <f>'Reporte Componentes R1'!F598*$D$24</f>
        <v>439956.52</v>
      </c>
      <c r="E15" s="425">
        <f>'Reporte Componentes R1'!G598*$D$24</f>
        <v>35444.410000000003</v>
      </c>
      <c r="F15" s="425">
        <f>'Reporte Componentes R1'!H598*$D$24</f>
        <v>15058.04</v>
      </c>
      <c r="G15" s="425">
        <f>'Reporte Componentes R1'!I598*$D$24</f>
        <v>6575.73</v>
      </c>
      <c r="H15" s="425">
        <f>'Reporte Componentes R1'!J598*$D$24</f>
        <v>81642.179999999993</v>
      </c>
      <c r="I15" s="425">
        <f>'Reporte Componentes R1'!K598*$D$24</f>
        <v>3324.84</v>
      </c>
      <c r="J15" s="426">
        <f t="shared" si="0"/>
        <v>297911.32</v>
      </c>
      <c r="L15" s="428"/>
      <c r="N15" s="432">
        <v>4</v>
      </c>
      <c r="O15" s="433" t="s">
        <v>13</v>
      </c>
      <c r="P15" s="434">
        <f>'Reporte Componentes R1'!M598*$P$24</f>
        <v>29164.3</v>
      </c>
      <c r="Q15" s="435">
        <f>'Reporte Componentes R1'!N598*$P$24</f>
        <v>37085.49</v>
      </c>
      <c r="R15" s="435">
        <f>'Reporte Componentes R1'!O598*$P$24</f>
        <v>136171.69</v>
      </c>
      <c r="S15" s="435">
        <f>'Reporte Componentes R1'!P598*$P$24</f>
        <v>90064.99</v>
      </c>
      <c r="T15" s="435">
        <f>'Reporte Componentes R1'!Q598*$P$24</f>
        <v>5424.85</v>
      </c>
      <c r="U15" s="463">
        <f>SUM(P15:T15)</f>
        <v>297911.31999999995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75" thickBot="1" x14ac:dyDescent="0.25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75" thickBot="1" x14ac:dyDescent="0.25">
      <c r="B17" s="440"/>
      <c r="C17" s="441" t="s">
        <v>2</v>
      </c>
      <c r="D17" s="442">
        <f t="shared" ref="D17:J17" si="3">SUM(D12:D16)</f>
        <v>873539.10000000009</v>
      </c>
      <c r="E17" s="442">
        <f t="shared" si="3"/>
        <v>73954.91</v>
      </c>
      <c r="F17" s="442">
        <f t="shared" si="3"/>
        <v>31418.370000000003</v>
      </c>
      <c r="G17" s="442">
        <f t="shared" si="3"/>
        <v>13720.3</v>
      </c>
      <c r="H17" s="442">
        <f t="shared" si="3"/>
        <v>166777.46999999997</v>
      </c>
      <c r="I17" s="442">
        <f t="shared" si="3"/>
        <v>6946.1</v>
      </c>
      <c r="J17" s="443">
        <f t="shared" si="3"/>
        <v>580721.94999999995</v>
      </c>
      <c r="K17" s="444"/>
      <c r="L17" s="428"/>
      <c r="N17" s="440"/>
      <c r="O17" s="441" t="s">
        <v>2</v>
      </c>
      <c r="P17" s="445">
        <f>SUM(P12:P16)</f>
        <v>60930.8</v>
      </c>
      <c r="Q17" s="445">
        <f t="shared" ref="Q17:U17" si="4">SUM(Q12:Q16)</f>
        <v>76431.540000000008</v>
      </c>
      <c r="R17" s="445">
        <f t="shared" si="4"/>
        <v>268950.63</v>
      </c>
      <c r="S17" s="445">
        <f t="shared" si="4"/>
        <v>163075.54999999999</v>
      </c>
      <c r="T17" s="445">
        <f t="shared" si="4"/>
        <v>11333.43</v>
      </c>
      <c r="U17" s="462">
        <f t="shared" si="4"/>
        <v>580721.94999999995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75" thickBot="1" x14ac:dyDescent="0.25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75" thickBot="1" x14ac:dyDescent="0.25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580721.95000000007</v>
      </c>
      <c r="U19" s="389" t="s">
        <v>1</v>
      </c>
      <c r="X19" s="390"/>
    </row>
    <row r="20" spans="1:28" ht="12.75" thickBot="1" x14ac:dyDescent="0.25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str">
        <f>+IF(MAX(J12:J17)&gt;500000,"VALIDAR",TRUE)</f>
        <v>VALIDAR</v>
      </c>
      <c r="L20" s="390"/>
      <c r="U20" s="451"/>
      <c r="X20" s="390"/>
    </row>
    <row r="21" spans="1:28" x14ac:dyDescent="0.2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x14ac:dyDescent="0.2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75" x14ac:dyDescent="0.25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100" zoomScaleNormal="100" workbookViewId="0">
      <selection activeCell="A110" sqref="A110:XFD1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20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4.85546875" style="271" bestFit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38" width="11.42578125" style="1"/>
    <col min="39" max="39" width="15.855468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7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75" x14ac:dyDescent="0.25">
      <c r="B6" s="8"/>
      <c r="C6" s="598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75" thickBot="1" x14ac:dyDescent="0.25">
      <c r="B7" s="8"/>
      <c r="C7" s="598" t="s">
        <v>0</v>
      </c>
      <c r="D7" s="241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x14ac:dyDescent="0.2">
      <c r="B9" s="303">
        <v>1</v>
      </c>
      <c r="C9" s="304" t="s">
        <v>10</v>
      </c>
      <c r="D9" s="386">
        <f>'Reporte Componentes R1'!F75</f>
        <v>17339793559.860001</v>
      </c>
      <c r="E9" s="292">
        <f>'Reporte Componentes R1'!G75</f>
        <v>898223141.86000001</v>
      </c>
      <c r="F9" s="292">
        <f>'Reporte Componentes R1'!H75</f>
        <v>506560790.43000001</v>
      </c>
      <c r="G9" s="292">
        <f>'Reporte Componentes R1'!I75</f>
        <v>266134388.70000002</v>
      </c>
      <c r="H9" s="292">
        <f>'Reporte Componentes R1'!J75</f>
        <v>3794558031.4300003</v>
      </c>
      <c r="I9" s="292">
        <f>'Reporte Componentes R1'!K75</f>
        <v>133542703.31</v>
      </c>
      <c r="J9" s="288">
        <f>'BCE SC POR FACT.'!F3</f>
        <v>-3589454665.5499997</v>
      </c>
      <c r="K9" s="293">
        <f>D9-E9-F9-G9-H9-I9-J9</f>
        <v>15330229169.679998</v>
      </c>
      <c r="L9" s="294">
        <f>INTERVENTORIA!M26</f>
        <v>189185988</v>
      </c>
      <c r="M9" s="293">
        <f>K9-L9</f>
        <v>15141043181.679998</v>
      </c>
      <c r="N9" s="387">
        <f>'Reporte Componentes R1'!L75</f>
        <v>25277316.260000002</v>
      </c>
      <c r="O9" s="293">
        <f>M9+N9</f>
        <v>15166320497.939999</v>
      </c>
      <c r="Q9" s="306"/>
      <c r="S9" s="303">
        <v>1</v>
      </c>
      <c r="T9" s="304" t="s">
        <v>10</v>
      </c>
      <c r="U9" s="307">
        <f>'Reporte Componentes R1'!M75</f>
        <v>1174928495.1000001</v>
      </c>
      <c r="V9" s="308">
        <f>'Reporte Componentes R1'!N75</f>
        <v>1130888113.8599999</v>
      </c>
      <c r="W9" s="308">
        <f>'Reporte Componentes R1'!O75</f>
        <v>5352175528.7699995</v>
      </c>
      <c r="X9" s="308">
        <f>'Reporte Componentes R1'!P75</f>
        <v>2435749635.8000002</v>
      </c>
      <c r="Y9" s="309">
        <f>'Reporte Componentes R1'!Q75</f>
        <v>217904578.31</v>
      </c>
      <c r="Z9" s="310">
        <f>L9*-1</f>
        <v>-189185988</v>
      </c>
      <c r="AA9" s="311">
        <f>'Reporte Componentes R1'!R75+'Reporte Componentes R1'!U75+'Reporte Componentes R1'!V75</f>
        <v>-17545.2</v>
      </c>
      <c r="AB9" s="312">
        <f>N9</f>
        <v>25277316.260000002</v>
      </c>
      <c r="AC9" s="320">
        <f>'Reporte Componentes R1'!T75+'Reporte Componentes R1'!W75+'Reporte Componentes R1'!X75+'Reporte Componentes R1'!Y75+'Reporte Componentes R1'!Z75+'Reporte Componentes R1'!S75</f>
        <v>-1592.61</v>
      </c>
      <c r="AD9" s="291">
        <f>-J9+AE9</f>
        <v>5018601955.6499996</v>
      </c>
      <c r="AE9" s="291">
        <f>'Reporte Componentes R1'!F76</f>
        <v>1429147290.0999999</v>
      </c>
      <c r="AF9" s="313">
        <f>SUM(U9:AD9)</f>
        <v>15166320497.939997</v>
      </c>
      <c r="AG9" s="521">
        <f>(AF9-O9)</f>
        <v>-1.9073486328125E-6</v>
      </c>
      <c r="AH9" s="305" t="b">
        <f>INT(AG9)=0</f>
        <v>0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R1'!F254</f>
        <v>20352268540.720001</v>
      </c>
      <c r="E10" s="292">
        <f>'Reporte Componentes R1'!G254</f>
        <v>1575127599.3299999</v>
      </c>
      <c r="F10" s="292">
        <f>'Reporte Componentes R1'!H254</f>
        <v>883344164.76999998</v>
      </c>
      <c r="G10" s="292">
        <f>'Reporte Componentes R1'!I254</f>
        <v>463657475.5</v>
      </c>
      <c r="H10" s="292">
        <f>'Reporte Componentes R1'!J254</f>
        <v>5770939754.4900007</v>
      </c>
      <c r="I10" s="292">
        <f>'Reporte Componentes R1'!K254</f>
        <v>221087801.44999999</v>
      </c>
      <c r="J10" s="288">
        <f>'BCE SC POR FACT.'!F4</f>
        <v>-3241193714.1100001</v>
      </c>
      <c r="K10" s="295">
        <f>D10-E10-F10-G10-H10-I10-J10</f>
        <v>14679305459.289997</v>
      </c>
      <c r="L10" s="294">
        <f>INTERVENTORIA!M27</f>
        <v>266580256</v>
      </c>
      <c r="M10" s="295">
        <f>K10-L10</f>
        <v>14412725203.289997</v>
      </c>
      <c r="N10" s="294">
        <f>'Reporte Componentes R1'!L254</f>
        <v>53454221.280000001</v>
      </c>
      <c r="O10" s="295">
        <f>M10+N10</f>
        <v>14466179424.569998</v>
      </c>
      <c r="Q10" s="306"/>
      <c r="S10" s="314">
        <v>2</v>
      </c>
      <c r="T10" s="315" t="s">
        <v>11</v>
      </c>
      <c r="U10" s="316">
        <f>'Reporte Componentes R1'!M254</f>
        <v>1937636226.24</v>
      </c>
      <c r="V10" s="317">
        <f>'Reporte Componentes R1'!N254</f>
        <v>1932409015.4699998</v>
      </c>
      <c r="W10" s="317">
        <f>'Reporte Componentes R1'!O254</f>
        <v>9106102089.4900017</v>
      </c>
      <c r="X10" s="317">
        <f>'Reporte Componentes R1'!P254</f>
        <v>3106141657.3499999</v>
      </c>
      <c r="Y10" s="318">
        <f>'Reporte Componentes R1'!Q254</f>
        <v>361264015.81999999</v>
      </c>
      <c r="Z10" s="319">
        <f>L10*-1</f>
        <v>-266580256</v>
      </c>
      <c r="AA10" s="320">
        <f>'Reporte Componentes R1'!R254+'Reporte Componentes R1'!U254+'Reporte Componentes R1'!V254</f>
        <v>86691.03</v>
      </c>
      <c r="AB10" s="321">
        <f>N10</f>
        <v>53454221.280000001</v>
      </c>
      <c r="AC10" s="320">
        <f>'Reporte Componentes R1'!T254+'Reporte Componentes R1'!W254+'Reporte Componentes R1'!X254+'Reporte Componentes R1'!Y254+'Reporte Componentes R1'!Z254+'Reporte Componentes R1'!S254</f>
        <v>-123.21</v>
      </c>
      <c r="AD10" s="291">
        <f t="shared" ref="AD10:AD13" si="0">-J10+AE10</f>
        <v>-1764334112.9000001</v>
      </c>
      <c r="AE10" s="291">
        <f>'Reporte Componentes R1'!F255</f>
        <v>-5005527827.0100002</v>
      </c>
      <c r="AF10" s="322">
        <f>SUM(U10:AD10)</f>
        <v>14466179424.570004</v>
      </c>
      <c r="AG10" s="522">
        <f>(AF10-O10)</f>
        <v>5.7220458984375E-6</v>
      </c>
      <c r="AH10" s="305" t="b">
        <f t="shared" ref="AH10:AH13" si="1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R1'!F415</f>
        <v>15226209207.130001</v>
      </c>
      <c r="E11" s="292">
        <f>'Reporte Componentes R1'!G415</f>
        <v>1154352513.9099998</v>
      </c>
      <c r="F11" s="292">
        <f>'Reporte Componentes R1'!H415</f>
        <v>650770459.23000002</v>
      </c>
      <c r="G11" s="292">
        <f>'Reporte Componentes R1'!I415</f>
        <v>342056191.35999995</v>
      </c>
      <c r="H11" s="292">
        <f>'Reporte Componentes R1'!J415</f>
        <v>3421408839.6399999</v>
      </c>
      <c r="I11" s="292">
        <f>'Reporte Componentes R1'!K415</f>
        <v>125779556.72</v>
      </c>
      <c r="J11" s="288">
        <f>'BCE SC POR FACT.'!F5</f>
        <v>-853244564.50999999</v>
      </c>
      <c r="K11" s="295">
        <f>D11-E11-F11-G11-H11-I11-J11</f>
        <v>10385086210.780003</v>
      </c>
      <c r="L11" s="294">
        <f>INTERVENTORIA!M28</f>
        <v>154788536</v>
      </c>
      <c r="M11" s="295">
        <f>K11-L11</f>
        <v>10230297674.780003</v>
      </c>
      <c r="N11" s="294">
        <f>'Reporte Componentes R1'!L415</f>
        <v>14319220.949999999</v>
      </c>
      <c r="O11" s="295">
        <f>M11+N11</f>
        <v>10244616895.730003</v>
      </c>
      <c r="Q11" s="306"/>
      <c r="S11" s="314">
        <v>3</v>
      </c>
      <c r="T11" s="315" t="s">
        <v>12</v>
      </c>
      <c r="U11" s="316">
        <f>'Reporte Componentes R1'!M415</f>
        <v>1103091507.73</v>
      </c>
      <c r="V11" s="317">
        <f>'Reporte Componentes R1'!N415</f>
        <v>1086971984.1900001</v>
      </c>
      <c r="W11" s="317">
        <f>'Reporte Componentes R1'!O415</f>
        <v>5143912413.1300001</v>
      </c>
      <c r="X11" s="317">
        <f>'Reporte Componentes R1'!P415</f>
        <v>2684422813.5500002</v>
      </c>
      <c r="Y11" s="318">
        <f>'Reporte Componentes R1'!Q415</f>
        <v>205320738.77000001</v>
      </c>
      <c r="Z11" s="319">
        <f>L11*-1</f>
        <v>-154788536</v>
      </c>
      <c r="AA11" s="320">
        <f>'Reporte Componentes R1'!R415+'Reporte Componentes R1'!U415+'Reporte Componentes R1'!V415</f>
        <v>246494.88</v>
      </c>
      <c r="AB11" s="321">
        <f>N11</f>
        <v>14319220.949999999</v>
      </c>
      <c r="AC11" s="320">
        <f>'Reporte Componentes R1'!T415+'Reporte Componentes R1'!W415+'Reporte Componentes R1'!X415+'Reporte Componentes R1'!Y415+'Reporte Componentes R1'!Z415+'Reporte Componentes R1'!S415</f>
        <v>-11886.32</v>
      </c>
      <c r="AD11" s="291">
        <f t="shared" si="0"/>
        <v>161132144.85000002</v>
      </c>
      <c r="AE11" s="291">
        <f>'Reporte Componentes R1'!F416</f>
        <v>-692112419.65999997</v>
      </c>
      <c r="AF11" s="322">
        <f t="shared" ref="AF11:AF13" si="2">SUM(U11:AD11)</f>
        <v>10244616895.730001</v>
      </c>
      <c r="AG11" s="522">
        <f>(AF11-O11)</f>
        <v>-1.9073486328125E-6</v>
      </c>
      <c r="AH11" s="305" t="b">
        <f t="shared" si="1"/>
        <v>0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R1'!F568</f>
        <v>7047492494.7299986</v>
      </c>
      <c r="E12" s="292">
        <f>'Reporte Componentes R1'!G568</f>
        <v>460474439.50999999</v>
      </c>
      <c r="F12" s="292">
        <f>'Reporte Componentes R1'!H568</f>
        <v>257013372.20000002</v>
      </c>
      <c r="G12" s="292">
        <f>'Reporte Componentes R1'!I568</f>
        <v>134305930.96000001</v>
      </c>
      <c r="H12" s="292">
        <f>'Reporte Componentes R1'!J568</f>
        <v>1578923907.48</v>
      </c>
      <c r="I12" s="292">
        <f>'Reporte Componentes R1'!K568</f>
        <v>61673075.199999996</v>
      </c>
      <c r="J12" s="288">
        <f>'BCE SC POR FACT.'!F6</f>
        <v>-699882713.37000012</v>
      </c>
      <c r="K12" s="295">
        <f>D12-E12-F12-G12-H12-I12-J12</f>
        <v>5254984482.7499981</v>
      </c>
      <c r="L12" s="294">
        <f>INTERVENTORIA!M29</f>
        <v>120391083</v>
      </c>
      <c r="M12" s="295">
        <f>K12-L12</f>
        <v>5134593399.7499981</v>
      </c>
      <c r="N12" s="294">
        <f>'Reporte Componentes R1'!L568</f>
        <v>34128344.93</v>
      </c>
      <c r="O12" s="295">
        <f>M12+N12</f>
        <v>5168721744.6799984</v>
      </c>
      <c r="Q12" s="306"/>
      <c r="S12" s="314">
        <v>4</v>
      </c>
      <c r="T12" s="315" t="s">
        <v>13</v>
      </c>
      <c r="U12" s="316">
        <f>'Reporte Componentes R1'!M568</f>
        <v>541555023.57000005</v>
      </c>
      <c r="V12" s="317">
        <f>'Reporte Componentes R1'!N568</f>
        <v>540045654.16999996</v>
      </c>
      <c r="W12" s="317">
        <f>'Reporte Componentes R1'!O568</f>
        <v>2761855935.0099998</v>
      </c>
      <c r="X12" s="317">
        <f>'Reporte Componentes R1'!P568</f>
        <v>1218672485.6500001</v>
      </c>
      <c r="Y12" s="318">
        <f>'Reporte Componentes R1'!Q568</f>
        <v>100841209.87</v>
      </c>
      <c r="Z12" s="319">
        <f>L12*-1</f>
        <v>-120391083</v>
      </c>
      <c r="AA12" s="320">
        <f>'Reporte Componentes R1'!R568+'Reporte Componentes R1'!U568+'Reporte Componentes R1'!V568</f>
        <v>-16277.43</v>
      </c>
      <c r="AB12" s="321">
        <f>N12</f>
        <v>34128344.93</v>
      </c>
      <c r="AC12" s="320">
        <f>'Reporte Componentes R1'!T568+'Reporte Componentes R1'!W568+'Reporte Componentes R1'!X568+'Reporte Componentes R1'!Y568+'Reporte Componentes R1'!Z568+'Reporte Componentes R1'!S568</f>
        <v>-440.07</v>
      </c>
      <c r="AD12" s="291">
        <f t="shared" si="0"/>
        <v>92030891.980000138</v>
      </c>
      <c r="AE12" s="291">
        <f>'Reporte Componentes R1'!F569</f>
        <v>-607851821.38999999</v>
      </c>
      <c r="AF12" s="322">
        <f t="shared" si="2"/>
        <v>5168721744.6800003</v>
      </c>
      <c r="AG12" s="522">
        <f>(AF12-O12)</f>
        <v>1.9073486328125E-6</v>
      </c>
      <c r="AH12" s="305" t="b">
        <f t="shared" si="1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R1'!F680</f>
        <v>12033011685.710001</v>
      </c>
      <c r="E13" s="297">
        <f>'Reporte Componentes R1'!G680</f>
        <v>728817640.58000004</v>
      </c>
      <c r="F13" s="297">
        <f>'Reporte Componentes R1'!H680</f>
        <v>410843194.33999997</v>
      </c>
      <c r="G13" s="297">
        <f>'Reporte Componentes R1'!I680</f>
        <v>215464172.38</v>
      </c>
      <c r="H13" s="297">
        <f>'Reporte Componentes R1'!J680</f>
        <v>2764649544.23</v>
      </c>
      <c r="I13" s="297">
        <f>'Reporte Componentes R1'!K680</f>
        <v>105636037.55</v>
      </c>
      <c r="J13" s="289">
        <f>'BCE SC POR FACT.'!F7</f>
        <v>-82959023.660000086</v>
      </c>
      <c r="K13" s="295">
        <f>D13-E13-F13-G13-H13-I13-J13</f>
        <v>7890560120.2900019</v>
      </c>
      <c r="L13" s="294">
        <f>INTERVENTORIA!M30</f>
        <v>128990446</v>
      </c>
      <c r="M13" s="298">
        <f>K13-L13</f>
        <v>7761569674.2900019</v>
      </c>
      <c r="N13" s="299">
        <f>'Reporte Componentes R1'!L680</f>
        <v>14901729.33</v>
      </c>
      <c r="O13" s="298">
        <f>M13+N13</f>
        <v>7776471403.6200018</v>
      </c>
      <c r="Q13" s="306"/>
      <c r="S13" s="324">
        <v>5</v>
      </c>
      <c r="T13" s="325" t="s">
        <v>14</v>
      </c>
      <c r="U13" s="296">
        <f>'Reporte Componentes R1'!M680</f>
        <v>926158791.84000003</v>
      </c>
      <c r="V13" s="297">
        <f>'Reporte Componentes R1'!N680</f>
        <v>908897384.00999999</v>
      </c>
      <c r="W13" s="297">
        <f>'Reporte Componentes R1'!O680</f>
        <v>4671478931.3900003</v>
      </c>
      <c r="X13" s="297">
        <f>'Reporte Componentes R1'!P680</f>
        <v>2165115703.0500002</v>
      </c>
      <c r="Y13" s="289">
        <f>'Reporte Componentes R1'!Q680</f>
        <v>172418576.05000001</v>
      </c>
      <c r="Z13" s="319">
        <f>L13*-1</f>
        <v>-128990446</v>
      </c>
      <c r="AA13" s="320">
        <f>'Reporte Componentes R1'!R680+'Reporte Componentes R1'!U680+'Reporte Componentes R1'!V680</f>
        <v>-147734.32999999999</v>
      </c>
      <c r="AB13" s="321">
        <f>N13</f>
        <v>14901729.33</v>
      </c>
      <c r="AC13" s="320">
        <f>'Reporte Componentes R1'!T680+'Reporte Componentes R1'!W680+'Reporte Componentes R1'!X680+'Reporte Componentes R1'!Y680+'Reporte Componentes R1'!Z680+'Reporte Componentes R1'!S680</f>
        <v>-32.979999999999997</v>
      </c>
      <c r="AD13" s="291">
        <f t="shared" si="0"/>
        <v>-953361498.73999989</v>
      </c>
      <c r="AE13" s="291">
        <f>'Reporte Componentes R1'!F681</f>
        <v>-1036320522.4</v>
      </c>
      <c r="AF13" s="322">
        <f t="shared" si="2"/>
        <v>7776471403.6200008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71998775488.150009</v>
      </c>
      <c r="E14" s="290">
        <f t="shared" ref="E14:O14" si="3">SUM(E9:E13)</f>
        <v>4816995335.1899996</v>
      </c>
      <c r="F14" s="290">
        <f t="shared" si="3"/>
        <v>2708531980.9700003</v>
      </c>
      <c r="G14" s="290">
        <f t="shared" ref="G14" si="4">SUM(G9:G13)</f>
        <v>1421618158.9000001</v>
      </c>
      <c r="H14" s="290">
        <f t="shared" si="3"/>
        <v>17330480077.27</v>
      </c>
      <c r="I14" s="290">
        <f t="shared" si="3"/>
        <v>647719174.23000002</v>
      </c>
      <c r="J14" s="290">
        <f t="shared" si="3"/>
        <v>-8466734681.1999998</v>
      </c>
      <c r="K14" s="300">
        <f>SUM(K9:K13)</f>
        <v>53540165442.790001</v>
      </c>
      <c r="L14" s="301">
        <f>SUM(L9:L13)</f>
        <v>859936309</v>
      </c>
      <c r="M14" s="302">
        <f t="shared" si="3"/>
        <v>52680229133.790001</v>
      </c>
      <c r="N14" s="301">
        <f t="shared" si="3"/>
        <v>142080832.75000003</v>
      </c>
      <c r="O14" s="302">
        <f t="shared" si="3"/>
        <v>52822309966.540001</v>
      </c>
      <c r="P14" s="329"/>
      <c r="Q14" s="306"/>
      <c r="S14" s="327"/>
      <c r="T14" s="328" t="s">
        <v>2</v>
      </c>
      <c r="U14" s="330">
        <f>SUM(U9:U13)</f>
        <v>5683370044.4800005</v>
      </c>
      <c r="V14" s="330">
        <f t="shared" ref="V14:AF14" si="5">SUM(V9:V13)</f>
        <v>5599212151.6999998</v>
      </c>
      <c r="W14" s="330">
        <f t="shared" si="5"/>
        <v>27035524897.790001</v>
      </c>
      <c r="X14" s="330">
        <f t="shared" si="5"/>
        <v>11610102295.400002</v>
      </c>
      <c r="Y14" s="330">
        <f t="shared" si="5"/>
        <v>1057749118.8199999</v>
      </c>
      <c r="Z14" s="290">
        <f t="shared" si="5"/>
        <v>-859936309</v>
      </c>
      <c r="AA14" s="290">
        <f t="shared" si="5"/>
        <v>151628.95000000004</v>
      </c>
      <c r="AB14" s="290">
        <f t="shared" si="5"/>
        <v>142080832.75000003</v>
      </c>
      <c r="AC14" s="290">
        <f>SUM(AC9:AC13)</f>
        <v>-14075.189999999999</v>
      </c>
      <c r="AD14" s="290">
        <f>SUM(AD9:AD13)</f>
        <v>2554069380.8399997</v>
      </c>
      <c r="AE14" s="290">
        <f>SUM(AE9:AE13)</f>
        <v>-5912665300.3599997</v>
      </c>
      <c r="AF14" s="331">
        <f t="shared" si="5"/>
        <v>52822309966.540009</v>
      </c>
      <c r="AG14" s="524">
        <f>SUM(AG9:AG13)</f>
        <v>2.86102294921875E-6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50985958508.190002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7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75" x14ac:dyDescent="0.25">
      <c r="B25" s="8"/>
      <c r="C25" s="598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R2'!E47</f>
        <v>125948553.12</v>
      </c>
      <c r="E28" s="292">
        <f>'Rem. Anticipos R2'!F47</f>
        <v>9640402.9100000001</v>
      </c>
      <c r="F28" s="292">
        <f>'Rem. Anticipos R2'!G47</f>
        <v>5490662.7300000004</v>
      </c>
      <c r="G28" s="292">
        <f>'Rem. Anticipos R2'!H47</f>
        <v>2785450.03</v>
      </c>
      <c r="H28" s="292">
        <f>'Rem. Anticipos R2'!I47</f>
        <v>24544067.870000001</v>
      </c>
      <c r="I28" s="292">
        <f>'Rem. Anticipos R2'!J47</f>
        <v>964886.66</v>
      </c>
      <c r="J28" s="288">
        <v>0</v>
      </c>
      <c r="K28" s="293">
        <f>D28-E28-F28-G28-H28-I28-J28</f>
        <v>82523082.920000002</v>
      </c>
      <c r="L28" s="294">
        <v>0</v>
      </c>
      <c r="M28" s="293">
        <f>K28-L28</f>
        <v>82523082.920000002</v>
      </c>
      <c r="N28" s="294">
        <f>'Rem. Anticipos R2'!K47</f>
        <v>0</v>
      </c>
      <c r="O28" s="293">
        <f>M28+N28</f>
        <v>82523082.920000002</v>
      </c>
      <c r="Q28" s="306"/>
      <c r="S28" s="303">
        <v>1</v>
      </c>
      <c r="T28" s="304" t="s">
        <v>10</v>
      </c>
      <c r="U28" s="307">
        <f>'Rem. Anticipos R2'!L47</f>
        <v>8824083.3000000007</v>
      </c>
      <c r="V28" s="308">
        <f>'Rem. Anticipos R2'!M47</f>
        <v>8523193.0899999999</v>
      </c>
      <c r="W28" s="308">
        <f>'Rem. Anticipos R2'!N47</f>
        <v>37613664.950000003</v>
      </c>
      <c r="X28" s="308">
        <f>'Rem. Anticipos R2'!O47</f>
        <v>27011615</v>
      </c>
      <c r="Y28" s="308">
        <f>'Rem. Anticipos R2'!P47</f>
        <v>1394039.63</v>
      </c>
      <c r="Z28" s="310">
        <f>L28*-1</f>
        <v>0</v>
      </c>
      <c r="AA28" s="311">
        <f>'Rem. Anticipos R2'!Q47</f>
        <v>-73.75</v>
      </c>
      <c r="AB28" s="294">
        <f>N28</f>
        <v>0</v>
      </c>
      <c r="AC28" s="311">
        <f>'Rem. Anticipos R2'!R47</f>
        <v>0</v>
      </c>
      <c r="AD28" s="291">
        <f>-J28+AE28</f>
        <v>-843439.3</v>
      </c>
      <c r="AE28" s="291">
        <f>'Rem. Anticipos R2'!E48</f>
        <v>-843439.3</v>
      </c>
      <c r="AF28" s="313">
        <f>SUM(U28:AD28)</f>
        <v>82523082.920000002</v>
      </c>
      <c r="AG28" s="52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R2'!E155</f>
        <v>178539092.16</v>
      </c>
      <c r="E29" s="292">
        <f>'Rem. Anticipos R2'!F155</f>
        <v>17193125.32</v>
      </c>
      <c r="F29" s="292">
        <f>'Rem. Anticipos R2'!G155</f>
        <v>9759590.5199999996</v>
      </c>
      <c r="G29" s="292">
        <f>'Rem. Anticipos R2'!H155</f>
        <v>4674886.45</v>
      </c>
      <c r="H29" s="292">
        <f>'Rem. Anticipos R2'!I155</f>
        <v>47216081.210000001</v>
      </c>
      <c r="I29" s="292">
        <f>'Rem. Anticipos R2'!J155</f>
        <v>1451359.21</v>
      </c>
      <c r="J29" s="288">
        <v>0</v>
      </c>
      <c r="K29" s="295">
        <f>D29-E29-F29-G29-H29-I29-J29</f>
        <v>98244049.450000003</v>
      </c>
      <c r="L29" s="294">
        <v>0</v>
      </c>
      <c r="M29" s="295">
        <f>K29-L29</f>
        <v>98244049.450000003</v>
      </c>
      <c r="N29" s="294">
        <f>'Rem. Anticipos R2'!K155</f>
        <v>0</v>
      </c>
      <c r="O29" s="295">
        <f t="shared" ref="O29:O32" si="6">M29+N29</f>
        <v>98244049.450000003</v>
      </c>
      <c r="Q29" s="306"/>
      <c r="S29" s="314">
        <v>2</v>
      </c>
      <c r="T29" s="315" t="s">
        <v>11</v>
      </c>
      <c r="U29" s="316">
        <f>'Rem. Anticipos R2'!L155</f>
        <v>13193069.92</v>
      </c>
      <c r="V29" s="317">
        <f>'Rem. Anticipos R2'!M155</f>
        <v>14193303.560000001</v>
      </c>
      <c r="W29" s="317">
        <f>'Rem. Anticipos R2'!N155</f>
        <v>54326291.740000002</v>
      </c>
      <c r="X29" s="317">
        <f>'Rem. Anticipos R2'!O155</f>
        <v>52723995.280000001</v>
      </c>
      <c r="Y29" s="318">
        <f>'Rem. Anticipos R2'!P155</f>
        <v>1920514</v>
      </c>
      <c r="Z29" s="319">
        <f>L29*-1</f>
        <v>0</v>
      </c>
      <c r="AA29" s="320">
        <f>'Rem. Anticipos R2'!Q155</f>
        <v>181.61</v>
      </c>
      <c r="AB29" s="294">
        <f>N29</f>
        <v>0</v>
      </c>
      <c r="AC29" s="320">
        <f>'Rem. Anticipos R2'!R155</f>
        <v>0</v>
      </c>
      <c r="AD29" s="291">
        <f>-J29+AE29</f>
        <v>-38113306.659999996</v>
      </c>
      <c r="AE29" s="291">
        <f>'Rem. Anticipos R2'!E156</f>
        <v>-38113306.659999996</v>
      </c>
      <c r="AF29" s="322">
        <f>SUM(U29:AD29)</f>
        <v>98244049.450000018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R2'!E273</f>
        <v>26586328.289999999</v>
      </c>
      <c r="E30" s="292">
        <f>'Rem. Anticipos R2'!F273</f>
        <v>2669415.9900000002</v>
      </c>
      <c r="F30" s="292">
        <f>'Rem. Anticipos R2'!G273</f>
        <v>1115118.8799999999</v>
      </c>
      <c r="G30" s="292">
        <f>'Rem. Anticipos R2'!H273</f>
        <v>766590.87</v>
      </c>
      <c r="H30" s="292">
        <f>'Rem. Anticipos R2'!I273</f>
        <v>3649866.33</v>
      </c>
      <c r="I30" s="292">
        <f>'Rem. Anticipos R2'!J273</f>
        <v>117977.5</v>
      </c>
      <c r="J30" s="288">
        <v>0</v>
      </c>
      <c r="K30" s="295">
        <f t="shared" ref="K30:K31" si="8">D30-E30-F30-G30-H30-I30-J30</f>
        <v>18267358.719999999</v>
      </c>
      <c r="L30" s="294">
        <v>0</v>
      </c>
      <c r="M30" s="295">
        <f>K30-L30</f>
        <v>18267358.719999999</v>
      </c>
      <c r="N30" s="294">
        <f>'Rem. Anticipos R2'!K273</f>
        <v>22742.37</v>
      </c>
      <c r="O30" s="295">
        <f t="shared" si="6"/>
        <v>18290101.09</v>
      </c>
      <c r="Q30" s="306"/>
      <c r="S30" s="314">
        <v>3</v>
      </c>
      <c r="T30" s="315" t="s">
        <v>12</v>
      </c>
      <c r="U30" s="316">
        <f>'Rem. Anticipos R2'!L273</f>
        <v>1069586.72</v>
      </c>
      <c r="V30" s="317">
        <f>'Rem. Anticipos R2'!M273</f>
        <v>1249645.94</v>
      </c>
      <c r="W30" s="317">
        <f>'Rem. Anticipos R2'!N273</f>
        <v>6297254.4900000002</v>
      </c>
      <c r="X30" s="317">
        <f>'Rem. Anticipos R2'!O273</f>
        <v>6569127.7699999996</v>
      </c>
      <c r="Y30" s="318">
        <f>'Rem. Anticipos R2'!P273</f>
        <v>179885.12</v>
      </c>
      <c r="Z30" s="319">
        <f>L30*-1</f>
        <v>0</v>
      </c>
      <c r="AA30" s="320">
        <f>'Rem. Anticipos R2'!Q273</f>
        <v>46.22</v>
      </c>
      <c r="AB30" s="294">
        <f>N30</f>
        <v>22742.37</v>
      </c>
      <c r="AC30" s="320">
        <f>'Rem. Anticipos R2'!R273</f>
        <v>0</v>
      </c>
      <c r="AD30" s="291">
        <f t="shared" ref="AD30:AD32" si="9">-J30+AE30</f>
        <v>2901812.46</v>
      </c>
      <c r="AE30" s="291">
        <f>'Rem. Anticipos R2'!E274</f>
        <v>2901812.46</v>
      </c>
      <c r="AF30" s="322">
        <f>SUM(U30:AD30)</f>
        <v>18290101.09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R2'!E384</f>
        <v>161461949.73000002</v>
      </c>
      <c r="E31" s="292">
        <f>'Rem. Anticipos R2'!F384</f>
        <v>16099105.310000001</v>
      </c>
      <c r="F31" s="292">
        <f>'Rem. Anticipos R2'!G384</f>
        <v>9061043.1899999995</v>
      </c>
      <c r="G31" s="292">
        <f>'Rem. Anticipos R2'!H384</f>
        <v>2852946.06</v>
      </c>
      <c r="H31" s="292">
        <f>'Rem. Anticipos R2'!I384</f>
        <v>32340245.82</v>
      </c>
      <c r="I31" s="292">
        <f>'Rem. Anticipos R2'!J384</f>
        <v>1124253.03</v>
      </c>
      <c r="J31" s="288">
        <v>0</v>
      </c>
      <c r="K31" s="295">
        <f t="shared" si="8"/>
        <v>99984356.320000023</v>
      </c>
      <c r="L31" s="294">
        <v>0</v>
      </c>
      <c r="M31" s="295">
        <f>K31-L31</f>
        <v>99984356.320000023</v>
      </c>
      <c r="N31" s="294">
        <f>'Rem. Anticipos R2'!K384</f>
        <v>0</v>
      </c>
      <c r="O31" s="295">
        <f t="shared" si="6"/>
        <v>99984356.320000023</v>
      </c>
      <c r="Q31" s="306"/>
      <c r="S31" s="314">
        <v>4</v>
      </c>
      <c r="T31" s="315" t="s">
        <v>13</v>
      </c>
      <c r="U31" s="316">
        <f>'Rem. Anticipos R2'!L384</f>
        <v>9787993.9299999997</v>
      </c>
      <c r="V31" s="317">
        <f>'Rem. Anticipos R2'!M384</f>
        <v>10109598.300000001</v>
      </c>
      <c r="W31" s="317">
        <f>'Rem. Anticipos R2'!N384</f>
        <v>46326513.079999998</v>
      </c>
      <c r="X31" s="317">
        <f>'Rem. Anticipos R2'!O384</f>
        <v>43710041.659999996</v>
      </c>
      <c r="Y31" s="318">
        <f>'Rem. Anticipos R2'!P384</f>
        <v>1759287.77</v>
      </c>
      <c r="Z31" s="319">
        <f>L31*-1</f>
        <v>0</v>
      </c>
      <c r="AA31" s="320">
        <f>'Rem. Anticipos R2'!Q384</f>
        <v>4.5599999999999996</v>
      </c>
      <c r="AB31" s="294">
        <f>N31</f>
        <v>0</v>
      </c>
      <c r="AC31" s="320">
        <f>'Rem. Anticipos R2'!R384</f>
        <v>0</v>
      </c>
      <c r="AD31" s="291">
        <f t="shared" si="9"/>
        <v>-11709082.98</v>
      </c>
      <c r="AE31" s="291">
        <f>'Rem. Anticipos R2'!E385</f>
        <v>-11709082.98</v>
      </c>
      <c r="AF31" s="322">
        <f>SUM(U31:AD31)</f>
        <v>99984356.319999993</v>
      </c>
      <c r="AG31" s="522">
        <f t="shared" si="10"/>
        <v>-2.9802322387695313E-8</v>
      </c>
      <c r="AH31" s="305" t="b">
        <f t="shared" si="7"/>
        <v>0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R2'!E468</f>
        <v>42983502.410000004</v>
      </c>
      <c r="E32" s="297">
        <f>'Rem. Anticipos R2'!F468</f>
        <v>3046794.96</v>
      </c>
      <c r="F32" s="297">
        <f>'Rem. Anticipos R2'!G468</f>
        <v>1737546.59</v>
      </c>
      <c r="G32" s="297">
        <f>'Rem. Anticipos R2'!H468</f>
        <v>808529.7</v>
      </c>
      <c r="H32" s="297">
        <f>'Rem. Anticipos R2'!I468</f>
        <v>7182406.2400000002</v>
      </c>
      <c r="I32" s="297">
        <f>'Rem. Anticipos R2'!J468</f>
        <v>249175.55</v>
      </c>
      <c r="J32" s="289">
        <v>0</v>
      </c>
      <c r="K32" s="295">
        <f>D32-E32-F32-G32-H32-I32-J32</f>
        <v>29959049.369999994</v>
      </c>
      <c r="L32" s="294">
        <v>0</v>
      </c>
      <c r="M32" s="298">
        <f>K32-L32</f>
        <v>29959049.369999994</v>
      </c>
      <c r="N32" s="299">
        <f>'Rem. Anticipos R2'!K468</f>
        <v>990006.55</v>
      </c>
      <c r="O32" s="298">
        <f t="shared" si="6"/>
        <v>30949055.919999994</v>
      </c>
      <c r="Q32" s="306"/>
      <c r="S32" s="324">
        <v>5</v>
      </c>
      <c r="T32" s="325" t="s">
        <v>14</v>
      </c>
      <c r="U32" s="296">
        <f>'Rem. Anticipos R2'!L468</f>
        <v>2265402.94</v>
      </c>
      <c r="V32" s="297">
        <f>'Rem. Anticipos R2'!M468</f>
        <v>2501140.2999999998</v>
      </c>
      <c r="W32" s="297">
        <f>'Rem. Anticipos R2'!N468</f>
        <v>10769602.529999999</v>
      </c>
      <c r="X32" s="297">
        <f>'Rem. Anticipos R2'!O468</f>
        <v>9260216.1500000004</v>
      </c>
      <c r="Y32" s="289">
        <f>'Rem. Anticipos R2'!P468</f>
        <v>352055.57</v>
      </c>
      <c r="Z32" s="319">
        <f>L32*-1</f>
        <v>0</v>
      </c>
      <c r="AA32" s="320">
        <f>'Rem. Anticipos R2'!Q468</f>
        <v>-10.37</v>
      </c>
      <c r="AB32" s="294">
        <f>N32</f>
        <v>990006.55</v>
      </c>
      <c r="AC32" s="320">
        <f>'Rem. Anticipos R2'!R468</f>
        <v>0</v>
      </c>
      <c r="AD32" s="291">
        <f t="shared" si="9"/>
        <v>4810642.25</v>
      </c>
      <c r="AE32" s="291">
        <f>'Rem. Anticipos R2'!E469</f>
        <v>4810642.25</v>
      </c>
      <c r="AF32" s="322">
        <f>SUM(U32:AD32)</f>
        <v>30949055.920000002</v>
      </c>
      <c r="AG32" s="523">
        <f>(AF32-O32)</f>
        <v>7.4505805969238281E-9</v>
      </c>
      <c r="AH32" s="305" t="b">
        <f t="shared" si="7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535519425.71000004</v>
      </c>
      <c r="E33" s="290">
        <f>SUM(E28:E32)</f>
        <v>48648844.490000002</v>
      </c>
      <c r="F33" s="290">
        <f t="shared" ref="F33:O33" si="11">SUM(F28:F32)</f>
        <v>27163961.91</v>
      </c>
      <c r="G33" s="290">
        <f t="shared" ref="G33" si="12">SUM(G28:G32)</f>
        <v>11888403.109999999</v>
      </c>
      <c r="H33" s="290">
        <f t="shared" si="11"/>
        <v>114932667.46999998</v>
      </c>
      <c r="I33" s="290">
        <f t="shared" si="11"/>
        <v>3907651.95</v>
      </c>
      <c r="J33" s="290">
        <f t="shared" si="11"/>
        <v>0</v>
      </c>
      <c r="K33" s="300">
        <f t="shared" si="11"/>
        <v>328977896.78000003</v>
      </c>
      <c r="L33" s="301">
        <f t="shared" si="11"/>
        <v>0</v>
      </c>
      <c r="M33" s="302">
        <f t="shared" si="11"/>
        <v>328977896.78000003</v>
      </c>
      <c r="N33" s="301">
        <f t="shared" si="11"/>
        <v>1012748.92</v>
      </c>
      <c r="O33" s="302">
        <f t="shared" si="11"/>
        <v>329990645.70000005</v>
      </c>
      <c r="P33" s="329"/>
      <c r="Q33" s="306"/>
      <c r="S33" s="327"/>
      <c r="T33" s="328" t="s">
        <v>2</v>
      </c>
      <c r="U33" s="330">
        <f>SUM(U28:U32)</f>
        <v>35140136.809999995</v>
      </c>
      <c r="V33" s="330">
        <f t="shared" ref="V33:AF33" si="13">SUM(V28:V32)</f>
        <v>36576881.189999998</v>
      </c>
      <c r="W33" s="330">
        <f t="shared" si="13"/>
        <v>155333326.78999999</v>
      </c>
      <c r="X33" s="330">
        <f t="shared" si="13"/>
        <v>139274995.85999998</v>
      </c>
      <c r="Y33" s="330">
        <f t="shared" si="13"/>
        <v>5605782.0899999999</v>
      </c>
      <c r="Z33" s="290">
        <f t="shared" si="13"/>
        <v>0</v>
      </c>
      <c r="AA33" s="290">
        <f t="shared" si="13"/>
        <v>148.27000000000001</v>
      </c>
      <c r="AB33" s="290">
        <f t="shared" si="13"/>
        <v>1012748.92</v>
      </c>
      <c r="AC33" s="290">
        <f t="shared" ref="AC33" si="14">SUM(AC28:AC32)</f>
        <v>0</v>
      </c>
      <c r="AD33" s="290">
        <f>SUM(AD28:AD32)</f>
        <v>-42953374.229999989</v>
      </c>
      <c r="AE33" s="290">
        <f>SUM(AE28:AE32)</f>
        <v>-42953374.229999989</v>
      </c>
      <c r="AF33" s="331">
        <f t="shared" si="13"/>
        <v>329990645.69999999</v>
      </c>
      <c r="AG33" s="524">
        <f t="shared" ref="AG33" si="15">SUM(AG28:AG32)</f>
        <v>-7.4505805969238281E-9</v>
      </c>
      <c r="AH33" s="305" t="b">
        <f>INT(AG33)=0</f>
        <v>0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371931122.73999995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7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75" x14ac:dyDescent="0.25">
      <c r="B44" s="8"/>
      <c r="C44" s="598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R1'!F77</f>
        <v>49580</v>
      </c>
      <c r="E47" s="292">
        <f>'Reporte Componentes R1'!G77</f>
        <v>2007.44</v>
      </c>
      <c r="F47" s="292">
        <f>'Reporte Componentes R1'!H77</f>
        <v>1133.3800000000001</v>
      </c>
      <c r="G47" s="292">
        <f>'Reporte Componentes R1'!I77</f>
        <v>594.88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R1'!L77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5482.6</v>
      </c>
      <c r="Y47" s="309">
        <f>'Reporte Componentes R1'!Q77</f>
        <v>0</v>
      </c>
      <c r="Z47" s="310">
        <f>-L47</f>
        <v>0</v>
      </c>
      <c r="AA47" s="320">
        <f>'Reporte Componentes R1'!R77+'Reporte Componentes R1'!V77+'Reporte Componentes R1'!U77</f>
        <v>-2.61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40364.31</v>
      </c>
      <c r="AE47" s="291">
        <f>'Reporte Componentes R1'!F78</f>
        <v>40364.31</v>
      </c>
      <c r="AF47" s="313">
        <f>SUM(U47:AD47)</f>
        <v>45844.299999999996</v>
      </c>
      <c r="AG47" s="521">
        <f>(AF47-O47)</f>
        <v>-7.2759576141834259E-12</v>
      </c>
      <c r="AH47" s="305" t="b">
        <f>INT(AG47)=0</f>
        <v>0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R1'!F256</f>
        <v>56190070</v>
      </c>
      <c r="E48" s="292">
        <f>'Reporte Componentes R1'!G256</f>
        <v>7708934.9000000004</v>
      </c>
      <c r="F48" s="292">
        <f>'Reporte Componentes R1'!H256</f>
        <v>4358213.05</v>
      </c>
      <c r="G48" s="292">
        <f>'Reporte Componentes R1'!I256</f>
        <v>2310135.71</v>
      </c>
      <c r="H48" s="292">
        <f>'Reporte Componentes R1'!J256</f>
        <v>173927.38</v>
      </c>
      <c r="I48" s="292">
        <f>'Reporte Componentes R1'!K256</f>
        <v>5311.09</v>
      </c>
      <c r="J48" s="288">
        <v>0</v>
      </c>
      <c r="K48" s="295">
        <f t="shared" ref="K48:K51" si="16">D48-E48-F48-G48-H48-I48-J48</f>
        <v>41633547.869999997</v>
      </c>
      <c r="L48" s="294">
        <v>0</v>
      </c>
      <c r="M48" s="295">
        <f>K48-L48</f>
        <v>41633547.869999997</v>
      </c>
      <c r="N48" s="294">
        <f>'Reporte Componentes R1'!L256</f>
        <v>0</v>
      </c>
      <c r="O48" s="295">
        <f t="shared" ref="O48:O51" si="17">M48+N48</f>
        <v>41633547.869999997</v>
      </c>
      <c r="Q48" s="306"/>
      <c r="S48" s="314">
        <v>2</v>
      </c>
      <c r="T48" s="315" t="s">
        <v>11</v>
      </c>
      <c r="U48" s="316">
        <f>'Reporte Componentes R1'!M256</f>
        <v>46588.43</v>
      </c>
      <c r="V48" s="317">
        <f>'Reporte Componentes R1'!N256</f>
        <v>53938.06</v>
      </c>
      <c r="W48" s="317">
        <f>'Reporte Componentes R1'!O256</f>
        <v>251431.52</v>
      </c>
      <c r="X48" s="317">
        <f>'Reporte Componentes R1'!P256</f>
        <v>15476286.449999999</v>
      </c>
      <c r="Y48" s="318">
        <f>'Reporte Componentes R1'!Q256</f>
        <v>8665.4500000000007</v>
      </c>
      <c r="Z48" s="319">
        <f>-L48</f>
        <v>0</v>
      </c>
      <c r="AA48" s="320">
        <f>'Reporte Componentes R1'!R256+'Reporte Componentes R1'!V256+'Reporte Componentes R1'!U256</f>
        <v>-0.40999999999999898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</v>
      </c>
      <c r="AD48" s="291">
        <f t="shared" ref="AD48:AD51" si="18">-J48+AE48</f>
        <v>25796638.370000001</v>
      </c>
      <c r="AE48" s="291">
        <f>'Reporte Componentes R1'!F257</f>
        <v>25796638.370000001</v>
      </c>
      <c r="AF48" s="322">
        <f>SUM(U48:AD48)</f>
        <v>41633547.869999997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R1'!F417</f>
        <v>1307680</v>
      </c>
      <c r="E49" s="292">
        <f>'Reporte Componentes R1'!G417</f>
        <v>147598.38</v>
      </c>
      <c r="F49" s="292">
        <f>'Reporte Componentes R1'!H417</f>
        <v>66140.960000000006</v>
      </c>
      <c r="G49" s="292">
        <f>'Reporte Componentes R1'!I417</f>
        <v>37291.57</v>
      </c>
      <c r="H49" s="292">
        <f>'Reporte Componentes R1'!J417</f>
        <v>33572.080000000002</v>
      </c>
      <c r="I49" s="292">
        <f>'Reporte Componentes R1'!K417</f>
        <v>682.45</v>
      </c>
      <c r="J49" s="288">
        <v>0</v>
      </c>
      <c r="K49" s="295">
        <f t="shared" si="16"/>
        <v>1022394.5600000002</v>
      </c>
      <c r="L49" s="294">
        <v>0</v>
      </c>
      <c r="M49" s="295">
        <f>K49-L49</f>
        <v>1022394.5600000002</v>
      </c>
      <c r="N49" s="294">
        <f>'Reporte Componentes R1'!L417</f>
        <v>0</v>
      </c>
      <c r="O49" s="295">
        <f t="shared" si="17"/>
        <v>1022394.5600000002</v>
      </c>
      <c r="Q49" s="306"/>
      <c r="S49" s="314">
        <v>3</v>
      </c>
      <c r="T49" s="315" t="s">
        <v>12</v>
      </c>
      <c r="U49" s="316">
        <f>'Reporte Componentes R1'!M417</f>
        <v>5991.23</v>
      </c>
      <c r="V49" s="317">
        <f>'Reporte Componentes R1'!N417</f>
        <v>7293.25</v>
      </c>
      <c r="W49" s="317">
        <f>'Reporte Componentes R1'!O417</f>
        <v>33919.089999999997</v>
      </c>
      <c r="X49" s="317">
        <f>'Reporte Componentes R1'!P417</f>
        <v>346942.9</v>
      </c>
      <c r="Y49" s="318">
        <f>'Reporte Componentes R1'!Q417</f>
        <v>1113.3699999999999</v>
      </c>
      <c r="Z49" s="319">
        <f>-L49</f>
        <v>0</v>
      </c>
      <c r="AA49" s="320">
        <f>'Reporte Componentes R1'!R417+'Reporte Componentes R1'!V417+'Reporte Componentes R1'!U417</f>
        <v>-7.95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0.7</v>
      </c>
      <c r="AD49" s="291">
        <f t="shared" si="18"/>
        <v>627141.97</v>
      </c>
      <c r="AE49" s="291">
        <f>'Reporte Componentes R1'!F418</f>
        <v>627141.97</v>
      </c>
      <c r="AF49" s="322">
        <f t="shared" ref="AF49:AF51" si="20">SUM(U49:AD49)</f>
        <v>1022394.56</v>
      </c>
      <c r="AG49" s="522">
        <f t="shared" ref="AG49:AG51" si="21">(AF49-O49)</f>
        <v>-1.1641532182693481E-10</v>
      </c>
      <c r="AH49" s="305" t="b">
        <f t="shared" si="19"/>
        <v>0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R1'!F570</f>
        <v>4343101</v>
      </c>
      <c r="E50" s="292">
        <f>'Reporte Componentes R1'!G570</f>
        <v>311438.06</v>
      </c>
      <c r="F50" s="292">
        <f>'Reporte Componentes R1'!H570</f>
        <v>174745.19</v>
      </c>
      <c r="G50" s="292">
        <f>'Reporte Componentes R1'!I570</f>
        <v>94552.57</v>
      </c>
      <c r="H50" s="292">
        <f>'Reporte Componentes R1'!J570</f>
        <v>971475.94</v>
      </c>
      <c r="I50" s="292">
        <f>'Reporte Componentes R1'!K570</f>
        <v>31532.52</v>
      </c>
      <c r="J50" s="288">
        <v>0</v>
      </c>
      <c r="K50" s="295">
        <f t="shared" si="16"/>
        <v>2759356.72</v>
      </c>
      <c r="L50" s="294">
        <v>0</v>
      </c>
      <c r="M50" s="295">
        <f>K50-L50</f>
        <v>2759356.72</v>
      </c>
      <c r="N50" s="294">
        <f>'Reporte Componentes R1'!L570</f>
        <v>0</v>
      </c>
      <c r="O50" s="295">
        <f t="shared" si="17"/>
        <v>2759356.72</v>
      </c>
      <c r="Q50" s="306"/>
      <c r="S50" s="314">
        <v>4</v>
      </c>
      <c r="T50" s="315" t="s">
        <v>13</v>
      </c>
      <c r="U50" s="316">
        <f>'Reporte Componentes R1'!M570</f>
        <v>280120.46000000002</v>
      </c>
      <c r="V50" s="317">
        <f>'Reporte Componentes R1'!N570</f>
        <v>309903.63</v>
      </c>
      <c r="W50" s="317">
        <f>'Reporte Componentes R1'!O570</f>
        <v>1543098.75</v>
      </c>
      <c r="X50" s="317">
        <f>'Reporte Componentes R1'!P570</f>
        <v>830464.64</v>
      </c>
      <c r="Y50" s="318">
        <f>'Reporte Componentes R1'!Q570</f>
        <v>53321.16</v>
      </c>
      <c r="Z50" s="319">
        <f>-L50</f>
        <v>0</v>
      </c>
      <c r="AA50" s="320">
        <f>'Reporte Componentes R1'!R570+'Reporte Componentes R1'!V570+'Reporte Componentes R1'!U570</f>
        <v>10.98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-88.74</v>
      </c>
      <c r="AD50" s="291">
        <f t="shared" si="18"/>
        <v>-257474.16</v>
      </c>
      <c r="AE50" s="291">
        <f>'Reporte Componentes R1'!F571</f>
        <v>-257474.16</v>
      </c>
      <c r="AF50" s="322">
        <f t="shared" si="20"/>
        <v>2759356.7199999997</v>
      </c>
      <c r="AG50" s="522">
        <f t="shared" si="21"/>
        <v>-4.6566128730773926E-10</v>
      </c>
      <c r="AH50" s="305" t="b">
        <f t="shared" si="19"/>
        <v>0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R1'!F682</f>
        <v>441849</v>
      </c>
      <c r="E51" s="297">
        <f>'Reporte Componentes R1'!G682</f>
        <v>26657.43</v>
      </c>
      <c r="F51" s="297">
        <f>'Reporte Componentes R1'!H682</f>
        <v>14138.02</v>
      </c>
      <c r="G51" s="297">
        <f>'Reporte Componentes R1'!I682</f>
        <v>7723.27</v>
      </c>
      <c r="H51" s="297">
        <f>'Reporte Componentes R1'!J682</f>
        <v>93911.73</v>
      </c>
      <c r="I51" s="297">
        <f>'Reporte Componentes R1'!K682</f>
        <v>2290.29</v>
      </c>
      <c r="J51" s="289">
        <v>0</v>
      </c>
      <c r="K51" s="295">
        <f t="shared" si="16"/>
        <v>297128.26</v>
      </c>
      <c r="L51" s="294">
        <v>0</v>
      </c>
      <c r="M51" s="298">
        <f>K51-L51</f>
        <v>297128.26</v>
      </c>
      <c r="N51" s="299">
        <f>'Reporte Componentes R1'!L682</f>
        <v>0</v>
      </c>
      <c r="O51" s="298">
        <f t="shared" si="17"/>
        <v>297128.26</v>
      </c>
      <c r="Q51" s="306"/>
      <c r="S51" s="324">
        <v>5</v>
      </c>
      <c r="T51" s="325" t="s">
        <v>14</v>
      </c>
      <c r="U51" s="296">
        <f>'Reporte Componentes R1'!M682</f>
        <v>20089.34</v>
      </c>
      <c r="V51" s="297">
        <f>'Reporte Componentes R1'!N682</f>
        <v>28092.36</v>
      </c>
      <c r="W51" s="297">
        <f>'Reporte Componentes R1'!O682</f>
        <v>141333</v>
      </c>
      <c r="X51" s="297">
        <f>'Reporte Componentes R1'!P682</f>
        <v>79544.789999999994</v>
      </c>
      <c r="Y51" s="289">
        <f>'Reporte Componentes R1'!Q682</f>
        <v>3736.7</v>
      </c>
      <c r="Z51" s="319">
        <f>-L51</f>
        <v>0</v>
      </c>
      <c r="AA51" s="320">
        <f>'Reporte Componentes R1'!R682+'Reporte Componentes R1'!V682+'Reporte Componentes R1'!U682</f>
        <v>2.69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24329.38</v>
      </c>
      <c r="AE51" s="291">
        <f>'Reporte Componentes R1'!F683</f>
        <v>24329.38</v>
      </c>
      <c r="AF51" s="322">
        <f t="shared" si="20"/>
        <v>297128.26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2">SUM(D47:D51)</f>
        <v>62332280</v>
      </c>
      <c r="E52" s="290">
        <f t="shared" si="22"/>
        <v>8196636.21</v>
      </c>
      <c r="F52" s="290">
        <f t="shared" si="22"/>
        <v>4614370.5999999996</v>
      </c>
      <c r="G52" s="290">
        <f t="shared" ref="G52" si="23">SUM(G47:G51)</f>
        <v>2450297.9999999995</v>
      </c>
      <c r="H52" s="290">
        <f t="shared" si="22"/>
        <v>1272887.1299999999</v>
      </c>
      <c r="I52" s="290">
        <f t="shared" si="22"/>
        <v>39816.35</v>
      </c>
      <c r="J52" s="290">
        <f t="shared" si="22"/>
        <v>0</v>
      </c>
      <c r="K52" s="300">
        <f t="shared" si="22"/>
        <v>45758271.709999993</v>
      </c>
      <c r="L52" s="301">
        <f t="shared" si="22"/>
        <v>0</v>
      </c>
      <c r="M52" s="302">
        <f t="shared" si="22"/>
        <v>45758271.709999993</v>
      </c>
      <c r="N52" s="301">
        <f t="shared" si="22"/>
        <v>0</v>
      </c>
      <c r="O52" s="302">
        <f t="shared" si="22"/>
        <v>45758271.709999993</v>
      </c>
      <c r="P52" s="329"/>
      <c r="Q52" s="306"/>
      <c r="S52" s="327"/>
      <c r="T52" s="328" t="s">
        <v>2</v>
      </c>
      <c r="U52" s="330">
        <f>SUM(U47:U51)</f>
        <v>352789.46</v>
      </c>
      <c r="V52" s="330">
        <f t="shared" ref="V52:AG52" si="24">SUM(V47:V51)</f>
        <v>399227.3</v>
      </c>
      <c r="W52" s="330">
        <f t="shared" si="24"/>
        <v>1969782.3599999999</v>
      </c>
      <c r="X52" s="330">
        <f t="shared" si="24"/>
        <v>16738721.379999999</v>
      </c>
      <c r="Y52" s="330">
        <f t="shared" si="24"/>
        <v>66836.680000000008</v>
      </c>
      <c r="Z52" s="290">
        <f t="shared" si="24"/>
        <v>0</v>
      </c>
      <c r="AA52" s="290">
        <f t="shared" si="24"/>
        <v>2.7000000000000015</v>
      </c>
      <c r="AB52" s="290">
        <f t="shared" si="24"/>
        <v>0</v>
      </c>
      <c r="AC52" s="290">
        <f t="shared" si="24"/>
        <v>-88.039999999999992</v>
      </c>
      <c r="AD52" s="290">
        <f>SUM(AD47:AD51)</f>
        <v>26230999.869999997</v>
      </c>
      <c r="AE52" s="290">
        <f>SUM(AE47:AE51)</f>
        <v>26230999.869999997</v>
      </c>
      <c r="AF52" s="331">
        <f t="shared" si="24"/>
        <v>45758271.709999993</v>
      </c>
      <c r="AG52" s="524">
        <f t="shared" si="24"/>
        <v>-5.893525667488575E-10</v>
      </c>
      <c r="AH52" s="305" t="b">
        <f>INT(AG52)=0</f>
        <v>0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19527357.18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7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75" x14ac:dyDescent="0.25">
      <c r="B63" s="8"/>
      <c r="C63" s="598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R4'!D73</f>
        <v>-16536713.09</v>
      </c>
      <c r="E66" s="292">
        <f>'Reversion Pagos R4'!E73</f>
        <v>-842044.27</v>
      </c>
      <c r="F66" s="292">
        <f>'Reversion Pagos R4'!F73</f>
        <v>-470499.84000000003</v>
      </c>
      <c r="G66" s="292">
        <f>'Reversion Pagos R4'!G73</f>
        <v>-249332.32</v>
      </c>
      <c r="H66" s="292">
        <f>'Reversion Pagos R4'!H73</f>
        <v>-4006466.75</v>
      </c>
      <c r="I66" s="292">
        <f>'Reversion Pagos R4'!I73</f>
        <v>-145004</v>
      </c>
      <c r="J66" s="288">
        <v>0</v>
      </c>
      <c r="K66" s="293">
        <f>D66-E66-F66-G66-H66-I66-J66</f>
        <v>-10823365.91</v>
      </c>
      <c r="L66" s="294">
        <v>0</v>
      </c>
      <c r="M66" s="293">
        <f>K66-L66</f>
        <v>-10823365.91</v>
      </c>
      <c r="N66" s="294">
        <f>'Reversion Pagos R4'!P73</f>
        <v>0</v>
      </c>
      <c r="O66" s="293">
        <f>M66+N66</f>
        <v>-10823365.91</v>
      </c>
      <c r="Q66" s="306"/>
      <c r="S66" s="303">
        <v>1</v>
      </c>
      <c r="T66" s="304" t="s">
        <v>10</v>
      </c>
      <c r="U66" s="307">
        <f>'Reversion Pagos R4'!J73</f>
        <v>-1301824.81</v>
      </c>
      <c r="V66" s="308">
        <f>'Reversion Pagos R4'!K73</f>
        <v>-1255802.95</v>
      </c>
      <c r="W66" s="308">
        <f>'Reversion Pagos R4'!L73</f>
        <v>-5775459.54</v>
      </c>
      <c r="X66" s="308">
        <f>'Reversion Pagos R4'!M73</f>
        <v>-2296297.42</v>
      </c>
      <c r="Y66" s="308">
        <f>'Reversion Pagos R4'!N73</f>
        <v>-237636.38</v>
      </c>
      <c r="Z66" s="310">
        <f>-L66</f>
        <v>0</v>
      </c>
      <c r="AA66" s="320">
        <f>'Reversion Pagos R4'!O73</f>
        <v>100.74000000000001</v>
      </c>
      <c r="AB66" s="294">
        <f>N66</f>
        <v>0</v>
      </c>
      <c r="AC66" s="320">
        <f>+'Reversion Pagos R4'!Q73+'Reversion Pagos R4'!R73</f>
        <v>0</v>
      </c>
      <c r="AD66" s="291">
        <f>-J66+AE66</f>
        <v>43554.450000000012</v>
      </c>
      <c r="AE66" s="291">
        <f>'Reversion Pagos R4'!D74</f>
        <v>43554.450000000012</v>
      </c>
      <c r="AF66" s="313">
        <f>SUM(U66:AD66)</f>
        <v>-10823365.91</v>
      </c>
      <c r="AG66" s="52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R4'!D174</f>
        <v>-71069759</v>
      </c>
      <c r="E67" s="292">
        <f>'Reversion Pagos R4'!E174</f>
        <v>-15881719.34</v>
      </c>
      <c r="F67" s="292">
        <f>'Reversion Pagos R4'!F174</f>
        <v>-7382378.6299999999</v>
      </c>
      <c r="G67" s="292">
        <f>'Reversion Pagos R4'!G174</f>
        <v>-4039895.56</v>
      </c>
      <c r="H67" s="292">
        <f>'Reversion Pagos R4'!H174</f>
        <v>-3333202.99</v>
      </c>
      <c r="I67" s="292">
        <f>'Reversion Pagos R4'!I174</f>
        <v>-119625.47</v>
      </c>
      <c r="J67" s="288">
        <v>0</v>
      </c>
      <c r="K67" s="295">
        <f t="shared" ref="K67:K70" si="25">D67-E67-F67-G67-H67-I67-J67</f>
        <v>-40312937.00999999</v>
      </c>
      <c r="L67" s="294">
        <v>0</v>
      </c>
      <c r="M67" s="295">
        <f>K67-L67</f>
        <v>-40312937.00999999</v>
      </c>
      <c r="N67" s="294">
        <f>'Reversion Pagos R4'!P174</f>
        <v>0</v>
      </c>
      <c r="O67" s="295">
        <f t="shared" ref="O67:O70" si="26">M67+N67</f>
        <v>-40312937.00999999</v>
      </c>
      <c r="Q67" s="306"/>
      <c r="S67" s="314">
        <v>2</v>
      </c>
      <c r="T67" s="315" t="s">
        <v>11</v>
      </c>
      <c r="U67" s="316">
        <f>'Reversion Pagos R4'!J174</f>
        <v>-1050942.24</v>
      </c>
      <c r="V67" s="317">
        <f>'Reversion Pagos R4'!K174</f>
        <v>-1052754.19</v>
      </c>
      <c r="W67" s="317">
        <f>'Reversion Pagos R4'!L174</f>
        <v>-4921480.46</v>
      </c>
      <c r="X67" s="317">
        <f>'Reversion Pagos R4'!M174</f>
        <v>-32197091.960000001</v>
      </c>
      <c r="Y67" s="318">
        <f>'Reversion Pagos R4'!N174</f>
        <v>-194756.94999999998</v>
      </c>
      <c r="Z67" s="319">
        <f t="shared" ref="Z67:Z70" si="27">-L67</f>
        <v>0</v>
      </c>
      <c r="AA67" s="320">
        <f>'Reversion Pagos R4'!O174</f>
        <v>28.29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-895939.5</v>
      </c>
      <c r="AE67" s="291">
        <f>'Reversion Pagos R4'!D175</f>
        <v>-895939.5</v>
      </c>
      <c r="AF67" s="322">
        <f>SUM(U67:AD67)</f>
        <v>-40312937.010000005</v>
      </c>
      <c r="AG67" s="522">
        <f>(AF67-O67)</f>
        <v>-1.4901161193847656E-8</v>
      </c>
      <c r="AH67" s="305" t="b">
        <f t="shared" ref="AH67:AH70" si="29">INT(AG67)=0</f>
        <v>0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R4'!D211</f>
        <v>-32310979.800000001</v>
      </c>
      <c r="E68" s="292">
        <f>'Reversion Pagos R4'!E211</f>
        <v>-2359230.8699999996</v>
      </c>
      <c r="F68" s="292">
        <f>'Reversion Pagos R4'!F211</f>
        <v>-1307200.31</v>
      </c>
      <c r="G68" s="292">
        <f>'Reversion Pagos R4'!G211</f>
        <v>-693108.36</v>
      </c>
      <c r="H68" s="292">
        <f>'Reversion Pagos R4'!H211</f>
        <v>-5641918.9700000007</v>
      </c>
      <c r="I68" s="292">
        <f>'Reversion Pagos R4'!I211</f>
        <v>-208676.79</v>
      </c>
      <c r="J68" s="288">
        <v>0</v>
      </c>
      <c r="K68" s="295">
        <f t="shared" si="25"/>
        <v>-22100844.5</v>
      </c>
      <c r="L68" s="294">
        <v>0</v>
      </c>
      <c r="M68" s="295">
        <f>K68-L68</f>
        <v>-22100844.5</v>
      </c>
      <c r="N68" s="294">
        <f>'Reversion Pagos R4'!P211</f>
        <v>0</v>
      </c>
      <c r="O68" s="295">
        <f t="shared" si="26"/>
        <v>-22100844.5</v>
      </c>
      <c r="Q68" s="306"/>
      <c r="S68" s="314">
        <v>3</v>
      </c>
      <c r="T68" s="315" t="s">
        <v>12</v>
      </c>
      <c r="U68" s="316">
        <f>'Reversion Pagos R4'!J211</f>
        <v>-1838013.6300000001</v>
      </c>
      <c r="V68" s="317">
        <f>'Reversion Pagos R4'!K211</f>
        <v>-1771126.01</v>
      </c>
      <c r="W68" s="317">
        <f>'Reversion Pagos R4'!L211</f>
        <v>-8312687.9100000001</v>
      </c>
      <c r="X68" s="317">
        <f>'Reversion Pagos R4'!M211</f>
        <v>-5496750.6600000001</v>
      </c>
      <c r="Y68" s="318">
        <f>'Reversion Pagos R4'!N211</f>
        <v>-342720.34</v>
      </c>
      <c r="Z68" s="319">
        <f t="shared" si="27"/>
        <v>0</v>
      </c>
      <c r="AA68" s="320">
        <f>'Reversion Pagos R4'!O211</f>
        <v>-128.57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-4339417.38</v>
      </c>
      <c r="AE68" s="291">
        <f>'Reversion Pagos R4'!D212</f>
        <v>-4339417.38</v>
      </c>
      <c r="AF68" s="322">
        <f t="shared" ref="AF68:AF70" si="31">SUM(U68:AD68)</f>
        <v>-22100844.5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R4'!D326</f>
        <v>-33738104.229999997</v>
      </c>
      <c r="E69" s="292">
        <f>'Reversion Pagos R4'!E326</f>
        <v>-3280830.15</v>
      </c>
      <c r="F69" s="292">
        <f>'Reversion Pagos R4'!F326</f>
        <v>-1653570.31</v>
      </c>
      <c r="G69" s="292">
        <f>'Reversion Pagos R4'!G326</f>
        <v>-772414.51</v>
      </c>
      <c r="H69" s="292">
        <f>'Reversion Pagos R4'!H326</f>
        <v>-6809335.5</v>
      </c>
      <c r="I69" s="292">
        <f>'Reversion Pagos R4'!I326</f>
        <v>-246830.89</v>
      </c>
      <c r="J69" s="288">
        <v>0</v>
      </c>
      <c r="K69" s="295">
        <f t="shared" si="25"/>
        <v>-20975122.869999997</v>
      </c>
      <c r="L69" s="294">
        <v>0</v>
      </c>
      <c r="M69" s="295">
        <f>K69-L69</f>
        <v>-20975122.869999997</v>
      </c>
      <c r="N69" s="294">
        <f>'Reversion Pagos R4'!P326</f>
        <v>0</v>
      </c>
      <c r="O69" s="295">
        <f t="shared" si="26"/>
        <v>-20975122.869999997</v>
      </c>
      <c r="Q69" s="306"/>
      <c r="S69" s="314">
        <v>4</v>
      </c>
      <c r="T69" s="315" t="s">
        <v>13</v>
      </c>
      <c r="U69" s="316">
        <f>'Reversion Pagos R4'!J326</f>
        <v>-2175989.73</v>
      </c>
      <c r="V69" s="317">
        <f>'Reversion Pagos R4'!K326</f>
        <v>-2281434.71</v>
      </c>
      <c r="W69" s="317">
        <f>'Reversion Pagos R4'!L326</f>
        <v>-10508486.24</v>
      </c>
      <c r="X69" s="317">
        <f>'Reversion Pagos R4'!M326</f>
        <v>-8690898.2599999998</v>
      </c>
      <c r="Y69" s="318">
        <f>'Reversion Pagos R4'!N326</f>
        <v>-404523.79</v>
      </c>
      <c r="Z69" s="319">
        <f t="shared" si="27"/>
        <v>0</v>
      </c>
      <c r="AA69" s="320">
        <f>'Reversion Pagos R4'!O326</f>
        <v>-1.2999999999999972</v>
      </c>
      <c r="AB69" s="294">
        <f t="shared" si="28"/>
        <v>0</v>
      </c>
      <c r="AC69" s="320">
        <f>+'Reversion Pagos R4'!Q326+'Reversion Pagos R4'!R326</f>
        <v>-0.28999999999999998</v>
      </c>
      <c r="AD69" s="291">
        <f t="shared" si="30"/>
        <v>3086211.4499999997</v>
      </c>
      <c r="AE69" s="291">
        <f>'Reversion Pagos R4'!D327</f>
        <v>3086211.4499999997</v>
      </c>
      <c r="AF69" s="322">
        <f>SUM(U69:AD69)</f>
        <v>-20975122.869999997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R4'!D361</f>
        <v>-3092375.53</v>
      </c>
      <c r="E70" s="297">
        <f>'Reversion Pagos R4'!E361</f>
        <v>-204651.35</v>
      </c>
      <c r="F70" s="297">
        <f>'Reversion Pagos R4'!F361</f>
        <v>-114062.66</v>
      </c>
      <c r="G70" s="297">
        <f>'Reversion Pagos R4'!G361</f>
        <v>-59426.1</v>
      </c>
      <c r="H70" s="297">
        <f>'Reversion Pagos R4'!H361</f>
        <v>-755065.41999999993</v>
      </c>
      <c r="I70" s="297">
        <f>'Reversion Pagos R4'!I361</f>
        <v>-27250.92</v>
      </c>
      <c r="J70" s="289">
        <v>0</v>
      </c>
      <c r="K70" s="295">
        <f t="shared" si="25"/>
        <v>-1931919.0799999996</v>
      </c>
      <c r="L70" s="294">
        <v>0</v>
      </c>
      <c r="M70" s="298">
        <f>K70-L70</f>
        <v>-1931919.0799999996</v>
      </c>
      <c r="N70" s="294">
        <f>'Reversion Pagos R4'!P361</f>
        <v>0</v>
      </c>
      <c r="O70" s="298">
        <f t="shared" si="26"/>
        <v>-1931919.0799999996</v>
      </c>
      <c r="Q70" s="306"/>
      <c r="S70" s="324">
        <v>5</v>
      </c>
      <c r="T70" s="325" t="s">
        <v>14</v>
      </c>
      <c r="U70" s="296">
        <f>'Reversion Pagos R4'!J361</f>
        <v>-239043.97000000003</v>
      </c>
      <c r="V70" s="297">
        <f>'Reversion Pagos R4'!K361</f>
        <v>-246114.56</v>
      </c>
      <c r="W70" s="297">
        <f>'Reversion Pagos R4'!L361</f>
        <v>-1258305.7000000002</v>
      </c>
      <c r="X70" s="297">
        <f>'Reversion Pagos R4'!M361</f>
        <v>-604168.65999999992</v>
      </c>
      <c r="Y70" s="289">
        <f>'Reversion Pagos R4'!N361</f>
        <v>-44461.78</v>
      </c>
      <c r="Z70" s="319">
        <f t="shared" si="27"/>
        <v>0</v>
      </c>
      <c r="AA70" s="320">
        <f>'Reversion Pagos R4'!O361</f>
        <v>-2.5600000000000005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460178.15</v>
      </c>
      <c r="AE70" s="291">
        <f>'Reversion Pagos R4'!D362</f>
        <v>460178.15</v>
      </c>
      <c r="AF70" s="322">
        <f t="shared" si="31"/>
        <v>-1931919.08</v>
      </c>
      <c r="AG70" s="523">
        <f t="shared" si="32"/>
        <v>-4.6566128730773926E-10</v>
      </c>
      <c r="AH70" s="305" t="b">
        <f t="shared" si="29"/>
        <v>0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3">SUM(D66:D70)</f>
        <v>-156747931.65000001</v>
      </c>
      <c r="E71" s="290">
        <f t="shared" si="33"/>
        <v>-22568475.98</v>
      </c>
      <c r="F71" s="290">
        <f t="shared" si="33"/>
        <v>-10927711.75</v>
      </c>
      <c r="G71" s="290">
        <f t="shared" ref="G71" si="34">SUM(G66:G70)</f>
        <v>-5814176.8499999996</v>
      </c>
      <c r="H71" s="290">
        <f t="shared" si="33"/>
        <v>-20545989.630000003</v>
      </c>
      <c r="I71" s="290">
        <f t="shared" si="33"/>
        <v>-747388.07000000007</v>
      </c>
      <c r="J71" s="290">
        <f t="shared" si="33"/>
        <v>0</v>
      </c>
      <c r="K71" s="300">
        <f t="shared" si="33"/>
        <v>-96144189.36999999</v>
      </c>
      <c r="L71" s="301">
        <f t="shared" si="33"/>
        <v>0</v>
      </c>
      <c r="M71" s="302">
        <f t="shared" si="33"/>
        <v>-96144189.36999999</v>
      </c>
      <c r="N71" s="301">
        <f t="shared" si="33"/>
        <v>0</v>
      </c>
      <c r="O71" s="302">
        <f t="shared" si="33"/>
        <v>-96144189.36999999</v>
      </c>
      <c r="P71" s="329"/>
      <c r="Q71" s="306"/>
      <c r="S71" s="327"/>
      <c r="T71" s="328" t="s">
        <v>2</v>
      </c>
      <c r="U71" s="330">
        <f>SUM(U66:U70)</f>
        <v>-6605814.3799999999</v>
      </c>
      <c r="V71" s="330">
        <f t="shared" ref="V71:AF71" si="35">SUM(V66:V70)</f>
        <v>-6607232.419999999</v>
      </c>
      <c r="W71" s="330">
        <f t="shared" si="35"/>
        <v>-30776419.849999998</v>
      </c>
      <c r="X71" s="330">
        <f t="shared" si="35"/>
        <v>-49285206.960000001</v>
      </c>
      <c r="Y71" s="330">
        <f t="shared" si="35"/>
        <v>-1224099.24</v>
      </c>
      <c r="Z71" s="290">
        <f t="shared" si="35"/>
        <v>0</v>
      </c>
      <c r="AA71" s="290">
        <f>SUM(AA66:AA70)</f>
        <v>-3.3999999999999897</v>
      </c>
      <c r="AB71" s="290">
        <f t="shared" si="35"/>
        <v>0</v>
      </c>
      <c r="AC71" s="290">
        <f t="shared" ref="AC71" si="36">SUM(AC66:AC70)</f>
        <v>-0.28999999999999998</v>
      </c>
      <c r="AD71" s="290">
        <f>SUM(AD66:AD70)</f>
        <v>-1645412.83</v>
      </c>
      <c r="AE71" s="290">
        <f>SUM(AE66:AE70)</f>
        <v>-1645412.83</v>
      </c>
      <c r="AF71" s="331">
        <f t="shared" si="35"/>
        <v>-96144189.36999999</v>
      </c>
      <c r="AG71" s="524">
        <f t="shared" ref="AG71" si="37">SUM(AG66:AG70)</f>
        <v>-1.5366822481155396E-8</v>
      </c>
      <c r="AH71" s="305" t="b">
        <f>INT(AG71)=0</f>
        <v>0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-94498772.849999994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7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75" x14ac:dyDescent="0.25">
      <c r="B82" s="8"/>
      <c r="C82" s="598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88">
        <f>'AJUSTES - SF-T'!J47</f>
        <v>0</v>
      </c>
      <c r="K85" s="293">
        <f>D85-E85-F85-G85-H85-I85-J85</f>
        <v>689574.72</v>
      </c>
      <c r="L85" s="294">
        <v>0</v>
      </c>
      <c r="M85" s="293">
        <f>K85-L85</f>
        <v>689574.72</v>
      </c>
      <c r="N85" s="294">
        <f>'AJUSTES - SF-T'!N47</f>
        <v>0</v>
      </c>
      <c r="O85" s="293">
        <f>M85+N85</f>
        <v>689574.72</v>
      </c>
      <c r="Q85" s="306"/>
      <c r="S85" s="303">
        <v>1</v>
      </c>
      <c r="T85" s="304" t="s">
        <v>10</v>
      </c>
      <c r="U85" s="307">
        <f>'AJUSTES - SF-T'!U47</f>
        <v>52109.79</v>
      </c>
      <c r="V85" s="308">
        <f>'AJUSTES - SF-T'!V47</f>
        <v>47607.03</v>
      </c>
      <c r="W85" s="308">
        <f>'AJUSTES - SF-T'!W47</f>
        <v>225441.17</v>
      </c>
      <c r="X85" s="308">
        <f>'AJUSTES - SF-T'!X47</f>
        <v>178429.31</v>
      </c>
      <c r="Y85" s="309">
        <f>'AJUSTES - SF-T'!Y47</f>
        <v>9067.43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176919.99</v>
      </c>
      <c r="AE85" s="291">
        <f>'AJUSTES - SF-T'!AD47</f>
        <v>176919.99</v>
      </c>
      <c r="AF85" s="313">
        <f>SUM(U85:AD85)</f>
        <v>689574.72</v>
      </c>
      <c r="AG85" s="52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8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9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605">
        <v>0</v>
      </c>
      <c r="AD86" s="604">
        <f t="shared" ref="AD86:AD89" si="40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88">
        <f>'AJUSTES - SF-T'!J49</f>
        <v>0</v>
      </c>
      <c r="K87" s="295">
        <f t="shared" si="38"/>
        <v>70240.62</v>
      </c>
      <c r="L87" s="294">
        <v>0</v>
      </c>
      <c r="M87" s="295">
        <f>K87-L87</f>
        <v>70240.62</v>
      </c>
      <c r="N87" s="294">
        <f>'AJUSTES - SF-T'!N49</f>
        <v>0</v>
      </c>
      <c r="O87" s="295">
        <f t="shared" si="39"/>
        <v>70240.62</v>
      </c>
      <c r="Q87" s="306"/>
      <c r="S87" s="314">
        <v>3</v>
      </c>
      <c r="T87" s="315" t="s">
        <v>12</v>
      </c>
      <c r="U87" s="316">
        <f>'AJUSTES - SF-T'!U49</f>
        <v>6518.28</v>
      </c>
      <c r="V87" s="317">
        <f>'AJUSTES - SF-T'!V49</f>
        <v>6410.86</v>
      </c>
      <c r="W87" s="317">
        <f>'AJUSTES - SF-T'!W49</f>
        <v>30349.1</v>
      </c>
      <c r="X87" s="317">
        <f>'AJUSTES - SF-T'!X49</f>
        <v>15383.1</v>
      </c>
      <c r="Y87" s="318">
        <f>'AJUSTES - SF-T'!Y49</f>
        <v>1212.4000000000001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10366.879999999999</v>
      </c>
      <c r="AE87" s="291">
        <f>'AJUSTES - SF-T'!AD49</f>
        <v>10366.879999999999</v>
      </c>
      <c r="AF87" s="322">
        <f t="shared" ref="AF87:AF89" si="42">SUM(U87:AD87)</f>
        <v>70240.62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8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9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-6453.76</v>
      </c>
      <c r="AE88" s="291">
        <f>'AJUSTES - SF-T'!AD50</f>
        <v>-6453.76</v>
      </c>
      <c r="AF88" s="322">
        <f t="shared" si="42"/>
        <v>21264.46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>SUM(D85:D89)</f>
        <v>1329905.5</v>
      </c>
      <c r="E90" s="290">
        <f t="shared" ref="E90:O90" si="43">SUM(E85:E89)</f>
        <v>105933.07</v>
      </c>
      <c r="F90" s="290">
        <f t="shared" si="43"/>
        <v>60373.37999999999</v>
      </c>
      <c r="G90" s="290">
        <f t="shared" ref="G90" si="44">SUM(G85:G89)</f>
        <v>30807.040000000001</v>
      </c>
      <c r="H90" s="290">
        <f t="shared" si="43"/>
        <v>281311.36000000004</v>
      </c>
      <c r="I90" s="290">
        <f t="shared" si="43"/>
        <v>10556.12</v>
      </c>
      <c r="J90" s="290">
        <f t="shared" si="43"/>
        <v>0</v>
      </c>
      <c r="K90" s="300">
        <f t="shared" si="43"/>
        <v>840924.52999999991</v>
      </c>
      <c r="L90" s="301">
        <f t="shared" si="43"/>
        <v>0</v>
      </c>
      <c r="M90" s="302">
        <f t="shared" si="43"/>
        <v>840924.52999999991</v>
      </c>
      <c r="N90" s="301">
        <f t="shared" si="43"/>
        <v>0</v>
      </c>
      <c r="O90" s="302">
        <f t="shared" si="43"/>
        <v>840924.52999999991</v>
      </c>
      <c r="P90" s="329"/>
      <c r="Q90" s="306"/>
      <c r="S90" s="327"/>
      <c r="T90" s="328" t="s">
        <v>2</v>
      </c>
      <c r="U90" s="330">
        <f>SUM(U85:U89)</f>
        <v>123246.34</v>
      </c>
      <c r="V90" s="330">
        <f t="shared" ref="V90:AG90" si="45">SUM(V85:V89)</f>
        <v>90700.98000000001</v>
      </c>
      <c r="W90" s="330">
        <f t="shared" si="45"/>
        <v>399302.95</v>
      </c>
      <c r="X90" s="330">
        <f t="shared" si="45"/>
        <v>263333.49</v>
      </c>
      <c r="Y90" s="330">
        <f t="shared" si="45"/>
        <v>16026.14</v>
      </c>
      <c r="Z90" s="290">
        <f t="shared" si="45"/>
        <v>0</v>
      </c>
      <c r="AA90" s="290">
        <f t="shared" si="45"/>
        <v>-0.36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-51685.010000000009</v>
      </c>
      <c r="AE90" s="290">
        <f t="shared" si="45"/>
        <v>-51685.010000000009</v>
      </c>
      <c r="AF90" s="331">
        <f t="shared" si="45"/>
        <v>840924.52999999991</v>
      </c>
      <c r="AG90" s="524">
        <f t="shared" si="45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892609.9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72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75" x14ac:dyDescent="0.25">
      <c r="B101" s="8"/>
      <c r="C101" s="598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x14ac:dyDescent="0.2">
      <c r="B104" s="303">
        <v>1</v>
      </c>
      <c r="C104" s="304" t="s">
        <v>10</v>
      </c>
      <c r="D104" s="291">
        <f t="shared" ref="D104:F106" si="47">D9+D28+D47+D66+D85</f>
        <v>17450228673.349998</v>
      </c>
      <c r="E104" s="292">
        <f t="shared" si="47"/>
        <v>907089032.16000009</v>
      </c>
      <c r="F104" s="292">
        <f t="shared" si="47"/>
        <v>511619081.72000003</v>
      </c>
      <c r="G104" s="292">
        <f t="shared" ref="G104" si="48">G9+G28+G47+G66+G85</f>
        <v>268690518.94</v>
      </c>
      <c r="H104" s="292">
        <f t="shared" ref="H104:J108" si="49">H9+H28+H47+H66+H85</f>
        <v>3815252256.9000001</v>
      </c>
      <c r="I104" s="292">
        <f t="shared" si="49"/>
        <v>134368143.47</v>
      </c>
      <c r="J104" s="288">
        <f t="shared" si="49"/>
        <v>-3589454665.5499997</v>
      </c>
      <c r="K104" s="293">
        <f>D104-E104-F104-G104-H104-I104-J104</f>
        <v>15402664305.709999</v>
      </c>
      <c r="L104" s="294">
        <f>L9+L28+L47+L66+L85</f>
        <v>189185988</v>
      </c>
      <c r="M104" s="293">
        <f>K104-L104</f>
        <v>15213478317.709999</v>
      </c>
      <c r="N104" s="294">
        <f>N9+N28+N47+N66+N85</f>
        <v>25277316.260000002</v>
      </c>
      <c r="O104" s="293">
        <f>M104+N104</f>
        <v>15238755633.969999</v>
      </c>
      <c r="Q104" s="306"/>
      <c r="S104" s="303">
        <v>1</v>
      </c>
      <c r="T104" s="304" t="s">
        <v>10</v>
      </c>
      <c r="U104" s="307">
        <f t="shared" ref="U104:AB108" si="50">U9+U28+U47+U66+U85</f>
        <v>1182502863.3800001</v>
      </c>
      <c r="V104" s="308">
        <f t="shared" si="50"/>
        <v>1138203111.0299997</v>
      </c>
      <c r="W104" s="308">
        <f t="shared" si="50"/>
        <v>5384239175.3499994</v>
      </c>
      <c r="X104" s="308">
        <f t="shared" si="50"/>
        <v>2460648865.29</v>
      </c>
      <c r="Y104" s="309">
        <f t="shared" si="50"/>
        <v>219070048.99000001</v>
      </c>
      <c r="Z104" s="310">
        <f t="shared" si="50"/>
        <v>-189185988</v>
      </c>
      <c r="AA104" s="311">
        <f>AA9+AA28+AA47+AA66+AA85</f>
        <v>-17520.82</v>
      </c>
      <c r="AB104" s="294">
        <f t="shared" si="50"/>
        <v>25277316.260000002</v>
      </c>
      <c r="AC104" s="311">
        <f>AC9+AC28+AC47+AC66+AC85</f>
        <v>-1592.61</v>
      </c>
      <c r="AD104" s="291">
        <f>-J104+AE104</f>
        <v>5018019355.0999994</v>
      </c>
      <c r="AE104" s="291">
        <f>AE9+AE28+AE47+AE66+AE85</f>
        <v>1428564689.55</v>
      </c>
      <c r="AF104" s="313">
        <f>SUM(U104:AD104)</f>
        <v>15238755633.969997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x14ac:dyDescent="0.2">
      <c r="B105" s="314">
        <v>2</v>
      </c>
      <c r="C105" s="315" t="s">
        <v>11</v>
      </c>
      <c r="D105" s="291">
        <f>D10+D29+D48+D67+D86</f>
        <v>20516143969.650002</v>
      </c>
      <c r="E105" s="292">
        <f>E10+E29+E48+E67+E86</f>
        <v>1584179837.8299999</v>
      </c>
      <c r="F105" s="292">
        <f t="shared" si="47"/>
        <v>890098162.61999989</v>
      </c>
      <c r="G105" s="292">
        <f t="shared" ref="G105" si="51">G10+G29+G48+G67+G86</f>
        <v>466611469.23999995</v>
      </c>
      <c r="H105" s="292">
        <f t="shared" si="49"/>
        <v>5815089519.5800009</v>
      </c>
      <c r="I105" s="292">
        <f t="shared" si="49"/>
        <v>222428730.16</v>
      </c>
      <c r="J105" s="288">
        <f t="shared" si="49"/>
        <v>-3241193714.1100001</v>
      </c>
      <c r="K105" s="295">
        <f t="shared" ref="K105:K108" si="52">D105-E105-F105-G105-H105-I105-J105</f>
        <v>14778929964.329998</v>
      </c>
      <c r="L105" s="294">
        <f>L10+L29+L48+L67+L86</f>
        <v>266580256</v>
      </c>
      <c r="M105" s="295">
        <f>K105-L105</f>
        <v>14512349708.329998</v>
      </c>
      <c r="N105" s="294">
        <f>N10+N29+N48+N67+N86</f>
        <v>53454221.280000001</v>
      </c>
      <c r="O105" s="295">
        <f t="shared" ref="O105:O108" si="53">M105+N105</f>
        <v>14565803929.609999</v>
      </c>
      <c r="Q105" s="306"/>
      <c r="S105" s="314">
        <v>2</v>
      </c>
      <c r="T105" s="315" t="s">
        <v>11</v>
      </c>
      <c r="U105" s="316">
        <f t="shared" si="50"/>
        <v>1949886300.4400001</v>
      </c>
      <c r="V105" s="317">
        <f t="shared" si="50"/>
        <v>1945637036.9099996</v>
      </c>
      <c r="W105" s="317">
        <f t="shared" si="50"/>
        <v>9155886148.1600037</v>
      </c>
      <c r="X105" s="317">
        <f t="shared" si="50"/>
        <v>3142209362.4400001</v>
      </c>
      <c r="Y105" s="318">
        <f t="shared" si="50"/>
        <v>363003578.24000001</v>
      </c>
      <c r="Z105" s="319">
        <f t="shared" si="50"/>
        <v>-266580256</v>
      </c>
      <c r="AA105" s="320">
        <f>AA10+AA29+AA48+AA67+AA86</f>
        <v>86900.159999999989</v>
      </c>
      <c r="AB105" s="294">
        <f t="shared" si="50"/>
        <v>53454221.280000001</v>
      </c>
      <c r="AC105" s="320">
        <f>AC10+AC29+AC48+AC67+AC86</f>
        <v>-123.21</v>
      </c>
      <c r="AD105" s="291">
        <f t="shared" ref="AD105:AD107" si="54">-J105+AE105</f>
        <v>-1777779238.8099999</v>
      </c>
      <c r="AE105" s="291">
        <f>AE10+AE29+AE48+AE67+AE86</f>
        <v>-5018972952.9200001</v>
      </c>
      <c r="AF105" s="322">
        <f>SUM(U105:AD105)</f>
        <v>14565803929.610004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x14ac:dyDescent="0.2">
      <c r="B106" s="314">
        <v>3</v>
      </c>
      <c r="C106" s="315" t="s">
        <v>12</v>
      </c>
      <c r="D106" s="291">
        <f t="shared" si="47"/>
        <v>15221896467.450003</v>
      </c>
      <c r="E106" s="292">
        <f t="shared" si="47"/>
        <v>1154816918.0400002</v>
      </c>
      <c r="F106" s="292">
        <f t="shared" si="47"/>
        <v>650648256.78000009</v>
      </c>
      <c r="G106" s="292">
        <f t="shared" ref="G106" si="56">G11+G30+G49+G68+G87</f>
        <v>342168927.41999996</v>
      </c>
      <c r="H106" s="292">
        <f t="shared" si="49"/>
        <v>3419471286.5799999</v>
      </c>
      <c r="I106" s="292">
        <f t="shared" si="49"/>
        <v>125690282.95999999</v>
      </c>
      <c r="J106" s="288">
        <f t="shared" si="49"/>
        <v>-853244564.50999999</v>
      </c>
      <c r="K106" s="295">
        <f t="shared" si="52"/>
        <v>10382345360.180002</v>
      </c>
      <c r="L106" s="294">
        <f>L11+L30+L49+L68+L87</f>
        <v>154788536</v>
      </c>
      <c r="M106" s="295">
        <f>K106-L106</f>
        <v>10227556824.180002</v>
      </c>
      <c r="N106" s="294">
        <f>N11+N30+N49+N68+N87</f>
        <v>14341963.319999998</v>
      </c>
      <c r="O106" s="295">
        <f t="shared" si="53"/>
        <v>10241898787.500002</v>
      </c>
      <c r="Q106" s="306"/>
      <c r="S106" s="314">
        <v>3</v>
      </c>
      <c r="T106" s="315" t="s">
        <v>12</v>
      </c>
      <c r="U106" s="316">
        <f t="shared" si="50"/>
        <v>1102335590.3299999</v>
      </c>
      <c r="V106" s="317">
        <f t="shared" si="50"/>
        <v>1086464208.23</v>
      </c>
      <c r="W106" s="317">
        <f t="shared" si="50"/>
        <v>5141961247.9000006</v>
      </c>
      <c r="X106" s="317">
        <f t="shared" si="50"/>
        <v>2685857516.6600003</v>
      </c>
      <c r="Y106" s="318">
        <f t="shared" si="50"/>
        <v>205160229.32000002</v>
      </c>
      <c r="Z106" s="319">
        <f t="shared" si="50"/>
        <v>-154788536</v>
      </c>
      <c r="AA106" s="320">
        <f>AA11+AA30+AA49+AA68+AA87</f>
        <v>246404.58</v>
      </c>
      <c r="AB106" s="294">
        <f t="shared" si="50"/>
        <v>14341963.319999998</v>
      </c>
      <c r="AC106" s="320">
        <f>AC11+AC30+AC49+AC68+AC87</f>
        <v>-11885.619999999999</v>
      </c>
      <c r="AD106" s="291">
        <f t="shared" si="54"/>
        <v>160332048.78000009</v>
      </c>
      <c r="AE106" s="291">
        <f>AE11+AE30+AE49+AE68+AE87</f>
        <v>-692912515.7299999</v>
      </c>
      <c r="AF106" s="322">
        <f>SUM(U106:AD106)</f>
        <v>10241898787.5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x14ac:dyDescent="0.2">
      <c r="B107" s="314">
        <v>4</v>
      </c>
      <c r="C107" s="315" t="s">
        <v>13</v>
      </c>
      <c r="D107" s="291">
        <f t="shared" ref="D107" si="57">D12+D31+D50+D69+D88</f>
        <v>7179595395.6699991</v>
      </c>
      <c r="E107" s="292">
        <f t="shared" ref="E107:F108" si="58">E12+E31+E50+E69+E88</f>
        <v>473606043.33000004</v>
      </c>
      <c r="F107" s="292">
        <f t="shared" si="58"/>
        <v>264596657.70000002</v>
      </c>
      <c r="G107" s="292">
        <f t="shared" ref="G107" si="59">G12+G31+G50+G69+G88</f>
        <v>136481575.35000002</v>
      </c>
      <c r="H107" s="292">
        <f t="shared" si="49"/>
        <v>1605437093.76</v>
      </c>
      <c r="I107" s="292">
        <f t="shared" si="49"/>
        <v>62582401.519999996</v>
      </c>
      <c r="J107" s="288">
        <f t="shared" si="49"/>
        <v>-699882713.37000012</v>
      </c>
      <c r="K107" s="295">
        <f t="shared" si="52"/>
        <v>5336774337.3799982</v>
      </c>
      <c r="L107" s="294">
        <f>L12+L31+L50+L69+L88</f>
        <v>120391083</v>
      </c>
      <c r="M107" s="295">
        <f>K107-L107</f>
        <v>5216383254.3799982</v>
      </c>
      <c r="N107" s="294">
        <f>N12+N31+N50+N69+N88</f>
        <v>34128344.93</v>
      </c>
      <c r="O107" s="295">
        <f>M107+N107</f>
        <v>5250511599.3099985</v>
      </c>
      <c r="Q107" s="306"/>
      <c r="S107" s="314">
        <v>4</v>
      </c>
      <c r="T107" s="315" t="s">
        <v>13</v>
      </c>
      <c r="U107" s="316">
        <f t="shared" si="50"/>
        <v>549450408.40999997</v>
      </c>
      <c r="V107" s="317">
        <f t="shared" si="50"/>
        <v>548186870.46999991</v>
      </c>
      <c r="W107" s="317">
        <f t="shared" si="50"/>
        <v>2799232757.4099998</v>
      </c>
      <c r="X107" s="317">
        <f t="shared" si="50"/>
        <v>1254527099.4500003</v>
      </c>
      <c r="Y107" s="318">
        <f t="shared" si="50"/>
        <v>102249901.39999999</v>
      </c>
      <c r="Z107" s="319">
        <f t="shared" si="50"/>
        <v>-120391083</v>
      </c>
      <c r="AA107" s="320">
        <f>AA12+AA31+AA50+AA69+AA88</f>
        <v>-16263.19</v>
      </c>
      <c r="AB107" s="294">
        <f t="shared" si="50"/>
        <v>34128344.93</v>
      </c>
      <c r="AC107" s="320">
        <f>AC12+AC31+AC50+AC69+AC88</f>
        <v>-529.09999999999991</v>
      </c>
      <c r="AD107" s="291">
        <f t="shared" si="54"/>
        <v>83144092.53000021</v>
      </c>
      <c r="AE107" s="291">
        <f>AE12+AE31+AE50+AE69+AE88</f>
        <v>-616738620.83999991</v>
      </c>
      <c r="AF107" s="322">
        <f>SUM(U107:AD107)</f>
        <v>5250511599.3099995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75" thickBot="1" x14ac:dyDescent="0.25">
      <c r="B108" s="324">
        <v>5</v>
      </c>
      <c r="C108" s="325" t="s">
        <v>14</v>
      </c>
      <c r="D108" s="296">
        <f>D13+D32+D51+D70+D89</f>
        <v>12073344661.59</v>
      </c>
      <c r="E108" s="297">
        <f t="shared" si="58"/>
        <v>731686441.62</v>
      </c>
      <c r="F108" s="297">
        <f t="shared" si="58"/>
        <v>412480816.2899999</v>
      </c>
      <c r="G108" s="297">
        <f t="shared" ref="G108" si="60">G13+G32+G51+G70+G89</f>
        <v>216220999.25</v>
      </c>
      <c r="H108" s="297">
        <f t="shared" si="49"/>
        <v>2771170796.7799997</v>
      </c>
      <c r="I108" s="297">
        <f t="shared" si="49"/>
        <v>105860252.47</v>
      </c>
      <c r="J108" s="289">
        <f t="shared" si="49"/>
        <v>-82959023.660000086</v>
      </c>
      <c r="K108" s="295">
        <f t="shared" si="52"/>
        <v>7918884378.8400002</v>
      </c>
      <c r="L108" s="294">
        <f>L13+L32+L51+L70+L89</f>
        <v>128990446</v>
      </c>
      <c r="M108" s="298">
        <f>K108-L108</f>
        <v>7789893932.8400002</v>
      </c>
      <c r="N108" s="299">
        <f>N13+N32+N51+N70+N89</f>
        <v>15891735.880000001</v>
      </c>
      <c r="O108" s="298">
        <f t="shared" si="53"/>
        <v>7805785668.7200003</v>
      </c>
      <c r="Q108" s="306"/>
      <c r="S108" s="324">
        <v>5</v>
      </c>
      <c r="T108" s="325" t="s">
        <v>14</v>
      </c>
      <c r="U108" s="296">
        <f t="shared" si="50"/>
        <v>928205240.1500001</v>
      </c>
      <c r="V108" s="297">
        <f t="shared" si="50"/>
        <v>911180502.11000001</v>
      </c>
      <c r="W108" s="297">
        <f t="shared" si="50"/>
        <v>4681131561.2200003</v>
      </c>
      <c r="X108" s="297">
        <f t="shared" si="50"/>
        <v>2173851295.3300004</v>
      </c>
      <c r="Y108" s="289">
        <f t="shared" si="50"/>
        <v>172729906.53999999</v>
      </c>
      <c r="Z108" s="319">
        <f t="shared" si="50"/>
        <v>-128990446</v>
      </c>
      <c r="AA108" s="320">
        <f>AA13+AA32+AA51+AA70+AA89</f>
        <v>-147744.56999999998</v>
      </c>
      <c r="AB108" s="294">
        <f t="shared" si="50"/>
        <v>15891735.880000001</v>
      </c>
      <c r="AC108" s="320">
        <f>AC13+AC32+AC51+AC70+AC89</f>
        <v>-32.979999999999997</v>
      </c>
      <c r="AD108" s="291">
        <f>-J108+AE108</f>
        <v>-948066348.95999992</v>
      </c>
      <c r="AE108" s="291">
        <f>AE13+AE32+AE51+AE70+AE89</f>
        <v>-1031025372.62</v>
      </c>
      <c r="AF108" s="322">
        <f>SUM(U108:AD108)</f>
        <v>7805785668.7200022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5" thickBot="1" x14ac:dyDescent="0.25">
      <c r="B109" s="327"/>
      <c r="C109" s="328" t="s">
        <v>2</v>
      </c>
      <c r="D109" s="290">
        <f t="shared" ref="D109:N109" si="61">SUM(D104:D108)</f>
        <v>72441209167.710007</v>
      </c>
      <c r="E109" s="290">
        <f t="shared" si="61"/>
        <v>4851378272.9799995</v>
      </c>
      <c r="F109" s="290">
        <f t="shared" si="61"/>
        <v>2729442975.1099997</v>
      </c>
      <c r="G109" s="290">
        <f t="shared" ref="G109" si="62">SUM(G104:G108)</f>
        <v>1430173490.1999998</v>
      </c>
      <c r="H109" s="290">
        <f t="shared" si="61"/>
        <v>17426420953.600002</v>
      </c>
      <c r="I109" s="290">
        <f t="shared" si="61"/>
        <v>650929810.58000004</v>
      </c>
      <c r="J109" s="290">
        <f t="shared" si="61"/>
        <v>-8466734681.1999998</v>
      </c>
      <c r="K109" s="300">
        <f t="shared" si="61"/>
        <v>53819598346.440002</v>
      </c>
      <c r="L109" s="301">
        <f t="shared" si="61"/>
        <v>859936309</v>
      </c>
      <c r="M109" s="302">
        <f t="shared" si="61"/>
        <v>52959662037.440002</v>
      </c>
      <c r="N109" s="301">
        <f t="shared" si="61"/>
        <v>143093581.66999999</v>
      </c>
      <c r="O109" s="302">
        <f>SUM(O104:O108)</f>
        <v>53102755619.110001</v>
      </c>
      <c r="P109" s="329"/>
      <c r="Q109" s="306"/>
      <c r="S109" s="327"/>
      <c r="T109" s="328" t="s">
        <v>2</v>
      </c>
      <c r="U109" s="330">
        <f>SUM(U104:U108)</f>
        <v>5712380402.710001</v>
      </c>
      <c r="V109" s="330">
        <f t="shared" ref="V109:AF109" si="63">SUM(V104:V108)</f>
        <v>5629671728.749999</v>
      </c>
      <c r="W109" s="330">
        <f t="shared" si="63"/>
        <v>27162450890.040005</v>
      </c>
      <c r="X109" s="330">
        <f t="shared" si="63"/>
        <v>11717094139.17</v>
      </c>
      <c r="Y109" s="330">
        <f t="shared" si="63"/>
        <v>1062213664.49</v>
      </c>
      <c r="Z109" s="290">
        <f t="shared" si="63"/>
        <v>-859936309</v>
      </c>
      <c r="AA109" s="290">
        <f>SUM(AA104:AA108)</f>
        <v>151776.16</v>
      </c>
      <c r="AB109" s="290">
        <f t="shared" si="63"/>
        <v>143093581.66999999</v>
      </c>
      <c r="AC109" s="290">
        <f>SUM(AC104:AC108)</f>
        <v>-14163.519999999999</v>
      </c>
      <c r="AD109" s="290">
        <f t="shared" si="63"/>
        <v>2535649908.6399999</v>
      </c>
      <c r="AE109" s="290">
        <f>SUM(AE104:AE108)</f>
        <v>-5931084772.5599995</v>
      </c>
      <c r="AF109" s="331">
        <f t="shared" si="63"/>
        <v>53102755619.110001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75" thickBot="1" x14ac:dyDescent="0.25">
      <c r="B110" s="2"/>
      <c r="C110" s="2"/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/>
      <c r="AD111" s="305"/>
      <c r="AF111" s="305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305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x14ac:dyDescent="0.2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305"/>
      <c r="Y122" s="305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85">
        <f>'ANTICIPOS USUARIOS'!C3</f>
        <v>100931031.88</v>
      </c>
      <c r="E125" s="309">
        <v>0</v>
      </c>
      <c r="G125" s="336">
        <f>D47+N47</f>
        <v>49580</v>
      </c>
      <c r="H125" s="310">
        <f>D28+N28</f>
        <v>125948553.12</v>
      </c>
      <c r="I125" s="309">
        <f>D85+N85</f>
        <v>973693.46</v>
      </c>
      <c r="J125" s="309">
        <f>D66+N66</f>
        <v>-16536713.09</v>
      </c>
      <c r="K125" s="309">
        <f>'ANTICIPOS USUARIOS'!C12</f>
        <v>82340</v>
      </c>
      <c r="L125" s="309">
        <f>-'ANTICIPOS USUARIOS'!C21</f>
        <v>182537.90999999997</v>
      </c>
      <c r="O125" s="337"/>
      <c r="Q125" s="306"/>
      <c r="AG125" s="333"/>
    </row>
    <row r="126" spans="1:35" s="305" customFormat="1" x14ac:dyDescent="0.2">
      <c r="B126" s="314">
        <v>2</v>
      </c>
      <c r="C126" s="338" t="s">
        <v>11</v>
      </c>
      <c r="D126" s="292">
        <f>'ANTICIPOS USUARIOS'!C4</f>
        <v>136534753</v>
      </c>
      <c r="E126" s="288">
        <v>0</v>
      </c>
      <c r="G126" s="339">
        <f>D48+N48</f>
        <v>56190070</v>
      </c>
      <c r="H126" s="340">
        <f>D29+N29</f>
        <v>178539092.16</v>
      </c>
      <c r="I126" s="288">
        <f>D86+N86</f>
        <v>216025.77</v>
      </c>
      <c r="J126" s="288">
        <f>D67+N67</f>
        <v>-71069759</v>
      </c>
      <c r="K126" s="288">
        <f>'ANTICIPOS USUARIOS'!C13</f>
        <v>5228610</v>
      </c>
      <c r="L126" s="288">
        <f>-'ANTICIPOS USUARIOS'!C22</f>
        <v>0</v>
      </c>
      <c r="O126" s="337"/>
      <c r="Q126" s="306"/>
      <c r="AG126" s="333"/>
    </row>
    <row r="127" spans="1:35" s="305" customFormat="1" x14ac:dyDescent="0.2">
      <c r="B127" s="314">
        <v>3</v>
      </c>
      <c r="C127" s="338" t="s">
        <v>12</v>
      </c>
      <c r="D127" s="292">
        <f>'ANTICIPOS USUARIOS'!C5</f>
        <v>58884032.920000002</v>
      </c>
      <c r="E127" s="288">
        <v>0</v>
      </c>
      <c r="G127" s="339">
        <f>D49+N49</f>
        <v>1307680</v>
      </c>
      <c r="H127" s="340">
        <f>D30+N30</f>
        <v>26609070.66</v>
      </c>
      <c r="I127" s="288">
        <f>D87+N87</f>
        <v>104231.83</v>
      </c>
      <c r="J127" s="288">
        <f t="shared" ref="J127:J129" si="64">D68+N68</f>
        <v>-32310979.800000001</v>
      </c>
      <c r="K127" s="288">
        <f>'ANTICIPOS USUARIOS'!C14</f>
        <v>0</v>
      </c>
      <c r="L127" s="288">
        <f>-'ANTICIPOS USUARIOS'!C23</f>
        <v>2423600.2000000002</v>
      </c>
      <c r="O127" s="337"/>
      <c r="Q127" s="306"/>
      <c r="AG127" s="333"/>
    </row>
    <row r="128" spans="1:35" s="305" customFormat="1" x14ac:dyDescent="0.2">
      <c r="B128" s="314">
        <v>4</v>
      </c>
      <c r="C128" s="338" t="s">
        <v>13</v>
      </c>
      <c r="D128" s="292">
        <f>'ANTICIPOS USUARIOS'!C6</f>
        <v>73726637.340000004</v>
      </c>
      <c r="E128" s="288">
        <v>0</v>
      </c>
      <c r="G128" s="339">
        <f>D50+N50</f>
        <v>4343101</v>
      </c>
      <c r="H128" s="340">
        <f>D31+N31</f>
        <v>161461949.73000002</v>
      </c>
      <c r="I128" s="288">
        <f>D88+N88</f>
        <v>35954.44</v>
      </c>
      <c r="J128" s="288">
        <f t="shared" si="64"/>
        <v>-33738104.229999997</v>
      </c>
      <c r="K128" s="288">
        <f>'ANTICIPOS USUARIOS'!C15</f>
        <v>14538094</v>
      </c>
      <c r="L128" s="288">
        <f>-'ANTICIPOS USUARIOS'!C24</f>
        <v>14979759.77</v>
      </c>
      <c r="O128" s="337"/>
      <c r="Q128" s="306"/>
      <c r="AG128" s="333"/>
    </row>
    <row r="129" spans="1:33" s="305" customFormat="1" x14ac:dyDescent="0.2">
      <c r="B129" s="341">
        <v>5</v>
      </c>
      <c r="C129" s="342" t="s">
        <v>14</v>
      </c>
      <c r="D129" s="343">
        <f>'ANTICIPOS USUARIOS'!C7</f>
        <v>28383865.960000001</v>
      </c>
      <c r="E129" s="344">
        <v>0</v>
      </c>
      <c r="G129" s="339">
        <f>D51+N51</f>
        <v>441849</v>
      </c>
      <c r="H129" s="340">
        <f>D32+N32</f>
        <v>43973508.960000001</v>
      </c>
      <c r="I129" s="288">
        <f>D89+N89</f>
        <v>0</v>
      </c>
      <c r="J129" s="288">
        <f t="shared" si="64"/>
        <v>-3092375.53</v>
      </c>
      <c r="K129" s="288">
        <f>'ANTICIPOS USUARIOS'!C16</f>
        <v>87550</v>
      </c>
      <c r="L129" s="288">
        <f>-'ANTICIPOS USUARIOS'!C25</f>
        <v>215053.47</v>
      </c>
      <c r="O129" s="337"/>
      <c r="Q129" s="306"/>
      <c r="AG129" s="333"/>
    </row>
    <row r="130" spans="1:33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75" thickBot="1" x14ac:dyDescent="0.25">
      <c r="B131" s="348"/>
      <c r="C131" s="349" t="s">
        <v>2</v>
      </c>
      <c r="D131" s="350">
        <f>SUM(D125:D130)</f>
        <v>398460321.09999996</v>
      </c>
      <c r="E131" s="350">
        <f>SUM(E125:E130)</f>
        <v>0</v>
      </c>
      <c r="F131" s="351"/>
      <c r="G131" s="350">
        <f t="shared" ref="G131" si="65">SUM(G125:G129)</f>
        <v>62332280</v>
      </c>
      <c r="H131" s="350">
        <f>SUM(H125:H130)</f>
        <v>536532174.63</v>
      </c>
      <c r="I131" s="350">
        <f>SUM(I125:I130)</f>
        <v>1329905.5</v>
      </c>
      <c r="J131" s="350">
        <f>SUM(J125:J130)</f>
        <v>-156747931.65000001</v>
      </c>
      <c r="K131" s="350">
        <f>SUM(K125:K130)</f>
        <v>19936594</v>
      </c>
      <c r="L131" s="350">
        <f>SUM(L125:L130)</f>
        <v>17800951.349999998</v>
      </c>
      <c r="M131" s="351"/>
      <c r="N131" s="351"/>
      <c r="O131" s="352"/>
      <c r="P131" s="329"/>
      <c r="Q131" s="306"/>
      <c r="AG131" s="333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8">
        <v>1</v>
      </c>
      <c r="C142" s="109" t="s">
        <v>10</v>
      </c>
      <c r="D142" s="110">
        <f>D104+N104+D125+E125</f>
        <v>17576437021.489998</v>
      </c>
      <c r="E142" s="110">
        <f>'Recaudo EAAB Reciprocidad'!F21+'Recaudo EAAB + Ciud Limp'!F21+'Recaudo Directa Occidente'!F21+'Recaudo ENEL'!F21+'Recaudo ENERBIT'!F21</f>
        <v>17466001908</v>
      </c>
      <c r="F142" s="110">
        <f>D28+N28</f>
        <v>125948553.12</v>
      </c>
      <c r="G142" s="110">
        <f>D66+N66</f>
        <v>-16536713.09</v>
      </c>
      <c r="H142" s="110">
        <f>D85+N85</f>
        <v>973693.46</v>
      </c>
      <c r="I142" s="110">
        <f>('REPORTE RECAUDO x BANCO'!E62+'REPORTE RECAUDO x BANCO'!E63+'REPORTE RECAUDO x BANCO'!E75)</f>
        <v>0</v>
      </c>
      <c r="J142" s="110">
        <f t="shared" ref="J142:K146" si="66">G125</f>
        <v>49580</v>
      </c>
      <c r="K142" s="111">
        <f t="shared" si="66"/>
        <v>125948553.12</v>
      </c>
      <c r="L142" s="597">
        <f>D142-E142-F142-G142-J142-H142-I142</f>
        <v>-2.1411105990409851E-6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20706132943.93</v>
      </c>
      <c r="E143" s="18">
        <f>'Recaudo EAAB Reciprocidad'!F22+'Recaudo EAAB + Ciud Limp'!F22+'Recaudo Directa Occidente'!F22+'Recaudo ENEL'!F22+'Recaudo ENERBIT'!F22</f>
        <v>20540888080</v>
      </c>
      <c r="F143" s="18">
        <f>D29+N29</f>
        <v>178539092.16</v>
      </c>
      <c r="G143" s="18">
        <f>D67+N67</f>
        <v>-71069759</v>
      </c>
      <c r="H143" s="18">
        <f>D86+N86</f>
        <v>216025.77</v>
      </c>
      <c r="I143" s="18">
        <f>('REPORTE RECAUDO x BANCO'!E64+'REPORTE RECAUDO x BANCO'!E65+'REPORTE RECAUDO x BANCO'!E66+'REPORTE RECAUDO x BANCO'!E76)</f>
        <v>1369435</v>
      </c>
      <c r="J143" s="18">
        <f>G126</f>
        <v>56190070</v>
      </c>
      <c r="K143" s="83">
        <f>H126</f>
        <v>178539092.16</v>
      </c>
      <c r="L143" s="597">
        <f>D143-E143-F143-G143-J143-H143-I143</f>
        <v>3.0873343348503113E-7</v>
      </c>
      <c r="M143" s="1" t="b">
        <f t="shared" si="67"/>
        <v>1</v>
      </c>
      <c r="O143" s="130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15295122463.690002</v>
      </c>
      <c r="E144" s="18">
        <f>'Recaudo EAAB Reciprocidad'!F23+'Recaudo EAAB + Ciud Limp'!F23+'Recaudo Directa Occidente'!F23+'Recaudo ENEL'!F23+'Recaudo ENERBIT'!F23</f>
        <v>15272372341</v>
      </c>
      <c r="F144" s="18">
        <f>D30+N30</f>
        <v>26609070.66</v>
      </c>
      <c r="G144" s="18">
        <f>D68+N68</f>
        <v>-32310979.800000001</v>
      </c>
      <c r="H144" s="18">
        <f>D87+N87</f>
        <v>104231.83</v>
      </c>
      <c r="I144" s="18">
        <f>('REPORTE RECAUDO x BANCO'!E67+'REPORTE RECAUDO x BANCO'!E68+'REPORTE RECAUDO x BANCO'!E77)</f>
        <v>27040120</v>
      </c>
      <c r="J144" s="18">
        <f>G127</f>
        <v>1307680</v>
      </c>
      <c r="K144" s="83">
        <f t="shared" si="66"/>
        <v>26609070.66</v>
      </c>
      <c r="L144" s="597">
        <f>D144-E144-F144-G144-J144-H144-I144</f>
        <v>2.4437904357910156E-6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7287450377.9399996</v>
      </c>
      <c r="E145" s="18">
        <f>'Recaudo EAAB Reciprocidad'!F24+'Recaudo EAAB + Ciud Limp'!F24+'Recaudo Directa Occidente'!F24+'Recaudo ENEL'!F24+'Recaudo ENERBIT'!F24</f>
        <v>7142916567</v>
      </c>
      <c r="F145" s="18">
        <f>D31+N31</f>
        <v>161461949.73000002</v>
      </c>
      <c r="G145" s="18">
        <f>D69+N69</f>
        <v>-33738104.229999997</v>
      </c>
      <c r="H145" s="18">
        <f>D88+N88</f>
        <v>35954.44</v>
      </c>
      <c r="I145" s="18">
        <f>('REPORTE RECAUDO x BANCO'!E69+'REPORTE RECAUDO x BANCO'!E70+'REPORTE RECAUDO x BANCO'!E71+'REPORTE RECAUDO x BANCO'!E78)</f>
        <v>12430910</v>
      </c>
      <c r="J145" s="18">
        <f t="shared" si="66"/>
        <v>4343101</v>
      </c>
      <c r="K145" s="83">
        <f>H128</f>
        <v>161461949.73000002</v>
      </c>
      <c r="L145" s="597">
        <f t="shared" ref="L145:L147" si="68">D145-E145-F145-G145-J145-H145-I145</f>
        <v>-4.4144690036773682E-7</v>
      </c>
      <c r="M145" s="1" t="b">
        <f t="shared" si="6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12117620263.429998</v>
      </c>
      <c r="E146" s="18">
        <f>'Recaudo EAAB Reciprocidad'!F25+'Recaudo EAAB + Ciud Limp'!F25+'Recaudo Directa Occidente'!F25+'Recaudo ENEL'!F25+'Recaudo ENERBIT'!F25</f>
        <v>12075771071</v>
      </c>
      <c r="F146" s="134">
        <f>D32+N32</f>
        <v>43973508.960000001</v>
      </c>
      <c r="G146" s="134">
        <f>D70+N70</f>
        <v>-3092375.53</v>
      </c>
      <c r="H146" s="134">
        <f>D89+N89</f>
        <v>0</v>
      </c>
      <c r="I146" s="134">
        <f>('REPORTE RECAUDO x BANCO'!E72+'REPORTE RECAUDO x BANCO'!E73+'REPORTE RECAUDO x BANCO'!E79)</f>
        <v>526210</v>
      </c>
      <c r="J146" s="134">
        <f t="shared" si="66"/>
        <v>441849</v>
      </c>
      <c r="K146" s="136">
        <f t="shared" si="66"/>
        <v>43973508.960000001</v>
      </c>
      <c r="L146" s="597">
        <f t="shared" si="68"/>
        <v>-1.6032718122005463E-6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72982763070.479996</v>
      </c>
      <c r="E147" s="47">
        <f>SUM(E142:E146)</f>
        <v>72497949967</v>
      </c>
      <c r="F147" s="47">
        <f t="shared" ref="F147:K147" si="69">SUM(F142:F146)</f>
        <v>536532174.63</v>
      </c>
      <c r="G147" s="47">
        <f t="shared" si="69"/>
        <v>-156747931.65000001</v>
      </c>
      <c r="H147" s="47">
        <f>SUM(H142:H146)</f>
        <v>1329905.5</v>
      </c>
      <c r="I147" s="47">
        <f t="shared" si="69"/>
        <v>41366675</v>
      </c>
      <c r="J147" s="47">
        <f t="shared" si="69"/>
        <v>62332280</v>
      </c>
      <c r="K147" s="47">
        <f t="shared" si="69"/>
        <v>536532174.63</v>
      </c>
      <c r="L147" s="597">
        <f t="shared" si="68"/>
        <v>-4.2617321014404297E-6</v>
      </c>
      <c r="M147" s="1" t="b">
        <f t="shared" si="67"/>
        <v>1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E12" sqref="E11:E12"/>
    </sheetView>
  </sheetViews>
  <sheetFormatPr baseColWidth="10" defaultRowHeight="12.75" x14ac:dyDescent="0.2"/>
  <cols>
    <col min="1" max="1" width="3" customWidth="1"/>
    <col min="2" max="2" width="4.140625" bestFit="1" customWidth="1"/>
    <col min="3" max="4" width="16.8554687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Reciprocidad'!F21+'Recaudo EAAB + Ciud Limp'!F21+'Recaudo Directa Occidente'!F21+'Recaudo ENEL'!F21+'Recaudo ENERBIT'!F21</f>
        <v>17466001908</v>
      </c>
      <c r="D3" s="292">
        <f>'CONSOLIDADO_TOTAL RECAUDO'!G125</f>
        <v>49580</v>
      </c>
      <c r="E3" s="292">
        <f>'CONSOLIDADO_TOTAL RECAUDO'!D28+'CONSOLIDADO_TOTAL RECAUDO'!N28</f>
        <v>125948553.12</v>
      </c>
      <c r="F3" s="292">
        <f>'CONSOLIDADO_TOTAL RECAUDO'!I142</f>
        <v>0</v>
      </c>
      <c r="G3" s="292">
        <f>'CONSOLIDADO_TOTAL RECAUDO'!H142</f>
        <v>973693.46</v>
      </c>
      <c r="H3" s="340">
        <f>SUM(C3:G3)</f>
        <v>17592973734.579998</v>
      </c>
      <c r="I3" s="291">
        <f>'CONSOLIDADO_TOTAL RECAUDO'!D104</f>
        <v>17450228673.349998</v>
      </c>
      <c r="J3" s="292">
        <f>'CONSOLIDADO_TOTAL RECAUDO'!N104</f>
        <v>25277316.260000002</v>
      </c>
      <c r="K3" s="292">
        <f>'CONSOLIDADO_TOTAL RECAUDO'!D125</f>
        <v>100931031.88</v>
      </c>
      <c r="L3" s="353">
        <f>'CONSOLIDADO_TOTAL RECAUDO'!E125</f>
        <v>0</v>
      </c>
      <c r="M3" s="292">
        <f>-'CONSOLIDADO_TOTAL RECAUDO'!D66-'CONSOLIDADO_TOTAL RECAUDO'!N66</f>
        <v>16536713.09</v>
      </c>
      <c r="N3" s="288">
        <f>SUM(I3:M3)</f>
        <v>17592973734.579998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">
      <c r="B4" s="314">
        <v>2</v>
      </c>
      <c r="C4" s="292">
        <f>'Recaudo EAAB Reciprocidad'!F22+'Recaudo EAAB + Ciud Limp'!F22+'Recaudo Directa Occidente'!F22+'Recaudo ENEL'!F22+'Recaudo ENERBIT'!F22</f>
        <v>20540888080</v>
      </c>
      <c r="D4" s="292">
        <f>'CONSOLIDADO_TOTAL RECAUDO'!G126</f>
        <v>56190070</v>
      </c>
      <c r="E4" s="292">
        <f>'CONSOLIDADO_TOTAL RECAUDO'!D29+'CONSOLIDADO_TOTAL RECAUDO'!N29</f>
        <v>178539092.16</v>
      </c>
      <c r="F4" s="292">
        <f>'CONSOLIDADO_TOTAL RECAUDO'!I143</f>
        <v>1369435</v>
      </c>
      <c r="G4" s="292">
        <f>'CONSOLIDADO_TOTAL RECAUDO'!H143</f>
        <v>216025.77</v>
      </c>
      <c r="H4" s="340">
        <f t="shared" ref="H4:H8" si="1">SUM(C4:G4)</f>
        <v>20777202702.93</v>
      </c>
      <c r="I4" s="291">
        <f>'CONSOLIDADO_TOTAL RECAUDO'!D105</f>
        <v>20516143969.650002</v>
      </c>
      <c r="J4" s="292">
        <f>'CONSOLIDADO_TOTAL RECAUDO'!N105</f>
        <v>53454221.280000001</v>
      </c>
      <c r="K4" s="292">
        <f>'CONSOLIDADO_TOTAL RECAUDO'!D126</f>
        <v>136534753</v>
      </c>
      <c r="L4" s="353">
        <f>'CONSOLIDADO_TOTAL RECAUDO'!E126</f>
        <v>0</v>
      </c>
      <c r="M4" s="292">
        <f>-'CONSOLIDADO_TOTAL RECAUDO'!D67-'CONSOLIDADO_TOTAL RECAUDO'!N67</f>
        <v>71069759</v>
      </c>
      <c r="N4" s="318">
        <f>SUM(I4:M4)</f>
        <v>20777202702.93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">
      <c r="B5" s="314">
        <v>3</v>
      </c>
      <c r="C5" s="292">
        <f>'Recaudo EAAB Reciprocidad'!F23+'Recaudo EAAB + Ciud Limp'!F23+'Recaudo Directa Occidente'!F23+'Recaudo ENEL'!F23+'Recaudo ENERBIT'!F23</f>
        <v>15272372341</v>
      </c>
      <c r="D5" s="292">
        <f>'CONSOLIDADO_TOTAL RECAUDO'!G127</f>
        <v>1307680</v>
      </c>
      <c r="E5" s="292">
        <f>'CONSOLIDADO_TOTAL RECAUDO'!D30+'CONSOLIDADO_TOTAL RECAUDO'!N30</f>
        <v>26609070.66</v>
      </c>
      <c r="F5" s="292">
        <f>'CONSOLIDADO_TOTAL RECAUDO'!I144</f>
        <v>27040120</v>
      </c>
      <c r="G5" s="292">
        <f>'CONSOLIDADO_TOTAL RECAUDO'!H144</f>
        <v>104231.83</v>
      </c>
      <c r="H5" s="340">
        <f t="shared" si="1"/>
        <v>15327433443.49</v>
      </c>
      <c r="I5" s="291">
        <f>'CONSOLIDADO_TOTAL RECAUDO'!D106</f>
        <v>15221896467.450003</v>
      </c>
      <c r="J5" s="292">
        <f>'CONSOLIDADO_TOTAL RECAUDO'!N106</f>
        <v>14341963.319999998</v>
      </c>
      <c r="K5" s="292">
        <f>'CONSOLIDADO_TOTAL RECAUDO'!D127</f>
        <v>58884032.920000002</v>
      </c>
      <c r="L5" s="353">
        <f>'CONSOLIDADO_TOTAL RECAUDO'!E127</f>
        <v>0</v>
      </c>
      <c r="M5" s="292">
        <f>-'CONSOLIDADO_TOTAL RECAUDO'!D68-'CONSOLIDADO_TOTAL RECAUDO'!N68</f>
        <v>32310979.800000001</v>
      </c>
      <c r="N5" s="318">
        <f>SUM(I5:M5)</f>
        <v>15327433443.490002</v>
      </c>
      <c r="O5" s="354">
        <f>H5-N5</f>
        <v>0</v>
      </c>
      <c r="P5" s="1" t="b">
        <f t="shared" si="0"/>
        <v>1</v>
      </c>
    </row>
    <row r="6" spans="2:16" s="355" customFormat="1" x14ac:dyDescent="0.2">
      <c r="B6" s="314">
        <v>4</v>
      </c>
      <c r="C6" s="292">
        <f>'Recaudo EAAB Reciprocidad'!F24+'Recaudo EAAB + Ciud Limp'!F24+'Recaudo Directa Occidente'!F24+'Recaudo ENEL'!F24+'Recaudo ENERBIT'!F24</f>
        <v>7142916567</v>
      </c>
      <c r="D6" s="292">
        <f>'CONSOLIDADO_TOTAL RECAUDO'!G128</f>
        <v>4343101</v>
      </c>
      <c r="E6" s="292">
        <f>'CONSOLIDADO_TOTAL RECAUDO'!D31+'CONSOLIDADO_TOTAL RECAUDO'!N31</f>
        <v>161461949.73000002</v>
      </c>
      <c r="F6" s="292">
        <f>'CONSOLIDADO_TOTAL RECAUDO'!I145</f>
        <v>12430910</v>
      </c>
      <c r="G6" s="292">
        <f>'CONSOLIDADO_TOTAL RECAUDO'!H145</f>
        <v>35954.44</v>
      </c>
      <c r="H6" s="340">
        <f t="shared" si="1"/>
        <v>7321188482.1699991</v>
      </c>
      <c r="I6" s="291">
        <f>'CONSOLIDADO_TOTAL RECAUDO'!D107</f>
        <v>7179595395.6699991</v>
      </c>
      <c r="J6" s="292">
        <f>'CONSOLIDADO_TOTAL RECAUDO'!N107</f>
        <v>34128344.93</v>
      </c>
      <c r="K6" s="292">
        <f>'CONSOLIDADO_TOTAL RECAUDO'!D128</f>
        <v>73726637.340000004</v>
      </c>
      <c r="L6" s="353">
        <f>'CONSOLIDADO_TOTAL RECAUDO'!E128</f>
        <v>0</v>
      </c>
      <c r="M6" s="292">
        <f>-'CONSOLIDADO_TOTAL RECAUDO'!D69-'CONSOLIDADO_TOTAL RECAUDO'!N69</f>
        <v>33738104.229999997</v>
      </c>
      <c r="N6" s="318">
        <f t="shared" ref="N6:N7" si="3">SUM(I6:M6)</f>
        <v>7321188482.1699991</v>
      </c>
      <c r="O6" s="354">
        <f t="shared" si="2"/>
        <v>0</v>
      </c>
      <c r="P6" s="1" t="b">
        <f t="shared" si="0"/>
        <v>1</v>
      </c>
    </row>
    <row r="7" spans="2:16" s="355" customFormat="1" x14ac:dyDescent="0.2">
      <c r="B7" s="314">
        <v>5</v>
      </c>
      <c r="C7" s="292">
        <f>'Recaudo EAAB Reciprocidad'!F25+'Recaudo EAAB + Ciud Limp'!F25+'Recaudo Directa Occidente'!F25+'Recaudo ENEL'!F25+'Recaudo ENERBIT'!F25</f>
        <v>12075771071</v>
      </c>
      <c r="D7" s="292">
        <f>'CONSOLIDADO_TOTAL RECAUDO'!G129</f>
        <v>441849</v>
      </c>
      <c r="E7" s="292">
        <f>'CONSOLIDADO_TOTAL RECAUDO'!D32+'CONSOLIDADO_TOTAL RECAUDO'!N32</f>
        <v>43973508.960000001</v>
      </c>
      <c r="F7" s="292">
        <f>'CONSOLIDADO_TOTAL RECAUDO'!I146</f>
        <v>526210</v>
      </c>
      <c r="G7" s="292">
        <f>'CONSOLIDADO_TOTAL RECAUDO'!H146</f>
        <v>0</v>
      </c>
      <c r="H7" s="340">
        <f>SUM(C7:G7)</f>
        <v>12120712638.959999</v>
      </c>
      <c r="I7" s="291">
        <f>'CONSOLIDADO_TOTAL RECAUDO'!D108</f>
        <v>12073344661.59</v>
      </c>
      <c r="J7" s="292">
        <f>'CONSOLIDADO_TOTAL RECAUDO'!N108</f>
        <v>15891735.880000001</v>
      </c>
      <c r="K7" s="292">
        <f>'CONSOLIDADO_TOTAL RECAUDO'!D129</f>
        <v>28383865.960000001</v>
      </c>
      <c r="L7" s="353">
        <f>'CONSOLIDADO_TOTAL RECAUDO'!E129</f>
        <v>0</v>
      </c>
      <c r="M7" s="292">
        <f>-'CONSOLIDADO_TOTAL RECAUDO'!D70-'CONSOLIDADO_TOTAL RECAUDO'!N70</f>
        <v>3092375.53</v>
      </c>
      <c r="N7" s="318">
        <f t="shared" si="3"/>
        <v>12120712638.959999</v>
      </c>
      <c r="O7" s="354">
        <f>H7-N7</f>
        <v>0</v>
      </c>
      <c r="P7" s="1" t="b">
        <f t="shared" si="0"/>
        <v>1</v>
      </c>
    </row>
    <row r="8" spans="2:16" s="355" customFormat="1" ht="13.5" thickBot="1" x14ac:dyDescent="0.25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5" thickBot="1" x14ac:dyDescent="0.25">
      <c r="B9" s="327"/>
      <c r="C9" s="290">
        <f>SUM(C3:C8)</f>
        <v>72497949967</v>
      </c>
      <c r="D9" s="290">
        <f t="shared" ref="D9:L9" si="4">SUM(D3:D8)</f>
        <v>62332280</v>
      </c>
      <c r="E9" s="290">
        <f t="shared" si="4"/>
        <v>536532174.63</v>
      </c>
      <c r="F9" s="290">
        <f t="shared" si="4"/>
        <v>41366675</v>
      </c>
      <c r="G9" s="290">
        <f t="shared" si="4"/>
        <v>1329905.5</v>
      </c>
      <c r="H9" s="290">
        <f>SUM(H3:H8)</f>
        <v>73139511002.12999</v>
      </c>
      <c r="I9" s="290">
        <f t="shared" si="4"/>
        <v>72441209167.710007</v>
      </c>
      <c r="J9" s="290">
        <f t="shared" si="4"/>
        <v>143093581.66999999</v>
      </c>
      <c r="K9" s="290">
        <f t="shared" si="4"/>
        <v>398460321.09999996</v>
      </c>
      <c r="L9" s="290">
        <f t="shared" si="4"/>
        <v>0</v>
      </c>
      <c r="M9" s="290">
        <f>SUM(M3:M8)</f>
        <v>156747931.65000001</v>
      </c>
      <c r="N9" s="290">
        <f>SUM(N3:N8)</f>
        <v>73139511002.130005</v>
      </c>
      <c r="O9" s="359">
        <f>SUM(O3:O8)</f>
        <v>0</v>
      </c>
      <c r="P9" s="1" t="b">
        <f t="shared" si="0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Recaudo'!F10</f>
        <v>72497949967</v>
      </c>
    </row>
    <row r="15" spans="2:16" x14ac:dyDescent="0.2">
      <c r="C15" s="249" t="b">
        <f>C14=C9</f>
        <v>1</v>
      </c>
    </row>
    <row r="16" spans="2:16" x14ac:dyDescent="0.2">
      <c r="C16" s="355"/>
    </row>
    <row r="18" spans="3:18" ht="13.5" thickBot="1" x14ac:dyDescent="0.25">
      <c r="D18" s="701" t="s">
        <v>269</v>
      </c>
      <c r="E18" s="701"/>
    </row>
    <row r="19" spans="3:18" ht="36.75" thickBot="1" x14ac:dyDescent="0.25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">
      <c r="C20" t="s">
        <v>203</v>
      </c>
      <c r="D20" s="695">
        <f>VALIDACION_RECIP!C9</f>
        <v>40117400</v>
      </c>
      <c r="E20" s="695">
        <f>VALIDACION_RECIP!D9</f>
        <v>41900</v>
      </c>
      <c r="F20" s="695">
        <f>VALIDACION_RECIP!E9</f>
        <v>101922698.10999998</v>
      </c>
      <c r="G20" s="695">
        <f>VALIDACION_RECIP!F9</f>
        <v>0</v>
      </c>
      <c r="H20" s="695">
        <f>VALIDACION_RECIP!G9</f>
        <v>251980.21</v>
      </c>
      <c r="I20" s="695">
        <f>VALIDACION_RECIP!H9</f>
        <v>142333978.31999999</v>
      </c>
      <c r="J20" s="695">
        <f>VALIDACION_RECIP!I9</f>
        <v>118508638.31999999</v>
      </c>
      <c r="K20" s="695">
        <f>VALIDACION_RECIP!J9</f>
        <v>0</v>
      </c>
      <c r="L20" s="695">
        <f>VALIDACION_RECIP!K9</f>
        <v>23089310</v>
      </c>
      <c r="M20" s="695">
        <f>VALIDACION_RECIP!L9</f>
        <v>0</v>
      </c>
      <c r="N20" s="695">
        <f>VALIDACION_RECIP!M9</f>
        <v>736030</v>
      </c>
      <c r="O20" s="695">
        <f>VALIDACION_RECIP!N9</f>
        <v>142333978.31999999</v>
      </c>
    </row>
    <row r="21" spans="3:18" x14ac:dyDescent="0.2">
      <c r="C21" s="167" t="s">
        <v>155</v>
      </c>
      <c r="D21" s="695">
        <f>VALIDACION_ENEL!C9</f>
        <v>68144618192</v>
      </c>
      <c r="E21" s="695">
        <f>VALIDACION_ENEL!D9</f>
        <v>61046127</v>
      </c>
      <c r="F21" s="695">
        <f>VALIDACION_ENEL!E9</f>
        <v>247021750.10999998</v>
      </c>
      <c r="G21" s="695">
        <f>VALIDACION_ENEL!F9</f>
        <v>41366675</v>
      </c>
      <c r="H21" s="695">
        <f>VALIDACION_ENEL!G9</f>
        <v>1077925.29</v>
      </c>
      <c r="I21" s="695">
        <f>VALIDACION_ENEL!H9</f>
        <v>68495130669.400002</v>
      </c>
      <c r="J21" s="695">
        <f>VALIDACION_ENEL!I9</f>
        <v>68026235701.290009</v>
      </c>
      <c r="K21" s="695">
        <f>VALIDACION_ENEL!J9</f>
        <v>82026262.269999996</v>
      </c>
      <c r="L21" s="695">
        <f>VALIDACION_ENEL!K9</f>
        <v>236717169.25</v>
      </c>
      <c r="M21" s="695">
        <f>VALIDACION_ENEL!L9</f>
        <v>0</v>
      </c>
      <c r="N21" s="695">
        <f>VALIDACION_ENEL!M9</f>
        <v>150151536.59</v>
      </c>
      <c r="O21" s="695">
        <f>VALIDACION_ENEL!N9</f>
        <v>68495130669.400009</v>
      </c>
    </row>
    <row r="22" spans="3:18" x14ac:dyDescent="0.2">
      <c r="C22" s="759" t="s">
        <v>326</v>
      </c>
      <c r="D22" s="695">
        <f>VALIDACION_ENERBIT!C9</f>
        <v>28645323</v>
      </c>
      <c r="E22" s="695">
        <f>VALIDACION_ENERBIT!D9</f>
        <v>0</v>
      </c>
      <c r="F22" s="695">
        <f>VALIDACION_ENERBIT!E9</f>
        <v>6242402.4799999995</v>
      </c>
      <c r="G22" s="695">
        <f>VALIDACION_ENERBIT!F9</f>
        <v>0</v>
      </c>
      <c r="H22" s="695">
        <f>VALIDACION_ENERBIT!G9</f>
        <v>0</v>
      </c>
      <c r="I22" s="695">
        <f>VALIDACION_ENERBIT!H9</f>
        <v>34887725.479999997</v>
      </c>
      <c r="J22" s="695">
        <f>VALIDACION_ENERBIT!I9</f>
        <v>33106622.48</v>
      </c>
      <c r="K22" s="695">
        <f>VALIDACION_ENERBIT!J9</f>
        <v>0</v>
      </c>
      <c r="L22" s="695">
        <f>VALIDACION_ENERBIT!K9</f>
        <v>1781103</v>
      </c>
      <c r="M22" s="695">
        <f>VALIDACION_ENERBIT!L9</f>
        <v>0</v>
      </c>
      <c r="N22" s="695">
        <f>VALIDACION_ENERBIT!M9</f>
        <v>0</v>
      </c>
      <c r="O22" s="695">
        <f>VALIDACION_ENERBIT!N9</f>
        <v>34887725.480000004</v>
      </c>
    </row>
    <row r="23" spans="3:18" x14ac:dyDescent="0.2">
      <c r="C23" s="212" t="s">
        <v>119</v>
      </c>
      <c r="D23" s="695">
        <f>VALIDACION_OCCIDENTE!C9</f>
        <v>4284569052</v>
      </c>
      <c r="E23" s="695">
        <f>VALIDACION_OCCIDENTE!D9</f>
        <v>1244253</v>
      </c>
      <c r="F23" s="695">
        <f>VALIDACION_OCCIDENTE!E9</f>
        <v>181345323.93000001</v>
      </c>
      <c r="G23" s="695">
        <f>VALIDACION_OCCIDENTE!F9</f>
        <v>0</v>
      </c>
      <c r="H23" s="695">
        <f>VALIDACION_OCCIDENTE!G9</f>
        <v>0</v>
      </c>
      <c r="I23" s="695">
        <f>VALIDACION_OCCIDENTE!H9</f>
        <v>4467158628.9300003</v>
      </c>
      <c r="J23" s="695">
        <f>VALIDACION_OCCIDENTE!I9</f>
        <v>4263358205.6200008</v>
      </c>
      <c r="K23" s="695">
        <f>VALIDACION_OCCIDENTE!J9</f>
        <v>61067319.399999999</v>
      </c>
      <c r="L23" s="695">
        <f>VALIDACION_OCCIDENTE!K9</f>
        <v>136872738.84999999</v>
      </c>
      <c r="M23" s="695">
        <f>VALIDACION_OCCIDENTE!L9</f>
        <v>0</v>
      </c>
      <c r="N23" s="695">
        <f>VALIDACION_OCCIDENTE!M9</f>
        <v>5860365.0600000005</v>
      </c>
      <c r="O23" s="695">
        <f>VALIDACION_OCCIDENTE!N9</f>
        <v>4467158628.9300003</v>
      </c>
    </row>
    <row r="24" spans="3:18" x14ac:dyDescent="0.2">
      <c r="D24" s="702">
        <f>SUM(D20:D23)</f>
        <v>72497949967</v>
      </c>
      <c r="E24" s="141">
        <f>SUM(E20:E23)</f>
        <v>62332280</v>
      </c>
      <c r="F24" s="141">
        <f>SUM(F20:F23)</f>
        <v>536532174.63</v>
      </c>
      <c r="G24" s="141">
        <f>SUM(G20:G23)</f>
        <v>41366675</v>
      </c>
      <c r="H24" s="141">
        <f t="shared" ref="H24:O24" si="5">SUM(H20:H23)</f>
        <v>1329905.5</v>
      </c>
      <c r="I24" s="141">
        <f t="shared" si="5"/>
        <v>73139511002.130005</v>
      </c>
      <c r="J24" s="141">
        <f t="shared" si="5"/>
        <v>72441209167.710007</v>
      </c>
      <c r="K24" s="141">
        <f t="shared" si="5"/>
        <v>143093581.66999999</v>
      </c>
      <c r="L24" s="141">
        <f t="shared" si="5"/>
        <v>398460321.10000002</v>
      </c>
      <c r="M24" s="141">
        <f t="shared" si="5"/>
        <v>0</v>
      </c>
      <c r="N24" s="141">
        <f t="shared" si="5"/>
        <v>156747931.65000001</v>
      </c>
      <c r="O24" s="141">
        <f t="shared" si="5"/>
        <v>73139511002.130005</v>
      </c>
    </row>
    <row r="25" spans="3:18" x14ac:dyDescent="0.2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5" thickBot="1" x14ac:dyDescent="0.25">
      <c r="D27" s="701" t="s">
        <v>270</v>
      </c>
    </row>
    <row r="28" spans="3:18" ht="57" customHeight="1" thickBot="1" x14ac:dyDescent="0.25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">
      <c r="C29" t="s">
        <v>203</v>
      </c>
      <c r="D29" s="695">
        <f>'REMUNERACION Reciprocidad EAAB'!D109</f>
        <v>118508638.31999999</v>
      </c>
      <c r="E29" s="695">
        <f>'REMUNERACION Reciprocidad EAAB'!N109</f>
        <v>0</v>
      </c>
      <c r="F29" s="695">
        <f>D29+E29</f>
        <v>118508638.31999999</v>
      </c>
      <c r="G29" s="703">
        <f>D20-F29</f>
        <v>-78391238.319999993</v>
      </c>
      <c r="H29" s="695"/>
      <c r="I29" s="695">
        <f>'REMUNERACION Reciprocidad EAAB'!D131</f>
        <v>23089310</v>
      </c>
      <c r="J29" s="695"/>
      <c r="K29" s="695">
        <f>'REMUNERACION Reciprocidad EAAB'!G131</f>
        <v>41900</v>
      </c>
      <c r="L29" s="695">
        <f>'REMUNERACION Reciprocidad EAAB'!H131</f>
        <v>101922698.10999998</v>
      </c>
      <c r="M29" s="695">
        <f>'REMUNERACION Reciprocidad EAAB'!I131</f>
        <v>251980.21</v>
      </c>
      <c r="N29" s="695">
        <f>+'REMUNERACION Reciprocidad EAAB'!J131</f>
        <v>-736030</v>
      </c>
      <c r="O29" s="695">
        <f>'REMUNERACION Reciprocidad EAAB'!I147</f>
        <v>0</v>
      </c>
      <c r="P29" s="703">
        <f>I29+J29-K29-L29-M29-N29-O29</f>
        <v>-78391238.319999978</v>
      </c>
      <c r="Q29" s="704">
        <f>G29-P29</f>
        <v>0</v>
      </c>
      <c r="R29" s="141"/>
    </row>
    <row r="30" spans="3:18" x14ac:dyDescent="0.2">
      <c r="C30" s="167" t="s">
        <v>155</v>
      </c>
      <c r="D30" s="695">
        <f>REMUNERACION_ENEL!D109</f>
        <v>68026235701.290009</v>
      </c>
      <c r="E30" s="695">
        <f>REMUNERACION_ENEL!N109</f>
        <v>82026262.269999996</v>
      </c>
      <c r="F30" s="695">
        <f>D30+E30</f>
        <v>68108261963.560005</v>
      </c>
      <c r="G30" s="705">
        <f>D21-F30</f>
        <v>36356228.439994812</v>
      </c>
      <c r="H30" s="695"/>
      <c r="I30" s="695">
        <f>REMUNERACION_ENEL!D131</f>
        <v>236717169.25</v>
      </c>
      <c r="J30" s="695"/>
      <c r="K30" s="695">
        <f>REMUNERACION_ENEL!G131</f>
        <v>61046127</v>
      </c>
      <c r="L30" s="695">
        <f>REMUNERACION_ENEL!H131</f>
        <v>247021750.10999998</v>
      </c>
      <c r="M30" s="695">
        <f>REMUNERACION_ENEL!I131</f>
        <v>1077925.29</v>
      </c>
      <c r="N30" s="695">
        <f>REMUNERACION_ENEL!J131</f>
        <v>-150151536.59</v>
      </c>
      <c r="O30" s="695">
        <f>REMUNERACION_ENEL!I147</f>
        <v>41366675</v>
      </c>
      <c r="P30" s="703">
        <f>I30+J30-K30-L30-M30-N30-O30</f>
        <v>36356228.440000013</v>
      </c>
      <c r="Q30" s="704">
        <f>G30-P30</f>
        <v>-5.200505256652832E-6</v>
      </c>
      <c r="R30" s="141"/>
    </row>
    <row r="31" spans="3:18" x14ac:dyDescent="0.2">
      <c r="C31" s="759" t="s">
        <v>326</v>
      </c>
      <c r="D31" s="695">
        <f>REMUNERACION_ENERBIT!D109</f>
        <v>33106622.48</v>
      </c>
      <c r="E31" s="695">
        <f>REMUNERACION_ENERBIT!N109</f>
        <v>0</v>
      </c>
      <c r="F31" s="695">
        <f>D31+E31</f>
        <v>33106622.48</v>
      </c>
      <c r="G31" s="705">
        <f>D22-F31</f>
        <v>-4461299.4800000004</v>
      </c>
      <c r="H31" s="695"/>
      <c r="I31" s="695">
        <f>REMUNERACION_ENERBIT!D131</f>
        <v>1781103</v>
      </c>
      <c r="J31" s="695"/>
      <c r="K31" s="695">
        <f>REMUNERACION_ENERBIT!G131</f>
        <v>0</v>
      </c>
      <c r="L31" s="695">
        <f>REMUNERACION_ENERBIT!H131</f>
        <v>6242402.4799999995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-4461299.4799999995</v>
      </c>
      <c r="Q31" s="704">
        <f t="shared" ref="Q31:Q32" si="8">G31-P31</f>
        <v>0</v>
      </c>
      <c r="R31" s="141"/>
    </row>
    <row r="32" spans="3:18" x14ac:dyDescent="0.2">
      <c r="C32" s="212" t="s">
        <v>119</v>
      </c>
      <c r="D32" s="695">
        <f>'REMUNERACION_OCCIDENTE_ Directa'!D109</f>
        <v>4263358205.6200008</v>
      </c>
      <c r="E32" s="695">
        <f>'REMUNERACION_OCCIDENTE_ Directa'!N109</f>
        <v>61067319.399999999</v>
      </c>
      <c r="F32" s="695">
        <f>D32+E32</f>
        <v>4324425525.0200005</v>
      </c>
      <c r="G32" s="705">
        <f>D23-F32</f>
        <v>-39856473.020000458</v>
      </c>
      <c r="H32" s="695"/>
      <c r="I32" s="695">
        <f>'REMUNERACION_OCCIDENTE_ Directa'!D131</f>
        <v>136872738.84999999</v>
      </c>
      <c r="J32" s="695">
        <f>'CONSOLIDADO_TOTAL RECAUDO'!E131</f>
        <v>0</v>
      </c>
      <c r="K32" s="695">
        <f>'REMUNERACION_OCCIDENTE_ Directa'!G131</f>
        <v>1244253</v>
      </c>
      <c r="L32" s="695">
        <f>'REMUNERACION_OCCIDENTE_ Directa'!H131</f>
        <v>181345323.93000001</v>
      </c>
      <c r="M32" s="695">
        <f>'REMUNERACION_OCCIDENTE_ Directa'!I131</f>
        <v>0</v>
      </c>
      <c r="N32" s="695">
        <f>'REMUNERACION_OCCIDENTE_ Directa'!J131</f>
        <v>-5860365.0600000005</v>
      </c>
      <c r="O32" s="695">
        <f>'REMUNERACION_OCCIDENTE_ Directa'!I147</f>
        <v>0</v>
      </c>
      <c r="P32" s="703">
        <f t="shared" ref="P32" si="9">I32+J32-K32-L32-M32-N32-O32</f>
        <v>-39856473.020000011</v>
      </c>
      <c r="Q32" s="704">
        <f t="shared" si="8"/>
        <v>-4.4703483581542969E-7</v>
      </c>
      <c r="R32" s="141"/>
    </row>
    <row r="33" spans="4:17" x14ac:dyDescent="0.2">
      <c r="D33" s="695">
        <f>SUM(D29:D32)</f>
        <v>72441209167.710007</v>
      </c>
      <c r="E33" s="695">
        <f>SUM(E29:E32)</f>
        <v>143093581.66999999</v>
      </c>
      <c r="F33" s="706">
        <f>SUM(F29:F32)</f>
        <v>72584302749.380005</v>
      </c>
      <c r="G33" s="707">
        <f>D24-F33</f>
        <v>-86352782.380004883</v>
      </c>
      <c r="H33" s="695"/>
      <c r="I33" s="695">
        <f>SUM(I29:I32)</f>
        <v>398460321.10000002</v>
      </c>
      <c r="J33" s="695">
        <f>SUM(J29:J32)</f>
        <v>0</v>
      </c>
      <c r="K33" s="695">
        <f>SUM(K29:K32)</f>
        <v>62332280</v>
      </c>
      <c r="L33" s="695">
        <f t="shared" ref="L33:N33" si="10">SUM(L29:L32)</f>
        <v>536532174.63</v>
      </c>
      <c r="M33" s="695">
        <f t="shared" si="10"/>
        <v>1329905.5</v>
      </c>
      <c r="N33" s="695">
        <f t="shared" si="10"/>
        <v>-156747931.65000001</v>
      </c>
      <c r="O33" s="695">
        <f>SUM(O29:O32)</f>
        <v>41366675</v>
      </c>
      <c r="P33" s="708">
        <f>SUM(P29:P32)</f>
        <v>-86352782.379999965</v>
      </c>
      <c r="Q33" s="704">
        <f>SUM(Q29:Q32)</f>
        <v>-5.6475400924682617E-6</v>
      </c>
    </row>
    <row r="34" spans="4:17" x14ac:dyDescent="0.2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">
      <c r="K35" s="141"/>
      <c r="P35" s="270">
        <f>P33-G33</f>
        <v>4.9173831939697266E-6</v>
      </c>
    </row>
    <row r="36" spans="4:17" x14ac:dyDescent="0.2">
      <c r="F36" s="141"/>
      <c r="L36" s="141"/>
      <c r="P36" s="141"/>
    </row>
    <row r="37" spans="4:17" x14ac:dyDescent="0.2">
      <c r="E37" s="141"/>
      <c r="P37" s="601"/>
    </row>
    <row r="38" spans="4:17" x14ac:dyDescent="0.2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4.85546875" style="1" bestFit="1" customWidth="1"/>
    <col min="5" max="5" width="15.42578125" style="1" bestFit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1.140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46219</v>
      </c>
      <c r="H7" s="45"/>
      <c r="I7" s="45"/>
      <c r="J7" s="555" t="s">
        <v>28</v>
      </c>
      <c r="K7" s="557">
        <f>'CONSOLIDADO_TOTAL RECAUDO'!K102</f>
        <v>46234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17450228673.349998</v>
      </c>
      <c r="E9" s="66">
        <f>'CONSOLIDADO_TOTAL RECAUDO'!E104</f>
        <v>907089032.16000009</v>
      </c>
      <c r="F9" s="66">
        <f>'CONSOLIDADO_TOTAL RECAUDO'!F104</f>
        <v>511619081.72000003</v>
      </c>
      <c r="G9" s="66">
        <f>'CONSOLIDADO_TOTAL RECAUDO'!G104</f>
        <v>268690518.94</v>
      </c>
      <c r="H9" s="66">
        <f>'CONSOLIDADO_TOTAL RECAUDO'!H104</f>
        <v>3815252256.9000001</v>
      </c>
      <c r="I9" s="66">
        <f>'CONSOLIDADO_TOTAL RECAUDO'!I104</f>
        <v>134368143.47</v>
      </c>
      <c r="J9" s="66">
        <f>'CONSOLIDADO_TOTAL RECAUDO'!J104</f>
        <v>-3589454665.5499997</v>
      </c>
      <c r="K9" s="30">
        <f>D9-E9-F9-G9-H9-I9-J9</f>
        <v>15402664305.709999</v>
      </c>
      <c r="L9" s="66">
        <f>'CONSOLIDADO_TOTAL RECAUDO'!L104</f>
        <v>189185988</v>
      </c>
      <c r="M9" s="30">
        <f>K9-L9</f>
        <v>15213478317.709999</v>
      </c>
      <c r="N9" s="66">
        <f>'CONSOLIDADO_TOTAL RECAUDO'!N104</f>
        <v>25277316.260000002</v>
      </c>
      <c r="O9" s="30">
        <f>M9+N9</f>
        <v>15238755633.969999</v>
      </c>
      <c r="Q9" s="4"/>
      <c r="S9" s="14">
        <v>1</v>
      </c>
      <c r="T9" s="61" t="s">
        <v>10</v>
      </c>
      <c r="U9" s="66">
        <f>'CONSOLIDADO_TOTAL RECAUDO'!U104</f>
        <v>1182502863.3800001</v>
      </c>
      <c r="V9" s="66">
        <f>'CONSOLIDADO_TOTAL RECAUDO'!V104</f>
        <v>1138203111.0299997</v>
      </c>
      <c r="W9" s="66">
        <f>'CONSOLIDADO_TOTAL RECAUDO'!W104</f>
        <v>5384239175.3499994</v>
      </c>
      <c r="X9" s="66">
        <f>'CONSOLIDADO_TOTAL RECAUDO'!X104</f>
        <v>2460648865.29</v>
      </c>
      <c r="Y9" s="66">
        <f>'CONSOLIDADO_TOTAL RECAUDO'!Y104</f>
        <v>219070048.99000001</v>
      </c>
      <c r="Z9" s="66">
        <f>'CONSOLIDADO_TOTAL RECAUDO'!Z104</f>
        <v>-189185988</v>
      </c>
      <c r="AA9" s="66">
        <f>'CONSOLIDADO_TOTAL RECAUDO'!AA104</f>
        <v>-17520.82</v>
      </c>
      <c r="AB9" s="66">
        <f>'CONSOLIDADO_TOTAL RECAUDO'!AB104</f>
        <v>25277316.260000002</v>
      </c>
      <c r="AC9" s="66">
        <f>'CONSOLIDADO_TOTAL RECAUDO'!AC104</f>
        <v>-1592.61</v>
      </c>
      <c r="AD9" s="66">
        <f>'CONSOLIDADO_TOTAL RECAUDO'!AD104</f>
        <v>5018019355.0999994</v>
      </c>
      <c r="AE9" s="66">
        <f>'CONSOLIDADO_TOTAL RECAUDO'!AE104</f>
        <v>1428564689.55</v>
      </c>
      <c r="AF9" s="69">
        <f>SUM(U9:AD9)</f>
        <v>15238755633.969997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20516143969.650002</v>
      </c>
      <c r="E10" s="66">
        <f>'CONSOLIDADO_TOTAL RECAUDO'!E105</f>
        <v>1584179837.8299999</v>
      </c>
      <c r="F10" s="66">
        <f>'CONSOLIDADO_TOTAL RECAUDO'!F105</f>
        <v>890098162.61999989</v>
      </c>
      <c r="G10" s="66">
        <f>'CONSOLIDADO_TOTAL RECAUDO'!G105</f>
        <v>466611469.23999995</v>
      </c>
      <c r="H10" s="66">
        <f>'CONSOLIDADO_TOTAL RECAUDO'!H105</f>
        <v>5815089519.5800009</v>
      </c>
      <c r="I10" s="66">
        <f>'CONSOLIDADO_TOTAL RECAUDO'!I105</f>
        <v>222428730.16</v>
      </c>
      <c r="J10" s="66">
        <f>'CONSOLIDADO_TOTAL RECAUDO'!J105</f>
        <v>-3241193714.1100001</v>
      </c>
      <c r="K10" s="31">
        <f t="shared" ref="K10:K13" si="0">D10-E10-F10-G10-H10-I10-J10</f>
        <v>14778929964.329998</v>
      </c>
      <c r="L10" s="66">
        <f>'CONSOLIDADO_TOTAL RECAUDO'!L105</f>
        <v>266580256</v>
      </c>
      <c r="M10" s="31">
        <f>K10-L10</f>
        <v>14512349708.329998</v>
      </c>
      <c r="N10" s="66">
        <f>'CONSOLIDADO_TOTAL RECAUDO'!N105</f>
        <v>53454221.280000001</v>
      </c>
      <c r="O10" s="31">
        <f t="shared" ref="O10:O13" si="1">M10+N10</f>
        <v>14565803929.609999</v>
      </c>
      <c r="Q10" s="4"/>
      <c r="S10" s="16">
        <v>2</v>
      </c>
      <c r="T10" s="62" t="s">
        <v>11</v>
      </c>
      <c r="U10" s="66">
        <f>'CONSOLIDADO_TOTAL RECAUDO'!U105</f>
        <v>1949886300.4400001</v>
      </c>
      <c r="V10" s="66">
        <f>'CONSOLIDADO_TOTAL RECAUDO'!V105</f>
        <v>1945637036.9099996</v>
      </c>
      <c r="W10" s="66">
        <f>'CONSOLIDADO_TOTAL RECAUDO'!W105</f>
        <v>9155886148.1600037</v>
      </c>
      <c r="X10" s="66">
        <f>'CONSOLIDADO_TOTAL RECAUDO'!X105</f>
        <v>3142209362.4400001</v>
      </c>
      <c r="Y10" s="66">
        <f>'CONSOLIDADO_TOTAL RECAUDO'!Y105</f>
        <v>363003578.24000001</v>
      </c>
      <c r="Z10" s="66">
        <f>'CONSOLIDADO_TOTAL RECAUDO'!Z105</f>
        <v>-266580256</v>
      </c>
      <c r="AA10" s="66">
        <f>'CONSOLIDADO_TOTAL RECAUDO'!AA105</f>
        <v>86900.159999999989</v>
      </c>
      <c r="AB10" s="66">
        <f>'CONSOLIDADO_TOTAL RECAUDO'!AB105</f>
        <v>53454221.280000001</v>
      </c>
      <c r="AC10" s="66">
        <f>'CONSOLIDADO_TOTAL RECAUDO'!AC105</f>
        <v>-123.21</v>
      </c>
      <c r="AD10" s="66">
        <f>'CONSOLIDADO_TOTAL RECAUDO'!AD105</f>
        <v>-1777779238.8099999</v>
      </c>
      <c r="AE10" s="66">
        <f>'CONSOLIDADO_TOTAL RECAUDO'!AE105</f>
        <v>-5018972952.9200001</v>
      </c>
      <c r="AF10" s="70">
        <f>SUM(U10:AD10)</f>
        <v>14565803929.610004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15221896467.450003</v>
      </c>
      <c r="E11" s="66">
        <f>'CONSOLIDADO_TOTAL RECAUDO'!E106</f>
        <v>1154816918.0400002</v>
      </c>
      <c r="F11" s="66">
        <f>'CONSOLIDADO_TOTAL RECAUDO'!F106</f>
        <v>650648256.78000009</v>
      </c>
      <c r="G11" s="66">
        <f>'CONSOLIDADO_TOTAL RECAUDO'!G106</f>
        <v>342168927.41999996</v>
      </c>
      <c r="H11" s="66">
        <f>'CONSOLIDADO_TOTAL RECAUDO'!H106</f>
        <v>3419471286.5799999</v>
      </c>
      <c r="I11" s="66">
        <f>'CONSOLIDADO_TOTAL RECAUDO'!I106</f>
        <v>125690282.95999999</v>
      </c>
      <c r="J11" s="66">
        <f>'CONSOLIDADO_TOTAL RECAUDO'!J106</f>
        <v>-853244564.50999999</v>
      </c>
      <c r="K11" s="31">
        <f t="shared" si="0"/>
        <v>10382345360.180002</v>
      </c>
      <c r="L11" s="66">
        <f>'CONSOLIDADO_TOTAL RECAUDO'!L106</f>
        <v>154788536</v>
      </c>
      <c r="M11" s="31">
        <f>K11-L11</f>
        <v>10227556824.180002</v>
      </c>
      <c r="N11" s="66">
        <f>'CONSOLIDADO_TOTAL RECAUDO'!N106</f>
        <v>14341963.319999998</v>
      </c>
      <c r="O11" s="31">
        <f t="shared" si="1"/>
        <v>10241898787.500002</v>
      </c>
      <c r="Q11" s="4"/>
      <c r="S11" s="16">
        <v>3</v>
      </c>
      <c r="T11" s="62" t="s">
        <v>12</v>
      </c>
      <c r="U11" s="66">
        <f>'CONSOLIDADO_TOTAL RECAUDO'!U106</f>
        <v>1102335590.3299999</v>
      </c>
      <c r="V11" s="66">
        <f>'CONSOLIDADO_TOTAL RECAUDO'!V106</f>
        <v>1086464208.23</v>
      </c>
      <c r="W11" s="66">
        <f>'CONSOLIDADO_TOTAL RECAUDO'!W106</f>
        <v>5141961247.9000006</v>
      </c>
      <c r="X11" s="66">
        <f>'CONSOLIDADO_TOTAL RECAUDO'!X106</f>
        <v>2685857516.6600003</v>
      </c>
      <c r="Y11" s="66">
        <f>'CONSOLIDADO_TOTAL RECAUDO'!Y106</f>
        <v>205160229.32000002</v>
      </c>
      <c r="Z11" s="66">
        <f>'CONSOLIDADO_TOTAL RECAUDO'!Z106</f>
        <v>-154788536</v>
      </c>
      <c r="AA11" s="66">
        <f>'CONSOLIDADO_TOTAL RECAUDO'!AA106</f>
        <v>246404.58</v>
      </c>
      <c r="AB11" s="66">
        <f>'CONSOLIDADO_TOTAL RECAUDO'!AB106</f>
        <v>14341963.319999998</v>
      </c>
      <c r="AC11" s="66">
        <f>'CONSOLIDADO_TOTAL RECAUDO'!AC106</f>
        <v>-11885.619999999999</v>
      </c>
      <c r="AD11" s="66">
        <f>'CONSOLIDADO_TOTAL RECAUDO'!AD106</f>
        <v>160332048.78000009</v>
      </c>
      <c r="AE11" s="66">
        <f>'CONSOLIDADO_TOTAL RECAUDO'!AE106</f>
        <v>-692912515.7299999</v>
      </c>
      <c r="AF11" s="70">
        <f>SUM(U11:AD11)</f>
        <v>10241898787.5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7179595395.6699991</v>
      </c>
      <c r="E12" s="66">
        <f>'CONSOLIDADO_TOTAL RECAUDO'!E107</f>
        <v>473606043.33000004</v>
      </c>
      <c r="F12" s="66">
        <f>'CONSOLIDADO_TOTAL RECAUDO'!F107</f>
        <v>264596657.70000002</v>
      </c>
      <c r="G12" s="66">
        <f>'CONSOLIDADO_TOTAL RECAUDO'!G107</f>
        <v>136481575.35000002</v>
      </c>
      <c r="H12" s="66">
        <f>'CONSOLIDADO_TOTAL RECAUDO'!H107</f>
        <v>1605437093.76</v>
      </c>
      <c r="I12" s="66">
        <f>'CONSOLIDADO_TOTAL RECAUDO'!I107</f>
        <v>62582401.519999996</v>
      </c>
      <c r="J12" s="66">
        <f>'CONSOLIDADO_TOTAL RECAUDO'!J107</f>
        <v>-699882713.37000012</v>
      </c>
      <c r="K12" s="31">
        <f t="shared" si="0"/>
        <v>5336774337.3799982</v>
      </c>
      <c r="L12" s="66">
        <f>'CONSOLIDADO_TOTAL RECAUDO'!L107</f>
        <v>120391083</v>
      </c>
      <c r="M12" s="31">
        <f>K12-L12</f>
        <v>5216383254.3799982</v>
      </c>
      <c r="N12" s="66">
        <f>'CONSOLIDADO_TOTAL RECAUDO'!N107</f>
        <v>34128344.93</v>
      </c>
      <c r="O12" s="31">
        <f t="shared" si="1"/>
        <v>5250511599.3099985</v>
      </c>
      <c r="Q12" s="4"/>
      <c r="S12" s="16">
        <v>4</v>
      </c>
      <c r="T12" s="62" t="s">
        <v>13</v>
      </c>
      <c r="U12" s="66">
        <f>'CONSOLIDADO_TOTAL RECAUDO'!U107</f>
        <v>549450408.40999997</v>
      </c>
      <c r="V12" s="66">
        <f>'CONSOLIDADO_TOTAL RECAUDO'!V107</f>
        <v>548186870.46999991</v>
      </c>
      <c r="W12" s="66">
        <f>'CONSOLIDADO_TOTAL RECAUDO'!W107</f>
        <v>2799232757.4099998</v>
      </c>
      <c r="X12" s="66">
        <f>'CONSOLIDADO_TOTAL RECAUDO'!X107</f>
        <v>1254527099.4500003</v>
      </c>
      <c r="Y12" s="66">
        <f>'CONSOLIDADO_TOTAL RECAUDO'!Y107</f>
        <v>102249901.39999999</v>
      </c>
      <c r="Z12" s="66">
        <f>'CONSOLIDADO_TOTAL RECAUDO'!Z107</f>
        <v>-120391083</v>
      </c>
      <c r="AA12" s="66">
        <f>'CONSOLIDADO_TOTAL RECAUDO'!AA107</f>
        <v>-16263.19</v>
      </c>
      <c r="AB12" s="66">
        <f>'CONSOLIDADO_TOTAL RECAUDO'!AB107</f>
        <v>34128344.93</v>
      </c>
      <c r="AC12" s="66">
        <f>'CONSOLIDADO_TOTAL RECAUDO'!AC107</f>
        <v>-529.09999999999991</v>
      </c>
      <c r="AD12" s="66">
        <f>'CONSOLIDADO_TOTAL RECAUDO'!AD107</f>
        <v>83144092.53000021</v>
      </c>
      <c r="AE12" s="66">
        <f>'CONSOLIDADO_TOTAL RECAUDO'!AE107</f>
        <v>-616738620.83999991</v>
      </c>
      <c r="AF12" s="70">
        <f>SUM(U12:AD12)</f>
        <v>5250511599.3099995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12073344661.59</v>
      </c>
      <c r="E13" s="66">
        <f>'CONSOLIDADO_TOTAL RECAUDO'!E108</f>
        <v>731686441.62</v>
      </c>
      <c r="F13" s="66">
        <f>'CONSOLIDADO_TOTAL RECAUDO'!F108</f>
        <v>412480816.2899999</v>
      </c>
      <c r="G13" s="66">
        <f>'CONSOLIDADO_TOTAL RECAUDO'!G108</f>
        <v>216220999.25</v>
      </c>
      <c r="H13" s="66">
        <f>'CONSOLIDADO_TOTAL RECAUDO'!H108</f>
        <v>2771170796.7799997</v>
      </c>
      <c r="I13" s="66">
        <f>'CONSOLIDADO_TOTAL RECAUDO'!I108</f>
        <v>105860252.47</v>
      </c>
      <c r="J13" s="66">
        <f>'CONSOLIDADO_TOTAL RECAUDO'!J108</f>
        <v>-82959023.660000086</v>
      </c>
      <c r="K13" s="31">
        <f t="shared" si="0"/>
        <v>7918884378.8400002</v>
      </c>
      <c r="L13" s="66">
        <f>'CONSOLIDADO_TOTAL RECAUDO'!L108</f>
        <v>128990446</v>
      </c>
      <c r="M13" s="40">
        <f>K13-L13</f>
        <v>7789893932.8400002</v>
      </c>
      <c r="N13" s="66">
        <f>'CONSOLIDADO_TOTAL RECAUDO'!N108</f>
        <v>15891735.880000001</v>
      </c>
      <c r="O13" s="40">
        <f t="shared" si="1"/>
        <v>7805785668.7200003</v>
      </c>
      <c r="Q13" s="4"/>
      <c r="S13" s="19">
        <v>5</v>
      </c>
      <c r="T13" s="63" t="s">
        <v>14</v>
      </c>
      <c r="U13" s="66">
        <f>'CONSOLIDADO_TOTAL RECAUDO'!U108</f>
        <v>928205240.1500001</v>
      </c>
      <c r="V13" s="66">
        <f>'CONSOLIDADO_TOTAL RECAUDO'!V108</f>
        <v>911180502.11000001</v>
      </c>
      <c r="W13" s="66">
        <f>'CONSOLIDADO_TOTAL RECAUDO'!W108</f>
        <v>4681131561.2200003</v>
      </c>
      <c r="X13" s="66">
        <f>'CONSOLIDADO_TOTAL RECAUDO'!X108</f>
        <v>2173851295.3300004</v>
      </c>
      <c r="Y13" s="66">
        <f>'CONSOLIDADO_TOTAL RECAUDO'!Y108</f>
        <v>172729906.53999999</v>
      </c>
      <c r="Z13" s="66">
        <f>'CONSOLIDADO_TOTAL RECAUDO'!Z108</f>
        <v>-128990446</v>
      </c>
      <c r="AA13" s="66">
        <f>'CONSOLIDADO_TOTAL RECAUDO'!AA108</f>
        <v>-147744.56999999998</v>
      </c>
      <c r="AB13" s="66">
        <f>'CONSOLIDADO_TOTAL RECAUDO'!AB108</f>
        <v>15891735.880000001</v>
      </c>
      <c r="AC13" s="66">
        <f>'CONSOLIDADO_TOTAL RECAUDO'!AC108</f>
        <v>-32.979999999999997</v>
      </c>
      <c r="AD13" s="66">
        <f>'CONSOLIDADO_TOTAL RECAUDO'!AD108</f>
        <v>-948066348.95999992</v>
      </c>
      <c r="AE13" s="66">
        <f>'CONSOLIDADO_TOTAL RECAUDO'!AE108</f>
        <v>-1031025372.62</v>
      </c>
      <c r="AF13" s="70">
        <f>SUM(U13:AD13)</f>
        <v>7805785668.7200022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72441209167.710007</v>
      </c>
      <c r="E14" s="43">
        <f t="shared" si="3"/>
        <v>4851378272.9799995</v>
      </c>
      <c r="F14" s="43">
        <f t="shared" si="3"/>
        <v>2729442975.1099997</v>
      </c>
      <c r="G14" s="43">
        <f t="shared" si="3"/>
        <v>1430173490.1999998</v>
      </c>
      <c r="H14" s="43">
        <f t="shared" si="3"/>
        <v>17426420953.600002</v>
      </c>
      <c r="I14" s="43">
        <f t="shared" si="3"/>
        <v>650929810.58000004</v>
      </c>
      <c r="J14" s="43">
        <f t="shared" si="3"/>
        <v>-8466734681.1999998</v>
      </c>
      <c r="K14" s="32">
        <f t="shared" si="3"/>
        <v>53819598346.440002</v>
      </c>
      <c r="L14" s="23">
        <f t="shared" si="3"/>
        <v>859936309</v>
      </c>
      <c r="M14" s="76">
        <f t="shared" si="3"/>
        <v>52959662037.440002</v>
      </c>
      <c r="N14" s="23">
        <f t="shared" si="3"/>
        <v>143093581.66999999</v>
      </c>
      <c r="O14" s="76">
        <f t="shared" si="3"/>
        <v>53102755619.110001</v>
      </c>
      <c r="P14" s="2"/>
      <c r="Q14" s="4"/>
      <c r="S14" s="21"/>
      <c r="T14" s="22" t="s">
        <v>2</v>
      </c>
      <c r="U14" s="43">
        <f>SUM(U9:U13)</f>
        <v>5712380402.710001</v>
      </c>
      <c r="V14" s="43">
        <f t="shared" ref="V14:AG14" si="4">SUM(V9:V13)</f>
        <v>5629671728.749999</v>
      </c>
      <c r="W14" s="43">
        <f t="shared" si="4"/>
        <v>27162450890.040005</v>
      </c>
      <c r="X14" s="43">
        <f t="shared" si="4"/>
        <v>11717094139.17</v>
      </c>
      <c r="Y14" s="43">
        <f t="shared" si="4"/>
        <v>1062213664.49</v>
      </c>
      <c r="Z14" s="43">
        <f t="shared" si="4"/>
        <v>-859936309</v>
      </c>
      <c r="AA14" s="43">
        <f t="shared" si="4"/>
        <v>151776.16</v>
      </c>
      <c r="AB14" s="43">
        <f t="shared" si="4"/>
        <v>143093581.66999999</v>
      </c>
      <c r="AC14" s="43">
        <f t="shared" si="4"/>
        <v>-14163.519999999999</v>
      </c>
      <c r="AD14" s="43">
        <f t="shared" ref="AD14" si="5">SUM(AD9:AD13)</f>
        <v>2535649908.6399999</v>
      </c>
      <c r="AE14" s="43">
        <f>SUM(AE9:AE13)</f>
        <v>-5931084772.5599995</v>
      </c>
      <c r="AF14" s="68">
        <f t="shared" si="4"/>
        <v>53102755619.110001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51283810825.159996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'CONSOLIDADO_TOTAL RECAUDO'!D125</f>
        <v>100931031.88</v>
      </c>
      <c r="E30" s="111">
        <f>'CONSOLIDADO_TOTAL RECAUDO'!E125</f>
        <v>0</v>
      </c>
      <c r="G30" s="140">
        <f>'CONSOLIDADO_TOTAL RECAUDO'!G125</f>
        <v>49580</v>
      </c>
      <c r="H30" s="110">
        <f>'CONSOLIDADO_TOTAL RECAUDO'!H125</f>
        <v>125948553.12</v>
      </c>
      <c r="I30" s="111">
        <f>'CONSOLIDADO_TOTAL RECAUDO'!I125</f>
        <v>973693.46</v>
      </c>
      <c r="J30" s="111">
        <f>'CONSOLIDADO_TOTAL RECAUDO'!J125</f>
        <v>-16536713.09</v>
      </c>
      <c r="K30" s="111">
        <f>'CONSOLIDADO_TOTAL RECAUDO'!K125</f>
        <v>82340</v>
      </c>
      <c r="L30" s="111">
        <f>'CONSOLIDADO_TOTAL RECAUDO'!L125</f>
        <v>182537.90999999997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136534753</v>
      </c>
      <c r="E31" s="74">
        <f>'CONSOLIDADO_TOTAL RECAUDO'!E126</f>
        <v>0</v>
      </c>
      <c r="G31" s="82">
        <f>'CONSOLIDADO_TOTAL RECAUDO'!G126</f>
        <v>56190070</v>
      </c>
      <c r="H31" s="18">
        <f>'CONSOLIDADO_TOTAL RECAUDO'!H126</f>
        <v>178539092.16</v>
      </c>
      <c r="I31" s="83">
        <f>'CONSOLIDADO_TOTAL RECAUDO'!I126</f>
        <v>216025.77</v>
      </c>
      <c r="J31" s="83">
        <f>'CONSOLIDADO_TOTAL RECAUDO'!J126</f>
        <v>-71069759</v>
      </c>
      <c r="K31" s="83">
        <f>'CONSOLIDADO_TOTAL RECAUDO'!K126</f>
        <v>5228610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58884032.920000002</v>
      </c>
      <c r="E32" s="74">
        <f>'CONSOLIDADO_TOTAL RECAUDO'!E127</f>
        <v>0</v>
      </c>
      <c r="G32" s="82">
        <f>'CONSOLIDADO_TOTAL RECAUDO'!G127</f>
        <v>1307680</v>
      </c>
      <c r="H32" s="18">
        <f>'CONSOLIDADO_TOTAL RECAUDO'!H127</f>
        <v>26609070.66</v>
      </c>
      <c r="I32" s="83">
        <f>'CONSOLIDADO_TOTAL RECAUDO'!I127</f>
        <v>104231.83</v>
      </c>
      <c r="J32" s="83">
        <f>'CONSOLIDADO_TOTAL RECAUDO'!J127</f>
        <v>-32310979.800000001</v>
      </c>
      <c r="K32" s="83">
        <f>'CONSOLIDADO_TOTAL RECAUDO'!K127</f>
        <v>0</v>
      </c>
      <c r="L32" s="83">
        <f>'CONSOLIDADO_TOTAL RECAUDO'!L127</f>
        <v>2423600.2000000002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73726637.340000004</v>
      </c>
      <c r="E33" s="74">
        <f>'CONSOLIDADO_TOTAL RECAUDO'!E128</f>
        <v>0</v>
      </c>
      <c r="G33" s="82">
        <f>'CONSOLIDADO_TOTAL RECAUDO'!G128</f>
        <v>4343101</v>
      </c>
      <c r="H33" s="18">
        <f>'CONSOLIDADO_TOTAL RECAUDO'!H128</f>
        <v>161461949.73000002</v>
      </c>
      <c r="I33" s="83">
        <f>'CONSOLIDADO_TOTAL RECAUDO'!I128</f>
        <v>35954.44</v>
      </c>
      <c r="J33" s="83">
        <f>'CONSOLIDADO_TOTAL RECAUDO'!J128</f>
        <v>-33738104.229999997</v>
      </c>
      <c r="K33" s="83">
        <f>'CONSOLIDADO_TOTAL RECAUDO'!K128</f>
        <v>14538094</v>
      </c>
      <c r="L33" s="83">
        <f>'CONSOLIDADO_TOTAL RECAUDO'!L128</f>
        <v>14979759.77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'CONSOLIDADO_TOTAL RECAUDO'!D129</f>
        <v>28383865.960000001</v>
      </c>
      <c r="E34" s="139">
        <f>'CONSOLIDADO_TOTAL RECAUDO'!E129</f>
        <v>0</v>
      </c>
      <c r="G34" s="82">
        <f>'CONSOLIDADO_TOTAL RECAUDO'!G129</f>
        <v>441849</v>
      </c>
      <c r="H34" s="18">
        <f>'CONSOLIDADO_TOTAL RECAUDO'!H129</f>
        <v>43973508.960000001</v>
      </c>
      <c r="I34" s="83">
        <f>'CONSOLIDADO_TOTAL RECAUDO'!I129</f>
        <v>0</v>
      </c>
      <c r="J34" s="83">
        <f>'CONSOLIDADO_TOTAL RECAUDO'!J129</f>
        <v>-3092375.53</v>
      </c>
      <c r="K34" s="83">
        <f>'CONSOLIDADO_TOTAL RECAUDO'!K129</f>
        <v>87550</v>
      </c>
      <c r="L34" s="83">
        <f>'CONSOLIDADO_TOTAL RECAUDO'!L129</f>
        <v>215053.47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6">SUM(D30:D34)</f>
        <v>398460321.09999996</v>
      </c>
      <c r="E36" s="107">
        <f>'CONSOLIDADO_TOTAL RECAUDO'!E131</f>
        <v>0</v>
      </c>
      <c r="F36" s="45"/>
      <c r="G36" s="107">
        <f t="shared" ref="G36" si="7">SUM(G30:G34)</f>
        <v>62332280</v>
      </c>
      <c r="H36" s="107">
        <f t="shared" ref="H36:L36" si="8">SUM(H30:H34)</f>
        <v>536532174.63</v>
      </c>
      <c r="I36" s="107">
        <f t="shared" si="8"/>
        <v>1329905.5</v>
      </c>
      <c r="J36" s="107">
        <f t="shared" ref="J36" si="9">SUM(J30:J34)</f>
        <v>-156747931.65000001</v>
      </c>
      <c r="K36" s="107">
        <f t="shared" si="8"/>
        <v>19936594</v>
      </c>
      <c r="L36" s="107">
        <f t="shared" si="8"/>
        <v>17800951.349999998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7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85546875" style="1" customWidth="1"/>
    <col min="13" max="13" width="18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R1'!F259</f>
        <v>11411240</v>
      </c>
      <c r="E10" s="292">
        <f>'Reporte Componentes R1'!G259</f>
        <v>846445.31</v>
      </c>
      <c r="F10" s="292">
        <f>'Reporte Componentes R1'!H259</f>
        <v>456814.64</v>
      </c>
      <c r="G10" s="292">
        <f>'Reporte Componentes R1'!I259</f>
        <v>246633.46</v>
      </c>
      <c r="H10" s="292">
        <f>'Reporte Componentes R1'!J259</f>
        <v>3859157.96</v>
      </c>
      <c r="I10" s="292">
        <f>'Reporte Componentes R1'!K259</f>
        <v>125021.13</v>
      </c>
      <c r="J10" s="288">
        <v>0</v>
      </c>
      <c r="K10" s="295">
        <f t="shared" ref="K10:K13" si="0">D10-E10-F10-G10-H10-I10-J10</f>
        <v>5877167.4999999981</v>
      </c>
      <c r="L10" s="294">
        <v>0</v>
      </c>
      <c r="M10" s="295">
        <f>K10-L10</f>
        <v>5877167.4999999981</v>
      </c>
      <c r="N10" s="294">
        <f>'Reporte Componentes R1'!L259</f>
        <v>0</v>
      </c>
      <c r="O10" s="295">
        <f t="shared" ref="O10:O12" si="1">M10+N10</f>
        <v>5877167.4999999981</v>
      </c>
      <c r="Q10" s="306"/>
      <c r="S10" s="314">
        <v>2</v>
      </c>
      <c r="T10" s="315" t="s">
        <v>11</v>
      </c>
      <c r="U10" s="316">
        <f>'Reporte Componentes R1'!M259</f>
        <v>1101678.21</v>
      </c>
      <c r="V10" s="317">
        <f>'Reporte Componentes R1'!N259</f>
        <v>1198553.1100000001</v>
      </c>
      <c r="W10" s="317">
        <f>'Reporte Componentes R1'!O259</f>
        <v>5597648.7699999996</v>
      </c>
      <c r="X10" s="317">
        <f>'Reporte Componentes R1'!P259</f>
        <v>1666421.96</v>
      </c>
      <c r="Y10" s="318">
        <f>'Reporte Componentes R1'!Q259</f>
        <v>204886.65</v>
      </c>
      <c r="Z10" s="319">
        <f>L10*-1</f>
        <v>0</v>
      </c>
      <c r="AA10" s="320">
        <f>'Reporte Componentes R1'!R259+'Reporte Componentes R1'!V259+'Reporte Componentes R1'!U259</f>
        <v>72.06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-7.0000000000000007E-2</v>
      </c>
      <c r="AD10" s="291">
        <f t="shared" ref="AD10:AD13" si="2">-J10+AE10</f>
        <v>-3892093.19</v>
      </c>
      <c r="AE10" s="291">
        <f>'Reporte Componentes R1'!F260</f>
        <v>-3892093.19</v>
      </c>
      <c r="AF10" s="322">
        <f>SUM(U10:AD10)</f>
        <v>5877167.5000000019</v>
      </c>
      <c r="AG10" s="522">
        <f>(AF10-O10)</f>
        <v>3.7252902984619141E-9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R1'!F573</f>
        <v>5616850</v>
      </c>
      <c r="E12" s="292">
        <f>'Reporte Componentes R1'!G573</f>
        <v>348026.22</v>
      </c>
      <c r="F12" s="292">
        <f>'Reporte Componentes R1'!H573</f>
        <v>182658.96</v>
      </c>
      <c r="G12" s="292">
        <f>'Reporte Componentes R1'!I573</f>
        <v>98773.43</v>
      </c>
      <c r="H12" s="292">
        <f>'Reporte Componentes R1'!J573</f>
        <v>1121911.54</v>
      </c>
      <c r="I12" s="292">
        <f>'Reporte Componentes R1'!K573</f>
        <v>39196.07</v>
      </c>
      <c r="J12" s="288">
        <v>0</v>
      </c>
      <c r="K12" s="295">
        <f t="shared" si="0"/>
        <v>3826283.7800000007</v>
      </c>
      <c r="L12" s="294">
        <v>0</v>
      </c>
      <c r="M12" s="295">
        <f>K12-L12</f>
        <v>3826283.7800000007</v>
      </c>
      <c r="N12" s="294">
        <f>'Reporte Componentes R1'!L573</f>
        <v>0</v>
      </c>
      <c r="O12" s="295">
        <f t="shared" si="1"/>
        <v>3826283.7800000007</v>
      </c>
      <c r="Q12" s="306"/>
      <c r="S12" s="314">
        <v>4</v>
      </c>
      <c r="T12" s="315" t="s">
        <v>13</v>
      </c>
      <c r="U12" s="316">
        <f>'Reporte Componentes R1'!M573</f>
        <v>344054.1</v>
      </c>
      <c r="V12" s="317">
        <f>'Reporte Componentes R1'!N573</f>
        <v>366770.81</v>
      </c>
      <c r="W12" s="317">
        <f>'Reporte Componentes R1'!O573</f>
        <v>1860672.37</v>
      </c>
      <c r="X12" s="317">
        <f>'Reporte Componentes R1'!P573</f>
        <v>927916.55</v>
      </c>
      <c r="Y12" s="318">
        <f>'Reporte Componentes R1'!Q573</f>
        <v>64006.76</v>
      </c>
      <c r="Z12" s="319">
        <f>L12*-1</f>
        <v>0</v>
      </c>
      <c r="AA12" s="320">
        <f>'Reporte Componentes R1'!R573+'Reporte Componentes R1'!V573+'Reporte Componentes R1'!U573</f>
        <v>-38.130000000000003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262901.32</v>
      </c>
      <c r="AE12" s="291">
        <f>'Reporte Componentes R1'!F574</f>
        <v>262901.32</v>
      </c>
      <c r="AF12" s="322">
        <f t="shared" si="4"/>
        <v>3826283.78</v>
      </c>
      <c r="AG12" s="522">
        <f>(AF12-O12)</f>
        <v>-9.3132257461547852E-10</v>
      </c>
      <c r="AH12" s="1" t="b">
        <f t="shared" si="3"/>
        <v>0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17028090</v>
      </c>
      <c r="E14" s="290">
        <f t="shared" ref="E14:O14" si="5">SUM(E9:E13)</f>
        <v>1194471.53</v>
      </c>
      <c r="F14" s="290">
        <f t="shared" si="5"/>
        <v>639473.6</v>
      </c>
      <c r="G14" s="290">
        <f t="shared" si="5"/>
        <v>345406.89</v>
      </c>
      <c r="H14" s="290">
        <f t="shared" si="5"/>
        <v>4981069.5</v>
      </c>
      <c r="I14" s="290">
        <f t="shared" si="5"/>
        <v>164217.20000000001</v>
      </c>
      <c r="J14" s="290">
        <f t="shared" si="5"/>
        <v>0</v>
      </c>
      <c r="K14" s="300">
        <f t="shared" si="5"/>
        <v>9703451.2799999993</v>
      </c>
      <c r="L14" s="301">
        <f>SUM(L9:L13)</f>
        <v>0</v>
      </c>
      <c r="M14" s="302">
        <f t="shared" si="5"/>
        <v>9703451.2799999993</v>
      </c>
      <c r="N14" s="301">
        <f t="shared" si="5"/>
        <v>0</v>
      </c>
      <c r="O14" s="302">
        <f t="shared" si="5"/>
        <v>9703451.2799999993</v>
      </c>
      <c r="P14" s="329"/>
      <c r="Q14" s="306"/>
      <c r="S14" s="327"/>
      <c r="T14" s="328" t="s">
        <v>2</v>
      </c>
      <c r="U14" s="330">
        <f>SUM(U9:U13)</f>
        <v>1445732.31</v>
      </c>
      <c r="V14" s="330">
        <f t="shared" ref="V14:AF14" si="6">SUM(V9:V13)</f>
        <v>1565323.9200000002</v>
      </c>
      <c r="W14" s="330">
        <f t="shared" si="6"/>
        <v>7458321.1399999997</v>
      </c>
      <c r="X14" s="330">
        <f t="shared" si="6"/>
        <v>2594338.5099999998</v>
      </c>
      <c r="Y14" s="330">
        <f t="shared" si="6"/>
        <v>268893.40999999997</v>
      </c>
      <c r="Z14" s="290">
        <f t="shared" si="6"/>
        <v>0</v>
      </c>
      <c r="AA14" s="290">
        <f t="shared" si="6"/>
        <v>33.93</v>
      </c>
      <c r="AB14" s="290">
        <f t="shared" si="6"/>
        <v>0</v>
      </c>
      <c r="AC14" s="290">
        <f t="shared" si="6"/>
        <v>-7.0000000000000007E-2</v>
      </c>
      <c r="AD14" s="290">
        <f>SUM(AD9:AD13)</f>
        <v>-3629191.87</v>
      </c>
      <c r="AE14" s="290">
        <f>SUM(AE9:AE13)</f>
        <v>-3629191.87</v>
      </c>
      <c r="AF14" s="331">
        <f t="shared" si="6"/>
        <v>9703451.2800000012</v>
      </c>
      <c r="AG14" s="524">
        <f>SUM(AG9:AG13)</f>
        <v>2.7939677238464355E-9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13332609.290000001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R2'!E158</f>
        <v>35414329.289999992</v>
      </c>
      <c r="E29" s="292">
        <f>'Rem. Anticipos R2'!F158</f>
        <v>3216777.59</v>
      </c>
      <c r="F29" s="292">
        <f>'Rem. Anticipos R2'!G158</f>
        <v>1799399.45</v>
      </c>
      <c r="G29" s="292">
        <f>'Rem. Anticipos R2'!H158</f>
        <v>773125.81</v>
      </c>
      <c r="H29" s="292">
        <f>'Rem. Anticipos R2'!I158</f>
        <v>14315915.6</v>
      </c>
      <c r="I29" s="292">
        <f>'Rem. Anticipos R2'!J158</f>
        <v>406510.66</v>
      </c>
      <c r="J29" s="288">
        <v>0</v>
      </c>
      <c r="K29" s="295">
        <f t="shared" ref="K29:K31" si="7">D29-E29-F29-G29-H29-I29-J29</f>
        <v>14902600.179999994</v>
      </c>
      <c r="L29" s="294">
        <v>0</v>
      </c>
      <c r="M29" s="295">
        <f>K29-L29</f>
        <v>14902600.179999994</v>
      </c>
      <c r="N29" s="294">
        <f>'Rem. Anticipos R2'!K158</f>
        <v>0</v>
      </c>
      <c r="O29" s="295">
        <f t="shared" ref="O29:O32" si="8">M29+N29</f>
        <v>14902600.179999994</v>
      </c>
      <c r="Q29" s="306"/>
      <c r="S29" s="314">
        <v>2</v>
      </c>
      <c r="T29" s="315" t="s">
        <v>11</v>
      </c>
      <c r="U29" s="316">
        <f>'Rem. Anticipos R2'!L158</f>
        <v>3668619.83</v>
      </c>
      <c r="V29" s="317">
        <f>'Rem. Anticipos R2'!M158</f>
        <v>4175302.62</v>
      </c>
      <c r="W29" s="317">
        <f>'Rem. Anticipos R2'!N158</f>
        <v>14329479.369999999</v>
      </c>
      <c r="X29" s="317">
        <f>'Rem. Anticipos R2'!O158</f>
        <v>9282610.9499999993</v>
      </c>
      <c r="Y29" s="318">
        <f>'Rem. Anticipos R2'!P158</f>
        <v>502138.48</v>
      </c>
      <c r="Z29" s="319">
        <f>L29*-1</f>
        <v>0</v>
      </c>
      <c r="AA29" s="320">
        <f>'Rem. Anticipos R2'!Q158</f>
        <v>-28.95</v>
      </c>
      <c r="AB29" s="294">
        <f>N29</f>
        <v>0</v>
      </c>
      <c r="AC29" s="320">
        <f>'Rem. Anticipos R2'!R158</f>
        <v>0</v>
      </c>
      <c r="AD29" s="291">
        <f>-J29+AE29</f>
        <v>-17055522.120000001</v>
      </c>
      <c r="AE29" s="291">
        <f>'Rem. Anticipos R2'!E159</f>
        <v>-17055522.120000001</v>
      </c>
      <c r="AF29" s="322">
        <f>SUM(U29:AD29)</f>
        <v>14902600.18</v>
      </c>
      <c r="AG29" s="522">
        <f>(AF29-O29)</f>
        <v>5.5879354476928711E-9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R2'!E276</f>
        <v>0</v>
      </c>
      <c r="E30" s="292">
        <f>'Rem. Anticipos R2'!F276</f>
        <v>0</v>
      </c>
      <c r="F30" s="292">
        <f>'Rem. Anticipos R2'!G276</f>
        <v>0</v>
      </c>
      <c r="G30" s="292">
        <f>'Rem. Anticipos R2'!H276</f>
        <v>0</v>
      </c>
      <c r="H30" s="292">
        <f>'Rem. Anticipos R2'!I276</f>
        <v>0</v>
      </c>
      <c r="I30" s="292">
        <f>'Rem. Anticipos R2'!J276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R2'!K276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R2'!L276</f>
        <v>0</v>
      </c>
      <c r="V30" s="317">
        <f>'Rem. Anticipos R2'!M276</f>
        <v>0</v>
      </c>
      <c r="W30" s="317">
        <f>'Rem. Anticipos R2'!N276</f>
        <v>0</v>
      </c>
      <c r="X30" s="317">
        <f>'Rem. Anticipos R2'!O276</f>
        <v>0</v>
      </c>
      <c r="Y30" s="318">
        <f>'Rem. Anticipos R2'!P276</f>
        <v>0</v>
      </c>
      <c r="Z30" s="319">
        <f>L30*-1</f>
        <v>0</v>
      </c>
      <c r="AA30" s="320">
        <f>'Rem. Anticipos R2'!Q276</f>
        <v>0</v>
      </c>
      <c r="AB30" s="294">
        <f>N30</f>
        <v>0</v>
      </c>
      <c r="AC30" s="320">
        <f>'Rem. Anticipos R2'!R276</f>
        <v>0</v>
      </c>
      <c r="AD30" s="291">
        <f t="shared" ref="AD30:AD32" si="10">-J30+AE30</f>
        <v>0</v>
      </c>
      <c r="AE30" s="291">
        <f>'Rem. Anticipos R2'!E277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R2'!E387</f>
        <v>66508368.82</v>
      </c>
      <c r="E31" s="292">
        <f>'Rem. Anticipos R2'!F387</f>
        <v>9041231.2599999998</v>
      </c>
      <c r="F31" s="292">
        <f>'Rem. Anticipos R2'!G387</f>
        <v>5072388.55</v>
      </c>
      <c r="G31" s="292">
        <f>'Rem. Anticipos R2'!H387</f>
        <v>1011597.42</v>
      </c>
      <c r="H31" s="292">
        <f>'Rem. Anticipos R2'!I387</f>
        <v>7983360.1600000001</v>
      </c>
      <c r="I31" s="292">
        <f>'Rem. Anticipos R2'!J387</f>
        <v>230579.94</v>
      </c>
      <c r="J31" s="288">
        <v>0</v>
      </c>
      <c r="K31" s="295">
        <f t="shared" si="7"/>
        <v>43169211.49000001</v>
      </c>
      <c r="L31" s="294">
        <v>0</v>
      </c>
      <c r="M31" s="295">
        <f>K31-L31</f>
        <v>43169211.49000001</v>
      </c>
      <c r="N31" s="294">
        <f>'Rem. Anticipos R2'!K387</f>
        <v>0</v>
      </c>
      <c r="O31" s="295">
        <f t="shared" si="8"/>
        <v>43169211.49000001</v>
      </c>
      <c r="Q31" s="306"/>
      <c r="S31" s="314">
        <v>4</v>
      </c>
      <c r="T31" s="315" t="s">
        <v>13</v>
      </c>
      <c r="U31" s="316">
        <f>'Rem. Anticipos R2'!L387</f>
        <v>2199940.9</v>
      </c>
      <c r="V31" s="317">
        <f>'Rem. Anticipos R2'!M387</f>
        <v>2412632.5099999998</v>
      </c>
      <c r="W31" s="317">
        <f>'Rem. Anticipos R2'!N387</f>
        <v>10659886.970000001</v>
      </c>
      <c r="X31" s="317">
        <f>'Rem. Anticipos R2'!O387</f>
        <v>24512256.039999999</v>
      </c>
      <c r="Y31" s="318">
        <f>'Rem. Anticipos R2'!P387</f>
        <v>336993.11</v>
      </c>
      <c r="Z31" s="319">
        <f>L31*-1</f>
        <v>0</v>
      </c>
      <c r="AA31" s="320">
        <f>'Rem. Anticipos R2'!Q387</f>
        <v>84.56</v>
      </c>
      <c r="AB31" s="294">
        <f>N31</f>
        <v>0</v>
      </c>
      <c r="AC31" s="320">
        <f>'Rem. Anticipos R2'!R387</f>
        <v>0</v>
      </c>
      <c r="AD31" s="291">
        <f t="shared" si="10"/>
        <v>3047417.4</v>
      </c>
      <c r="AE31" s="291">
        <f>'Rem. Anticipos R2'!E388</f>
        <v>3047417.4</v>
      </c>
      <c r="AF31" s="322">
        <f>SUM(U31:AD31)</f>
        <v>43169211.490000002</v>
      </c>
      <c r="AG31" s="522">
        <f t="shared" si="11"/>
        <v>-7.4505805969238281E-9</v>
      </c>
      <c r="AH31" s="1" t="b">
        <f t="shared" si="9"/>
        <v>0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R2'!E471</f>
        <v>0</v>
      </c>
      <c r="E32" s="297">
        <f>'Rem. Anticipos R2'!F471</f>
        <v>0</v>
      </c>
      <c r="F32" s="297">
        <f>'Rem. Anticipos R2'!G471</f>
        <v>0</v>
      </c>
      <c r="G32" s="297">
        <f>'Rem. Anticipos R2'!H471</f>
        <v>0</v>
      </c>
      <c r="H32" s="297">
        <f>'Rem. Anticipos R2'!I471</f>
        <v>0</v>
      </c>
      <c r="I32" s="297">
        <f>'Rem. Anticipos R2'!J471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R2'!K471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R2'!L471</f>
        <v>0</v>
      </c>
      <c r="V32" s="297">
        <f>'Rem. Anticipos R2'!M471</f>
        <v>0</v>
      </c>
      <c r="W32" s="297">
        <f>'Rem. Anticipos R2'!N471</f>
        <v>0</v>
      </c>
      <c r="X32" s="297">
        <f>'Rem. Anticipos R2'!O471</f>
        <v>0</v>
      </c>
      <c r="Y32" s="289">
        <f>'Rem. Anticipos R2'!P471</f>
        <v>0</v>
      </c>
      <c r="Z32" s="319">
        <f>L32*-1</f>
        <v>0</v>
      </c>
      <c r="AA32" s="320">
        <f>'Rem. Anticipos R2'!Q471</f>
        <v>0</v>
      </c>
      <c r="AB32" s="294">
        <f>N32</f>
        <v>0</v>
      </c>
      <c r="AC32" s="320">
        <f>'Rem. Anticipos R2'!R471</f>
        <v>0</v>
      </c>
      <c r="AD32" s="291">
        <f t="shared" si="10"/>
        <v>0</v>
      </c>
      <c r="AE32" s="291">
        <f>'Rem. Anticipos R2'!E472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101922698.10999998</v>
      </c>
      <c r="E33" s="290">
        <f>SUM(E28:E32)</f>
        <v>12258008.85</v>
      </c>
      <c r="F33" s="290">
        <f t="shared" ref="F33:O33" si="12">SUM(F28:F32)</f>
        <v>6871788</v>
      </c>
      <c r="G33" s="290">
        <f t="shared" si="12"/>
        <v>1784723.23</v>
      </c>
      <c r="H33" s="290">
        <f t="shared" si="12"/>
        <v>22299275.759999998</v>
      </c>
      <c r="I33" s="290">
        <f t="shared" si="12"/>
        <v>637090.6</v>
      </c>
      <c r="J33" s="290">
        <f t="shared" si="12"/>
        <v>0</v>
      </c>
      <c r="K33" s="300">
        <f t="shared" si="12"/>
        <v>58071811.670000002</v>
      </c>
      <c r="L33" s="301">
        <f t="shared" si="12"/>
        <v>0</v>
      </c>
      <c r="M33" s="302">
        <f t="shared" si="12"/>
        <v>58071811.670000002</v>
      </c>
      <c r="N33" s="301">
        <f t="shared" si="12"/>
        <v>0</v>
      </c>
      <c r="O33" s="302">
        <f t="shared" si="12"/>
        <v>58071811.670000002</v>
      </c>
      <c r="P33" s="329"/>
      <c r="Q33" s="306"/>
      <c r="S33" s="327"/>
      <c r="T33" s="328" t="s">
        <v>2</v>
      </c>
      <c r="U33" s="330">
        <f>SUM(U28:U32)</f>
        <v>5868560.7300000004</v>
      </c>
      <c r="V33" s="330">
        <f t="shared" ref="V33:AG33" si="13">SUM(V28:V32)</f>
        <v>6587935.1299999999</v>
      </c>
      <c r="W33" s="330">
        <f t="shared" si="13"/>
        <v>24989366.34</v>
      </c>
      <c r="X33" s="330">
        <f t="shared" si="13"/>
        <v>33794866.989999995</v>
      </c>
      <c r="Y33" s="330">
        <f t="shared" si="13"/>
        <v>839131.59</v>
      </c>
      <c r="Z33" s="290">
        <f t="shared" si="13"/>
        <v>0</v>
      </c>
      <c r="AA33" s="290">
        <f t="shared" si="13"/>
        <v>55.61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-14008104.720000001</v>
      </c>
      <c r="AE33" s="290">
        <f>SUM(AE28:AE32)</f>
        <v>-14008104.720000001</v>
      </c>
      <c r="AF33" s="331">
        <f t="shared" si="13"/>
        <v>58071811.670000002</v>
      </c>
      <c r="AG33" s="524">
        <f t="shared" si="13"/>
        <v>-1.862645149230957E-9</v>
      </c>
      <c r="AH33" s="1" t="b">
        <f t="shared" si="9"/>
        <v>0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72079860.780000001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R1'!F575</f>
        <v>41900</v>
      </c>
      <c r="E50" s="292">
        <f>'Reporte Componentes R1'!G575</f>
        <v>2593.4699999999998</v>
      </c>
      <c r="F50" s="292">
        <f>'Reporte Componentes R1'!H575</f>
        <v>1464.28</v>
      </c>
      <c r="G50" s="292">
        <f>'Reporte Componentes R1'!I575</f>
        <v>768.54</v>
      </c>
      <c r="H50" s="292">
        <f>'Reporte Componentes R1'!J575</f>
        <v>8475</v>
      </c>
      <c r="I50" s="292">
        <f>'Reporte Componentes R1'!K575</f>
        <v>336.82</v>
      </c>
      <c r="J50" s="288">
        <v>0</v>
      </c>
      <c r="K50" s="295">
        <f t="shared" si="16"/>
        <v>28261.89</v>
      </c>
      <c r="L50" s="294">
        <v>0</v>
      </c>
      <c r="M50" s="295">
        <f>K50-L50</f>
        <v>28261.89</v>
      </c>
      <c r="N50" s="294">
        <f>'Reporte Componentes R1'!L575</f>
        <v>0</v>
      </c>
      <c r="O50" s="295">
        <f t="shared" si="17"/>
        <v>28261.89</v>
      </c>
      <c r="Q50" s="306"/>
      <c r="S50" s="314">
        <v>4</v>
      </c>
      <c r="T50" s="315" t="s">
        <v>13</v>
      </c>
      <c r="U50" s="316">
        <f>'Reporte Componentes R1'!M575</f>
        <v>2954.55</v>
      </c>
      <c r="V50" s="317">
        <f>'Reporte Componentes R1'!N575</f>
        <v>2903.79</v>
      </c>
      <c r="W50" s="317">
        <f>'Reporte Componentes R1'!O575</f>
        <v>14989.18</v>
      </c>
      <c r="X50" s="317">
        <f>'Reporte Componentes R1'!P575</f>
        <v>6864.83</v>
      </c>
      <c r="Y50" s="318">
        <f>'Reporte Componentes R1'!Q575</f>
        <v>549.54</v>
      </c>
      <c r="Z50" s="319">
        <f>-L50</f>
        <v>0</v>
      </c>
      <c r="AA50" s="320">
        <f>'Reporte Componentes R1'!R575+'Reporte Componentes R1'!V575+'Reporte Componentes R1'!U575</f>
        <v>0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0</v>
      </c>
      <c r="AE50" s="291">
        <f>'Reporte Componentes R1'!F576</f>
        <v>0</v>
      </c>
      <c r="AF50" s="322">
        <f t="shared" si="19"/>
        <v>28261.89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41900</v>
      </c>
      <c r="E52" s="290">
        <f t="shared" si="21"/>
        <v>2593.4699999999998</v>
      </c>
      <c r="F52" s="290">
        <f t="shared" si="21"/>
        <v>1464.28</v>
      </c>
      <c r="G52" s="290">
        <f t="shared" ref="G52" si="22">SUM(G47:G51)</f>
        <v>768.54</v>
      </c>
      <c r="H52" s="290">
        <f t="shared" si="21"/>
        <v>8475</v>
      </c>
      <c r="I52" s="290">
        <f t="shared" si="21"/>
        <v>336.82</v>
      </c>
      <c r="J52" s="290">
        <f t="shared" si="21"/>
        <v>0</v>
      </c>
      <c r="K52" s="300">
        <f t="shared" si="21"/>
        <v>28261.89</v>
      </c>
      <c r="L52" s="301">
        <f t="shared" si="21"/>
        <v>0</v>
      </c>
      <c r="M52" s="302">
        <f t="shared" si="21"/>
        <v>28261.89</v>
      </c>
      <c r="N52" s="301">
        <f t="shared" si="21"/>
        <v>0</v>
      </c>
      <c r="O52" s="302">
        <f t="shared" si="21"/>
        <v>28261.89</v>
      </c>
      <c r="P52" s="329"/>
      <c r="Q52" s="306"/>
      <c r="S52" s="327"/>
      <c r="T52" s="328" t="s">
        <v>2</v>
      </c>
      <c r="U52" s="330">
        <f>SUM(U47:U51)</f>
        <v>2954.55</v>
      </c>
      <c r="V52" s="330">
        <f t="shared" ref="V52:AG52" si="23">SUM(V47:V51)</f>
        <v>2903.79</v>
      </c>
      <c r="W52" s="330">
        <f t="shared" si="23"/>
        <v>14989.18</v>
      </c>
      <c r="X52" s="330">
        <f t="shared" si="23"/>
        <v>6864.83</v>
      </c>
      <c r="Y52" s="330">
        <f t="shared" si="23"/>
        <v>549.54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28261.89</v>
      </c>
      <c r="AG52" s="524">
        <f t="shared" si="23"/>
        <v>0</v>
      </c>
      <c r="AH52" s="1" t="b">
        <f t="shared" si="15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28261.89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R4'!D329</f>
        <v>-736030</v>
      </c>
      <c r="E69" s="292">
        <f>'Reversion Pagos R4'!E329</f>
        <v>-56621.87</v>
      </c>
      <c r="F69" s="292">
        <f>'Reversion Pagos R4'!F329</f>
        <v>-29964.27</v>
      </c>
      <c r="G69" s="292">
        <f>'Reversion Pagos R4'!G329</f>
        <v>-16688.439999999999</v>
      </c>
      <c r="H69" s="292">
        <f>'Reversion Pagos R4'!H329</f>
        <v>-192605.11</v>
      </c>
      <c r="I69" s="292">
        <f>'Reversion Pagos R4'!I329</f>
        <v>-5220.43</v>
      </c>
      <c r="J69" s="288">
        <v>0</v>
      </c>
      <c r="K69" s="295">
        <f t="shared" si="25"/>
        <v>-434929.88000000006</v>
      </c>
      <c r="L69" s="294">
        <v>0</v>
      </c>
      <c r="M69" s="295">
        <f>K69-L69</f>
        <v>-434929.88000000006</v>
      </c>
      <c r="N69" s="294">
        <f>'Reversion Pagos R4'!P329</f>
        <v>0</v>
      </c>
      <c r="O69" s="295">
        <f t="shared" si="26"/>
        <v>-434929.88000000006</v>
      </c>
      <c r="Q69" s="306"/>
      <c r="S69" s="314">
        <v>4</v>
      </c>
      <c r="T69" s="315" t="s">
        <v>13</v>
      </c>
      <c r="U69" s="316">
        <f>'Reversion Pagos R4'!J329</f>
        <v>-44096.46</v>
      </c>
      <c r="V69" s="317">
        <f>'Reversion Pagos R4'!K329</f>
        <v>-55230.35</v>
      </c>
      <c r="W69" s="317">
        <f>'Reversion Pagos R4'!L329</f>
        <v>-296231.31</v>
      </c>
      <c r="X69" s="317">
        <f>'Reversion Pagos R4'!M329</f>
        <v>-151197.87</v>
      </c>
      <c r="Y69" s="318">
        <f>'Reversion Pagos R4'!N329</f>
        <v>-8517.5499999999993</v>
      </c>
      <c r="Z69" s="319">
        <f t="shared" si="27"/>
        <v>0</v>
      </c>
      <c r="AA69" s="320">
        <f>'Reversion Pagos R4'!O329</f>
        <v>5.68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120337.98</v>
      </c>
      <c r="AE69" s="291">
        <f>'Reversion Pagos R4'!D330</f>
        <v>120337.98</v>
      </c>
      <c r="AF69" s="322">
        <f>SUM(U69:AD69)</f>
        <v>-434929.88</v>
      </c>
      <c r="AG69" s="522">
        <f>(AF69-O69)</f>
        <v>5.8207660913467407E-11</v>
      </c>
      <c r="AH69" s="1" t="b">
        <f t="shared" si="24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-736030</v>
      </c>
      <c r="E71" s="290">
        <f t="shared" si="32"/>
        <v>-56621.87</v>
      </c>
      <c r="F71" s="290">
        <f t="shared" si="32"/>
        <v>-29964.27</v>
      </c>
      <c r="G71" s="290">
        <f t="shared" si="32"/>
        <v>-16688.439999999999</v>
      </c>
      <c r="H71" s="290">
        <f t="shared" si="32"/>
        <v>-192605.11</v>
      </c>
      <c r="I71" s="290">
        <f t="shared" si="32"/>
        <v>-5220.43</v>
      </c>
      <c r="J71" s="290">
        <f t="shared" si="32"/>
        <v>0</v>
      </c>
      <c r="K71" s="300">
        <f t="shared" si="32"/>
        <v>-434929.88000000006</v>
      </c>
      <c r="L71" s="301">
        <f t="shared" si="32"/>
        <v>0</v>
      </c>
      <c r="M71" s="302">
        <f t="shared" si="32"/>
        <v>-434929.88000000006</v>
      </c>
      <c r="N71" s="301">
        <f t="shared" si="32"/>
        <v>0</v>
      </c>
      <c r="O71" s="302">
        <f t="shared" si="32"/>
        <v>-434929.88000000006</v>
      </c>
      <c r="P71" s="329"/>
      <c r="Q71" s="306"/>
      <c r="S71" s="327"/>
      <c r="T71" s="328" t="s">
        <v>2</v>
      </c>
      <c r="U71" s="330">
        <f>SUM(U66:U70)</f>
        <v>-44096.46</v>
      </c>
      <c r="V71" s="330">
        <f t="shared" ref="V71:AG71" si="33">SUM(V66:V70)</f>
        <v>-55230.35</v>
      </c>
      <c r="W71" s="330">
        <f t="shared" si="33"/>
        <v>-296231.31</v>
      </c>
      <c r="X71" s="330">
        <f t="shared" si="33"/>
        <v>-151197.87</v>
      </c>
      <c r="Y71" s="330">
        <f t="shared" si="33"/>
        <v>-8517.5499999999993</v>
      </c>
      <c r="Z71" s="290">
        <f t="shared" si="33"/>
        <v>0</v>
      </c>
      <c r="AA71" s="290">
        <f>SUM(AA66:AA70)</f>
        <v>5.68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120337.98</v>
      </c>
      <c r="AE71" s="290">
        <f>SUM(AE66:AE70)</f>
        <v>120337.98</v>
      </c>
      <c r="AF71" s="331">
        <f t="shared" si="33"/>
        <v>-434929.88</v>
      </c>
      <c r="AG71" s="524">
        <f t="shared" si="33"/>
        <v>5.8207660913467407E-11</v>
      </c>
      <c r="AH71" s="1" t="b">
        <f t="shared" si="24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-555273.54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f>'AJUSTES - SF-T'!D48</f>
        <v>216025.77</v>
      </c>
      <c r="E86" s="292">
        <f>'AJUSTES - SF-T'!E48</f>
        <v>31897.62</v>
      </c>
      <c r="F86" s="292">
        <f>'AJUSTES - SF-T'!F48</f>
        <v>18572.91</v>
      </c>
      <c r="G86" s="292">
        <f>'AJUSTES - SF-T'!G48</f>
        <v>8867.14</v>
      </c>
      <c r="H86" s="292">
        <f>'AJUSTES - SF-T'!H48</f>
        <v>92959.49</v>
      </c>
      <c r="I86" s="292">
        <f>'AJUSTES - SF-T'!I48</f>
        <v>3883.88</v>
      </c>
      <c r="J86" s="288">
        <f>'AJUSTES - SF-T'!J48</f>
        <v>0</v>
      </c>
      <c r="K86" s="295">
        <f t="shared" ref="K86:K89" si="36">D86-E86-F86-G86-H86-I86-J86</f>
        <v>59844.729999999974</v>
      </c>
      <c r="L86" s="294">
        <v>0</v>
      </c>
      <c r="M86" s="295">
        <f>K86-L86</f>
        <v>59844.729999999974</v>
      </c>
      <c r="N86" s="294">
        <f>'AJUSTES - SF-T'!N48</f>
        <v>0</v>
      </c>
      <c r="O86" s="295">
        <f t="shared" ref="O86:O89" si="37">M86+N86</f>
        <v>59844.729999999974</v>
      </c>
      <c r="Q86" s="306"/>
      <c r="S86" s="314">
        <v>2</v>
      </c>
      <c r="T86" s="315" t="s">
        <v>11</v>
      </c>
      <c r="U86" s="316">
        <f>'AJUSTES - SF-T'!U48</f>
        <v>61358.09</v>
      </c>
      <c r="V86" s="317">
        <f>'AJUSTES - SF-T'!V48</f>
        <v>33534.01</v>
      </c>
      <c r="W86" s="317">
        <f>'AJUSTES - SF-T'!W48</f>
        <v>127815.87</v>
      </c>
      <c r="X86" s="317">
        <f>'AJUSTES - SF-T'!X48</f>
        <v>64515.32</v>
      </c>
      <c r="Y86" s="318">
        <f>'AJUSTES - SF-T'!Y48</f>
        <v>5139.92</v>
      </c>
      <c r="Z86" s="319">
        <f>-L86</f>
        <v>0</v>
      </c>
      <c r="AA86" s="320">
        <f>'AJUSTES - SF-T'!AA48</f>
        <v>-0.36</v>
      </c>
      <c r="AB86" s="294">
        <f>N86</f>
        <v>0</v>
      </c>
      <c r="AC86" s="320">
        <v>0</v>
      </c>
      <c r="AD86" s="291">
        <f t="shared" ref="AD86:AD88" si="38">-J86+AE86</f>
        <v>-232518.12</v>
      </c>
      <c r="AE86" s="291">
        <f>'AJUSTES - SF-T'!AD48</f>
        <v>-232518.12</v>
      </c>
      <c r="AF86" s="322">
        <f>SUM(U86:AD86)</f>
        <v>59844.729999999981</v>
      </c>
      <c r="AG86" s="522">
        <f>AF86-O86</f>
        <v>0</v>
      </c>
      <c r="AH86" s="1" t="b">
        <f t="shared" si="35"/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f>'AJUSTES - SF-T'!D50</f>
        <v>35954.44</v>
      </c>
      <c r="E88" s="292">
        <f>'AJUSTES - SF-T'!E50</f>
        <v>1890.6</v>
      </c>
      <c r="F88" s="292">
        <f>'AJUSTES - SF-T'!F50</f>
        <v>1067.43</v>
      </c>
      <c r="G88" s="292">
        <f>'AJUSTES - SF-T'!G50</f>
        <v>560.27</v>
      </c>
      <c r="H88" s="292">
        <f>'AJUSTES - SF-T'!H50</f>
        <v>10800.02</v>
      </c>
      <c r="I88" s="292">
        <f>'AJUSTES - SF-T'!I50</f>
        <v>371.66</v>
      </c>
      <c r="J88" s="288">
        <f>'AJUSTES - SF-T'!J50</f>
        <v>0</v>
      </c>
      <c r="K88" s="295">
        <f t="shared" si="36"/>
        <v>21264.460000000003</v>
      </c>
      <c r="L88" s="294">
        <v>0</v>
      </c>
      <c r="M88" s="295">
        <f>K88-L88</f>
        <v>21264.460000000003</v>
      </c>
      <c r="N88" s="294">
        <f>'AJUSTES - SF-T'!N50</f>
        <v>0</v>
      </c>
      <c r="O88" s="295">
        <f t="shared" si="37"/>
        <v>21264.460000000003</v>
      </c>
      <c r="Q88" s="306"/>
      <c r="S88" s="314">
        <v>4</v>
      </c>
      <c r="T88" s="315" t="s">
        <v>13</v>
      </c>
      <c r="U88" s="316">
        <f>'AJUSTES - SF-T'!U50</f>
        <v>3260.18</v>
      </c>
      <c r="V88" s="317">
        <f>'AJUSTES - SF-T'!V50</f>
        <v>3149.08</v>
      </c>
      <c r="W88" s="317">
        <f>'AJUSTES - SF-T'!W50</f>
        <v>15696.81</v>
      </c>
      <c r="X88" s="317">
        <f>'AJUSTES - SF-T'!X50</f>
        <v>5005.76</v>
      </c>
      <c r="Y88" s="318">
        <f>'AJUSTES - SF-T'!Y50</f>
        <v>606.39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-6453.76</v>
      </c>
      <c r="AE88" s="291">
        <f>'AJUSTES - SF-T'!AD50</f>
        <v>-6453.76</v>
      </c>
      <c r="AF88" s="322">
        <f t="shared" si="39"/>
        <v>21264.46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251980.21</v>
      </c>
      <c r="E90" s="290">
        <f t="shared" si="40"/>
        <v>33788.22</v>
      </c>
      <c r="F90" s="290">
        <f t="shared" si="40"/>
        <v>19640.34</v>
      </c>
      <c r="G90" s="290">
        <f t="shared" si="40"/>
        <v>9427.41</v>
      </c>
      <c r="H90" s="290">
        <f t="shared" si="40"/>
        <v>103759.51000000001</v>
      </c>
      <c r="I90" s="290">
        <f t="shared" si="40"/>
        <v>4255.54</v>
      </c>
      <c r="J90" s="290">
        <f t="shared" si="40"/>
        <v>0</v>
      </c>
      <c r="K90" s="300">
        <f t="shared" si="40"/>
        <v>81109.189999999973</v>
      </c>
      <c r="L90" s="301">
        <f t="shared" si="40"/>
        <v>0</v>
      </c>
      <c r="M90" s="302">
        <f t="shared" si="40"/>
        <v>81109.189999999973</v>
      </c>
      <c r="N90" s="301">
        <f t="shared" si="40"/>
        <v>0</v>
      </c>
      <c r="O90" s="302">
        <f t="shared" si="40"/>
        <v>81109.189999999973</v>
      </c>
      <c r="P90" s="329"/>
      <c r="Q90" s="306"/>
      <c r="S90" s="327"/>
      <c r="T90" s="328" t="s">
        <v>2</v>
      </c>
      <c r="U90" s="330">
        <f>SUM(U85:U89)</f>
        <v>64618.27</v>
      </c>
      <c r="V90" s="330">
        <f t="shared" ref="V90:AG90" si="41">SUM(V85:V89)</f>
        <v>36683.090000000004</v>
      </c>
      <c r="W90" s="330">
        <f t="shared" si="41"/>
        <v>143512.68</v>
      </c>
      <c r="X90" s="330">
        <f t="shared" si="41"/>
        <v>69521.08</v>
      </c>
      <c r="Y90" s="330">
        <f t="shared" si="41"/>
        <v>5746.31</v>
      </c>
      <c r="Z90" s="290">
        <f t="shared" si="41"/>
        <v>0</v>
      </c>
      <c r="AA90" s="290">
        <f t="shared" si="41"/>
        <v>-0.36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-238971.88</v>
      </c>
      <c r="AE90" s="290">
        <f t="shared" si="41"/>
        <v>-238971.88</v>
      </c>
      <c r="AF90" s="331">
        <f t="shared" si="41"/>
        <v>81109.189999999973</v>
      </c>
      <c r="AG90" s="524">
        <f t="shared" si="41"/>
        <v>0</v>
      </c>
      <c r="AH90" s="1" t="b">
        <f t="shared" si="35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320081.43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47041595.059999995</v>
      </c>
      <c r="E105" s="292">
        <f t="shared" si="43"/>
        <v>4095120.52</v>
      </c>
      <c r="F105" s="292">
        <f t="shared" si="43"/>
        <v>2274787</v>
      </c>
      <c r="G105" s="292">
        <f t="shared" si="43"/>
        <v>1028626.41</v>
      </c>
      <c r="H105" s="292">
        <f t="shared" si="43"/>
        <v>18268033.049999997</v>
      </c>
      <c r="I105" s="292">
        <f t="shared" si="43"/>
        <v>535415.67000000004</v>
      </c>
      <c r="J105" s="288">
        <f t="shared" si="43"/>
        <v>0</v>
      </c>
      <c r="K105" s="295">
        <f t="shared" ref="K105:K108" si="46">D105-E105-F105-G105-H105-I105-J105</f>
        <v>20839612.409999996</v>
      </c>
      <c r="L105" s="294">
        <f>L10+L29+L48+L67+L86</f>
        <v>0</v>
      </c>
      <c r="M105" s="295">
        <f>K105-L105</f>
        <v>20839612.409999996</v>
      </c>
      <c r="N105" s="294">
        <f>N10+N29+N48+N67+N86</f>
        <v>0</v>
      </c>
      <c r="O105" s="295">
        <f t="shared" ref="O105:O108" si="47">M105+N105</f>
        <v>20839612.409999996</v>
      </c>
      <c r="Q105" s="306"/>
      <c r="S105" s="314">
        <v>2</v>
      </c>
      <c r="T105" s="315" t="s">
        <v>11</v>
      </c>
      <c r="U105" s="316">
        <f t="shared" si="44"/>
        <v>4831656.13</v>
      </c>
      <c r="V105" s="317">
        <f t="shared" si="44"/>
        <v>5407389.7400000002</v>
      </c>
      <c r="W105" s="317">
        <f t="shared" si="44"/>
        <v>20054944.010000002</v>
      </c>
      <c r="X105" s="317">
        <f t="shared" si="44"/>
        <v>11013548.23</v>
      </c>
      <c r="Y105" s="318">
        <f t="shared" si="44"/>
        <v>712165.05</v>
      </c>
      <c r="Z105" s="319">
        <f t="shared" si="44"/>
        <v>0</v>
      </c>
      <c r="AA105" s="320">
        <f t="shared" si="44"/>
        <v>42.75</v>
      </c>
      <c r="AB105" s="294">
        <f t="shared" si="44"/>
        <v>0</v>
      </c>
      <c r="AC105" s="320">
        <f t="shared" si="44"/>
        <v>-7.0000000000000007E-2</v>
      </c>
      <c r="AD105" s="291">
        <f t="shared" ref="AD105:AD107" si="48">-J105+AE105</f>
        <v>-21180133.430000003</v>
      </c>
      <c r="AE105" s="291">
        <f>AE10+AE29+AE48+AE67+AE86</f>
        <v>-21180133.430000003</v>
      </c>
      <c r="AF105" s="322">
        <f>SUM(U105:AD105)</f>
        <v>20839612.409999993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71467043.25999999</v>
      </c>
      <c r="E107" s="292">
        <f t="shared" si="43"/>
        <v>9337119.6800000016</v>
      </c>
      <c r="F107" s="292">
        <f t="shared" si="43"/>
        <v>5227614.95</v>
      </c>
      <c r="G107" s="292">
        <f t="shared" si="43"/>
        <v>1095011.2200000002</v>
      </c>
      <c r="H107" s="292">
        <f t="shared" si="43"/>
        <v>8931941.6099999994</v>
      </c>
      <c r="I107" s="292">
        <f t="shared" si="43"/>
        <v>265264.06</v>
      </c>
      <c r="J107" s="288">
        <f t="shared" si="43"/>
        <v>0</v>
      </c>
      <c r="K107" s="295">
        <f t="shared" si="46"/>
        <v>46610091.739999987</v>
      </c>
      <c r="L107" s="294">
        <f>L12+L31+L50+L69+L88</f>
        <v>0</v>
      </c>
      <c r="M107" s="295">
        <f>K107-L107</f>
        <v>46610091.739999987</v>
      </c>
      <c r="N107" s="294">
        <f>N12+N31+N50+N69+N88</f>
        <v>0</v>
      </c>
      <c r="O107" s="295">
        <f t="shared" si="47"/>
        <v>46610091.739999987</v>
      </c>
      <c r="Q107" s="306"/>
      <c r="S107" s="314">
        <v>4</v>
      </c>
      <c r="T107" s="315" t="s">
        <v>13</v>
      </c>
      <c r="U107" s="316">
        <f t="shared" si="44"/>
        <v>2506113.27</v>
      </c>
      <c r="V107" s="317">
        <f t="shared" si="44"/>
        <v>2730225.84</v>
      </c>
      <c r="W107" s="317">
        <f t="shared" si="44"/>
        <v>12255014.02</v>
      </c>
      <c r="X107" s="317">
        <f t="shared" si="44"/>
        <v>25300845.309999999</v>
      </c>
      <c r="Y107" s="318">
        <f t="shared" si="44"/>
        <v>393638.25</v>
      </c>
      <c r="Z107" s="319">
        <f t="shared" si="44"/>
        <v>0</v>
      </c>
      <c r="AA107" s="320">
        <f t="shared" si="44"/>
        <v>52.11</v>
      </c>
      <c r="AB107" s="294">
        <f t="shared" si="44"/>
        <v>0</v>
      </c>
      <c r="AC107" s="320">
        <f t="shared" si="44"/>
        <v>0</v>
      </c>
      <c r="AD107" s="291">
        <f t="shared" si="48"/>
        <v>3424202.94</v>
      </c>
      <c r="AE107" s="291">
        <f>AE12+AE31+AE50+AE69+AE88</f>
        <v>3424202.94</v>
      </c>
      <c r="AF107" s="322">
        <f>SUM(U107:AD107)</f>
        <v>46610091.739999995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9">SUM(D104:D108)</f>
        <v>118508638.31999999</v>
      </c>
      <c r="E109" s="290">
        <f t="shared" si="49"/>
        <v>13432240.200000001</v>
      </c>
      <c r="F109" s="290">
        <f t="shared" si="49"/>
        <v>7502401.9500000002</v>
      </c>
      <c r="G109" s="290">
        <f t="shared" si="49"/>
        <v>2123637.6300000004</v>
      </c>
      <c r="H109" s="290">
        <f t="shared" si="49"/>
        <v>27199974.659999996</v>
      </c>
      <c r="I109" s="290">
        <f t="shared" si="49"/>
        <v>800679.73</v>
      </c>
      <c r="J109" s="290">
        <f t="shared" si="49"/>
        <v>0</v>
      </c>
      <c r="K109" s="300">
        <f t="shared" si="49"/>
        <v>67449704.149999976</v>
      </c>
      <c r="L109" s="301">
        <f t="shared" si="49"/>
        <v>0</v>
      </c>
      <c r="M109" s="302">
        <f t="shared" si="49"/>
        <v>67449704.149999976</v>
      </c>
      <c r="N109" s="301">
        <f t="shared" si="49"/>
        <v>0</v>
      </c>
      <c r="O109" s="302">
        <f t="shared" si="49"/>
        <v>67449704.149999976</v>
      </c>
      <c r="P109" s="329"/>
      <c r="Q109" s="306"/>
      <c r="S109" s="327"/>
      <c r="T109" s="328" t="s">
        <v>2</v>
      </c>
      <c r="U109" s="330">
        <f>SUM(U104:U108)</f>
        <v>7337769.4000000004</v>
      </c>
      <c r="V109" s="330">
        <f t="shared" ref="V109:AF109" si="50">SUM(V104:V108)</f>
        <v>8137615.5800000001</v>
      </c>
      <c r="W109" s="330">
        <f t="shared" si="50"/>
        <v>32309958.030000001</v>
      </c>
      <c r="X109" s="330">
        <f t="shared" si="50"/>
        <v>36314393.539999999</v>
      </c>
      <c r="Y109" s="330">
        <f t="shared" si="50"/>
        <v>1105803.3</v>
      </c>
      <c r="Z109" s="290">
        <f t="shared" si="50"/>
        <v>0</v>
      </c>
      <c r="AA109" s="290">
        <f t="shared" si="50"/>
        <v>94.86</v>
      </c>
      <c r="AB109" s="290">
        <f t="shared" si="50"/>
        <v>0</v>
      </c>
      <c r="AC109" s="290">
        <f t="shared" si="50"/>
        <v>-7.0000000000000007E-2</v>
      </c>
      <c r="AD109" s="290">
        <f t="shared" si="50"/>
        <v>-17755930.490000002</v>
      </c>
      <c r="AE109" s="290">
        <f>SUM(AE104:AE108)</f>
        <v>-17755930.490000002</v>
      </c>
      <c r="AF109" s="331">
        <f t="shared" si="50"/>
        <v>67449704.149999991</v>
      </c>
      <c r="AG109" s="524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85205539.850000009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12820520</v>
      </c>
      <c r="E126" s="74">
        <v>0</v>
      </c>
      <c r="G126" s="339">
        <f>D48+N48</f>
        <v>0</v>
      </c>
      <c r="H126" s="340">
        <f>D29+N29</f>
        <v>35414329.289999992</v>
      </c>
      <c r="I126" s="288">
        <f>D86+N86</f>
        <v>216025.77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10268790</v>
      </c>
      <c r="E128" s="74">
        <v>0</v>
      </c>
      <c r="G128" s="339">
        <f>D50+N50</f>
        <v>41900</v>
      </c>
      <c r="H128" s="340">
        <f>D31+N31</f>
        <v>66508368.82</v>
      </c>
      <c r="I128" s="288">
        <f>D88+N88</f>
        <v>35954.44</v>
      </c>
      <c r="J128" s="288">
        <f t="shared" si="51"/>
        <v>-736030</v>
      </c>
      <c r="K128" s="288">
        <f>'ANTICIPOS USUARIOS'!F15</f>
        <v>694130</v>
      </c>
      <c r="L128" s="288">
        <f>-'ANTICIPOS USUARIOS'!F24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23089310</v>
      </c>
      <c r="E131" s="107">
        <f>SUM(E125:E130)</f>
        <v>0</v>
      </c>
      <c r="F131" s="45"/>
      <c r="G131" s="350">
        <f t="shared" ref="G131" si="52">SUM(G125:G129)</f>
        <v>41900</v>
      </c>
      <c r="H131" s="350">
        <f>SUM(H125:H130)</f>
        <v>101922698.10999998</v>
      </c>
      <c r="I131" s="350">
        <f>SUM(I125:I130)</f>
        <v>251980.21</v>
      </c>
      <c r="J131" s="350">
        <f>SUM(J125:J130)</f>
        <v>-736030</v>
      </c>
      <c r="K131" s="350">
        <f>SUM(K125:K130)</f>
        <v>694130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59862115.059999995</v>
      </c>
      <c r="E143" s="18">
        <f>'Recaudo EAAB Reciprocidad'!F22</f>
        <v>24231760</v>
      </c>
      <c r="F143" s="18">
        <f>D29+N29</f>
        <v>35414329.289999992</v>
      </c>
      <c r="G143" s="18">
        <f>D67+N67</f>
        <v>0</v>
      </c>
      <c r="H143" s="18">
        <f>D86+N86</f>
        <v>216025.77</v>
      </c>
      <c r="I143" s="18">
        <f>('REPORTE RECAUDO x BANCO'!E64)</f>
        <v>0</v>
      </c>
      <c r="J143" s="18">
        <f t="shared" si="53"/>
        <v>0</v>
      </c>
      <c r="K143" s="83">
        <f t="shared" si="53"/>
        <v>35414329.289999992</v>
      </c>
      <c r="L143" s="597">
        <f>D143-E143-F143-G143-J143-H143-I143</f>
        <v>3.2887328416109085E-9</v>
      </c>
      <c r="M143" s="1" t="b">
        <f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81735833.25999999</v>
      </c>
      <c r="E145" s="18">
        <f>'Recaudo EAAB Reciprocidad'!F24</f>
        <v>15885640</v>
      </c>
      <c r="F145" s="18">
        <f>D31+N31</f>
        <v>66508368.82</v>
      </c>
      <c r="G145" s="18">
        <f>D69+N69</f>
        <v>-736030</v>
      </c>
      <c r="H145" s="18">
        <f>D88+N88</f>
        <v>35954.44</v>
      </c>
      <c r="I145" s="18">
        <f>('REPORTE RECAUDO x BANCO'!E69)</f>
        <v>0</v>
      </c>
      <c r="J145" s="18">
        <f t="shared" si="53"/>
        <v>41900</v>
      </c>
      <c r="K145" s="83">
        <f t="shared" si="53"/>
        <v>66508368.82</v>
      </c>
      <c r="L145" s="597">
        <f>D145-E145-F145-G145-J145-H145-I145</f>
        <v>-9.8370946943759918E-9</v>
      </c>
      <c r="M145" s="1" t="b">
        <f t="shared" si="54"/>
        <v>0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141597948.31999999</v>
      </c>
      <c r="E147" s="47">
        <f>SUM(E142:E146)</f>
        <v>40117400</v>
      </c>
      <c r="F147" s="47">
        <f t="shared" ref="F147:K147" si="55">SUM(F142:F146)</f>
        <v>101922698.10999998</v>
      </c>
      <c r="G147" s="47">
        <f t="shared" si="55"/>
        <v>-736030</v>
      </c>
      <c r="H147" s="47">
        <f t="shared" si="55"/>
        <v>251980.21</v>
      </c>
      <c r="I147" s="47">
        <f t="shared" si="55"/>
        <v>0</v>
      </c>
      <c r="J147" s="47">
        <f t="shared" si="55"/>
        <v>41900</v>
      </c>
      <c r="K147" s="47">
        <f t="shared" si="55"/>
        <v>101922698.10999998</v>
      </c>
      <c r="L147" s="597">
        <f>SUM(L142:L146)</f>
        <v>-6.5483618527650833E-9</v>
      </c>
      <c r="M147" s="1" t="b">
        <f t="shared" si="54"/>
        <v>0</v>
      </c>
      <c r="P147" s="24"/>
      <c r="Q147" s="35"/>
      <c r="R147" s="24"/>
    </row>
    <row r="148" spans="1:20" x14ac:dyDescent="0.2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Reciprocidad'!F22</f>
        <v>24231760</v>
      </c>
      <c r="D4" s="292">
        <f>'REMUNERACION Reciprocidad EAAB'!G126</f>
        <v>0</v>
      </c>
      <c r="E4" s="292">
        <f>'REMUNERACION Reciprocidad EAAB'!D29+'REMUNERACION Reciprocidad EAAB'!N29</f>
        <v>35414329.289999992</v>
      </c>
      <c r="F4" s="292">
        <f>'REMUNERACION Reciprocidad EAAB'!I143</f>
        <v>0</v>
      </c>
      <c r="G4" s="292">
        <f>'REMUNERACION Reciprocidad EAAB'!H143</f>
        <v>216025.77</v>
      </c>
      <c r="H4" s="340">
        <f t="shared" ref="H4:H8" si="1">SUM(C4:G4)</f>
        <v>59862115.059999995</v>
      </c>
      <c r="I4" s="291">
        <f>'REMUNERACION Reciprocidad EAAB'!D105</f>
        <v>47041595.059999995</v>
      </c>
      <c r="J4" s="292">
        <f>'REMUNERACION Reciprocidad EAAB'!N105</f>
        <v>0</v>
      </c>
      <c r="K4" s="292">
        <f>'REMUNERACION Reciprocidad EAAB'!D126</f>
        <v>12820520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59862115.059999995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Reciprocidad'!F24</f>
        <v>15885640</v>
      </c>
      <c r="D6" s="292">
        <f>'REMUNERACION Reciprocidad EAAB'!G128</f>
        <v>41900</v>
      </c>
      <c r="E6" s="292">
        <f>'REMUNERACION Reciprocidad EAAB'!D31+'REMUNERACION Reciprocidad EAAB'!N31</f>
        <v>66508368.82</v>
      </c>
      <c r="F6" s="292">
        <f>'REMUNERACION Reciprocidad EAAB'!I145</f>
        <v>0</v>
      </c>
      <c r="G6" s="292">
        <f>'REMUNERACION Reciprocidad EAAB'!H145</f>
        <v>35954.44</v>
      </c>
      <c r="H6" s="340">
        <f t="shared" si="1"/>
        <v>82471863.25999999</v>
      </c>
      <c r="I6" s="291">
        <f>'REMUNERACION Reciprocidad EAAB'!D107</f>
        <v>71467043.25999999</v>
      </c>
      <c r="J6" s="292">
        <f>'REMUNERACION Reciprocidad EAAB'!N107</f>
        <v>0</v>
      </c>
      <c r="K6" s="292">
        <f>'REMUNERACION Reciprocidad EAAB'!D128</f>
        <v>10268790</v>
      </c>
      <c r="L6" s="353">
        <f>'REMUNERACION Reciprocidad EAAB'!E128</f>
        <v>0</v>
      </c>
      <c r="M6" s="292">
        <f>-'REMUNERACION Reciprocidad EAAB'!D69-'REMUNERACION Reciprocidad EAAB'!N69</f>
        <v>736030</v>
      </c>
      <c r="N6" s="318">
        <f t="shared" ref="N6:N7" si="3">SUM(I6:M6)</f>
        <v>82471863.25999999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40117400</v>
      </c>
      <c r="D9" s="290">
        <f t="shared" ref="D9:M9" si="4">SUM(D3:D8)</f>
        <v>41900</v>
      </c>
      <c r="E9" s="290">
        <f>SUM(E3:E8)</f>
        <v>101922698.10999998</v>
      </c>
      <c r="F9" s="290">
        <f t="shared" si="4"/>
        <v>0</v>
      </c>
      <c r="G9" s="290">
        <f t="shared" si="4"/>
        <v>251980.21</v>
      </c>
      <c r="H9" s="290">
        <f t="shared" si="4"/>
        <v>142333978.31999999</v>
      </c>
      <c r="I9" s="290">
        <f t="shared" si="4"/>
        <v>118508638.31999999</v>
      </c>
      <c r="J9" s="290">
        <f t="shared" si="4"/>
        <v>0</v>
      </c>
      <c r="K9" s="290">
        <f t="shared" si="4"/>
        <v>23089310</v>
      </c>
      <c r="L9" s="290">
        <f t="shared" si="4"/>
        <v>0</v>
      </c>
      <c r="M9" s="290">
        <f t="shared" si="4"/>
        <v>736030</v>
      </c>
      <c r="N9" s="290">
        <f>SUM(N3:N8)</f>
        <v>142333978.31999999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Recaudo'!D9</f>
        <v>40117400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9.8554687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47041595.059999995</v>
      </c>
      <c r="E10" s="66">
        <f>'REMUNERACION Reciprocidad EAAB'!E105</f>
        <v>4095120.52</v>
      </c>
      <c r="F10" s="66">
        <f>'REMUNERACION Reciprocidad EAAB'!F105</f>
        <v>2274787</v>
      </c>
      <c r="G10" s="66">
        <f>'REMUNERACION Reciprocidad EAAB'!G105</f>
        <v>1028626.41</v>
      </c>
      <c r="H10" s="66">
        <f>'REMUNERACION Reciprocidad EAAB'!H105</f>
        <v>18268033.049999997</v>
      </c>
      <c r="I10" s="66">
        <f>'REMUNERACION Reciprocidad EAAB'!I105</f>
        <v>535415.67000000004</v>
      </c>
      <c r="J10" s="66">
        <f>'REMUNERACION Reciprocidad EAAB'!J105</f>
        <v>0</v>
      </c>
      <c r="K10" s="31">
        <f t="shared" ref="K10:K13" si="0">D10-E10-F10-G10-H10-I10-J10</f>
        <v>20839612.409999996</v>
      </c>
      <c r="L10" s="66">
        <f>'REMUNERACION Reciprocidad EAAB'!L105</f>
        <v>0</v>
      </c>
      <c r="M10" s="31">
        <f>K10-L10</f>
        <v>20839612.409999996</v>
      </c>
      <c r="N10" s="66">
        <f>'REMUNERACION Reciprocidad EAAB'!N105</f>
        <v>0</v>
      </c>
      <c r="O10" s="31">
        <f t="shared" ref="O10:O13" si="1">M10+N10</f>
        <v>20839612.409999996</v>
      </c>
      <c r="Q10" s="4"/>
      <c r="S10" s="16">
        <v>2</v>
      </c>
      <c r="T10" s="62" t="s">
        <v>11</v>
      </c>
      <c r="U10" s="66">
        <f>'REMUNERACION Reciprocidad EAAB'!U105</f>
        <v>4831656.13</v>
      </c>
      <c r="V10" s="66">
        <f>'REMUNERACION Reciprocidad EAAB'!V105</f>
        <v>5407389.7400000002</v>
      </c>
      <c r="W10" s="66">
        <f>'REMUNERACION Reciprocidad EAAB'!W105</f>
        <v>20054944.010000002</v>
      </c>
      <c r="X10" s="66">
        <f>'REMUNERACION Reciprocidad EAAB'!X105</f>
        <v>11013548.23</v>
      </c>
      <c r="Y10" s="66">
        <f>'REMUNERACION Reciprocidad EAAB'!Y105</f>
        <v>712165.05</v>
      </c>
      <c r="Z10" s="66">
        <f>'REMUNERACION Reciprocidad EAAB'!Z105</f>
        <v>0</v>
      </c>
      <c r="AA10" s="66">
        <f>'REMUNERACION Reciprocidad EAAB'!AA105</f>
        <v>42.75</v>
      </c>
      <c r="AB10" s="66">
        <f>'REMUNERACION Reciprocidad EAAB'!AB105</f>
        <v>0</v>
      </c>
      <c r="AC10" s="66">
        <f>'REMUNERACION Reciprocidad EAAB'!AC105</f>
        <v>-7.0000000000000007E-2</v>
      </c>
      <c r="AD10" s="66">
        <f>'REMUNERACION Reciprocidad EAAB'!AD105</f>
        <v>-21180133.430000003</v>
      </c>
      <c r="AE10" s="66">
        <f>'REMUNERACION Reciprocidad EAAB'!AE105</f>
        <v>-21180133.430000003</v>
      </c>
      <c r="AF10" s="70">
        <f>SUM(U10:AD10)</f>
        <v>20839612.409999993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71467043.25999999</v>
      </c>
      <c r="E12" s="66">
        <f>'REMUNERACION Reciprocidad EAAB'!E107</f>
        <v>9337119.6800000016</v>
      </c>
      <c r="F12" s="66">
        <f>'REMUNERACION Reciprocidad EAAB'!F107</f>
        <v>5227614.95</v>
      </c>
      <c r="G12" s="66">
        <f>'REMUNERACION Reciprocidad EAAB'!G107</f>
        <v>1095011.2200000002</v>
      </c>
      <c r="H12" s="66">
        <f>'REMUNERACION Reciprocidad EAAB'!H107</f>
        <v>8931941.6099999994</v>
      </c>
      <c r="I12" s="66">
        <f>'REMUNERACION Reciprocidad EAAB'!I107</f>
        <v>265264.06</v>
      </c>
      <c r="J12" s="66">
        <f>'REMUNERACION Reciprocidad EAAB'!J107</f>
        <v>0</v>
      </c>
      <c r="K12" s="31">
        <f t="shared" si="0"/>
        <v>46610091.739999987</v>
      </c>
      <c r="L12" s="66">
        <f>'REMUNERACION Reciprocidad EAAB'!L107</f>
        <v>0</v>
      </c>
      <c r="M12" s="31">
        <f>K12-L12</f>
        <v>46610091.739999987</v>
      </c>
      <c r="N12" s="66">
        <f>'REMUNERACION Reciprocidad EAAB'!N107</f>
        <v>0</v>
      </c>
      <c r="O12" s="31">
        <f t="shared" si="1"/>
        <v>46610091.739999987</v>
      </c>
      <c r="Q12" s="4"/>
      <c r="S12" s="16">
        <v>4</v>
      </c>
      <c r="T12" s="62" t="s">
        <v>13</v>
      </c>
      <c r="U12" s="66">
        <f>'REMUNERACION Reciprocidad EAAB'!U107</f>
        <v>2506113.27</v>
      </c>
      <c r="V12" s="66">
        <f>'REMUNERACION Reciprocidad EAAB'!V107</f>
        <v>2730225.84</v>
      </c>
      <c r="W12" s="66">
        <f>'REMUNERACION Reciprocidad EAAB'!W107</f>
        <v>12255014.02</v>
      </c>
      <c r="X12" s="66">
        <f>'REMUNERACION Reciprocidad EAAB'!X107</f>
        <v>25300845.309999999</v>
      </c>
      <c r="Y12" s="66">
        <f>'REMUNERACION Reciprocidad EAAB'!Y107</f>
        <v>393638.25</v>
      </c>
      <c r="Z12" s="66">
        <f>'REMUNERACION Reciprocidad EAAB'!Z107</f>
        <v>0</v>
      </c>
      <c r="AA12" s="66">
        <f>'REMUNERACION Reciprocidad EAAB'!AA107</f>
        <v>52.11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3424202.94</v>
      </c>
      <c r="AE12" s="66">
        <f>'REMUNERACION Reciprocidad EAAB'!AE107</f>
        <v>3424202.94</v>
      </c>
      <c r="AF12" s="70">
        <f>SUM(U12:AD12)</f>
        <v>46610091.739999995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118508638.31999999</v>
      </c>
      <c r="E14" s="43">
        <f t="shared" si="3"/>
        <v>13432240.200000001</v>
      </c>
      <c r="F14" s="43">
        <f t="shared" si="3"/>
        <v>7502401.9500000002</v>
      </c>
      <c r="G14" s="43">
        <f t="shared" si="3"/>
        <v>2123637.6300000004</v>
      </c>
      <c r="H14" s="43">
        <f t="shared" si="3"/>
        <v>27199974.659999996</v>
      </c>
      <c r="I14" s="43">
        <f t="shared" si="3"/>
        <v>800679.73</v>
      </c>
      <c r="J14" s="43">
        <f t="shared" si="3"/>
        <v>0</v>
      </c>
      <c r="K14" s="32">
        <f t="shared" si="3"/>
        <v>67449704.149999976</v>
      </c>
      <c r="L14" s="23">
        <f t="shared" si="3"/>
        <v>0</v>
      </c>
      <c r="M14" s="76">
        <f t="shared" si="3"/>
        <v>67449704.149999976</v>
      </c>
      <c r="N14" s="23">
        <f t="shared" si="3"/>
        <v>0</v>
      </c>
      <c r="O14" s="76">
        <f t="shared" si="3"/>
        <v>67449704.149999976</v>
      </c>
      <c r="P14" s="2"/>
      <c r="Q14" s="4"/>
      <c r="S14" s="21"/>
      <c r="T14" s="22" t="s">
        <v>2</v>
      </c>
      <c r="U14" s="43">
        <f>SUM(U9:U13)</f>
        <v>7337769.4000000004</v>
      </c>
      <c r="V14" s="43">
        <f t="shared" ref="V14:AG14" si="4">SUM(V9:V13)</f>
        <v>8137615.5800000001</v>
      </c>
      <c r="W14" s="43">
        <f t="shared" si="4"/>
        <v>32309958.030000001</v>
      </c>
      <c r="X14" s="43">
        <f t="shared" si="4"/>
        <v>36314393.539999999</v>
      </c>
      <c r="Y14" s="43">
        <f t="shared" si="4"/>
        <v>1105803.3</v>
      </c>
      <c r="Z14" s="43">
        <f t="shared" si="4"/>
        <v>0</v>
      </c>
      <c r="AA14" s="43">
        <f t="shared" si="4"/>
        <v>94.86</v>
      </c>
      <c r="AB14" s="43">
        <f t="shared" si="4"/>
        <v>0</v>
      </c>
      <c r="AC14" s="43">
        <f t="shared" si="4"/>
        <v>-7.0000000000000007E-2</v>
      </c>
      <c r="AD14" s="43">
        <f t="shared" si="4"/>
        <v>-17755930.490000002</v>
      </c>
      <c r="AE14" s="43">
        <f>SUM(AE9:AE13)</f>
        <v>-17755930.490000002</v>
      </c>
      <c r="AF14" s="68">
        <f t="shared" si="4"/>
        <v>67449704.149999991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85205539.850000009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12820520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35414329.289999992</v>
      </c>
      <c r="I31" s="288">
        <f>'REMUNERACION Reciprocidad EAAB'!I126</f>
        <v>216025.77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10268790</v>
      </c>
      <c r="E33" s="74">
        <f>'REMUNERACION Reciprocidad EAAB'!E128</f>
        <v>0</v>
      </c>
      <c r="G33" s="339">
        <f>'REMUNERACION Reciprocidad EAAB'!G128</f>
        <v>41900</v>
      </c>
      <c r="H33" s="340">
        <f>'REMUNERACION Reciprocidad EAAB'!H128</f>
        <v>66508368.82</v>
      </c>
      <c r="I33" s="288">
        <f>'REMUNERACION Reciprocidad EAAB'!I128</f>
        <v>35954.44</v>
      </c>
      <c r="J33" s="288">
        <f>'REMUNERACION Reciprocidad EAAB'!J128</f>
        <v>-736030</v>
      </c>
      <c r="K33" s="288">
        <f>'REMUNERACION Reciprocidad EAAB'!K128</f>
        <v>694130</v>
      </c>
      <c r="L33" s="288">
        <f>'REMUNERACION Reciprocidad EAAB'!L128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>SUM(D30:D34)</f>
        <v>23089310</v>
      </c>
      <c r="E36" s="107">
        <f>'REMUNERACION Reciprocidad EAAB'!E131</f>
        <v>0</v>
      </c>
      <c r="F36" s="45"/>
      <c r="G36" s="350">
        <f t="shared" ref="G36:L36" si="5">SUM(G30:G34)</f>
        <v>41900</v>
      </c>
      <c r="H36" s="350">
        <f t="shared" si="5"/>
        <v>101922698.10999998</v>
      </c>
      <c r="I36" s="350">
        <f t="shared" si="5"/>
        <v>251980.21</v>
      </c>
      <c r="J36" s="350">
        <f t="shared" si="5"/>
        <v>-736030</v>
      </c>
      <c r="K36" s="350">
        <f t="shared" si="5"/>
        <v>694130</v>
      </c>
      <c r="L36" s="350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7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R1'!F85</f>
        <v>16560599150.5</v>
      </c>
      <c r="E9" s="292">
        <f>'Reporte Componentes R1'!G85</f>
        <v>801645029.27999997</v>
      </c>
      <c r="F9" s="292">
        <f>'Reporte Componentes R1'!H85</f>
        <v>452328892.93000001</v>
      </c>
      <c r="G9" s="292">
        <f>'Reporte Componentes R1'!I85</f>
        <v>237653152.88</v>
      </c>
      <c r="H9" s="292">
        <f>'Reporte Componentes R1'!J85</f>
        <v>3743398457.3299999</v>
      </c>
      <c r="I9" s="292">
        <f>'Reporte Componentes R1'!K85</f>
        <v>131909206.38000001</v>
      </c>
      <c r="J9" s="292">
        <f>'CONSOLIDADO_TOTAL RECAUDO'!J9</f>
        <v>-3589454665.5499997</v>
      </c>
      <c r="K9" s="293">
        <f>D9-E9-F9-G9-H9-I9-J9</f>
        <v>14783119077.25</v>
      </c>
      <c r="L9" s="294">
        <f>'CONSOLIDADO_TOTAL RECAUDO'!L9</f>
        <v>189185988</v>
      </c>
      <c r="M9" s="293">
        <f>K9-L9</f>
        <v>14593933089.25</v>
      </c>
      <c r="N9" s="294">
        <f>'Reporte Componentes R1'!L85</f>
        <v>16516492.25</v>
      </c>
      <c r="O9" s="293">
        <f>M9+N9</f>
        <v>14610449581.5</v>
      </c>
      <c r="Q9" s="306"/>
      <c r="S9" s="303">
        <v>1</v>
      </c>
      <c r="T9" s="304" t="s">
        <v>10</v>
      </c>
      <c r="U9" s="307">
        <f>'Reporte Componentes R1'!M85</f>
        <v>1160554403.1900001</v>
      </c>
      <c r="V9" s="308">
        <f>'Reporte Componentes R1'!N85</f>
        <v>1113470084.8499999</v>
      </c>
      <c r="W9" s="308">
        <f>'Reporte Componentes R1'!O85</f>
        <v>5271166494.5799999</v>
      </c>
      <c r="X9" s="308">
        <f>'Reporte Componentes R1'!P85</f>
        <v>2172128352.0600004</v>
      </c>
      <c r="Y9" s="309">
        <f>'Reporte Componentes R1'!Q85</f>
        <v>215238429.09999999</v>
      </c>
      <c r="Z9" s="310">
        <f>L9*-1</f>
        <v>-189185988</v>
      </c>
      <c r="AA9" s="311">
        <f>'Reporte Componentes R1'!R85+'Reporte Componentes R1'!V85+'Reporte Componentes R1'!U85</f>
        <v>-16764.259999999998</v>
      </c>
      <c r="AB9" s="294">
        <f>N9</f>
        <v>16516492.25</v>
      </c>
      <c r="AC9" s="311">
        <f>'Reporte Componentes R1'!T85+'Reporte Componentes R1'!W85+'Reporte Componentes R1'!X85+'Reporte Componentes R1'!Y85+'Reporte Componentes R1'!Z85+'Reporte Componentes R1'!S85</f>
        <v>521.77</v>
      </c>
      <c r="AD9" s="291">
        <f>-J9+AE9</f>
        <v>4850577555.96</v>
      </c>
      <c r="AE9" s="291">
        <f>'Reporte Componentes R1'!F86</f>
        <v>1261122890.4100001</v>
      </c>
      <c r="AF9" s="313">
        <f>SUM(U9:AD9)</f>
        <v>14610449581.5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R1'!F264</f>
        <v>19023525223.110004</v>
      </c>
      <c r="E10" s="292">
        <f>'Reporte Componentes R1'!G264</f>
        <v>1400142290.9300001</v>
      </c>
      <c r="F10" s="292">
        <f>'Reporte Componentes R1'!H264</f>
        <v>785434828.66999996</v>
      </c>
      <c r="G10" s="292">
        <f>'Reporte Componentes R1'!I264</f>
        <v>411976719.89000005</v>
      </c>
      <c r="H10" s="292">
        <f>'Reporte Componentes R1'!J264</f>
        <v>5566978557.3000002</v>
      </c>
      <c r="I10" s="292">
        <f>'Reporte Componentes R1'!K264</f>
        <v>215502798.99000001</v>
      </c>
      <c r="J10" s="292">
        <f>'CONSOLIDADO_TOTAL RECAUDO'!J10</f>
        <v>-3241193714.1100001</v>
      </c>
      <c r="K10" s="295">
        <f>D10-E10-F10-G10-H10-I10-J10</f>
        <v>13884683741.440004</v>
      </c>
      <c r="L10" s="294">
        <f>'CONSOLIDADO_TOTAL RECAUDO'!L10</f>
        <v>266580256</v>
      </c>
      <c r="M10" s="295">
        <f>K10-L10</f>
        <v>13618103485.440004</v>
      </c>
      <c r="N10" s="294">
        <f>'Reporte Componentes R1'!L264</f>
        <v>24273229.890000001</v>
      </c>
      <c r="O10" s="295">
        <f t="shared" ref="O10:O12" si="0">M10+N10</f>
        <v>13642376715.330004</v>
      </c>
      <c r="Q10" s="306"/>
      <c r="S10" s="314">
        <v>2</v>
      </c>
      <c r="T10" s="315" t="s">
        <v>11</v>
      </c>
      <c r="U10" s="316">
        <f>'Reporte Componentes R1'!M264</f>
        <v>1888691595.8999999</v>
      </c>
      <c r="V10" s="317">
        <f>'Reporte Componentes R1'!N264</f>
        <v>1865131607.0600002</v>
      </c>
      <c r="W10" s="317">
        <f>'Reporte Componentes R1'!O264</f>
        <v>8796190172.9300003</v>
      </c>
      <c r="X10" s="317">
        <f>'Reporte Componentes R1'!P264</f>
        <v>2757907535.29</v>
      </c>
      <c r="Y10" s="318">
        <f>'Reporte Componentes R1'!Q264</f>
        <v>352119526.00999999</v>
      </c>
      <c r="Z10" s="319">
        <f>L10*-1</f>
        <v>-266580256</v>
      </c>
      <c r="AA10" s="320">
        <f>'Reporte Componentes R1'!R264+'Reporte Componentes R1'!V264+'Reporte Componentes R1'!U264</f>
        <v>89964.42</v>
      </c>
      <c r="AB10" s="294">
        <f>N10</f>
        <v>24273229.890000001</v>
      </c>
      <c r="AC10" s="320">
        <f>'Reporte Componentes R1'!T264+'Reporte Componentes R1'!W264+'Reporte Componentes R1'!X264+'Reporte Componentes R1'!Y264+'Reporte Componentes R1'!Z264+'Reporte Componentes R1'!S264</f>
        <v>-109.61</v>
      </c>
      <c r="AD10" s="291">
        <f t="shared" ref="AD10:AD13" si="1">-J10+AE10</f>
        <v>-1775446550.5599999</v>
      </c>
      <c r="AE10" s="291">
        <f>'Reporte Componentes R1'!F265</f>
        <v>-5016640264.6700001</v>
      </c>
      <c r="AF10" s="322">
        <f>SUM(U10:AD10)</f>
        <v>13642376715.33</v>
      </c>
      <c r="AG10" s="323">
        <f>(AF10-O10)</f>
        <v>-3.814697265625E-6</v>
      </c>
      <c r="AH10" s="1" t="b">
        <f t="shared" ref="AH10:AH14" si="2">INT(AG10)=0</f>
        <v>0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R1'!F425</f>
        <v>13997194578.870001</v>
      </c>
      <c r="E11" s="292">
        <f>'Reporte Componentes R1'!G425</f>
        <v>987122183.24000001</v>
      </c>
      <c r="F11" s="292">
        <f>'Reporte Componentes R1'!H425</f>
        <v>556797987.04999995</v>
      </c>
      <c r="G11" s="292">
        <f>'Reporte Componentes R1'!I425</f>
        <v>292504434.60000002</v>
      </c>
      <c r="H11" s="292">
        <f>'Reporte Componentes R1'!J425</f>
        <v>3384957591.0900002</v>
      </c>
      <c r="I11" s="292">
        <f>'Reporte Componentes R1'!K425</f>
        <v>124652663.64</v>
      </c>
      <c r="J11" s="292">
        <f>'CONSOLIDADO_TOTAL RECAUDO'!J11</f>
        <v>-853244564.50999999</v>
      </c>
      <c r="K11" s="295">
        <f t="shared" ref="K11:K13" si="3">D11-E11-F11-G11-H11-I11-J11</f>
        <v>9504404283.7600021</v>
      </c>
      <c r="L11" s="294">
        <f>'CONSOLIDADO_TOTAL RECAUDO'!L11</f>
        <v>154788536</v>
      </c>
      <c r="M11" s="295">
        <f>K11-L11</f>
        <v>9349615747.7600021</v>
      </c>
      <c r="N11" s="294">
        <f>'Reporte Componentes R1'!L425</f>
        <v>13007833.130000001</v>
      </c>
      <c r="O11" s="295">
        <f t="shared" si="0"/>
        <v>9362623580.8900013</v>
      </c>
      <c r="Q11" s="306"/>
      <c r="S11" s="314">
        <v>3</v>
      </c>
      <c r="T11" s="315" t="s">
        <v>12</v>
      </c>
      <c r="U11" s="316">
        <f>'Reporte Componentes R1'!M425</f>
        <v>1093234289.8399999</v>
      </c>
      <c r="V11" s="317">
        <f>'Reporte Componentes R1'!N425</f>
        <v>1073707981.87</v>
      </c>
      <c r="W11" s="317">
        <f>'Reporte Componentes R1'!O425</f>
        <v>5081970328.25</v>
      </c>
      <c r="X11" s="317">
        <f>'Reporte Componentes R1'!P425</f>
        <v>2295380517.8499999</v>
      </c>
      <c r="Y11" s="318">
        <f>'Reporte Componentes R1'!Q425</f>
        <v>203480280.53</v>
      </c>
      <c r="Z11" s="319">
        <f>L11*-1</f>
        <v>-154788536</v>
      </c>
      <c r="AA11" s="320">
        <f>'Reporte Componentes R1'!R425+'Reporte Componentes R1'!V425+'Reporte Componentes R1'!U425</f>
        <v>247498.34</v>
      </c>
      <c r="AB11" s="294">
        <f>N11</f>
        <v>13007833.130000001</v>
      </c>
      <c r="AC11" s="320">
        <f>'Reporte Componentes R1'!T425+'Reporte Componentes R1'!W425+'Reporte Componentes R1'!X425+'Reporte Componentes R1'!Y425+'Reporte Componentes R1'!Z425+'Reporte Componentes R1'!S425</f>
        <v>0.24</v>
      </c>
      <c r="AD11" s="291">
        <f t="shared" si="1"/>
        <v>-243616613.16000009</v>
      </c>
      <c r="AE11" s="291">
        <f>'Reporte Componentes R1'!F426</f>
        <v>-1096861177.6700001</v>
      </c>
      <c r="AF11" s="322">
        <f t="shared" ref="AF11:AF13" si="4">SUM(U11:AD11)</f>
        <v>9362623580.8899994</v>
      </c>
      <c r="AG11" s="323">
        <f>(AF11-O11)</f>
        <v>-1.9073486328125E-6</v>
      </c>
      <c r="AH11" s="1" t="b">
        <f t="shared" si="2"/>
        <v>0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R1'!F578</f>
        <v>6584787380.4700003</v>
      </c>
      <c r="E12" s="292">
        <f>'Reporte Componentes R1'!G578</f>
        <v>408144652.49000001</v>
      </c>
      <c r="F12" s="292">
        <f>'Reporte Componentes R1'!H578</f>
        <v>228232395.09</v>
      </c>
      <c r="G12" s="292">
        <f>'Reporte Componentes R1'!I578</f>
        <v>119582094.92999999</v>
      </c>
      <c r="H12" s="292">
        <f>'Reporte Componentes R1'!J578</f>
        <v>1524594519.48</v>
      </c>
      <c r="I12" s="292">
        <f>'Reporte Componentes R1'!K578</f>
        <v>59897729.049999997</v>
      </c>
      <c r="J12" s="292">
        <f>'CONSOLIDADO_TOTAL RECAUDO'!J12</f>
        <v>-699882713.37000012</v>
      </c>
      <c r="K12" s="295">
        <f>D12-E12-F12-G12-H12-I12-J12</f>
        <v>4944218702.7999992</v>
      </c>
      <c r="L12" s="294">
        <f>'CONSOLIDADO_TOTAL RECAUDO'!L12</f>
        <v>120391083</v>
      </c>
      <c r="M12" s="295">
        <f>K12-L12</f>
        <v>4823827619.7999992</v>
      </c>
      <c r="N12" s="294">
        <f>'Reporte Componentes R1'!L578</f>
        <v>19208887.530000001</v>
      </c>
      <c r="O12" s="295">
        <f t="shared" si="0"/>
        <v>4843036507.329999</v>
      </c>
      <c r="Q12" s="306"/>
      <c r="S12" s="314">
        <v>4</v>
      </c>
      <c r="T12" s="315" t="s">
        <v>13</v>
      </c>
      <c r="U12" s="316">
        <f>'Reporte Componentes R1'!M578</f>
        <v>524397834.05000001</v>
      </c>
      <c r="V12" s="317">
        <f>'Reporte Componentes R1'!N578</f>
        <v>518689495.65999997</v>
      </c>
      <c r="W12" s="317">
        <f>'Reporte Componentes R1'!O578</f>
        <v>2657171147.7400002</v>
      </c>
      <c r="X12" s="317">
        <f>'Reporte Componentes R1'!P578</f>
        <v>1079967383.1800001</v>
      </c>
      <c r="Y12" s="318">
        <f>'Reporte Componentes R1'!Q578</f>
        <v>97939197.519999996</v>
      </c>
      <c r="Z12" s="319">
        <f>L12*-1</f>
        <v>-120391083</v>
      </c>
      <c r="AA12" s="320">
        <f>'Reporte Componentes R1'!R578+'Reporte Componentes R1'!V578+'Reporte Componentes R1'!U578</f>
        <v>-16815.95</v>
      </c>
      <c r="AB12" s="294">
        <f>N12</f>
        <v>19208887.530000001</v>
      </c>
      <c r="AC12" s="320">
        <f>'Reporte Componentes R1'!T578+'Reporte Componentes R1'!W578+'Reporte Componentes R1'!X578+'Reporte Componentes R1'!Y578+'Reporte Componentes R1'!Z578+'Reporte Componentes R1'!S578</f>
        <v>-359.5</v>
      </c>
      <c r="AD12" s="291">
        <f t="shared" si="1"/>
        <v>66070820.100000143</v>
      </c>
      <c r="AE12" s="291">
        <f>'Reporte Componentes R1'!F579</f>
        <v>-633811893.26999998</v>
      </c>
      <c r="AF12" s="322">
        <f t="shared" si="4"/>
        <v>4843036507.3300009</v>
      </c>
      <c r="AG12" s="323">
        <f>(AF12-O12)</f>
        <v>1.9073486328125E-6</v>
      </c>
      <c r="AH12" s="1" t="b">
        <f t="shared" si="2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R1'!F690</f>
        <v>11701157844.9</v>
      </c>
      <c r="E13" s="297">
        <f>'Reporte Componentes R1'!G690</f>
        <v>696844795.02999997</v>
      </c>
      <c r="F13" s="297">
        <f>'Reporte Componentes R1'!H690</f>
        <v>392989640.31</v>
      </c>
      <c r="G13" s="297">
        <f>'Reporte Componentes R1'!I690</f>
        <v>206069582.44999999</v>
      </c>
      <c r="H13" s="297">
        <f>'Reporte Componentes R1'!J690</f>
        <v>2740722350.5100002</v>
      </c>
      <c r="I13" s="297">
        <f>'Reporte Componentes R1'!K690</f>
        <v>104578894.56</v>
      </c>
      <c r="J13" s="292">
        <f>'CONSOLIDADO_TOTAL RECAUDO'!J13</f>
        <v>-82959023.660000086</v>
      </c>
      <c r="K13" s="295">
        <f t="shared" si="3"/>
        <v>7642911605.6999979</v>
      </c>
      <c r="L13" s="294">
        <f>'CONSOLIDADO_TOTAL RECAUDO'!L13</f>
        <v>128990446</v>
      </c>
      <c r="M13" s="298">
        <f>K13-L13</f>
        <v>7513921159.6999979</v>
      </c>
      <c r="N13" s="299">
        <f>'Reporte Componentes R1'!L690</f>
        <v>8997077.0999999996</v>
      </c>
      <c r="O13" s="298">
        <f>M13+N13</f>
        <v>7522918236.7999983</v>
      </c>
      <c r="Q13" s="306"/>
      <c r="S13" s="324">
        <v>5</v>
      </c>
      <c r="T13" s="325" t="s">
        <v>14</v>
      </c>
      <c r="U13" s="296">
        <f>'Reporte Componentes R1'!M690</f>
        <v>916904609.30999994</v>
      </c>
      <c r="V13" s="297">
        <f>'Reporte Componentes R1'!N690</f>
        <v>898289087.46000004</v>
      </c>
      <c r="W13" s="297">
        <f>'Reporte Componentes R1'!O690</f>
        <v>4616985820.4700003</v>
      </c>
      <c r="X13" s="297">
        <f>'Reporte Componentes R1'!P690</f>
        <v>2070281460.76</v>
      </c>
      <c r="Y13" s="289">
        <f>'Reporte Componentes R1'!Q690</f>
        <v>170680332.09999999</v>
      </c>
      <c r="Z13" s="319">
        <f>L13*-1</f>
        <v>-128990446</v>
      </c>
      <c r="AA13" s="320">
        <f>'Reporte Componentes R1'!R690+'Reporte Componentes R1'!V690+'Reporte Componentes R1'!U690</f>
        <v>-147148.47</v>
      </c>
      <c r="AB13" s="294">
        <f>N13</f>
        <v>8997077.0999999996</v>
      </c>
      <c r="AC13" s="320">
        <f>'Reporte Componentes R1'!T690+'Reporte Componentes R1'!W690+'Reporte Componentes R1'!X690+'Reporte Componentes R1'!Y690+'Reporte Componentes R1'!Z690+'Reporte Componentes R1'!S690</f>
        <v>-33.33</v>
      </c>
      <c r="AD13" s="291">
        <f t="shared" si="1"/>
        <v>-1030082522.5999999</v>
      </c>
      <c r="AE13" s="291">
        <f>'Reporte Componentes R1'!F691</f>
        <v>-1113041546.26</v>
      </c>
      <c r="AF13" s="322">
        <f t="shared" si="4"/>
        <v>7522918236.8000011</v>
      </c>
      <c r="AG13" s="326">
        <f>(AF13-O13)</f>
        <v>2.86102294921875E-6</v>
      </c>
      <c r="AH13" s="1" t="b">
        <f t="shared" si="2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67867264177.850006</v>
      </c>
      <c r="E14" s="290">
        <f t="shared" ref="E14:O14" si="5">SUM(E9:E13)</f>
        <v>4293898950.9699993</v>
      </c>
      <c r="F14" s="290">
        <f t="shared" si="5"/>
        <v>2415783744.0499997</v>
      </c>
      <c r="G14" s="290">
        <f t="shared" si="5"/>
        <v>1267785984.75</v>
      </c>
      <c r="H14" s="290">
        <f t="shared" si="5"/>
        <v>16960651475.710001</v>
      </c>
      <c r="I14" s="290">
        <f t="shared" si="5"/>
        <v>636541292.62</v>
      </c>
      <c r="J14" s="290">
        <f t="shared" si="5"/>
        <v>-8466734681.1999998</v>
      </c>
      <c r="K14" s="300">
        <f t="shared" si="5"/>
        <v>50759337410.949997</v>
      </c>
      <c r="L14" s="301">
        <f>SUM(L9:L13)</f>
        <v>859936309</v>
      </c>
      <c r="M14" s="302">
        <f t="shared" si="5"/>
        <v>49899401101.949997</v>
      </c>
      <c r="N14" s="301">
        <f t="shared" si="5"/>
        <v>82003519.900000006</v>
      </c>
      <c r="O14" s="302">
        <f t="shared" si="5"/>
        <v>49981404621.849998</v>
      </c>
      <c r="P14" s="329"/>
      <c r="Q14" s="306"/>
      <c r="S14" s="327"/>
      <c r="T14" s="328" t="s">
        <v>2</v>
      </c>
      <c r="U14" s="330">
        <f>SUM(U9:U13)</f>
        <v>5583782732.2900009</v>
      </c>
      <c r="V14" s="330">
        <f t="shared" ref="V14:AF14" si="6">SUM(V9:V13)</f>
        <v>5469288256.8999996</v>
      </c>
      <c r="W14" s="330">
        <f t="shared" si="6"/>
        <v>26423483963.970005</v>
      </c>
      <c r="X14" s="330">
        <f t="shared" si="6"/>
        <v>10375665249.140001</v>
      </c>
      <c r="Y14" s="330">
        <f t="shared" si="6"/>
        <v>1039457765.26</v>
      </c>
      <c r="Z14" s="290">
        <f t="shared" si="6"/>
        <v>-859936309</v>
      </c>
      <c r="AA14" s="290">
        <f t="shared" si="6"/>
        <v>156734.07999999999</v>
      </c>
      <c r="AB14" s="290">
        <f t="shared" si="6"/>
        <v>82003519.900000006</v>
      </c>
      <c r="AC14" s="290">
        <f t="shared" si="6"/>
        <v>19.569999999999979</v>
      </c>
      <c r="AD14" s="290">
        <f>SUM(AD9:AD13)</f>
        <v>1867502689.7400002</v>
      </c>
      <c r="AE14" s="290">
        <f>SUM(AE9:AE13)</f>
        <v>-6599231991.460001</v>
      </c>
      <c r="AF14" s="331">
        <f t="shared" si="6"/>
        <v>49981404621.850006</v>
      </c>
      <c r="AG14" s="332">
        <f>SUM(AG9:AG13)</f>
        <v>-9.5367431640625E-7</v>
      </c>
      <c r="AH14" s="1" t="b">
        <f t="shared" si="2"/>
        <v>0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48891677967.560005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75" thickBot="1" x14ac:dyDescent="0.25">
      <c r="B28" s="303">
        <v>1</v>
      </c>
      <c r="C28" s="304" t="s">
        <v>10</v>
      </c>
      <c r="D28" s="291">
        <f>'Rem. Anticipos R2'!E53</f>
        <v>97091142.519999996</v>
      </c>
      <c r="E28" s="292">
        <f>'Rem. Anticipos R2'!F53</f>
        <v>6976462.0700000003</v>
      </c>
      <c r="F28" s="292">
        <f>'Rem. Anticipos R2'!G53</f>
        <v>3989520.43</v>
      </c>
      <c r="G28" s="292">
        <f>'Rem. Anticipos R2'!H53</f>
        <v>1892052.01</v>
      </c>
      <c r="H28" s="292">
        <f>'Rem. Anticipos R2'!I53</f>
        <v>21816860.75</v>
      </c>
      <c r="I28" s="292">
        <f>'Rem. Anticipos R2'!J53</f>
        <v>885223.84</v>
      </c>
      <c r="J28" s="289">
        <v>0</v>
      </c>
      <c r="K28" s="293">
        <f>D28-E28-F28-G28-H28-I28-J28</f>
        <v>61531023.419999972</v>
      </c>
      <c r="L28" s="294">
        <v>0</v>
      </c>
      <c r="M28" s="293">
        <f>K28-L28</f>
        <v>61531023.419999972</v>
      </c>
      <c r="N28" s="294">
        <f>'Rem. Anticipos R2'!K53</f>
        <v>0</v>
      </c>
      <c r="O28" s="293">
        <f>M28+N28</f>
        <v>61531023.419999972</v>
      </c>
      <c r="Q28" s="306"/>
      <c r="S28" s="303">
        <v>1</v>
      </c>
      <c r="T28" s="304" t="s">
        <v>10</v>
      </c>
      <c r="U28" s="307">
        <f>'Rem. Anticipos R2'!L53</f>
        <v>8066881.2199999997</v>
      </c>
      <c r="V28" s="308">
        <f>'Rem. Anticipos R2'!M53</f>
        <v>7537523.3099999996</v>
      </c>
      <c r="W28" s="308">
        <f>'Rem. Anticipos R2'!N53</f>
        <v>33217967.449999999</v>
      </c>
      <c r="X28" s="308">
        <f>'Rem. Anticipos R2'!O53</f>
        <v>19118696.010000002</v>
      </c>
      <c r="Y28" s="309">
        <f>'Rem. Anticipos R2'!P53</f>
        <v>1269265.17</v>
      </c>
      <c r="Z28" s="310">
        <f>L28*-1</f>
        <v>0</v>
      </c>
      <c r="AA28" s="311">
        <f>'Rem. Anticipos R2'!Q53</f>
        <v>-0.55000000000000004</v>
      </c>
      <c r="AB28" s="294">
        <f>N28</f>
        <v>0</v>
      </c>
      <c r="AC28" s="311">
        <f>'Rem. Anticipos R2'!R53</f>
        <v>0</v>
      </c>
      <c r="AD28" s="291">
        <f>-J28+AE28</f>
        <v>-7679309.1900000004</v>
      </c>
      <c r="AE28" s="291">
        <f>'Rem. Anticipos R2'!E54</f>
        <v>-7679309.1900000004</v>
      </c>
      <c r="AF28" s="313">
        <f>SUM(U28:AD28)</f>
        <v>61531023.420000002</v>
      </c>
      <c r="AG28" s="311">
        <f>(AF28-O28)</f>
        <v>2.9802322387695313E-8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R2'!E161</f>
        <v>55676152.700000003</v>
      </c>
      <c r="E29" s="292">
        <f>'Rem. Anticipos R2'!F161</f>
        <v>4128221.21</v>
      </c>
      <c r="F29" s="292">
        <f>'Rem. Anticipos R2'!G161</f>
        <v>2450514.75</v>
      </c>
      <c r="G29" s="292">
        <f>'Rem. Anticipos R2'!H161</f>
        <v>991071.1</v>
      </c>
      <c r="H29" s="292">
        <f>'Rem. Anticipos R2'!I161</f>
        <v>18977352.940000001</v>
      </c>
      <c r="I29" s="292">
        <f>'Rem. Anticipos R2'!J161</f>
        <v>633591.15</v>
      </c>
      <c r="J29" s="288">
        <v>0</v>
      </c>
      <c r="K29" s="295">
        <f t="shared" ref="K29:K31" si="7">D29-E29-F29-G29-H29-I29-J29</f>
        <v>28495401.550000001</v>
      </c>
      <c r="L29" s="294">
        <v>0</v>
      </c>
      <c r="M29" s="295">
        <f>K29-L29</f>
        <v>28495401.550000001</v>
      </c>
      <c r="N29" s="294">
        <f>'Rem. Anticipos R2'!K161</f>
        <v>0</v>
      </c>
      <c r="O29" s="295">
        <f t="shared" ref="O29:O32" si="8">M29+N29</f>
        <v>28495401.550000001</v>
      </c>
      <c r="Q29" s="306"/>
      <c r="S29" s="314">
        <v>2</v>
      </c>
      <c r="T29" s="315" t="s">
        <v>11</v>
      </c>
      <c r="U29" s="316">
        <f>'Rem. Anticipos R2'!L161</f>
        <v>5929589.2400000002</v>
      </c>
      <c r="V29" s="317">
        <f>'Rem. Anticipos R2'!M161</f>
        <v>5758615.9699999997</v>
      </c>
      <c r="W29" s="317">
        <f>'Rem. Anticipos R2'!N161</f>
        <v>23292145.649999999</v>
      </c>
      <c r="X29" s="317">
        <f>'Rem. Anticipos R2'!O161</f>
        <v>8749581.6400000006</v>
      </c>
      <c r="Y29" s="318">
        <f>'Rem. Anticipos R2'!P161</f>
        <v>886619.66</v>
      </c>
      <c r="Z29" s="319">
        <f>L29*-1</f>
        <v>0</v>
      </c>
      <c r="AA29" s="320">
        <f>'Rem. Anticipos R2'!Q161</f>
        <v>144.25</v>
      </c>
      <c r="AB29" s="294">
        <f>N29</f>
        <v>0</v>
      </c>
      <c r="AC29" s="320">
        <f>'Rem. Anticipos R2'!R161</f>
        <v>0</v>
      </c>
      <c r="AD29" s="291">
        <f>-J29+AE29</f>
        <v>-16121294.859999999</v>
      </c>
      <c r="AE29" s="291">
        <f>'Rem. Anticipos R2'!E162</f>
        <v>-16121294.859999999</v>
      </c>
      <c r="AF29" s="322">
        <f>SUM(U29:AD29)</f>
        <v>28495401.549999997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R2'!E279</f>
        <v>10032919.670000002</v>
      </c>
      <c r="E30" s="292">
        <f>'Rem. Anticipos R2'!F279</f>
        <v>701731.13</v>
      </c>
      <c r="F30" s="292">
        <f>'Rem. Anticipos R2'!G279</f>
        <v>402850.38</v>
      </c>
      <c r="G30" s="292">
        <f>'Rem. Anticipos R2'!H279</f>
        <v>200945.85</v>
      </c>
      <c r="H30" s="292">
        <f>'Rem. Anticipos R2'!I279</f>
        <v>2080358.83</v>
      </c>
      <c r="I30" s="292">
        <f>'Rem. Anticipos R2'!J279</f>
        <v>75750.34</v>
      </c>
      <c r="J30" s="288">
        <v>0</v>
      </c>
      <c r="K30" s="295">
        <f t="shared" si="7"/>
        <v>6571283.1400000006</v>
      </c>
      <c r="L30" s="294">
        <v>0</v>
      </c>
      <c r="M30" s="295">
        <f>K30-L30</f>
        <v>6571283.1400000006</v>
      </c>
      <c r="N30" s="294">
        <f>'Rem. Anticipos R2'!K279</f>
        <v>22742.37</v>
      </c>
      <c r="O30" s="295">
        <f t="shared" si="8"/>
        <v>6594025.5100000007</v>
      </c>
      <c r="Q30" s="306"/>
      <c r="S30" s="314">
        <v>3</v>
      </c>
      <c r="T30" s="315" t="s">
        <v>12</v>
      </c>
      <c r="U30" s="316">
        <f>'Rem. Anticipos R2'!L279</f>
        <v>672022.47</v>
      </c>
      <c r="V30" s="317">
        <f>'Rem. Anticipos R2'!M279</f>
        <v>686444.88</v>
      </c>
      <c r="W30" s="317">
        <f>'Rem. Anticipos R2'!N279</f>
        <v>3594429</v>
      </c>
      <c r="X30" s="317">
        <f>'Rem. Anticipos R2'!O279</f>
        <v>1748778.82</v>
      </c>
      <c r="Y30" s="318">
        <f>'Rem. Anticipos R2'!P279</f>
        <v>105523.93999999999</v>
      </c>
      <c r="Z30" s="319">
        <f>L30*-1</f>
        <v>0</v>
      </c>
      <c r="AA30" s="320">
        <f>'Rem. Anticipos R2'!Q279</f>
        <v>14.57</v>
      </c>
      <c r="AB30" s="294">
        <f>N30</f>
        <v>22742.37</v>
      </c>
      <c r="AC30" s="320">
        <f>'Rem. Anticipos R2'!R279</f>
        <v>0</v>
      </c>
      <c r="AD30" s="291">
        <f t="shared" ref="AD30:AD32" si="10">-J30+AE30</f>
        <v>-235930.54</v>
      </c>
      <c r="AE30" s="291">
        <f>'Rem. Anticipos R2'!E280</f>
        <v>-235930.54</v>
      </c>
      <c r="AF30" s="322">
        <f>SUM(U30:AD30)</f>
        <v>6594025.5100000007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R2'!E390</f>
        <v>60774931.109999992</v>
      </c>
      <c r="E31" s="292">
        <f>'Rem. Anticipos R2'!F390</f>
        <v>3643585.71</v>
      </c>
      <c r="F31" s="292">
        <f>'Rem. Anticipos R2'!G390</f>
        <v>2134528.5099999998</v>
      </c>
      <c r="G31" s="292">
        <f>'Rem. Anticipos R2'!H390</f>
        <v>922327.31</v>
      </c>
      <c r="H31" s="292">
        <f>'Rem. Anticipos R2'!I390</f>
        <v>19101300.940000001</v>
      </c>
      <c r="I31" s="292">
        <f>'Rem. Anticipos R2'!J390</f>
        <v>695389.45</v>
      </c>
      <c r="J31" s="288">
        <v>0</v>
      </c>
      <c r="K31" s="295">
        <f t="shared" si="7"/>
        <v>34277799.189999983</v>
      </c>
      <c r="L31" s="294">
        <v>0</v>
      </c>
      <c r="M31" s="295">
        <f>K31-L31</f>
        <v>34277799.189999983</v>
      </c>
      <c r="N31" s="294">
        <f>'Rem. Anticipos R2'!K390</f>
        <v>0</v>
      </c>
      <c r="O31" s="295">
        <f t="shared" si="8"/>
        <v>34277799.189999983</v>
      </c>
      <c r="Q31" s="306"/>
      <c r="S31" s="314">
        <v>4</v>
      </c>
      <c r="T31" s="315" t="s">
        <v>13</v>
      </c>
      <c r="U31" s="316">
        <f>'Rem. Anticipos R2'!L390</f>
        <v>6006974.5499999998</v>
      </c>
      <c r="V31" s="317">
        <f>'Rem. Anticipos R2'!M390</f>
        <v>5941622.6399999997</v>
      </c>
      <c r="W31" s="317">
        <f>'Rem. Anticipos R2'!N390</f>
        <v>26384823.629999999</v>
      </c>
      <c r="X31" s="317">
        <f>'Rem. Anticipos R2'!O390</f>
        <v>9973356.7599999998</v>
      </c>
      <c r="Y31" s="318">
        <f>'Rem. Anticipos R2'!P390</f>
        <v>1107550.0900000001</v>
      </c>
      <c r="Z31" s="319">
        <f>L31*-1</f>
        <v>0</v>
      </c>
      <c r="AA31" s="320">
        <f>'Rem. Anticipos R2'!Q390</f>
        <v>-85.27</v>
      </c>
      <c r="AB31" s="294">
        <f>N31</f>
        <v>0</v>
      </c>
      <c r="AC31" s="320">
        <f>'Rem. Anticipos R2'!R390</f>
        <v>0</v>
      </c>
      <c r="AD31" s="291">
        <f t="shared" si="10"/>
        <v>-15136443.210000001</v>
      </c>
      <c r="AE31" s="291">
        <f>'Rem. Anticipos R2'!E391</f>
        <v>-15136443.210000001</v>
      </c>
      <c r="AF31" s="322">
        <f>SUM(U31:AD31)</f>
        <v>34277799.189999998</v>
      </c>
      <c r="AG31" s="323">
        <f t="shared" si="11"/>
        <v>1.4901161193847656E-8</v>
      </c>
      <c r="AH31" s="1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R2'!E474</f>
        <v>23423861.739999998</v>
      </c>
      <c r="E32" s="297">
        <f>'Rem. Anticipos R2'!F474</f>
        <v>1434797.19</v>
      </c>
      <c r="F32" s="297">
        <f>'Rem. Anticipos R2'!G474</f>
        <v>822131.91</v>
      </c>
      <c r="G32" s="297">
        <f>'Rem. Anticipos R2'!H474</f>
        <v>382101.97</v>
      </c>
      <c r="H32" s="297">
        <f>'Rem. Anticipos R2'!I474</f>
        <v>4012967.88</v>
      </c>
      <c r="I32" s="297">
        <f>'Rem. Anticipos R2'!J474</f>
        <v>149799.45000000001</v>
      </c>
      <c r="J32" s="289">
        <v>0</v>
      </c>
      <c r="K32" s="295">
        <f>D32-E32-F32-G32-H32-I32-J32</f>
        <v>16622063.34</v>
      </c>
      <c r="L32" s="294">
        <v>0</v>
      </c>
      <c r="M32" s="298">
        <f>K32-L32</f>
        <v>16622063.34</v>
      </c>
      <c r="N32" s="299">
        <f>'Rem. Anticipos R2'!K474</f>
        <v>0</v>
      </c>
      <c r="O32" s="298">
        <f t="shared" si="8"/>
        <v>16622063.34</v>
      </c>
      <c r="Q32" s="306"/>
      <c r="S32" s="324">
        <v>5</v>
      </c>
      <c r="T32" s="325" t="s">
        <v>14</v>
      </c>
      <c r="U32" s="296">
        <f>'Rem. Anticipos R2'!L474</f>
        <v>1255063.1599999999</v>
      </c>
      <c r="V32" s="297">
        <f>'Rem. Anticipos R2'!M474</f>
        <v>1364790.51</v>
      </c>
      <c r="W32" s="297">
        <f>'Rem. Anticipos R2'!N474</f>
        <v>5825494.6100000003</v>
      </c>
      <c r="X32" s="297">
        <f>'Rem. Anticipos R2'!O474</f>
        <v>4273227.9400000004</v>
      </c>
      <c r="Y32" s="289">
        <f>'Rem. Anticipos R2'!P474</f>
        <v>211847.59</v>
      </c>
      <c r="Z32" s="319">
        <f>L32*-1</f>
        <v>0</v>
      </c>
      <c r="AA32" s="320">
        <f>'Rem. Anticipos R2'!Q474</f>
        <v>90.03</v>
      </c>
      <c r="AB32" s="294">
        <f>N32</f>
        <v>0</v>
      </c>
      <c r="AC32" s="320">
        <f>'Rem. Anticipos R2'!R474</f>
        <v>0</v>
      </c>
      <c r="AD32" s="291">
        <f t="shared" si="10"/>
        <v>3691549.5</v>
      </c>
      <c r="AE32" s="291">
        <f>'Rem. Anticipos R2'!E475</f>
        <v>3691549.5</v>
      </c>
      <c r="AF32" s="322">
        <f>SUM(U32:AD32)</f>
        <v>16622063.340000002</v>
      </c>
      <c r="AG32" s="326">
        <f>(AF32-O32)</f>
        <v>1.862645149230957E-9</v>
      </c>
      <c r="AH32" s="1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246999007.73999998</v>
      </c>
      <c r="E33" s="290">
        <f>SUM(E28:E32)</f>
        <v>16884797.310000002</v>
      </c>
      <c r="F33" s="290">
        <f t="shared" ref="F33:O33" si="12">SUM(F28:F32)</f>
        <v>9799545.9800000004</v>
      </c>
      <c r="G33" s="290">
        <f t="shared" si="12"/>
        <v>4388498.24</v>
      </c>
      <c r="H33" s="290">
        <f t="shared" si="12"/>
        <v>65988841.339999996</v>
      </c>
      <c r="I33" s="290">
        <f t="shared" si="12"/>
        <v>2439754.2300000004</v>
      </c>
      <c r="J33" s="290">
        <f t="shared" si="12"/>
        <v>0</v>
      </c>
      <c r="K33" s="300">
        <f t="shared" si="12"/>
        <v>147497570.63999996</v>
      </c>
      <c r="L33" s="301">
        <f t="shared" si="12"/>
        <v>0</v>
      </c>
      <c r="M33" s="302">
        <f t="shared" si="12"/>
        <v>147497570.63999996</v>
      </c>
      <c r="N33" s="301">
        <f t="shared" si="12"/>
        <v>22742.37</v>
      </c>
      <c r="O33" s="302">
        <f t="shared" si="12"/>
        <v>147520313.00999996</v>
      </c>
      <c r="P33" s="329"/>
      <c r="Q33" s="306"/>
      <c r="S33" s="327"/>
      <c r="T33" s="328" t="s">
        <v>2</v>
      </c>
      <c r="U33" s="330">
        <f>SUM(U28:U32)</f>
        <v>21930530.640000001</v>
      </c>
      <c r="V33" s="330">
        <f t="shared" ref="V33:AG33" si="13">SUM(V28:V32)</f>
        <v>21288997.310000002</v>
      </c>
      <c r="W33" s="330">
        <f t="shared" si="13"/>
        <v>92314860.339999989</v>
      </c>
      <c r="X33" s="330">
        <f t="shared" si="13"/>
        <v>43863641.170000002</v>
      </c>
      <c r="Y33" s="330">
        <f t="shared" si="13"/>
        <v>3580806.45</v>
      </c>
      <c r="Z33" s="290">
        <f t="shared" si="13"/>
        <v>0</v>
      </c>
      <c r="AA33" s="290">
        <f t="shared" si="13"/>
        <v>163.02999999999997</v>
      </c>
      <c r="AB33" s="290">
        <f t="shared" si="13"/>
        <v>22742.37</v>
      </c>
      <c r="AC33" s="290">
        <f t="shared" ref="AC33" si="14">SUM(AC28:AC32)</f>
        <v>0</v>
      </c>
      <c r="AD33" s="290">
        <f>SUM(AD28:AD32)</f>
        <v>-35481428.299999997</v>
      </c>
      <c r="AE33" s="290">
        <f>SUM(AE28:AE32)</f>
        <v>-35481428.299999997</v>
      </c>
      <c r="AF33" s="331">
        <f t="shared" si="13"/>
        <v>147520313.00999999</v>
      </c>
      <c r="AG33" s="332">
        <f t="shared" si="13"/>
        <v>4.2840838432312012E-8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182978835.90999997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75" thickBot="1" x14ac:dyDescent="0.25">
      <c r="B47" s="303">
        <v>1</v>
      </c>
      <c r="C47" s="304" t="s">
        <v>10</v>
      </c>
      <c r="D47" s="291">
        <f>'Reporte Componentes R1'!F87</f>
        <v>49580</v>
      </c>
      <c r="E47" s="292">
        <f>'Reporte Componentes R1'!G87</f>
        <v>2007.44</v>
      </c>
      <c r="F47" s="292">
        <f>'Reporte Componentes R1'!H87</f>
        <v>1133.3800000000001</v>
      </c>
      <c r="G47" s="292">
        <f>'Reporte Componentes R1'!I87</f>
        <v>594.88</v>
      </c>
      <c r="H47" s="292">
        <f>'Reporte Componentes R1'!J87</f>
        <v>0</v>
      </c>
      <c r="I47" s="292">
        <f>'Reporte Componentes R1'!K87</f>
        <v>0</v>
      </c>
      <c r="J47" s="289">
        <v>0</v>
      </c>
      <c r="K47" s="293">
        <f>D47-E47-F47-G47-H47-I47-J47</f>
        <v>45844.3</v>
      </c>
      <c r="L47" s="294">
        <v>0</v>
      </c>
      <c r="M47" s="293">
        <f>K47-L47</f>
        <v>45844.3</v>
      </c>
      <c r="N47" s="294">
        <f>'Reporte Componentes R1'!L87</f>
        <v>0</v>
      </c>
      <c r="O47" s="293">
        <f>M47+N47</f>
        <v>45844.3</v>
      </c>
      <c r="Q47" s="306"/>
      <c r="S47" s="303">
        <v>1</v>
      </c>
      <c r="T47" s="304" t="s">
        <v>10</v>
      </c>
      <c r="U47" s="307">
        <f>'Reporte Componentes R1'!M87</f>
        <v>0</v>
      </c>
      <c r="V47" s="308">
        <f>'Reporte Componentes R1'!N87</f>
        <v>0</v>
      </c>
      <c r="W47" s="308">
        <f>'Reporte Componentes R1'!O87</f>
        <v>0</v>
      </c>
      <c r="X47" s="308">
        <f>'Reporte Componentes R1'!P87</f>
        <v>5482.6</v>
      </c>
      <c r="Y47" s="309">
        <f>'Reporte Componentes R1'!Q87</f>
        <v>0</v>
      </c>
      <c r="Z47" s="310">
        <f>-L47</f>
        <v>0</v>
      </c>
      <c r="AA47" s="320">
        <f>'Reporte Componentes R1'!R87+'Reporte Componentes R1'!V87+'Reporte Componentes R1'!U87</f>
        <v>-2.61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40364.31</v>
      </c>
      <c r="AE47" s="291">
        <f>'Reporte Componentes R1'!F88</f>
        <v>40364.31</v>
      </c>
      <c r="AF47" s="313">
        <f>SUM(U47:AD47)</f>
        <v>45844.299999999996</v>
      </c>
      <c r="AG47" s="311">
        <f>(AF47-O47)</f>
        <v>-7.2759576141834259E-12</v>
      </c>
      <c r="AH47" s="1" t="b">
        <f>INT(AG47)=0</f>
        <v>0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R1'!F266</f>
        <v>56078860</v>
      </c>
      <c r="E48" s="292">
        <f>'Reporte Componentes R1'!G266</f>
        <v>7696969.2400000002</v>
      </c>
      <c r="F48" s="292">
        <f>'Reporte Componentes R1'!H266</f>
        <v>4351440.59</v>
      </c>
      <c r="G48" s="292">
        <f>'Reporte Componentes R1'!I266</f>
        <v>2306516.2999999998</v>
      </c>
      <c r="H48" s="292">
        <f>'Reporte Componentes R1'!J266</f>
        <v>107263.69</v>
      </c>
      <c r="I48" s="292">
        <f>'Reporte Componentes R1'!K266</f>
        <v>3376.45</v>
      </c>
      <c r="J48" s="288">
        <v>0</v>
      </c>
      <c r="K48" s="295">
        <f t="shared" ref="K48:K51" si="15">D48-E48-F48-G48-H48-I48-J48</f>
        <v>41613293.730000004</v>
      </c>
      <c r="L48" s="294">
        <v>0</v>
      </c>
      <c r="M48" s="295">
        <f>K48-L48</f>
        <v>41613293.730000004</v>
      </c>
      <c r="N48" s="294">
        <f>'Reporte Componentes R1'!L266</f>
        <v>0</v>
      </c>
      <c r="O48" s="295">
        <f t="shared" ref="O48:O51" si="16">M48+N48</f>
        <v>41613293.730000004</v>
      </c>
      <c r="Q48" s="306"/>
      <c r="S48" s="314">
        <v>2</v>
      </c>
      <c r="T48" s="315" t="s">
        <v>11</v>
      </c>
      <c r="U48" s="316">
        <f>'Reporte Componentes R1'!M266</f>
        <v>29617.98</v>
      </c>
      <c r="V48" s="317">
        <f>'Reporte Componentes R1'!N266</f>
        <v>33795.33</v>
      </c>
      <c r="W48" s="317">
        <f>'Reporte Componentes R1'!O266</f>
        <v>157592.63</v>
      </c>
      <c r="X48" s="317">
        <f>'Reporte Componentes R1'!P266</f>
        <v>15452175.380000001</v>
      </c>
      <c r="Y48" s="318">
        <f>'Reporte Componentes R1'!Q266</f>
        <v>5508.95</v>
      </c>
      <c r="Z48" s="319">
        <f>-L48</f>
        <v>0</v>
      </c>
      <c r="AA48" s="320">
        <f>'Reporte Componentes R1'!R266+'Reporte Componentes R1'!V266+'Reporte Componentes R1'!U266</f>
        <v>2.83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</v>
      </c>
      <c r="AD48" s="291">
        <f t="shared" ref="AD48:AD51" si="17">-J48+AE48</f>
        <v>25934600.629999999</v>
      </c>
      <c r="AE48" s="291">
        <f>'Reporte Componentes R1'!F267</f>
        <v>25934600.629999999</v>
      </c>
      <c r="AF48" s="322">
        <f>SUM(U48:AD48)</f>
        <v>41613293.729999997</v>
      </c>
      <c r="AG48" s="323">
        <f>(AF48-O48)</f>
        <v>-7.4505805969238281E-9</v>
      </c>
      <c r="AH48" s="1" t="b">
        <f t="shared" ref="AH48:AH52" si="18">INT(AG48)=0</f>
        <v>0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R1'!F427</f>
        <v>1307680</v>
      </c>
      <c r="E49" s="292">
        <f>'Reporte Componentes R1'!G427</f>
        <v>147598.38</v>
      </c>
      <c r="F49" s="292">
        <f>'Reporte Componentes R1'!H427</f>
        <v>66140.960000000006</v>
      </c>
      <c r="G49" s="292">
        <f>'Reporte Componentes R1'!I427</f>
        <v>37291.57</v>
      </c>
      <c r="H49" s="292">
        <f>'Reporte Componentes R1'!J427</f>
        <v>33572.080000000002</v>
      </c>
      <c r="I49" s="292">
        <f>'Reporte Componentes R1'!K427</f>
        <v>682.45</v>
      </c>
      <c r="J49" s="288">
        <v>0</v>
      </c>
      <c r="K49" s="295">
        <f t="shared" si="15"/>
        <v>1022394.5600000002</v>
      </c>
      <c r="L49" s="294">
        <v>0</v>
      </c>
      <c r="M49" s="295">
        <f>K49-L49</f>
        <v>1022394.5600000002</v>
      </c>
      <c r="N49" s="294">
        <f>'Reporte Componentes R1'!L427</f>
        <v>0</v>
      </c>
      <c r="O49" s="295">
        <f t="shared" si="16"/>
        <v>1022394.5600000002</v>
      </c>
      <c r="Q49" s="306"/>
      <c r="S49" s="314">
        <v>3</v>
      </c>
      <c r="T49" s="315" t="s">
        <v>12</v>
      </c>
      <c r="U49" s="316">
        <f>'Reporte Componentes R1'!M427</f>
        <v>5991.23</v>
      </c>
      <c r="V49" s="317">
        <f>'Reporte Componentes R1'!N427</f>
        <v>7293.25</v>
      </c>
      <c r="W49" s="317">
        <f>'Reporte Componentes R1'!O427</f>
        <v>33919.089999999997</v>
      </c>
      <c r="X49" s="317">
        <f>'Reporte Componentes R1'!P427</f>
        <v>346942.9</v>
      </c>
      <c r="Y49" s="318">
        <f>'Reporte Componentes R1'!Q427</f>
        <v>1113.3699999999999</v>
      </c>
      <c r="Z49" s="319">
        <f>-L49</f>
        <v>0</v>
      </c>
      <c r="AA49" s="320">
        <f>'Reporte Componentes R1'!R427+'Reporte Componentes R1'!V427+'Reporte Componentes R1'!U427</f>
        <v>-7.95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0.7</v>
      </c>
      <c r="AD49" s="291">
        <f t="shared" si="17"/>
        <v>627141.97</v>
      </c>
      <c r="AE49" s="291">
        <f>'Reporte Componentes R1'!F428</f>
        <v>627141.97</v>
      </c>
      <c r="AF49" s="322">
        <f t="shared" ref="AF49:AF51" si="19">SUM(U49:AD49)</f>
        <v>1022394.56</v>
      </c>
      <c r="AG49" s="323">
        <f t="shared" ref="AG49:AG51" si="20">(AF49-O49)</f>
        <v>-1.1641532182693481E-10</v>
      </c>
      <c r="AH49" s="1" t="b">
        <f t="shared" si="18"/>
        <v>0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R1'!F580</f>
        <v>3610007</v>
      </c>
      <c r="E50" s="292">
        <f>'Reporte Componentes R1'!G580</f>
        <v>257262.75</v>
      </c>
      <c r="F50" s="292">
        <f>'Reporte Componentes R1'!H580</f>
        <v>144117.51999999999</v>
      </c>
      <c r="G50" s="292">
        <f>'Reporte Componentes R1'!I580</f>
        <v>78318.55</v>
      </c>
      <c r="H50" s="292">
        <f>'Reporte Componentes R1'!J580</f>
        <v>797142.56</v>
      </c>
      <c r="I50" s="292">
        <f>'Reporte Componentes R1'!K580</f>
        <v>26303.65</v>
      </c>
      <c r="J50" s="288">
        <v>0</v>
      </c>
      <c r="K50" s="295">
        <f t="shared" si="15"/>
        <v>2306861.9700000002</v>
      </c>
      <c r="L50" s="294">
        <v>0</v>
      </c>
      <c r="M50" s="295">
        <f>K50-L50</f>
        <v>2306861.9700000002</v>
      </c>
      <c r="N50" s="294">
        <f>'Reporte Componentes R1'!L580</f>
        <v>0</v>
      </c>
      <c r="O50" s="295">
        <f t="shared" si="16"/>
        <v>2306861.9700000002</v>
      </c>
      <c r="Q50" s="306"/>
      <c r="S50" s="314">
        <v>4</v>
      </c>
      <c r="T50" s="315" t="s">
        <v>13</v>
      </c>
      <c r="U50" s="316">
        <f>'Reporte Componentes R1'!M580</f>
        <v>230741.2</v>
      </c>
      <c r="V50" s="317">
        <f>'Reporte Componentes R1'!N580</f>
        <v>257553.6</v>
      </c>
      <c r="W50" s="317">
        <f>'Reporte Componentes R1'!O580</f>
        <v>1317195.17</v>
      </c>
      <c r="X50" s="317">
        <f>'Reporte Componentes R1'!P580</f>
        <v>682944.24</v>
      </c>
      <c r="Y50" s="318">
        <f>'Reporte Componentes R1'!Q580</f>
        <v>44789.86</v>
      </c>
      <c r="Z50" s="319">
        <f>-L50</f>
        <v>0</v>
      </c>
      <c r="AA50" s="320">
        <f>'Reporte Componentes R1'!R580+'Reporte Componentes R1'!V580+'Reporte Componentes R1'!U580</f>
        <v>4.71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-88.74</v>
      </c>
      <c r="AD50" s="291">
        <f t="shared" si="17"/>
        <v>-226278.07</v>
      </c>
      <c r="AE50" s="291">
        <f>'Reporte Componentes R1'!F581</f>
        <v>-226278.07</v>
      </c>
      <c r="AF50" s="322">
        <f t="shared" si="19"/>
        <v>2306861.9699999997</v>
      </c>
      <c r="AG50" s="323">
        <f t="shared" si="20"/>
        <v>-4.6566128730773926E-10</v>
      </c>
      <c r="AH50" s="1" t="b">
        <f t="shared" si="18"/>
        <v>0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1">SUM(D47:D51)</f>
        <v>61046127</v>
      </c>
      <c r="E52" s="290">
        <f t="shared" si="21"/>
        <v>8103837.8100000005</v>
      </c>
      <c r="F52" s="290">
        <f t="shared" si="21"/>
        <v>4562832.4499999993</v>
      </c>
      <c r="G52" s="290">
        <f t="shared" ref="G52" si="22">SUM(G47:G51)</f>
        <v>2422721.2999999993</v>
      </c>
      <c r="H52" s="290">
        <f t="shared" si="21"/>
        <v>937978.33000000007</v>
      </c>
      <c r="I52" s="290">
        <f t="shared" si="21"/>
        <v>30362.550000000003</v>
      </c>
      <c r="J52" s="290">
        <f t="shared" si="21"/>
        <v>0</v>
      </c>
      <c r="K52" s="300">
        <f t="shared" si="21"/>
        <v>44988394.560000002</v>
      </c>
      <c r="L52" s="301">
        <f t="shared" si="21"/>
        <v>0</v>
      </c>
      <c r="M52" s="302">
        <f t="shared" si="21"/>
        <v>44988394.560000002</v>
      </c>
      <c r="N52" s="301">
        <f t="shared" si="21"/>
        <v>0</v>
      </c>
      <c r="O52" s="302">
        <f t="shared" si="21"/>
        <v>44988394.560000002</v>
      </c>
      <c r="P52" s="329"/>
      <c r="Q52" s="306"/>
      <c r="S52" s="327"/>
      <c r="T52" s="328" t="s">
        <v>2</v>
      </c>
      <c r="U52" s="330">
        <f>SUM(U47:U51)</f>
        <v>266350.41000000003</v>
      </c>
      <c r="V52" s="330">
        <f t="shared" ref="V52:AG52" si="23">SUM(V47:V51)</f>
        <v>298642.18</v>
      </c>
      <c r="W52" s="330">
        <f t="shared" si="23"/>
        <v>1508706.89</v>
      </c>
      <c r="X52" s="330">
        <f t="shared" si="23"/>
        <v>16487545.120000001</v>
      </c>
      <c r="Y52" s="330">
        <f t="shared" si="23"/>
        <v>51412.18</v>
      </c>
      <c r="Z52" s="290">
        <f t="shared" si="23"/>
        <v>0</v>
      </c>
      <c r="AA52" s="290">
        <f t="shared" si="23"/>
        <v>-3.0200000000000005</v>
      </c>
      <c r="AB52" s="290">
        <f t="shared" si="23"/>
        <v>0</v>
      </c>
      <c r="AC52" s="290">
        <f t="shared" si="23"/>
        <v>-88.039999999999992</v>
      </c>
      <c r="AD52" s="290">
        <f>SUM(AD47:AD51)</f>
        <v>26375828.839999996</v>
      </c>
      <c r="AE52" s="290">
        <f>SUM(AE47:AE51)</f>
        <v>26375828.839999996</v>
      </c>
      <c r="AF52" s="331">
        <f t="shared" si="23"/>
        <v>44988394.559999995</v>
      </c>
      <c r="AG52" s="332">
        <f t="shared" si="23"/>
        <v>-8.0399331636726856E-9</v>
      </c>
      <c r="AH52" s="1" t="b">
        <f t="shared" si="18"/>
        <v>0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18612656.780000001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R4'!D79</f>
        <v>-15533961.699999999</v>
      </c>
      <c r="E66" s="292">
        <f>'Reversion Pagos R4'!E79</f>
        <v>-793724.01</v>
      </c>
      <c r="F66" s="292">
        <f>'Reversion Pagos R4'!F79</f>
        <v>-444038.25</v>
      </c>
      <c r="G66" s="292">
        <f>'Reversion Pagos R4'!G79</f>
        <v>-235437.54</v>
      </c>
      <c r="H66" s="292">
        <f>'Reversion Pagos R4'!H79</f>
        <v>-3814145.68</v>
      </c>
      <c r="I66" s="292">
        <f>'Reversion Pagos R4'!I79</f>
        <v>-140234.1</v>
      </c>
      <c r="J66" s="309">
        <v>0</v>
      </c>
      <c r="K66" s="293">
        <f>D66-E66-F66-G66-H66-I66-J66</f>
        <v>-10106382.120000001</v>
      </c>
      <c r="L66" s="294">
        <v>0</v>
      </c>
      <c r="M66" s="293">
        <f>K66-L66</f>
        <v>-10106382.120000001</v>
      </c>
      <c r="N66" s="294">
        <f>'Reversion Pagos R4'!P79</f>
        <v>0</v>
      </c>
      <c r="O66" s="293">
        <f>M66+N66</f>
        <v>-10106382.120000001</v>
      </c>
      <c r="Q66" s="306"/>
      <c r="S66" s="303">
        <v>1</v>
      </c>
      <c r="T66" s="304" t="s">
        <v>10</v>
      </c>
      <c r="U66" s="307">
        <f>'Reversion Pagos R4'!J79</f>
        <v>-1243696.27</v>
      </c>
      <c r="V66" s="308">
        <f>'Reversion Pagos R4'!K79</f>
        <v>-1203871</v>
      </c>
      <c r="W66" s="308">
        <f>'Reversion Pagos R4'!L79</f>
        <v>-5528843.9900000002</v>
      </c>
      <c r="X66" s="308">
        <f>'Reversion Pagos R4'!M79</f>
        <v>-2184189.35</v>
      </c>
      <c r="Y66" s="309">
        <f>'Reversion Pagos R4'!N79</f>
        <v>-229854.06</v>
      </c>
      <c r="Z66" s="310">
        <f>-L66</f>
        <v>0</v>
      </c>
      <c r="AA66" s="311">
        <f>+'Reversion Pagos R4'!O79</f>
        <v>111.04</v>
      </c>
      <c r="AB66" s="294">
        <f>N66</f>
        <v>0</v>
      </c>
      <c r="AC66" s="311">
        <f>+'Reversion Pagos R4'!Q79+'Reversion Pagos R4'!R79</f>
        <v>0</v>
      </c>
      <c r="AD66" s="291">
        <f>-J66+AE66</f>
        <v>283961.51</v>
      </c>
      <c r="AE66" s="291">
        <f>'Reversion Pagos R4'!D80</f>
        <v>283961.51</v>
      </c>
      <c r="AF66" s="313">
        <f>SUM(U66:AD66)</f>
        <v>-10106382.120000001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R4'!D180</f>
        <v>-70779009</v>
      </c>
      <c r="E67" s="292">
        <f>'Reversion Pagos R4'!E180</f>
        <v>-15837976.050000001</v>
      </c>
      <c r="F67" s="292">
        <f>'Reversion Pagos R4'!F180</f>
        <v>-7358007.8200000003</v>
      </c>
      <c r="G67" s="292">
        <f>'Reversion Pagos R4'!G180</f>
        <v>-4026740.13</v>
      </c>
      <c r="H67" s="292">
        <f>'Reversion Pagos R4'!H180</f>
        <v>-3253504.04</v>
      </c>
      <c r="I67" s="292">
        <f>'Reversion Pagos R4'!I180</f>
        <v>-117278.95</v>
      </c>
      <c r="J67" s="288">
        <v>0</v>
      </c>
      <c r="K67" s="295">
        <f t="shared" ref="K67:K70" si="24">D67-E67-F67-G67-H67-I67-J67</f>
        <v>-40185502.009999998</v>
      </c>
      <c r="L67" s="294">
        <v>0</v>
      </c>
      <c r="M67" s="295">
        <f>K67-L67</f>
        <v>-40185502.009999998</v>
      </c>
      <c r="N67" s="294">
        <f>'Reversion Pagos R4'!P180</f>
        <v>0</v>
      </c>
      <c r="O67" s="295">
        <f t="shared" ref="O67:O70" si="25">M67+N67</f>
        <v>-40185502.009999998</v>
      </c>
      <c r="Q67" s="306"/>
      <c r="S67" s="314">
        <v>2</v>
      </c>
      <c r="T67" s="315" t="s">
        <v>11</v>
      </c>
      <c r="U67" s="316">
        <f>'Reversion Pagos R4'!J180</f>
        <v>-1030358.55</v>
      </c>
      <c r="V67" s="317">
        <f>'Reversion Pagos R4'!K180</f>
        <v>-1031768.99</v>
      </c>
      <c r="W67" s="317">
        <f>'Reversion Pagos R4'!L180</f>
        <v>-4830594.83</v>
      </c>
      <c r="X67" s="317">
        <f>'Reversion Pagos R4'!M180</f>
        <v>-32110042.210000001</v>
      </c>
      <c r="Y67" s="318">
        <f>'Reversion Pagos R4'!N180</f>
        <v>-191350.21</v>
      </c>
      <c r="Z67" s="319">
        <f t="shared" ref="Z67:Z70" si="26">-L67</f>
        <v>0</v>
      </c>
      <c r="AA67" s="320">
        <f>'Reversion Pagos R4'!O180</f>
        <v>23.74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-991410.96</v>
      </c>
      <c r="AE67" s="291">
        <f>'Reversion Pagos R4'!D181</f>
        <v>-991410.96</v>
      </c>
      <c r="AF67" s="322">
        <f>SUM(U67:AD67)</f>
        <v>-40185502.009999998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R4'!D217</f>
        <v>-32004320</v>
      </c>
      <c r="E68" s="292">
        <f>'Reversion Pagos R4'!E217</f>
        <v>-2340537.3199999998</v>
      </c>
      <c r="F68" s="292">
        <f>'Reversion Pagos R4'!F217</f>
        <v>-1296820.46</v>
      </c>
      <c r="G68" s="292">
        <f>'Reversion Pagos R4'!G217</f>
        <v>-688419.35</v>
      </c>
      <c r="H68" s="292">
        <f>'Reversion Pagos R4'!H217</f>
        <v>-5532000.4000000004</v>
      </c>
      <c r="I68" s="292">
        <f>'Reversion Pagos R4'!I217</f>
        <v>-205312.19</v>
      </c>
      <c r="J68" s="288">
        <v>0</v>
      </c>
      <c r="K68" s="295">
        <f t="shared" si="24"/>
        <v>-21941230.279999997</v>
      </c>
      <c r="L68" s="294">
        <v>0</v>
      </c>
      <c r="M68" s="295">
        <f>K68-L68</f>
        <v>-21941230.279999997</v>
      </c>
      <c r="N68" s="294">
        <f>'Reversion Pagos R4'!P217</f>
        <v>0</v>
      </c>
      <c r="O68" s="295">
        <f t="shared" si="25"/>
        <v>-21941230.279999997</v>
      </c>
      <c r="Q68" s="306"/>
      <c r="S68" s="314">
        <v>3</v>
      </c>
      <c r="T68" s="315" t="s">
        <v>12</v>
      </c>
      <c r="U68" s="316">
        <f>'Reversion Pagos R4'!J217</f>
        <v>-1808499.37</v>
      </c>
      <c r="V68" s="317">
        <f>'Reversion Pagos R4'!K217</f>
        <v>-1737951.36</v>
      </c>
      <c r="W68" s="317">
        <f>'Reversion Pagos R4'!L217</f>
        <v>-8173269.9000000004</v>
      </c>
      <c r="X68" s="317">
        <f>'Reversion Pagos R4'!M217</f>
        <v>-5453141.6200000001</v>
      </c>
      <c r="Y68" s="318">
        <f>'Reversion Pagos R4'!N217</f>
        <v>-337646.88</v>
      </c>
      <c r="Z68" s="319">
        <f t="shared" si="26"/>
        <v>0</v>
      </c>
      <c r="AA68" s="320">
        <f>'Reversion Pagos R4'!O217</f>
        <v>-127.97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-4430593.18</v>
      </c>
      <c r="AE68" s="291">
        <f>'Reversion Pagos R4'!D218</f>
        <v>-4430593.18</v>
      </c>
      <c r="AF68" s="322">
        <f t="shared" ref="AF68:AF70" si="30">SUM(U68:AD68)</f>
        <v>-21941230.279999997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R4'!D332</f>
        <v>-29768645.890000001</v>
      </c>
      <c r="E69" s="292">
        <f>'Reversion Pagos R4'!E332</f>
        <v>-2979733</v>
      </c>
      <c r="F69" s="292">
        <f>'Reversion Pagos R4'!F332</f>
        <v>-1487124.52</v>
      </c>
      <c r="G69" s="292">
        <f>'Reversion Pagos R4'!G332</f>
        <v>-685656.31</v>
      </c>
      <c r="H69" s="292">
        <f>'Reversion Pagos R4'!H332</f>
        <v>-5741813.8499999996</v>
      </c>
      <c r="I69" s="292">
        <f>'Reversion Pagos R4'!I332</f>
        <v>-212062.94</v>
      </c>
      <c r="J69" s="288">
        <v>0</v>
      </c>
      <c r="K69" s="295">
        <f t="shared" si="24"/>
        <v>-18662255.27</v>
      </c>
      <c r="L69" s="294">
        <v>0</v>
      </c>
      <c r="M69" s="295">
        <f>K69-L69</f>
        <v>-18662255.27</v>
      </c>
      <c r="N69" s="294">
        <f>'Reversion Pagos R4'!P332</f>
        <v>0</v>
      </c>
      <c r="O69" s="295">
        <f t="shared" si="25"/>
        <v>-18662255.27</v>
      </c>
      <c r="Q69" s="306"/>
      <c r="S69" s="314">
        <v>4</v>
      </c>
      <c r="T69" s="315" t="s">
        <v>13</v>
      </c>
      <c r="U69" s="316">
        <f>'Reversion Pagos R4'!J332</f>
        <v>-1844890.36</v>
      </c>
      <c r="V69" s="317">
        <f>'Reversion Pagos R4'!K332</f>
        <v>-1940190.03</v>
      </c>
      <c r="W69" s="317">
        <f>'Reversion Pagos R4'!L332</f>
        <v>-8829559.8200000003</v>
      </c>
      <c r="X69" s="317">
        <f>'Reversion Pagos R4'!M332</f>
        <v>-7875657.4699999997</v>
      </c>
      <c r="Y69" s="318">
        <f>'Reversion Pagos R4'!N332</f>
        <v>-346018.31</v>
      </c>
      <c r="Z69" s="319">
        <f t="shared" si="26"/>
        <v>0</v>
      </c>
      <c r="AA69" s="320">
        <f>'Reversion Pagos R4'!O332</f>
        <v>-21.79</v>
      </c>
      <c r="AB69" s="294">
        <f t="shared" si="27"/>
        <v>0</v>
      </c>
      <c r="AC69" s="320">
        <f>'Reversion Pagos R4'!Q332+'Reversion Pagos R4'!R332</f>
        <v>-0.28999999999999998</v>
      </c>
      <c r="AD69" s="291">
        <f t="shared" si="28"/>
        <v>2174082.7999999998</v>
      </c>
      <c r="AE69" s="291">
        <f>'Reversion Pagos R4'!D333</f>
        <v>2174082.7999999998</v>
      </c>
      <c r="AF69" s="322">
        <f>SUM(U69:AD69)</f>
        <v>-18662255.269999996</v>
      </c>
      <c r="AG69" s="323">
        <f>(AF69-O69)</f>
        <v>3.7252902984619141E-9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R4'!D367</f>
        <v>-2065600</v>
      </c>
      <c r="E70" s="297">
        <f>'Reversion Pagos R4'!E367</f>
        <v>-131268.72</v>
      </c>
      <c r="F70" s="297">
        <f>'Reversion Pagos R4'!F367</f>
        <v>-73999.75</v>
      </c>
      <c r="G70" s="297">
        <f>'Reversion Pagos R4'!G367</f>
        <v>-38388.879999999997</v>
      </c>
      <c r="H70" s="297">
        <f>'Reversion Pagos R4'!H367</f>
        <v>-517154.17</v>
      </c>
      <c r="I70" s="297">
        <f>'Reversion Pagos R4'!I367</f>
        <v>-20620.099999999999</v>
      </c>
      <c r="J70" s="289">
        <v>0</v>
      </c>
      <c r="K70" s="295">
        <f t="shared" si="24"/>
        <v>-1284168.3800000001</v>
      </c>
      <c r="L70" s="294">
        <v>0</v>
      </c>
      <c r="M70" s="298">
        <f>K70-L70</f>
        <v>-1284168.3800000001</v>
      </c>
      <c r="N70" s="294">
        <f>'Reversion Pagos R4'!P367</f>
        <v>0</v>
      </c>
      <c r="O70" s="298">
        <f t="shared" si="25"/>
        <v>-1284168.3800000001</v>
      </c>
      <c r="Q70" s="306"/>
      <c r="S70" s="324">
        <v>5</v>
      </c>
      <c r="T70" s="325" t="s">
        <v>14</v>
      </c>
      <c r="U70" s="296">
        <f>'Reversion Pagos R4'!J367</f>
        <v>-180880.17</v>
      </c>
      <c r="V70" s="297">
        <f>'Reversion Pagos R4'!K367</f>
        <v>-177121.01</v>
      </c>
      <c r="W70" s="297">
        <f>'Reversion Pagos R4'!L367</f>
        <v>-904166.17</v>
      </c>
      <c r="X70" s="297">
        <f>'Reversion Pagos R4'!M367</f>
        <v>-384256.35</v>
      </c>
      <c r="Y70" s="289">
        <f>'Reversion Pagos R4'!N367</f>
        <v>-33643.24</v>
      </c>
      <c r="Z70" s="319">
        <f t="shared" si="26"/>
        <v>0</v>
      </c>
      <c r="AA70" s="320">
        <f>'Reversion Pagos R4'!O367</f>
        <v>8.7899999999999991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395889.77</v>
      </c>
      <c r="AE70" s="291">
        <f>'Reversion Pagos R4'!D368</f>
        <v>395889.77</v>
      </c>
      <c r="AF70" s="322">
        <f t="shared" si="30"/>
        <v>-1284168.3800000001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-150151536.59</v>
      </c>
      <c r="E71" s="290">
        <f t="shared" si="32"/>
        <v>-22083239.099999998</v>
      </c>
      <c r="F71" s="290">
        <f t="shared" si="32"/>
        <v>-10659990.800000001</v>
      </c>
      <c r="G71" s="290">
        <f t="shared" si="32"/>
        <v>-5674642.21</v>
      </c>
      <c r="H71" s="290">
        <f t="shared" si="32"/>
        <v>-18858618.140000001</v>
      </c>
      <c r="I71" s="290">
        <f t="shared" si="32"/>
        <v>-695508.27999999991</v>
      </c>
      <c r="J71" s="290">
        <f t="shared" si="32"/>
        <v>0</v>
      </c>
      <c r="K71" s="300">
        <f t="shared" si="32"/>
        <v>-92179538.059999987</v>
      </c>
      <c r="L71" s="301">
        <f t="shared" si="32"/>
        <v>0</v>
      </c>
      <c r="M71" s="302">
        <f t="shared" si="32"/>
        <v>-92179538.059999987</v>
      </c>
      <c r="N71" s="301">
        <f t="shared" si="32"/>
        <v>0</v>
      </c>
      <c r="O71" s="302">
        <f t="shared" si="32"/>
        <v>-92179538.059999987</v>
      </c>
      <c r="P71" s="329"/>
      <c r="Q71" s="306"/>
      <c r="S71" s="327"/>
      <c r="T71" s="328" t="s">
        <v>2</v>
      </c>
      <c r="U71" s="330">
        <f>SUM(U66:U70)</f>
        <v>-6108324.7200000007</v>
      </c>
      <c r="V71" s="330">
        <f t="shared" ref="V71:AG71" si="33">SUM(V66:V70)</f>
        <v>-6090902.3900000006</v>
      </c>
      <c r="W71" s="330">
        <f t="shared" si="33"/>
        <v>-28266434.710000001</v>
      </c>
      <c r="X71" s="330">
        <f t="shared" si="33"/>
        <v>-48007287</v>
      </c>
      <c r="Y71" s="330">
        <f t="shared" si="33"/>
        <v>-1138512.7</v>
      </c>
      <c r="Z71" s="290">
        <f t="shared" si="33"/>
        <v>0</v>
      </c>
      <c r="AA71" s="290">
        <f>SUM(AA66:AA70)</f>
        <v>-6.1899999999999977</v>
      </c>
      <c r="AB71" s="290">
        <f t="shared" si="33"/>
        <v>0</v>
      </c>
      <c r="AC71" s="290">
        <f t="shared" ref="AC71" si="34">SUM(AC66:AC70)</f>
        <v>-0.28999999999999998</v>
      </c>
      <c r="AD71" s="290">
        <f>SUM(AD66:AD70)</f>
        <v>-2568070.06</v>
      </c>
      <c r="AE71" s="290">
        <f>SUM(AE66:AE70)</f>
        <v>-2568070.06</v>
      </c>
      <c r="AF71" s="331">
        <f t="shared" si="33"/>
        <v>-92179538.059999987</v>
      </c>
      <c r="AG71" s="332">
        <f t="shared" si="33"/>
        <v>3.7252902984619141E-9</v>
      </c>
      <c r="AH71" s="1" t="b">
        <f t="shared" si="29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-89611461.519999996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f>'AJUSTES - SF-T'!D47</f>
        <v>973693.46</v>
      </c>
      <c r="E85" s="292">
        <f>'AJUSTES - SF-T'!E47</f>
        <v>65524.22</v>
      </c>
      <c r="F85" s="292">
        <f>'AJUSTES - SF-T'!F47</f>
        <v>36995.019999999997</v>
      </c>
      <c r="G85" s="292">
        <f>'AJUSTES - SF-T'!G47</f>
        <v>19417.650000000001</v>
      </c>
      <c r="H85" s="292">
        <f>'AJUSTES - SF-T'!H47</f>
        <v>156624.35</v>
      </c>
      <c r="I85" s="292">
        <f>'AJUSTES - SF-T'!I47</f>
        <v>5557.5</v>
      </c>
      <c r="J85" s="292">
        <f>'AJUSTES - SF-T'!J47</f>
        <v>0</v>
      </c>
      <c r="K85" s="292">
        <f>D85-E85-F85-G85-H85-I85-J85</f>
        <v>689574.72</v>
      </c>
      <c r="L85" s="294">
        <v>0</v>
      </c>
      <c r="M85" s="321">
        <f>K85-L85</f>
        <v>689574.72</v>
      </c>
      <c r="N85" s="321">
        <f>'AJUSTES - SF-T'!N47</f>
        <v>0</v>
      </c>
      <c r="O85" s="321">
        <f>M85+N85</f>
        <v>689574.72</v>
      </c>
      <c r="Q85" s="306"/>
      <c r="S85" s="303">
        <v>1</v>
      </c>
      <c r="T85" s="304" t="s">
        <v>10</v>
      </c>
      <c r="U85" s="312">
        <f>'AJUSTES - SF-T'!U47</f>
        <v>52109.79</v>
      </c>
      <c r="V85" s="312">
        <f>'AJUSTES - SF-T'!V47</f>
        <v>47607.03</v>
      </c>
      <c r="W85" s="312">
        <f>'AJUSTES - SF-T'!W47</f>
        <v>225441.17</v>
      </c>
      <c r="X85" s="312">
        <f>'AJUSTES - SF-T'!X47</f>
        <v>178429.31</v>
      </c>
      <c r="Y85" s="312">
        <f>'AJUSTES - SF-T'!Y47</f>
        <v>9067.43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176919.99</v>
      </c>
      <c r="AE85" s="294">
        <f>'AJUSTES - SF-T'!AD47</f>
        <v>176919.99</v>
      </c>
      <c r="AF85" s="363">
        <f>SUM(U85:AD85)</f>
        <v>689574.72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f>'AJUSTES - SF-T'!D49</f>
        <v>104231.83</v>
      </c>
      <c r="E87" s="292">
        <f>'AJUSTES - SF-T'!E49</f>
        <v>6620.63</v>
      </c>
      <c r="F87" s="292">
        <f>'AJUSTES - SF-T'!F49</f>
        <v>3738.02</v>
      </c>
      <c r="G87" s="292">
        <f>'AJUSTES - SF-T'!G49</f>
        <v>1961.98</v>
      </c>
      <c r="H87" s="292">
        <f>'AJUSTES - SF-T'!H49</f>
        <v>20927.5</v>
      </c>
      <c r="I87" s="292">
        <f>'AJUSTES - SF-T'!I49</f>
        <v>743.08</v>
      </c>
      <c r="J87" s="292">
        <f>'AJUSTES - SF-T'!J49</f>
        <v>0</v>
      </c>
      <c r="K87" s="292">
        <f>D87-E87-F87-G87-H87-I87-J87</f>
        <v>70240.62</v>
      </c>
      <c r="L87" s="294">
        <v>0</v>
      </c>
      <c r="M87" s="321">
        <f>K87-L87</f>
        <v>70240.62</v>
      </c>
      <c r="N87" s="321">
        <f>'AJUSTES - SF-T'!N49</f>
        <v>0</v>
      </c>
      <c r="O87" s="321">
        <f>M87+N87</f>
        <v>70240.62</v>
      </c>
      <c r="Q87" s="306"/>
      <c r="S87" s="314">
        <v>3</v>
      </c>
      <c r="T87" s="315" t="s">
        <v>12</v>
      </c>
      <c r="U87" s="320">
        <f>'AJUSTES - SF-T'!U49</f>
        <v>6518.28</v>
      </c>
      <c r="V87" s="320">
        <f>'AJUSTES - SF-T'!V49</f>
        <v>6410.86</v>
      </c>
      <c r="W87" s="320">
        <f>'AJUSTES - SF-T'!W49</f>
        <v>30349.1</v>
      </c>
      <c r="X87" s="320">
        <f>'AJUSTES - SF-T'!X49</f>
        <v>15383.1</v>
      </c>
      <c r="Y87" s="320">
        <f>'AJUSTES - SF-T'!Y49</f>
        <v>1212.4000000000001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10366.879999999999</v>
      </c>
      <c r="AE87" s="299">
        <f>'AJUSTES - SF-T'!AD49</f>
        <v>10366.879999999999</v>
      </c>
      <c r="AF87" s="365">
        <f>SUM(U87:AD87)</f>
        <v>70240.62</v>
      </c>
      <c r="AG87" s="570">
        <f>AF87-O87</f>
        <v>0</v>
      </c>
      <c r="AH87" s="1" t="b">
        <f t="shared" si="38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40">SUM(D85:D89)</f>
        <v>1077925.29</v>
      </c>
      <c r="E90" s="290">
        <f t="shared" si="40"/>
        <v>72144.850000000006</v>
      </c>
      <c r="F90" s="290">
        <f t="shared" si="40"/>
        <v>40733.039999999994</v>
      </c>
      <c r="G90" s="290">
        <f t="shared" si="40"/>
        <v>21379.63</v>
      </c>
      <c r="H90" s="290">
        <f t="shared" si="40"/>
        <v>177551.85</v>
      </c>
      <c r="I90" s="290">
        <f t="shared" si="40"/>
        <v>6300.58</v>
      </c>
      <c r="J90" s="290">
        <f t="shared" si="40"/>
        <v>0</v>
      </c>
      <c r="K90" s="300">
        <f t="shared" si="40"/>
        <v>759815.34</v>
      </c>
      <c r="L90" s="301">
        <f t="shared" si="40"/>
        <v>0</v>
      </c>
      <c r="M90" s="302">
        <f t="shared" si="40"/>
        <v>759815.34</v>
      </c>
      <c r="N90" s="301">
        <f t="shared" si="40"/>
        <v>0</v>
      </c>
      <c r="O90" s="302">
        <f t="shared" si="40"/>
        <v>759815.34</v>
      </c>
      <c r="P90" s="329"/>
      <c r="Q90" s="306"/>
      <c r="S90" s="327"/>
      <c r="T90" s="567" t="s">
        <v>2</v>
      </c>
      <c r="U90" s="330">
        <f>SUM(U85:U89)</f>
        <v>58628.07</v>
      </c>
      <c r="V90" s="330">
        <f t="shared" ref="V90:AG90" si="41">SUM(V85:V89)</f>
        <v>54017.89</v>
      </c>
      <c r="W90" s="568">
        <f t="shared" si="41"/>
        <v>255790.27000000002</v>
      </c>
      <c r="X90" s="330">
        <f t="shared" si="41"/>
        <v>193812.41</v>
      </c>
      <c r="Y90" s="330">
        <f t="shared" si="41"/>
        <v>10279.83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187286.87</v>
      </c>
      <c r="AE90" s="290">
        <f t="shared" si="41"/>
        <v>187286.87</v>
      </c>
      <c r="AF90" s="331">
        <f t="shared" si="41"/>
        <v>759815.34</v>
      </c>
      <c r="AG90" s="332">
        <f t="shared" si="41"/>
        <v>0</v>
      </c>
      <c r="AH90" s="1" t="b">
        <f t="shared" si="38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572528.47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3">D9+D28+D47+D66+D85</f>
        <v>16643179604.779999</v>
      </c>
      <c r="E104" s="292">
        <f t="shared" si="43"/>
        <v>807895299.00000012</v>
      </c>
      <c r="F104" s="292">
        <f t="shared" si="43"/>
        <v>455912503.50999999</v>
      </c>
      <c r="G104" s="292">
        <f t="shared" si="43"/>
        <v>239329779.88</v>
      </c>
      <c r="H104" s="292">
        <f t="shared" si="43"/>
        <v>3761557796.75</v>
      </c>
      <c r="I104" s="292">
        <f t="shared" si="43"/>
        <v>132659753.62000002</v>
      </c>
      <c r="J104" s="292">
        <f t="shared" si="43"/>
        <v>-3589454665.5499997</v>
      </c>
      <c r="K104" s="293">
        <f>D104-E104-F104-G104-H104-I104-J104</f>
        <v>14835279137.569998</v>
      </c>
      <c r="L104" s="294">
        <f>L9+L28+L47+L66+L85</f>
        <v>189185988</v>
      </c>
      <c r="M104" s="293">
        <f>K104-L104</f>
        <v>14646093149.569998</v>
      </c>
      <c r="N104" s="294">
        <f>N9+N28+N47+N66+N85</f>
        <v>16516492.25</v>
      </c>
      <c r="O104" s="293">
        <f>M104+N104</f>
        <v>14662609641.819998</v>
      </c>
      <c r="Q104" s="306"/>
      <c r="S104" s="303">
        <v>1</v>
      </c>
      <c r="T104" s="304" t="s">
        <v>10</v>
      </c>
      <c r="U104" s="307">
        <f t="shared" ref="U104:AB108" si="44">U9+U28+U47+U66+U85</f>
        <v>1167429697.9300001</v>
      </c>
      <c r="V104" s="308">
        <f t="shared" si="44"/>
        <v>1119851344.1899998</v>
      </c>
      <c r="W104" s="308">
        <f t="shared" si="44"/>
        <v>5299081059.21</v>
      </c>
      <c r="X104" s="308">
        <f t="shared" si="44"/>
        <v>2189246770.6300006</v>
      </c>
      <c r="Y104" s="309">
        <f t="shared" si="44"/>
        <v>216286907.63999999</v>
      </c>
      <c r="Z104" s="310">
        <f t="shared" si="44"/>
        <v>-189185988</v>
      </c>
      <c r="AA104" s="311">
        <f>AA9+AA28+AA47+AA66+AA85</f>
        <v>-16656.379999999997</v>
      </c>
      <c r="AB104" s="294">
        <f>AB9+AB28+AB47+AB66+AB85</f>
        <v>16516492.25</v>
      </c>
      <c r="AC104" s="311">
        <f>AC9+AC28+AC47+AC66+AC85</f>
        <v>521.77</v>
      </c>
      <c r="AD104" s="291">
        <f>-J104+AE104</f>
        <v>4843399492.5799999</v>
      </c>
      <c r="AE104" s="291">
        <f>AE9+AE28+AE47+AE66+AE85</f>
        <v>1253944827.03</v>
      </c>
      <c r="AF104" s="313">
        <f>SUM(U104:AD104)</f>
        <v>14662609641.820002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3"/>
        <v>19064501226.810005</v>
      </c>
      <c r="E105" s="292">
        <f t="shared" si="43"/>
        <v>1396129505.3300002</v>
      </c>
      <c r="F105" s="292">
        <f t="shared" si="43"/>
        <v>784878776.18999994</v>
      </c>
      <c r="G105" s="292">
        <f t="shared" si="43"/>
        <v>411247567.16000009</v>
      </c>
      <c r="H105" s="292">
        <f t="shared" si="43"/>
        <v>5582809669.8899994</v>
      </c>
      <c r="I105" s="292">
        <f t="shared" si="43"/>
        <v>216022487.64000002</v>
      </c>
      <c r="J105" s="292">
        <f t="shared" si="43"/>
        <v>-3241193714.1100001</v>
      </c>
      <c r="K105" s="295">
        <f t="shared" ref="K105:K108" si="45">D105-E105-F105-G105-H105-I105-J105</f>
        <v>13914606934.710005</v>
      </c>
      <c r="L105" s="294">
        <f>L10+L29+L48+L67+L86</f>
        <v>266580256</v>
      </c>
      <c r="M105" s="295">
        <f>K105-L105</f>
        <v>13648026678.710005</v>
      </c>
      <c r="N105" s="294">
        <f>N10+N29+N48+N67+N86</f>
        <v>24273229.890000001</v>
      </c>
      <c r="O105" s="295">
        <f t="shared" ref="O105:O108" si="46">M105+N105</f>
        <v>13672299908.600004</v>
      </c>
      <c r="Q105" s="306"/>
      <c r="S105" s="314">
        <v>2</v>
      </c>
      <c r="T105" s="315" t="s">
        <v>11</v>
      </c>
      <c r="U105" s="316">
        <f t="shared" si="44"/>
        <v>1893620444.5699999</v>
      </c>
      <c r="V105" s="317">
        <f t="shared" si="44"/>
        <v>1869892249.3700001</v>
      </c>
      <c r="W105" s="317">
        <f t="shared" si="44"/>
        <v>8814809316.3799992</v>
      </c>
      <c r="X105" s="317">
        <f t="shared" si="44"/>
        <v>2749999250.0999999</v>
      </c>
      <c r="Y105" s="318">
        <f t="shared" si="44"/>
        <v>352820304.41000003</v>
      </c>
      <c r="Z105" s="319">
        <f t="shared" si="44"/>
        <v>-266580256</v>
      </c>
      <c r="AA105" s="320">
        <f t="shared" si="44"/>
        <v>90135.24</v>
      </c>
      <c r="AB105" s="294">
        <f t="shared" si="44"/>
        <v>24273229.890000001</v>
      </c>
      <c r="AC105" s="320">
        <f t="shared" ref="AC105" si="47">AC10+AC29+AC48+AC67+AC86</f>
        <v>-109.61</v>
      </c>
      <c r="AD105" s="291">
        <f t="shared" ref="AD105:AD106" si="48">-J105+AE105</f>
        <v>-1766624655.7499995</v>
      </c>
      <c r="AE105" s="291">
        <f>AE10+AE29+AE48+AE67+AE86</f>
        <v>-5007818369.8599997</v>
      </c>
      <c r="AF105" s="322">
        <f>SUM(U105:AD105)</f>
        <v>13672299908.599998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3"/>
        <v>13976635090.370001</v>
      </c>
      <c r="E106" s="292">
        <f t="shared" si="43"/>
        <v>985637596.05999994</v>
      </c>
      <c r="F106" s="292">
        <f t="shared" si="43"/>
        <v>555973895.94999993</v>
      </c>
      <c r="G106" s="292">
        <f t="shared" si="43"/>
        <v>292056214.65000004</v>
      </c>
      <c r="H106" s="292">
        <f t="shared" si="43"/>
        <v>3381560449.0999999</v>
      </c>
      <c r="I106" s="292">
        <f t="shared" si="43"/>
        <v>124524527.32000001</v>
      </c>
      <c r="J106" s="292">
        <f t="shared" si="43"/>
        <v>-853244564.50999999</v>
      </c>
      <c r="K106" s="295">
        <f t="shared" si="45"/>
        <v>9490126971.8000011</v>
      </c>
      <c r="L106" s="294">
        <f>L11+L30+L49+L68+L87</f>
        <v>154788536</v>
      </c>
      <c r="M106" s="295">
        <f>K106-L106</f>
        <v>9335338435.8000011</v>
      </c>
      <c r="N106" s="294">
        <f>N11+N30+N49+N68+N87</f>
        <v>13030575.5</v>
      </c>
      <c r="O106" s="295">
        <f t="shared" si="46"/>
        <v>9348369011.3000011</v>
      </c>
      <c r="Q106" s="306"/>
      <c r="S106" s="314">
        <v>3</v>
      </c>
      <c r="T106" s="315" t="s">
        <v>12</v>
      </c>
      <c r="U106" s="316">
        <f t="shared" si="44"/>
        <v>1092110322.45</v>
      </c>
      <c r="V106" s="317">
        <f t="shared" si="44"/>
        <v>1072670179.5</v>
      </c>
      <c r="W106" s="317">
        <f t="shared" si="44"/>
        <v>5077455755.5400009</v>
      </c>
      <c r="X106" s="317">
        <f t="shared" si="44"/>
        <v>2292038481.0500002</v>
      </c>
      <c r="Y106" s="318">
        <f t="shared" si="44"/>
        <v>203250483.36000001</v>
      </c>
      <c r="Z106" s="319">
        <f t="shared" si="44"/>
        <v>-154788536</v>
      </c>
      <c r="AA106" s="320">
        <f t="shared" si="44"/>
        <v>247376.99</v>
      </c>
      <c r="AB106" s="294">
        <f t="shared" si="44"/>
        <v>13030575.5</v>
      </c>
      <c r="AC106" s="320">
        <f t="shared" ref="AC106" si="50">AC11+AC30+AC49+AC68+AC87</f>
        <v>0.94</v>
      </c>
      <c r="AD106" s="291">
        <f t="shared" si="48"/>
        <v>-247645628.02999997</v>
      </c>
      <c r="AE106" s="291">
        <f>AE11+AE30+AE49+AE68+AE87</f>
        <v>-1100890192.54</v>
      </c>
      <c r="AF106" s="322">
        <f>SUM(U106:AD106)</f>
        <v>9348369011.3000011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3"/>
        <v>6619403672.6899996</v>
      </c>
      <c r="E107" s="292">
        <f t="shared" si="43"/>
        <v>409065767.94999999</v>
      </c>
      <c r="F107" s="292">
        <f t="shared" si="43"/>
        <v>229023916.59999999</v>
      </c>
      <c r="G107" s="292">
        <f t="shared" si="43"/>
        <v>119897084.47999999</v>
      </c>
      <c r="H107" s="292">
        <f t="shared" si="43"/>
        <v>1538751149.1300001</v>
      </c>
      <c r="I107" s="292">
        <f t="shared" si="43"/>
        <v>60407359.210000001</v>
      </c>
      <c r="J107" s="292">
        <f t="shared" si="43"/>
        <v>-699882713.37000012</v>
      </c>
      <c r="K107" s="295">
        <f t="shared" si="45"/>
        <v>4962141108.6899996</v>
      </c>
      <c r="L107" s="294">
        <f>L12+L31+L50+L69+L88</f>
        <v>120391083</v>
      </c>
      <c r="M107" s="295">
        <f>K107-L107</f>
        <v>4841750025.6899996</v>
      </c>
      <c r="N107" s="294">
        <f>N12+N31+N50+N69+N88</f>
        <v>19208887.530000001</v>
      </c>
      <c r="O107" s="295">
        <f>M107+N107</f>
        <v>4860958913.2199993</v>
      </c>
      <c r="Q107" s="306"/>
      <c r="S107" s="314">
        <v>4</v>
      </c>
      <c r="T107" s="315" t="s">
        <v>13</v>
      </c>
      <c r="U107" s="316">
        <f t="shared" si="44"/>
        <v>528790659.44</v>
      </c>
      <c r="V107" s="317">
        <f t="shared" si="44"/>
        <v>522948481.87</v>
      </c>
      <c r="W107" s="317">
        <f t="shared" si="44"/>
        <v>2676043606.7200003</v>
      </c>
      <c r="X107" s="317">
        <f t="shared" si="44"/>
        <v>1082748026.71</v>
      </c>
      <c r="Y107" s="318">
        <f t="shared" si="44"/>
        <v>98745519.159999996</v>
      </c>
      <c r="Z107" s="319">
        <f t="shared" si="44"/>
        <v>-120391083</v>
      </c>
      <c r="AA107" s="320">
        <f>AA12+AA31+AA50+AA69+AA88</f>
        <v>-16918.300000000003</v>
      </c>
      <c r="AB107" s="294">
        <f t="shared" si="44"/>
        <v>19208887.530000001</v>
      </c>
      <c r="AC107" s="320">
        <f t="shared" ref="AC107" si="51">AC12+AC31+AC50+AC69+AC88</f>
        <v>-448.53000000000003</v>
      </c>
      <c r="AD107" s="291">
        <f t="shared" ref="AD107" si="52">-J107+AE107</f>
        <v>52882181.620000005</v>
      </c>
      <c r="AE107" s="291">
        <f>AE12+AE31+AE50+AE69+AE88</f>
        <v>-647000531.75000012</v>
      </c>
      <c r="AF107" s="322">
        <f t="shared" ref="AF107:AF108" si="53">SUM(U107:AD107)</f>
        <v>4860958913.2199993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11722516106.639999</v>
      </c>
      <c r="E108" s="297">
        <f t="shared" si="43"/>
        <v>698148323.5</v>
      </c>
      <c r="F108" s="297">
        <f t="shared" si="43"/>
        <v>393737772.47000003</v>
      </c>
      <c r="G108" s="297">
        <f t="shared" si="43"/>
        <v>206413295.53999999</v>
      </c>
      <c r="H108" s="297">
        <f t="shared" si="43"/>
        <v>2744218164.2200003</v>
      </c>
      <c r="I108" s="297">
        <f t="shared" si="43"/>
        <v>104708073.91000001</v>
      </c>
      <c r="J108" s="297">
        <f t="shared" si="43"/>
        <v>-82959023.660000086</v>
      </c>
      <c r="K108" s="295">
        <f t="shared" si="45"/>
        <v>7658249500.6599989</v>
      </c>
      <c r="L108" s="294">
        <f>L13+L32+L51+L70+L89</f>
        <v>128990446</v>
      </c>
      <c r="M108" s="298">
        <f>K108-L108</f>
        <v>7529259054.6599989</v>
      </c>
      <c r="N108" s="299">
        <f>N13+N32+N51+N70+N89</f>
        <v>8997077.0999999996</v>
      </c>
      <c r="O108" s="298">
        <f t="shared" si="46"/>
        <v>7538256131.7599993</v>
      </c>
      <c r="Q108" s="306"/>
      <c r="S108" s="324">
        <v>5</v>
      </c>
      <c r="T108" s="325" t="s">
        <v>14</v>
      </c>
      <c r="U108" s="296">
        <f t="shared" si="44"/>
        <v>917978792.29999995</v>
      </c>
      <c r="V108" s="297">
        <f t="shared" si="44"/>
        <v>899476756.96000004</v>
      </c>
      <c r="W108" s="297">
        <f t="shared" si="44"/>
        <v>4621907148.9099998</v>
      </c>
      <c r="X108" s="297">
        <f t="shared" si="44"/>
        <v>2074170432.3500001</v>
      </c>
      <c r="Y108" s="289">
        <f t="shared" si="44"/>
        <v>170858536.44999999</v>
      </c>
      <c r="Z108" s="319">
        <f t="shared" si="44"/>
        <v>-128990446</v>
      </c>
      <c r="AA108" s="320">
        <f t="shared" si="44"/>
        <v>-147049.65</v>
      </c>
      <c r="AB108" s="294">
        <f t="shared" si="44"/>
        <v>8997077.0999999996</v>
      </c>
      <c r="AC108" s="320">
        <f t="shared" ref="AC108" si="54">AC13+AC32+AC51+AC70+AC89</f>
        <v>-33.33</v>
      </c>
      <c r="AD108" s="291">
        <f>-J108+AE108</f>
        <v>-1025995083.3299999</v>
      </c>
      <c r="AE108" s="291">
        <f>AE13+AE32+AE51+AE70+AE89</f>
        <v>-1108954106.99</v>
      </c>
      <c r="AF108" s="322">
        <f t="shared" si="53"/>
        <v>7538256131.7600021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68026235701.290009</v>
      </c>
      <c r="E109" s="290">
        <f t="shared" ref="E109:O109" si="55">SUM(E104:E108)</f>
        <v>4296876491.8400002</v>
      </c>
      <c r="F109" s="290">
        <f t="shared" si="55"/>
        <v>2419526864.7199993</v>
      </c>
      <c r="G109" s="290">
        <f t="shared" si="55"/>
        <v>1268943941.71</v>
      </c>
      <c r="H109" s="290">
        <f t="shared" si="55"/>
        <v>17008897229.09</v>
      </c>
      <c r="I109" s="290">
        <f t="shared" si="55"/>
        <v>638322201.70000005</v>
      </c>
      <c r="J109" s="290">
        <f t="shared" si="55"/>
        <v>-8466734681.1999998</v>
      </c>
      <c r="K109" s="300">
        <f t="shared" si="55"/>
        <v>50860403653.43</v>
      </c>
      <c r="L109" s="301">
        <f t="shared" si="55"/>
        <v>859936309</v>
      </c>
      <c r="M109" s="302">
        <f t="shared" si="55"/>
        <v>50000467344.43</v>
      </c>
      <c r="N109" s="301">
        <f>SUM(N104:N108)</f>
        <v>82026262.269999996</v>
      </c>
      <c r="O109" s="302">
        <f t="shared" si="55"/>
        <v>50082493606.700005</v>
      </c>
      <c r="P109" s="329"/>
      <c r="Q109" s="306"/>
      <c r="S109" s="327"/>
      <c r="T109" s="328" t="s">
        <v>2</v>
      </c>
      <c r="U109" s="330">
        <f>SUM(U104:U108)</f>
        <v>5599929916.6899996</v>
      </c>
      <c r="V109" s="330">
        <f t="shared" ref="V109:AF109" si="56">SUM(V104:V108)</f>
        <v>5484839011.8900003</v>
      </c>
      <c r="W109" s="330">
        <f t="shared" si="56"/>
        <v>26489296886.760002</v>
      </c>
      <c r="X109" s="330">
        <f t="shared" si="56"/>
        <v>10388202960.84</v>
      </c>
      <c r="Y109" s="330">
        <f t="shared" si="56"/>
        <v>1041961751.02</v>
      </c>
      <c r="Z109" s="290">
        <f t="shared" si="56"/>
        <v>-859936309</v>
      </c>
      <c r="AA109" s="290">
        <f t="shared" si="56"/>
        <v>156887.9</v>
      </c>
      <c r="AB109" s="290">
        <f t="shared" si="56"/>
        <v>82026262.269999996</v>
      </c>
      <c r="AC109" s="290">
        <f t="shared" si="56"/>
        <v>-68.760000000000062</v>
      </c>
      <c r="AD109" s="290">
        <f t="shared" si="56"/>
        <v>1856016307.0900002</v>
      </c>
      <c r="AE109" s="290">
        <f>SUM(AE104:AE108)</f>
        <v>-6610718374.1099997</v>
      </c>
      <c r="AF109" s="331">
        <f t="shared" si="56"/>
        <v>50082493606.700005</v>
      </c>
      <c r="AG109" s="332">
        <f>SUM(AG104:AG108)</f>
        <v>0</v>
      </c>
      <c r="AH109" s="1" t="b">
        <f t="shared" si="49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49004230527.200005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USUARIOS'!I3</f>
        <v>83572548.25</v>
      </c>
      <c r="E125" s="111">
        <v>0</v>
      </c>
      <c r="G125" s="336">
        <f>D47+N47</f>
        <v>49580</v>
      </c>
      <c r="H125" s="310">
        <f>D28+N28</f>
        <v>97091142.519999996</v>
      </c>
      <c r="I125" s="309">
        <f>D85+N85</f>
        <v>973693.46</v>
      </c>
      <c r="J125" s="309">
        <f>D66+N66</f>
        <v>-15533961.699999999</v>
      </c>
      <c r="K125" s="309">
        <f>'ANTICIPOS USUARIOS'!I12</f>
        <v>0</v>
      </c>
      <c r="L125" s="309">
        <f>-'ANTICIPOS USUARIOS'!I21</f>
        <v>16889.3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44281124</v>
      </c>
      <c r="E126" s="74">
        <v>0</v>
      </c>
      <c r="G126" s="339">
        <f>D48+N48</f>
        <v>56078860</v>
      </c>
      <c r="H126" s="340">
        <f>D29+N29</f>
        <v>55676152.700000003</v>
      </c>
      <c r="I126" s="288">
        <f>D86+N86</f>
        <v>0</v>
      </c>
      <c r="J126" s="288">
        <f t="shared" ref="J126:J129" si="57">D67+N67</f>
        <v>-70779009</v>
      </c>
      <c r="K126" s="288">
        <f>'ANTICIPOS USUARIOS'!I13</f>
        <v>5227240</v>
      </c>
      <c r="L126" s="288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44039530</v>
      </c>
      <c r="E127" s="74">
        <v>0</v>
      </c>
      <c r="G127" s="339">
        <f>D49+N49</f>
        <v>1307680</v>
      </c>
      <c r="H127" s="340">
        <f>D30+N30</f>
        <v>10055662.040000001</v>
      </c>
      <c r="I127" s="288">
        <f>D87+N87</f>
        <v>104231.83</v>
      </c>
      <c r="J127" s="288">
        <f t="shared" si="57"/>
        <v>-32004320</v>
      </c>
      <c r="K127" s="288">
        <f>'ANTICIPOS USUARIOS'!I14</f>
        <v>0</v>
      </c>
      <c r="L127" s="288">
        <f>-'ANTICIPOS USUARIOS'!I23</f>
        <v>79850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48826052</v>
      </c>
      <c r="E128" s="74">
        <v>0</v>
      </c>
      <c r="G128" s="339">
        <f>D50+N50</f>
        <v>3610007</v>
      </c>
      <c r="H128" s="340">
        <f>D31+N31</f>
        <v>60774931.109999992</v>
      </c>
      <c r="I128" s="288">
        <f>D88+N88</f>
        <v>0</v>
      </c>
      <c r="J128" s="288">
        <f t="shared" si="57"/>
        <v>-29768645.890000001</v>
      </c>
      <c r="K128" s="288">
        <f>'ANTICIPOS USUARIOS'!I15</f>
        <v>11634964</v>
      </c>
      <c r="L128" s="288">
        <f>-'ANTICIPOS USUARIOS'!I24</f>
        <v>386384.11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USUARIOS'!I7</f>
        <v>15997915</v>
      </c>
      <c r="E129" s="139">
        <v>0</v>
      </c>
      <c r="G129" s="339">
        <f>D51+N51</f>
        <v>0</v>
      </c>
      <c r="H129" s="340">
        <f>D32+N32</f>
        <v>23423861.739999998</v>
      </c>
      <c r="I129" s="288">
        <f>D89+N89</f>
        <v>0</v>
      </c>
      <c r="J129" s="288">
        <f t="shared" si="57"/>
        <v>-2065600</v>
      </c>
      <c r="K129" s="288">
        <f>'ANTICIPOS USUARIOS'!I16</f>
        <v>0</v>
      </c>
      <c r="L129" s="288">
        <f>-'ANTICIPOS USUARIOS'!I25</f>
        <v>49280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236717169.25</v>
      </c>
      <c r="E131" s="107">
        <f>SUM(E125:E130)</f>
        <v>0</v>
      </c>
      <c r="F131" s="45"/>
      <c r="G131" s="350">
        <f t="shared" ref="G131" si="58">SUM(G125:G129)</f>
        <v>61046127</v>
      </c>
      <c r="H131" s="350">
        <f>SUM(H125:H130)</f>
        <v>247021750.10999998</v>
      </c>
      <c r="I131" s="350">
        <f>SUM(I125:I130)</f>
        <v>1077925.29</v>
      </c>
      <c r="J131" s="350">
        <f>SUM(J125:J130)</f>
        <v>-150151536.59</v>
      </c>
      <c r="K131" s="350">
        <f>SUM(K125:K130)</f>
        <v>16862204</v>
      </c>
      <c r="L131" s="350">
        <f>SUM(L125:L130)</f>
        <v>532403.40999999992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16743268645.279999</v>
      </c>
      <c r="E142" s="110">
        <f>'Recaudo ENEL'!F21</f>
        <v>16660688191</v>
      </c>
      <c r="F142" s="110">
        <f>D28+N28</f>
        <v>97091142.519999996</v>
      </c>
      <c r="G142" s="110">
        <f>D66+N66</f>
        <v>-15533961.699999999</v>
      </c>
      <c r="H142" s="110">
        <f>D85+N85</f>
        <v>973693.46</v>
      </c>
      <c r="I142" s="110">
        <f>('REPORTE RECAUDO x BANCO'!E62)</f>
        <v>0</v>
      </c>
      <c r="J142" s="110">
        <f t="shared" ref="J142:K146" si="59">G125</f>
        <v>49580</v>
      </c>
      <c r="K142" s="111">
        <f t="shared" si="59"/>
        <v>97091142.519999996</v>
      </c>
      <c r="L142" s="525">
        <f>D142-E142-F142-G142-J142-H142-I142</f>
        <v>-1.2172386050224304E-6</v>
      </c>
      <c r="M142" s="1" t="b">
        <f>INT(L142)=0</f>
        <v>0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19133055580.700005</v>
      </c>
      <c r="E143" s="18">
        <f>'Recaudo ENEL'!F22</f>
        <v>19090710142</v>
      </c>
      <c r="F143" s="18">
        <f>D29+N29</f>
        <v>55676152.700000003</v>
      </c>
      <c r="G143" s="18">
        <f>D67+N67</f>
        <v>-70779009</v>
      </c>
      <c r="H143" s="18">
        <f>D86+N86</f>
        <v>0</v>
      </c>
      <c r="I143" s="18">
        <f>('REPORTE RECAUDO x BANCO'!E65)</f>
        <v>1369435</v>
      </c>
      <c r="J143" s="18">
        <f t="shared" si="59"/>
        <v>56078860</v>
      </c>
      <c r="K143" s="83">
        <f t="shared" si="59"/>
        <v>55676152.700000003</v>
      </c>
      <c r="L143" s="525">
        <f>D143-E143-F143-G143-J143-H143-I143</f>
        <v>4.5746564865112305E-6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14033705195.870001</v>
      </c>
      <c r="E144" s="18">
        <f>'Recaudo ENEL'!F23</f>
        <v>14027201822</v>
      </c>
      <c r="F144" s="18">
        <f>D30+N30</f>
        <v>10055662.040000001</v>
      </c>
      <c r="G144" s="18">
        <f>D68+N68</f>
        <v>-32004320</v>
      </c>
      <c r="H144" s="18">
        <f>D87+N87</f>
        <v>104231.83</v>
      </c>
      <c r="I144" s="18">
        <f>('REPORTE RECAUDO x BANCO'!E67)</f>
        <v>27040120</v>
      </c>
      <c r="J144" s="18">
        <f t="shared" si="59"/>
        <v>1307680</v>
      </c>
      <c r="K144" s="83">
        <f t="shared" si="59"/>
        <v>10055662.040000001</v>
      </c>
      <c r="L144" s="525">
        <f>D144-E144-F144-G144-J144-H144-I144</f>
        <v>8.4191560745239258E-7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6687438612.2199993</v>
      </c>
      <c r="E145" s="18">
        <f>'Recaudo ENEL'!F24</f>
        <v>6640391410</v>
      </c>
      <c r="F145" s="18">
        <f>D31+N31</f>
        <v>60774931.109999992</v>
      </c>
      <c r="G145" s="18">
        <f>D69+N69</f>
        <v>-29768645.890000001</v>
      </c>
      <c r="H145" s="18">
        <f>D88+N88</f>
        <v>0</v>
      </c>
      <c r="I145" s="18">
        <f>('REPORTE RECAUDO x BANCO'!E70)</f>
        <v>12430910</v>
      </c>
      <c r="J145" s="18">
        <f t="shared" si="59"/>
        <v>3610007</v>
      </c>
      <c r="K145" s="83">
        <f t="shared" si="59"/>
        <v>60774931.109999992</v>
      </c>
      <c r="L145" s="525">
        <f>D145-E145-F145-G145-J145-H145-I145</f>
        <v>-6.7800283432006836E-7</v>
      </c>
      <c r="M145" s="1" t="b">
        <f t="shared" si="60"/>
        <v>0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11747511098.74</v>
      </c>
      <c r="E146" s="18">
        <f>'Recaudo ENEL'!F25</f>
        <v>11725626627</v>
      </c>
      <c r="F146" s="134">
        <f>D32+N32</f>
        <v>23423861.739999998</v>
      </c>
      <c r="G146" s="134">
        <f>D70+N70</f>
        <v>-2065600</v>
      </c>
      <c r="H146" s="134">
        <f>D89+N89</f>
        <v>0</v>
      </c>
      <c r="I146" s="134">
        <f>('REPORTE RECAUDO x BANCO'!E72)</f>
        <v>526210</v>
      </c>
      <c r="J146" s="134">
        <f t="shared" si="59"/>
        <v>0</v>
      </c>
      <c r="K146" s="136">
        <f t="shared" si="59"/>
        <v>23423861.739999998</v>
      </c>
      <c r="L146" s="525">
        <f>D146-E146-F146-G146-J146-H146-I146</f>
        <v>-2.2724270820617676E-7</v>
      </c>
      <c r="M146" s="1" t="b">
        <f t="shared" si="60"/>
        <v>0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68344979132.810005</v>
      </c>
      <c r="E147" s="47">
        <f>SUM(E142:E146)</f>
        <v>68144618192</v>
      </c>
      <c r="F147" s="47">
        <f t="shared" ref="F147:K147" si="61">SUM(F142:F146)</f>
        <v>247021750.10999998</v>
      </c>
      <c r="G147" s="47">
        <f t="shared" si="61"/>
        <v>-150151536.59</v>
      </c>
      <c r="H147" s="47">
        <f t="shared" si="61"/>
        <v>1077925.29</v>
      </c>
      <c r="I147" s="47">
        <f t="shared" si="61"/>
        <v>41366675</v>
      </c>
      <c r="J147" s="47">
        <f t="shared" si="61"/>
        <v>61046127</v>
      </c>
      <c r="K147" s="47">
        <f t="shared" si="61"/>
        <v>247021750.10999998</v>
      </c>
      <c r="L147" s="525">
        <f>SUM(L142:L146)</f>
        <v>3.2940879464149475E-6</v>
      </c>
      <c r="M147" s="1" t="b">
        <f t="shared" si="60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ENEL'!F21</f>
        <v>16660688191</v>
      </c>
      <c r="D3" s="292">
        <f>REMUNERACION_ENEL!G125</f>
        <v>49580</v>
      </c>
      <c r="E3" s="292">
        <f>REMUNERACION_ENEL!D28+REMUNERACION_ENEL!N28</f>
        <v>97091142.519999996</v>
      </c>
      <c r="F3" s="292">
        <f>REMUNERACION_ENEL!I142</f>
        <v>0</v>
      </c>
      <c r="G3" s="292">
        <f>REMUNERACION_ENEL!H142</f>
        <v>973693.46</v>
      </c>
      <c r="H3" s="340">
        <f>SUM(C3:G3)</f>
        <v>16758802606.98</v>
      </c>
      <c r="I3" s="291">
        <f>REMUNERACION_ENEL!D104</f>
        <v>16643179604.779999</v>
      </c>
      <c r="J3" s="292">
        <f>REMUNERACION_ENEL!N104</f>
        <v>16516492.25</v>
      </c>
      <c r="K3" s="292">
        <f>REMUNERACION_ENEL!D125</f>
        <v>83572548.25</v>
      </c>
      <c r="L3" s="353">
        <f>REMUNERACION_ENEL!E125</f>
        <v>0</v>
      </c>
      <c r="M3" s="292">
        <f>-REMUNERACION_ENEL!D66-REMUNERACION_ENEL!N66</f>
        <v>15533961.699999999</v>
      </c>
      <c r="N3" s="288">
        <f>SUM(I3:M3)</f>
        <v>16758802606.98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ENEL'!F22</f>
        <v>19090710142</v>
      </c>
      <c r="D4" s="292">
        <f>REMUNERACION_ENEL!G126</f>
        <v>56078860</v>
      </c>
      <c r="E4" s="292">
        <f>REMUNERACION_ENEL!D29+REMUNERACION_ENEL!N29</f>
        <v>55676152.700000003</v>
      </c>
      <c r="F4" s="292">
        <f>REMUNERACION_ENEL!I143</f>
        <v>1369435</v>
      </c>
      <c r="G4" s="292">
        <f>REMUNERACION_ENEL!H143</f>
        <v>0</v>
      </c>
      <c r="H4" s="340">
        <f t="shared" ref="H4:H8" si="1">SUM(C4:G4)</f>
        <v>19203834589.700001</v>
      </c>
      <c r="I4" s="291">
        <f>REMUNERACION_ENEL!D105</f>
        <v>19064501226.810005</v>
      </c>
      <c r="J4" s="292">
        <f>REMUNERACION_ENEL!N105</f>
        <v>24273229.890000001</v>
      </c>
      <c r="K4" s="292">
        <f>REMUNERACION_ENEL!D126</f>
        <v>44281124</v>
      </c>
      <c r="L4" s="353">
        <f>REMUNERACION_ENEL!E126</f>
        <v>0</v>
      </c>
      <c r="M4" s="292">
        <f>-REMUNERACION_ENEL!D67-REMUNERACION_ENEL!N67</f>
        <v>70779009</v>
      </c>
      <c r="N4" s="318">
        <f>SUM(I4:M4)</f>
        <v>19203834589.700005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ENEL'!F23</f>
        <v>14027201822</v>
      </c>
      <c r="D5" s="292">
        <f>REMUNERACION_ENEL!G127</f>
        <v>1307680</v>
      </c>
      <c r="E5" s="292">
        <f>REMUNERACION_ENEL!D30+REMUNERACION_ENEL!N30</f>
        <v>10055662.040000001</v>
      </c>
      <c r="F5" s="292">
        <f>REMUNERACION_ENEL!I144</f>
        <v>27040120</v>
      </c>
      <c r="G5" s="292">
        <f>REMUNERACION_ENEL!H144</f>
        <v>104231.83</v>
      </c>
      <c r="H5" s="340">
        <f t="shared" si="1"/>
        <v>14065709515.870001</v>
      </c>
      <c r="I5" s="291">
        <f>REMUNERACION_ENEL!D106</f>
        <v>13976635090.370001</v>
      </c>
      <c r="J5" s="292">
        <f>REMUNERACION_ENEL!N106</f>
        <v>13030575.5</v>
      </c>
      <c r="K5" s="292">
        <f>REMUNERACION_ENEL!D127</f>
        <v>44039530</v>
      </c>
      <c r="L5" s="353">
        <f>REMUNERACION_ENEL!E127</f>
        <v>0</v>
      </c>
      <c r="M5" s="292">
        <f>-REMUNERACION_ENEL!D68-REMUNERACION_ENEL!N68</f>
        <v>32004320</v>
      </c>
      <c r="N5" s="318">
        <f>SUM(I5:M5)</f>
        <v>14065709515.870001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ENEL'!F24</f>
        <v>6640391410</v>
      </c>
      <c r="D6" s="292">
        <f>REMUNERACION_ENEL!G128</f>
        <v>3610007</v>
      </c>
      <c r="E6" s="292">
        <f>REMUNERACION_ENEL!D31+REMUNERACION_ENEL!N31</f>
        <v>60774931.109999992</v>
      </c>
      <c r="F6" s="292">
        <f>REMUNERACION_ENEL!I145</f>
        <v>12430910</v>
      </c>
      <c r="G6" s="292">
        <f>REMUNERACION_ENEL!H145</f>
        <v>0</v>
      </c>
      <c r="H6" s="340">
        <f t="shared" si="1"/>
        <v>6717207258.1099997</v>
      </c>
      <c r="I6" s="291">
        <f>REMUNERACION_ENEL!D107</f>
        <v>6619403672.6899996</v>
      </c>
      <c r="J6" s="292">
        <f>REMUNERACION_ENEL!N107</f>
        <v>19208887.530000001</v>
      </c>
      <c r="K6" s="292">
        <f>REMUNERACION_ENEL!D128</f>
        <v>48826052</v>
      </c>
      <c r="L6" s="353">
        <f>REMUNERACION_ENEL!E128</f>
        <v>0</v>
      </c>
      <c r="M6" s="292">
        <f>-REMUNERACION_ENEL!D69-REMUNERACION_ENEL!N69</f>
        <v>29768645.890000001</v>
      </c>
      <c r="N6" s="318">
        <f t="shared" ref="N6:N7" si="3">SUM(I6:M6)</f>
        <v>6717207258.1099997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ENEL'!F25</f>
        <v>11725626627</v>
      </c>
      <c r="D7" s="292">
        <f>REMUNERACION_ENEL!G129</f>
        <v>0</v>
      </c>
      <c r="E7" s="292">
        <f>REMUNERACION_ENEL!D32+REMUNERACION_ENEL!N32</f>
        <v>23423861.739999998</v>
      </c>
      <c r="F7" s="292">
        <f>REMUNERACION_ENEL!I146</f>
        <v>526210</v>
      </c>
      <c r="G7" s="292">
        <f>REMUNERACION_ENEL!H146</f>
        <v>0</v>
      </c>
      <c r="H7" s="340">
        <f t="shared" si="1"/>
        <v>11749576698.74</v>
      </c>
      <c r="I7" s="291">
        <f>REMUNERACION_ENEL!D108</f>
        <v>11722516106.639999</v>
      </c>
      <c r="J7" s="292">
        <f>REMUNERACION_ENEL!N108</f>
        <v>8997077.0999999996</v>
      </c>
      <c r="K7" s="292">
        <f>REMUNERACION_ENEL!D129</f>
        <v>15997915</v>
      </c>
      <c r="L7" s="353">
        <f>REMUNERACION_ENEL!E129</f>
        <v>0</v>
      </c>
      <c r="M7" s="292">
        <f>-REMUNERACION_ENEL!D70-REMUNERACION_ENEL!N70</f>
        <v>2065600</v>
      </c>
      <c r="N7" s="318">
        <f t="shared" si="3"/>
        <v>11749576698.74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68144618192</v>
      </c>
      <c r="D9" s="290">
        <f t="shared" ref="D9:M9" si="4">SUM(D3:D8)</f>
        <v>61046127</v>
      </c>
      <c r="E9" s="290">
        <f t="shared" si="4"/>
        <v>247021750.10999998</v>
      </c>
      <c r="F9" s="290">
        <f t="shared" si="4"/>
        <v>41366675</v>
      </c>
      <c r="G9" s="290">
        <f t="shared" si="4"/>
        <v>1077925.29</v>
      </c>
      <c r="H9" s="290">
        <f t="shared" si="4"/>
        <v>68495130669.400002</v>
      </c>
      <c r="I9" s="290">
        <f t="shared" si="4"/>
        <v>68026235701.290009</v>
      </c>
      <c r="J9" s="290">
        <f t="shared" si="4"/>
        <v>82026262.269999996</v>
      </c>
      <c r="K9" s="290">
        <f t="shared" si="4"/>
        <v>236717169.25</v>
      </c>
      <c r="L9" s="290">
        <f t="shared" si="4"/>
        <v>0</v>
      </c>
      <c r="M9" s="290">
        <f t="shared" si="4"/>
        <v>150151536.59</v>
      </c>
      <c r="N9" s="290">
        <f>SUM(N3:N8)</f>
        <v>68495130669.400009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Recaudo'!D7</f>
        <v>68144618192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16643179604.779999</v>
      </c>
      <c r="E9" s="66">
        <f>REMUNERACION_ENEL!E104</f>
        <v>807895299.00000012</v>
      </c>
      <c r="F9" s="66">
        <f>REMUNERACION_ENEL!F104</f>
        <v>455912503.50999999</v>
      </c>
      <c r="G9" s="66">
        <f>REMUNERACION_ENEL!G104</f>
        <v>239329779.88</v>
      </c>
      <c r="H9" s="66">
        <f>REMUNERACION_ENEL!H104</f>
        <v>3761557796.75</v>
      </c>
      <c r="I9" s="66">
        <f>REMUNERACION_ENEL!I104</f>
        <v>132659753.62000002</v>
      </c>
      <c r="J9" s="66">
        <f>REMUNERACION_ENEL!J104</f>
        <v>-3589454665.5499997</v>
      </c>
      <c r="K9" s="30">
        <f>D9-E9-F9-G9-H9-I9-J9</f>
        <v>14835279137.569998</v>
      </c>
      <c r="L9" s="66">
        <f>REMUNERACION_ENEL!L104</f>
        <v>189185988</v>
      </c>
      <c r="M9" s="30">
        <f>K9-L9</f>
        <v>14646093149.569998</v>
      </c>
      <c r="N9" s="66">
        <f>REMUNERACION_ENEL!N104</f>
        <v>16516492.25</v>
      </c>
      <c r="O9" s="30">
        <f>M9+N9</f>
        <v>14662609641.819998</v>
      </c>
      <c r="Q9" s="4"/>
      <c r="S9" s="14">
        <v>1</v>
      </c>
      <c r="T9" s="61" t="s">
        <v>10</v>
      </c>
      <c r="U9" s="66">
        <f>REMUNERACION_ENEL!U104</f>
        <v>1167429697.9300001</v>
      </c>
      <c r="V9" s="66">
        <f>REMUNERACION_ENEL!V104</f>
        <v>1119851344.1899998</v>
      </c>
      <c r="W9" s="66">
        <f>REMUNERACION_ENEL!W104</f>
        <v>5299081059.21</v>
      </c>
      <c r="X9" s="66">
        <f>REMUNERACION_ENEL!X104</f>
        <v>2189246770.6300006</v>
      </c>
      <c r="Y9" s="66">
        <f>REMUNERACION_ENEL!Y104</f>
        <v>216286907.63999999</v>
      </c>
      <c r="Z9" s="66">
        <f>REMUNERACION_ENEL!Z104</f>
        <v>-189185988</v>
      </c>
      <c r="AA9" s="66">
        <f>REMUNERACION_ENEL!AA104</f>
        <v>-16656.379999999997</v>
      </c>
      <c r="AB9" s="66">
        <f>REMUNERACION_ENEL!AB104</f>
        <v>16516492.25</v>
      </c>
      <c r="AC9" s="66">
        <f>REMUNERACION_ENEL!AC104</f>
        <v>521.77</v>
      </c>
      <c r="AD9" s="66">
        <f>REMUNERACION_ENEL!AD104</f>
        <v>4843399492.5799999</v>
      </c>
      <c r="AE9" s="66">
        <f>REMUNERACION_ENEL!AE104</f>
        <v>1253944827.03</v>
      </c>
      <c r="AF9" s="69">
        <f>SUM(U9:AD9)</f>
        <v>14662609641.820002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19064501226.810005</v>
      </c>
      <c r="E10" s="66">
        <f>REMUNERACION_ENEL!E105</f>
        <v>1396129505.3300002</v>
      </c>
      <c r="F10" s="66">
        <f>REMUNERACION_ENEL!F105</f>
        <v>784878776.18999994</v>
      </c>
      <c r="G10" s="66">
        <f>REMUNERACION_ENEL!G105</f>
        <v>411247567.16000009</v>
      </c>
      <c r="H10" s="66">
        <f>REMUNERACION_ENEL!H105</f>
        <v>5582809669.8899994</v>
      </c>
      <c r="I10" s="66">
        <f>REMUNERACION_ENEL!I105</f>
        <v>216022487.64000002</v>
      </c>
      <c r="J10" s="66">
        <f>REMUNERACION_ENEL!J105</f>
        <v>-3241193714.1100001</v>
      </c>
      <c r="K10" s="31">
        <f t="shared" ref="K10:K13" si="0">D10-E10-F10-G10-H10-I10-J10</f>
        <v>13914606934.710005</v>
      </c>
      <c r="L10" s="66">
        <f>REMUNERACION_ENEL!L105</f>
        <v>266580256</v>
      </c>
      <c r="M10" s="31">
        <f>K10-L10</f>
        <v>13648026678.710005</v>
      </c>
      <c r="N10" s="66">
        <f>REMUNERACION_ENEL!N105</f>
        <v>24273229.890000001</v>
      </c>
      <c r="O10" s="31">
        <f t="shared" ref="O10:O13" si="1">M10+N10</f>
        <v>13672299908.600004</v>
      </c>
      <c r="Q10" s="4"/>
      <c r="S10" s="16">
        <v>2</v>
      </c>
      <c r="T10" s="62" t="s">
        <v>11</v>
      </c>
      <c r="U10" s="66">
        <f>REMUNERACION_ENEL!U105</f>
        <v>1893620444.5699999</v>
      </c>
      <c r="V10" s="66">
        <f>REMUNERACION_ENEL!V105</f>
        <v>1869892249.3700001</v>
      </c>
      <c r="W10" s="66">
        <f>REMUNERACION_ENEL!W105</f>
        <v>8814809316.3799992</v>
      </c>
      <c r="X10" s="66">
        <f>REMUNERACION_ENEL!X105</f>
        <v>2749999250.0999999</v>
      </c>
      <c r="Y10" s="66">
        <f>REMUNERACION_ENEL!Y105</f>
        <v>352820304.41000003</v>
      </c>
      <c r="Z10" s="66">
        <f>REMUNERACION_ENEL!Z105</f>
        <v>-266580256</v>
      </c>
      <c r="AA10" s="66">
        <f>REMUNERACION_ENEL!AA105</f>
        <v>90135.24</v>
      </c>
      <c r="AB10" s="66">
        <f>REMUNERACION_ENEL!AB105</f>
        <v>24273229.890000001</v>
      </c>
      <c r="AC10" s="66">
        <f>REMUNERACION_ENEL!AC105</f>
        <v>-109.61</v>
      </c>
      <c r="AD10" s="66">
        <f>REMUNERACION_ENEL!AD105</f>
        <v>-1766624655.7499995</v>
      </c>
      <c r="AE10" s="66">
        <f>REMUNERACION_ENEL!AE105</f>
        <v>-5007818369.8599997</v>
      </c>
      <c r="AF10" s="70">
        <f>SUM(U10:AD10)</f>
        <v>13672299908.599998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13976635090.370001</v>
      </c>
      <c r="E11" s="66">
        <f>REMUNERACION_ENEL!E106</f>
        <v>985637596.05999994</v>
      </c>
      <c r="F11" s="66">
        <f>REMUNERACION_ENEL!F106</f>
        <v>555973895.94999993</v>
      </c>
      <c r="G11" s="66">
        <f>REMUNERACION_ENEL!G106</f>
        <v>292056214.65000004</v>
      </c>
      <c r="H11" s="66">
        <f>REMUNERACION_ENEL!H106</f>
        <v>3381560449.0999999</v>
      </c>
      <c r="I11" s="66">
        <f>REMUNERACION_ENEL!I106</f>
        <v>124524527.32000001</v>
      </c>
      <c r="J11" s="66">
        <f>REMUNERACION_ENEL!J106</f>
        <v>-853244564.50999999</v>
      </c>
      <c r="K11" s="31">
        <f t="shared" si="0"/>
        <v>9490126971.8000011</v>
      </c>
      <c r="L11" s="66">
        <f>REMUNERACION_ENEL!L106</f>
        <v>154788536</v>
      </c>
      <c r="M11" s="31">
        <f>K11-L11</f>
        <v>9335338435.8000011</v>
      </c>
      <c r="N11" s="66">
        <f>REMUNERACION_ENEL!N106</f>
        <v>13030575.5</v>
      </c>
      <c r="O11" s="31">
        <f t="shared" si="1"/>
        <v>9348369011.3000011</v>
      </c>
      <c r="Q11" s="4"/>
      <c r="S11" s="16">
        <v>3</v>
      </c>
      <c r="T11" s="62" t="s">
        <v>12</v>
      </c>
      <c r="U11" s="66">
        <f>REMUNERACION_ENEL!U106</f>
        <v>1092110322.45</v>
      </c>
      <c r="V11" s="66">
        <f>REMUNERACION_ENEL!V106</f>
        <v>1072670179.5</v>
      </c>
      <c r="W11" s="66">
        <f>REMUNERACION_ENEL!W106</f>
        <v>5077455755.5400009</v>
      </c>
      <c r="X11" s="66">
        <f>REMUNERACION_ENEL!X106</f>
        <v>2292038481.0500002</v>
      </c>
      <c r="Y11" s="66">
        <f>REMUNERACION_ENEL!Y106</f>
        <v>203250483.36000001</v>
      </c>
      <c r="Z11" s="66">
        <f>REMUNERACION_ENEL!Z106</f>
        <v>-154788536</v>
      </c>
      <c r="AA11" s="66">
        <f>REMUNERACION_ENEL!AA106</f>
        <v>247376.99</v>
      </c>
      <c r="AB11" s="66">
        <f>REMUNERACION_ENEL!AB106</f>
        <v>13030575.5</v>
      </c>
      <c r="AC11" s="66">
        <f>REMUNERACION_ENEL!AC106</f>
        <v>0.94</v>
      </c>
      <c r="AD11" s="66">
        <f>REMUNERACION_ENEL!AD106</f>
        <v>-247645628.02999997</v>
      </c>
      <c r="AE11" s="66">
        <f>REMUNERACION_ENEL!AE106</f>
        <v>-1100890192.54</v>
      </c>
      <c r="AF11" s="70">
        <f>SUM(U11:AD11)</f>
        <v>9348369011.3000011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6619403672.6899996</v>
      </c>
      <c r="E12" s="66">
        <f>REMUNERACION_ENEL!E107</f>
        <v>409065767.94999999</v>
      </c>
      <c r="F12" s="66">
        <f>REMUNERACION_ENEL!F107</f>
        <v>229023916.59999999</v>
      </c>
      <c r="G12" s="66">
        <f>REMUNERACION_ENEL!G107</f>
        <v>119897084.47999999</v>
      </c>
      <c r="H12" s="66">
        <f>REMUNERACION_ENEL!H107</f>
        <v>1538751149.1300001</v>
      </c>
      <c r="I12" s="66">
        <f>REMUNERACION_ENEL!I107</f>
        <v>60407359.210000001</v>
      </c>
      <c r="J12" s="66">
        <f>REMUNERACION_ENEL!J107</f>
        <v>-699882713.37000012</v>
      </c>
      <c r="K12" s="31">
        <f t="shared" si="0"/>
        <v>4962141108.6899996</v>
      </c>
      <c r="L12" s="66">
        <f>REMUNERACION_ENEL!L107</f>
        <v>120391083</v>
      </c>
      <c r="M12" s="31">
        <f>K12-L12</f>
        <v>4841750025.6899996</v>
      </c>
      <c r="N12" s="66">
        <f>REMUNERACION_ENEL!N107</f>
        <v>19208887.530000001</v>
      </c>
      <c r="O12" s="31">
        <f t="shared" si="1"/>
        <v>4860958913.2199993</v>
      </c>
      <c r="Q12" s="4"/>
      <c r="S12" s="16">
        <v>4</v>
      </c>
      <c r="T12" s="62" t="s">
        <v>13</v>
      </c>
      <c r="U12" s="66">
        <f>REMUNERACION_ENEL!U107</f>
        <v>528790659.44</v>
      </c>
      <c r="V12" s="66">
        <f>REMUNERACION_ENEL!V107</f>
        <v>522948481.87</v>
      </c>
      <c r="W12" s="66">
        <f>REMUNERACION_ENEL!W107</f>
        <v>2676043606.7200003</v>
      </c>
      <c r="X12" s="66">
        <f>REMUNERACION_ENEL!X107</f>
        <v>1082748026.71</v>
      </c>
      <c r="Y12" s="66">
        <f>REMUNERACION_ENEL!Y107</f>
        <v>98745519.159999996</v>
      </c>
      <c r="Z12" s="66">
        <f>REMUNERACION_ENEL!Z107</f>
        <v>-120391083</v>
      </c>
      <c r="AA12" s="66">
        <f>REMUNERACION_ENEL!AA107</f>
        <v>-16918.300000000003</v>
      </c>
      <c r="AB12" s="66">
        <f>REMUNERACION_ENEL!AB107</f>
        <v>19208887.530000001</v>
      </c>
      <c r="AC12" s="66">
        <f>REMUNERACION_ENEL!AC107</f>
        <v>-448.53000000000003</v>
      </c>
      <c r="AD12" s="66">
        <f>REMUNERACION_ENEL!AD107</f>
        <v>52882181.620000005</v>
      </c>
      <c r="AE12" s="66">
        <f>REMUNERACION_ENEL!AE107</f>
        <v>-647000531.75000012</v>
      </c>
      <c r="AF12" s="70">
        <f>SUM(U12:AD12)</f>
        <v>4860958913.2199993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11722516106.639999</v>
      </c>
      <c r="E13" s="66">
        <f>REMUNERACION_ENEL!E108</f>
        <v>698148323.5</v>
      </c>
      <c r="F13" s="66">
        <f>REMUNERACION_ENEL!F108</f>
        <v>393737772.47000003</v>
      </c>
      <c r="G13" s="66">
        <f>REMUNERACION_ENEL!G108</f>
        <v>206413295.53999999</v>
      </c>
      <c r="H13" s="66">
        <f>REMUNERACION_ENEL!H108</f>
        <v>2744218164.2200003</v>
      </c>
      <c r="I13" s="66">
        <f>REMUNERACION_ENEL!I108</f>
        <v>104708073.91000001</v>
      </c>
      <c r="J13" s="66">
        <f>REMUNERACION_ENEL!J108</f>
        <v>-82959023.660000086</v>
      </c>
      <c r="K13" s="31">
        <f t="shared" si="0"/>
        <v>7658249500.6599989</v>
      </c>
      <c r="L13" s="66">
        <f>REMUNERACION_ENEL!L108</f>
        <v>128990446</v>
      </c>
      <c r="M13" s="40">
        <f>K13-L13</f>
        <v>7529259054.6599989</v>
      </c>
      <c r="N13" s="66">
        <f>REMUNERACION_ENEL!N108</f>
        <v>8997077.0999999996</v>
      </c>
      <c r="O13" s="40">
        <f t="shared" si="1"/>
        <v>7538256131.7599993</v>
      </c>
      <c r="Q13" s="4"/>
      <c r="S13" s="19">
        <v>5</v>
      </c>
      <c r="T13" s="63" t="s">
        <v>14</v>
      </c>
      <c r="U13" s="66">
        <f>REMUNERACION_ENEL!U108</f>
        <v>917978792.29999995</v>
      </c>
      <c r="V13" s="66">
        <f>REMUNERACION_ENEL!V108</f>
        <v>899476756.96000004</v>
      </c>
      <c r="W13" s="66">
        <f>REMUNERACION_ENEL!W108</f>
        <v>4621907148.9099998</v>
      </c>
      <c r="X13" s="66">
        <f>REMUNERACION_ENEL!X108</f>
        <v>2074170432.3500001</v>
      </c>
      <c r="Y13" s="66">
        <f>REMUNERACION_ENEL!Y108</f>
        <v>170858536.44999999</v>
      </c>
      <c r="Z13" s="66">
        <f>REMUNERACION_ENEL!Z108</f>
        <v>-128990446</v>
      </c>
      <c r="AA13" s="66">
        <f>REMUNERACION_ENEL!AA108</f>
        <v>-147049.65</v>
      </c>
      <c r="AB13" s="66">
        <f>REMUNERACION_ENEL!AB108</f>
        <v>8997077.0999999996</v>
      </c>
      <c r="AC13" s="66">
        <f>REMUNERACION_ENEL!AC108</f>
        <v>-33.33</v>
      </c>
      <c r="AD13" s="66">
        <f>REMUNERACION_ENEL!AD108</f>
        <v>-1025995083.3299999</v>
      </c>
      <c r="AE13" s="66">
        <f>REMUNERACION_ENEL!AE108</f>
        <v>-1108954106.99</v>
      </c>
      <c r="AF13" s="70">
        <f>SUM(U13:AD13)</f>
        <v>7538256131.7600021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68026235701.290009</v>
      </c>
      <c r="E14" s="43">
        <f t="shared" si="3"/>
        <v>4296876491.8400002</v>
      </c>
      <c r="F14" s="43">
        <f t="shared" si="3"/>
        <v>2419526864.7199993</v>
      </c>
      <c r="G14" s="43">
        <f t="shared" si="3"/>
        <v>1268943941.71</v>
      </c>
      <c r="H14" s="43">
        <f t="shared" si="3"/>
        <v>17008897229.09</v>
      </c>
      <c r="I14" s="43">
        <f t="shared" si="3"/>
        <v>638322201.70000005</v>
      </c>
      <c r="J14" s="43">
        <f t="shared" si="3"/>
        <v>-8466734681.1999998</v>
      </c>
      <c r="K14" s="32">
        <f t="shared" si="3"/>
        <v>50860403653.43</v>
      </c>
      <c r="L14" s="23">
        <f t="shared" si="3"/>
        <v>859936309</v>
      </c>
      <c r="M14" s="76">
        <f t="shared" si="3"/>
        <v>50000467344.43</v>
      </c>
      <c r="N14" s="23">
        <f t="shared" si="3"/>
        <v>82026262.269999996</v>
      </c>
      <c r="O14" s="76">
        <f t="shared" si="3"/>
        <v>50082493606.700005</v>
      </c>
      <c r="P14" s="2"/>
      <c r="Q14" s="4"/>
      <c r="S14" s="21"/>
      <c r="T14" s="22" t="s">
        <v>2</v>
      </c>
      <c r="U14" s="43">
        <f>SUM(U9:U13)</f>
        <v>5599929916.6899996</v>
      </c>
      <c r="V14" s="43">
        <f t="shared" ref="V14:AG14" si="4">SUM(V9:V13)</f>
        <v>5484839011.8900003</v>
      </c>
      <c r="W14" s="43">
        <f t="shared" si="4"/>
        <v>26489296886.760002</v>
      </c>
      <c r="X14" s="43">
        <f t="shared" si="4"/>
        <v>10388202960.84</v>
      </c>
      <c r="Y14" s="43">
        <f t="shared" si="4"/>
        <v>1041961751.02</v>
      </c>
      <c r="Z14" s="43">
        <f t="shared" si="4"/>
        <v>-859936309</v>
      </c>
      <c r="AA14" s="43">
        <f t="shared" si="4"/>
        <v>156887.9</v>
      </c>
      <c r="AB14" s="43">
        <f t="shared" si="4"/>
        <v>82026262.269999996</v>
      </c>
      <c r="AC14" s="43">
        <f t="shared" si="4"/>
        <v>-68.760000000000062</v>
      </c>
      <c r="AD14" s="43">
        <f t="shared" si="4"/>
        <v>1856016307.0900002</v>
      </c>
      <c r="AE14" s="43">
        <f>SUM(AE9:AE13)</f>
        <v>-6610718374.1099997</v>
      </c>
      <c r="AF14" s="68">
        <f t="shared" si="4"/>
        <v>50082493606.700005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49004230527.200005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REMUNERACION_ENEL!D125</f>
        <v>83572548.25</v>
      </c>
      <c r="E30" s="111">
        <f>REMUNERACION_ENEL!E125</f>
        <v>0</v>
      </c>
      <c r="G30" s="336">
        <f>REMUNERACION_ENEL!G125</f>
        <v>49580</v>
      </c>
      <c r="H30" s="310">
        <f>REMUNERACION_ENEL!H125</f>
        <v>97091142.519999996</v>
      </c>
      <c r="I30" s="309">
        <f>REMUNERACION_ENEL!I125</f>
        <v>973693.46</v>
      </c>
      <c r="J30" s="309">
        <f>REMUNERACION_ENEL!J125</f>
        <v>-15533961.699999999</v>
      </c>
      <c r="K30" s="309">
        <f>REMUNERACION_ENEL!K125</f>
        <v>0</v>
      </c>
      <c r="L30" s="309">
        <f>REMUNERACION_ENEL!L125</f>
        <v>16889.3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44281124</v>
      </c>
      <c r="E31" s="74">
        <f>REMUNERACION_ENEL!E126</f>
        <v>0</v>
      </c>
      <c r="G31" s="339">
        <f>REMUNERACION_ENEL!G126</f>
        <v>56078860</v>
      </c>
      <c r="H31" s="340">
        <f>REMUNERACION_ENEL!H126</f>
        <v>55676152.700000003</v>
      </c>
      <c r="I31" s="288">
        <f>REMUNERACION_ENEL!I126</f>
        <v>0</v>
      </c>
      <c r="J31" s="288">
        <f>REMUNERACION_ENEL!J126</f>
        <v>-70779009</v>
      </c>
      <c r="K31" s="288">
        <f>REMUNERACION_ENEL!K126</f>
        <v>5227240</v>
      </c>
      <c r="L31" s="288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44039530</v>
      </c>
      <c r="E32" s="74">
        <f>REMUNERACION_ENEL!E127</f>
        <v>0</v>
      </c>
      <c r="G32" s="339">
        <f>REMUNERACION_ENEL!G127</f>
        <v>1307680</v>
      </c>
      <c r="H32" s="340">
        <f>REMUNERACION_ENEL!H127</f>
        <v>10055662.040000001</v>
      </c>
      <c r="I32" s="288">
        <f>REMUNERACION_ENEL!I127</f>
        <v>104231.83</v>
      </c>
      <c r="J32" s="288">
        <f>REMUNERACION_ENEL!J127</f>
        <v>-32004320</v>
      </c>
      <c r="K32" s="288">
        <f>REMUNERACION_ENEL!K127</f>
        <v>0</v>
      </c>
      <c r="L32" s="288">
        <f>REMUNERACION_ENEL!L127</f>
        <v>79850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48826052</v>
      </c>
      <c r="E33" s="74">
        <f>REMUNERACION_ENEL!E128</f>
        <v>0</v>
      </c>
      <c r="G33" s="339">
        <f>REMUNERACION_ENEL!G128</f>
        <v>3610007</v>
      </c>
      <c r="H33" s="340">
        <f>REMUNERACION_ENEL!H128</f>
        <v>60774931.109999992</v>
      </c>
      <c r="I33" s="288">
        <f>REMUNERACION_ENEL!I128</f>
        <v>0</v>
      </c>
      <c r="J33" s="288">
        <f>REMUNERACION_ENEL!J128</f>
        <v>-29768645.890000001</v>
      </c>
      <c r="K33" s="288">
        <f>REMUNERACION_ENEL!K128</f>
        <v>11634964</v>
      </c>
      <c r="L33" s="288">
        <f>REMUNERACION_ENEL!L128</f>
        <v>386384.11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REMUNERACION_ENEL!D129</f>
        <v>15997915</v>
      </c>
      <c r="E34" s="139">
        <f>REMUNERACION_ENEL!E129</f>
        <v>0</v>
      </c>
      <c r="G34" s="339">
        <f>REMUNERACION_ENEL!G129</f>
        <v>0</v>
      </c>
      <c r="H34" s="340">
        <f>REMUNERACION_ENEL!H129</f>
        <v>23423861.739999998</v>
      </c>
      <c r="I34" s="288">
        <f>REMUNERACION_ENEL!I129</f>
        <v>0</v>
      </c>
      <c r="J34" s="288">
        <f>REMUNERACION_ENEL!J129</f>
        <v>-2065600</v>
      </c>
      <c r="K34" s="288">
        <f>REMUNERACION_ENEL!K129</f>
        <v>0</v>
      </c>
      <c r="L34" s="288">
        <f>REMUNERACION_ENEL!L129</f>
        <v>49280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236717169.25</v>
      </c>
      <c r="E36" s="107">
        <f>REMUNERACION_ENEL!E131</f>
        <v>0</v>
      </c>
      <c r="F36" s="45"/>
      <c r="G36" s="350">
        <f t="shared" ref="G36:L36" si="6">SUM(G30:G34)</f>
        <v>61046127</v>
      </c>
      <c r="H36" s="350">
        <f t="shared" si="6"/>
        <v>247021750.10999998</v>
      </c>
      <c r="I36" s="350">
        <f t="shared" si="6"/>
        <v>1077925.29</v>
      </c>
      <c r="J36" s="350">
        <f t="shared" si="6"/>
        <v>-150151536.59</v>
      </c>
      <c r="K36" s="350">
        <f t="shared" si="6"/>
        <v>16862204</v>
      </c>
      <c r="L36" s="350">
        <f t="shared" si="6"/>
        <v>532403.40999999992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7" zoomScaleNormal="100" workbookViewId="0">
      <selection activeCell="A97" sqref="A9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85546875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1:35" ht="12.75" thickBot="1" x14ac:dyDescent="0.25">
      <c r="A1" s="241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98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x14ac:dyDescent="0.2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x14ac:dyDescent="0.2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x14ac:dyDescent="0.2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x14ac:dyDescent="0.2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75" thickBot="1" x14ac:dyDescent="0.25">
      <c r="B13" s="324">
        <v>5</v>
      </c>
      <c r="C13" s="325" t="s">
        <v>14</v>
      </c>
      <c r="D13" s="296">
        <f>'Reporte Componentes R1'!F695</f>
        <v>26864220</v>
      </c>
      <c r="E13" s="296">
        <f>'Reporte Componentes R1'!G695</f>
        <v>1901488.25</v>
      </c>
      <c r="F13" s="296">
        <f>'Reporte Componentes R1'!H695</f>
        <v>1046824.27</v>
      </c>
      <c r="G13" s="296">
        <f>'Reporte Componentes R1'!I695</f>
        <v>567773.57999999996</v>
      </c>
      <c r="H13" s="296">
        <f>'Reporte Componentes R1'!J695</f>
        <v>6845302.7000000002</v>
      </c>
      <c r="I13" s="296">
        <f>'Reporte Componentes R1'!K695</f>
        <v>247794.92</v>
      </c>
      <c r="J13" s="296">
        <v>0</v>
      </c>
      <c r="K13" s="295">
        <f t="shared" si="0"/>
        <v>16255036.280000003</v>
      </c>
      <c r="L13" s="294">
        <v>0</v>
      </c>
      <c r="M13" s="298">
        <f>K13-L13</f>
        <v>16255036.280000003</v>
      </c>
      <c r="N13" s="299">
        <f>'Reporte Componentes R1'!L695</f>
        <v>0</v>
      </c>
      <c r="O13" s="298">
        <f>M13+N13</f>
        <v>16255036.280000003</v>
      </c>
      <c r="Q13" s="306"/>
      <c r="S13" s="324">
        <v>5</v>
      </c>
      <c r="T13" s="325" t="s">
        <v>14</v>
      </c>
      <c r="U13" s="296">
        <f>'Reporte Componentes R1'!M695</f>
        <v>2162004.0299999998</v>
      </c>
      <c r="V13" s="296">
        <f>'Reporte Componentes R1'!N695</f>
        <v>2129267.87</v>
      </c>
      <c r="W13" s="296">
        <f>'Reporte Componentes R1'!O695</f>
        <v>11087908.49</v>
      </c>
      <c r="X13" s="296">
        <f>'Reporte Componentes R1'!P695</f>
        <v>5438800.2300000004</v>
      </c>
      <c r="Y13" s="296">
        <f>'Reporte Componentes R1'!Q695</f>
        <v>407765.67</v>
      </c>
      <c r="Z13" s="319">
        <f>L13*-1</f>
        <v>0</v>
      </c>
      <c r="AA13" s="320">
        <f>'Reporte Componentes R1'!R695+'Reporte Componentes R1'!V695+'Reporte Componentes R1'!U695</f>
        <v>87.55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0</v>
      </c>
      <c r="AD13" s="291">
        <f t="shared" si="2"/>
        <v>-4970797.5599999996</v>
      </c>
      <c r="AE13" s="291">
        <f>'Reporte Componentes R1'!F696</f>
        <v>-4970797.5599999996</v>
      </c>
      <c r="AF13" s="322">
        <f t="shared" si="4"/>
        <v>16255036.280000005</v>
      </c>
      <c r="AG13" s="326">
        <f>(AF13-O13)</f>
        <v>1.862645149230957E-9</v>
      </c>
      <c r="AH13" s="1" t="b">
        <f t="shared" si="3"/>
        <v>1</v>
      </c>
      <c r="AI13" s="306"/>
    </row>
    <row r="14" spans="1:35" s="305" customFormat="1" ht="13.5" thickBot="1" x14ac:dyDescent="0.25">
      <c r="B14" s="327"/>
      <c r="C14" s="328" t="s">
        <v>2</v>
      </c>
      <c r="D14" s="290">
        <f>SUM(D9:D13)</f>
        <v>26864220</v>
      </c>
      <c r="E14" s="290">
        <f t="shared" ref="E14:O14" si="5">SUM(E9:E13)</f>
        <v>1901488.25</v>
      </c>
      <c r="F14" s="290">
        <f t="shared" si="5"/>
        <v>1046824.27</v>
      </c>
      <c r="G14" s="290">
        <f t="shared" si="5"/>
        <v>567773.57999999996</v>
      </c>
      <c r="H14" s="290">
        <f t="shared" si="5"/>
        <v>6845302.7000000002</v>
      </c>
      <c r="I14" s="290">
        <f t="shared" si="5"/>
        <v>247794.92</v>
      </c>
      <c r="J14" s="290">
        <f t="shared" si="5"/>
        <v>0</v>
      </c>
      <c r="K14" s="300">
        <f t="shared" si="5"/>
        <v>16255036.280000003</v>
      </c>
      <c r="L14" s="301">
        <f>SUM(L9:L13)</f>
        <v>0</v>
      </c>
      <c r="M14" s="302">
        <f t="shared" si="5"/>
        <v>16255036.280000003</v>
      </c>
      <c r="N14" s="301">
        <f t="shared" si="5"/>
        <v>0</v>
      </c>
      <c r="O14" s="302">
        <f t="shared" si="5"/>
        <v>16255036.280000003</v>
      </c>
      <c r="P14" s="329"/>
      <c r="Q14" s="306"/>
      <c r="S14" s="327"/>
      <c r="T14" s="328" t="s">
        <v>2</v>
      </c>
      <c r="U14" s="330">
        <f>SUM(U9:U13)</f>
        <v>2162004.0299999998</v>
      </c>
      <c r="V14" s="330">
        <f t="shared" ref="V14:AF14" si="6">SUM(V9:V13)</f>
        <v>2129267.87</v>
      </c>
      <c r="W14" s="330">
        <f t="shared" si="6"/>
        <v>11087908.49</v>
      </c>
      <c r="X14" s="330">
        <f t="shared" si="6"/>
        <v>5438800.2300000004</v>
      </c>
      <c r="Y14" s="330">
        <f t="shared" si="6"/>
        <v>407765.67</v>
      </c>
      <c r="Z14" s="290">
        <f t="shared" si="6"/>
        <v>0</v>
      </c>
      <c r="AA14" s="290">
        <f t="shared" si="6"/>
        <v>87.55</v>
      </c>
      <c r="AB14" s="290">
        <f t="shared" si="6"/>
        <v>0</v>
      </c>
      <c r="AC14" s="290">
        <f t="shared" si="6"/>
        <v>0</v>
      </c>
      <c r="AD14" s="290">
        <f>SUM(AD9:AD13)</f>
        <v>-4970797.5599999996</v>
      </c>
      <c r="AE14" s="290">
        <f>SUM(AE9:AE13)</f>
        <v>-4970797.5599999996</v>
      </c>
      <c r="AF14" s="331">
        <f t="shared" si="6"/>
        <v>16255036.280000005</v>
      </c>
      <c r="AG14" s="332">
        <f>SUM(AG9:AG13)</f>
        <v>1.862645149230957E-9</v>
      </c>
      <c r="AH14" s="1" t="b">
        <f t="shared" si="3"/>
        <v>1</v>
      </c>
      <c r="AI14" s="306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21225746.290000003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R2'!E164</f>
        <v>0</v>
      </c>
      <c r="E29" s="292">
        <f>'Rem. Anticipos R2'!F164</f>
        <v>0</v>
      </c>
      <c r="F29" s="292">
        <f>'Rem. Anticipos R2'!G164</f>
        <v>0</v>
      </c>
      <c r="G29" s="292">
        <f>'Rem. Anticipos R2'!H164</f>
        <v>0</v>
      </c>
      <c r="H29" s="292">
        <f>'Rem. Anticipos R2'!I164</f>
        <v>0</v>
      </c>
      <c r="I29" s="292">
        <f>'Rem. Anticipos R2'!J164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R2'!K164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R2'!L164</f>
        <v>0</v>
      </c>
      <c r="V29" s="317">
        <f>'Rem. Anticipos R2'!M164</f>
        <v>0</v>
      </c>
      <c r="W29" s="317">
        <f>'Rem. Anticipos R2'!N164</f>
        <v>0</v>
      </c>
      <c r="X29" s="317">
        <f>'Rem. Anticipos R2'!O164</f>
        <v>0</v>
      </c>
      <c r="Y29" s="318">
        <f>'Rem. Anticipos R2'!P164</f>
        <v>0</v>
      </c>
      <c r="Z29" s="319">
        <f>L29*-1</f>
        <v>0</v>
      </c>
      <c r="AA29" s="320">
        <f>'Rem. Anticipos R2'!Q164</f>
        <v>0</v>
      </c>
      <c r="AB29" s="294">
        <f>N29</f>
        <v>0</v>
      </c>
      <c r="AC29" s="320">
        <f>'Rem. Anticipos R2'!R164</f>
        <v>0</v>
      </c>
      <c r="AD29" s="291">
        <f>-J29+AE29</f>
        <v>0</v>
      </c>
      <c r="AE29" s="291">
        <f>'Rem. Anticipos R2'!E165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R2'!E282</f>
        <v>0</v>
      </c>
      <c r="E30" s="291">
        <f>'Rem. Anticipos R2'!F282</f>
        <v>0</v>
      </c>
      <c r="F30" s="291">
        <f>'Rem. Anticipos R2'!G282</f>
        <v>0</v>
      </c>
      <c r="G30" s="291">
        <f>'Rem. Anticipos R2'!H282</f>
        <v>0</v>
      </c>
      <c r="H30" s="291">
        <f>'Rem. Anticipos R2'!I282</f>
        <v>0</v>
      </c>
      <c r="I30" s="291">
        <f>'Rem. Anticipos R2'!J282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R2'!K282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R2'!L282</f>
        <v>0</v>
      </c>
      <c r="V30" s="316">
        <f>'Rem. Anticipos R2'!M282</f>
        <v>0</v>
      </c>
      <c r="W30" s="316">
        <f>'Rem. Anticipos R2'!N282</f>
        <v>0</v>
      </c>
      <c r="X30" s="316">
        <f>'Rem. Anticipos R2'!O282</f>
        <v>0</v>
      </c>
      <c r="Y30" s="316">
        <f>'Rem. Anticipos R2'!P282</f>
        <v>0</v>
      </c>
      <c r="Z30" s="319">
        <f>L30*-1</f>
        <v>0</v>
      </c>
      <c r="AA30" s="320">
        <f>'Rem. Anticipos R2'!Q282</f>
        <v>0</v>
      </c>
      <c r="AB30" s="294">
        <f>N30</f>
        <v>0</v>
      </c>
      <c r="AC30" s="320">
        <f>'Rem. Anticipos R2'!R282</f>
        <v>0</v>
      </c>
      <c r="AD30" s="291">
        <f t="shared" ref="AD30:AD32" si="10">-J30+AE30</f>
        <v>0</v>
      </c>
      <c r="AE30" s="291">
        <f>'Rem. Anticipos R2'!E283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R2'!E393</f>
        <v>0</v>
      </c>
      <c r="E31" s="291">
        <f>'Rem. Anticipos R2'!F393</f>
        <v>0</v>
      </c>
      <c r="F31" s="291">
        <f>'Rem. Anticipos R2'!G393</f>
        <v>0</v>
      </c>
      <c r="G31" s="291">
        <f>'Rem. Anticipos R2'!H393</f>
        <v>0</v>
      </c>
      <c r="H31" s="291">
        <f>'Rem. Anticipos R2'!I393</f>
        <v>0</v>
      </c>
      <c r="I31" s="291">
        <f>'Rem. Anticipos R2'!J393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R2'!K393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R2'!L393</f>
        <v>0</v>
      </c>
      <c r="V31" s="316">
        <f>'Rem. Anticipos R2'!M393</f>
        <v>0</v>
      </c>
      <c r="W31" s="316">
        <f>'Rem. Anticipos R2'!N393</f>
        <v>0</v>
      </c>
      <c r="X31" s="316">
        <f>'Rem. Anticipos R2'!O393</f>
        <v>0</v>
      </c>
      <c r="Y31" s="316">
        <f>'Rem. Anticipos R2'!P393</f>
        <v>0</v>
      </c>
      <c r="Z31" s="319">
        <f>L31*-1</f>
        <v>0</v>
      </c>
      <c r="AA31" s="320">
        <f>'Rem. Anticipos R2'!Q393</f>
        <v>0</v>
      </c>
      <c r="AB31" s="294">
        <f>N31</f>
        <v>0</v>
      </c>
      <c r="AC31" s="320">
        <f>'Rem. Anticipos R2'!R393</f>
        <v>0</v>
      </c>
      <c r="AD31" s="291">
        <f t="shared" si="10"/>
        <v>0</v>
      </c>
      <c r="AE31" s="291">
        <f>'Rem. Anticipos R2'!E394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R2'!E477</f>
        <v>6242402.4799999995</v>
      </c>
      <c r="E32" s="296">
        <f>'Rem. Anticipos R2'!F477</f>
        <v>452527.33</v>
      </c>
      <c r="F32" s="296">
        <f>'Rem. Anticipos R2'!G477</f>
        <v>258109.06</v>
      </c>
      <c r="G32" s="296">
        <f>'Rem. Anticipos R2'!H477</f>
        <v>110591.63</v>
      </c>
      <c r="H32" s="296">
        <f>'Rem. Anticipos R2'!I477</f>
        <v>1818962.03</v>
      </c>
      <c r="I32" s="296">
        <f>'Rem. Anticipos R2'!J477</f>
        <v>58814.97</v>
      </c>
      <c r="J32" s="289">
        <v>0</v>
      </c>
      <c r="K32" s="295">
        <f>D32-E32-F32-G32-H32-I32-J32</f>
        <v>3543397.4599999995</v>
      </c>
      <c r="L32" s="294">
        <v>0</v>
      </c>
      <c r="M32" s="298">
        <f>K32-L32</f>
        <v>3543397.4599999995</v>
      </c>
      <c r="N32" s="299">
        <f>'Rem. Anticipos R2'!K477</f>
        <v>0</v>
      </c>
      <c r="O32" s="298">
        <f t="shared" si="7"/>
        <v>3543397.4599999995</v>
      </c>
      <c r="Q32" s="306"/>
      <c r="S32" s="324">
        <v>5</v>
      </c>
      <c r="T32" s="325" t="s">
        <v>14</v>
      </c>
      <c r="U32" s="296">
        <f>'Rem. Anticipos R2'!L477</f>
        <v>533561.96</v>
      </c>
      <c r="V32" s="297">
        <f>'Rem. Anticipos R2'!M477</f>
        <v>533532.74</v>
      </c>
      <c r="W32" s="297">
        <f>'Rem. Anticipos R2'!N477</f>
        <v>2380320.94</v>
      </c>
      <c r="X32" s="297">
        <f>'Rem. Anticipos R2'!O477</f>
        <v>1293968.43</v>
      </c>
      <c r="Y32" s="289">
        <f>'Rem. Anticipos R2'!P477</f>
        <v>89200.76</v>
      </c>
      <c r="Z32" s="319">
        <f>L32*-1</f>
        <v>0</v>
      </c>
      <c r="AA32" s="320">
        <f>'Rem. Anticipos R2'!Q477</f>
        <v>-22.21</v>
      </c>
      <c r="AB32" s="294">
        <f>N32</f>
        <v>0</v>
      </c>
      <c r="AC32" s="320">
        <f>'Rem. Anticipos R2'!R477</f>
        <v>0</v>
      </c>
      <c r="AD32" s="291">
        <f t="shared" si="10"/>
        <v>-1287165.1599999999</v>
      </c>
      <c r="AE32" s="291">
        <f>'Rem. Anticipos R2'!E478</f>
        <v>-1287165.1599999999</v>
      </c>
      <c r="AF32" s="322">
        <f>SUM(U32:AD32)</f>
        <v>3543397.459999999</v>
      </c>
      <c r="AG32" s="326">
        <f>(AF32-O32)</f>
        <v>-4.6566128730773926E-10</v>
      </c>
      <c r="AH32" s="1" t="b">
        <f t="shared" si="8"/>
        <v>0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6242402.4799999995</v>
      </c>
      <c r="E33" s="290">
        <f>SUM(E28:E32)</f>
        <v>452527.33</v>
      </c>
      <c r="F33" s="290">
        <f t="shared" ref="F33:O33" si="12">SUM(F28:F32)</f>
        <v>258109.06</v>
      </c>
      <c r="G33" s="290">
        <f t="shared" si="12"/>
        <v>110591.63</v>
      </c>
      <c r="H33" s="290">
        <f t="shared" si="12"/>
        <v>1818962.03</v>
      </c>
      <c r="I33" s="290">
        <f t="shared" si="12"/>
        <v>58814.97</v>
      </c>
      <c r="J33" s="290">
        <f t="shared" si="12"/>
        <v>0</v>
      </c>
      <c r="K33" s="300">
        <f t="shared" si="12"/>
        <v>3543397.4599999995</v>
      </c>
      <c r="L33" s="301">
        <f t="shared" si="12"/>
        <v>0</v>
      </c>
      <c r="M33" s="302">
        <f t="shared" si="12"/>
        <v>3543397.4599999995</v>
      </c>
      <c r="N33" s="301">
        <f t="shared" si="12"/>
        <v>0</v>
      </c>
      <c r="O33" s="302">
        <f t="shared" si="12"/>
        <v>3543397.4599999995</v>
      </c>
      <c r="P33" s="329"/>
      <c r="Q33" s="306"/>
      <c r="S33" s="327"/>
      <c r="T33" s="328" t="s">
        <v>2</v>
      </c>
      <c r="U33" s="330">
        <f>SUM(U28:U32)</f>
        <v>533561.96</v>
      </c>
      <c r="V33" s="330">
        <f t="shared" ref="V33:AG33" si="13">SUM(V28:V32)</f>
        <v>533532.74</v>
      </c>
      <c r="W33" s="330">
        <f t="shared" si="13"/>
        <v>2380320.94</v>
      </c>
      <c r="X33" s="330">
        <f t="shared" si="13"/>
        <v>1293968.43</v>
      </c>
      <c r="Y33" s="330">
        <f t="shared" si="13"/>
        <v>89200.76</v>
      </c>
      <c r="Z33" s="290">
        <f t="shared" si="13"/>
        <v>0</v>
      </c>
      <c r="AA33" s="290">
        <f t="shared" si="13"/>
        <v>-22.21</v>
      </c>
      <c r="AB33" s="290">
        <f t="shared" si="13"/>
        <v>0</v>
      </c>
      <c r="AC33" s="290">
        <f t="shared" si="13"/>
        <v>0</v>
      </c>
      <c r="AD33" s="290">
        <f>SUM(AD28:AD32)</f>
        <v>-1287165.1599999999</v>
      </c>
      <c r="AE33" s="290">
        <f>SUM(AE28:AE32)</f>
        <v>-1287165.1599999999</v>
      </c>
      <c r="AF33" s="331">
        <f t="shared" si="13"/>
        <v>3543397.459999999</v>
      </c>
      <c r="AG33" s="332">
        <f t="shared" si="13"/>
        <v>-4.6566128730773926E-10</v>
      </c>
      <c r="AH33" s="1" t="b">
        <f t="shared" si="8"/>
        <v>0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4830584.8299999991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33106622.48</v>
      </c>
      <c r="E108" s="297">
        <f t="shared" si="40"/>
        <v>2354015.58</v>
      </c>
      <c r="F108" s="297">
        <f t="shared" si="40"/>
        <v>1304933.33</v>
      </c>
      <c r="G108" s="297">
        <f t="shared" si="40"/>
        <v>678365.21</v>
      </c>
      <c r="H108" s="297">
        <f t="shared" si="40"/>
        <v>8664264.7300000004</v>
      </c>
      <c r="I108" s="297">
        <f t="shared" si="40"/>
        <v>306609.89</v>
      </c>
      <c r="J108" s="297">
        <f t="shared" si="40"/>
        <v>0</v>
      </c>
      <c r="K108" s="295">
        <f t="shared" si="42"/>
        <v>19798433.739999998</v>
      </c>
      <c r="L108" s="294">
        <f>L13+L32+L51+L70+L89</f>
        <v>0</v>
      </c>
      <c r="M108" s="298">
        <f>K108-L108</f>
        <v>19798433.739999998</v>
      </c>
      <c r="N108" s="299">
        <f>N13+N32+N51+N70+N89</f>
        <v>0</v>
      </c>
      <c r="O108" s="298">
        <f t="shared" si="43"/>
        <v>19798433.739999998</v>
      </c>
      <c r="Q108" s="306"/>
      <c r="S108" s="324">
        <v>5</v>
      </c>
      <c r="T108" s="325" t="s">
        <v>14</v>
      </c>
      <c r="U108" s="296">
        <f t="shared" si="41"/>
        <v>2695565.9899999998</v>
      </c>
      <c r="V108" s="297">
        <f t="shared" si="41"/>
        <v>2662800.6100000003</v>
      </c>
      <c r="W108" s="297">
        <f t="shared" si="41"/>
        <v>13468229.43</v>
      </c>
      <c r="X108" s="297">
        <f t="shared" si="41"/>
        <v>6732768.6600000001</v>
      </c>
      <c r="Y108" s="289">
        <f t="shared" si="41"/>
        <v>496966.43</v>
      </c>
      <c r="Z108" s="319">
        <f t="shared" si="41"/>
        <v>0</v>
      </c>
      <c r="AA108" s="320">
        <f t="shared" si="41"/>
        <v>65.34</v>
      </c>
      <c r="AB108" s="294">
        <f t="shared" si="41"/>
        <v>0</v>
      </c>
      <c r="AC108" s="320">
        <f t="shared" si="41"/>
        <v>0</v>
      </c>
      <c r="AD108" s="291">
        <f>-J108+AE108</f>
        <v>-6257962.7199999997</v>
      </c>
      <c r="AE108" s="291">
        <f>AE13+AE32+AE51+AE70+AE89</f>
        <v>-6257962.7199999997</v>
      </c>
      <c r="AF108" s="322">
        <f>SUM(U108:AD108)</f>
        <v>19798433.740000002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46">SUM(D104:D108)</f>
        <v>33106622.48</v>
      </c>
      <c r="E109" s="290">
        <f t="shared" si="46"/>
        <v>2354015.58</v>
      </c>
      <c r="F109" s="290">
        <f t="shared" si="46"/>
        <v>1304933.33</v>
      </c>
      <c r="G109" s="290">
        <f t="shared" si="46"/>
        <v>678365.21</v>
      </c>
      <c r="H109" s="290">
        <f t="shared" si="46"/>
        <v>8664264.7300000004</v>
      </c>
      <c r="I109" s="290">
        <f t="shared" si="46"/>
        <v>306609.89</v>
      </c>
      <c r="J109" s="290">
        <f t="shared" si="46"/>
        <v>0</v>
      </c>
      <c r="K109" s="300">
        <f t="shared" si="46"/>
        <v>19798433.739999998</v>
      </c>
      <c r="L109" s="301">
        <f t="shared" si="46"/>
        <v>0</v>
      </c>
      <c r="M109" s="302">
        <f t="shared" si="46"/>
        <v>19798433.739999998</v>
      </c>
      <c r="N109" s="301">
        <f t="shared" si="46"/>
        <v>0</v>
      </c>
      <c r="O109" s="302">
        <f t="shared" si="46"/>
        <v>19798433.739999998</v>
      </c>
      <c r="P109" s="329"/>
      <c r="Q109" s="306"/>
      <c r="S109" s="327"/>
      <c r="T109" s="328" t="s">
        <v>2</v>
      </c>
      <c r="U109" s="330">
        <f>SUM(U104:U108)</f>
        <v>2695565.9899999998</v>
      </c>
      <c r="V109" s="330">
        <f t="shared" ref="V109:AF109" si="47">SUM(V104:V108)</f>
        <v>2662800.6100000003</v>
      </c>
      <c r="W109" s="330">
        <f t="shared" si="47"/>
        <v>13468229.43</v>
      </c>
      <c r="X109" s="330">
        <f t="shared" si="47"/>
        <v>6732768.6600000001</v>
      </c>
      <c r="Y109" s="330">
        <f t="shared" si="47"/>
        <v>496966.43</v>
      </c>
      <c r="Z109" s="290">
        <f t="shared" si="47"/>
        <v>0</v>
      </c>
      <c r="AA109" s="290">
        <f t="shared" si="47"/>
        <v>65.34</v>
      </c>
      <c r="AB109" s="290">
        <f t="shared" si="47"/>
        <v>0</v>
      </c>
      <c r="AC109" s="290">
        <f t="shared" si="47"/>
        <v>0</v>
      </c>
      <c r="AD109" s="290">
        <f t="shared" si="47"/>
        <v>-6257962.7199999997</v>
      </c>
      <c r="AE109" s="290">
        <f>SUM(AE104:AE108)</f>
        <v>-6257962.7199999997</v>
      </c>
      <c r="AF109" s="331">
        <f t="shared" si="47"/>
        <v>19798433.740000002</v>
      </c>
      <c r="AG109" s="332">
        <f>SUM(AG104:AG108)</f>
        <v>0</v>
      </c>
      <c r="AH109" s="1" t="b">
        <f t="shared" si="45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26056331.120000001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x14ac:dyDescent="0.2">
      <c r="B129" s="133">
        <v>5</v>
      </c>
      <c r="C129" s="138" t="s">
        <v>14</v>
      </c>
      <c r="D129" s="15">
        <f>'ANTICIPOS USUARIOS'!L7</f>
        <v>1781103</v>
      </c>
      <c r="E129" s="139">
        <v>0</v>
      </c>
      <c r="G129" s="339">
        <f>D51+N51</f>
        <v>0</v>
      </c>
      <c r="H129" s="340">
        <f>D32+N32</f>
        <v>6242402.4799999995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75" thickBot="1" x14ac:dyDescent="0.25">
      <c r="B131" s="95"/>
      <c r="C131" s="106" t="s">
        <v>2</v>
      </c>
      <c r="D131" s="107">
        <f>SUM(D125:D130)</f>
        <v>1781103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6242402.4799999995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34887725.480000004</v>
      </c>
      <c r="E146" s="18">
        <f>'Recaudo ENERBIT'!F25</f>
        <v>28645323</v>
      </c>
      <c r="F146" s="134">
        <f>D32+N32</f>
        <v>6242402.4799999995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6242402.4799999995</v>
      </c>
      <c r="L146" s="525">
        <f>D146-E146-F146-G146-J146-H146-I146</f>
        <v>4.6566128730773926E-9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34887725.480000004</v>
      </c>
      <c r="E147" s="47">
        <f>SUM(E142:E146)</f>
        <v>28645323</v>
      </c>
      <c r="F147" s="47">
        <f t="shared" ref="F147:K147" si="52">SUM(F142:F146)</f>
        <v>6242402.4799999995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6242402.4799999995</v>
      </c>
      <c r="L147" s="525">
        <f>SUM(L142:L146)</f>
        <v>4.6566128730773926E-9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ENERBIT'!F25</f>
        <v>28645323</v>
      </c>
      <c r="D7" s="292">
        <f>REMUNERACION_ENERBIT!G129</f>
        <v>0</v>
      </c>
      <c r="E7" s="292">
        <f>REMUNERACION_ENERBIT!D32+REMUNERACION_ENERBIT!N32</f>
        <v>6242402.4799999995</v>
      </c>
      <c r="F7" s="292">
        <f>REMUNERACION_ENERBIT!I146</f>
        <v>0</v>
      </c>
      <c r="G7" s="292">
        <f>REMUNERACION_ENERBIT!H146</f>
        <v>0</v>
      </c>
      <c r="H7" s="340">
        <f t="shared" si="1"/>
        <v>34887725.479999997</v>
      </c>
      <c r="I7" s="291">
        <f>REMUNERACION_ENERBIT!D108</f>
        <v>33106622.48</v>
      </c>
      <c r="J7" s="292">
        <f>REMUNERACION_ENERBIT!N108</f>
        <v>0</v>
      </c>
      <c r="K7" s="292">
        <f>REMUNERACION_ENERBIT!D129</f>
        <v>1781103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34887725.480000004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28645323</v>
      </c>
      <c r="D9" s="290">
        <f t="shared" ref="D9:M9" si="4">SUM(D3:D8)</f>
        <v>0</v>
      </c>
      <c r="E9" s="290">
        <f t="shared" si="4"/>
        <v>6242402.4799999995</v>
      </c>
      <c r="F9" s="290">
        <f t="shared" si="4"/>
        <v>0</v>
      </c>
      <c r="G9" s="290">
        <f t="shared" si="4"/>
        <v>0</v>
      </c>
      <c r="H9" s="290">
        <f t="shared" si="4"/>
        <v>34887725.479999997</v>
      </c>
      <c r="I9" s="290">
        <f t="shared" si="4"/>
        <v>33106622.48</v>
      </c>
      <c r="J9" s="290">
        <f t="shared" si="4"/>
        <v>0</v>
      </c>
      <c r="K9" s="290">
        <f t="shared" si="4"/>
        <v>1781103</v>
      </c>
      <c r="L9" s="290">
        <f t="shared" si="4"/>
        <v>0</v>
      </c>
      <c r="M9" s="290">
        <f t="shared" si="4"/>
        <v>0</v>
      </c>
      <c r="N9" s="290">
        <f>SUM(N3:N8)</f>
        <v>34887725.480000004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Recaudo'!D8</f>
        <v>28645323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33106622.48</v>
      </c>
      <c r="E13" s="66">
        <f>REMUNERACION_ENERBIT!E108</f>
        <v>2354015.58</v>
      </c>
      <c r="F13" s="66">
        <f>REMUNERACION_ENERBIT!F108</f>
        <v>1304933.33</v>
      </c>
      <c r="G13" s="66">
        <f>REMUNERACION_ENERBIT!G108</f>
        <v>678365.21</v>
      </c>
      <c r="H13" s="66">
        <f>REMUNERACION_ENERBIT!H108</f>
        <v>8664264.7300000004</v>
      </c>
      <c r="I13" s="66">
        <f>REMUNERACION_ENERBIT!I108</f>
        <v>306609.89</v>
      </c>
      <c r="J13" s="66">
        <f>REMUNERACION_ENERBIT!J108</f>
        <v>0</v>
      </c>
      <c r="K13" s="31">
        <f t="shared" si="0"/>
        <v>19798433.739999998</v>
      </c>
      <c r="L13" s="66">
        <f>REMUNERACION_ENERBIT!L108</f>
        <v>0</v>
      </c>
      <c r="M13" s="40">
        <f>K13-L13</f>
        <v>19798433.739999998</v>
      </c>
      <c r="N13" s="66">
        <f>REMUNERACION_ENERBIT!N108</f>
        <v>0</v>
      </c>
      <c r="O13" s="40">
        <f t="shared" si="1"/>
        <v>19798433.739999998</v>
      </c>
      <c r="Q13" s="4"/>
      <c r="S13" s="19">
        <v>5</v>
      </c>
      <c r="T13" s="63" t="s">
        <v>14</v>
      </c>
      <c r="U13" s="66">
        <f>REMUNERACION_ENERBIT!U108</f>
        <v>2695565.9899999998</v>
      </c>
      <c r="V13" s="66">
        <f>REMUNERACION_ENERBIT!V108</f>
        <v>2662800.6100000003</v>
      </c>
      <c r="W13" s="66">
        <f>REMUNERACION_ENERBIT!W108</f>
        <v>13468229.43</v>
      </c>
      <c r="X13" s="66">
        <f>REMUNERACION_ENERBIT!X108</f>
        <v>6732768.6600000001</v>
      </c>
      <c r="Y13" s="66">
        <f>REMUNERACION_ENERBIT!Y108</f>
        <v>496966.43</v>
      </c>
      <c r="Z13" s="66">
        <f>REMUNERACION_ENERBIT!Z108</f>
        <v>0</v>
      </c>
      <c r="AA13" s="66">
        <f>REMUNERACION_ENERBIT!AA108</f>
        <v>65.34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-6257962.7199999997</v>
      </c>
      <c r="AE13" s="66">
        <f>REMUNERACION_ENERBIT!AE108</f>
        <v>-6257962.7199999997</v>
      </c>
      <c r="AF13" s="70">
        <f>SUM(U13:AD13)</f>
        <v>19798433.740000002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33106622.48</v>
      </c>
      <c r="E14" s="43">
        <f t="shared" si="3"/>
        <v>2354015.58</v>
      </c>
      <c r="F14" s="43">
        <f t="shared" si="3"/>
        <v>1304933.33</v>
      </c>
      <c r="G14" s="43">
        <f t="shared" si="3"/>
        <v>678365.21</v>
      </c>
      <c r="H14" s="43">
        <f t="shared" si="3"/>
        <v>8664264.7300000004</v>
      </c>
      <c r="I14" s="43">
        <f t="shared" si="3"/>
        <v>306609.89</v>
      </c>
      <c r="J14" s="43">
        <f t="shared" si="3"/>
        <v>0</v>
      </c>
      <c r="K14" s="32">
        <f t="shared" si="3"/>
        <v>19798433.739999998</v>
      </c>
      <c r="L14" s="23">
        <f t="shared" si="3"/>
        <v>0</v>
      </c>
      <c r="M14" s="76">
        <f t="shared" si="3"/>
        <v>19798433.739999998</v>
      </c>
      <c r="N14" s="23">
        <f t="shared" si="3"/>
        <v>0</v>
      </c>
      <c r="O14" s="76">
        <f t="shared" si="3"/>
        <v>19798433.739999998</v>
      </c>
      <c r="P14" s="2"/>
      <c r="Q14" s="4"/>
      <c r="S14" s="21"/>
      <c r="T14" s="22" t="s">
        <v>2</v>
      </c>
      <c r="U14" s="43">
        <f>SUM(U9:U13)</f>
        <v>2695565.9899999998</v>
      </c>
      <c r="V14" s="43">
        <f t="shared" ref="V14:AG14" si="4">SUM(V9:V13)</f>
        <v>2662800.6100000003</v>
      </c>
      <c r="W14" s="43">
        <f t="shared" si="4"/>
        <v>13468229.43</v>
      </c>
      <c r="X14" s="43">
        <f t="shared" si="4"/>
        <v>6732768.6600000001</v>
      </c>
      <c r="Y14" s="43">
        <f t="shared" si="4"/>
        <v>496966.43</v>
      </c>
      <c r="Z14" s="43">
        <f t="shared" si="4"/>
        <v>0</v>
      </c>
      <c r="AA14" s="43">
        <f t="shared" si="4"/>
        <v>65.34</v>
      </c>
      <c r="AB14" s="43">
        <f t="shared" si="4"/>
        <v>0</v>
      </c>
      <c r="AC14" s="43">
        <f t="shared" si="4"/>
        <v>0</v>
      </c>
      <c r="AD14" s="43">
        <f t="shared" si="4"/>
        <v>-6257962.7199999997</v>
      </c>
      <c r="AE14" s="43">
        <f>SUM(AE9:AE13)</f>
        <v>-6257962.7199999997</v>
      </c>
      <c r="AF14" s="68">
        <f t="shared" si="4"/>
        <v>19798433.740000002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26056331.120000001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REMUNERACION_ENERBIT!D129</f>
        <v>1781103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6242402.4799999995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2</v>
      </c>
      <c r="D36" s="107">
        <f t="shared" ref="D36" si="5">SUM(D30:D34)</f>
        <v>1781103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6242402.4799999995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7" zoomScaleNormal="100" workbookViewId="0">
      <selection activeCell="A124" sqref="A12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R1'!F95</f>
        <v>779194409.36000013</v>
      </c>
      <c r="E9" s="292">
        <f>'Reporte Componentes R1'!G95</f>
        <v>96578112.579999998</v>
      </c>
      <c r="F9" s="292">
        <f>'Reporte Componentes R1'!H95</f>
        <v>54231897.5</v>
      </c>
      <c r="G9" s="292">
        <f>'Reporte Componentes R1'!I95</f>
        <v>28481235.82</v>
      </c>
      <c r="H9" s="292">
        <f>'Reporte Componentes R1'!J95</f>
        <v>51159574.100000001</v>
      </c>
      <c r="I9" s="292">
        <f>'Reporte Componentes R1'!K95</f>
        <v>1633496.93</v>
      </c>
      <c r="J9" s="288">
        <v>0</v>
      </c>
      <c r="K9" s="293">
        <f>D9-E9-F9-G9-H9-I9-J9</f>
        <v>547110092.43000007</v>
      </c>
      <c r="L9" s="294">
        <v>0</v>
      </c>
      <c r="M9" s="293">
        <f>K9-L9</f>
        <v>547110092.43000007</v>
      </c>
      <c r="N9" s="294">
        <f>'Reporte Componentes R1'!L95</f>
        <v>8760824.0099999998</v>
      </c>
      <c r="O9" s="293">
        <f>M9+N9</f>
        <v>555870916.44000006</v>
      </c>
      <c r="Q9" s="306"/>
      <c r="S9" s="303">
        <v>1</v>
      </c>
      <c r="T9" s="304" t="s">
        <v>10</v>
      </c>
      <c r="U9" s="307">
        <f>'Reporte Componentes R1'!M95</f>
        <v>14374091.91</v>
      </c>
      <c r="V9" s="308">
        <f>'Reporte Componentes R1'!N95</f>
        <v>17418029.010000002</v>
      </c>
      <c r="W9" s="308">
        <f>'Reporte Componentes R1'!O95</f>
        <v>81009034.189999998</v>
      </c>
      <c r="X9" s="308">
        <f>'Reporte Componentes R1'!P95</f>
        <v>263621283.74000001</v>
      </c>
      <c r="Y9" s="309">
        <f>'Reporte Componentes R1'!Q95</f>
        <v>2666149.21</v>
      </c>
      <c r="Z9" s="310">
        <f>L9*-1</f>
        <v>0</v>
      </c>
      <c r="AA9" s="311">
        <f>'Reporte Componentes R1'!R95+'Reporte Componentes R1'!V95+'Reporte Componentes R1'!U95</f>
        <v>-780.94</v>
      </c>
      <c r="AB9" s="294">
        <f>N9</f>
        <v>8760824.0099999998</v>
      </c>
      <c r="AC9" s="311">
        <f>'Reporte Componentes R1'!T95+'Reporte Componentes R1'!W95+'Reporte Componentes R1'!X95+'Reporte Componentes R1'!Y95+'Reporte Componentes R1'!Z95+'Reporte Componentes R1'!S95</f>
        <v>-2114.38</v>
      </c>
      <c r="AD9" s="291">
        <f>-J9+AE9</f>
        <v>168024399.69</v>
      </c>
      <c r="AE9" s="291">
        <f>'Reporte Componentes R1'!F96</f>
        <v>168024399.69</v>
      </c>
      <c r="AF9" s="313">
        <f>SUM(U9:AD9)</f>
        <v>555870916.44000006</v>
      </c>
      <c r="AG9" s="311">
        <f>(AF9-O9)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R1'!F274</f>
        <v>1317332077.6099999</v>
      </c>
      <c r="E10" s="292">
        <f>'Reporte Componentes R1'!G274</f>
        <v>174138863.09</v>
      </c>
      <c r="F10" s="292">
        <f>'Reporte Componentes R1'!H274</f>
        <v>97452521.459999993</v>
      </c>
      <c r="G10" s="292">
        <f>'Reporte Componentes R1'!I274</f>
        <v>51434122.149999999</v>
      </c>
      <c r="H10" s="292">
        <f>'Reporte Componentes R1'!J274</f>
        <v>200102039.23000002</v>
      </c>
      <c r="I10" s="292">
        <f>'Reporte Componentes R1'!K274</f>
        <v>5459981.3300000001</v>
      </c>
      <c r="J10" s="288">
        <v>0</v>
      </c>
      <c r="K10" s="295">
        <f t="shared" ref="K10:K13" si="0">D10-E10-F10-G10-H10-I10-J10</f>
        <v>788744550.3499999</v>
      </c>
      <c r="L10" s="294">
        <v>0</v>
      </c>
      <c r="M10" s="295">
        <f>K10-L10</f>
        <v>788744550.3499999</v>
      </c>
      <c r="N10" s="294">
        <f>'Reporte Componentes R1'!L274</f>
        <v>29180991.390000001</v>
      </c>
      <c r="O10" s="295">
        <f t="shared" ref="O10:O12" si="1">M10+N10</f>
        <v>817925541.73999989</v>
      </c>
      <c r="Q10" s="306"/>
      <c r="S10" s="314">
        <v>2</v>
      </c>
      <c r="T10" s="315" t="s">
        <v>11</v>
      </c>
      <c r="U10" s="316">
        <f>'Reporte Componentes R1'!M274</f>
        <v>47842952.129999995</v>
      </c>
      <c r="V10" s="317">
        <f>'Reporte Componentes R1'!N274</f>
        <v>66078855.299999997</v>
      </c>
      <c r="W10" s="317">
        <f>'Reporte Componentes R1'!O274</f>
        <v>304314267.79000002</v>
      </c>
      <c r="X10" s="317">
        <f>'Reporte Componentes R1'!P274</f>
        <v>346567700.09999996</v>
      </c>
      <c r="Y10" s="318">
        <f>'Reporte Componentes R1'!Q274</f>
        <v>8939603.1600000001</v>
      </c>
      <c r="Z10" s="319">
        <f>L10*-1</f>
        <v>0</v>
      </c>
      <c r="AA10" s="320">
        <f>'Reporte Componentes R1'!R274+'Reporte Componentes R1'!V274+'Reporte Componentes R1'!U274</f>
        <v>-3345.45</v>
      </c>
      <c r="AB10" s="294">
        <f>N10</f>
        <v>29180991.390000001</v>
      </c>
      <c r="AC10" s="320">
        <f>'Reporte Componentes R1'!T274+'Reporte Componentes R1'!W274+'Reporte Componentes R1'!X274+'Reporte Componentes R1'!Y274+'Reporte Componentes R1'!Z274+'Reporte Componentes R1'!S274</f>
        <v>-13.53</v>
      </c>
      <c r="AD10" s="291">
        <f t="shared" ref="AD10:AD13" si="2">-J10+AE10</f>
        <v>15004530.85</v>
      </c>
      <c r="AE10" s="291">
        <f>'Reporte Componentes R1'!F275</f>
        <v>15004530.85</v>
      </c>
      <c r="AF10" s="322">
        <f>SUM(U10:AD10)</f>
        <v>817925541.73999989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R1'!F435</f>
        <v>1229014628.26</v>
      </c>
      <c r="E11" s="292">
        <f>'Reporte Componentes R1'!G435</f>
        <v>167230330.67000002</v>
      </c>
      <c r="F11" s="292">
        <f>'Reporte Componentes R1'!H435</f>
        <v>93972472.179999992</v>
      </c>
      <c r="G11" s="292">
        <f>'Reporte Componentes R1'!I435</f>
        <v>49551756.759999998</v>
      </c>
      <c r="H11" s="292">
        <f>'Reporte Componentes R1'!J435</f>
        <v>36451248.549999997</v>
      </c>
      <c r="I11" s="292">
        <f>'Reporte Componentes R1'!K435</f>
        <v>1126893.08</v>
      </c>
      <c r="J11" s="288">
        <v>0</v>
      </c>
      <c r="K11" s="295">
        <f t="shared" si="0"/>
        <v>880681927.01999998</v>
      </c>
      <c r="L11" s="294">
        <v>0</v>
      </c>
      <c r="M11" s="295">
        <f>K11-L11</f>
        <v>880681927.01999998</v>
      </c>
      <c r="N11" s="294">
        <f>'Reporte Componentes R1'!L435</f>
        <v>1311387.82</v>
      </c>
      <c r="O11" s="295">
        <f t="shared" si="1"/>
        <v>881993314.84000003</v>
      </c>
      <c r="Q11" s="306"/>
      <c r="S11" s="314">
        <v>3</v>
      </c>
      <c r="T11" s="315" t="s">
        <v>12</v>
      </c>
      <c r="U11" s="316">
        <f>'Reporte Componentes R1'!M435</f>
        <v>9857217.8900000006</v>
      </c>
      <c r="V11" s="317">
        <f>'Reporte Componentes R1'!N435</f>
        <v>13264002.32</v>
      </c>
      <c r="W11" s="317">
        <f>'Reporte Componentes R1'!O435</f>
        <v>61942084.880000003</v>
      </c>
      <c r="X11" s="317">
        <f>'Reporte Componentes R1'!P435</f>
        <v>389042295.69999999</v>
      </c>
      <c r="Y11" s="318">
        <f>'Reporte Componentes R1'!Q435</f>
        <v>1840458.24</v>
      </c>
      <c r="Z11" s="319">
        <f>L11*-1</f>
        <v>0</v>
      </c>
      <c r="AA11" s="320">
        <f>'Reporte Componentes R1'!R435+'Reporte Componentes R1'!V435+'Reporte Componentes R1'!U435</f>
        <v>-1003.46</v>
      </c>
      <c r="AB11" s="294">
        <f>N11</f>
        <v>1311387.82</v>
      </c>
      <c r="AC11" s="320">
        <f>'Reporte Componentes R1'!T435+'Reporte Componentes R1'!W435+'Reporte Componentes R1'!X435+'Reporte Componentes R1'!Y435+'Reporte Componentes R1'!Z435+'Reporte Componentes R1'!S435</f>
        <v>-11886.56</v>
      </c>
      <c r="AD11" s="291">
        <f t="shared" si="2"/>
        <v>404748758.00999999</v>
      </c>
      <c r="AE11" s="291">
        <f>'Reporte Componentes R1'!F436</f>
        <v>404748758.00999999</v>
      </c>
      <c r="AF11" s="322">
        <f t="shared" ref="AF11:AF13" si="4">SUM(U11:AD11)</f>
        <v>881993314.83999991</v>
      </c>
      <c r="AG11" s="323">
        <f>(AF11-O11)</f>
        <v>-1.1920928955078125E-7</v>
      </c>
      <c r="AH11" s="1" t="b">
        <f t="shared" si="3"/>
        <v>0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R1'!F588</f>
        <v>457088264.26000005</v>
      </c>
      <c r="E12" s="292">
        <f>'Reporte Componentes R1'!G588</f>
        <v>51981760.799999997</v>
      </c>
      <c r="F12" s="292">
        <f>'Reporte Componentes R1'!H588</f>
        <v>28598318.150000002</v>
      </c>
      <c r="G12" s="292">
        <f>'Reporte Componentes R1'!I588</f>
        <v>14625062.6</v>
      </c>
      <c r="H12" s="292">
        <f>'Reporte Componentes R1'!J588</f>
        <v>53207476.460000001</v>
      </c>
      <c r="I12" s="292">
        <f>'Reporte Componentes R1'!K588</f>
        <v>1736150.0799999998</v>
      </c>
      <c r="J12" s="288">
        <v>0</v>
      </c>
      <c r="K12" s="295">
        <f t="shared" si="0"/>
        <v>306939496.17000008</v>
      </c>
      <c r="L12" s="294">
        <v>0</v>
      </c>
      <c r="M12" s="295">
        <f>K12-L12</f>
        <v>306939496.17000008</v>
      </c>
      <c r="N12" s="294">
        <f>'Reporte Componentes R1'!L588</f>
        <v>14919457.4</v>
      </c>
      <c r="O12" s="295">
        <f t="shared" si="1"/>
        <v>321858953.57000005</v>
      </c>
      <c r="Q12" s="306"/>
      <c r="S12" s="314">
        <v>4</v>
      </c>
      <c r="T12" s="315" t="s">
        <v>13</v>
      </c>
      <c r="U12" s="316">
        <f>'Reporte Componentes R1'!M588</f>
        <v>16813135.419999998</v>
      </c>
      <c r="V12" s="317">
        <f>'Reporte Componentes R1'!N588</f>
        <v>20989387.699999999</v>
      </c>
      <c r="W12" s="317">
        <f>'Reporte Componentes R1'!O588</f>
        <v>102824114.90000001</v>
      </c>
      <c r="X12" s="317">
        <f>'Reporte Componentes R1'!P588</f>
        <v>137777185.92000002</v>
      </c>
      <c r="Y12" s="318">
        <f>'Reporte Componentes R1'!Q588</f>
        <v>2838005.5900000003</v>
      </c>
      <c r="Z12" s="319">
        <f>L12*-1</f>
        <v>0</v>
      </c>
      <c r="AA12" s="320">
        <f>'Reporte Componentes R1'!R588+'Reporte Componentes R1'!V588+'Reporte Componentes R1'!U588</f>
        <v>576.65</v>
      </c>
      <c r="AB12" s="294">
        <f>N12</f>
        <v>14919457.4</v>
      </c>
      <c r="AC12" s="320">
        <f>'Reporte Componentes R1'!T588+'Reporte Componentes R1'!W588+'Reporte Componentes R1'!X588+'Reporte Componentes R1'!Y588+'Reporte Componentes R1'!Z588+'Reporte Componentes R1'!S588</f>
        <v>-80.570000000000007</v>
      </c>
      <c r="AD12" s="291">
        <f t="shared" si="2"/>
        <v>25697170.559999999</v>
      </c>
      <c r="AE12" s="291">
        <f>'Reporte Componentes R1'!F589</f>
        <v>25697170.559999999</v>
      </c>
      <c r="AF12" s="322">
        <f t="shared" si="4"/>
        <v>321858953.56999999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R1'!F700</f>
        <v>304989620.81</v>
      </c>
      <c r="E13" s="297">
        <f>'Reporte Componentes R1'!G700</f>
        <v>30071357.300000001</v>
      </c>
      <c r="F13" s="297">
        <f>'Reporte Componentes R1'!H700</f>
        <v>16806729.760000002</v>
      </c>
      <c r="G13" s="297">
        <f>'Reporte Componentes R1'!I700</f>
        <v>8826816.3499999996</v>
      </c>
      <c r="H13" s="297">
        <f>'Reporte Componentes R1'!J700</f>
        <v>17081891.02</v>
      </c>
      <c r="I13" s="297">
        <f>'Reporte Componentes R1'!K700</f>
        <v>809348.07</v>
      </c>
      <c r="J13" s="289">
        <v>0</v>
      </c>
      <c r="K13" s="295">
        <f t="shared" si="0"/>
        <v>231393478.31</v>
      </c>
      <c r="L13" s="294">
        <v>0</v>
      </c>
      <c r="M13" s="298">
        <f>K13-L13</f>
        <v>231393478.31</v>
      </c>
      <c r="N13" s="299">
        <f>'Reporte Componentes R1'!L700</f>
        <v>5904652.2300000004</v>
      </c>
      <c r="O13" s="298">
        <f>M13+N13</f>
        <v>237298130.53999999</v>
      </c>
      <c r="Q13" s="306"/>
      <c r="S13" s="324">
        <v>5</v>
      </c>
      <c r="T13" s="325" t="s">
        <v>14</v>
      </c>
      <c r="U13" s="296">
        <f>'Reporte Componentes R1'!M700</f>
        <v>7092178.5</v>
      </c>
      <c r="V13" s="297">
        <f>'Reporte Componentes R1'!N700</f>
        <v>8479028.6799999997</v>
      </c>
      <c r="W13" s="297">
        <f>'Reporte Componentes R1'!O700</f>
        <v>43405202.43</v>
      </c>
      <c r="X13" s="297">
        <f>'Reporte Componentes R1'!P700</f>
        <v>89395442.060000002</v>
      </c>
      <c r="Y13" s="289">
        <f>'Reporte Componentes R1'!Q700</f>
        <v>1330478.28</v>
      </c>
      <c r="Z13" s="319">
        <f>L13*-1</f>
        <v>0</v>
      </c>
      <c r="AA13" s="320">
        <f>'Reporte Componentes R1'!R700+'Reporte Componentes R1'!V700+'Reporte Componentes R1'!U700</f>
        <v>-673.41</v>
      </c>
      <c r="AB13" s="294">
        <f>N13</f>
        <v>5904652.2300000004</v>
      </c>
      <c r="AC13" s="320">
        <f>'Reporte Componentes R1'!T700+'Reporte Componentes R1'!W700+'Reporte Componentes R1'!X700+'Reporte Componentes R1'!Y700+'Reporte Componentes R1'!Z700+'Reporte Componentes R1'!S700</f>
        <v>0.35000000000000003</v>
      </c>
      <c r="AD13" s="291">
        <f t="shared" si="2"/>
        <v>81691821.420000002</v>
      </c>
      <c r="AE13" s="291">
        <f>'Reporte Componentes R1'!F701</f>
        <v>81691821.420000002</v>
      </c>
      <c r="AF13" s="322">
        <f t="shared" si="4"/>
        <v>237298130.54000002</v>
      </c>
      <c r="AG13" s="326">
        <f>(AF13-O13)</f>
        <v>2.9802322387695313E-8</v>
      </c>
      <c r="AH13" s="1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4087619000.3000002</v>
      </c>
      <c r="E14" s="290">
        <f t="shared" ref="E14:O14" si="5">SUM(E9:E13)</f>
        <v>520000424.44000006</v>
      </c>
      <c r="F14" s="290">
        <f t="shared" si="5"/>
        <v>291061939.04999995</v>
      </c>
      <c r="G14" s="290">
        <f t="shared" si="5"/>
        <v>152918993.67999998</v>
      </c>
      <c r="H14" s="290">
        <f t="shared" si="5"/>
        <v>358002229.35999995</v>
      </c>
      <c r="I14" s="290">
        <f t="shared" si="5"/>
        <v>10765869.49</v>
      </c>
      <c r="J14" s="290">
        <f t="shared" si="5"/>
        <v>0</v>
      </c>
      <c r="K14" s="300">
        <f t="shared" si="5"/>
        <v>2754869544.2800002</v>
      </c>
      <c r="L14" s="301">
        <f>SUM(L9:L13)</f>
        <v>0</v>
      </c>
      <c r="M14" s="302">
        <f t="shared" si="5"/>
        <v>2754869544.2800002</v>
      </c>
      <c r="N14" s="301">
        <f t="shared" si="5"/>
        <v>60077312.849999994</v>
      </c>
      <c r="O14" s="302">
        <f t="shared" si="5"/>
        <v>2814946857.1300001</v>
      </c>
      <c r="P14" s="329"/>
      <c r="Q14" s="306"/>
      <c r="S14" s="327"/>
      <c r="T14" s="328" t="s">
        <v>2</v>
      </c>
      <c r="U14" s="330">
        <f>SUM(U9:U13)</f>
        <v>95979575.849999994</v>
      </c>
      <c r="V14" s="330">
        <f t="shared" ref="V14:AF14" si="6">SUM(V9:V13)</f>
        <v>126229303.00999999</v>
      </c>
      <c r="W14" s="330">
        <f t="shared" si="6"/>
        <v>593494704.18999994</v>
      </c>
      <c r="X14" s="330">
        <f t="shared" si="6"/>
        <v>1226403907.52</v>
      </c>
      <c r="Y14" s="330">
        <f t="shared" si="6"/>
        <v>17614694.48</v>
      </c>
      <c r="Z14" s="290">
        <f t="shared" si="6"/>
        <v>0</v>
      </c>
      <c r="AA14" s="290">
        <f t="shared" si="6"/>
        <v>-5226.6099999999997</v>
      </c>
      <c r="AB14" s="290">
        <f t="shared" si="6"/>
        <v>60077312.849999994</v>
      </c>
      <c r="AC14" s="290">
        <f t="shared" si="6"/>
        <v>-14094.689999999999</v>
      </c>
      <c r="AD14" s="290">
        <f>SUM(AD9:AD13)</f>
        <v>695166680.52999985</v>
      </c>
      <c r="AE14" s="290">
        <f>SUM(AE9:AE13)</f>
        <v>695166680.52999985</v>
      </c>
      <c r="AF14" s="331">
        <f t="shared" si="6"/>
        <v>2814946857.1299996</v>
      </c>
      <c r="AG14" s="332">
        <f>SUM(AG9:AG13)</f>
        <v>-1.4901161193847656E-7</v>
      </c>
      <c r="AH14" s="1" t="b">
        <f t="shared" si="3"/>
        <v>0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2059722185.05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R2'!E59</f>
        <v>28857410.600000001</v>
      </c>
      <c r="E28" s="292">
        <f>'Rem. Anticipos R2'!F59</f>
        <v>2663940.84</v>
      </c>
      <c r="F28" s="292">
        <f>'Rem. Anticipos R2'!G59</f>
        <v>1501142.3</v>
      </c>
      <c r="G28" s="292">
        <f>'Rem. Anticipos R2'!H59</f>
        <v>893398.02</v>
      </c>
      <c r="H28" s="292">
        <f>'Rem. Anticipos R2'!I59</f>
        <v>2727207.12</v>
      </c>
      <c r="I28" s="292">
        <f>'Rem. Anticipos R2'!J59</f>
        <v>79662.820000000007</v>
      </c>
      <c r="J28" s="288">
        <v>0</v>
      </c>
      <c r="K28" s="293">
        <f>D28-E28-F28-G28-H28-I28-J28</f>
        <v>20992059.5</v>
      </c>
      <c r="L28" s="294">
        <v>0</v>
      </c>
      <c r="M28" s="293">
        <f>K28-L28</f>
        <v>20992059.5</v>
      </c>
      <c r="N28" s="294">
        <f>'Rem. Anticipos R2'!K59</f>
        <v>0</v>
      </c>
      <c r="O28" s="293">
        <f>M28+N28</f>
        <v>20992059.5</v>
      </c>
      <c r="Q28" s="306"/>
      <c r="S28" s="303">
        <v>1</v>
      </c>
      <c r="T28" s="304" t="s">
        <v>10</v>
      </c>
      <c r="U28" s="307">
        <f>'Rem. Anticipos R2'!L59</f>
        <v>757202.08</v>
      </c>
      <c r="V28" s="308">
        <f>'Rem. Anticipos R2'!M59</f>
        <v>985669.78</v>
      </c>
      <c r="W28" s="308">
        <f>'Rem. Anticipos R2'!N59</f>
        <v>4395697.5</v>
      </c>
      <c r="X28" s="308">
        <f>'Rem. Anticipos R2'!O59</f>
        <v>7892918.9900000002</v>
      </c>
      <c r="Y28" s="308">
        <f>'Rem. Anticipos R2'!P59</f>
        <v>124774.46</v>
      </c>
      <c r="Z28" s="310">
        <f>L28*-1</f>
        <v>0</v>
      </c>
      <c r="AA28" s="311">
        <f>'Rem. Anticipos R2'!Q59</f>
        <v>-73.2</v>
      </c>
      <c r="AB28" s="294">
        <f>N28</f>
        <v>0</v>
      </c>
      <c r="AC28" s="311">
        <f>'Rem. Anticipos R2'!R59</f>
        <v>0</v>
      </c>
      <c r="AD28" s="291">
        <f>-J28+AE28</f>
        <v>6835869.8899999997</v>
      </c>
      <c r="AE28" s="291">
        <f>'Rem. Anticipos R2'!E60</f>
        <v>6835869.8899999997</v>
      </c>
      <c r="AF28" s="313">
        <f>SUM(U28:AD28)</f>
        <v>20992059.5</v>
      </c>
      <c r="AG28" s="311">
        <f>(AF28-O28)</f>
        <v>0</v>
      </c>
      <c r="AH28" s="1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R2'!E167</f>
        <v>87448610.169999987</v>
      </c>
      <c r="E29" s="292">
        <f>'Rem. Anticipos R2'!F167</f>
        <v>9848126.5199999996</v>
      </c>
      <c r="F29" s="292">
        <f>'Rem. Anticipos R2'!G167</f>
        <v>5509676.3200000003</v>
      </c>
      <c r="G29" s="292">
        <f>'Rem. Anticipos R2'!H167</f>
        <v>2910689.54</v>
      </c>
      <c r="H29" s="292">
        <f>'Rem. Anticipos R2'!I167</f>
        <v>13922812.67</v>
      </c>
      <c r="I29" s="292">
        <f>'Rem. Anticipos R2'!J167</f>
        <v>411257.4</v>
      </c>
      <c r="J29" s="288">
        <v>0</v>
      </c>
      <c r="K29" s="295">
        <f t="shared" ref="K29:K31" si="7">D29-E29-F29-G29-H29-I29-J29</f>
        <v>54846047.719999976</v>
      </c>
      <c r="L29" s="294">
        <v>0</v>
      </c>
      <c r="M29" s="295">
        <f>K29-L29</f>
        <v>54846047.719999976</v>
      </c>
      <c r="N29" s="294">
        <f>'Rem. Anticipos R2'!K167</f>
        <v>0</v>
      </c>
      <c r="O29" s="295">
        <f t="shared" ref="O29:O32" si="8">M29+N29</f>
        <v>54846047.719999976</v>
      </c>
      <c r="Q29" s="306"/>
      <c r="S29" s="314">
        <v>2</v>
      </c>
      <c r="T29" s="315" t="s">
        <v>11</v>
      </c>
      <c r="U29" s="316">
        <f>'Rem. Anticipos R2'!L167</f>
        <v>3594860.85</v>
      </c>
      <c r="V29" s="317">
        <f>'Rem. Anticipos R2'!M167</f>
        <v>4259384.97</v>
      </c>
      <c r="W29" s="317">
        <f>'Rem. Anticipos R2'!N167</f>
        <v>16704666.720000001</v>
      </c>
      <c r="X29" s="317">
        <f>'Rem. Anticipos R2'!O167</f>
        <v>34691802.689999998</v>
      </c>
      <c r="Y29" s="318">
        <f>'Rem. Anticipos R2'!P167</f>
        <v>531755.86</v>
      </c>
      <c r="Z29" s="319">
        <f>L29*-1</f>
        <v>0</v>
      </c>
      <c r="AA29" s="320">
        <f>'Rem. Anticipos R2'!Q167</f>
        <v>66.31</v>
      </c>
      <c r="AB29" s="294">
        <f>N29</f>
        <v>0</v>
      </c>
      <c r="AC29" s="320">
        <f>'Rem. Anticipos R2'!R167</f>
        <v>0</v>
      </c>
      <c r="AD29" s="291">
        <f>-J29+AE29</f>
        <v>-4936489.68</v>
      </c>
      <c r="AE29" s="291">
        <f>'Rem. Anticipos R2'!E168</f>
        <v>-4936489.68</v>
      </c>
      <c r="AF29" s="322">
        <f>SUM(U29:AD29)</f>
        <v>54846047.719999999</v>
      </c>
      <c r="AG29" s="323">
        <f>(AF29-O29)</f>
        <v>2.2351741790771484E-8</v>
      </c>
      <c r="AH29" s="1" t="b">
        <f t="shared" ref="AH29:AH33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R2'!E285</f>
        <v>16553408.619999999</v>
      </c>
      <c r="E30" s="292">
        <f>'Rem. Anticipos R2'!F285</f>
        <v>1967684.86</v>
      </c>
      <c r="F30" s="292">
        <f>'Rem. Anticipos R2'!G285</f>
        <v>712268.5</v>
      </c>
      <c r="G30" s="292">
        <f>'Rem. Anticipos R2'!H285</f>
        <v>565645.02</v>
      </c>
      <c r="H30" s="292">
        <f>'Rem. Anticipos R2'!I285</f>
        <v>1569507.5</v>
      </c>
      <c r="I30" s="292">
        <f>'Rem. Anticipos R2'!J285</f>
        <v>42227.16</v>
      </c>
      <c r="J30" s="288">
        <v>0</v>
      </c>
      <c r="K30" s="295">
        <f t="shared" si="7"/>
        <v>11696075.58</v>
      </c>
      <c r="L30" s="294">
        <v>0</v>
      </c>
      <c r="M30" s="295">
        <f>K30-L30</f>
        <v>11696075.58</v>
      </c>
      <c r="N30" s="294">
        <f>'Rem. Anticipos R2'!K285</f>
        <v>0</v>
      </c>
      <c r="O30" s="295">
        <f t="shared" si="8"/>
        <v>11696075.58</v>
      </c>
      <c r="Q30" s="306"/>
      <c r="S30" s="314">
        <v>3</v>
      </c>
      <c r="T30" s="315" t="s">
        <v>12</v>
      </c>
      <c r="U30" s="316">
        <f>'Rem. Anticipos R2'!L285</f>
        <v>397564.25</v>
      </c>
      <c r="V30" s="317">
        <f>'Rem. Anticipos R2'!M285</f>
        <v>563201.06000000006</v>
      </c>
      <c r="W30" s="317">
        <f>'Rem. Anticipos R2'!N285</f>
        <v>2702825.49</v>
      </c>
      <c r="X30" s="317">
        <f>'Rem. Anticipos R2'!O285</f>
        <v>4820348.95</v>
      </c>
      <c r="Y30" s="318">
        <f>'Rem. Anticipos R2'!P285</f>
        <v>74361.179999999993</v>
      </c>
      <c r="Z30" s="319">
        <f>L30*-1</f>
        <v>0</v>
      </c>
      <c r="AA30" s="320">
        <f>'Rem. Anticipos R2'!Q285</f>
        <v>31.65</v>
      </c>
      <c r="AB30" s="294">
        <f>N30</f>
        <v>0</v>
      </c>
      <c r="AC30" s="320">
        <f>'Rem. Anticipos R2'!R285</f>
        <v>0</v>
      </c>
      <c r="AD30" s="291">
        <f t="shared" ref="AD30:AD32" si="10">-J30+AE30</f>
        <v>3137743</v>
      </c>
      <c r="AE30" s="291">
        <f>'Rem. Anticipos R2'!E286</f>
        <v>3137743</v>
      </c>
      <c r="AF30" s="322">
        <f>SUM(U30:AD30)</f>
        <v>11696075.58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R2'!E396</f>
        <v>34178649.799999997</v>
      </c>
      <c r="E31" s="292">
        <f>'Rem. Anticipos R2'!F396</f>
        <v>3414288.34</v>
      </c>
      <c r="F31" s="292">
        <f>'Rem. Anticipos R2'!G396</f>
        <v>1854126.13</v>
      </c>
      <c r="G31" s="292">
        <f>'Rem. Anticipos R2'!H396</f>
        <v>919021.33</v>
      </c>
      <c r="H31" s="292">
        <f>'Rem. Anticipos R2'!I396</f>
        <v>5255584.72</v>
      </c>
      <c r="I31" s="292">
        <f>'Rem. Anticipos R2'!J396</f>
        <v>198283.64</v>
      </c>
      <c r="J31" s="288">
        <v>0</v>
      </c>
      <c r="K31" s="295">
        <f t="shared" si="7"/>
        <v>22537345.640000001</v>
      </c>
      <c r="L31" s="294">
        <v>0</v>
      </c>
      <c r="M31" s="295">
        <f>K31-L31</f>
        <v>22537345.640000001</v>
      </c>
      <c r="N31" s="294">
        <f>'Rem. Anticipos R2'!K396</f>
        <v>0</v>
      </c>
      <c r="O31" s="295">
        <f t="shared" si="8"/>
        <v>22537345.640000001</v>
      </c>
      <c r="Q31" s="306"/>
      <c r="S31" s="314">
        <v>4</v>
      </c>
      <c r="T31" s="315" t="s">
        <v>13</v>
      </c>
      <c r="U31" s="316">
        <f>'Rem. Anticipos R2'!L396</f>
        <v>1581078.48</v>
      </c>
      <c r="V31" s="317">
        <f>'Rem. Anticipos R2'!M396</f>
        <v>1755343.15</v>
      </c>
      <c r="W31" s="317">
        <f>'Rem. Anticipos R2'!N396</f>
        <v>9281802.4800000004</v>
      </c>
      <c r="X31" s="317">
        <f>'Rem. Anticipos R2'!O396</f>
        <v>9224428.8599999994</v>
      </c>
      <c r="Y31" s="318">
        <f>'Rem. Anticipos R2'!P396</f>
        <v>314744.57</v>
      </c>
      <c r="Z31" s="319">
        <f>L31*-1</f>
        <v>0</v>
      </c>
      <c r="AA31" s="320">
        <f>'Rem. Anticipos R2'!Q396</f>
        <v>5.27</v>
      </c>
      <c r="AB31" s="294">
        <f>N31</f>
        <v>0</v>
      </c>
      <c r="AC31" s="320">
        <f>'Rem. Anticipos R2'!R396</f>
        <v>0</v>
      </c>
      <c r="AD31" s="291">
        <f t="shared" si="10"/>
        <v>379942.83</v>
      </c>
      <c r="AE31" s="291">
        <f>'Rem. Anticipos R2'!E397</f>
        <v>379942.83</v>
      </c>
      <c r="AF31" s="322">
        <f>SUM(U31:AD31)</f>
        <v>22537345.639999997</v>
      </c>
      <c r="AG31" s="323">
        <f t="shared" si="11"/>
        <v>-3.7252902984619141E-9</v>
      </c>
      <c r="AH31" s="1" t="b">
        <f t="shared" si="9"/>
        <v>0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R2'!E480</f>
        <v>13317238.189999999</v>
      </c>
      <c r="E32" s="297">
        <f>'Rem. Anticipos R2'!F480</f>
        <v>1159470.44</v>
      </c>
      <c r="F32" s="297">
        <f>'Rem. Anticipos R2'!G480</f>
        <v>657305.62</v>
      </c>
      <c r="G32" s="297">
        <f>'Rem. Anticipos R2'!H480</f>
        <v>315836.09999999998</v>
      </c>
      <c r="H32" s="297">
        <f>'Rem. Anticipos R2'!I480</f>
        <v>1350476.33</v>
      </c>
      <c r="I32" s="297">
        <f>'Rem. Anticipos R2'!J480</f>
        <v>40561.129999999997</v>
      </c>
      <c r="J32" s="289">
        <v>0</v>
      </c>
      <c r="K32" s="295">
        <f>D32-E32-F32-G32-H32-I32-J32</f>
        <v>9793588.5700000003</v>
      </c>
      <c r="L32" s="294">
        <v>0</v>
      </c>
      <c r="M32" s="298">
        <f>K32-L32</f>
        <v>9793588.5700000003</v>
      </c>
      <c r="N32" s="299">
        <f>'Rem. Anticipos R2'!K480</f>
        <v>990006.55</v>
      </c>
      <c r="O32" s="298">
        <f t="shared" si="8"/>
        <v>10783595.120000001</v>
      </c>
      <c r="Q32" s="306"/>
      <c r="S32" s="324">
        <v>5</v>
      </c>
      <c r="T32" s="325" t="s">
        <v>14</v>
      </c>
      <c r="U32" s="296">
        <f>'Rem. Anticipos R2'!L480</f>
        <v>476777.82</v>
      </c>
      <c r="V32" s="297">
        <f>'Rem. Anticipos R2'!M480</f>
        <v>602817.05000000005</v>
      </c>
      <c r="W32" s="297">
        <f>'Rem. Anticipos R2'!N480</f>
        <v>2563786.98</v>
      </c>
      <c r="X32" s="297">
        <f>'Rem. Anticipos R2'!O480</f>
        <v>3693019.78</v>
      </c>
      <c r="Y32" s="289">
        <f>'Rem. Anticipos R2'!P480</f>
        <v>51007.22</v>
      </c>
      <c r="Z32" s="319">
        <f>L32*-1</f>
        <v>0</v>
      </c>
      <c r="AA32" s="320">
        <f>'Rem. Anticipos R2'!Q480</f>
        <v>-78.19</v>
      </c>
      <c r="AB32" s="294">
        <f>N32</f>
        <v>990006.55</v>
      </c>
      <c r="AC32" s="320">
        <f>'Rem. Anticipos R2'!R480</f>
        <v>0</v>
      </c>
      <c r="AD32" s="291">
        <f t="shared" si="10"/>
        <v>2406257.91</v>
      </c>
      <c r="AE32" s="291">
        <f>'Rem. Anticipos R2'!E481</f>
        <v>2406257.91</v>
      </c>
      <c r="AF32" s="322">
        <f>SUM(U32:AD32)</f>
        <v>10783595.119999999</v>
      </c>
      <c r="AG32" s="326">
        <f>(AF32-O32)</f>
        <v>-1.862645149230957E-9</v>
      </c>
      <c r="AH32" s="1" t="b">
        <f t="shared" si="9"/>
        <v>0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180355317.38</v>
      </c>
      <c r="E33" s="290">
        <f>SUM(E28:E32)</f>
        <v>19053511</v>
      </c>
      <c r="F33" s="290">
        <f t="shared" ref="F33:O33" si="12">SUM(F28:F32)</f>
        <v>10234518.869999999</v>
      </c>
      <c r="G33" s="290">
        <f t="shared" si="12"/>
        <v>5604590.0099999998</v>
      </c>
      <c r="H33" s="290">
        <f t="shared" si="12"/>
        <v>24825588.339999996</v>
      </c>
      <c r="I33" s="290">
        <f t="shared" si="12"/>
        <v>771992.15</v>
      </c>
      <c r="J33" s="290">
        <f t="shared" si="12"/>
        <v>0</v>
      </c>
      <c r="K33" s="300">
        <f t="shared" si="12"/>
        <v>119865117.00999996</v>
      </c>
      <c r="L33" s="301">
        <f t="shared" si="12"/>
        <v>0</v>
      </c>
      <c r="M33" s="302">
        <f t="shared" si="12"/>
        <v>119865117.00999996</v>
      </c>
      <c r="N33" s="301">
        <f t="shared" si="12"/>
        <v>990006.55</v>
      </c>
      <c r="O33" s="302">
        <f t="shared" si="12"/>
        <v>120855123.55999997</v>
      </c>
      <c r="P33" s="329"/>
      <c r="Q33" s="306"/>
      <c r="S33" s="327"/>
      <c r="T33" s="328" t="s">
        <v>2</v>
      </c>
      <c r="U33" s="330">
        <f>SUM(U28:U32)</f>
        <v>6807483.4800000004</v>
      </c>
      <c r="V33" s="330">
        <f t="shared" ref="V33:AG33" si="13">SUM(V28:V32)</f>
        <v>8166416.0100000007</v>
      </c>
      <c r="W33" s="330">
        <f t="shared" si="13"/>
        <v>35648779.170000002</v>
      </c>
      <c r="X33" s="330">
        <f t="shared" si="13"/>
        <v>60322519.270000003</v>
      </c>
      <c r="Y33" s="330">
        <f t="shared" si="13"/>
        <v>1096643.29</v>
      </c>
      <c r="Z33" s="290">
        <f t="shared" si="13"/>
        <v>0</v>
      </c>
      <c r="AA33" s="290">
        <f t="shared" si="13"/>
        <v>-48.16</v>
      </c>
      <c r="AB33" s="290">
        <f t="shared" si="13"/>
        <v>990006.55</v>
      </c>
      <c r="AC33" s="290">
        <f t="shared" si="13"/>
        <v>0</v>
      </c>
      <c r="AD33" s="290">
        <f>SUM(AD28:AD32)</f>
        <v>7823323.9500000002</v>
      </c>
      <c r="AE33" s="290">
        <f>SUM(AE28:AE32)</f>
        <v>7823323.9500000002</v>
      </c>
      <c r="AF33" s="331">
        <f t="shared" si="13"/>
        <v>120855123.56</v>
      </c>
      <c r="AG33" s="332">
        <f t="shared" si="13"/>
        <v>1.6763806343078613E-8</v>
      </c>
      <c r="AH33" s="1" t="b">
        <f t="shared" si="9"/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112041841.22000001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R1'!F97</f>
        <v>0</v>
      </c>
      <c r="E47" s="292">
        <f>'Reporte Componentes R1'!G97</f>
        <v>0</v>
      </c>
      <c r="F47" s="292">
        <f>'Reporte Componentes R1'!H97</f>
        <v>0</v>
      </c>
      <c r="G47" s="292">
        <f>'Reporte Componentes R1'!I97</f>
        <v>0</v>
      </c>
      <c r="H47" s="292">
        <f>'Reporte Componentes R1'!J97</f>
        <v>0</v>
      </c>
      <c r="I47" s="292">
        <f>'Reporte Componentes R1'!K97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R1'!M97</f>
        <v>0</v>
      </c>
      <c r="V47" s="308">
        <f>'Reporte Componentes R1'!N97</f>
        <v>0</v>
      </c>
      <c r="W47" s="308">
        <f>'Reporte Componentes R1'!O97</f>
        <v>0</v>
      </c>
      <c r="X47" s="308">
        <f>'Reporte Componentes R1'!P97</f>
        <v>0</v>
      </c>
      <c r="Y47" s="309">
        <f>'Reporte Componentes R1'!Q97</f>
        <v>0</v>
      </c>
      <c r="Z47" s="310">
        <f>-L47</f>
        <v>0</v>
      </c>
      <c r="AA47" s="311">
        <f>'Reporte Componentes R1'!R97+'Reporte Componentes R1'!V97+'Reporte Componentes R1'!U97</f>
        <v>0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0</v>
      </c>
      <c r="AE47" s="291">
        <f>'Reporte Componentes R1'!F98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R1'!F276</f>
        <v>111210</v>
      </c>
      <c r="E48" s="292">
        <f>'Reporte Componentes R1'!G276</f>
        <v>11965.66</v>
      </c>
      <c r="F48" s="292">
        <f>'Reporte Componentes R1'!H276</f>
        <v>6772.46</v>
      </c>
      <c r="G48" s="292">
        <f>'Reporte Componentes R1'!I276</f>
        <v>3619.41</v>
      </c>
      <c r="H48" s="292">
        <f>'Reporte Componentes R1'!J276</f>
        <v>66663.69</v>
      </c>
      <c r="I48" s="292">
        <f>'Reporte Componentes R1'!K276</f>
        <v>1934.64</v>
      </c>
      <c r="J48" s="288">
        <v>0</v>
      </c>
      <c r="K48" s="295">
        <f t="shared" ref="K48:K51" si="14">D48-E48-F48-G48-H48-I48-J48</f>
        <v>20254.139999999985</v>
      </c>
      <c r="L48" s="294">
        <v>0</v>
      </c>
      <c r="M48" s="295">
        <f>K48-L48</f>
        <v>20254.139999999985</v>
      </c>
      <c r="N48" s="294">
        <f>'Reporte Componentes R1'!L276</f>
        <v>0</v>
      </c>
      <c r="O48" s="295">
        <f t="shared" ref="O48:O51" si="15">M48+N48</f>
        <v>20254.139999999985</v>
      </c>
      <c r="Q48" s="306"/>
      <c r="S48" s="314">
        <v>2</v>
      </c>
      <c r="T48" s="315" t="s">
        <v>11</v>
      </c>
      <c r="U48" s="316">
        <f>'Reporte Componentes R1'!M276</f>
        <v>16970.45</v>
      </c>
      <c r="V48" s="317">
        <f>'Reporte Componentes R1'!N276</f>
        <v>20142.73</v>
      </c>
      <c r="W48" s="317">
        <f>'Reporte Componentes R1'!O276</f>
        <v>93838.89</v>
      </c>
      <c r="X48" s="317">
        <f>'Reporte Componentes R1'!P276</f>
        <v>24111.07</v>
      </c>
      <c r="Y48" s="318">
        <f>'Reporte Componentes R1'!Q276</f>
        <v>3156.5</v>
      </c>
      <c r="Z48" s="319">
        <f>-L48</f>
        <v>0</v>
      </c>
      <c r="AA48" s="320">
        <f>'Reporte Componentes R1'!R276+'Reporte Componentes R1'!V276+'Reporte Componentes R1'!U276</f>
        <v>-3.24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-137962.26</v>
      </c>
      <c r="AE48" s="291">
        <f>'Reporte Componentes R1'!F277</f>
        <v>-137962.26</v>
      </c>
      <c r="AF48" s="322">
        <f>SUM(U48:AD48)</f>
        <v>20254.140000000014</v>
      </c>
      <c r="AG48" s="323">
        <f>(AF48-O48)</f>
        <v>2.9103830456733704E-11</v>
      </c>
      <c r="AH48" s="1" t="b">
        <f t="shared" ref="AH48:AH52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R1'!F590</f>
        <v>691194</v>
      </c>
      <c r="E50" s="292">
        <f>'Reporte Componentes R1'!G590</f>
        <v>51581.84</v>
      </c>
      <c r="F50" s="292">
        <f>'Reporte Componentes R1'!H590</f>
        <v>29163.39</v>
      </c>
      <c r="G50" s="292">
        <f>'Reporte Componentes R1'!I590</f>
        <v>15465.48</v>
      </c>
      <c r="H50" s="292">
        <f>'Reporte Componentes R1'!J590</f>
        <v>165858.38</v>
      </c>
      <c r="I50" s="292">
        <f>'Reporte Componentes R1'!K590</f>
        <v>4892.05</v>
      </c>
      <c r="J50" s="288">
        <v>0</v>
      </c>
      <c r="K50" s="295">
        <f t="shared" si="14"/>
        <v>424232.86000000004</v>
      </c>
      <c r="L50" s="294">
        <v>0</v>
      </c>
      <c r="M50" s="295">
        <f>K50-L50</f>
        <v>424232.86000000004</v>
      </c>
      <c r="N50" s="294">
        <f>'Reporte Componentes R1'!L590</f>
        <v>0</v>
      </c>
      <c r="O50" s="295">
        <f t="shared" si="15"/>
        <v>424232.86000000004</v>
      </c>
      <c r="Q50" s="306"/>
      <c r="S50" s="314">
        <v>4</v>
      </c>
      <c r="T50" s="315" t="s">
        <v>13</v>
      </c>
      <c r="U50" s="316">
        <f>'Reporte Componentes R1'!M590</f>
        <v>46424.71</v>
      </c>
      <c r="V50" s="317">
        <f>'Reporte Componentes R1'!N590</f>
        <v>49446.239999999998</v>
      </c>
      <c r="W50" s="317">
        <f>'Reporte Componentes R1'!O590</f>
        <v>210914.4</v>
      </c>
      <c r="X50" s="317">
        <f>'Reporte Componentes R1'!P590</f>
        <v>140655.57</v>
      </c>
      <c r="Y50" s="318">
        <f>'Reporte Componentes R1'!Q590</f>
        <v>7981.76</v>
      </c>
      <c r="Z50" s="319">
        <f>-L50</f>
        <v>0</v>
      </c>
      <c r="AA50" s="320">
        <f>'Reporte Componentes R1'!R590+'Reporte Componentes R1'!V590+'Reporte Componentes R1'!U590</f>
        <v>6.27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-31196.09</v>
      </c>
      <c r="AE50" s="291">
        <f>'Reporte Componentes R1'!F591</f>
        <v>-31196.09</v>
      </c>
      <c r="AF50" s="322">
        <f t="shared" si="18"/>
        <v>424232.86</v>
      </c>
      <c r="AG50" s="323">
        <f t="shared" si="19"/>
        <v>-5.8207660913467407E-11</v>
      </c>
      <c r="AH50" s="1" t="b">
        <f t="shared" si="17"/>
        <v>0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R1'!F702</f>
        <v>441849</v>
      </c>
      <c r="E51" s="297">
        <f>'Reporte Componentes R1'!G702</f>
        <v>26657.43</v>
      </c>
      <c r="F51" s="297">
        <f>'Reporte Componentes R1'!H702</f>
        <v>14138.02</v>
      </c>
      <c r="G51" s="297">
        <f>'Reporte Componentes R1'!I702</f>
        <v>7723.27</v>
      </c>
      <c r="H51" s="297">
        <f>'Reporte Componentes R1'!J702</f>
        <v>93911.73</v>
      </c>
      <c r="I51" s="297">
        <f>'Reporte Componentes R1'!K702</f>
        <v>2290.29</v>
      </c>
      <c r="J51" s="289">
        <v>0</v>
      </c>
      <c r="K51" s="295">
        <f t="shared" si="14"/>
        <v>297128.26</v>
      </c>
      <c r="L51" s="294">
        <v>0</v>
      </c>
      <c r="M51" s="298">
        <f>K51-L51</f>
        <v>297128.26</v>
      </c>
      <c r="N51" s="299">
        <f>'Reporte Componentes R1'!L702</f>
        <v>0</v>
      </c>
      <c r="O51" s="298">
        <f t="shared" si="15"/>
        <v>297128.26</v>
      </c>
      <c r="Q51" s="306"/>
      <c r="S51" s="324">
        <v>5</v>
      </c>
      <c r="T51" s="325" t="s">
        <v>14</v>
      </c>
      <c r="U51" s="296">
        <f>'Reporte Componentes R1'!M702</f>
        <v>20089.34</v>
      </c>
      <c r="V51" s="297">
        <f>'Reporte Componentes R1'!N702</f>
        <v>28092.36</v>
      </c>
      <c r="W51" s="297">
        <f>'Reporte Componentes R1'!O702</f>
        <v>141333</v>
      </c>
      <c r="X51" s="297">
        <f>'Reporte Componentes R1'!P702</f>
        <v>79544.789999999994</v>
      </c>
      <c r="Y51" s="289">
        <f>'Reporte Componentes R1'!Q702</f>
        <v>3736.7</v>
      </c>
      <c r="Z51" s="319">
        <f>-L51</f>
        <v>0</v>
      </c>
      <c r="AA51" s="320">
        <f>'Reporte Componentes R1'!R702+'Reporte Componentes R1'!V702+'Reporte Componentes R1'!U702</f>
        <v>2.69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24329.38</v>
      </c>
      <c r="AE51" s="291">
        <f>'Reporte Componentes R1'!F703</f>
        <v>24329.38</v>
      </c>
      <c r="AF51" s="322">
        <f t="shared" si="18"/>
        <v>297128.26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1244253</v>
      </c>
      <c r="E52" s="290">
        <f t="shared" si="20"/>
        <v>90204.93</v>
      </c>
      <c r="F52" s="290">
        <f t="shared" si="20"/>
        <v>50073.869999999995</v>
      </c>
      <c r="G52" s="290">
        <f t="shared" ref="G52" si="21">SUM(G47:G51)</f>
        <v>26808.16</v>
      </c>
      <c r="H52" s="290">
        <f t="shared" si="20"/>
        <v>326433.8</v>
      </c>
      <c r="I52" s="290">
        <f t="shared" si="20"/>
        <v>9116.98</v>
      </c>
      <c r="J52" s="290">
        <f t="shared" si="20"/>
        <v>0</v>
      </c>
      <c r="K52" s="300">
        <f t="shared" si="20"/>
        <v>741615.26</v>
      </c>
      <c r="L52" s="301">
        <f t="shared" si="20"/>
        <v>0</v>
      </c>
      <c r="M52" s="302">
        <f t="shared" si="20"/>
        <v>741615.26</v>
      </c>
      <c r="N52" s="301">
        <f t="shared" si="20"/>
        <v>0</v>
      </c>
      <c r="O52" s="302">
        <f t="shared" si="20"/>
        <v>741615.26</v>
      </c>
      <c r="P52" s="329"/>
      <c r="Q52" s="306"/>
      <c r="S52" s="327"/>
      <c r="T52" s="328" t="s">
        <v>2</v>
      </c>
      <c r="U52" s="330">
        <f>SUM(U47:U51)</f>
        <v>83484.5</v>
      </c>
      <c r="V52" s="330">
        <f t="shared" ref="V52:AG52" si="22">SUM(V47:V51)</f>
        <v>97681.33</v>
      </c>
      <c r="W52" s="330">
        <f t="shared" si="22"/>
        <v>446086.29</v>
      </c>
      <c r="X52" s="330">
        <f t="shared" si="22"/>
        <v>244311.43</v>
      </c>
      <c r="Y52" s="330">
        <f t="shared" si="22"/>
        <v>14874.96</v>
      </c>
      <c r="Z52" s="290">
        <f t="shared" si="22"/>
        <v>0</v>
      </c>
      <c r="AA52" s="290">
        <f t="shared" si="22"/>
        <v>5.7199999999999989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-144828.97</v>
      </c>
      <c r="AE52" s="290">
        <f>SUM(AE47:AE51)</f>
        <v>-144828.97</v>
      </c>
      <c r="AF52" s="331">
        <f t="shared" si="22"/>
        <v>741615.26</v>
      </c>
      <c r="AG52" s="332">
        <f t="shared" si="22"/>
        <v>-2.9103830456733704E-11</v>
      </c>
      <c r="AH52" s="1" t="b">
        <f t="shared" si="17"/>
        <v>0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886438.51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R4'!D85</f>
        <v>-1002751.39</v>
      </c>
      <c r="E66" s="292">
        <f>'Reversion Pagos R4'!E85</f>
        <v>-48320.26</v>
      </c>
      <c r="F66" s="292">
        <f>'Reversion Pagos R4'!F85</f>
        <v>-26461.59</v>
      </c>
      <c r="G66" s="292">
        <f>'Reversion Pagos R4'!G85</f>
        <v>-13894.78</v>
      </c>
      <c r="H66" s="292">
        <f>'Reversion Pagos R4'!H85</f>
        <v>-192321.07</v>
      </c>
      <c r="I66" s="292">
        <f>'Reversion Pagos R4'!I85</f>
        <v>-4769.8999999999996</v>
      </c>
      <c r="J66" s="288">
        <v>0</v>
      </c>
      <c r="K66" s="293">
        <f>D66-E66-F66-G66-H66-I66-J66</f>
        <v>-716983.78999999992</v>
      </c>
      <c r="L66" s="294">
        <v>0</v>
      </c>
      <c r="M66" s="293">
        <f>K66-L66</f>
        <v>-716983.78999999992</v>
      </c>
      <c r="N66" s="294">
        <f>'Reversion Pagos R4'!P85</f>
        <v>0</v>
      </c>
      <c r="O66" s="293">
        <f>M66+N66</f>
        <v>-716983.78999999992</v>
      </c>
      <c r="Q66" s="306"/>
      <c r="S66" s="303">
        <v>1</v>
      </c>
      <c r="T66" s="304" t="s">
        <v>10</v>
      </c>
      <c r="U66" s="307">
        <f>'Reversion Pagos R4'!J85</f>
        <v>-58128.54</v>
      </c>
      <c r="V66" s="308">
        <f>'Reversion Pagos R4'!K85</f>
        <v>-51931.95</v>
      </c>
      <c r="W66" s="308">
        <f>'Reversion Pagos R4'!L85</f>
        <v>-246615.55</v>
      </c>
      <c r="X66" s="308">
        <f>'Reversion Pagos R4'!M85</f>
        <v>-112108.07</v>
      </c>
      <c r="Y66" s="308">
        <f>'Reversion Pagos R4'!N85</f>
        <v>-7782.32</v>
      </c>
      <c r="Z66" s="310">
        <f>-L66</f>
        <v>0</v>
      </c>
      <c r="AA66" s="320">
        <f>'Reversion Pagos R4'!O85</f>
        <v>-10.3</v>
      </c>
      <c r="AB66" s="294">
        <f>N66</f>
        <v>0</v>
      </c>
      <c r="AC66" s="320">
        <f>+'Reversion Pagos R4'!Q85+'Reversion Pagos R4'!R85</f>
        <v>0</v>
      </c>
      <c r="AD66" s="291">
        <f>-J66+AE66</f>
        <v>-240407.06</v>
      </c>
      <c r="AE66" s="291">
        <f>'Reversion Pagos R4'!D86</f>
        <v>-240407.06</v>
      </c>
      <c r="AF66" s="313">
        <f>SUM(U66:AD66)</f>
        <v>-716983.79</v>
      </c>
      <c r="AG66" s="311">
        <f>(AF66-O66)</f>
        <v>-1.1641532182693481E-10</v>
      </c>
      <c r="AH66" s="1" t="b">
        <f>INT(AG66)=0</f>
        <v>0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R4'!D186</f>
        <v>-290750</v>
      </c>
      <c r="E67" s="292">
        <f>'Reversion Pagos R4'!E186</f>
        <v>-43743.29</v>
      </c>
      <c r="F67" s="292">
        <f>'Reversion Pagos R4'!F186</f>
        <v>-24370.81</v>
      </c>
      <c r="G67" s="292">
        <f>'Reversion Pagos R4'!G186</f>
        <v>-13155.43</v>
      </c>
      <c r="H67" s="292">
        <f>'Reversion Pagos R4'!H186</f>
        <v>-79698.95</v>
      </c>
      <c r="I67" s="292">
        <f>'Reversion Pagos R4'!I186</f>
        <v>-2346.52</v>
      </c>
      <c r="J67" s="288">
        <v>0</v>
      </c>
      <c r="K67" s="295">
        <f t="shared" ref="K67:K70" si="24">D67-E67-F67-G67-H67-I67-J67</f>
        <v>-127435</v>
      </c>
      <c r="L67" s="294">
        <v>0</v>
      </c>
      <c r="M67" s="295">
        <f>K67-L67</f>
        <v>-127435</v>
      </c>
      <c r="N67" s="294">
        <f>'Reversion Pagos R4'!P186</f>
        <v>0</v>
      </c>
      <c r="O67" s="295">
        <f t="shared" ref="O67:O70" si="25">M67+N67</f>
        <v>-127435</v>
      </c>
      <c r="Q67" s="306"/>
      <c r="S67" s="314">
        <v>2</v>
      </c>
      <c r="T67" s="315" t="s">
        <v>11</v>
      </c>
      <c r="U67" s="316">
        <f>'Reversion Pagos R4'!J186</f>
        <v>-20583.689999999999</v>
      </c>
      <c r="V67" s="317">
        <f>'Reversion Pagos R4'!K186</f>
        <v>-20985.200000000001</v>
      </c>
      <c r="W67" s="317">
        <f>'Reversion Pagos R4'!L186</f>
        <v>-90885.63</v>
      </c>
      <c r="X67" s="317">
        <f>'Reversion Pagos R4'!M186</f>
        <v>-87049.75</v>
      </c>
      <c r="Y67" s="318">
        <f>'Reversion Pagos R4'!N186</f>
        <v>-3406.74</v>
      </c>
      <c r="Z67" s="319">
        <f t="shared" ref="Z67:Z70" si="26">-L67</f>
        <v>0</v>
      </c>
      <c r="AA67" s="320">
        <f>'Reversion Pagos R4'!O186</f>
        <v>4.55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95471.46</v>
      </c>
      <c r="AE67" s="291">
        <f>'Reversion Pagos R4'!D187</f>
        <v>95471.46</v>
      </c>
      <c r="AF67" s="322">
        <f>SUM(U67:AD67)</f>
        <v>-127435.00000000001</v>
      </c>
      <c r="AG67" s="323">
        <f>(AF67-O67)</f>
        <v>-1.4551915228366852E-11</v>
      </c>
      <c r="AH67" s="1" t="b">
        <f t="shared" ref="AH67:AH71" si="29">INT(AG67)=0</f>
        <v>0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R4'!D223</f>
        <v>-306659.8</v>
      </c>
      <c r="E68" s="292">
        <f>'Reversion Pagos R4'!E223</f>
        <v>-18693.55</v>
      </c>
      <c r="F68" s="292">
        <f>'Reversion Pagos R4'!F223</f>
        <v>-10379.85</v>
      </c>
      <c r="G68" s="292">
        <f>'Reversion Pagos R4'!G223</f>
        <v>-4689.01</v>
      </c>
      <c r="H68" s="292">
        <f>'Reversion Pagos R4'!H223</f>
        <v>-109918.57</v>
      </c>
      <c r="I68" s="292">
        <f>'Reversion Pagos R4'!I223</f>
        <v>-3364.6</v>
      </c>
      <c r="J68" s="288">
        <v>0</v>
      </c>
      <c r="K68" s="295">
        <f t="shared" si="24"/>
        <v>-159614.22</v>
      </c>
      <c r="L68" s="294">
        <v>0</v>
      </c>
      <c r="M68" s="295">
        <f>K68-L68</f>
        <v>-159614.22</v>
      </c>
      <c r="N68" s="294">
        <f>'Reversion Pagos R4'!P223</f>
        <v>0</v>
      </c>
      <c r="O68" s="295">
        <f t="shared" si="25"/>
        <v>-159614.22</v>
      </c>
      <c r="Q68" s="306"/>
      <c r="S68" s="314">
        <v>3</v>
      </c>
      <c r="T68" s="315" t="s">
        <v>12</v>
      </c>
      <c r="U68" s="316">
        <f>'Reversion Pagos R4'!J223</f>
        <v>-29514.26</v>
      </c>
      <c r="V68" s="317">
        <f>'Reversion Pagos R4'!K223</f>
        <v>-33174.65</v>
      </c>
      <c r="W68" s="317">
        <f>'Reversion Pagos R4'!L223</f>
        <v>-139418.01</v>
      </c>
      <c r="X68" s="317">
        <f>'Reversion Pagos R4'!M223</f>
        <v>-43609.04</v>
      </c>
      <c r="Y68" s="318">
        <f>'Reversion Pagos R4'!N223</f>
        <v>-5073.46</v>
      </c>
      <c r="Z68" s="319">
        <f t="shared" si="26"/>
        <v>0</v>
      </c>
      <c r="AA68" s="320">
        <f>'Reversion Pagos R4'!O223</f>
        <v>-0.6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91175.8</v>
      </c>
      <c r="AE68" s="291">
        <f>'Reversion Pagos R4'!D224</f>
        <v>91175.8</v>
      </c>
      <c r="AF68" s="322">
        <f t="shared" ref="AF68:AF70" si="30">SUM(U68:AD68)</f>
        <v>-159614.22000000003</v>
      </c>
      <c r="AG68" s="323">
        <f t="shared" ref="AG68:AG70" si="31">(AF68-O68)</f>
        <v>-2.9103830456733704E-11</v>
      </c>
      <c r="AH68" s="1" t="b">
        <f t="shared" si="29"/>
        <v>0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R4'!D338</f>
        <v>-3233428.34</v>
      </c>
      <c r="E69" s="292">
        <f>'Reversion Pagos R4'!E338</f>
        <v>-244475.28</v>
      </c>
      <c r="F69" s="292">
        <f>'Reversion Pagos R4'!F338</f>
        <v>-136481.51999999999</v>
      </c>
      <c r="G69" s="292">
        <f>'Reversion Pagos R4'!G338</f>
        <v>-70069.759999999995</v>
      </c>
      <c r="H69" s="292">
        <f>'Reversion Pagos R4'!H338</f>
        <v>-874916.54</v>
      </c>
      <c r="I69" s="292">
        <f>'Reversion Pagos R4'!I338</f>
        <v>-29547.52</v>
      </c>
      <c r="J69" s="288">
        <v>0</v>
      </c>
      <c r="K69" s="295">
        <f t="shared" si="24"/>
        <v>-1877937.7200000002</v>
      </c>
      <c r="L69" s="294">
        <v>0</v>
      </c>
      <c r="M69" s="295">
        <f>K69-L69</f>
        <v>-1877937.7200000002</v>
      </c>
      <c r="N69" s="294">
        <f>'Reversion Pagos R4'!P338</f>
        <v>0</v>
      </c>
      <c r="O69" s="295">
        <f t="shared" si="25"/>
        <v>-1877937.7200000002</v>
      </c>
      <c r="Q69" s="306"/>
      <c r="S69" s="314">
        <v>4</v>
      </c>
      <c r="T69" s="315" t="s">
        <v>13</v>
      </c>
      <c r="U69" s="316">
        <f>'Reversion Pagos R4'!J338</f>
        <v>-287002.90999999997</v>
      </c>
      <c r="V69" s="317">
        <f>'Reversion Pagos R4'!K338</f>
        <v>-286014.33</v>
      </c>
      <c r="W69" s="317">
        <f>'Reversion Pagos R4'!L338</f>
        <v>-1382695.11</v>
      </c>
      <c r="X69" s="317">
        <f>'Reversion Pagos R4'!M338</f>
        <v>-664042.92000000004</v>
      </c>
      <c r="Y69" s="318">
        <f>'Reversion Pagos R4'!N338</f>
        <v>-49987.93</v>
      </c>
      <c r="Z69" s="319">
        <f t="shared" si="26"/>
        <v>0</v>
      </c>
      <c r="AA69" s="320">
        <f>'Reversion Pagos R4'!O338</f>
        <v>14.81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791790.67</v>
      </c>
      <c r="AE69" s="291">
        <f>'Reversion Pagos R4'!D339</f>
        <v>791790.67</v>
      </c>
      <c r="AF69" s="322">
        <f>SUM(U69:AD69)</f>
        <v>-1877937.7200000002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R4'!D373</f>
        <v>-1026775.53</v>
      </c>
      <c r="E70" s="297">
        <f>'Reversion Pagos R4'!E373</f>
        <v>-73382.63</v>
      </c>
      <c r="F70" s="297">
        <f>'Reversion Pagos R4'!F373</f>
        <v>-40062.910000000003</v>
      </c>
      <c r="G70" s="297">
        <f>'Reversion Pagos R4'!G373</f>
        <v>-21037.22</v>
      </c>
      <c r="H70" s="297">
        <f>'Reversion Pagos R4'!H373</f>
        <v>-237911.25</v>
      </c>
      <c r="I70" s="297">
        <f>'Reversion Pagos R4'!I373</f>
        <v>-6630.82</v>
      </c>
      <c r="J70" s="289">
        <v>0</v>
      </c>
      <c r="K70" s="295">
        <f t="shared" si="24"/>
        <v>-647750.70000000007</v>
      </c>
      <c r="L70" s="294">
        <v>0</v>
      </c>
      <c r="M70" s="298">
        <f>K70-L70</f>
        <v>-647750.70000000007</v>
      </c>
      <c r="N70" s="294">
        <f>'Reversion Pagos R4'!P373</f>
        <v>0</v>
      </c>
      <c r="O70" s="298">
        <f t="shared" si="25"/>
        <v>-647750.70000000007</v>
      </c>
      <c r="Q70" s="306"/>
      <c r="S70" s="324">
        <v>5</v>
      </c>
      <c r="T70" s="325" t="s">
        <v>14</v>
      </c>
      <c r="U70" s="296">
        <f>'Reversion Pagos R4'!J373</f>
        <v>-58163.8</v>
      </c>
      <c r="V70" s="297">
        <f>'Reversion Pagos R4'!K373</f>
        <v>-68993.55</v>
      </c>
      <c r="W70" s="297">
        <f>'Reversion Pagos R4'!L373</f>
        <v>-354139.53</v>
      </c>
      <c r="X70" s="297">
        <f>'Reversion Pagos R4'!M373</f>
        <v>-219912.31</v>
      </c>
      <c r="Y70" s="289">
        <f>'Reversion Pagos R4'!N373</f>
        <v>-10818.54</v>
      </c>
      <c r="Z70" s="319">
        <f t="shared" si="26"/>
        <v>0</v>
      </c>
      <c r="AA70" s="320">
        <f>'Reversion Pagos R4'!O373</f>
        <v>-11.35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64288.38</v>
      </c>
      <c r="AE70" s="291">
        <f>'Reversion Pagos R4'!D374</f>
        <v>64288.38</v>
      </c>
      <c r="AF70" s="322">
        <f t="shared" si="30"/>
        <v>-647750.69999999995</v>
      </c>
      <c r="AG70" s="326">
        <f t="shared" si="31"/>
        <v>1.1641532182693481E-10</v>
      </c>
      <c r="AH70" s="1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-5860365.0600000005</v>
      </c>
      <c r="E71" s="290">
        <f t="shared" si="32"/>
        <v>-428615.01</v>
      </c>
      <c r="F71" s="290">
        <f t="shared" si="32"/>
        <v>-237756.68</v>
      </c>
      <c r="G71" s="290">
        <f t="shared" si="32"/>
        <v>-122846.2</v>
      </c>
      <c r="H71" s="290">
        <f t="shared" si="32"/>
        <v>-1494766.3800000001</v>
      </c>
      <c r="I71" s="290">
        <f t="shared" si="32"/>
        <v>-46659.360000000001</v>
      </c>
      <c r="J71" s="290">
        <f t="shared" si="32"/>
        <v>0</v>
      </c>
      <c r="K71" s="300">
        <f t="shared" si="32"/>
        <v>-3529721.43</v>
      </c>
      <c r="L71" s="301">
        <f t="shared" si="32"/>
        <v>0</v>
      </c>
      <c r="M71" s="302">
        <f t="shared" si="32"/>
        <v>-3529721.43</v>
      </c>
      <c r="N71" s="301">
        <f t="shared" si="32"/>
        <v>0</v>
      </c>
      <c r="O71" s="302">
        <f t="shared" si="32"/>
        <v>-3529721.43</v>
      </c>
      <c r="P71" s="329"/>
      <c r="Q71" s="306"/>
      <c r="S71" s="327"/>
      <c r="T71" s="328" t="s">
        <v>2</v>
      </c>
      <c r="U71" s="330">
        <f>SUM(U66:U70)</f>
        <v>-453393.19999999995</v>
      </c>
      <c r="V71" s="330">
        <f t="shared" ref="V71:AG71" si="33">SUM(V66:V70)</f>
        <v>-461099.68</v>
      </c>
      <c r="W71" s="330">
        <f t="shared" si="33"/>
        <v>-2213753.83</v>
      </c>
      <c r="X71" s="330">
        <f t="shared" si="33"/>
        <v>-1126722.0900000001</v>
      </c>
      <c r="Y71" s="330">
        <f t="shared" si="33"/>
        <v>-77068.989999999991</v>
      </c>
      <c r="Z71" s="290">
        <f t="shared" si="33"/>
        <v>0</v>
      </c>
      <c r="AA71" s="290">
        <f>SUM(AA66:AA70)</f>
        <v>-2.8899999999999988</v>
      </c>
      <c r="AB71" s="290">
        <f t="shared" si="33"/>
        <v>0</v>
      </c>
      <c r="AC71" s="290">
        <f t="shared" si="33"/>
        <v>0</v>
      </c>
      <c r="AD71" s="290">
        <f>SUM(AD66:AD70)</f>
        <v>802319.25000000012</v>
      </c>
      <c r="AE71" s="290">
        <f>SUM(AE66:AE70)</f>
        <v>802319.25000000012</v>
      </c>
      <c r="AF71" s="331">
        <f t="shared" si="33"/>
        <v>-3529721.4300000006</v>
      </c>
      <c r="AG71" s="332">
        <f t="shared" si="33"/>
        <v>-4.3655745685100555E-11</v>
      </c>
      <c r="AH71" s="1" t="b">
        <f t="shared" si="29"/>
        <v>0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-4332037.79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0">D9+D28+D47+D66+D85</f>
        <v>807049068.57000017</v>
      </c>
      <c r="E104" s="292">
        <f t="shared" si="40"/>
        <v>99193733.159999996</v>
      </c>
      <c r="F104" s="292">
        <f t="shared" si="40"/>
        <v>55706578.209999993</v>
      </c>
      <c r="G104" s="292">
        <f t="shared" si="40"/>
        <v>29360739.059999999</v>
      </c>
      <c r="H104" s="292">
        <f t="shared" si="40"/>
        <v>53694460.149999999</v>
      </c>
      <c r="I104" s="292">
        <f t="shared" si="40"/>
        <v>1708389.85</v>
      </c>
      <c r="J104" s="288">
        <f t="shared" si="40"/>
        <v>0</v>
      </c>
      <c r="K104" s="293">
        <f>D104-E104-F104-G104-H104-I104-J104</f>
        <v>567385168.14000022</v>
      </c>
      <c r="L104" s="294">
        <f>L9+L28+L47+L66+L85</f>
        <v>0</v>
      </c>
      <c r="M104" s="293">
        <f>K104-L104</f>
        <v>567385168.14000022</v>
      </c>
      <c r="N104" s="294">
        <f>N9+N28+N47+N66+N85</f>
        <v>8760824.0099999998</v>
      </c>
      <c r="O104" s="293">
        <f>M104+N104</f>
        <v>576145992.15000021</v>
      </c>
      <c r="Q104" s="306"/>
      <c r="S104" s="303">
        <v>1</v>
      </c>
      <c r="T104" s="304" t="s">
        <v>10</v>
      </c>
      <c r="U104" s="307">
        <f t="shared" ref="U104:AB108" si="41">U9+U28+U47+U66+U85</f>
        <v>15073165.450000001</v>
      </c>
      <c r="V104" s="308">
        <f t="shared" si="41"/>
        <v>18351766.840000004</v>
      </c>
      <c r="W104" s="308">
        <f t="shared" si="41"/>
        <v>85158116.140000001</v>
      </c>
      <c r="X104" s="308">
        <f t="shared" si="41"/>
        <v>271402094.66000003</v>
      </c>
      <c r="Y104" s="309">
        <f t="shared" si="41"/>
        <v>2783141.35</v>
      </c>
      <c r="Z104" s="310">
        <f t="shared" si="41"/>
        <v>0</v>
      </c>
      <c r="AA104" s="311">
        <f t="shared" si="41"/>
        <v>-864.44</v>
      </c>
      <c r="AB104" s="294">
        <f t="shared" si="41"/>
        <v>8760824.0099999998</v>
      </c>
      <c r="AC104" s="312">
        <f t="shared" ref="AC104" si="42">AC9+AC28+AC47+AC66+AC85</f>
        <v>-2114.38</v>
      </c>
      <c r="AD104" s="291">
        <f>-J104+AE104</f>
        <v>174619862.51999998</v>
      </c>
      <c r="AE104" s="291">
        <f>AE9+AE28+AE47+AE66+AE85</f>
        <v>174619862.51999998</v>
      </c>
      <c r="AF104" s="313">
        <f>SUM(U104:AD104)</f>
        <v>576145992.1500001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0"/>
        <v>1404601147.78</v>
      </c>
      <c r="E105" s="292">
        <f t="shared" si="40"/>
        <v>183955211.98000002</v>
      </c>
      <c r="F105" s="292">
        <f t="shared" si="40"/>
        <v>102944599.42999999</v>
      </c>
      <c r="G105" s="292">
        <f t="shared" si="40"/>
        <v>54335275.669999994</v>
      </c>
      <c r="H105" s="292">
        <f t="shared" si="40"/>
        <v>214011816.64000002</v>
      </c>
      <c r="I105" s="292">
        <f t="shared" si="40"/>
        <v>5870826.8500000006</v>
      </c>
      <c r="J105" s="288">
        <f t="shared" si="40"/>
        <v>0</v>
      </c>
      <c r="K105" s="295">
        <f t="shared" ref="K105:K108" si="43">D105-E105-F105-G105-H105-I105-J105</f>
        <v>843483417.20999992</v>
      </c>
      <c r="L105" s="294">
        <f>L10+L29+L48+L67+L86</f>
        <v>0</v>
      </c>
      <c r="M105" s="295">
        <f>K105-L105</f>
        <v>843483417.20999992</v>
      </c>
      <c r="N105" s="294">
        <f>N10+N29+N48+N67+N86</f>
        <v>29180991.390000001</v>
      </c>
      <c r="O105" s="295">
        <f t="shared" ref="O105:O108" si="44">M105+N105</f>
        <v>872664408.5999999</v>
      </c>
      <c r="Q105" s="306"/>
      <c r="S105" s="314">
        <v>2</v>
      </c>
      <c r="T105" s="315" t="s">
        <v>11</v>
      </c>
      <c r="U105" s="316">
        <f t="shared" si="41"/>
        <v>51434199.740000002</v>
      </c>
      <c r="V105" s="317">
        <f t="shared" si="41"/>
        <v>70337397.799999997</v>
      </c>
      <c r="W105" s="317">
        <f t="shared" si="41"/>
        <v>321021887.77000004</v>
      </c>
      <c r="X105" s="317">
        <f t="shared" si="41"/>
        <v>381196564.10999995</v>
      </c>
      <c r="Y105" s="318">
        <f t="shared" si="41"/>
        <v>9471108.7799999993</v>
      </c>
      <c r="Z105" s="319">
        <f t="shared" si="41"/>
        <v>0</v>
      </c>
      <c r="AA105" s="320">
        <f t="shared" si="41"/>
        <v>-3277.8299999999995</v>
      </c>
      <c r="AB105" s="294">
        <f t="shared" si="41"/>
        <v>29180991.390000001</v>
      </c>
      <c r="AC105" s="321">
        <f t="shared" ref="AC105" si="45">AC10+AC29+AC48+AC67+AC86</f>
        <v>-13.53</v>
      </c>
      <c r="AD105" s="291">
        <f t="shared" ref="AD105:AD107" si="46">-J105+AE105</f>
        <v>10025550.370000001</v>
      </c>
      <c r="AE105" s="291">
        <f>AE10+AE29+AE48+AE67+AE86</f>
        <v>10025550.370000001</v>
      </c>
      <c r="AF105" s="322">
        <f>SUM(U105:AD105)</f>
        <v>872664408.60000002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0"/>
        <v>1245261377.0799999</v>
      </c>
      <c r="E106" s="292">
        <f t="shared" si="40"/>
        <v>169179321.98000002</v>
      </c>
      <c r="F106" s="292">
        <f t="shared" si="40"/>
        <v>94674360.829999998</v>
      </c>
      <c r="G106" s="292">
        <f t="shared" si="40"/>
        <v>50112712.770000003</v>
      </c>
      <c r="H106" s="292">
        <f t="shared" si="40"/>
        <v>37910837.479999997</v>
      </c>
      <c r="I106" s="292">
        <f t="shared" si="40"/>
        <v>1165755.6399999999</v>
      </c>
      <c r="J106" s="288">
        <f t="shared" si="40"/>
        <v>0</v>
      </c>
      <c r="K106" s="295">
        <f t="shared" si="43"/>
        <v>892218388.37999988</v>
      </c>
      <c r="L106" s="294">
        <f>L11+L30+L49+L68+L87</f>
        <v>0</v>
      </c>
      <c r="M106" s="295">
        <f>K106-L106</f>
        <v>892218388.37999988</v>
      </c>
      <c r="N106" s="294">
        <f>N11+N30+N49+N68+N87</f>
        <v>1311387.82</v>
      </c>
      <c r="O106" s="295">
        <f t="shared" si="44"/>
        <v>893529776.19999993</v>
      </c>
      <c r="Q106" s="306"/>
      <c r="S106" s="314">
        <v>3</v>
      </c>
      <c r="T106" s="315" t="s">
        <v>12</v>
      </c>
      <c r="U106" s="316">
        <f t="shared" si="41"/>
        <v>10225267.880000001</v>
      </c>
      <c r="V106" s="317">
        <f t="shared" si="41"/>
        <v>13794028.73</v>
      </c>
      <c r="W106" s="317">
        <f t="shared" si="41"/>
        <v>64505492.360000007</v>
      </c>
      <c r="X106" s="317">
        <f t="shared" si="41"/>
        <v>393819035.60999995</v>
      </c>
      <c r="Y106" s="318">
        <f t="shared" si="41"/>
        <v>1909745.96</v>
      </c>
      <c r="Z106" s="319">
        <f t="shared" si="41"/>
        <v>0</v>
      </c>
      <c r="AA106" s="320">
        <f t="shared" si="41"/>
        <v>-972.41000000000008</v>
      </c>
      <c r="AB106" s="294">
        <f t="shared" si="41"/>
        <v>1311387.82</v>
      </c>
      <c r="AC106" s="321">
        <f t="shared" ref="AC106" si="48">AC11+AC30+AC49+AC68+AC87</f>
        <v>-11886.56</v>
      </c>
      <c r="AD106" s="291">
        <f t="shared" si="46"/>
        <v>407977676.81</v>
      </c>
      <c r="AE106" s="291">
        <f>AE11+AE30+AE49+AE68+AE87</f>
        <v>407977676.81</v>
      </c>
      <c r="AF106" s="322">
        <f>SUM(U106:AD106)</f>
        <v>893529776.19999981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0"/>
        <v>488724679.72000009</v>
      </c>
      <c r="E107" s="292">
        <f t="shared" si="40"/>
        <v>55203155.700000003</v>
      </c>
      <c r="F107" s="292">
        <f t="shared" si="40"/>
        <v>30345126.150000002</v>
      </c>
      <c r="G107" s="292">
        <f t="shared" si="40"/>
        <v>15489479.65</v>
      </c>
      <c r="H107" s="292">
        <f t="shared" si="40"/>
        <v>57754003.020000003</v>
      </c>
      <c r="I107" s="292">
        <f t="shared" si="40"/>
        <v>1909778.2499999998</v>
      </c>
      <c r="J107" s="288">
        <f t="shared" si="40"/>
        <v>0</v>
      </c>
      <c r="K107" s="295">
        <f t="shared" si="43"/>
        <v>328023136.95000017</v>
      </c>
      <c r="L107" s="294">
        <f>L12+L31+L50+L69+L88</f>
        <v>0</v>
      </c>
      <c r="M107" s="295">
        <f>K107-L107</f>
        <v>328023136.95000017</v>
      </c>
      <c r="N107" s="294">
        <f>N12+N31+N50+N69+N88</f>
        <v>14919457.4</v>
      </c>
      <c r="O107" s="295">
        <f t="shared" si="44"/>
        <v>342942594.35000014</v>
      </c>
      <c r="Q107" s="306"/>
      <c r="S107" s="314">
        <v>4</v>
      </c>
      <c r="T107" s="315" t="s">
        <v>13</v>
      </c>
      <c r="U107" s="316">
        <f t="shared" si="41"/>
        <v>18153635.699999999</v>
      </c>
      <c r="V107" s="317">
        <f t="shared" si="41"/>
        <v>22508162.759999998</v>
      </c>
      <c r="W107" s="317">
        <f t="shared" si="41"/>
        <v>110934136.67000002</v>
      </c>
      <c r="X107" s="317">
        <f t="shared" si="41"/>
        <v>146478227.43000004</v>
      </c>
      <c r="Y107" s="318">
        <f t="shared" si="41"/>
        <v>3110743.9899999998</v>
      </c>
      <c r="Z107" s="319">
        <f t="shared" si="41"/>
        <v>0</v>
      </c>
      <c r="AA107" s="320">
        <f t="shared" si="41"/>
        <v>602.99999999999989</v>
      </c>
      <c r="AB107" s="294">
        <f t="shared" si="41"/>
        <v>14919457.4</v>
      </c>
      <c r="AC107" s="321">
        <f t="shared" ref="AC107" si="49">AC12+AC31+AC50+AC69+AC88</f>
        <v>-80.570000000000007</v>
      </c>
      <c r="AD107" s="291">
        <f t="shared" si="46"/>
        <v>26837707.969999999</v>
      </c>
      <c r="AE107" s="291">
        <f>AE12+AE31+AE50+AE69+AE88</f>
        <v>26837707.969999999</v>
      </c>
      <c r="AF107" s="322">
        <f>SUM(U107:AD107)</f>
        <v>342942594.35000002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317721932.47000003</v>
      </c>
      <c r="E108" s="297">
        <f t="shared" si="40"/>
        <v>31184102.540000003</v>
      </c>
      <c r="F108" s="297">
        <f t="shared" si="40"/>
        <v>17438110.490000002</v>
      </c>
      <c r="G108" s="297">
        <f t="shared" si="40"/>
        <v>9129338.4999999981</v>
      </c>
      <c r="H108" s="297">
        <f t="shared" si="40"/>
        <v>18288367.830000002</v>
      </c>
      <c r="I108" s="297">
        <f t="shared" si="40"/>
        <v>845568.67</v>
      </c>
      <c r="J108" s="289">
        <f t="shared" si="40"/>
        <v>0</v>
      </c>
      <c r="K108" s="295">
        <f t="shared" si="43"/>
        <v>240836444.44</v>
      </c>
      <c r="L108" s="294">
        <f>L13+L32+L51+L70+L89</f>
        <v>0</v>
      </c>
      <c r="M108" s="298">
        <f>K108-L108</f>
        <v>240836444.44</v>
      </c>
      <c r="N108" s="299">
        <f>N13+N32+N51+N70+N89</f>
        <v>6894658.7800000003</v>
      </c>
      <c r="O108" s="298">
        <f t="shared" si="44"/>
        <v>247731103.22</v>
      </c>
      <c r="Q108" s="306"/>
      <c r="S108" s="324">
        <v>5</v>
      </c>
      <c r="T108" s="325" t="s">
        <v>14</v>
      </c>
      <c r="U108" s="296">
        <f t="shared" si="41"/>
        <v>7530881.8600000003</v>
      </c>
      <c r="V108" s="297">
        <f t="shared" si="41"/>
        <v>9040944.5399999991</v>
      </c>
      <c r="W108" s="297">
        <f t="shared" si="41"/>
        <v>45756182.879999995</v>
      </c>
      <c r="X108" s="297">
        <f t="shared" si="41"/>
        <v>92948094.320000008</v>
      </c>
      <c r="Y108" s="289">
        <f t="shared" si="41"/>
        <v>1374403.66</v>
      </c>
      <c r="Z108" s="319">
        <f t="shared" si="41"/>
        <v>0</v>
      </c>
      <c r="AA108" s="320">
        <f t="shared" si="41"/>
        <v>-760.25999999999988</v>
      </c>
      <c r="AB108" s="294">
        <f t="shared" si="41"/>
        <v>6894658.7800000003</v>
      </c>
      <c r="AC108" s="321">
        <f t="shared" ref="AC108" si="50">AC13+AC32+AC51+AC70+AC89</f>
        <v>0.35000000000000003</v>
      </c>
      <c r="AD108" s="291">
        <f>-J108+AE108</f>
        <v>84186697.089999989</v>
      </c>
      <c r="AE108" s="291">
        <f>AE13+AE32+AE51+AE70+AE89</f>
        <v>84186697.089999989</v>
      </c>
      <c r="AF108" s="322">
        <f>SUM(U108:AD108)</f>
        <v>247731103.21999997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>SUM(D104:D108)</f>
        <v>4263358205.6200008</v>
      </c>
      <c r="E109" s="290">
        <f t="shared" ref="E109:O109" si="51">SUM(E104:E108)</f>
        <v>538715525.36000001</v>
      </c>
      <c r="F109" s="290">
        <f t="shared" si="51"/>
        <v>301108775.10999995</v>
      </c>
      <c r="G109" s="290">
        <f t="shared" si="51"/>
        <v>158427545.65000001</v>
      </c>
      <c r="H109" s="290">
        <f t="shared" si="51"/>
        <v>381659485.12</v>
      </c>
      <c r="I109" s="290">
        <f t="shared" si="51"/>
        <v>11500319.260000002</v>
      </c>
      <c r="J109" s="290">
        <f t="shared" si="51"/>
        <v>0</v>
      </c>
      <c r="K109" s="300">
        <f t="shared" si="51"/>
        <v>2871946555.1200004</v>
      </c>
      <c r="L109" s="301">
        <f t="shared" si="51"/>
        <v>0</v>
      </c>
      <c r="M109" s="302">
        <f t="shared" si="51"/>
        <v>2871946555.1200004</v>
      </c>
      <c r="N109" s="301">
        <f>SUM(N104:N108)</f>
        <v>61067319.399999999</v>
      </c>
      <c r="O109" s="302">
        <f t="shared" si="51"/>
        <v>2933013874.52</v>
      </c>
      <c r="P109" s="329"/>
      <c r="Q109" s="306"/>
      <c r="S109" s="327"/>
      <c r="T109" s="328" t="s">
        <v>2</v>
      </c>
      <c r="U109" s="330">
        <f>SUM(U104:U108)</f>
        <v>102417150.63000001</v>
      </c>
      <c r="V109" s="330">
        <f t="shared" ref="V109:AF109" si="52">SUM(V104:V108)</f>
        <v>134032300.66999999</v>
      </c>
      <c r="W109" s="330">
        <f t="shared" si="52"/>
        <v>627375815.82000005</v>
      </c>
      <c r="X109" s="330">
        <f t="shared" si="52"/>
        <v>1285844016.1299999</v>
      </c>
      <c r="Y109" s="330">
        <f t="shared" si="52"/>
        <v>18649143.739999998</v>
      </c>
      <c r="Z109" s="290">
        <f t="shared" si="52"/>
        <v>0</v>
      </c>
      <c r="AA109" s="290">
        <f t="shared" si="52"/>
        <v>-5271.94</v>
      </c>
      <c r="AB109" s="470">
        <f t="shared" si="52"/>
        <v>61067319.399999999</v>
      </c>
      <c r="AC109" s="290">
        <f t="shared" ref="AC109" si="53">SUM(AC104:AC108)</f>
        <v>-14094.689999999999</v>
      </c>
      <c r="AD109" s="290">
        <f t="shared" si="52"/>
        <v>703647494.76000011</v>
      </c>
      <c r="AE109" s="290">
        <f>SUM(AE104:AE108)</f>
        <v>703647494.76000011</v>
      </c>
      <c r="AF109" s="331">
        <f t="shared" si="52"/>
        <v>2933013874.5199995</v>
      </c>
      <c r="AG109" s="332">
        <f>SUM(AG104:AG108)</f>
        <v>0</v>
      </c>
      <c r="AH109" s="1" t="b">
        <f t="shared" si="47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2168318426.9899998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USUARIOS'!O3</f>
        <v>17358483.629999999</v>
      </c>
      <c r="E125" s="309">
        <v>0</v>
      </c>
      <c r="G125" s="336">
        <f>D47+N47</f>
        <v>0</v>
      </c>
      <c r="H125" s="310">
        <f>D28+N28</f>
        <v>28857410.600000001</v>
      </c>
      <c r="I125" s="309">
        <f>D85+N85</f>
        <v>0</v>
      </c>
      <c r="J125" s="309">
        <f>D66+N66</f>
        <v>-1002751.39</v>
      </c>
      <c r="K125" s="309">
        <f>'ANTICIPOS USUARIOS'!O12</f>
        <v>82340</v>
      </c>
      <c r="L125" s="309">
        <f>-'ANTICIPOS USUARIOS'!O21</f>
        <v>165648.60999999999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USUARIOS'!O4</f>
        <v>79433109</v>
      </c>
      <c r="E126" s="288">
        <v>0</v>
      </c>
      <c r="G126" s="339">
        <f>D48+N48</f>
        <v>111210</v>
      </c>
      <c r="H126" s="340">
        <f>D29+N29</f>
        <v>87448610.169999987</v>
      </c>
      <c r="I126" s="288">
        <f>D86+N86</f>
        <v>0</v>
      </c>
      <c r="J126" s="288">
        <f t="shared" ref="J126:J129" si="54">D67+N67</f>
        <v>-290750</v>
      </c>
      <c r="K126" s="288">
        <f>'ANTICIPOS USUARIOS'!O13</f>
        <v>1370</v>
      </c>
      <c r="L126" s="288">
        <f>-'ANTICIPOS USUARIOS'!O22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USUARIOS'!O5</f>
        <v>14844502.92</v>
      </c>
      <c r="E127" s="288">
        <v>0</v>
      </c>
      <c r="G127" s="339">
        <f>D49+N49</f>
        <v>0</v>
      </c>
      <c r="H127" s="340">
        <f>D30+N30</f>
        <v>16553408.619999999</v>
      </c>
      <c r="I127" s="288">
        <f>D87+N87</f>
        <v>0</v>
      </c>
      <c r="J127" s="288">
        <f t="shared" si="54"/>
        <v>-306659.8</v>
      </c>
      <c r="K127" s="288">
        <f>'ANTICIPOS USUARIOS'!O14</f>
        <v>0</v>
      </c>
      <c r="L127" s="288">
        <f>-'ANTICIPOS USUARIOS'!O23</f>
        <v>2343750.2000000002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USUARIOS'!O6</f>
        <v>14631795.34</v>
      </c>
      <c r="E128" s="288">
        <v>0</v>
      </c>
      <c r="G128" s="339">
        <f>D50+N50</f>
        <v>691194</v>
      </c>
      <c r="H128" s="340">
        <f>D31+N31</f>
        <v>34178649.799999997</v>
      </c>
      <c r="I128" s="288">
        <f>D88+N88</f>
        <v>0</v>
      </c>
      <c r="J128" s="288">
        <f t="shared" si="54"/>
        <v>-3233428.34</v>
      </c>
      <c r="K128" s="288">
        <f>'ANTICIPOS USUARIOS'!O15</f>
        <v>2209000</v>
      </c>
      <c r="L128" s="288">
        <f>-'ANTICIPOS USUARIOS'!O24</f>
        <v>14593375.66</v>
      </c>
      <c r="O128" s="337"/>
      <c r="Q128" s="306"/>
    </row>
    <row r="129" spans="1:18" s="305" customFormat="1" x14ac:dyDescent="0.2">
      <c r="B129" s="341">
        <v>5</v>
      </c>
      <c r="C129" s="342" t="s">
        <v>14</v>
      </c>
      <c r="D129" s="292">
        <f>'ANTICIPOS USUARIOS'!O7</f>
        <v>10604847.960000001</v>
      </c>
      <c r="E129" s="344">
        <v>0</v>
      </c>
      <c r="G129" s="339">
        <f>D51+N51</f>
        <v>441849</v>
      </c>
      <c r="H129" s="340">
        <f>D32+N32</f>
        <v>14307244.74</v>
      </c>
      <c r="I129" s="288">
        <f>D89+N89</f>
        <v>0</v>
      </c>
      <c r="J129" s="288">
        <f t="shared" si="54"/>
        <v>-1026775.53</v>
      </c>
      <c r="K129" s="288">
        <f>'ANTICIPOS USUARIOS'!O16</f>
        <v>87550</v>
      </c>
      <c r="L129" s="288">
        <f>-'ANTICIPOS USUARIOS'!O25</f>
        <v>165773.47</v>
      </c>
      <c r="O129" s="337"/>
      <c r="Q129" s="306"/>
    </row>
    <row r="130" spans="1:18" s="305" customFormat="1" ht="12.75" thickBot="1" x14ac:dyDescent="0.25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75" thickBot="1" x14ac:dyDescent="0.25">
      <c r="B131" s="348"/>
      <c r="C131" s="349" t="s">
        <v>2</v>
      </c>
      <c r="D131" s="350">
        <f>SUM(D125:D130)</f>
        <v>136872738.84999999</v>
      </c>
      <c r="E131" s="350">
        <f>SUM(E125:E130)</f>
        <v>0</v>
      </c>
      <c r="F131" s="351"/>
      <c r="G131" s="350">
        <f t="shared" ref="G131" si="55">SUM(G125:G129)</f>
        <v>1244253</v>
      </c>
      <c r="H131" s="350">
        <f>SUM(H125:H130)</f>
        <v>181345323.93000001</v>
      </c>
      <c r="I131" s="350">
        <f>SUM(I125:I130)</f>
        <v>0</v>
      </c>
      <c r="J131" s="350">
        <f>SUM(J125:J130)</f>
        <v>-5860365.0600000005</v>
      </c>
      <c r="K131" s="350">
        <f>SUM(K125:K130)</f>
        <v>2380260</v>
      </c>
      <c r="L131" s="350">
        <f>SUM(L125:L130)</f>
        <v>17268547.939999998</v>
      </c>
      <c r="M131" s="351"/>
      <c r="N131" s="351"/>
      <c r="O131" s="352"/>
      <c r="P131" s="329"/>
      <c r="Q131" s="306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8">
        <v>1</v>
      </c>
      <c r="C142" s="109" t="s">
        <v>10</v>
      </c>
      <c r="D142" s="110">
        <f>D104+N104+D125+E125</f>
        <v>833168376.21000016</v>
      </c>
      <c r="E142" s="110">
        <f>'Recaudo Directa Occidente'!F21</f>
        <v>805313717</v>
      </c>
      <c r="F142" s="110">
        <f>D28+N28</f>
        <v>28857410.600000001</v>
      </c>
      <c r="G142" s="110">
        <f>D66+N66</f>
        <v>-1002751.39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28857410.600000001</v>
      </c>
      <c r="L142" s="525">
        <f>D142-E142-F142-G142-J142-H142-I142</f>
        <v>1.5588011592626572E-7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1513215248.1700001</v>
      </c>
      <c r="E143" s="18">
        <f>'Recaudo Directa Occidente'!F22</f>
        <v>1425946178</v>
      </c>
      <c r="F143" s="18">
        <f>D29+N29</f>
        <v>87448610.169999987</v>
      </c>
      <c r="G143" s="18">
        <f>D67+N67</f>
        <v>-290750</v>
      </c>
      <c r="H143" s="18">
        <f>D86+N86</f>
        <v>0</v>
      </c>
      <c r="I143" s="18">
        <f>('REPORTE RECAUDO x BANCO'!E76)</f>
        <v>0</v>
      </c>
      <c r="J143" s="18">
        <f t="shared" si="56"/>
        <v>111210</v>
      </c>
      <c r="K143" s="83">
        <f t="shared" si="56"/>
        <v>87448610.169999987</v>
      </c>
      <c r="L143" s="525">
        <f>D143-E143-F143-G143-J143-H143-I143</f>
        <v>8.9406967163085938E-8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1261417267.8199999</v>
      </c>
      <c r="E144" s="18">
        <f>'Recaudo Directa Occidente'!F23</f>
        <v>1245170519</v>
      </c>
      <c r="F144" s="18">
        <f>D30+N30</f>
        <v>16553408.619999999</v>
      </c>
      <c r="G144" s="18">
        <f>D68+N68</f>
        <v>-306659.8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16553408.619999999</v>
      </c>
      <c r="L144" s="525">
        <f>D144-E144-F144-G144-J144-H144-I144</f>
        <v>-6.5949279814958572E-8</v>
      </c>
      <c r="M144" s="1" t="b">
        <f t="shared" si="57"/>
        <v>0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518275932.46000004</v>
      </c>
      <c r="E145" s="18">
        <f>'Recaudo Directa Occidente'!F24</f>
        <v>486639517</v>
      </c>
      <c r="F145" s="18">
        <f>D31+N31</f>
        <v>34178649.799999997</v>
      </c>
      <c r="G145" s="18">
        <f>D69+N69</f>
        <v>-3233428.34</v>
      </c>
      <c r="H145" s="18">
        <f>D88+N88</f>
        <v>0</v>
      </c>
      <c r="I145" s="18">
        <f>('REPORTE RECAUDO x BANCO'!E78)</f>
        <v>0</v>
      </c>
      <c r="J145" s="18">
        <f t="shared" si="56"/>
        <v>691194</v>
      </c>
      <c r="K145" s="83">
        <f t="shared" si="56"/>
        <v>34178649.799999997</v>
      </c>
      <c r="L145" s="525">
        <f>D145-E145-F145-G145-J145-H145-I145</f>
        <v>4.0978193283081055E-8</v>
      </c>
      <c r="M145" s="1" t="b">
        <f t="shared" si="57"/>
        <v>1</v>
      </c>
      <c r="O145" s="96"/>
      <c r="P145" s="24"/>
      <c r="Q145" s="35"/>
      <c r="R145" s="24"/>
    </row>
    <row r="146" spans="1:20" ht="12.75" thickBot="1" x14ac:dyDescent="0.25">
      <c r="B146" s="133">
        <v>5</v>
      </c>
      <c r="C146" s="138" t="s">
        <v>14</v>
      </c>
      <c r="D146" s="134">
        <f>D108+N108+D129+E129</f>
        <v>335221439.20999998</v>
      </c>
      <c r="E146" s="18">
        <f>'Recaudo Directa Occidente'!F25</f>
        <v>321499121</v>
      </c>
      <c r="F146" s="134">
        <f>D32+N32</f>
        <v>14307244.74</v>
      </c>
      <c r="G146" s="134">
        <f>D70+N70</f>
        <v>-1026775.53</v>
      </c>
      <c r="H146" s="134">
        <f>D89+N89</f>
        <v>0</v>
      </c>
      <c r="I146" s="134">
        <f>('REPORTE RECAUDO x BANCO'!E79)</f>
        <v>0</v>
      </c>
      <c r="J146" s="134">
        <f t="shared" si="56"/>
        <v>441849</v>
      </c>
      <c r="K146" s="136">
        <f t="shared" si="56"/>
        <v>14307244.74</v>
      </c>
      <c r="L146" s="525">
        <f>D146-E146-F146-G146-J146-H146-I146</f>
        <v>-2.1653249859809875E-8</v>
      </c>
      <c r="M146" s="1" t="b">
        <f t="shared" si="57"/>
        <v>0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4461298263.8699999</v>
      </c>
      <c r="E147" s="47">
        <f>SUM(E142:E146)</f>
        <v>4284569052</v>
      </c>
      <c r="F147" s="47">
        <f t="shared" ref="F147:K147" si="58">SUM(F142:F146)</f>
        <v>181345323.93000001</v>
      </c>
      <c r="G147" s="47">
        <f t="shared" si="58"/>
        <v>-5860365.0600000005</v>
      </c>
      <c r="H147" s="47">
        <f t="shared" si="58"/>
        <v>0</v>
      </c>
      <c r="I147" s="47">
        <f t="shared" si="58"/>
        <v>0</v>
      </c>
      <c r="J147" s="47">
        <f t="shared" si="58"/>
        <v>1244253</v>
      </c>
      <c r="K147" s="47">
        <f t="shared" si="58"/>
        <v>181345323.93000001</v>
      </c>
      <c r="L147" s="525">
        <f>SUM(L142:L146)</f>
        <v>1.9866274669766426E-7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Directa Occidente'!F21</f>
        <v>805313717</v>
      </c>
      <c r="D3" s="292">
        <f>'REMUNERACION_OCCIDENTE_ Directa'!G125</f>
        <v>0</v>
      </c>
      <c r="E3" s="292">
        <f>'REMUNERACION_OCCIDENTE_ Directa'!D28+'REMUNERACION_OCCIDENTE_ Directa'!N28</f>
        <v>28857410.600000001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834171127.60000002</v>
      </c>
      <c r="I3" s="291">
        <f>'REMUNERACION_OCCIDENTE_ Directa'!D104</f>
        <v>807049068.57000017</v>
      </c>
      <c r="J3" s="292">
        <f>'REMUNERACION_OCCIDENTE_ Directa'!N104</f>
        <v>8760824.0099999998</v>
      </c>
      <c r="K3" s="292">
        <f>'REMUNERACION_OCCIDENTE_ Directa'!D125</f>
        <v>17358483.629999999</v>
      </c>
      <c r="L3" s="353">
        <f>'REMUNERACION_OCCIDENTE_ Directa'!E125</f>
        <v>0</v>
      </c>
      <c r="M3" s="292">
        <f>-'REMUNERACION_OCCIDENTE_ Directa'!D66-'REMUNERACION_OCCIDENTE_ Directa'!N66</f>
        <v>1002751.39</v>
      </c>
      <c r="N3" s="288">
        <f>SUM(I3:M3)</f>
        <v>834171127.60000014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Directa Occidente'!F22</f>
        <v>1425946178</v>
      </c>
      <c r="D4" s="292">
        <f>'REMUNERACION_OCCIDENTE_ Directa'!G126</f>
        <v>111210</v>
      </c>
      <c r="E4" s="292">
        <f>'REMUNERACION_OCCIDENTE_ Directa'!D29+'REMUNERACION_OCCIDENTE_ Directa'!N29</f>
        <v>87448610.169999987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1513505998.1700001</v>
      </c>
      <c r="I4" s="291">
        <f>'REMUNERACION_OCCIDENTE_ Directa'!D105</f>
        <v>1404601147.78</v>
      </c>
      <c r="J4" s="292">
        <f>'REMUNERACION_OCCIDENTE_ Directa'!N105</f>
        <v>29180991.390000001</v>
      </c>
      <c r="K4" s="292">
        <f>'REMUNERACION_OCCIDENTE_ Directa'!D126</f>
        <v>79433109</v>
      </c>
      <c r="L4" s="353">
        <f>'REMUNERACION_OCCIDENTE_ Directa'!E126</f>
        <v>0</v>
      </c>
      <c r="M4" s="292">
        <f>-'REMUNERACION_OCCIDENTE_ Directa'!D67-'REMUNERACION_OCCIDENTE_ Directa'!N67</f>
        <v>290750</v>
      </c>
      <c r="N4" s="318">
        <f>SUM(I4:M4)</f>
        <v>1513505998.1700001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Directa Occidente'!F23</f>
        <v>1245170519</v>
      </c>
      <c r="D5" s="292">
        <f>'REMUNERACION_OCCIDENTE_ Directa'!G127</f>
        <v>0</v>
      </c>
      <c r="E5" s="292">
        <f>'REMUNERACION_OCCIDENTE_ Directa'!D30+'REMUNERACION_OCCIDENTE_ Directa'!N30</f>
        <v>16553408.619999999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1261723927.6199999</v>
      </c>
      <c r="I5" s="291">
        <f>'REMUNERACION_OCCIDENTE_ Directa'!D106</f>
        <v>1245261377.0799999</v>
      </c>
      <c r="J5" s="292">
        <f>'REMUNERACION_OCCIDENTE_ Directa'!N106</f>
        <v>1311387.82</v>
      </c>
      <c r="K5" s="292">
        <f>'REMUNERACION_OCCIDENTE_ Directa'!D127</f>
        <v>14844502.92</v>
      </c>
      <c r="L5" s="353">
        <f>'REMUNERACION_OCCIDENTE_ Directa'!E127</f>
        <v>0</v>
      </c>
      <c r="M5" s="292">
        <f>-'REMUNERACION_OCCIDENTE_ Directa'!D68-'REMUNERACION_OCCIDENTE_ Directa'!N68</f>
        <v>306659.8</v>
      </c>
      <c r="N5" s="318">
        <f>SUM(I5:M5)</f>
        <v>1261723927.6199999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Directa Occidente'!F24</f>
        <v>486639517</v>
      </c>
      <c r="D6" s="292">
        <f>'REMUNERACION_OCCIDENTE_ Directa'!G128</f>
        <v>691194</v>
      </c>
      <c r="E6" s="292">
        <f>'REMUNERACION_OCCIDENTE_ Directa'!D31+'REMUNERACION_OCCIDENTE_ Directa'!N31</f>
        <v>34178649.799999997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521509360.80000001</v>
      </c>
      <c r="I6" s="291">
        <f>'REMUNERACION_OCCIDENTE_ Directa'!D107</f>
        <v>488724679.72000009</v>
      </c>
      <c r="J6" s="292">
        <f>'REMUNERACION_OCCIDENTE_ Directa'!N107</f>
        <v>14919457.4</v>
      </c>
      <c r="K6" s="292">
        <f>'REMUNERACION_OCCIDENTE_ Directa'!D128</f>
        <v>14631795.34</v>
      </c>
      <c r="L6" s="353">
        <f>'REMUNERACION_OCCIDENTE_ Directa'!E128</f>
        <v>0</v>
      </c>
      <c r="M6" s="292">
        <f>-'REMUNERACION_OCCIDENTE_ Directa'!D69-'REMUNERACION_OCCIDENTE_ Directa'!N69</f>
        <v>3233428.34</v>
      </c>
      <c r="N6" s="318">
        <f t="shared" ref="N6:N7" si="3">SUM(I6:M6)</f>
        <v>521509360.80000001</v>
      </c>
      <c r="O6" s="354">
        <f t="shared" si="0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Directa Occidente'!F25</f>
        <v>321499121</v>
      </c>
      <c r="D7" s="292">
        <f>'REMUNERACION_OCCIDENTE_ Directa'!G129</f>
        <v>441849</v>
      </c>
      <c r="E7" s="292">
        <f>'REMUNERACION_OCCIDENTE_ Directa'!D32+'REMUNERACION_OCCIDENTE_ Directa'!N32</f>
        <v>14307244.74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336248214.74000001</v>
      </c>
      <c r="I7" s="291">
        <f>'REMUNERACION_OCCIDENTE_ Directa'!D108</f>
        <v>317721932.47000003</v>
      </c>
      <c r="J7" s="292">
        <f>'REMUNERACION_OCCIDENTE_ Directa'!N108</f>
        <v>6894658.7800000003</v>
      </c>
      <c r="K7" s="292">
        <f>'REMUNERACION_OCCIDENTE_ Directa'!D129</f>
        <v>10604847.960000001</v>
      </c>
      <c r="L7" s="353">
        <f>'REMUNERACION_OCCIDENTE_ Directa'!E129</f>
        <v>0</v>
      </c>
      <c r="M7" s="292">
        <f>-'REMUNERACION_OCCIDENTE_ Directa'!D70-'REMUNERACION_OCCIDENTE_ Directa'!N70</f>
        <v>1026775.53</v>
      </c>
      <c r="N7" s="318">
        <f t="shared" si="3"/>
        <v>336248214.73999995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4284569052</v>
      </c>
      <c r="D9" s="290">
        <f t="shared" ref="D9:M9" si="4">SUM(D3:D8)</f>
        <v>1244253</v>
      </c>
      <c r="E9" s="290">
        <f>SUM(E3:E8)</f>
        <v>181345323.93000001</v>
      </c>
      <c r="F9" s="290">
        <f t="shared" si="4"/>
        <v>0</v>
      </c>
      <c r="G9" s="290">
        <f t="shared" si="4"/>
        <v>0</v>
      </c>
      <c r="H9" s="290">
        <f t="shared" si="4"/>
        <v>4467158628.9300003</v>
      </c>
      <c r="I9" s="290">
        <f t="shared" si="4"/>
        <v>4263358205.6200008</v>
      </c>
      <c r="J9" s="290">
        <f t="shared" si="4"/>
        <v>61067319.399999999</v>
      </c>
      <c r="K9" s="290">
        <f t="shared" si="4"/>
        <v>136872738.84999999</v>
      </c>
      <c r="L9" s="290">
        <f t="shared" si="4"/>
        <v>0</v>
      </c>
      <c r="M9" s="290">
        <f t="shared" si="4"/>
        <v>5860365.0600000005</v>
      </c>
      <c r="N9" s="290">
        <f>SUM(N3:N8)</f>
        <v>4467158628.9300003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43" t="s">
        <v>1</v>
      </c>
    </row>
    <row r="14" spans="2:16" x14ac:dyDescent="0.2">
      <c r="C14" s="245">
        <f>'Valida - Control Recaudo'!D10</f>
        <v>4284569052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807049068.57000017</v>
      </c>
      <c r="E9" s="66">
        <f>'REMUNERACION_OCCIDENTE_ Directa'!E104</f>
        <v>99193733.159999996</v>
      </c>
      <c r="F9" s="66">
        <f>'REMUNERACION_OCCIDENTE_ Directa'!F104</f>
        <v>55706578.209999993</v>
      </c>
      <c r="G9" s="66">
        <f>'REMUNERACION_OCCIDENTE_ Directa'!G104</f>
        <v>29360739.059999999</v>
      </c>
      <c r="H9" s="66">
        <f>'REMUNERACION_OCCIDENTE_ Directa'!H104</f>
        <v>53694460.149999999</v>
      </c>
      <c r="I9" s="66">
        <f>'REMUNERACION_OCCIDENTE_ Directa'!I104</f>
        <v>1708389.85</v>
      </c>
      <c r="J9" s="66">
        <f>'REMUNERACION_OCCIDENTE_ Directa'!J104</f>
        <v>0</v>
      </c>
      <c r="K9" s="30">
        <f>D9-E9-F9-G9-H9-I9-J9</f>
        <v>567385168.14000022</v>
      </c>
      <c r="L9" s="66">
        <f>'REMUNERACION_OCCIDENTE_ Directa'!L104</f>
        <v>0</v>
      </c>
      <c r="M9" s="30">
        <f>K9-L9</f>
        <v>567385168.14000022</v>
      </c>
      <c r="N9" s="66">
        <f>'REMUNERACION_OCCIDENTE_ Directa'!N104</f>
        <v>8760824.0099999998</v>
      </c>
      <c r="O9" s="30">
        <f>M9+N9</f>
        <v>576145992.15000021</v>
      </c>
      <c r="Q9" s="4"/>
      <c r="S9" s="14">
        <v>1</v>
      </c>
      <c r="T9" s="61" t="s">
        <v>10</v>
      </c>
      <c r="U9" s="66">
        <f>'REMUNERACION_OCCIDENTE_ Directa'!U104</f>
        <v>15073165.450000001</v>
      </c>
      <c r="V9" s="66">
        <f>'REMUNERACION_OCCIDENTE_ Directa'!V104</f>
        <v>18351766.840000004</v>
      </c>
      <c r="W9" s="66">
        <f>'REMUNERACION_OCCIDENTE_ Directa'!W104</f>
        <v>85158116.140000001</v>
      </c>
      <c r="X9" s="66">
        <f>'REMUNERACION_OCCIDENTE_ Directa'!X104</f>
        <v>271402094.66000003</v>
      </c>
      <c r="Y9" s="66">
        <f>'REMUNERACION_OCCIDENTE_ Directa'!Y104</f>
        <v>2783141.35</v>
      </c>
      <c r="Z9" s="66">
        <f>'REMUNERACION_OCCIDENTE_ Directa'!Z104</f>
        <v>0</v>
      </c>
      <c r="AA9" s="66">
        <f>'REMUNERACION_OCCIDENTE_ Directa'!AA104</f>
        <v>-864.44</v>
      </c>
      <c r="AB9" s="66">
        <f>'REMUNERACION_OCCIDENTE_ Directa'!AB104</f>
        <v>8760824.0099999998</v>
      </c>
      <c r="AC9" s="66">
        <f>'REMUNERACION_OCCIDENTE_ Directa'!AC104</f>
        <v>-2114.38</v>
      </c>
      <c r="AD9" s="66">
        <f>'REMUNERACION_OCCIDENTE_ Directa'!AD104</f>
        <v>174619862.51999998</v>
      </c>
      <c r="AE9" s="66">
        <f>'REMUNERACION_OCCIDENTE_ Directa'!AE104</f>
        <v>174619862.51999998</v>
      </c>
      <c r="AF9" s="69">
        <f>SUM(U9:AD9)</f>
        <v>576145992.1500001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1404601147.78</v>
      </c>
      <c r="E10" s="66">
        <f>'REMUNERACION_OCCIDENTE_ Directa'!E105</f>
        <v>183955211.98000002</v>
      </c>
      <c r="F10" s="66">
        <f>'REMUNERACION_OCCIDENTE_ Directa'!F105</f>
        <v>102944599.42999999</v>
      </c>
      <c r="G10" s="66">
        <f>'REMUNERACION_OCCIDENTE_ Directa'!G105</f>
        <v>54335275.669999994</v>
      </c>
      <c r="H10" s="66">
        <f>'REMUNERACION_OCCIDENTE_ Directa'!H105</f>
        <v>214011816.64000002</v>
      </c>
      <c r="I10" s="66">
        <f>'REMUNERACION_OCCIDENTE_ Directa'!I105</f>
        <v>5870826.8500000006</v>
      </c>
      <c r="J10" s="66">
        <f>'REMUNERACION_OCCIDENTE_ Directa'!J105</f>
        <v>0</v>
      </c>
      <c r="K10" s="31">
        <f t="shared" ref="K10:K13" si="0">D10-E10-F10-G10-H10-I10-J10</f>
        <v>843483417.20999992</v>
      </c>
      <c r="L10" s="66">
        <f>'REMUNERACION_OCCIDENTE_ Directa'!L105</f>
        <v>0</v>
      </c>
      <c r="M10" s="31">
        <f>K10-L10</f>
        <v>843483417.20999992</v>
      </c>
      <c r="N10" s="66">
        <f>'REMUNERACION_OCCIDENTE_ Directa'!N105</f>
        <v>29180991.390000001</v>
      </c>
      <c r="O10" s="31">
        <f t="shared" ref="O10:O13" si="1">M10+N10</f>
        <v>872664408.5999999</v>
      </c>
      <c r="Q10" s="4"/>
      <c r="S10" s="16">
        <v>2</v>
      </c>
      <c r="T10" s="62" t="s">
        <v>11</v>
      </c>
      <c r="U10" s="66">
        <f>'REMUNERACION_OCCIDENTE_ Directa'!U105</f>
        <v>51434199.740000002</v>
      </c>
      <c r="V10" s="66">
        <f>'REMUNERACION_OCCIDENTE_ Directa'!V105</f>
        <v>70337397.799999997</v>
      </c>
      <c r="W10" s="66">
        <f>'REMUNERACION_OCCIDENTE_ Directa'!W105</f>
        <v>321021887.77000004</v>
      </c>
      <c r="X10" s="66">
        <f>'REMUNERACION_OCCIDENTE_ Directa'!X105</f>
        <v>381196564.10999995</v>
      </c>
      <c r="Y10" s="66">
        <f>'REMUNERACION_OCCIDENTE_ Directa'!Y105</f>
        <v>9471108.7799999993</v>
      </c>
      <c r="Z10" s="66">
        <f>'REMUNERACION_OCCIDENTE_ Directa'!Z105</f>
        <v>0</v>
      </c>
      <c r="AA10" s="66">
        <f>'REMUNERACION_OCCIDENTE_ Directa'!AA105</f>
        <v>-3277.8299999999995</v>
      </c>
      <c r="AB10" s="66">
        <f>'REMUNERACION_OCCIDENTE_ Directa'!AB105</f>
        <v>29180991.390000001</v>
      </c>
      <c r="AC10" s="66">
        <f>'REMUNERACION_OCCIDENTE_ Directa'!AC105</f>
        <v>-13.53</v>
      </c>
      <c r="AD10" s="66">
        <f>'REMUNERACION_OCCIDENTE_ Directa'!AD105</f>
        <v>10025550.370000001</v>
      </c>
      <c r="AE10" s="66">
        <f>'REMUNERACION_OCCIDENTE_ Directa'!AE105</f>
        <v>10025550.370000001</v>
      </c>
      <c r="AF10" s="70">
        <f>SUM(U10:AD10)</f>
        <v>872664408.60000002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1245261377.0799999</v>
      </c>
      <c r="E11" s="66">
        <f>'REMUNERACION_OCCIDENTE_ Directa'!E106</f>
        <v>169179321.98000002</v>
      </c>
      <c r="F11" s="66">
        <f>'REMUNERACION_OCCIDENTE_ Directa'!F106</f>
        <v>94674360.829999998</v>
      </c>
      <c r="G11" s="66">
        <f>'REMUNERACION_OCCIDENTE_ Directa'!G106</f>
        <v>50112712.770000003</v>
      </c>
      <c r="H11" s="66">
        <f>'REMUNERACION_OCCIDENTE_ Directa'!H106</f>
        <v>37910837.479999997</v>
      </c>
      <c r="I11" s="66">
        <f>'REMUNERACION_OCCIDENTE_ Directa'!I106</f>
        <v>1165755.6399999999</v>
      </c>
      <c r="J11" s="66">
        <f>'REMUNERACION_OCCIDENTE_ Directa'!J106</f>
        <v>0</v>
      </c>
      <c r="K11" s="31">
        <f t="shared" si="0"/>
        <v>892218388.37999988</v>
      </c>
      <c r="L11" s="66">
        <f>'REMUNERACION_OCCIDENTE_ Directa'!L106</f>
        <v>0</v>
      </c>
      <c r="M11" s="31">
        <f>K11-L11</f>
        <v>892218388.37999988</v>
      </c>
      <c r="N11" s="66">
        <f>'REMUNERACION_OCCIDENTE_ Directa'!N106</f>
        <v>1311387.82</v>
      </c>
      <c r="O11" s="31">
        <f t="shared" si="1"/>
        <v>893529776.19999993</v>
      </c>
      <c r="Q11" s="4"/>
      <c r="S11" s="16">
        <v>3</v>
      </c>
      <c r="T11" s="62" t="s">
        <v>12</v>
      </c>
      <c r="U11" s="66">
        <f>'REMUNERACION_OCCIDENTE_ Directa'!U106</f>
        <v>10225267.880000001</v>
      </c>
      <c r="V11" s="66">
        <f>'REMUNERACION_OCCIDENTE_ Directa'!V106</f>
        <v>13794028.73</v>
      </c>
      <c r="W11" s="66">
        <f>'REMUNERACION_OCCIDENTE_ Directa'!W106</f>
        <v>64505492.360000007</v>
      </c>
      <c r="X11" s="66">
        <f>'REMUNERACION_OCCIDENTE_ Directa'!X106</f>
        <v>393819035.60999995</v>
      </c>
      <c r="Y11" s="66">
        <f>'REMUNERACION_OCCIDENTE_ Directa'!Y106</f>
        <v>1909745.96</v>
      </c>
      <c r="Z11" s="66">
        <f>'REMUNERACION_OCCIDENTE_ Directa'!Z106</f>
        <v>0</v>
      </c>
      <c r="AA11" s="66">
        <f>'REMUNERACION_OCCIDENTE_ Directa'!AA106</f>
        <v>-972.41000000000008</v>
      </c>
      <c r="AB11" s="66">
        <f>'REMUNERACION_OCCIDENTE_ Directa'!AB106</f>
        <v>1311387.82</v>
      </c>
      <c r="AC11" s="66">
        <f>'REMUNERACION_OCCIDENTE_ Directa'!AC106</f>
        <v>-11886.56</v>
      </c>
      <c r="AD11" s="66">
        <f>'REMUNERACION_OCCIDENTE_ Directa'!AD106</f>
        <v>407977676.81</v>
      </c>
      <c r="AE11" s="66">
        <f>'REMUNERACION_OCCIDENTE_ Directa'!AE106</f>
        <v>407977676.81</v>
      </c>
      <c r="AF11" s="70">
        <f>SUM(U11:AD11)</f>
        <v>893529776.19999981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488724679.72000009</v>
      </c>
      <c r="E12" s="66">
        <f>'REMUNERACION_OCCIDENTE_ Directa'!E107</f>
        <v>55203155.700000003</v>
      </c>
      <c r="F12" s="66">
        <f>'REMUNERACION_OCCIDENTE_ Directa'!F107</f>
        <v>30345126.150000002</v>
      </c>
      <c r="G12" s="66">
        <f>'REMUNERACION_OCCIDENTE_ Directa'!G107</f>
        <v>15489479.65</v>
      </c>
      <c r="H12" s="66">
        <f>'REMUNERACION_OCCIDENTE_ Directa'!H107</f>
        <v>57754003.020000003</v>
      </c>
      <c r="I12" s="66">
        <f>'REMUNERACION_OCCIDENTE_ Directa'!I107</f>
        <v>1909778.2499999998</v>
      </c>
      <c r="J12" s="66">
        <f>'REMUNERACION_OCCIDENTE_ Directa'!J107</f>
        <v>0</v>
      </c>
      <c r="K12" s="31">
        <f t="shared" si="0"/>
        <v>328023136.95000017</v>
      </c>
      <c r="L12" s="66">
        <f>'REMUNERACION_OCCIDENTE_ Directa'!L107</f>
        <v>0</v>
      </c>
      <c r="M12" s="31">
        <f>K12-L12</f>
        <v>328023136.95000017</v>
      </c>
      <c r="N12" s="66">
        <f>'REMUNERACION_OCCIDENTE_ Directa'!N107</f>
        <v>14919457.4</v>
      </c>
      <c r="O12" s="31">
        <f t="shared" si="1"/>
        <v>342942594.35000014</v>
      </c>
      <c r="Q12" s="4"/>
      <c r="S12" s="16">
        <v>4</v>
      </c>
      <c r="T12" s="62" t="s">
        <v>13</v>
      </c>
      <c r="U12" s="66">
        <f>'REMUNERACION_OCCIDENTE_ Directa'!U107</f>
        <v>18153635.699999999</v>
      </c>
      <c r="V12" s="66">
        <f>'REMUNERACION_OCCIDENTE_ Directa'!V107</f>
        <v>22508162.759999998</v>
      </c>
      <c r="W12" s="66">
        <f>'REMUNERACION_OCCIDENTE_ Directa'!W107</f>
        <v>110934136.67000002</v>
      </c>
      <c r="X12" s="66">
        <f>'REMUNERACION_OCCIDENTE_ Directa'!X107</f>
        <v>146478227.43000004</v>
      </c>
      <c r="Y12" s="66">
        <f>'REMUNERACION_OCCIDENTE_ Directa'!Y107</f>
        <v>3110743.9899999998</v>
      </c>
      <c r="Z12" s="66">
        <f>'REMUNERACION_OCCIDENTE_ Directa'!Z107</f>
        <v>0</v>
      </c>
      <c r="AA12" s="66">
        <f>'REMUNERACION_OCCIDENTE_ Directa'!AA107</f>
        <v>602.99999999999989</v>
      </c>
      <c r="AB12" s="66">
        <f>'REMUNERACION_OCCIDENTE_ Directa'!AB107</f>
        <v>14919457.4</v>
      </c>
      <c r="AC12" s="66">
        <f>'REMUNERACION_OCCIDENTE_ Directa'!AC107</f>
        <v>-80.570000000000007</v>
      </c>
      <c r="AD12" s="66">
        <f>'REMUNERACION_OCCIDENTE_ Directa'!AD107</f>
        <v>26837707.969999999</v>
      </c>
      <c r="AE12" s="66">
        <f>'REMUNERACION_OCCIDENTE_ Directa'!AE107</f>
        <v>26837707.969999999</v>
      </c>
      <c r="AF12" s="70">
        <f>SUM(U12:AD12)</f>
        <v>342942594.35000002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317721932.47000003</v>
      </c>
      <c r="E13" s="66">
        <f>'REMUNERACION_OCCIDENTE_ Directa'!E108</f>
        <v>31184102.540000003</v>
      </c>
      <c r="F13" s="66">
        <f>'REMUNERACION_OCCIDENTE_ Directa'!F108</f>
        <v>17438110.490000002</v>
      </c>
      <c r="G13" s="66">
        <f>'REMUNERACION_OCCIDENTE_ Directa'!G108</f>
        <v>9129338.4999999981</v>
      </c>
      <c r="H13" s="66">
        <f>'REMUNERACION_OCCIDENTE_ Directa'!H108</f>
        <v>18288367.830000002</v>
      </c>
      <c r="I13" s="66">
        <f>'REMUNERACION_OCCIDENTE_ Directa'!I108</f>
        <v>845568.67</v>
      </c>
      <c r="J13" s="66">
        <f>'REMUNERACION_OCCIDENTE_ Directa'!J108</f>
        <v>0</v>
      </c>
      <c r="K13" s="31">
        <f t="shared" si="0"/>
        <v>240836444.44</v>
      </c>
      <c r="L13" s="66">
        <f>'REMUNERACION_OCCIDENTE_ Directa'!L108</f>
        <v>0</v>
      </c>
      <c r="M13" s="40">
        <f>K13-L13</f>
        <v>240836444.44</v>
      </c>
      <c r="N13" s="66">
        <f>'REMUNERACION_OCCIDENTE_ Directa'!N108</f>
        <v>6894658.7800000003</v>
      </c>
      <c r="O13" s="40">
        <f t="shared" si="1"/>
        <v>247731103.22</v>
      </c>
      <c r="Q13" s="4"/>
      <c r="S13" s="19">
        <v>5</v>
      </c>
      <c r="T13" s="63" t="s">
        <v>14</v>
      </c>
      <c r="U13" s="66">
        <f>'REMUNERACION_OCCIDENTE_ Directa'!U108</f>
        <v>7530881.8600000003</v>
      </c>
      <c r="V13" s="66">
        <f>'REMUNERACION_OCCIDENTE_ Directa'!V108</f>
        <v>9040944.5399999991</v>
      </c>
      <c r="W13" s="66">
        <f>'REMUNERACION_OCCIDENTE_ Directa'!W108</f>
        <v>45756182.879999995</v>
      </c>
      <c r="X13" s="66">
        <f>'REMUNERACION_OCCIDENTE_ Directa'!X108</f>
        <v>92948094.320000008</v>
      </c>
      <c r="Y13" s="66">
        <f>'REMUNERACION_OCCIDENTE_ Directa'!Y108</f>
        <v>1374403.66</v>
      </c>
      <c r="Z13" s="66">
        <f>'REMUNERACION_OCCIDENTE_ Directa'!Z108</f>
        <v>0</v>
      </c>
      <c r="AA13" s="66">
        <f>'REMUNERACION_OCCIDENTE_ Directa'!AA108</f>
        <v>-760.25999999999988</v>
      </c>
      <c r="AB13" s="66">
        <f>'REMUNERACION_OCCIDENTE_ Directa'!AB108</f>
        <v>6894658.7800000003</v>
      </c>
      <c r="AC13" s="66">
        <f>'REMUNERACION_OCCIDENTE_ Directa'!AC108</f>
        <v>0.35000000000000003</v>
      </c>
      <c r="AD13" s="66">
        <f>'REMUNERACION_OCCIDENTE_ Directa'!AD108</f>
        <v>84186697.089999989</v>
      </c>
      <c r="AE13" s="66">
        <f>'REMUNERACION_OCCIDENTE_ Directa'!AE108</f>
        <v>84186697.089999989</v>
      </c>
      <c r="AF13" s="70">
        <f>SUM(U13:AD13)</f>
        <v>247731103.21999997</v>
      </c>
      <c r="AG13" s="369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4263358205.6200008</v>
      </c>
      <c r="E14" s="43">
        <f t="shared" si="3"/>
        <v>538715525.36000001</v>
      </c>
      <c r="F14" s="43">
        <f t="shared" si="3"/>
        <v>301108775.10999995</v>
      </c>
      <c r="G14" s="43">
        <f t="shared" si="3"/>
        <v>158427545.65000001</v>
      </c>
      <c r="H14" s="43">
        <f t="shared" si="3"/>
        <v>381659485.12</v>
      </c>
      <c r="I14" s="43">
        <f t="shared" si="3"/>
        <v>11500319.260000002</v>
      </c>
      <c r="J14" s="43">
        <f t="shared" si="3"/>
        <v>0</v>
      </c>
      <c r="K14" s="32">
        <f t="shared" si="3"/>
        <v>2871946555.1200004</v>
      </c>
      <c r="L14" s="23">
        <f t="shared" si="3"/>
        <v>0</v>
      </c>
      <c r="M14" s="76">
        <f t="shared" si="3"/>
        <v>2871946555.1200004</v>
      </c>
      <c r="N14" s="23">
        <f t="shared" si="3"/>
        <v>61067319.399999999</v>
      </c>
      <c r="O14" s="76">
        <f t="shared" si="3"/>
        <v>2933013874.52</v>
      </c>
      <c r="P14" s="2"/>
      <c r="Q14" s="4"/>
      <c r="S14" s="21"/>
      <c r="T14" s="22" t="s">
        <v>119</v>
      </c>
      <c r="U14" s="43">
        <f>SUM(U9:U13)</f>
        <v>102417150.63000001</v>
      </c>
      <c r="V14" s="43">
        <f t="shared" ref="V14:AG14" si="4">SUM(V9:V13)</f>
        <v>134032300.66999999</v>
      </c>
      <c r="W14" s="43">
        <f t="shared" si="4"/>
        <v>627375815.82000005</v>
      </c>
      <c r="X14" s="43">
        <f t="shared" si="4"/>
        <v>1285844016.1299999</v>
      </c>
      <c r="Y14" s="43">
        <f t="shared" si="4"/>
        <v>18649143.739999998</v>
      </c>
      <c r="Z14" s="43">
        <f t="shared" si="4"/>
        <v>0</v>
      </c>
      <c r="AA14" s="43">
        <f t="shared" si="4"/>
        <v>-5271.94</v>
      </c>
      <c r="AB14" s="43">
        <f t="shared" si="4"/>
        <v>61067319.399999999</v>
      </c>
      <c r="AC14" s="43">
        <f t="shared" si="4"/>
        <v>-14094.689999999999</v>
      </c>
      <c r="AD14" s="43">
        <f t="shared" si="4"/>
        <v>703647494.76000011</v>
      </c>
      <c r="AE14" s="43">
        <f>SUM(AE9:AE13)</f>
        <v>703647494.76000011</v>
      </c>
      <c r="AF14" s="68">
        <f t="shared" si="4"/>
        <v>2933013874.5199995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2168318426.9899998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8">
        <v>1</v>
      </c>
      <c r="C30" s="109" t="s">
        <v>10</v>
      </c>
      <c r="D30" s="110">
        <f>'REMUNERACION_OCCIDENTE_ Directa'!D125</f>
        <v>17358483.629999999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28857410.600000001</v>
      </c>
      <c r="I30" s="309">
        <f>'REMUNERACION_OCCIDENTE_ Directa'!I125</f>
        <v>0</v>
      </c>
      <c r="J30" s="309">
        <f>'REMUNERACION_OCCIDENTE_ Directa'!J125</f>
        <v>-1002751.39</v>
      </c>
      <c r="K30" s="309">
        <f>'REMUNERACION_OCCIDENTE_ Directa'!K125</f>
        <v>82340</v>
      </c>
      <c r="L30" s="309">
        <f>'REMUNERACION_OCCIDENTE_ Directa'!L125</f>
        <v>165648.60999999999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79433109</v>
      </c>
      <c r="E31" s="74">
        <f>'REMUNERACION_OCCIDENTE_ Directa'!E126</f>
        <v>0</v>
      </c>
      <c r="G31" s="339">
        <f>'REMUNERACION_OCCIDENTE_ Directa'!G126</f>
        <v>111210</v>
      </c>
      <c r="H31" s="340">
        <f>'REMUNERACION_OCCIDENTE_ Directa'!H126</f>
        <v>87448610.169999987</v>
      </c>
      <c r="I31" s="288">
        <f>'REMUNERACION_OCCIDENTE_ Directa'!I126</f>
        <v>0</v>
      </c>
      <c r="J31" s="288">
        <f>'REMUNERACION_OCCIDENTE_ Directa'!J126</f>
        <v>-290750</v>
      </c>
      <c r="K31" s="288">
        <f>'REMUNERACION_OCCIDENTE_ Directa'!K126</f>
        <v>1370</v>
      </c>
      <c r="L31" s="288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14844502.92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16553408.619999999</v>
      </c>
      <c r="I32" s="288">
        <f>'REMUNERACION_OCCIDENTE_ Directa'!I127</f>
        <v>0</v>
      </c>
      <c r="J32" s="288">
        <f>'REMUNERACION_OCCIDENTE_ Directa'!J127</f>
        <v>-306659.8</v>
      </c>
      <c r="K32" s="288">
        <f>'REMUNERACION_OCCIDENTE_ Directa'!K127</f>
        <v>0</v>
      </c>
      <c r="L32" s="288">
        <f>'REMUNERACION_OCCIDENTE_ Directa'!L127</f>
        <v>2343750.2000000002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14631795.34</v>
      </c>
      <c r="E33" s="74">
        <f>'REMUNERACION_OCCIDENTE_ Directa'!E128</f>
        <v>0</v>
      </c>
      <c r="G33" s="339">
        <f>'REMUNERACION_OCCIDENTE_ Directa'!G128</f>
        <v>691194</v>
      </c>
      <c r="H33" s="340">
        <f>'REMUNERACION_OCCIDENTE_ Directa'!H128</f>
        <v>34178649.799999997</v>
      </c>
      <c r="I33" s="288">
        <f>'REMUNERACION_OCCIDENTE_ Directa'!I128</f>
        <v>0</v>
      </c>
      <c r="J33" s="288">
        <f>'REMUNERACION_OCCIDENTE_ Directa'!J128</f>
        <v>-3233428.34</v>
      </c>
      <c r="K33" s="288">
        <f>'REMUNERACION_OCCIDENTE_ Directa'!K128</f>
        <v>2209000</v>
      </c>
      <c r="L33" s="288">
        <f>'REMUNERACION_OCCIDENTE_ Directa'!L128</f>
        <v>14593375.66</v>
      </c>
      <c r="O33" s="44"/>
      <c r="Q33" s="4"/>
    </row>
    <row r="34" spans="1:20" x14ac:dyDescent="0.2">
      <c r="B34" s="133">
        <v>5</v>
      </c>
      <c r="C34" s="138" t="s">
        <v>14</v>
      </c>
      <c r="D34" s="135">
        <f>'REMUNERACION_OCCIDENTE_ Directa'!D129</f>
        <v>10604847.960000001</v>
      </c>
      <c r="E34" s="139">
        <f>'REMUNERACION_OCCIDENTE_ Directa'!E129</f>
        <v>0</v>
      </c>
      <c r="G34" s="339">
        <f>'REMUNERACION_OCCIDENTE_ Directa'!G129</f>
        <v>441849</v>
      </c>
      <c r="H34" s="340">
        <f>'REMUNERACION_OCCIDENTE_ Directa'!H129</f>
        <v>14307244.74</v>
      </c>
      <c r="I34" s="288">
        <f>'REMUNERACION_OCCIDENTE_ Directa'!I129</f>
        <v>0</v>
      </c>
      <c r="J34" s="288">
        <f>'REMUNERACION_OCCIDENTE_ Directa'!J129</f>
        <v>-1026775.53</v>
      </c>
      <c r="K34" s="288">
        <f>'REMUNERACION_OCCIDENTE_ Directa'!K129</f>
        <v>87550</v>
      </c>
      <c r="L34" s="288">
        <f>'REMUNERACION_OCCIDENTE_ Directa'!L129</f>
        <v>165773.47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75" thickBot="1" x14ac:dyDescent="0.25">
      <c r="B36" s="95"/>
      <c r="C36" s="106" t="s">
        <v>119</v>
      </c>
      <c r="D36" s="107">
        <f t="shared" ref="D36" si="5">SUM(D30:D34)</f>
        <v>136872738.84999999</v>
      </c>
      <c r="E36" s="107">
        <f>'REMUNERACION_OCCIDENTE_ Directa'!E131</f>
        <v>0</v>
      </c>
      <c r="F36" s="45"/>
      <c r="G36" s="350">
        <f t="shared" ref="G36:L36" si="6">SUM(G30:G34)</f>
        <v>1244253</v>
      </c>
      <c r="H36" s="350">
        <f t="shared" si="6"/>
        <v>181345323.93000001</v>
      </c>
      <c r="I36" s="350">
        <f t="shared" si="6"/>
        <v>0</v>
      </c>
      <c r="J36" s="350">
        <f t="shared" si="6"/>
        <v>-5860365.0600000005</v>
      </c>
      <c r="K36" s="350">
        <f t="shared" si="6"/>
        <v>2380260</v>
      </c>
      <c r="L36" s="350">
        <f t="shared" si="6"/>
        <v>17268547.939999998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98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x14ac:dyDescent="0.2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x14ac:dyDescent="0.2">
      <c r="B29" s="314">
        <v>2</v>
      </c>
      <c r="C29" s="315" t="s">
        <v>11</v>
      </c>
      <c r="D29" s="291">
        <f>'Rem. Anticipos R2'!E170</f>
        <v>0</v>
      </c>
      <c r="E29" s="292">
        <f>'Rem. Anticipos R2'!F170</f>
        <v>0</v>
      </c>
      <c r="F29" s="292">
        <f>'Rem. Anticipos R2'!G170</f>
        <v>0</v>
      </c>
      <c r="G29" s="292">
        <f>'Rem. Anticipos R2'!H170</f>
        <v>0</v>
      </c>
      <c r="H29" s="292">
        <f>'Rem. Anticipos R2'!I170</f>
        <v>0</v>
      </c>
      <c r="I29" s="292">
        <f>'Rem. Anticipos R2'!J170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R2'!K170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R2'!L170</f>
        <v>0</v>
      </c>
      <c r="V29" s="317">
        <f>'Rem. Anticipos R2'!M170</f>
        <v>0</v>
      </c>
      <c r="W29" s="317">
        <f>'Rem. Anticipos R2'!N170</f>
        <v>0</v>
      </c>
      <c r="X29" s="317">
        <f>'Rem. Anticipos R2'!O170</f>
        <v>0</v>
      </c>
      <c r="Y29" s="318">
        <f>'Rem. Anticipos R2'!P170</f>
        <v>0</v>
      </c>
      <c r="Z29" s="319">
        <f>L29*-1</f>
        <v>0</v>
      </c>
      <c r="AA29" s="320">
        <f>'Rem. Anticipos R2'!Q170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R2'!E171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x14ac:dyDescent="0.2">
      <c r="B30" s="314">
        <v>3</v>
      </c>
      <c r="C30" s="315" t="s">
        <v>12</v>
      </c>
      <c r="D30" s="291">
        <f>'Rem. Anticipos R2'!E288</f>
        <v>0</v>
      </c>
      <c r="E30" s="292">
        <f>'Rem. Anticipos R2'!F288</f>
        <v>0</v>
      </c>
      <c r="F30" s="292">
        <f>'Rem. Anticipos R2'!G288</f>
        <v>0</v>
      </c>
      <c r="G30" s="292">
        <f>'Rem. Anticipos R2'!H288</f>
        <v>0</v>
      </c>
      <c r="H30" s="292">
        <f>'Rem. Anticipos R2'!I288</f>
        <v>0</v>
      </c>
      <c r="I30" s="292">
        <f>'Rem. Anticipos R2'!J288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R2'!K288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R2'!L288</f>
        <v>0</v>
      </c>
      <c r="V30" s="317">
        <f>'Rem. Anticipos R2'!M288</f>
        <v>0</v>
      </c>
      <c r="W30" s="317">
        <f>'Rem. Anticipos R2'!N288</f>
        <v>0</v>
      </c>
      <c r="X30" s="317">
        <f>'Rem. Anticipos R2'!O288</f>
        <v>0</v>
      </c>
      <c r="Y30" s="318">
        <f>'Rem. Anticipos R2'!P288</f>
        <v>0</v>
      </c>
      <c r="Z30" s="319">
        <f>L30*-1</f>
        <v>0</v>
      </c>
      <c r="AA30" s="320">
        <f>'Rem. Anticipos R2'!Q288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R2'!E289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x14ac:dyDescent="0.2">
      <c r="B31" s="314">
        <v>4</v>
      </c>
      <c r="C31" s="315" t="s">
        <v>13</v>
      </c>
      <c r="D31" s="291">
        <f>'Rem. Anticipos R2'!E399</f>
        <v>0</v>
      </c>
      <c r="E31" s="292">
        <f>'Rem. Anticipos R2'!F399</f>
        <v>0</v>
      </c>
      <c r="F31" s="292">
        <f>'Rem. Anticipos R2'!G399</f>
        <v>0</v>
      </c>
      <c r="G31" s="292">
        <f>'Rem. Anticipos R2'!H399</f>
        <v>0</v>
      </c>
      <c r="H31" s="292">
        <f>'Rem. Anticipos R2'!I399</f>
        <v>0</v>
      </c>
      <c r="I31" s="292">
        <f>'Rem. Anticipos R2'!J399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R2'!K399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R2'!L399</f>
        <v>0</v>
      </c>
      <c r="V31" s="317">
        <f>'Rem. Anticipos R2'!M399</f>
        <v>0</v>
      </c>
      <c r="W31" s="317">
        <f>'Rem. Anticipos R2'!N399</f>
        <v>0</v>
      </c>
      <c r="X31" s="317">
        <f>'Rem. Anticipos R2'!O399</f>
        <v>0</v>
      </c>
      <c r="Y31" s="318">
        <f>'Rem. Anticipos R2'!P399</f>
        <v>0</v>
      </c>
      <c r="Z31" s="319">
        <f>L31*-1</f>
        <v>0</v>
      </c>
      <c r="AA31" s="320">
        <f>'Rem. Anticipos R2'!Q399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R2'!E400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75" thickBot="1" x14ac:dyDescent="0.25">
      <c r="B32" s="324">
        <v>5</v>
      </c>
      <c r="C32" s="325" t="s">
        <v>14</v>
      </c>
      <c r="D32" s="296">
        <f>'Rem. Anticipos R2'!E483</f>
        <v>0</v>
      </c>
      <c r="E32" s="297">
        <f>'Rem. Anticipos R2'!F483</f>
        <v>0</v>
      </c>
      <c r="F32" s="297">
        <f>'Rem. Anticipos R2'!G483</f>
        <v>0</v>
      </c>
      <c r="G32" s="297">
        <f>'Rem. Anticipos R2'!H483</f>
        <v>0</v>
      </c>
      <c r="H32" s="297">
        <f>'Rem. Anticipos R2'!I483</f>
        <v>0</v>
      </c>
      <c r="I32" s="297">
        <f>'Rem. Anticipos R2'!J483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R2'!K483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R2'!L483</f>
        <v>0</v>
      </c>
      <c r="V32" s="297">
        <f>'Rem. Anticipos R2'!M483</f>
        <v>0</v>
      </c>
      <c r="W32" s="297">
        <f>'Rem. Anticipos R2'!N483</f>
        <v>0</v>
      </c>
      <c r="X32" s="297">
        <f>'Rem. Anticipos R2'!O483</f>
        <v>0</v>
      </c>
      <c r="Y32" s="289">
        <f>'Rem. Anticipos R2'!P483</f>
        <v>0</v>
      </c>
      <c r="Z32" s="319">
        <f>L32*-1</f>
        <v>0</v>
      </c>
      <c r="AA32" s="320">
        <f>'Rem. Anticipos R2'!Q483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R2'!E484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5" thickBot="1" x14ac:dyDescent="0.25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98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x14ac:dyDescent="0.2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x14ac:dyDescent="0.2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x14ac:dyDescent="0.2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x14ac:dyDescent="0.2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75" thickBot="1" x14ac:dyDescent="0.25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5" thickBot="1" x14ac:dyDescent="0.25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98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x14ac:dyDescent="0.2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x14ac:dyDescent="0.2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x14ac:dyDescent="0.2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x14ac:dyDescent="0.2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75" thickBot="1" x14ac:dyDescent="0.25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5" thickBot="1" x14ac:dyDescent="0.25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98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x14ac:dyDescent="0.2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x14ac:dyDescent="0.2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x14ac:dyDescent="0.2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x14ac:dyDescent="0.2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75" thickBot="1" x14ac:dyDescent="0.25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5" thickBot="1" x14ac:dyDescent="0.25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98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x14ac:dyDescent="0.2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x14ac:dyDescent="0.2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x14ac:dyDescent="0.2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x14ac:dyDescent="0.2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75" thickBot="1" x14ac:dyDescent="0.25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5" thickBot="1" x14ac:dyDescent="0.25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75" thickBot="1" x14ac:dyDescent="0.25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x14ac:dyDescent="0.2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x14ac:dyDescent="0.2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x14ac:dyDescent="0.2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x14ac:dyDescent="0.2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x14ac:dyDescent="0.2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75" thickBot="1" x14ac:dyDescent="0.25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75" thickBot="1" x14ac:dyDescent="0.25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x14ac:dyDescent="0.2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x14ac:dyDescent="0.2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x14ac:dyDescent="0.2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x14ac:dyDescent="0.2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75" thickBot="1" x14ac:dyDescent="0.25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75" thickBot="1" x14ac:dyDescent="0.25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2.75" x14ac:dyDescent="0.2"/>
  <cols>
    <col min="1" max="1" width="3" customWidth="1"/>
    <col min="2" max="2" width="4.140625" bestFit="1" customWidth="1"/>
    <col min="3" max="3" width="16.85546875" customWidth="1"/>
    <col min="4" max="4" width="14.140625" customWidth="1"/>
    <col min="5" max="7" width="17.85546875" customWidth="1"/>
    <col min="8" max="8" width="18.140625" customWidth="1"/>
    <col min="9" max="9" width="15.85546875" customWidth="1"/>
    <col min="10" max="10" width="16.42578125" customWidth="1"/>
    <col min="11" max="11" width="15.85546875" customWidth="1"/>
    <col min="12" max="13" width="18.140625" customWidth="1"/>
    <col min="14" max="14" width="15.85546875" customWidth="1"/>
    <col min="15" max="15" width="14.140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5" thickBot="1" x14ac:dyDescent="0.25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5" thickBot="1" x14ac:dyDescent="0.25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">
      <c r="B11" s="102" t="s">
        <v>89</v>
      </c>
      <c r="C11" s="103" t="s">
        <v>90</v>
      </c>
      <c r="M11" s="141"/>
      <c r="O11" s="137"/>
    </row>
    <row r="12" spans="2:16" x14ac:dyDescent="0.2">
      <c r="C12" s="143"/>
    </row>
    <row r="13" spans="2:16" x14ac:dyDescent="0.2">
      <c r="B13" s="142"/>
      <c r="C13" s="103" t="s">
        <v>1</v>
      </c>
    </row>
    <row r="14" spans="2:16" x14ac:dyDescent="0.2">
      <c r="C14" s="245">
        <f>'Valida - Control Recaudo'!E3+'Valida - Control Recaudo'!E5</f>
        <v>0</v>
      </c>
    </row>
    <row r="15" spans="2:16" x14ac:dyDescent="0.2">
      <c r="C15" s="249" t="b">
        <f>C14=C9</f>
        <v>1</v>
      </c>
    </row>
    <row r="16" spans="2:16" x14ac:dyDescent="0.2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5.140625" style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9.42578125" style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98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x14ac:dyDescent="0.2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x14ac:dyDescent="0.2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x14ac:dyDescent="0.2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x14ac:dyDescent="0.2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75" thickBot="1" x14ac:dyDescent="0.25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5" thickBot="1" x14ac:dyDescent="0.25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x14ac:dyDescent="0.2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x14ac:dyDescent="0.2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x14ac:dyDescent="0.2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x14ac:dyDescent="0.2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x14ac:dyDescent="0.2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75" thickBot="1" x14ac:dyDescent="0.25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75" thickBot="1" x14ac:dyDescent="0.25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x14ac:dyDescent="0.2">
      <c r="B37" s="2"/>
      <c r="C37" s="2"/>
      <c r="D37" s="24"/>
      <c r="Q37" s="4"/>
      <c r="AI37" s="305"/>
    </row>
    <row r="38" spans="1:35" x14ac:dyDescent="0.2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A33" sqref="A33"/>
    </sheetView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20" customFormat="1" ht="12.75" x14ac:dyDescent="0.2"/>
    <row r="2" spans="2:20" customFormat="1" ht="12.75" x14ac:dyDescent="0.2">
      <c r="T2" s="142" t="s">
        <v>329</v>
      </c>
    </row>
    <row r="3" spans="2:20" customFormat="1" x14ac:dyDescent="0.2">
      <c r="F3" s="660" t="s">
        <v>8</v>
      </c>
      <c r="H3" s="660" t="s">
        <v>16</v>
      </c>
      <c r="L3" s="660" t="s">
        <v>227</v>
      </c>
      <c r="M3" s="660" t="s">
        <v>341</v>
      </c>
      <c r="T3" s="142"/>
    </row>
    <row r="4" spans="2:20" customFormat="1" x14ac:dyDescent="0.2">
      <c r="F4" s="660" t="s">
        <v>29</v>
      </c>
    </row>
    <row r="5" spans="2:20" customFormat="1" x14ac:dyDescent="0.2">
      <c r="F5" s="660" t="s">
        <v>228</v>
      </c>
    </row>
    <row r="6" spans="2:20" customFormat="1" x14ac:dyDescent="0.2">
      <c r="C6" s="660" t="s">
        <v>229</v>
      </c>
      <c r="D6" s="660" t="s">
        <v>342</v>
      </c>
      <c r="F6" s="660" t="s">
        <v>230</v>
      </c>
    </row>
    <row r="7" spans="2:20" customFormat="1" x14ac:dyDescent="0.2">
      <c r="C7" s="660" t="s">
        <v>231</v>
      </c>
      <c r="D7" s="660" t="s">
        <v>343</v>
      </c>
      <c r="F7" s="660" t="s">
        <v>27</v>
      </c>
      <c r="G7" s="660" t="s">
        <v>344</v>
      </c>
      <c r="I7" s="660" t="s">
        <v>232</v>
      </c>
      <c r="J7" s="660" t="s">
        <v>345</v>
      </c>
    </row>
    <row r="8" spans="2:20" customFormat="1" ht="45" x14ac:dyDescent="0.2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2.75" x14ac:dyDescent="0.2">
      <c r="B9" s="641" t="s">
        <v>115</v>
      </c>
      <c r="C9" s="641" t="s">
        <v>10</v>
      </c>
      <c r="D9" s="642">
        <v>17450228673</v>
      </c>
      <c r="E9" s="642">
        <v>907089032</v>
      </c>
      <c r="F9" s="642">
        <v>511619082</v>
      </c>
      <c r="G9" s="642">
        <v>268690519</v>
      </c>
      <c r="H9" s="642">
        <v>3815252257</v>
      </c>
      <c r="I9" s="642">
        <v>134368143</v>
      </c>
      <c r="J9" s="642">
        <v>-3589454666</v>
      </c>
      <c r="K9" s="642">
        <v>15402664306</v>
      </c>
      <c r="L9" s="642">
        <v>189185988</v>
      </c>
      <c r="M9" s="642">
        <v>15213478318</v>
      </c>
      <c r="N9" s="642">
        <v>25277316</v>
      </c>
      <c r="O9" s="642">
        <v>15238755634</v>
      </c>
    </row>
    <row r="10" spans="2:20" customFormat="1" ht="12.75" x14ac:dyDescent="0.2">
      <c r="B10" s="641" t="s">
        <v>116</v>
      </c>
      <c r="C10" s="641" t="s">
        <v>11</v>
      </c>
      <c r="D10" s="642">
        <v>20516143970</v>
      </c>
      <c r="E10" s="642">
        <v>1584179838</v>
      </c>
      <c r="F10" s="642">
        <v>890098163</v>
      </c>
      <c r="G10" s="642">
        <v>466611469</v>
      </c>
      <c r="H10" s="642">
        <v>5815089520</v>
      </c>
      <c r="I10" s="642">
        <v>222428730</v>
      </c>
      <c r="J10" s="642">
        <v>-3241193714</v>
      </c>
      <c r="K10" s="642">
        <v>14778929964</v>
      </c>
      <c r="L10" s="642">
        <v>266580256</v>
      </c>
      <c r="M10" s="642">
        <v>14512349708</v>
      </c>
      <c r="N10" s="642">
        <v>53454221</v>
      </c>
      <c r="O10" s="642">
        <v>14565803930</v>
      </c>
    </row>
    <row r="11" spans="2:20" customFormat="1" ht="12.75" x14ac:dyDescent="0.2">
      <c r="B11" s="641" t="s">
        <v>117</v>
      </c>
      <c r="C11" s="641" t="s">
        <v>246</v>
      </c>
      <c r="D11" s="642">
        <v>15221896467</v>
      </c>
      <c r="E11" s="642">
        <v>1154816918</v>
      </c>
      <c r="F11" s="642">
        <v>650648257</v>
      </c>
      <c r="G11" s="642">
        <v>342168927</v>
      </c>
      <c r="H11" s="642">
        <v>3419471287</v>
      </c>
      <c r="I11" s="642">
        <v>125690283</v>
      </c>
      <c r="J11" s="642">
        <v>-853244565</v>
      </c>
      <c r="K11" s="642">
        <v>10382345360</v>
      </c>
      <c r="L11" s="642">
        <v>154788536</v>
      </c>
      <c r="M11" s="642">
        <v>10227556824</v>
      </c>
      <c r="N11" s="642">
        <v>14341963</v>
      </c>
      <c r="O11" s="642">
        <v>10241898788</v>
      </c>
    </row>
    <row r="12" spans="2:20" customFormat="1" ht="12.75" x14ac:dyDescent="0.2">
      <c r="B12" s="641" t="s">
        <v>247</v>
      </c>
      <c r="C12" s="641" t="s">
        <v>13</v>
      </c>
      <c r="D12" s="642">
        <v>7179595396</v>
      </c>
      <c r="E12" s="642">
        <v>473606043</v>
      </c>
      <c r="F12" s="642">
        <v>264596658</v>
      </c>
      <c r="G12" s="642">
        <v>136481575</v>
      </c>
      <c r="H12" s="642">
        <v>1605437094</v>
      </c>
      <c r="I12" s="642">
        <v>62582402</v>
      </c>
      <c r="J12" s="642">
        <v>-699882713</v>
      </c>
      <c r="K12" s="642">
        <v>5336774337</v>
      </c>
      <c r="L12" s="642">
        <v>120391083</v>
      </c>
      <c r="M12" s="642">
        <v>5216383254</v>
      </c>
      <c r="N12" s="642">
        <v>34128345</v>
      </c>
      <c r="O12" s="642">
        <v>5250511599</v>
      </c>
    </row>
    <row r="13" spans="2:20" customFormat="1" ht="12.75" x14ac:dyDescent="0.2">
      <c r="B13" s="641" t="s">
        <v>118</v>
      </c>
      <c r="C13" s="641" t="s">
        <v>14</v>
      </c>
      <c r="D13" s="642">
        <v>12073344662</v>
      </c>
      <c r="E13" s="642">
        <v>731686442</v>
      </c>
      <c r="F13" s="642">
        <v>412480816</v>
      </c>
      <c r="G13" s="642">
        <v>216220999</v>
      </c>
      <c r="H13" s="642">
        <v>2771170797</v>
      </c>
      <c r="I13" s="642">
        <v>105860252</v>
      </c>
      <c r="J13" s="642">
        <v>-82959024</v>
      </c>
      <c r="K13" s="642">
        <v>7918884379</v>
      </c>
      <c r="L13" s="642">
        <v>128990446</v>
      </c>
      <c r="M13" s="642">
        <v>7789893933</v>
      </c>
      <c r="N13" s="642">
        <v>15891736</v>
      </c>
      <c r="O13" s="642">
        <v>7805785669</v>
      </c>
    </row>
    <row r="14" spans="2:20" customFormat="1" ht="12.75" x14ac:dyDescent="0.2">
      <c r="B14" s="641" t="s">
        <v>248</v>
      </c>
      <c r="C14" s="641" t="s">
        <v>70</v>
      </c>
      <c r="D14" s="642">
        <v>72441209168</v>
      </c>
      <c r="E14" s="642">
        <v>4851378273</v>
      </c>
      <c r="F14" s="642">
        <v>2729442976</v>
      </c>
      <c r="G14" s="642">
        <v>1430173489</v>
      </c>
      <c r="H14" s="642">
        <v>17426420955</v>
      </c>
      <c r="I14" s="642">
        <v>650929810</v>
      </c>
      <c r="J14" s="642">
        <v>-8466734682</v>
      </c>
      <c r="K14" s="642">
        <v>53819598346</v>
      </c>
      <c r="L14" s="642">
        <v>859936309</v>
      </c>
      <c r="M14" s="642">
        <v>52959662037</v>
      </c>
      <c r="N14" s="642">
        <v>143093581</v>
      </c>
      <c r="O14" s="642">
        <v>53102755620</v>
      </c>
    </row>
    <row r="15" spans="2:20" customFormat="1" ht="12.75" x14ac:dyDescent="0.2"/>
    <row r="16" spans="2:20" customFormat="1" ht="12.75" x14ac:dyDescent="0.2">
      <c r="C16" s="662" t="s">
        <v>323</v>
      </c>
    </row>
    <row r="18" spans="2:15" x14ac:dyDescent="0.25">
      <c r="E18" s="611" t="s">
        <v>249</v>
      </c>
    </row>
    <row r="19" spans="2:15" x14ac:dyDescent="0.25">
      <c r="F19" s="611" t="s">
        <v>25</v>
      </c>
    </row>
    <row r="22" spans="2:15" ht="36" x14ac:dyDescent="0.25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25">
      <c r="B23" s="610" t="s">
        <v>115</v>
      </c>
      <c r="C23" s="610" t="s">
        <v>10</v>
      </c>
      <c r="D23" s="648">
        <f>D9-'CONSOLIDADO_TOTAL RECAUDO'!D104</f>
        <v>-0.34999847412109375</v>
      </c>
      <c r="E23" s="648">
        <f>E9-'CONSOLIDADO_TOTAL RECAUDO'!E104</f>
        <v>-0.16000008583068848</v>
      </c>
      <c r="F23" s="648">
        <f>F9-'CONSOLIDADO_TOTAL RECAUDO'!F104</f>
        <v>0.27999997138977051</v>
      </c>
      <c r="G23" s="648">
        <f>G9-'CONSOLIDADO_TOTAL RECAUDO'!G104</f>
        <v>6.0000002384185791E-2</v>
      </c>
      <c r="H23" s="648">
        <f>H9-'CONSOLIDADO_TOTAL RECAUDO'!H104</f>
        <v>9.9999904632568359E-2</v>
      </c>
      <c r="I23" s="648">
        <f>I9-'CONSOLIDADO_TOTAL RECAUDO'!I104</f>
        <v>-0.4699999988079071</v>
      </c>
      <c r="J23" s="648">
        <f>J9-'CONSOLIDADO_TOTAL RECAUDO'!J104</f>
        <v>-0.45000028610229492</v>
      </c>
      <c r="K23" s="648">
        <f>K9-'CONSOLIDADO_TOTAL RECAUDO'!K104</f>
        <v>0.29000091552734375</v>
      </c>
      <c r="L23" s="648">
        <f>L9-'CONSOLIDADO_TOTAL RECAUDO'!L104</f>
        <v>0</v>
      </c>
      <c r="M23" s="648">
        <f>M9-'CONSOLIDADO_TOTAL RECAUDO'!M104</f>
        <v>0.29000091552734375</v>
      </c>
      <c r="N23" s="648">
        <f>N9-'CONSOLIDADO_TOTAL RECAUDO'!N104</f>
        <v>-0.26000000163912773</v>
      </c>
      <c r="O23" s="648">
        <f>O9-'CONSOLIDADO_TOTAL RECAUDO'!O104</f>
        <v>3.0000686645507813E-2</v>
      </c>
    </row>
    <row r="24" spans="2:15" x14ac:dyDescent="0.25">
      <c r="B24" s="610" t="s">
        <v>116</v>
      </c>
      <c r="C24" s="610" t="s">
        <v>11</v>
      </c>
      <c r="D24" s="648">
        <f>D10-'CONSOLIDADO_TOTAL RECAUDO'!D105</f>
        <v>0.34999847412109375</v>
      </c>
      <c r="E24" s="648">
        <f>E10-'CONSOLIDADO_TOTAL RECAUDO'!E105</f>
        <v>0.17000007629394531</v>
      </c>
      <c r="F24" s="648">
        <f>F10-'CONSOLIDADO_TOTAL RECAUDO'!F105</f>
        <v>0.38000011444091797</v>
      </c>
      <c r="G24" s="648">
        <f>G10-'CONSOLIDADO_TOTAL RECAUDO'!G105</f>
        <v>-0.23999994993209839</v>
      </c>
      <c r="H24" s="648">
        <f>H10-'CONSOLIDADO_TOTAL RECAUDO'!H105</f>
        <v>0.41999912261962891</v>
      </c>
      <c r="I24" s="648">
        <f>I10-'CONSOLIDADO_TOTAL RECAUDO'!I105</f>
        <v>-0.15999999642372131</v>
      </c>
      <c r="J24" s="648">
        <f>J10-'CONSOLIDADO_TOTAL RECAUDO'!J105</f>
        <v>0.1100001335144043</v>
      </c>
      <c r="K24" s="648">
        <f>K10-'CONSOLIDADO_TOTAL RECAUDO'!K105</f>
        <v>-0.32999801635742188</v>
      </c>
      <c r="L24" s="648">
        <f>L10-'CONSOLIDADO_TOTAL RECAUDO'!L105</f>
        <v>0</v>
      </c>
      <c r="M24" s="648">
        <f>M10-'CONSOLIDADO_TOTAL RECAUDO'!M105</f>
        <v>-0.32999801635742188</v>
      </c>
      <c r="N24" s="648">
        <f>N10-'CONSOLIDADO_TOTAL RECAUDO'!N105</f>
        <v>-0.2800000011920929</v>
      </c>
      <c r="O24" s="648">
        <f>O10-'CONSOLIDADO_TOTAL RECAUDO'!O105</f>
        <v>0.39000129699707031</v>
      </c>
    </row>
    <row r="25" spans="2:15" x14ac:dyDescent="0.25">
      <c r="B25" s="610" t="s">
        <v>117</v>
      </c>
      <c r="C25" s="610" t="s">
        <v>246</v>
      </c>
      <c r="D25" s="648">
        <f>D11-'CONSOLIDADO_TOTAL RECAUDO'!D106</f>
        <v>-0.45000267028808594</v>
      </c>
      <c r="E25" s="648">
        <f>E11-'CONSOLIDADO_TOTAL RECAUDO'!E106</f>
        <v>-4.0000200271606445E-2</v>
      </c>
      <c r="F25" s="648">
        <f>F11-'CONSOLIDADO_TOTAL RECAUDO'!F106</f>
        <v>0.21999990940093994</v>
      </c>
      <c r="G25" s="648">
        <f>G11-'CONSOLIDADO_TOTAL RECAUDO'!G106</f>
        <v>-0.41999995708465576</v>
      </c>
      <c r="H25" s="648">
        <f>H11-'CONSOLIDADO_TOTAL RECAUDO'!H106</f>
        <v>0.42000007629394531</v>
      </c>
      <c r="I25" s="648">
        <f>I11-'CONSOLIDADO_TOTAL RECAUDO'!I106</f>
        <v>4.0000006556510925E-2</v>
      </c>
      <c r="J25" s="648">
        <f>J11-'CONSOLIDADO_TOTAL RECAUDO'!J106</f>
        <v>-0.49000000953674316</v>
      </c>
      <c r="K25" s="648">
        <f>K11-'CONSOLIDADO_TOTAL RECAUDO'!K106</f>
        <v>-0.18000221252441406</v>
      </c>
      <c r="L25" s="648">
        <f>L11-'CONSOLIDADO_TOTAL RECAUDO'!L106</f>
        <v>0</v>
      </c>
      <c r="M25" s="648">
        <f>M11-'CONSOLIDADO_TOTAL RECAUDO'!M106</f>
        <v>-0.18000221252441406</v>
      </c>
      <c r="N25" s="648">
        <f>N11-'CONSOLIDADO_TOTAL RECAUDO'!N106</f>
        <v>-0.31999999843537807</v>
      </c>
      <c r="O25" s="648">
        <f>O11-'CONSOLIDADO_TOTAL RECAUDO'!O106</f>
        <v>0.49999809265136719</v>
      </c>
    </row>
    <row r="26" spans="2:15" x14ac:dyDescent="0.25">
      <c r="B26" s="610" t="s">
        <v>247</v>
      </c>
      <c r="C26" s="610" t="s">
        <v>13</v>
      </c>
      <c r="D26" s="648">
        <f>D12-'CONSOLIDADO_TOTAL RECAUDO'!D107</f>
        <v>0.33000087738037109</v>
      </c>
      <c r="E26" s="648">
        <f>E12-'CONSOLIDADO_TOTAL RECAUDO'!E107</f>
        <v>-0.33000004291534424</v>
      </c>
      <c r="F26" s="648">
        <f>F12-'CONSOLIDADO_TOTAL RECAUDO'!F107</f>
        <v>0.29999998211860657</v>
      </c>
      <c r="G26" s="648">
        <f>G12-'CONSOLIDADO_TOTAL RECAUDO'!G107</f>
        <v>-0.35000002384185791</v>
      </c>
      <c r="H26" s="648">
        <f>H12-'CONSOLIDADO_TOTAL RECAUDO'!H107</f>
        <v>0.24000000953674316</v>
      </c>
      <c r="I26" s="648">
        <f>I12-'CONSOLIDADO_TOTAL RECAUDO'!I107</f>
        <v>0.48000000417232513</v>
      </c>
      <c r="J26" s="648">
        <f>J12-'CONSOLIDADO_TOTAL RECAUDO'!J107</f>
        <v>0.37000012397766113</v>
      </c>
      <c r="K26" s="648">
        <f>K12-'CONSOLIDADO_TOTAL RECAUDO'!K107</f>
        <v>-0.37999820709228516</v>
      </c>
      <c r="L26" s="648">
        <f>L12-'CONSOLIDADO_TOTAL RECAUDO'!L107</f>
        <v>0</v>
      </c>
      <c r="M26" s="648">
        <f>M12-'CONSOLIDADO_TOTAL RECAUDO'!M107</f>
        <v>-0.37999820709228516</v>
      </c>
      <c r="N26" s="648">
        <f>N12-'CONSOLIDADO_TOTAL RECAUDO'!N107</f>
        <v>7.0000000298023224E-2</v>
      </c>
      <c r="O26" s="648">
        <f>O12-'CONSOLIDADO_TOTAL RECAUDO'!O107</f>
        <v>-0.30999851226806641</v>
      </c>
    </row>
    <row r="27" spans="2:15" x14ac:dyDescent="0.25">
      <c r="B27" s="610" t="s">
        <v>118</v>
      </c>
      <c r="C27" s="610" t="s">
        <v>14</v>
      </c>
      <c r="D27" s="648">
        <f>D13-'CONSOLIDADO_TOTAL RECAUDO'!D108</f>
        <v>0.40999984741210938</v>
      </c>
      <c r="E27" s="648">
        <f>E13-'CONSOLIDADO_TOTAL RECAUDO'!E108</f>
        <v>0.37999999523162842</v>
      </c>
      <c r="F27" s="648">
        <f>F13-'CONSOLIDADO_TOTAL RECAUDO'!F108</f>
        <v>-0.28999990224838257</v>
      </c>
      <c r="G27" s="648">
        <f>G13-'CONSOLIDADO_TOTAL RECAUDO'!G108</f>
        <v>-0.25</v>
      </c>
      <c r="H27" s="648">
        <f>H13-'CONSOLIDADO_TOTAL RECAUDO'!H108</f>
        <v>0.22000026702880859</v>
      </c>
      <c r="I27" s="648">
        <f>I13-'CONSOLIDADO_TOTAL RECAUDO'!I108</f>
        <v>-0.4699999988079071</v>
      </c>
      <c r="J27" s="648">
        <f>J13-'CONSOLIDADO_TOTAL RECAUDO'!J108</f>
        <v>-0.33999991416931152</v>
      </c>
      <c r="K27" s="648">
        <f>K13-'CONSOLIDADO_TOTAL RECAUDO'!K108</f>
        <v>0.15999984741210938</v>
      </c>
      <c r="L27" s="648">
        <f>L13-'CONSOLIDADO_TOTAL RECAUDO'!L108</f>
        <v>0</v>
      </c>
      <c r="M27" s="648">
        <f>M13-'CONSOLIDADO_TOTAL RECAUDO'!M108</f>
        <v>0.15999984741210938</v>
      </c>
      <c r="N27" s="648">
        <f>N13-'CONSOLIDADO_TOTAL RECAUDO'!N108</f>
        <v>0.11999999918043613</v>
      </c>
      <c r="O27" s="648">
        <f>O13-'CONSOLIDADO_TOTAL RECAUDO'!O108</f>
        <v>0.27999973297119141</v>
      </c>
    </row>
    <row r="28" spans="2:15" x14ac:dyDescent="0.25">
      <c r="B28" s="610" t="s">
        <v>248</v>
      </c>
      <c r="C28" s="610" t="s">
        <v>70</v>
      </c>
      <c r="D28" s="648">
        <f>D14-'CONSOLIDADO_TOTAL RECAUDO'!D109</f>
        <v>0.2899932861328125</v>
      </c>
      <c r="E28" s="648">
        <f>E14-'CONSOLIDADO_TOTAL RECAUDO'!E109</f>
        <v>2.0000457763671875E-2</v>
      </c>
      <c r="F28" s="648">
        <f>F14-'CONSOLIDADO_TOTAL RECAUDO'!F109</f>
        <v>0.89000034332275391</v>
      </c>
      <c r="G28" s="648">
        <f>G14-'CONSOLIDADO_TOTAL RECAUDO'!G109</f>
        <v>-1.1999998092651367</v>
      </c>
      <c r="H28" s="648">
        <f>H14-'CONSOLIDADO_TOTAL RECAUDO'!H109</f>
        <v>1.3999977111816406</v>
      </c>
      <c r="I28" s="648">
        <f>I14-'CONSOLIDADO_TOTAL RECAUDO'!I109</f>
        <v>-0.58000004291534424</v>
      </c>
      <c r="J28" s="648">
        <f>J14-'CONSOLIDADO_TOTAL RECAUDO'!J109</f>
        <v>-0.80000019073486328</v>
      </c>
      <c r="K28" s="648">
        <f>K14-'CONSOLIDADO_TOTAL RECAUDO'!K109</f>
        <v>-0.44000244140625</v>
      </c>
      <c r="L28" s="648">
        <f>L14-'CONSOLIDADO_TOTAL RECAUDO'!L109</f>
        <v>0</v>
      </c>
      <c r="M28" s="648">
        <f>M14-'CONSOLIDADO_TOTAL RECAUDO'!M109</f>
        <v>-0.44000244140625</v>
      </c>
      <c r="N28" s="648">
        <f>N14-'CONSOLIDADO_TOTAL RECAUDO'!N109</f>
        <v>-0.66999998688697815</v>
      </c>
      <c r="O28" s="648">
        <f>O14-'CONSOLIDADO_TOTAL RECAUDO'!O109</f>
        <v>0.8899993896484375</v>
      </c>
    </row>
    <row r="31" spans="2:15" ht="36" x14ac:dyDescent="0.25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25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1</v>
      </c>
      <c r="E32" s="651" t="b">
        <f>+E23+'Reporte Componentes R1'!G75+'Rem. Anticipos R2'!F47+'Reversion Pagos R4'!E73+'Reporte Componentes R1'!G77+'AJUSTES - SF-T'!E47=E9</f>
        <v>1</v>
      </c>
      <c r="F32" s="651" t="b">
        <f>+F23+'Reporte Componentes R1'!H75+'Rem. Anticipos R2'!G47+'Reversion Pagos R4'!F73+'Reporte Componentes R1'!H77+'AJUSTES - SF-T'!F47=F9</f>
        <v>1</v>
      </c>
      <c r="G32" s="651" t="b">
        <f>+G23+'Reporte Componentes R1'!I75+'Rem. Anticipos R2'!H47+'Reversion Pagos R4'!G73+'Reporte Componentes R1'!I77+'AJUSTES - SF-T'!G47=G9</f>
        <v>1</v>
      </c>
      <c r="H32" s="651" t="b">
        <f>+H23+'Reporte Componentes R1'!J75+'Rem. Anticipos R2'!I47+'Reversion Pagos R4'!H73+'Reporte Componentes R1'!J77+'AJUSTES - SF-T'!H47=H9</f>
        <v>1</v>
      </c>
      <c r="I32" s="651" t="b">
        <f>+I23+'Reporte Componentes R1'!K75+'Rem. Anticipos R2'!J47+'Reversion Pagos R4'!I73+'Reporte Componentes R1'!K77+'AJUSTES - SF-T'!I47=I9</f>
        <v>1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INTERVENTORIA!M26+L23=L9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1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f>
        <v>1</v>
      </c>
    </row>
    <row r="33" spans="2:15" x14ac:dyDescent="0.25">
      <c r="B33" s="610" t="s">
        <v>116</v>
      </c>
      <c r="C33" s="338" t="s">
        <v>11</v>
      </c>
      <c r="D33" s="651" t="b">
        <f>+D24+'Reporte Componentes R1'!F254+'Rem. Anticipos R2'!E155+'Reversion Pagos R4'!D174+'Reporte Componentes R1'!F256+'AJUSTES - SF-T'!D48=D10</f>
        <v>1</v>
      </c>
      <c r="E33" s="651" t="b">
        <f>+E24+'Reporte Componentes R1'!G254+'Rem. Anticipos R2'!F155+'Reversion Pagos R4'!E174+'Reporte Componentes R1'!G256+'AJUSTES - SF-T'!E48=E10</f>
        <v>1</v>
      </c>
      <c r="F33" s="651" t="b">
        <f>+F24+'Reporte Componentes R1'!H254+'Rem. Anticipos R2'!G155+'Reversion Pagos R4'!F174+'Reporte Componentes R1'!H256+'AJUSTES - SF-T'!F48=F10</f>
        <v>1</v>
      </c>
      <c r="G33" s="651" t="b">
        <f>+G24+'Reporte Componentes R1'!I254+'Rem. Anticipos R2'!H155+'Reversion Pagos R4'!G174+'Reporte Componentes R1'!I256+'AJUSTES - SF-T'!G48=G10</f>
        <v>1</v>
      </c>
      <c r="H33" s="651" t="b">
        <f>+H24+'Reporte Componentes R1'!J254+'Rem. Anticipos R2'!I155+'Reversion Pagos R4'!H174+'Reporte Componentes R1'!J256+'AJUSTES - SF-T'!H48=H10</f>
        <v>1</v>
      </c>
      <c r="I33" s="651" t="b">
        <f>+I24+'Reporte Componentes R1'!K254+'Rem. Anticipos R2'!J155+'Reversion Pagos R4'!I174+'Reporte Componentes R1'!K256+'AJUSTES - SF-T'!I48=I10</f>
        <v>1</v>
      </c>
      <c r="J33" s="651" t="b">
        <f>+'BCE SC POR FACT.'!F4+J24=J10</f>
        <v>1</v>
      </c>
      <c r="K33" s="648" t="b">
        <f>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FACT.'!F4)+K24)+'AJUSTES - SF-T'!K48=K10</f>
        <v>1</v>
      </c>
      <c r="L33" s="698" t="b">
        <f>INTERVENTORIA!M27+L24=L10</f>
        <v>1</v>
      </c>
      <c r="M33" s="648" t="b">
        <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FACT.'!F4))+M24)-INTERVENTORIA!F16)+'AJUSTES - SF-T'!M48=M10</f>
        <v>1</v>
      </c>
      <c r="N33" s="648" t="b">
        <f>+'Reporte Componentes R1'!L254+'Rem. Anticipos R2'!K155+'Reversion Pagos R4'!P174+'Reporte Componentes R1'!L256+N24=N10</f>
        <v>1</v>
      </c>
      <c r="O33" s="648" t="b">
        <f>((('Reporte Componentes R1'!F254+'Rem. Anticipos R2'!E155+'Reversion Pagos R4'!D174+'Reporte Componentes R1'!F256-('Reporte Componentes R1'!G254+'Rem. Anticipos R2'!F155+'Reversion Pagos R4'!E174+'Reporte Componentes R1'!G256+'Reporte Componentes R1'!H254+'Rem. Anticipos R2'!G155+'Reversion Pagos R4'!F174+'Reporte Componentes R1'!H256+'Reporte Componentes R1'!I254+'Rem. Anticipos R2'!H155+'Reversion Pagos R4'!G174+'Reporte Componentes R1'!I256+'Reporte Componentes R1'!J254+'Rem. Anticipos R2'!I155+'Reversion Pagos R4'!H174+'Reporte Componentes R1'!J256+'Reporte Componentes R1'!K254+'Rem. Anticipos R2'!J155+'Reversion Pagos R4'!I174+'Reporte Componentes R1'!K256+'BCE SC POR FACT.'!F4)))-INTERVENTORIA!M27)+O24+'Reporte Componentes R1'!L254+'Rem. Anticipos R2'!K155+'Reversion Pagos R4'!P174+'Reporte Componentes R1'!L256+'AJUSTES - SF-T'!O48=O10</f>
        <v>1</v>
      </c>
    </row>
    <row r="34" spans="2:15" x14ac:dyDescent="0.25">
      <c r="B34" s="610" t="s">
        <v>117</v>
      </c>
      <c r="C34" s="338" t="s">
        <v>12</v>
      </c>
      <c r="D34" s="651" t="b">
        <f>+'Reporte Componentes R1'!F415+'Reporte Componentes R1'!F417+'Rem. Anticipos R2'!E273+'Reversion Pagos R4'!D211+D25+'AJUSTES - SF-T'!D49=D11</f>
        <v>1</v>
      </c>
      <c r="E34" s="651" t="b">
        <f>+'Reporte Componentes R1'!G415+'Reporte Componentes R1'!G417+'Rem. Anticipos R2'!F273+'Reversion Pagos R4'!E211+E25+'AJUSTES - SF-T'!E49=E11</f>
        <v>1</v>
      </c>
      <c r="F34" s="651" t="b">
        <f>+'Reporte Componentes R1'!H415+'Reporte Componentes R1'!H417+'Rem. Anticipos R2'!G273+'Reversion Pagos R4'!F211+F25+'AJUSTES - SF-T'!F49=F11</f>
        <v>1</v>
      </c>
      <c r="G34" s="651" t="b">
        <f>+'Reporte Componentes R1'!I415+'Reporte Componentes R1'!I417+'Rem. Anticipos R2'!H273+'Reversion Pagos R4'!G211+G25+'AJUSTES - SF-T'!G49=G11</f>
        <v>1</v>
      </c>
      <c r="H34" s="651" t="b">
        <f>+'Reporte Componentes R1'!J415+'Reporte Componentes R1'!J417+'Rem. Anticipos R2'!I273+'Reversion Pagos R4'!H211+H25+'AJUSTES - SF-T'!H49=H11</f>
        <v>1</v>
      </c>
      <c r="I34" s="651" t="b">
        <f>+'Reporte Componentes R1'!K415+'Reporte Componentes R1'!K417+'Rem. Anticipos R2'!J273+'Reversion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FACT.'!F5)+K25+'AJUSTES - SF-T'!K49=K11</f>
        <v>1</v>
      </c>
      <c r="L34" s="698" t="b">
        <f>INTERVENTORIA!M28+L25=L11</f>
        <v>1</v>
      </c>
      <c r="M34" s="648" t="b">
        <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FACT.'!F5))+M25)-INTERVENTORIA!F17)+'AJUSTES - SF-T'!M49=M11</f>
        <v>1</v>
      </c>
      <c r="N34" s="648" t="b">
        <f>+'Reporte Componentes R1'!L415+'Reporte Componentes R1'!L417+'Rem. Anticipos R2'!K273+'Reversion Pagos R4'!P211+N25=N11</f>
        <v>1</v>
      </c>
      <c r="O34" s="648" t="b">
        <f>((('Reporte Componentes R1'!F415+'Reporte Componentes R1'!F417+'Rem. Anticipos R2'!E273+'Reversion Pagos R4'!D211-('Reporte Componentes R1'!G415+'Reporte Componentes R1'!G417+'Rem. Anticipos R2'!F273+'Reversion Pagos R4'!E211+'Reporte Componentes R1'!H415+'Reporte Componentes R1'!H417+'Rem. Anticipos R2'!G273+'Reversion Pagos R4'!F211+'Reporte Componentes R1'!I415+'Reporte Componentes R1'!I417+'Rem. Anticipos R2'!H273+'Reversion Pagos R4'!G211+'Reporte Componentes R1'!J415+'Reporte Componentes R1'!J417+'Rem. Anticipos R2'!I273+'Reversion Pagos R4'!H211+'Reporte Componentes R1'!K415+'Reporte Componentes R1'!K417+'Rem. Anticipos R2'!J273+'Reversion Pagos R4'!I211+'BCE SC POR FACT.'!F5)))-INTERVENTORIA!M28)++'Reporte Componentes R1'!L415+'Reporte Componentes R1'!L417+'Rem. Anticipos R2'!K273+'Reversion Pagos R4'!P211+O25+'AJUSTES - SF-T'!O49=O11</f>
        <v>1</v>
      </c>
    </row>
    <row r="35" spans="2:15" x14ac:dyDescent="0.25">
      <c r="B35" s="610" t="s">
        <v>247</v>
      </c>
      <c r="C35" s="338" t="s">
        <v>13</v>
      </c>
      <c r="D35" s="651" t="b">
        <f>+'Reporte Componentes R1'!F568+'Reporte Componentes R1'!F570+'Rem. Anticipos R2'!E384+'Reversion Pagos R4'!D326+D26+'AJUSTES - SF-T'!D50=D12</f>
        <v>1</v>
      </c>
      <c r="E35" s="651" t="b">
        <f>+'Reporte Componentes R1'!G568+'Reporte Componentes R1'!G570+'Rem. Anticipos R2'!F384+'Reversion Pagos R4'!E326+E26+'AJUSTES - SF-T'!E50=E12</f>
        <v>1</v>
      </c>
      <c r="F35" s="651" t="b">
        <f>+'Reporte Componentes R1'!H568+'Reporte Componentes R1'!H570+'Rem. Anticipos R2'!G384+'Reversion Pagos R4'!F326+F26+'AJUSTES - SF-T'!F50=F12</f>
        <v>1</v>
      </c>
      <c r="G35" s="651" t="b">
        <f>+'Reporte Componentes R1'!I568+'Reporte Componentes R1'!I570+'Rem. Anticipos R2'!H384+'Reversion Pagos R4'!G326+G26+'AJUSTES - SF-T'!G50=G12</f>
        <v>1</v>
      </c>
      <c r="H35" s="651" t="b">
        <f>+'Reporte Componentes R1'!J568+'Reporte Componentes R1'!J570+'Rem. Anticipos R2'!I384+'Reversion Pagos R4'!H326+H26+'AJUSTES - SF-T'!H50=H12</f>
        <v>1</v>
      </c>
      <c r="I35" s="651" t="b">
        <f>+'Reporte Componentes R1'!K568+'Reporte Componentes R1'!K570+'Rem. Anticipos R2'!J384+'Reversion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FACT.'!F6)+K26+'AJUSTES - SF-T'!K50=K12</f>
        <v>1</v>
      </c>
      <c r="L35" s="698" t="b">
        <f>INTERVENTORIA!M29+L26=L12</f>
        <v>1</v>
      </c>
      <c r="M35" s="648" t="b">
        <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FACT.'!F6))+M26)-INTERVENTORIA!F18)+'AJUSTES - SF-T'!M50=M12</f>
        <v>1</v>
      </c>
      <c r="N35" s="648" t="b">
        <f>+'Reporte Componentes R1'!L568+'Reporte Componentes R1'!L570+'Rem. Anticipos R2'!K384+'Reversion Pagos R4'!P326+N26=N12</f>
        <v>1</v>
      </c>
      <c r="O35" s="648" t="b">
        <f>((('Reporte Componentes R1'!F568+'Reporte Componentes R1'!F570+'Rem. Anticipos R2'!E384+'Reversion Pagos R4'!D326-('Reporte Componentes R1'!G568+'Reporte Componentes R1'!G570+'Rem. Anticipos R2'!F384+'Reversion Pagos R4'!E326+'Reporte Componentes R1'!H568+'Reporte Componentes R1'!H570+'Rem. Anticipos R2'!G384+'Reversion Pagos R4'!F326+'Reporte Componentes R1'!I568+'Reporte Componentes R1'!I570+'Rem. Anticipos R2'!H384+'Reversion Pagos R4'!G326+'Reporte Componentes R1'!J568+'Reporte Componentes R1'!J570+'Rem. Anticipos R2'!I384+'Reversion Pagos R4'!H326+'Reporte Componentes R1'!K568+'Reporte Componentes R1'!K570+'Rem. Anticipos R2'!J384+'Reversion Pagos R4'!I326+'BCE SC POR FACT.'!F6)))-INTERVENTORIA!M29)+'Reporte Componentes R1'!L568+'Reporte Componentes R1'!L570+'Rem. Anticipos R2'!K384+'Reversion Pagos R4'!P326+O26+'AJUSTES - SF-T'!O50=O12</f>
        <v>1</v>
      </c>
    </row>
    <row r="36" spans="2:15" x14ac:dyDescent="0.25">
      <c r="B36" s="610" t="s">
        <v>118</v>
      </c>
      <c r="C36" s="338" t="s">
        <v>14</v>
      </c>
      <c r="D36" s="651" t="b">
        <f>+D27+'Reporte Componentes R1'!F680+'Reporte Componentes R1'!F682+'Rem. Anticipos R2'!E468+'Reversion Pagos R4'!D361+'AJUSTES - SF-T'!D51=D13</f>
        <v>1</v>
      </c>
      <c r="E36" s="651" t="b">
        <f>+E27+'Reporte Componentes R1'!G680+'Reporte Componentes R1'!G682+'Rem. Anticipos R2'!F468+'Reversion Pagos R4'!E361+'AJUSTES - SF-T'!E51=E13</f>
        <v>1</v>
      </c>
      <c r="F36" s="651" t="b">
        <f>+F27+'Reporte Componentes R1'!H680+'Reporte Componentes R1'!H682+'Rem. Anticipos R2'!G468+'Reversion Pagos R4'!F361+'AJUSTES - SF-T'!F51=F13</f>
        <v>1</v>
      </c>
      <c r="G36" s="651" t="b">
        <f>+G27+'Reporte Componentes R1'!I680+'Reporte Componentes R1'!I682+'Rem. Anticipos R2'!H468+'Reversion Pagos R4'!G361+'AJUSTES - SF-T'!G51=G13</f>
        <v>1</v>
      </c>
      <c r="H36" s="651" t="b">
        <f>+H27+'Reporte Componentes R1'!J680+'Reporte Componentes R1'!J682+'Rem. Anticipos R2'!I468+'Reversion Pagos R4'!H361+'AJUSTES - SF-T'!H51=H13</f>
        <v>1</v>
      </c>
      <c r="I36" s="651" t="b">
        <f>+I27+'Reporte Componentes R1'!K680+'Reporte Componentes R1'!K682+'Rem. Anticipos R2'!J468+'Reversion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FACT.'!F7)+K27+'AJUSTES - SF-T'!K51=K13</f>
        <v>1</v>
      </c>
      <c r="L36" s="698" t="b">
        <f>INTERVENTORIA!M30+L27=L13</f>
        <v>1</v>
      </c>
      <c r="M36" s="648" t="b">
        <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FACT.'!F7))+M27)-INTERVENTORIA!F19)+'AJUSTES - SF-T'!M51=M13</f>
        <v>1</v>
      </c>
      <c r="N36" s="648" t="b">
        <f>+'Reporte Componentes R1'!L680+'Reporte Componentes R1'!L682+'Rem. Anticipos R2'!K468+'Reversion Pagos R4'!P361+N27=N13</f>
        <v>1</v>
      </c>
      <c r="O36" s="648" t="b">
        <f>((('Reporte Componentes R1'!F680+'Reporte Componentes R1'!F682+'Rem. Anticipos R2'!E468+'Reversion Pagos R4'!D361-('Reporte Componentes R1'!G680+'Reporte Componentes R1'!G682+'Rem. Anticipos R2'!F468+'Reversion Pagos R4'!E361+'Reporte Componentes R1'!H680+'Reporte Componentes R1'!H682+'Rem. Anticipos R2'!G468+'Reversion Pagos R4'!F361+'Reporte Componentes R1'!I680+'Reporte Componentes R1'!I682+'Rem. Anticipos R2'!H468+'Reversion Pagos R4'!G361+'Reporte Componentes R1'!J680+'Reporte Componentes R1'!J682+'Rem. Anticipos R2'!I468+'Reversion Pagos R4'!H361+'Reporte Componentes R1'!K680+'Reporte Componentes R1'!K682+'Rem. Anticipos R2'!J468+'Reversion Pagos R4'!I361+'BCE SC POR FACT.'!F7)))-INTERVENTORIA!M30)+'Reporte Componentes R1'!L680+'Reporte Componentes R1'!L682+'Rem. Anticipos R2'!K468+'Reversion Pagos R4'!P361+O27+'AJUSTES - SF-T'!O51=O13</f>
        <v>1</v>
      </c>
    </row>
    <row r="38" spans="2:15" x14ac:dyDescent="0.25">
      <c r="N38" s="652"/>
    </row>
    <row r="39" spans="2:15" x14ac:dyDescent="0.25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workbookViewId="0"/>
  </sheetViews>
  <sheetFormatPr baseColWidth="10" defaultColWidth="11.42578125" defaultRowHeight="15" x14ac:dyDescent="0.25"/>
  <cols>
    <col min="1" max="1" width="2.85546875" style="609" customWidth="1"/>
    <col min="2" max="2" width="7.140625" style="609" customWidth="1"/>
    <col min="3" max="3" width="42.85546875" style="609" customWidth="1"/>
    <col min="4" max="15" width="28.5703125" style="609" customWidth="1"/>
    <col min="16" max="16384" width="11.42578125" style="609"/>
  </cols>
  <sheetData>
    <row r="1" spans="2:15" customFormat="1" ht="12.75" x14ac:dyDescent="0.2"/>
    <row r="2" spans="2:15" customFormat="1" ht="12.75" x14ac:dyDescent="0.2"/>
    <row r="3" spans="2:15" customFormat="1" x14ac:dyDescent="0.2">
      <c r="F3" s="660" t="s">
        <v>8</v>
      </c>
      <c r="H3" s="660" t="s">
        <v>16</v>
      </c>
      <c r="J3" s="660" t="s">
        <v>227</v>
      </c>
      <c r="K3" s="660" t="s">
        <v>341</v>
      </c>
    </row>
    <row r="4" spans="2:15" customFormat="1" x14ac:dyDescent="0.2">
      <c r="F4" s="660" t="s">
        <v>29</v>
      </c>
    </row>
    <row r="5" spans="2:15" customFormat="1" x14ac:dyDescent="0.2">
      <c r="F5" s="660" t="s">
        <v>228</v>
      </c>
    </row>
    <row r="6" spans="2:15" customFormat="1" x14ac:dyDescent="0.2">
      <c r="C6" s="660" t="s">
        <v>229</v>
      </c>
      <c r="D6" s="660" t="s">
        <v>342</v>
      </c>
      <c r="F6" s="660" t="s">
        <v>230</v>
      </c>
    </row>
    <row r="7" spans="2:15" customFormat="1" x14ac:dyDescent="0.2">
      <c r="C7" s="660" t="s">
        <v>231</v>
      </c>
      <c r="D7" s="660" t="s">
        <v>343</v>
      </c>
      <c r="F7" s="660" t="s">
        <v>27</v>
      </c>
      <c r="G7" s="660" t="s">
        <v>344</v>
      </c>
      <c r="I7" s="660" t="s">
        <v>232</v>
      </c>
      <c r="J7" s="660" t="s">
        <v>345</v>
      </c>
    </row>
    <row r="8" spans="2:15" customFormat="1" ht="45" x14ac:dyDescent="0.2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2.75" x14ac:dyDescent="0.2">
      <c r="B9" s="641" t="s">
        <v>115</v>
      </c>
      <c r="C9" s="641" t="s">
        <v>10</v>
      </c>
      <c r="D9" s="642">
        <v>1182502863</v>
      </c>
      <c r="E9" s="642">
        <v>1138203111</v>
      </c>
      <c r="F9" s="642">
        <v>5384239175</v>
      </c>
      <c r="G9" s="642">
        <v>2460648865</v>
      </c>
      <c r="H9" s="642">
        <v>219070049</v>
      </c>
      <c r="I9" s="642">
        <v>-189185988</v>
      </c>
      <c r="J9" s="642">
        <v>-19113</v>
      </c>
      <c r="K9" s="642">
        <v>25277316</v>
      </c>
      <c r="L9" s="642">
        <v>1428564690</v>
      </c>
      <c r="M9" s="642">
        <v>5018019355</v>
      </c>
      <c r="N9" s="642">
        <v>15238755634</v>
      </c>
      <c r="O9" s="642">
        <v>0</v>
      </c>
    </row>
    <row r="10" spans="2:15" customFormat="1" ht="12.75" x14ac:dyDescent="0.2">
      <c r="B10" s="641" t="s">
        <v>116</v>
      </c>
      <c r="C10" s="641" t="s">
        <v>11</v>
      </c>
      <c r="D10" s="642">
        <v>1949886300</v>
      </c>
      <c r="E10" s="642">
        <v>1945637037</v>
      </c>
      <c r="F10" s="642">
        <v>9155886148</v>
      </c>
      <c r="G10" s="642">
        <v>3142209362</v>
      </c>
      <c r="H10" s="642">
        <v>363003578</v>
      </c>
      <c r="I10" s="642">
        <v>-266580256</v>
      </c>
      <c r="J10" s="642">
        <v>86777</v>
      </c>
      <c r="K10" s="642">
        <v>53454221</v>
      </c>
      <c r="L10" s="642">
        <v>-5018972953</v>
      </c>
      <c r="M10" s="642">
        <v>-1777779239</v>
      </c>
      <c r="N10" s="642">
        <v>14565803930</v>
      </c>
      <c r="O10" s="642">
        <v>0</v>
      </c>
    </row>
    <row r="11" spans="2:15" customFormat="1" ht="12.75" x14ac:dyDescent="0.2">
      <c r="B11" s="641" t="s">
        <v>117</v>
      </c>
      <c r="C11" s="641" t="s">
        <v>246</v>
      </c>
      <c r="D11" s="642">
        <v>1102335590</v>
      </c>
      <c r="E11" s="642">
        <v>1086464208</v>
      </c>
      <c r="F11" s="642">
        <v>5141961248</v>
      </c>
      <c r="G11" s="642">
        <v>2685857517</v>
      </c>
      <c r="H11" s="642">
        <v>205160229</v>
      </c>
      <c r="I11" s="642">
        <v>-154788536</v>
      </c>
      <c r="J11" s="642">
        <v>234519</v>
      </c>
      <c r="K11" s="642">
        <v>14341963</v>
      </c>
      <c r="L11" s="642">
        <v>-692912516</v>
      </c>
      <c r="M11" s="642">
        <v>160332049</v>
      </c>
      <c r="N11" s="642">
        <v>10241898788</v>
      </c>
      <c r="O11" s="642">
        <v>0</v>
      </c>
    </row>
    <row r="12" spans="2:15" customFormat="1" ht="12.75" x14ac:dyDescent="0.2">
      <c r="B12" s="641" t="s">
        <v>247</v>
      </c>
      <c r="C12" s="641" t="s">
        <v>13</v>
      </c>
      <c r="D12" s="642">
        <v>549450408</v>
      </c>
      <c r="E12" s="642">
        <v>548186870</v>
      </c>
      <c r="F12" s="642">
        <v>2799232757</v>
      </c>
      <c r="G12" s="642">
        <v>1254527099</v>
      </c>
      <c r="H12" s="642">
        <v>102249901</v>
      </c>
      <c r="I12" s="642">
        <v>-120391083</v>
      </c>
      <c r="J12" s="642">
        <v>-16792</v>
      </c>
      <c r="K12" s="642">
        <v>34128345</v>
      </c>
      <c r="L12" s="642">
        <v>-616738621</v>
      </c>
      <c r="M12" s="642">
        <v>83144093</v>
      </c>
      <c r="N12" s="642">
        <v>5250511599</v>
      </c>
      <c r="O12" s="642">
        <v>0</v>
      </c>
    </row>
    <row r="13" spans="2:15" customFormat="1" ht="12.75" x14ac:dyDescent="0.2">
      <c r="B13" s="641" t="s">
        <v>118</v>
      </c>
      <c r="C13" s="641" t="s">
        <v>14</v>
      </c>
      <c r="D13" s="642">
        <v>928205240</v>
      </c>
      <c r="E13" s="642">
        <v>911180502</v>
      </c>
      <c r="F13" s="642">
        <v>4681131561</v>
      </c>
      <c r="G13" s="642">
        <v>2173851295</v>
      </c>
      <c r="H13" s="642">
        <v>172729907</v>
      </c>
      <c r="I13" s="642">
        <v>-128990446</v>
      </c>
      <c r="J13" s="642">
        <v>-147778</v>
      </c>
      <c r="K13" s="642">
        <v>15891736</v>
      </c>
      <c r="L13" s="642">
        <v>-1031025373</v>
      </c>
      <c r="M13" s="642">
        <v>-948066349</v>
      </c>
      <c r="N13" s="642">
        <v>7805785669</v>
      </c>
      <c r="O13" s="642">
        <v>0</v>
      </c>
    </row>
    <row r="14" spans="2:15" customFormat="1" ht="12.75" x14ac:dyDescent="0.2">
      <c r="B14" s="641" t="s">
        <v>248</v>
      </c>
      <c r="C14" s="641" t="s">
        <v>70</v>
      </c>
      <c r="D14" s="642">
        <v>5712380401</v>
      </c>
      <c r="E14" s="642">
        <v>5629671728</v>
      </c>
      <c r="F14" s="642">
        <v>27162450889</v>
      </c>
      <c r="G14" s="642">
        <v>11717094138</v>
      </c>
      <c r="H14" s="642">
        <v>1062213664</v>
      </c>
      <c r="I14" s="642">
        <v>-859936309</v>
      </c>
      <c r="J14" s="642">
        <v>137613</v>
      </c>
      <c r="K14" s="642">
        <v>143093581</v>
      </c>
      <c r="L14" s="642">
        <v>-5931084773</v>
      </c>
      <c r="M14" s="642">
        <v>2535649909</v>
      </c>
      <c r="N14" s="642">
        <v>53102755620</v>
      </c>
      <c r="O14" s="642">
        <v>0</v>
      </c>
    </row>
    <row r="16" spans="2:15" x14ac:dyDescent="0.25">
      <c r="B16" s="610" t="s">
        <v>115</v>
      </c>
      <c r="C16" s="610" t="s">
        <v>10</v>
      </c>
      <c r="D16" s="648">
        <f>D9-'CONSOLIDADO_TOTAL RECAUDO'!U104</f>
        <v>-0.38000011444091797</v>
      </c>
      <c r="E16" s="648">
        <f>E9-'CONSOLIDADO_TOTAL RECAUDO'!V104</f>
        <v>-2.9999732971191406E-2</v>
      </c>
      <c r="F16" s="648">
        <f>F9-'CONSOLIDADO_TOTAL RECAUDO'!W104</f>
        <v>-0.34999942779541016</v>
      </c>
      <c r="G16" s="648">
        <f>G9-'CONSOLIDADO_TOTAL RECAUDO'!X104</f>
        <v>-0.28999996185302734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0.42999999999960892</v>
      </c>
      <c r="K16" s="648">
        <f>K9-'CONSOLIDADO_TOTAL RECAUDO'!AB104</f>
        <v>-0.26000000163912773</v>
      </c>
      <c r="L16" s="648">
        <f>L9-'CONSOLIDADO_TOTAL RECAUDO'!AE104</f>
        <v>0.45000004768371582</v>
      </c>
      <c r="M16" s="648">
        <f>M9-'CONSOLIDADO_TOTAL RECAUDO'!AD104</f>
        <v>-9.9999427795410156E-2</v>
      </c>
      <c r="N16" s="648">
        <f>N9-'CONSOLIDADO_TOTAL RECAUDO'!AF104</f>
        <v>3.0002593994140625E-2</v>
      </c>
      <c r="O16" s="648">
        <f>O9-'CONSOLIDADO_TOTAL RECAUDO'!AG104</f>
        <v>0</v>
      </c>
    </row>
    <row r="17" spans="2:16" x14ac:dyDescent="0.25">
      <c r="B17" s="610" t="s">
        <v>116</v>
      </c>
      <c r="C17" s="610" t="s">
        <v>11</v>
      </c>
      <c r="D17" s="648">
        <f>D10-'CONSOLIDADO_TOTAL RECAUDO'!U105</f>
        <v>-0.44000005722045898</v>
      </c>
      <c r="E17" s="648">
        <f>E10-'CONSOLIDADO_TOTAL RECAUDO'!V105</f>
        <v>9.0000391006469727E-2</v>
      </c>
      <c r="F17" s="648">
        <f>F10-'CONSOLIDADO_TOTAL RECAUDO'!W105</f>
        <v>-0.160003662109375</v>
      </c>
      <c r="G17" s="648">
        <f>G10-'CONSOLIDADO_TOTAL RECAUDO'!X105</f>
        <v>-0.44000005722045898</v>
      </c>
      <c r="H17" s="648">
        <f>H10-'CONSOLIDADO_TOTAL RECAUDO'!Y105</f>
        <v>-0.24000000953674316</v>
      </c>
      <c r="I17" s="648">
        <f>I10-'CONSOLIDADO_TOTAL RECAUDO'!Z105</f>
        <v>0</v>
      </c>
      <c r="J17" s="648">
        <f>J10-'CONSOLIDADO_TOTAL RECAUDO'!AA105-'CONSOLIDADO_TOTAL RECAUDO'!AC105</f>
        <v>5.0000000011053203E-2</v>
      </c>
      <c r="K17" s="648">
        <f>K10-'CONSOLIDADO_TOTAL RECAUDO'!AB105</f>
        <v>-0.2800000011920929</v>
      </c>
      <c r="L17" s="648">
        <f>L10-'CONSOLIDADO_TOTAL RECAUDO'!AE105</f>
        <v>-7.9999923706054688E-2</v>
      </c>
      <c r="M17" s="648">
        <f>M10-'CONSOLIDADO_TOTAL RECAUDO'!AD105</f>
        <v>-0.19000005722045898</v>
      </c>
      <c r="N17" s="648">
        <f>N10-'CONSOLIDADO_TOTAL RECAUDO'!AF105</f>
        <v>0.38999557495117188</v>
      </c>
      <c r="O17" s="648">
        <f>O10-'CONSOLIDADO_TOTAL RECAUDO'!AG105</f>
        <v>0</v>
      </c>
    </row>
    <row r="18" spans="2:16" x14ac:dyDescent="0.25">
      <c r="B18" s="610" t="s">
        <v>117</v>
      </c>
      <c r="C18" s="610" t="s">
        <v>246</v>
      </c>
      <c r="D18" s="648">
        <f>D11-'CONSOLIDADO_TOTAL RECAUDO'!U106</f>
        <v>-0.32999992370605469</v>
      </c>
      <c r="E18" s="648">
        <f>E11-'CONSOLIDADO_TOTAL RECAUDO'!V106</f>
        <v>-0.23000001907348633</v>
      </c>
      <c r="F18" s="648">
        <f>F11-'CONSOLIDADO_TOTAL RECAUDO'!W106</f>
        <v>9.9999427795410156E-2</v>
      </c>
      <c r="G18" s="648">
        <f>G11-'CONSOLIDADO_TOTAL RECAUDO'!X106</f>
        <v>0.33999967575073242</v>
      </c>
      <c r="H18" s="648">
        <f>H11-'CONSOLIDADO_TOTAL RECAUDO'!Y106</f>
        <v>-0.32000002264976501</v>
      </c>
      <c r="I18" s="648">
        <f>I11-'CONSOLIDADO_TOTAL RECAUDO'!Z106</f>
        <v>0</v>
      </c>
      <c r="J18" s="648">
        <f>J11-'CONSOLIDADO_TOTAL RECAUDO'!AA106-'CONSOLIDADO_TOTAL RECAUDO'!AC106</f>
        <v>4.0000000011787051E-2</v>
      </c>
      <c r="K18" s="648">
        <f>K11-'CONSOLIDADO_TOTAL RECAUDO'!AB106</f>
        <v>-0.31999999843537807</v>
      </c>
      <c r="L18" s="648">
        <f>L11-'CONSOLIDADO_TOTAL RECAUDO'!AE106</f>
        <v>-0.27000010013580322</v>
      </c>
      <c r="M18" s="648">
        <f>M11-'CONSOLIDADO_TOTAL RECAUDO'!AD106</f>
        <v>0.21999990940093994</v>
      </c>
      <c r="N18" s="648">
        <f>N11-'CONSOLIDADO_TOTAL RECAUDO'!AF106</f>
        <v>0.5</v>
      </c>
      <c r="O18" s="648">
        <f>O11-'CONSOLIDADO_TOTAL RECAUDO'!AG106</f>
        <v>0</v>
      </c>
    </row>
    <row r="19" spans="2:16" x14ac:dyDescent="0.25">
      <c r="B19" s="610" t="s">
        <v>247</v>
      </c>
      <c r="C19" s="610" t="s">
        <v>13</v>
      </c>
      <c r="D19" s="648">
        <f>D12-'CONSOLIDADO_TOTAL RECAUDO'!U107</f>
        <v>-0.40999996662139893</v>
      </c>
      <c r="E19" s="648">
        <f>E12-'CONSOLIDADO_TOTAL RECAUDO'!V107</f>
        <v>-0.46999990940093994</v>
      </c>
      <c r="F19" s="648">
        <f>F12-'CONSOLIDADO_TOTAL RECAUDO'!W107</f>
        <v>-0.40999984741210938</v>
      </c>
      <c r="G19" s="648">
        <f>G12-'CONSOLIDADO_TOTAL RECAUDO'!X107</f>
        <v>-0.45000028610229492</v>
      </c>
      <c r="H19" s="648">
        <f>H12-'CONSOLIDADO_TOTAL RECAUDO'!Y107</f>
        <v>-0.39999999105930328</v>
      </c>
      <c r="I19" s="648">
        <f>I12-'CONSOLIDADO_TOTAL RECAUDO'!Z107</f>
        <v>0</v>
      </c>
      <c r="J19" s="648">
        <f>J12-'CONSOLIDADO_TOTAL RECAUDO'!AA107-'CONSOLIDADO_TOTAL RECAUDO'!AC107</f>
        <v>0.29000000000041837</v>
      </c>
      <c r="K19" s="648">
        <f>K12-'CONSOLIDADO_TOTAL RECAUDO'!AB107</f>
        <v>7.0000000298023224E-2</v>
      </c>
      <c r="L19" s="648">
        <f>L12-'CONSOLIDADO_TOTAL RECAUDO'!AE107</f>
        <v>-0.16000008583068848</v>
      </c>
      <c r="M19" s="648">
        <f>M12-'CONSOLIDADO_TOTAL RECAUDO'!AD107</f>
        <v>0.46999979019165039</v>
      </c>
      <c r="N19" s="648">
        <f>N12-'CONSOLIDADO_TOTAL RECAUDO'!AF107</f>
        <v>-0.30999946594238281</v>
      </c>
      <c r="O19" s="648">
        <f>O12-'CONSOLIDADO_TOTAL RECAUDO'!AG107</f>
        <v>0</v>
      </c>
    </row>
    <row r="20" spans="2:16" x14ac:dyDescent="0.25">
      <c r="B20" s="610" t="s">
        <v>118</v>
      </c>
      <c r="C20" s="610" t="s">
        <v>14</v>
      </c>
      <c r="D20" s="648">
        <f>D13-'CONSOLIDADO_TOTAL RECAUDO'!U108</f>
        <v>-0.15000009536743164</v>
      </c>
      <c r="E20" s="648">
        <f>E13-'CONSOLIDADO_TOTAL RECAUDO'!V108</f>
        <v>-0.11000001430511475</v>
      </c>
      <c r="F20" s="648">
        <f>F13-'CONSOLIDADO_TOTAL RECAUDO'!W108</f>
        <v>-0.22000026702880859</v>
      </c>
      <c r="G20" s="648">
        <f>G13-'CONSOLIDADO_TOTAL RECAUDO'!X108</f>
        <v>-0.33000040054321289</v>
      </c>
      <c r="H20" s="648">
        <f>H13-'CONSOLIDADO_TOTAL RECAUDO'!Y108</f>
        <v>0.46000000834465027</v>
      </c>
      <c r="I20" s="648">
        <f>I13-'CONSOLIDADO_TOTAL RECAUDO'!Z108</f>
        <v>0</v>
      </c>
      <c r="J20" s="648">
        <f>J13-'CONSOLIDADO_TOTAL RECAUDO'!AA108-'CONSOLIDADO_TOTAL RECAUDO'!AC108</f>
        <v>-0.45000000002212204</v>
      </c>
      <c r="K20" s="648">
        <f>K13-'CONSOLIDADO_TOTAL RECAUDO'!AB108</f>
        <v>0.11999999918043613</v>
      </c>
      <c r="L20" s="648">
        <f>L13-'CONSOLIDADO_TOTAL RECAUDO'!AE108</f>
        <v>-0.37999999523162842</v>
      </c>
      <c r="M20" s="648">
        <f>M13-'CONSOLIDADO_TOTAL RECAUDO'!AD108</f>
        <v>-4.0000081062316895E-2</v>
      </c>
      <c r="N20" s="648">
        <f>N13-'CONSOLIDADO_TOTAL RECAUDO'!AF108</f>
        <v>0.27999782562255859</v>
      </c>
      <c r="O20" s="648">
        <f>O13-'CONSOLIDADO_TOTAL RECAUDO'!AG108</f>
        <v>0</v>
      </c>
    </row>
    <row r="21" spans="2:16" x14ac:dyDescent="0.25">
      <c r="B21" s="610" t="s">
        <v>248</v>
      </c>
      <c r="C21" s="610" t="s">
        <v>70</v>
      </c>
      <c r="D21" s="648">
        <f>D14-'CONSOLIDADO_TOTAL RECAUDO'!U109</f>
        <v>-1.7100009918212891</v>
      </c>
      <c r="E21" s="648">
        <f>E14-'CONSOLIDADO_TOTAL RECAUDO'!V109</f>
        <v>-0.74999904632568359</v>
      </c>
      <c r="F21" s="648">
        <f>F14-'CONSOLIDADO_TOTAL RECAUDO'!W109</f>
        <v>-1.0400047302246094</v>
      </c>
      <c r="G21" s="648">
        <f>G14-'CONSOLIDADO_TOTAL RECAUDO'!X109</f>
        <v>-1.1700000762939453</v>
      </c>
      <c r="H21" s="648">
        <f>H14-'CONSOLIDADO_TOTAL RECAUDO'!Y109</f>
        <v>-0.49000000953674316</v>
      </c>
      <c r="I21" s="648">
        <f>I14-'CONSOLIDADO_TOTAL RECAUDO'!Z109</f>
        <v>0</v>
      </c>
      <c r="J21" s="648">
        <f>J14-'CONSOLIDADO_TOTAL RECAUDO'!AA109-'CONSOLIDADO_TOTAL RECAUDO'!AC109</f>
        <v>0.35999999999512511</v>
      </c>
      <c r="K21" s="648">
        <f>K14-'CONSOLIDADO_TOTAL RECAUDO'!AB109</f>
        <v>-0.66999998688697815</v>
      </c>
      <c r="L21" s="648">
        <f>L14-'CONSOLIDADO_TOTAL RECAUDO'!AE109</f>
        <v>-0.44000053405761719</v>
      </c>
      <c r="M21" s="648">
        <f>M14-'CONSOLIDADO_TOTAL RECAUDO'!AD109</f>
        <v>0.3600001335144043</v>
      </c>
      <c r="N21" s="648">
        <f>N14-'CONSOLIDADO_TOTAL RECAUDO'!AF109</f>
        <v>0.8899993896484375</v>
      </c>
      <c r="O21" s="648">
        <f>O14-'CONSOLIDADO_TOTAL RECAUDO'!AG109</f>
        <v>0</v>
      </c>
    </row>
    <row r="22" spans="2:16" ht="15.75" thickBot="1" x14ac:dyDescent="0.3">
      <c r="M22" s="652"/>
    </row>
    <row r="23" spans="2:16" ht="36.75" thickBot="1" x14ac:dyDescent="0.3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25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-INTERVENTORIA!M26+I16=I9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+DetRetri2026072!N32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0</v>
      </c>
    </row>
    <row r="25" spans="2:16" x14ac:dyDescent="0.25">
      <c r="B25" s="610" t="s">
        <v>116</v>
      </c>
      <c r="C25" s="338" t="s">
        <v>11</v>
      </c>
      <c r="D25" s="654" t="b">
        <f>+'Reporte Componentes R1'!M254+'Rem. Anticipos R2'!L155+'Reversion Pagos R4'!J174+'Reporte Componentes R1'!M256+D17+'AJUSTES - SF-T'!U48=D10</f>
        <v>1</v>
      </c>
      <c r="E25" s="654" t="b">
        <f>+'Reporte Componentes R1'!N254+'Rem. Anticipos R2'!M155+'Reversion Pagos R4'!K174+'Reporte Componentes R1'!N256+E17+'AJUSTES - SF-T'!V48=E10</f>
        <v>1</v>
      </c>
      <c r="F25" s="654" t="b">
        <f>+'Reporte Componentes R1'!O254+'Rem. Anticipos R2'!N155+'Reversion Pagos R4'!L174+'Reporte Componentes R1'!O256+F17+'AJUSTES - SF-T'!W48=F10</f>
        <v>1</v>
      </c>
      <c r="G25" s="654" t="b">
        <f>+'Reporte Componentes R1'!P254+'Rem. Anticipos R2'!O155+'Reversion Pagos R4'!M174+'Reporte Componentes R1'!P256+G17+'AJUSTES - SF-T'!X48=G10</f>
        <v>1</v>
      </c>
      <c r="H25" s="654" t="b">
        <f>+'Reporte Componentes R1'!Q254+'Rem. Anticipos R2'!P155+'Reversion Pagos R4'!N174+'Reporte Componentes R1'!Q256+H17+'AJUSTES - SF-T'!Y48=H10</f>
        <v>1</v>
      </c>
      <c r="I25" s="698" t="b">
        <f>-INTERVENTORIA!M27+I17=I10</f>
        <v>1</v>
      </c>
      <c r="J25" s="654" t="b">
        <f>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1</v>
      </c>
      <c r="K25" s="654" t="b">
        <f>+DetRetri2026072!N33</f>
        <v>1</v>
      </c>
      <c r="L25" s="648" t="b">
        <f>+'Reporte Componentes R1'!F255+'Rem. Anticipos R2'!E156+'Reporte Componentes R1'!F257+'Reversion Pagos R4'!D175+'AJUSTES - SF-T'!AD48+L17=L10</f>
        <v>1</v>
      </c>
      <c r="M25" s="715">
        <f>-'BCE SC POR FACT.'!F4+'Reporte Componentes R1'!F255+'Rem. Anticipos R2'!E156+'Reporte Componentes R1'!F257+'Reversion Pagos R4'!D175+'AJUSTES - SF-T'!AD48+M17-M10</f>
        <v>0</v>
      </c>
      <c r="N25" s="648" t="b">
        <f>'Reporte Componentes R1'!F255+'Rem. Anticipos R2'!E156+'Reporte Componentes R1'!F257+'Reversion Pagos R4'!D175+'AJUSTES - SF-T'!AD48+L17=L10</f>
        <v>1</v>
      </c>
      <c r="O25" s="648" t="b">
        <f>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R1'!Q256-INTERVENTORIA!I5+'Reporte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SF-T'!AD48+N17=N10</f>
        <v>0</v>
      </c>
      <c r="P25" s="653"/>
    </row>
    <row r="26" spans="2:16" x14ac:dyDescent="0.25">
      <c r="B26" s="610" t="s">
        <v>117</v>
      </c>
      <c r="C26" s="338" t="s">
        <v>12</v>
      </c>
      <c r="D26" s="648" t="b">
        <f>+'Reporte Componentes R1'!M415+'Reporte Componentes R1'!M417+'Rem. Anticipos R2'!L273+'Reversion Pagos R4'!J211+D18+'AJUSTES - SF-T'!U49=D11</f>
        <v>1</v>
      </c>
      <c r="E26" s="648" t="b">
        <f>+'Reporte Componentes R1'!N415+'Reporte Componentes R1'!N417+'Rem. Anticipos R2'!M273+'Reversion Pagos R4'!K211+E18+'AJUSTES - SF-T'!V49=E11</f>
        <v>1</v>
      </c>
      <c r="F26" s="648" t="b">
        <f>+'Reporte Componentes R1'!O415+'Reporte Componentes R1'!O417+'Rem. Anticipos R2'!N273+'Reversion Pagos R4'!L211+F18+'AJUSTES - SF-T'!W49=F11</f>
        <v>1</v>
      </c>
      <c r="G26" s="648" t="b">
        <f>+'Reporte Componentes R1'!P415+'Reporte Componentes R1'!P417+'Rem. Anticipos R2'!O273+'Reversion Pagos R4'!M211+G18+'AJUSTES - SF-T'!X49=G11</f>
        <v>1</v>
      </c>
      <c r="H26" s="648" t="b">
        <f>+'Reporte Componentes R1'!Q415+'Reporte Componentes R1'!Q417+'Rem. Anticipos R2'!P273+'Reversion Pagos R4'!N211+H18+'AJUSTES - SF-T'!Y49=H11</f>
        <v>1</v>
      </c>
      <c r="I26" s="698" t="b">
        <f>-INTERVENTORIA!M28+I18=I11</f>
        <v>1</v>
      </c>
      <c r="J26" s="648" t="b">
        <f>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+DetRetri2026072!N34</f>
        <v>1</v>
      </c>
      <c r="L26" s="648" t="b">
        <f>+'Reporte Componentes R1'!F416+'Rem. Anticipos R2'!E274+'Reporte Componentes R1'!F418+'Reversion Pagos R4'!D212+'AJUSTES - SF-T'!AD49+L18=L11</f>
        <v>1</v>
      </c>
      <c r="M26" s="715">
        <f>-'BCE SC POR FACT.'!F5+'Reporte Componentes R1'!F416+'Rem. Anticipos R2'!E274+'Reporte Componentes R1'!F418+'Reversion Pagos R4'!D212+'AJUSTES - SF-T'!AD49+M18-M11</f>
        <v>0</v>
      </c>
      <c r="N26" s="648" t="b">
        <f>'Reporte Componentes R1'!F416+'Rem. Anticipos R2'!E274+'Reporte Componentes R1'!F418+'Reversion Pagos R4'!D212+'AJUSTES - SF-T'!AD49+L18=L11</f>
        <v>1</v>
      </c>
      <c r="O26" s="712" t="b">
        <f>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R4'!N211-INTERVENTORIA!I6+'Reporte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SF-T'!AD49+N18=N11</f>
        <v>0</v>
      </c>
    </row>
    <row r="27" spans="2:16" x14ac:dyDescent="0.25">
      <c r="B27" s="610" t="s">
        <v>247</v>
      </c>
      <c r="C27" s="338" t="s">
        <v>13</v>
      </c>
      <c r="D27" s="648" t="b">
        <f>+'Reporte Componentes R1'!M568+'Reporte Componentes R1'!M570+'Rem. Anticipos R2'!L384+'Reversion Pagos R4'!J326+D19+'AJUSTES - SF-T'!U50=D12</f>
        <v>1</v>
      </c>
      <c r="E27" s="648" t="b">
        <f>+'Reporte Componentes R1'!N568+'Reporte Componentes R1'!N570+'Rem. Anticipos R2'!M384+'Reversion Pagos R4'!K326+E19+'AJUSTES - SF-T'!V50=E12</f>
        <v>1</v>
      </c>
      <c r="F27" s="648" t="b">
        <f>+'Reporte Componentes R1'!O568+'Reporte Componentes R1'!O570+'Rem. Anticipos R2'!N384+'Reversion Pagos R4'!L326+F19+'AJUSTES - SF-T'!W50=F12</f>
        <v>1</v>
      </c>
      <c r="G27" s="648" t="b">
        <f>+'Reporte Componentes R1'!P568+'Reporte Componentes R1'!P570+'Rem. Anticipos R2'!O384+'Reversion Pagos R4'!M326+G19+'AJUSTES - SF-T'!X50=G12</f>
        <v>1</v>
      </c>
      <c r="H27" s="648" t="b">
        <f>+'Reporte Componentes R1'!Q568+'Reporte Componentes R1'!Q570+'Rem. Anticipos R2'!P384+'Reversion Pagos R4'!N326+H19+'AJUSTES - SF-T'!Y50=H12</f>
        <v>1</v>
      </c>
      <c r="I27" s="698" t="b">
        <f>-INTERVENTORIA!M29+I19=I12</f>
        <v>1</v>
      </c>
      <c r="J27" s="648" t="b">
        <f>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+DetRetri2026072!N35</f>
        <v>1</v>
      </c>
      <c r="L27" s="648" t="b">
        <f>+'Reporte Componentes R1'!F569+'Rem. Anticipos R2'!E385+'Reporte Componentes R1'!F571+'Reversion Pagos R4'!D327+'AJUSTES - SF-T'!AD50+L19=L12</f>
        <v>1</v>
      </c>
      <c r="M27" s="715">
        <f>-'BCE SC POR FACT.'!F6+'Reporte Componentes R1'!F569+'Rem. Anticipos R2'!E385+'Reporte Componentes R1'!F571+'Reversion Pagos R4'!D327+'AJUSTES - SF-T'!AD50+M19-M12</f>
        <v>0</v>
      </c>
      <c r="N27" s="648" t="b">
        <f>'Reporte Componentes R1'!F569+'Rem. Anticipos R2'!E385+'Reporte Componentes R1'!F571+'Reversion Pagos R4'!D327+'AJUSTES - SF-T'!AD50+L19=L12</f>
        <v>1</v>
      </c>
      <c r="O27" s="712" t="b">
        <f>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R4'!N326-INTERVENTORIA!I7+'Reporte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SF-T'!AD50+N19=N12</f>
        <v>0</v>
      </c>
    </row>
    <row r="28" spans="2:16" x14ac:dyDescent="0.25">
      <c r="B28" s="610" t="s">
        <v>118</v>
      </c>
      <c r="C28" s="338" t="s">
        <v>14</v>
      </c>
      <c r="D28" s="648" t="b">
        <f>+'Reporte Componentes R1'!M680+'Reporte Componentes R1'!M682+'Rem. Anticipos R2'!L468+'Reversion Pagos R4'!J361+D20+'AJUSTES - SF-T'!U51=D13</f>
        <v>1</v>
      </c>
      <c r="E28" s="648" t="b">
        <f>+'Reporte Componentes R1'!N680+'Reporte Componentes R1'!N682+'Rem. Anticipos R2'!M468+'Reversion Pagos R4'!K361+E20+'AJUSTES - SF-T'!V51=E13</f>
        <v>1</v>
      </c>
      <c r="F28" s="648" t="b">
        <f>+'Reporte Componentes R1'!O680+'Reporte Componentes R1'!O682+'Rem. Anticipos R2'!N468+'Reversion Pagos R4'!L361+F20+'AJUSTES - SF-T'!W51=F13</f>
        <v>1</v>
      </c>
      <c r="G28" s="648" t="b">
        <f>+'Reporte Componentes R1'!P680+'Reporte Componentes R1'!P682+'Rem. Anticipos R2'!O468+'Reversion Pagos R4'!M361+G20+'AJUSTES - SF-T'!X51=G13</f>
        <v>1</v>
      </c>
      <c r="H28" s="648" t="b">
        <f>+'Reporte Componentes R1'!Q680+'Reporte Componentes R1'!Q682+'Rem. Anticipos R2'!P468+'Reversion Pagos R4'!N361+H20+'AJUSTES - SF-T'!Y51=H13</f>
        <v>1</v>
      </c>
      <c r="I28" s="698" t="b">
        <f>-INTERVENTORIA!M30+I20=I13</f>
        <v>1</v>
      </c>
      <c r="J28" s="650" t="b">
        <f>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+DetRetri2026072!N36</f>
        <v>1</v>
      </c>
      <c r="L28" s="648" t="b">
        <f>+'Reporte Componentes R1'!F681+'Rem. Anticipos R2'!E469+'Reporte Componentes R1'!F683+'Reversion Pagos R4'!D362+'AJUSTES - SF-T'!AD51+L20=L13</f>
        <v>1</v>
      </c>
      <c r="M28" s="648" t="b">
        <f>-'BCE SC POR FACT.'!F7+'Reporte Componentes R1'!F681+'Rem. Anticipos R2'!E469+'Reporte Componentes R1'!F683+'Reversion Pagos R4'!D362+'AJUSTES - SF-T'!AD51+M20=M13</f>
        <v>1</v>
      </c>
      <c r="N28" s="648" t="b">
        <f>'Reporte Componentes R1'!F681+'Rem. Anticipos R2'!E469+'Reporte Componentes R1'!F683+'Reversion Pagos R4'!D362+'AJUSTES - SF-T'!AD51+L20=L13</f>
        <v>1</v>
      </c>
      <c r="O28" s="648" t="b">
        <f>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R4'!N361-INTERVENTORIA!I8+'Reporte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SF-T'!AD51+N20=N13</f>
        <v>0</v>
      </c>
    </row>
    <row r="29" spans="2:16" x14ac:dyDescent="0.25">
      <c r="C29" s="649" t="s">
        <v>2</v>
      </c>
      <c r="D29" s="648" t="b">
        <f>'Reporte Componentes R1'!M75+'Reporte Componentes R1'!M77+'Rem. Anticipos R2'!L47+'Reversion Pagos R4'!J73+'Reporte Componentes R1'!M254+'Rem. Anticipos R2'!L155+'Reversion Pagos R4'!J174+'Reporte Componentes R1'!M256+'Reporte Componentes R1'!M415+'Reporte Componentes R1'!M417+'Rem. Anticipos R2'!L273+'Reversion Pagos R4'!J211+'Reporte Componentes R1'!M568+'Reporte Componentes R1'!M570+'Rem. Anticipos R2'!L384+'Reversion Pagos R4'!J326+'Reporte Componentes R1'!M680+'Reporte Componentes R1'!M682+'Rem. Anticipos R2'!L468+'Reversion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R2'!M155+'Reversion Pagos R4'!K174+'Reporte Componentes R1'!N256+'Reporte Componentes R1'!N415+'Reporte Componentes R1'!N417+'Rem. Anticipos R2'!M273+'Reversion Pagos R4'!K211+'Reporte Componentes R1'!N568+'Reporte Componentes R1'!N570+'Rem. Anticipos R2'!M384+'Reversion Pagos R4'!K326+'Reporte Componentes R1'!N680+'Reporte Componentes R1'!N682+'Rem. Anticipos R2'!M468+'Reversion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R2'!N155+'Reversion Pagos R4'!L174+'Reporte Componentes R1'!O256+'Reporte Componentes R1'!O415+'Reporte Componentes R1'!O417+'Rem. Anticipos R2'!N273+'Reversion Pagos R4'!L211+'Reporte Componentes R1'!O568+'Reporte Componentes R1'!O570+'Rem. Anticipos R2'!N384+'Reversion Pagos R4'!L326+'Reporte Componentes R1'!O680+'Reporte Componentes R1'!O682+'Rem. Anticipos R2'!N468+'Reversion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R2'!O155+'Reversion Pagos R4'!M174+'Reporte Componentes R1'!P256+'Reporte Componentes R1'!P415+'Reporte Componentes R1'!P417+'Rem. Anticipos R2'!O273+'Reversion Pagos R4'!M211+'Reporte Componentes R1'!P568+'Reporte Componentes R1'!P570+'Rem. Anticipos R2'!O384+'Reversion Pagos R4'!M326+'Reporte Componentes R1'!P680+'Reporte Componentes R1'!P682+'Rem. Anticipos R2'!O468+'Reversion Pagos R4'!M361+G21+'AJUSTES - SF-T'!X52=G14</f>
        <v>1</v>
      </c>
      <c r="H29" s="648" t="b">
        <f>'Reporte Componentes R1'!Q75+'Reporte Componentes R1'!Q77+'Rem. Anticipos R2'!P47+'Reversion Pagos R4'!N73+'Reporte Componentes R1'!Q254+'Rem. Anticipos R2'!P155+'Reversion Pagos R4'!N174+'Reporte Componentes R1'!Q256+'Reporte Componentes R1'!Q415+'Reporte Componentes R1'!Q417+'Rem. Anticipos R2'!P273+'Reversion Pagos R4'!N211+'Reporte Componentes R1'!Q568+'Reporte Componentes R1'!Q570+'Rem. Anticipos R2'!P384+'Reversion Pagos R4'!N326+'Reporte Componentes R1'!Q680+'Reporte Componentes R1'!Q682+'Rem. Anticipos R2'!P468+'Reversion Pagos R4'!N361+H21+'AJUSTES - SF-T'!Y52=H14</f>
        <v>1</v>
      </c>
      <c r="I29" s="698" t="b">
        <f>-INTERVENTORIA!M31+I21=I14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0</v>
      </c>
      <c r="K29" s="648" t="b">
        <f>'Reporte Componentes R1'!L75+'Rem. Anticipos R2'!K47+'Reversion Pagos R4'!P73+'Reporte Componentes R1'!L77+'Reporte Componentes R1'!L254+'Rem. Anticipos R2'!K155+'Reversion Pagos R4'!P174+'Reporte Componentes R1'!L256+'Reporte Componentes R1'!L415+'Reporte Componentes R1'!L417+'Rem. Anticipos R2'!K273+'Reversion Pagos R4'!P211+'Reporte Componentes R1'!L568+'Reporte Componentes R1'!L570+'Rem. Anticipos R2'!K384+'Reversion Pagos R4'!P326+'Reporte Componentes R1'!L680+'Reporte Componentes R1'!L682+'Rem. Anticipos R2'!K468+'Reversion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f>
        <v>1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R2'!E156+'Reporte Componentes R1'!F257+'Reversion Pagos R4'!D175+'AJUSTES - SF-T'!AD48-'BCE SC POR FACT.'!F5+'Reporte Componentes R1'!F416+'Rem. Anticipos R2'!E274+'Reporte Componentes R1'!F418+'Reversion Pagos R4'!D212+'AJUSTES - SF-T'!AD49-'BCE SC POR FACT.'!F6+'Reporte Componentes R1'!F569+'Rem. Anticipos R2'!E385+'Reporte Componentes R1'!F571+'Reversion Pagos R4'!D327+'AJUSTES - SF-T'!AD50-'BCE SC POR FACT.'!F7+'Reporte Componentes R1'!F681+'Rem. Anticipos R2'!E469+'Reporte Componentes R1'!F683+'Reversion Pagos R4'!D362+'AJUSTES - SF-T'!AD51+M21=M14</f>
        <v>1</v>
      </c>
      <c r="N29" s="648" t="b">
        <f>'Reporte Componentes R1'!F76+'Rem. Anticipos R2'!E48+'Reporte Componentes R1'!F78+'Reversion Pagos R4'!D74+'AJUSTES - SF-T'!AD47+'Reporte Componentes R1'!F255+'Rem. Anticipos R2'!E156+'Reporte Componentes R1'!F257+'Reversion Pagos R4'!D175+'AJUSTES - SF-T'!AD48+'Reporte Componentes R1'!F416+'Rem. Anticipos R2'!E274+'Reporte Componentes R1'!F418+'Reversion Pagos R4'!D212+'AJUSTES - SF-T'!AD49+'Reporte Componentes R1'!F569+'Rem. Anticipos R2'!E385+'Reporte Componentes R1'!F571+'Reversion Pagos R4'!D327+'AJUSTES - SF-T'!AD50+'Reporte Componentes R1'!F681+'Rem. Anticipos R2'!E469+'Reporte Componentes R1'!F683+'Reversion Pagos R4'!D362+'AJUSTES - SF-T'!AD51+L21=L14</f>
        <v>1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R2'!L155+'Reversion Pagos R4'!J174+'Reporte Componentes R1'!M256+'Reporte Componentes R1'!N254+'Rem. Anticipos R2'!M155+'Reversion Pagos R4'!K174+'Reporte Componentes R1'!N256+'Reporte Componentes R1'!O254+'Rem. Anticipos R2'!N155+'Reversion Pagos R4'!L174+'Reporte Componentes R1'!O256+'Reporte Componentes R1'!P254+'Rem. Anticipos R2'!O155+'Reversion Pagos R4'!M174+'Reporte Componentes R1'!P256+'Reporte Componentes R1'!Q254+'Rem. Anticipos R2'!P155+'Reversion Pagos R4'!N174+'Reporte Componentes R1'!Q256-INTERVENTORIA!K16+'Reporte Componentes R1'!R254+'Reporte Componentes R1'!V254+'Rem. Anticipos R2'!Q155+'Reporte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R2'!R155+'Reporte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R2'!K155+'Reversion Pagos R4'!P174+'Reporte Componentes R1'!L256-'BCE SC POR FACT.'!F4+'Reporte Componentes R1'!F255+'Rem. Anticipos R2'!E156+'Reporte Componentes R1'!F257+'Reversion Pagos R4'!D175+'AJUSTES - SF-T'!AD48+'Reporte Componentes R1'!M415+'Reporte Componentes R1'!M417+'Rem. Anticipos R2'!L273+'Reversion Pagos R4'!J211+'Reporte Componentes R1'!N415+'Reporte Componentes R1'!N417+'Rem. Anticipos R2'!M273+'Reversion Pagos R4'!K211+'Reporte Componentes R1'!O415+'Reporte Componentes R1'!O417+'Rem. Anticipos R2'!N273+'Reversion Pagos R4'!L211+'Reporte Componentes R1'!P415+'Reporte Componentes R1'!P417+'Rem. Anticipos R2'!O273+'Reversion Pagos R4'!M211+'Reporte Componentes R1'!Q415+'Reporte Componentes R1'!Q417+'Rem. Anticipos R2'!P273+'Reversion Pagos R4'!N211-INTERVENTORIA!K17+'Reporte Componentes R1'!R415+'Reporte Componentes R1'!V415+'Rem. Anticipos R2'!Q273+'Reporte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R2'!R273+'Reporte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R2'!K273+'Reversion Pagos R4'!P211-'BCE SC POR FACT.'!F5+'Reporte Componentes R1'!F416+'Rem. Anticipos R2'!E274+'Reporte Componentes R1'!F418+'Reversion Pagos R4'!D212+'AJUSTES - SF-T'!AD49+'Reporte Componentes R1'!M568+'Reporte Componentes R1'!M570+'Rem. Anticipos R2'!L384+'Reversion Pagos R4'!J326+'Reporte Componentes R1'!N568+'Reporte Componentes R1'!N570+'Rem. Anticipos R2'!M384+'Reversion Pagos R4'!K326+'Reporte Componentes R1'!O568+'Reporte Componentes R1'!O570+'Rem. Anticipos R2'!N384+'Reversion Pagos R4'!L326+'Reporte Componentes R1'!P568+'Reporte Componentes R1'!P570+'Rem. Anticipos R2'!O384+'Reversion Pagos R4'!M326+'Reporte Componentes R1'!Q568+'Reporte Componentes R1'!Q570+'Rem. Anticipos R2'!P384+'Reversion Pagos R4'!N326-INTERVENTORIA!K18+'Reporte Componentes R1'!R568+'Reporte Componentes R1'!V568+'Rem. Anticipos R2'!Q384+'Reporte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R2'!R384+'Reporte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R2'!K384+'Reversion Pagos R4'!P326-'BCE SC POR FACT.'!F6+'Reporte Componentes R1'!F569+'Rem. Anticipos R2'!E385+'Reporte Componentes R1'!F571+'Reversion Pagos R4'!D327+'AJUSTES - SF-T'!AD50+'Reporte Componentes R1'!M680+'Reporte Componentes R1'!M682+'Rem. Anticipos R2'!L468+'Reversion Pagos R4'!J361+'Reporte Componentes R1'!N680+'Reporte Componentes R1'!N682+'Rem. Anticipos R2'!M468+'Reversion Pagos R4'!K361+'Reporte Componentes R1'!O680+'Reporte Componentes R1'!O682+'Rem. Anticipos R2'!N468+'Reversion Pagos R4'!L361+'Reporte Componentes R1'!P680+'Reporte Componentes R1'!P682+'Rem. Anticipos R2'!O468+'Reversion Pagos R4'!M361+'Reporte Componentes R1'!Q680+'Reporte Componentes R1'!Q682+'Rem. Anticipos R2'!P468+'Reversion Pagos R4'!N361-INTERVENTORIA!Q19+'Reporte Componentes R1'!R680+'Reporte Componentes R1'!V680+'Rem. Anticipos R2'!Q468+'Reporte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R2'!R468+'Reporte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R2'!K468+'Reversion Pagos R4'!P361-'BCE SC POR FACT.'!F7+'Reporte Componentes R1'!F681+'Rem. Anticipos R2'!E469+'Reporte Componentes R1'!F683+'Reversion Pagos R4'!D362+'AJUSTES - SF-T'!AD51+N21=N14</f>
        <v>0</v>
      </c>
    </row>
    <row r="30" spans="2:16" x14ac:dyDescent="0.25">
      <c r="M30" s="655"/>
    </row>
    <row r="31" spans="2:16" x14ac:dyDescent="0.25">
      <c r="I31" s="697"/>
      <c r="J31" s="699"/>
    </row>
    <row r="32" spans="2:16" x14ac:dyDescent="0.25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0" sqref="A110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85546875" style="1" customWidth="1"/>
    <col min="4" max="4" width="13.85546875" style="1" bestFit="1" customWidth="1"/>
    <col min="5" max="5" width="16" style="1" customWidth="1"/>
    <col min="6" max="7" width="14.85546875" style="1" customWidth="1"/>
    <col min="8" max="8" width="16.140625" style="1" customWidth="1"/>
    <col min="9" max="9" width="20.140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85546875" style="1" customWidth="1"/>
    <col min="14" max="14" width="15.140625" style="1" customWidth="1"/>
    <col min="15" max="15" width="16.85546875" style="1" customWidth="1"/>
    <col min="16" max="16" width="3.85546875" style="1" customWidth="1"/>
    <col min="17" max="17" width="2.85546875" style="1" customWidth="1"/>
    <col min="18" max="18" width="4.5703125" style="1" customWidth="1"/>
    <col min="19" max="19" width="11.140625" style="1" customWidth="1"/>
    <col min="20" max="20" width="37.5703125" style="1" bestFit="1" customWidth="1"/>
    <col min="21" max="21" width="19.140625" style="1" customWidth="1"/>
    <col min="22" max="22" width="17.85546875" style="1" customWidth="1"/>
    <col min="23" max="23" width="16.42578125" style="1" customWidth="1"/>
    <col min="24" max="24" width="17.140625" style="1" customWidth="1"/>
    <col min="25" max="25" width="15.85546875" style="1" customWidth="1"/>
    <col min="26" max="26" width="16" style="1" customWidth="1"/>
    <col min="27" max="27" width="15" style="1" customWidth="1"/>
    <col min="28" max="29" width="16.85546875" style="1" customWidth="1"/>
    <col min="30" max="31" width="15.42578125" style="1" customWidth="1"/>
    <col min="32" max="32" width="16.140625" style="1" customWidth="1"/>
    <col min="33" max="33" width="18.140625" style="1" customWidth="1"/>
    <col min="34" max="34" width="13.85546875" style="1" customWidth="1"/>
    <col min="35" max="35" width="3.42578125" style="1" customWidth="1"/>
    <col min="36" max="36" width="13.855468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x14ac:dyDescent="0.2">
      <c r="B9" s="303">
        <v>1</v>
      </c>
      <c r="C9" s="304" t="s">
        <v>10</v>
      </c>
      <c r="D9" s="291">
        <f>'CONSOLIDADO_TOTAL RECAUDO'!D104</f>
        <v>17450228673.349998</v>
      </c>
      <c r="E9" s="292">
        <f>'CONSOLIDADO_TOTAL RECAUDO'!E104</f>
        <v>907089032.16000009</v>
      </c>
      <c r="F9" s="292">
        <f>'CONSOLIDADO_TOTAL RECAUDO'!F104</f>
        <v>511619081.72000003</v>
      </c>
      <c r="G9" s="292">
        <f>'CONSOLIDADO_TOTAL RECAUDO'!G104</f>
        <v>268690518.94</v>
      </c>
      <c r="H9" s="292">
        <f>'CONSOLIDADO_TOTAL RECAUDO'!H104</f>
        <v>3815252256.9000001</v>
      </c>
      <c r="I9" s="292">
        <f>'CONSOLIDADO_TOTAL RECAUDO'!I104</f>
        <v>134368143.47</v>
      </c>
      <c r="J9" s="288">
        <f>'CONSOLIDADO_TOTAL RECAUDO'!J104</f>
        <v>-3589454665.5499997</v>
      </c>
      <c r="K9" s="293">
        <f>'CONSOLIDADO_TOTAL RECAUDO'!K104</f>
        <v>15402664305.709999</v>
      </c>
      <c r="L9" s="294">
        <f>'CONSOLIDADO_TOTAL RECAUDO'!L104</f>
        <v>189185988</v>
      </c>
      <c r="M9" s="293">
        <f>'CONSOLIDADO_TOTAL RECAUDO'!M104</f>
        <v>15213478317.709999</v>
      </c>
      <c r="N9" s="294">
        <f>'CONSOLIDADO_TOTAL RECAUDO'!N104</f>
        <v>25277316.260000002</v>
      </c>
      <c r="O9" s="293">
        <f>'CONSOLIDADO_TOTAL RECAUDO'!O104</f>
        <v>15238755633.969999</v>
      </c>
      <c r="Q9" s="306"/>
      <c r="S9" s="303">
        <v>1</v>
      </c>
      <c r="T9" s="304" t="s">
        <v>10</v>
      </c>
      <c r="U9" s="307">
        <f>'CONSOLIDADO_TOTAL RECAUDO'!U104</f>
        <v>1182502863.3800001</v>
      </c>
      <c r="V9" s="308">
        <f>'CONSOLIDADO_TOTAL RECAUDO'!V104</f>
        <v>1138203111.0299997</v>
      </c>
      <c r="W9" s="308">
        <f>'CONSOLIDADO_TOTAL RECAUDO'!W104</f>
        <v>5384239175.3499994</v>
      </c>
      <c r="X9" s="308">
        <f>'CONSOLIDADO_TOTAL RECAUDO'!X104</f>
        <v>2460648865.29</v>
      </c>
      <c r="Y9" s="309">
        <f>'CONSOLIDADO_TOTAL RECAUDO'!Y104</f>
        <v>219070048.99000001</v>
      </c>
      <c r="Z9" s="310">
        <f>'CONSOLIDADO_TOTAL RECAUDO'!Z104</f>
        <v>-189185988</v>
      </c>
      <c r="AA9" s="311">
        <f>'CONSOLIDADO_TOTAL RECAUDO'!AA104</f>
        <v>-17520.82</v>
      </c>
      <c r="AB9" s="294">
        <f>'CONSOLIDADO_TOTAL RECAUDO'!AB104</f>
        <v>25277316.260000002</v>
      </c>
      <c r="AC9" s="311">
        <f>'CONSOLIDADO_TOTAL RECAUDO'!AC104</f>
        <v>-1592.61</v>
      </c>
      <c r="AD9" s="291">
        <f>'CONSOLIDADO_TOTAL RECAUDO'!AD104</f>
        <v>5018019355.0999994</v>
      </c>
      <c r="AE9" s="291">
        <f>'CONSOLIDADO_TOTAL RECAUDO'!AE104</f>
        <v>1428564689.55</v>
      </c>
      <c r="AF9" s="313">
        <f>'CONSOLIDADO_TOTAL RECAUDO'!AF104</f>
        <v>15238755633.969997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x14ac:dyDescent="0.2">
      <c r="B10" s="314">
        <v>2</v>
      </c>
      <c r="C10" s="315" t="s">
        <v>11</v>
      </c>
      <c r="D10" s="291">
        <f>'CONSOLIDADO_TOTAL RECAUDO'!D105</f>
        <v>20516143969.650002</v>
      </c>
      <c r="E10" s="292">
        <f>'CONSOLIDADO_TOTAL RECAUDO'!E105</f>
        <v>1584179837.8299999</v>
      </c>
      <c r="F10" s="292">
        <f>'CONSOLIDADO_TOTAL RECAUDO'!F105</f>
        <v>890098162.61999989</v>
      </c>
      <c r="G10" s="292">
        <f>'CONSOLIDADO_TOTAL RECAUDO'!G105</f>
        <v>466611469.23999995</v>
      </c>
      <c r="H10" s="292">
        <f>'CONSOLIDADO_TOTAL RECAUDO'!H105</f>
        <v>5815089519.5800009</v>
      </c>
      <c r="I10" s="292">
        <f>'CONSOLIDADO_TOTAL RECAUDO'!I105</f>
        <v>222428730.16</v>
      </c>
      <c r="J10" s="288">
        <f>'CONSOLIDADO_TOTAL RECAUDO'!J105</f>
        <v>-3241193714.1100001</v>
      </c>
      <c r="K10" s="295">
        <f>'CONSOLIDADO_TOTAL RECAUDO'!K105</f>
        <v>14778929964.329998</v>
      </c>
      <c r="L10" s="294">
        <f>'CONSOLIDADO_TOTAL RECAUDO'!L105</f>
        <v>266580256</v>
      </c>
      <c r="M10" s="295">
        <f>'CONSOLIDADO_TOTAL RECAUDO'!M105</f>
        <v>14512349708.329998</v>
      </c>
      <c r="N10" s="294">
        <f>'CONSOLIDADO_TOTAL RECAUDO'!N105</f>
        <v>53454221.280000001</v>
      </c>
      <c r="O10" s="295">
        <f>'CONSOLIDADO_TOTAL RECAUDO'!O105</f>
        <v>14565803929.609999</v>
      </c>
      <c r="Q10" s="306"/>
      <c r="S10" s="314">
        <v>2</v>
      </c>
      <c r="T10" s="315" t="s">
        <v>11</v>
      </c>
      <c r="U10" s="316">
        <f>'CONSOLIDADO_TOTAL RECAUDO'!U105</f>
        <v>1949886300.4400001</v>
      </c>
      <c r="V10" s="317">
        <f>'CONSOLIDADO_TOTAL RECAUDO'!V105</f>
        <v>1945637036.9099996</v>
      </c>
      <c r="W10" s="317">
        <f>'CONSOLIDADO_TOTAL RECAUDO'!W105</f>
        <v>9155886148.1600037</v>
      </c>
      <c r="X10" s="317">
        <f>'CONSOLIDADO_TOTAL RECAUDO'!X105</f>
        <v>3142209362.4400001</v>
      </c>
      <c r="Y10" s="318">
        <f>'CONSOLIDADO_TOTAL RECAUDO'!Y105</f>
        <v>363003578.24000001</v>
      </c>
      <c r="Z10" s="319">
        <f>'CONSOLIDADO_TOTAL RECAUDO'!Z105</f>
        <v>-266580256</v>
      </c>
      <c r="AA10" s="320">
        <f>'CONSOLIDADO_TOTAL RECAUDO'!AA105</f>
        <v>86900.159999999989</v>
      </c>
      <c r="AB10" s="294">
        <f>'CONSOLIDADO_TOTAL RECAUDO'!AB105</f>
        <v>53454221.280000001</v>
      </c>
      <c r="AC10" s="320">
        <f>'CONSOLIDADO_TOTAL RECAUDO'!AC105</f>
        <v>-123.21</v>
      </c>
      <c r="AD10" s="291">
        <f>'CONSOLIDADO_TOTAL RECAUDO'!AD105</f>
        <v>-1777779238.8099999</v>
      </c>
      <c r="AE10" s="291">
        <f>'CONSOLIDADO_TOTAL RECAUDO'!AE105</f>
        <v>-5018972952.9200001</v>
      </c>
      <c r="AF10" s="322">
        <f>'CONSOLIDADO_TOTAL RECAUDO'!AF105</f>
        <v>14565803929.610004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x14ac:dyDescent="0.2">
      <c r="B11" s="314">
        <v>3</v>
      </c>
      <c r="C11" s="315" t="s">
        <v>12</v>
      </c>
      <c r="D11" s="291">
        <f>'CONSOLIDADO_TOTAL RECAUDO'!D106</f>
        <v>15221896467.450003</v>
      </c>
      <c r="E11" s="292">
        <f>'CONSOLIDADO_TOTAL RECAUDO'!E106</f>
        <v>1154816918.0400002</v>
      </c>
      <c r="F11" s="292">
        <f>'CONSOLIDADO_TOTAL RECAUDO'!F106</f>
        <v>650648256.78000009</v>
      </c>
      <c r="G11" s="292">
        <f>'CONSOLIDADO_TOTAL RECAUDO'!G106</f>
        <v>342168927.41999996</v>
      </c>
      <c r="H11" s="292">
        <f>'CONSOLIDADO_TOTAL RECAUDO'!H106</f>
        <v>3419471286.5799999</v>
      </c>
      <c r="I11" s="292">
        <f>'CONSOLIDADO_TOTAL RECAUDO'!I106</f>
        <v>125690282.95999999</v>
      </c>
      <c r="J11" s="288">
        <f>'CONSOLIDADO_TOTAL RECAUDO'!J106</f>
        <v>-853244564.50999999</v>
      </c>
      <c r="K11" s="295">
        <f>'CONSOLIDADO_TOTAL RECAUDO'!K106</f>
        <v>10382345360.180002</v>
      </c>
      <c r="L11" s="294">
        <f>'CONSOLIDADO_TOTAL RECAUDO'!L106</f>
        <v>154788536</v>
      </c>
      <c r="M11" s="295">
        <f>'CONSOLIDADO_TOTAL RECAUDO'!M106</f>
        <v>10227556824.180002</v>
      </c>
      <c r="N11" s="294">
        <f>'CONSOLIDADO_TOTAL RECAUDO'!N106</f>
        <v>14341963.319999998</v>
      </c>
      <c r="O11" s="295">
        <f>'CONSOLIDADO_TOTAL RECAUDO'!O106</f>
        <v>10241898787.500002</v>
      </c>
      <c r="Q11" s="306"/>
      <c r="S11" s="314">
        <v>3</v>
      </c>
      <c r="T11" s="315" t="s">
        <v>12</v>
      </c>
      <c r="U11" s="316">
        <f>'CONSOLIDADO_TOTAL RECAUDO'!U106</f>
        <v>1102335590.3299999</v>
      </c>
      <c r="V11" s="317">
        <f>'CONSOLIDADO_TOTAL RECAUDO'!V106</f>
        <v>1086464208.23</v>
      </c>
      <c r="W11" s="317">
        <f>'CONSOLIDADO_TOTAL RECAUDO'!W106</f>
        <v>5141961247.9000006</v>
      </c>
      <c r="X11" s="317">
        <f>'CONSOLIDADO_TOTAL RECAUDO'!X106</f>
        <v>2685857516.6600003</v>
      </c>
      <c r="Y11" s="318">
        <f>'CONSOLIDADO_TOTAL RECAUDO'!Y106</f>
        <v>205160229.32000002</v>
      </c>
      <c r="Z11" s="319">
        <f>'CONSOLIDADO_TOTAL RECAUDO'!Z106</f>
        <v>-154788536</v>
      </c>
      <c r="AA11" s="320">
        <f>'CONSOLIDADO_TOTAL RECAUDO'!AA106</f>
        <v>246404.58</v>
      </c>
      <c r="AB11" s="294">
        <f>'CONSOLIDADO_TOTAL RECAUDO'!AB106</f>
        <v>14341963.319999998</v>
      </c>
      <c r="AC11" s="320">
        <f>'CONSOLIDADO_TOTAL RECAUDO'!AC106</f>
        <v>-11885.619999999999</v>
      </c>
      <c r="AD11" s="291">
        <f>'CONSOLIDADO_TOTAL RECAUDO'!AD106</f>
        <v>160332048.78000009</v>
      </c>
      <c r="AE11" s="291">
        <f>'CONSOLIDADO_TOTAL RECAUDO'!AE106</f>
        <v>-692912515.7299999</v>
      </c>
      <c r="AF11" s="322">
        <f>'CONSOLIDADO_TOTAL RECAUDO'!AF106</f>
        <v>10241898787.5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x14ac:dyDescent="0.2">
      <c r="B12" s="314">
        <v>4</v>
      </c>
      <c r="C12" s="315" t="s">
        <v>13</v>
      </c>
      <c r="D12" s="291">
        <f>'CONSOLIDADO_TOTAL RECAUDO'!D107</f>
        <v>7179595395.6699991</v>
      </c>
      <c r="E12" s="292">
        <f>'CONSOLIDADO_TOTAL RECAUDO'!E107</f>
        <v>473606043.33000004</v>
      </c>
      <c r="F12" s="292">
        <f>'CONSOLIDADO_TOTAL RECAUDO'!F107</f>
        <v>264596657.70000002</v>
      </c>
      <c r="G12" s="292">
        <f>'CONSOLIDADO_TOTAL RECAUDO'!G107</f>
        <v>136481575.35000002</v>
      </c>
      <c r="H12" s="292">
        <f>'CONSOLIDADO_TOTAL RECAUDO'!H107</f>
        <v>1605437093.76</v>
      </c>
      <c r="I12" s="292">
        <f>'CONSOLIDADO_TOTAL RECAUDO'!I107</f>
        <v>62582401.519999996</v>
      </c>
      <c r="J12" s="288">
        <f>'CONSOLIDADO_TOTAL RECAUDO'!J107</f>
        <v>-699882713.37000012</v>
      </c>
      <c r="K12" s="295">
        <f>'CONSOLIDADO_TOTAL RECAUDO'!K107</f>
        <v>5336774337.3799982</v>
      </c>
      <c r="L12" s="294">
        <f>'CONSOLIDADO_TOTAL RECAUDO'!L107</f>
        <v>120391083</v>
      </c>
      <c r="M12" s="295">
        <f>'CONSOLIDADO_TOTAL RECAUDO'!M107</f>
        <v>5216383254.3799982</v>
      </c>
      <c r="N12" s="294">
        <f>'CONSOLIDADO_TOTAL RECAUDO'!N107</f>
        <v>34128344.93</v>
      </c>
      <c r="O12" s="295">
        <f>'CONSOLIDADO_TOTAL RECAUDO'!O107</f>
        <v>5250511599.3099985</v>
      </c>
      <c r="Q12" s="306"/>
      <c r="S12" s="314">
        <v>4</v>
      </c>
      <c r="T12" s="315" t="s">
        <v>13</v>
      </c>
      <c r="U12" s="316">
        <f>'CONSOLIDADO_TOTAL RECAUDO'!U107</f>
        <v>549450408.40999997</v>
      </c>
      <c r="V12" s="317">
        <f>'CONSOLIDADO_TOTAL RECAUDO'!V107</f>
        <v>548186870.46999991</v>
      </c>
      <c r="W12" s="317">
        <f>'CONSOLIDADO_TOTAL RECAUDO'!W107</f>
        <v>2799232757.4099998</v>
      </c>
      <c r="X12" s="317">
        <f>'CONSOLIDADO_TOTAL RECAUDO'!X107</f>
        <v>1254527099.4500003</v>
      </c>
      <c r="Y12" s="318">
        <f>'CONSOLIDADO_TOTAL RECAUDO'!Y107</f>
        <v>102249901.39999999</v>
      </c>
      <c r="Z12" s="319">
        <f>'CONSOLIDADO_TOTAL RECAUDO'!Z107</f>
        <v>-120391083</v>
      </c>
      <c r="AA12" s="320">
        <f>'CONSOLIDADO_TOTAL RECAUDO'!AA107</f>
        <v>-16263.19</v>
      </c>
      <c r="AB12" s="294">
        <f>'CONSOLIDADO_TOTAL RECAUDO'!AB107</f>
        <v>34128344.93</v>
      </c>
      <c r="AC12" s="320">
        <f>'CONSOLIDADO_TOTAL RECAUDO'!AC107</f>
        <v>-529.09999999999991</v>
      </c>
      <c r="AD12" s="291">
        <f>'CONSOLIDADO_TOTAL RECAUDO'!AD107</f>
        <v>83144092.53000021</v>
      </c>
      <c r="AE12" s="291">
        <f>'CONSOLIDADO_TOTAL RECAUDO'!AE107</f>
        <v>-616738620.83999991</v>
      </c>
      <c r="AF12" s="322">
        <f>'CONSOLIDADO_TOTAL RECAUDO'!AF107</f>
        <v>5250511599.3099995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75" thickBot="1" x14ac:dyDescent="0.25">
      <c r="B13" s="324">
        <v>5</v>
      </c>
      <c r="C13" s="325" t="s">
        <v>14</v>
      </c>
      <c r="D13" s="296">
        <f>'CONSOLIDADO_TOTAL RECAUDO'!D108</f>
        <v>12073344661.59</v>
      </c>
      <c r="E13" s="297">
        <f>'CONSOLIDADO_TOTAL RECAUDO'!E108</f>
        <v>731686441.62</v>
      </c>
      <c r="F13" s="297">
        <f>'CONSOLIDADO_TOTAL RECAUDO'!F108</f>
        <v>412480816.2899999</v>
      </c>
      <c r="G13" s="297">
        <f>'CONSOLIDADO_TOTAL RECAUDO'!G108</f>
        <v>216220999.25</v>
      </c>
      <c r="H13" s="297">
        <f>'CONSOLIDADO_TOTAL RECAUDO'!H108</f>
        <v>2771170796.7799997</v>
      </c>
      <c r="I13" s="297">
        <f>'CONSOLIDADO_TOTAL RECAUDO'!I108</f>
        <v>105860252.47</v>
      </c>
      <c r="J13" s="289">
        <f>'CONSOLIDADO_TOTAL RECAUDO'!J108</f>
        <v>-82959023.660000086</v>
      </c>
      <c r="K13" s="295">
        <f>'CONSOLIDADO_TOTAL RECAUDO'!K108</f>
        <v>7918884378.8400002</v>
      </c>
      <c r="L13" s="294">
        <f>'CONSOLIDADO_TOTAL RECAUDO'!L108</f>
        <v>128990446</v>
      </c>
      <c r="M13" s="298">
        <f>'CONSOLIDADO_TOTAL RECAUDO'!M108</f>
        <v>7789893932.8400002</v>
      </c>
      <c r="N13" s="299">
        <f>'CONSOLIDADO_TOTAL RECAUDO'!N108</f>
        <v>15891735.880000001</v>
      </c>
      <c r="O13" s="298">
        <f>'CONSOLIDADO_TOTAL RECAUDO'!O108</f>
        <v>7805785668.7200003</v>
      </c>
      <c r="Q13" s="306"/>
      <c r="S13" s="324">
        <v>5</v>
      </c>
      <c r="T13" s="325" t="s">
        <v>14</v>
      </c>
      <c r="U13" s="296">
        <f>'CONSOLIDADO_TOTAL RECAUDO'!U108</f>
        <v>928205240.1500001</v>
      </c>
      <c r="V13" s="297">
        <f>'CONSOLIDADO_TOTAL RECAUDO'!V108</f>
        <v>911180502.11000001</v>
      </c>
      <c r="W13" s="297">
        <f>'CONSOLIDADO_TOTAL RECAUDO'!W108</f>
        <v>4681131561.2200003</v>
      </c>
      <c r="X13" s="297">
        <f>'CONSOLIDADO_TOTAL RECAUDO'!X108</f>
        <v>2173851295.3300004</v>
      </c>
      <c r="Y13" s="289">
        <f>'CONSOLIDADO_TOTAL RECAUDO'!Y108</f>
        <v>172729906.53999999</v>
      </c>
      <c r="Z13" s="319">
        <f>'CONSOLIDADO_TOTAL RECAUDO'!Z108</f>
        <v>-128990446</v>
      </c>
      <c r="AA13" s="320">
        <f>'CONSOLIDADO_TOTAL RECAUDO'!AA108</f>
        <v>-147744.56999999998</v>
      </c>
      <c r="AB13" s="294">
        <f>'CONSOLIDADO_TOTAL RECAUDO'!AB108</f>
        <v>15891735.880000001</v>
      </c>
      <c r="AC13" s="320">
        <f>'CONSOLIDADO_TOTAL RECAUDO'!AC108</f>
        <v>-32.979999999999997</v>
      </c>
      <c r="AD13" s="291">
        <f>'CONSOLIDADO_TOTAL RECAUDO'!AD108</f>
        <v>-948066348.95999992</v>
      </c>
      <c r="AE13" s="291">
        <f>'CONSOLIDADO_TOTAL RECAUDO'!AE108</f>
        <v>-1031025372.62</v>
      </c>
      <c r="AF13" s="322">
        <f>'CONSOLIDADO_TOTAL RECAUDO'!AF108</f>
        <v>7805785668.7200022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5" thickBot="1" x14ac:dyDescent="0.25">
      <c r="B14" s="327"/>
      <c r="C14" s="328" t="s">
        <v>2</v>
      </c>
      <c r="D14" s="290">
        <f>'CONSOLIDADO_TOTAL RECAUDO'!D109</f>
        <v>72441209167.710007</v>
      </c>
      <c r="E14" s="290">
        <f>'CONSOLIDADO_TOTAL RECAUDO'!E109</f>
        <v>4851378272.9799995</v>
      </c>
      <c r="F14" s="290">
        <f>'CONSOLIDADO_TOTAL RECAUDO'!F109</f>
        <v>2729442975.1099997</v>
      </c>
      <c r="G14" s="290">
        <f>'CONSOLIDADO_TOTAL RECAUDO'!G109</f>
        <v>1430173490.1999998</v>
      </c>
      <c r="H14" s="290">
        <f>'CONSOLIDADO_TOTAL RECAUDO'!H109</f>
        <v>17426420953.600002</v>
      </c>
      <c r="I14" s="290">
        <f>'CONSOLIDADO_TOTAL RECAUDO'!I109</f>
        <v>650929810.58000004</v>
      </c>
      <c r="J14" s="290">
        <f>'CONSOLIDADO_TOTAL RECAUDO'!J109</f>
        <v>-8466734681.1999998</v>
      </c>
      <c r="K14" s="300">
        <f>'CONSOLIDADO_TOTAL RECAUDO'!K109</f>
        <v>53819598346.440002</v>
      </c>
      <c r="L14" s="301">
        <f>'CONSOLIDADO_TOTAL RECAUDO'!L109</f>
        <v>859936309</v>
      </c>
      <c r="M14" s="302">
        <f>'CONSOLIDADO_TOTAL RECAUDO'!M109</f>
        <v>52959662037.440002</v>
      </c>
      <c r="N14" s="301">
        <f>'CONSOLIDADO_TOTAL RECAUDO'!N109</f>
        <v>143093581.66999999</v>
      </c>
      <c r="O14" s="302">
        <f>'CONSOLIDADO_TOTAL RECAUDO'!O109</f>
        <v>53102755619.110001</v>
      </c>
      <c r="P14" s="329"/>
      <c r="Q14" s="306"/>
      <c r="S14" s="327"/>
      <c r="T14" s="328" t="s">
        <v>2</v>
      </c>
      <c r="U14" s="330">
        <f>'CONSOLIDADO_TOTAL RECAUDO'!U109</f>
        <v>5712380402.710001</v>
      </c>
      <c r="V14" s="330">
        <f>'CONSOLIDADO_TOTAL RECAUDO'!V109</f>
        <v>5629671728.749999</v>
      </c>
      <c r="W14" s="330">
        <f>'CONSOLIDADO_TOTAL RECAUDO'!W109</f>
        <v>27162450890.040005</v>
      </c>
      <c r="X14" s="330">
        <f>'CONSOLIDADO_TOTAL RECAUDO'!X109</f>
        <v>11717094139.17</v>
      </c>
      <c r="Y14" s="330">
        <f>'CONSOLIDADO_TOTAL RECAUDO'!Y109</f>
        <v>1062213664.49</v>
      </c>
      <c r="Z14" s="290">
        <f>'CONSOLIDADO_TOTAL RECAUDO'!Z109</f>
        <v>-859936309</v>
      </c>
      <c r="AA14" s="290">
        <f>'CONSOLIDADO_TOTAL RECAUDO'!AA109</f>
        <v>151776.16</v>
      </c>
      <c r="AB14" s="290">
        <f>'CONSOLIDADO_TOTAL RECAUDO'!AB109</f>
        <v>143093581.66999999</v>
      </c>
      <c r="AC14" s="290">
        <f>'CONSOLIDADO_TOTAL RECAUDO'!AC109</f>
        <v>-14163.519999999999</v>
      </c>
      <c r="AD14" s="290">
        <f>'CONSOLIDADO_TOTAL RECAUDO'!AD109</f>
        <v>2535649908.6399999</v>
      </c>
      <c r="AE14" s="290">
        <f>'CONSOLIDADO_TOTAL RECAUDO'!AE109</f>
        <v>-5931084772.5599995</v>
      </c>
      <c r="AF14" s="331">
        <f>'CONSOLIDADO_TOTAL RECAUDO'!AF109</f>
        <v>53102755619.110001</v>
      </c>
      <c r="AG14" s="524">
        <f>'CONSOLIDADO_TOTAL RECAUDO'!AG109</f>
        <v>0</v>
      </c>
      <c r="AH14" s="1" t="s">
        <v>1</v>
      </c>
      <c r="AI14" s="306"/>
      <c r="AM14" s="333"/>
    </row>
    <row r="15" spans="2:39" x14ac:dyDescent="0.2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x14ac:dyDescent="0.2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x14ac:dyDescent="0.2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x14ac:dyDescent="0.2">
      <c r="B27" s="314">
        <v>2</v>
      </c>
      <c r="C27" s="315" t="s">
        <v>11</v>
      </c>
      <c r="D27" s="291">
        <f>'REMUNERACION Reciprocidad EAAB'!D105</f>
        <v>47041595.059999995</v>
      </c>
      <c r="E27" s="292">
        <f>'REMUNERACION Reciprocidad EAAB'!E105</f>
        <v>4095120.52</v>
      </c>
      <c r="F27" s="292">
        <f>'REMUNERACION Reciprocidad EAAB'!F105</f>
        <v>2274787</v>
      </c>
      <c r="G27" s="292">
        <f>'REMUNERACION Reciprocidad EAAB'!G105</f>
        <v>1028626.41</v>
      </c>
      <c r="H27" s="292">
        <f>'REMUNERACION Reciprocidad EAAB'!H105</f>
        <v>18268033.049999997</v>
      </c>
      <c r="I27" s="292">
        <f>'REMUNERACION Reciprocidad EAAB'!I105</f>
        <v>535415.67000000004</v>
      </c>
      <c r="J27" s="288">
        <f>'REMUNERACION Reciprocidad EAAB'!J105</f>
        <v>0</v>
      </c>
      <c r="K27" s="295">
        <f>'REMUNERACION Reciprocidad EAAB'!K105</f>
        <v>20839612.409999996</v>
      </c>
      <c r="L27" s="294">
        <f>'REMUNERACION Reciprocidad EAAB'!L105</f>
        <v>0</v>
      </c>
      <c r="M27" s="295">
        <f>'REMUNERACION Reciprocidad EAAB'!M105</f>
        <v>20839612.409999996</v>
      </c>
      <c r="N27" s="294">
        <f>'REMUNERACION Reciprocidad EAAB'!N105</f>
        <v>0</v>
      </c>
      <c r="O27" s="295">
        <f>'REMUNERACION Reciprocidad EAAB'!O105</f>
        <v>20839612.409999996</v>
      </c>
      <c r="Q27" s="306"/>
      <c r="S27" s="314">
        <v>2</v>
      </c>
      <c r="T27" s="315" t="s">
        <v>11</v>
      </c>
      <c r="U27" s="316">
        <f>'REMUNERACION Reciprocidad EAAB'!U105</f>
        <v>4831656.13</v>
      </c>
      <c r="V27" s="317">
        <f>'REMUNERACION Reciprocidad EAAB'!V105</f>
        <v>5407389.7400000002</v>
      </c>
      <c r="W27" s="317">
        <f>'REMUNERACION Reciprocidad EAAB'!W105</f>
        <v>20054944.010000002</v>
      </c>
      <c r="X27" s="317">
        <f>'REMUNERACION Reciprocidad EAAB'!X105</f>
        <v>11013548.23</v>
      </c>
      <c r="Y27" s="318">
        <f>'REMUNERACION Reciprocidad EAAB'!Y105</f>
        <v>712165.05</v>
      </c>
      <c r="Z27" s="319">
        <f>'REMUNERACION Reciprocidad EAAB'!Z105</f>
        <v>0</v>
      </c>
      <c r="AA27" s="320">
        <f>'REMUNERACION Reciprocidad EAAB'!AA105</f>
        <v>42.75</v>
      </c>
      <c r="AB27" s="294">
        <f>'REMUNERACION Reciprocidad EAAB'!AB105</f>
        <v>0</v>
      </c>
      <c r="AC27" s="320">
        <f>'REMUNERACION Reciprocidad EAAB'!AC105</f>
        <v>-7.0000000000000007E-2</v>
      </c>
      <c r="AD27" s="291">
        <f>'REMUNERACION Reciprocidad EAAB'!AD105</f>
        <v>-21180133.430000003</v>
      </c>
      <c r="AE27" s="291">
        <f>'REMUNERACION Reciprocidad EAAB'!AE105</f>
        <v>-21180133.430000003</v>
      </c>
      <c r="AF27" s="322">
        <f>'REMUNERACION Reciprocidad EAAB'!AF105</f>
        <v>20839612.409999993</v>
      </c>
      <c r="AG27" s="522">
        <f>'REMUNERACION Reciprocidad EAAB'!AG105</f>
        <v>0</v>
      </c>
      <c r="AH27" s="1"/>
      <c r="AI27" s="306"/>
      <c r="AM27" s="333"/>
    </row>
    <row r="28" spans="1:39" s="305" customFormat="1" x14ac:dyDescent="0.2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x14ac:dyDescent="0.2">
      <c r="B29" s="314">
        <v>4</v>
      </c>
      <c r="C29" s="315" t="s">
        <v>13</v>
      </c>
      <c r="D29" s="291">
        <f>'REMUNERACION Reciprocidad EAAB'!D107</f>
        <v>71467043.25999999</v>
      </c>
      <c r="E29" s="292">
        <f>'REMUNERACION Reciprocidad EAAB'!E107</f>
        <v>9337119.6800000016</v>
      </c>
      <c r="F29" s="292">
        <f>'REMUNERACION Reciprocidad EAAB'!F107</f>
        <v>5227614.95</v>
      </c>
      <c r="G29" s="292">
        <f>'REMUNERACION Reciprocidad EAAB'!G107</f>
        <v>1095011.2200000002</v>
      </c>
      <c r="H29" s="292">
        <f>'REMUNERACION Reciprocidad EAAB'!H107</f>
        <v>8931941.6099999994</v>
      </c>
      <c r="I29" s="292">
        <f>'REMUNERACION Reciprocidad EAAB'!I107</f>
        <v>265264.06</v>
      </c>
      <c r="J29" s="288">
        <f>'REMUNERACION Reciprocidad EAAB'!J107</f>
        <v>0</v>
      </c>
      <c r="K29" s="295">
        <f>'REMUNERACION Reciprocidad EAAB'!K107</f>
        <v>46610091.739999987</v>
      </c>
      <c r="L29" s="294">
        <f>'REMUNERACION Reciprocidad EAAB'!L107</f>
        <v>0</v>
      </c>
      <c r="M29" s="295">
        <f>'REMUNERACION Reciprocidad EAAB'!M107</f>
        <v>46610091.739999987</v>
      </c>
      <c r="N29" s="294">
        <f>'REMUNERACION Reciprocidad EAAB'!N107</f>
        <v>0</v>
      </c>
      <c r="O29" s="295">
        <f>'REMUNERACION Reciprocidad EAAB'!O107</f>
        <v>46610091.739999987</v>
      </c>
      <c r="Q29" s="306"/>
      <c r="S29" s="314">
        <v>4</v>
      </c>
      <c r="T29" s="315" t="s">
        <v>13</v>
      </c>
      <c r="U29" s="316">
        <f>'REMUNERACION Reciprocidad EAAB'!U107</f>
        <v>2506113.27</v>
      </c>
      <c r="V29" s="317">
        <f>'REMUNERACION Reciprocidad EAAB'!V107</f>
        <v>2730225.84</v>
      </c>
      <c r="W29" s="317">
        <f>'REMUNERACION Reciprocidad EAAB'!W107</f>
        <v>12255014.02</v>
      </c>
      <c r="X29" s="317">
        <f>'REMUNERACION Reciprocidad EAAB'!X107</f>
        <v>25300845.309999999</v>
      </c>
      <c r="Y29" s="318">
        <f>'REMUNERACION Reciprocidad EAAB'!Y107</f>
        <v>393638.25</v>
      </c>
      <c r="Z29" s="319">
        <f>'REMUNERACION Reciprocidad EAAB'!Z107</f>
        <v>0</v>
      </c>
      <c r="AA29" s="320">
        <f>'REMUNERACION Reciprocidad EAAB'!AA107</f>
        <v>52.11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3424202.94</v>
      </c>
      <c r="AE29" s="291">
        <f>'REMUNERACION Reciprocidad EAAB'!AE107</f>
        <v>3424202.94</v>
      </c>
      <c r="AF29" s="322">
        <f>'REMUNERACION Reciprocidad EAAB'!AF107</f>
        <v>46610091.739999995</v>
      </c>
      <c r="AG29" s="522">
        <f>'REMUNERACION Reciprocidad EAAB'!AG107</f>
        <v>0</v>
      </c>
      <c r="AH29" s="1"/>
      <c r="AI29" s="306"/>
      <c r="AM29" s="333"/>
    </row>
    <row r="30" spans="1:39" s="305" customFormat="1" ht="12.75" thickBot="1" x14ac:dyDescent="0.25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5" thickBot="1" x14ac:dyDescent="0.25">
      <c r="B31" s="327"/>
      <c r="C31" s="328" t="s">
        <v>2</v>
      </c>
      <c r="D31" s="290">
        <f>'REMUNERACION Reciprocidad EAAB'!D109</f>
        <v>118508638.31999999</v>
      </c>
      <c r="E31" s="290">
        <f>'REMUNERACION Reciprocidad EAAB'!E109</f>
        <v>13432240.200000001</v>
      </c>
      <c r="F31" s="290">
        <f>'REMUNERACION Reciprocidad EAAB'!F109</f>
        <v>7502401.9500000002</v>
      </c>
      <c r="G31" s="290">
        <f>'REMUNERACION Reciprocidad EAAB'!G109</f>
        <v>2123637.6300000004</v>
      </c>
      <c r="H31" s="290">
        <f>'REMUNERACION Reciprocidad EAAB'!H109</f>
        <v>27199974.659999996</v>
      </c>
      <c r="I31" s="290">
        <f>'REMUNERACION Reciprocidad EAAB'!I109</f>
        <v>800679.73</v>
      </c>
      <c r="J31" s="290">
        <f>'REMUNERACION Reciprocidad EAAB'!J109</f>
        <v>0</v>
      </c>
      <c r="K31" s="300">
        <f>'REMUNERACION Reciprocidad EAAB'!K109</f>
        <v>67449704.149999976</v>
      </c>
      <c r="L31" s="301">
        <f>'REMUNERACION Reciprocidad EAAB'!L109</f>
        <v>0</v>
      </c>
      <c r="M31" s="302">
        <f>'REMUNERACION Reciprocidad EAAB'!M109</f>
        <v>67449704.149999976</v>
      </c>
      <c r="N31" s="301">
        <f>'REMUNERACION Reciprocidad EAAB'!N109</f>
        <v>0</v>
      </c>
      <c r="O31" s="302">
        <f>'REMUNERACION Reciprocidad EAAB'!O109</f>
        <v>67449704.149999976</v>
      </c>
      <c r="P31" s="329"/>
      <c r="Q31" s="306"/>
      <c r="S31" s="327"/>
      <c r="T31" s="328" t="s">
        <v>2</v>
      </c>
      <c r="U31" s="330">
        <f>'REMUNERACION Reciprocidad EAAB'!U109</f>
        <v>7337769.4000000004</v>
      </c>
      <c r="V31" s="330">
        <f>'REMUNERACION Reciprocidad EAAB'!V109</f>
        <v>8137615.5800000001</v>
      </c>
      <c r="W31" s="330">
        <f>'REMUNERACION Reciprocidad EAAB'!W109</f>
        <v>32309958.030000001</v>
      </c>
      <c r="X31" s="330">
        <f>'REMUNERACION Reciprocidad EAAB'!X109</f>
        <v>36314393.539999999</v>
      </c>
      <c r="Y31" s="330">
        <f>'REMUNERACION Reciprocidad EAAB'!Y109</f>
        <v>1105803.3</v>
      </c>
      <c r="Z31" s="290">
        <f>'REMUNERACION Reciprocidad EAAB'!Z109</f>
        <v>0</v>
      </c>
      <c r="AA31" s="290">
        <f>'REMUNERACION Reciprocidad EAAB'!AA109</f>
        <v>94.86</v>
      </c>
      <c r="AB31" s="290">
        <f>'REMUNERACION Reciprocidad EAAB'!AB109</f>
        <v>0</v>
      </c>
      <c r="AC31" s="290">
        <f>'REMUNERACION Reciprocidad EAAB'!AC109</f>
        <v>-7.0000000000000007E-2</v>
      </c>
      <c r="AD31" s="290">
        <f>'REMUNERACION Reciprocidad EAAB'!AD109</f>
        <v>-17755930.490000002</v>
      </c>
      <c r="AE31" s="290">
        <f>'REMUNERACION Reciprocidad EAAB'!AE109</f>
        <v>-17755930.490000002</v>
      </c>
      <c r="AF31" s="331">
        <f>'REMUNERACION Reciprocidad EAAB'!AF109</f>
        <v>67449704.149999991</v>
      </c>
      <c r="AG31" s="524">
        <f>'REMUNERACION Reciprocidad EAAB'!AG109</f>
        <v>0</v>
      </c>
      <c r="AH31" s="1"/>
      <c r="AI31" s="306"/>
      <c r="AM31" s="333"/>
    </row>
    <row r="32" spans="1:39" x14ac:dyDescent="0.2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x14ac:dyDescent="0.2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x14ac:dyDescent="0.2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x14ac:dyDescent="0.2">
      <c r="B43" s="303">
        <v>1</v>
      </c>
      <c r="C43" s="304" t="s">
        <v>10</v>
      </c>
      <c r="D43" s="291">
        <f>REMUNERACION_ENEL!D104</f>
        <v>16643179604.779999</v>
      </c>
      <c r="E43" s="292">
        <f>REMUNERACION_ENEL!E104</f>
        <v>807895299.00000012</v>
      </c>
      <c r="F43" s="292">
        <f>REMUNERACION_ENEL!F104</f>
        <v>455912503.50999999</v>
      </c>
      <c r="G43" s="292">
        <f>REMUNERACION_ENEL!G104</f>
        <v>239329779.88</v>
      </c>
      <c r="H43" s="292">
        <f>REMUNERACION_ENEL!H104</f>
        <v>3761557796.75</v>
      </c>
      <c r="I43" s="292">
        <f>REMUNERACION_ENEL!I104</f>
        <v>132659753.62000002</v>
      </c>
      <c r="J43" s="288">
        <f>REMUNERACION_ENEL!J104</f>
        <v>-3589454665.5499997</v>
      </c>
      <c r="K43" s="293">
        <f>REMUNERACION_ENEL!K104</f>
        <v>14835279137.569998</v>
      </c>
      <c r="L43" s="294">
        <f>REMUNERACION_ENEL!L104</f>
        <v>189185988</v>
      </c>
      <c r="M43" s="293">
        <f>REMUNERACION_ENEL!M104</f>
        <v>14646093149.569998</v>
      </c>
      <c r="N43" s="294">
        <f>REMUNERACION_ENEL!N104</f>
        <v>16516492.25</v>
      </c>
      <c r="O43" s="293">
        <f>REMUNERACION_ENEL!O104</f>
        <v>14662609641.819998</v>
      </c>
      <c r="Q43" s="306"/>
      <c r="S43" s="303">
        <v>1</v>
      </c>
      <c r="T43" s="304" t="s">
        <v>10</v>
      </c>
      <c r="U43" s="307">
        <f>REMUNERACION_ENEL!U104</f>
        <v>1167429697.9300001</v>
      </c>
      <c r="V43" s="308">
        <f>REMUNERACION_ENEL!V104</f>
        <v>1119851344.1899998</v>
      </c>
      <c r="W43" s="308">
        <f>REMUNERACION_ENEL!W104</f>
        <v>5299081059.21</v>
      </c>
      <c r="X43" s="308">
        <f>REMUNERACION_ENEL!X104</f>
        <v>2189246770.6300006</v>
      </c>
      <c r="Y43" s="309">
        <f>REMUNERACION_ENEL!Y104</f>
        <v>216286907.63999999</v>
      </c>
      <c r="Z43" s="310">
        <f>REMUNERACION_ENEL!Z104</f>
        <v>-189185988</v>
      </c>
      <c r="AA43" s="311">
        <f>REMUNERACION_ENEL!AA104</f>
        <v>-16656.379999999997</v>
      </c>
      <c r="AB43" s="294">
        <f>REMUNERACION_ENEL!AB104</f>
        <v>16516492.25</v>
      </c>
      <c r="AC43" s="311">
        <f>REMUNERACION_ENEL!AC104</f>
        <v>521.77</v>
      </c>
      <c r="AD43" s="291">
        <f>REMUNERACION_ENEL!AD104</f>
        <v>4843399492.5799999</v>
      </c>
      <c r="AE43" s="291">
        <f>REMUNERACION_ENEL!AE104</f>
        <v>1253944827.03</v>
      </c>
      <c r="AF43" s="313">
        <f>REMUNERACION_ENEL!AF104</f>
        <v>14662609641.820002</v>
      </c>
      <c r="AG43" s="521">
        <f>REMUNERACION_ENEL!AG104</f>
        <v>0</v>
      </c>
      <c r="AH43" s="1"/>
      <c r="AI43" s="306"/>
      <c r="AM43" s="333"/>
    </row>
    <row r="44" spans="1:39" s="305" customFormat="1" x14ac:dyDescent="0.2">
      <c r="B44" s="314">
        <v>2</v>
      </c>
      <c r="C44" s="315" t="s">
        <v>11</v>
      </c>
      <c r="D44" s="291">
        <f>REMUNERACION_ENEL!D105</f>
        <v>19064501226.810005</v>
      </c>
      <c r="E44" s="292">
        <f>REMUNERACION_ENEL!E105</f>
        <v>1396129505.3300002</v>
      </c>
      <c r="F44" s="292">
        <f>REMUNERACION_ENEL!F105</f>
        <v>784878776.18999994</v>
      </c>
      <c r="G44" s="292">
        <f>REMUNERACION_ENEL!G105</f>
        <v>411247567.16000009</v>
      </c>
      <c r="H44" s="292">
        <f>REMUNERACION_ENEL!H105</f>
        <v>5582809669.8899994</v>
      </c>
      <c r="I44" s="292">
        <f>REMUNERACION_ENEL!I105</f>
        <v>216022487.64000002</v>
      </c>
      <c r="J44" s="288">
        <f>REMUNERACION_ENEL!J105</f>
        <v>-3241193714.1100001</v>
      </c>
      <c r="K44" s="295">
        <f>REMUNERACION_ENEL!K105</f>
        <v>13914606934.710005</v>
      </c>
      <c r="L44" s="294">
        <f>REMUNERACION_ENEL!L105</f>
        <v>266580256</v>
      </c>
      <c r="M44" s="295">
        <f>REMUNERACION_ENEL!M105</f>
        <v>13648026678.710005</v>
      </c>
      <c r="N44" s="294">
        <f>REMUNERACION_ENEL!N105</f>
        <v>24273229.890000001</v>
      </c>
      <c r="O44" s="295">
        <f>REMUNERACION_ENEL!O105</f>
        <v>13672299908.600004</v>
      </c>
      <c r="Q44" s="306"/>
      <c r="S44" s="314">
        <v>2</v>
      </c>
      <c r="T44" s="315" t="s">
        <v>11</v>
      </c>
      <c r="U44" s="316">
        <f>REMUNERACION_ENEL!U105</f>
        <v>1893620444.5699999</v>
      </c>
      <c r="V44" s="317">
        <f>REMUNERACION_ENEL!V105</f>
        <v>1869892249.3700001</v>
      </c>
      <c r="W44" s="317">
        <f>REMUNERACION_ENEL!W105</f>
        <v>8814809316.3799992</v>
      </c>
      <c r="X44" s="317">
        <f>REMUNERACION_ENEL!X105</f>
        <v>2749999250.0999999</v>
      </c>
      <c r="Y44" s="318">
        <f>REMUNERACION_ENEL!Y105</f>
        <v>352820304.41000003</v>
      </c>
      <c r="Z44" s="319">
        <f>REMUNERACION_ENEL!Z105</f>
        <v>-266580256</v>
      </c>
      <c r="AA44" s="320">
        <f>REMUNERACION_ENEL!AA105</f>
        <v>90135.24</v>
      </c>
      <c r="AB44" s="294">
        <f>REMUNERACION_ENEL!AB105</f>
        <v>24273229.890000001</v>
      </c>
      <c r="AC44" s="320">
        <f>REMUNERACION_ENEL!AC105</f>
        <v>-109.61</v>
      </c>
      <c r="AD44" s="291">
        <f>REMUNERACION_ENEL!AD105</f>
        <v>-1766624655.7499995</v>
      </c>
      <c r="AE44" s="291">
        <f>REMUNERACION_ENEL!AE105</f>
        <v>-5007818369.8599997</v>
      </c>
      <c r="AF44" s="322">
        <f>REMUNERACION_ENEL!AF105</f>
        <v>13672299908.599998</v>
      </c>
      <c r="AG44" s="522">
        <f>REMUNERACION_ENEL!AG105</f>
        <v>0</v>
      </c>
      <c r="AH44" s="1"/>
      <c r="AI44" s="306"/>
      <c r="AM44" s="333"/>
    </row>
    <row r="45" spans="1:39" s="305" customFormat="1" x14ac:dyDescent="0.2">
      <c r="B45" s="314">
        <v>3</v>
      </c>
      <c r="C45" s="315" t="s">
        <v>12</v>
      </c>
      <c r="D45" s="291">
        <f>REMUNERACION_ENEL!D106</f>
        <v>13976635090.370001</v>
      </c>
      <c r="E45" s="292">
        <f>REMUNERACION_ENEL!E106</f>
        <v>985637596.05999994</v>
      </c>
      <c r="F45" s="292">
        <f>REMUNERACION_ENEL!F106</f>
        <v>555973895.94999993</v>
      </c>
      <c r="G45" s="292">
        <f>REMUNERACION_ENEL!G106</f>
        <v>292056214.65000004</v>
      </c>
      <c r="H45" s="292">
        <f>REMUNERACION_ENEL!H106</f>
        <v>3381560449.0999999</v>
      </c>
      <c r="I45" s="292">
        <f>REMUNERACION_ENEL!I106</f>
        <v>124524527.32000001</v>
      </c>
      <c r="J45" s="288">
        <f>REMUNERACION_ENEL!J106</f>
        <v>-853244564.50999999</v>
      </c>
      <c r="K45" s="295">
        <f>REMUNERACION_ENEL!K106</f>
        <v>9490126971.8000011</v>
      </c>
      <c r="L45" s="294">
        <f>REMUNERACION_ENEL!L106</f>
        <v>154788536</v>
      </c>
      <c r="M45" s="295">
        <f>REMUNERACION_ENEL!M106</f>
        <v>9335338435.8000011</v>
      </c>
      <c r="N45" s="294">
        <f>REMUNERACION_ENEL!N106</f>
        <v>13030575.5</v>
      </c>
      <c r="O45" s="295">
        <f>REMUNERACION_ENEL!O106</f>
        <v>9348369011.3000011</v>
      </c>
      <c r="Q45" s="306"/>
      <c r="S45" s="314">
        <v>3</v>
      </c>
      <c r="T45" s="315" t="s">
        <v>12</v>
      </c>
      <c r="U45" s="316">
        <f>REMUNERACION_ENEL!U106</f>
        <v>1092110322.45</v>
      </c>
      <c r="V45" s="317">
        <f>REMUNERACION_ENEL!V106</f>
        <v>1072670179.5</v>
      </c>
      <c r="W45" s="317">
        <f>REMUNERACION_ENEL!W106</f>
        <v>5077455755.5400009</v>
      </c>
      <c r="X45" s="317">
        <f>REMUNERACION_ENEL!X106</f>
        <v>2292038481.0500002</v>
      </c>
      <c r="Y45" s="318">
        <f>REMUNERACION_ENEL!Y106</f>
        <v>203250483.36000001</v>
      </c>
      <c r="Z45" s="319">
        <f>REMUNERACION_ENEL!Z106</f>
        <v>-154788536</v>
      </c>
      <c r="AA45" s="320">
        <f>REMUNERACION_ENEL!AA106</f>
        <v>247376.99</v>
      </c>
      <c r="AB45" s="294">
        <f>REMUNERACION_ENEL!AB106</f>
        <v>13030575.5</v>
      </c>
      <c r="AC45" s="320">
        <f>REMUNERACION_ENEL!AC106</f>
        <v>0.94</v>
      </c>
      <c r="AD45" s="291">
        <f>REMUNERACION_ENEL!AD106</f>
        <v>-247645628.02999997</v>
      </c>
      <c r="AE45" s="291">
        <f>REMUNERACION_ENEL!AE106</f>
        <v>-1100890192.54</v>
      </c>
      <c r="AF45" s="322">
        <f>REMUNERACION_ENEL!AF106</f>
        <v>9348369011.3000011</v>
      </c>
      <c r="AG45" s="522">
        <f>REMUNERACION_ENEL!AG106</f>
        <v>0</v>
      </c>
      <c r="AH45" s="1"/>
      <c r="AI45" s="306"/>
      <c r="AM45" s="333"/>
    </row>
    <row r="46" spans="1:39" s="305" customFormat="1" x14ac:dyDescent="0.2">
      <c r="B46" s="314">
        <v>4</v>
      </c>
      <c r="C46" s="315" t="s">
        <v>13</v>
      </c>
      <c r="D46" s="291">
        <f>REMUNERACION_ENEL!D107</f>
        <v>6619403672.6899996</v>
      </c>
      <c r="E46" s="292">
        <f>REMUNERACION_ENEL!E107</f>
        <v>409065767.94999999</v>
      </c>
      <c r="F46" s="292">
        <f>REMUNERACION_ENEL!F107</f>
        <v>229023916.59999999</v>
      </c>
      <c r="G46" s="292">
        <f>REMUNERACION_ENEL!G107</f>
        <v>119897084.47999999</v>
      </c>
      <c r="H46" s="292">
        <f>REMUNERACION_ENEL!H107</f>
        <v>1538751149.1300001</v>
      </c>
      <c r="I46" s="292">
        <f>REMUNERACION_ENEL!I107</f>
        <v>60407359.210000001</v>
      </c>
      <c r="J46" s="288">
        <f>REMUNERACION_ENEL!J107</f>
        <v>-699882713.37000012</v>
      </c>
      <c r="K46" s="295">
        <f>REMUNERACION_ENEL!K107</f>
        <v>4962141108.6899996</v>
      </c>
      <c r="L46" s="294">
        <f>REMUNERACION_ENEL!L107</f>
        <v>120391083</v>
      </c>
      <c r="M46" s="295">
        <f>REMUNERACION_ENEL!M107</f>
        <v>4841750025.6899996</v>
      </c>
      <c r="N46" s="294">
        <f>REMUNERACION_ENEL!N107</f>
        <v>19208887.530000001</v>
      </c>
      <c r="O46" s="295">
        <f>REMUNERACION_ENEL!O107</f>
        <v>4860958913.2199993</v>
      </c>
      <c r="Q46" s="306"/>
      <c r="S46" s="314">
        <v>4</v>
      </c>
      <c r="T46" s="315" t="s">
        <v>13</v>
      </c>
      <c r="U46" s="316">
        <f>REMUNERACION_ENEL!U107</f>
        <v>528790659.44</v>
      </c>
      <c r="V46" s="317">
        <f>REMUNERACION_ENEL!V107</f>
        <v>522948481.87</v>
      </c>
      <c r="W46" s="317">
        <f>REMUNERACION_ENEL!W107</f>
        <v>2676043606.7200003</v>
      </c>
      <c r="X46" s="317">
        <f>REMUNERACION_ENEL!X107</f>
        <v>1082748026.71</v>
      </c>
      <c r="Y46" s="318">
        <f>REMUNERACION_ENEL!Y107</f>
        <v>98745519.159999996</v>
      </c>
      <c r="Z46" s="319">
        <f>REMUNERACION_ENEL!Z107</f>
        <v>-120391083</v>
      </c>
      <c r="AA46" s="320">
        <f>REMUNERACION_ENEL!AA107</f>
        <v>-16918.300000000003</v>
      </c>
      <c r="AB46" s="294">
        <f>REMUNERACION_ENEL!AB107</f>
        <v>19208887.530000001</v>
      </c>
      <c r="AC46" s="320">
        <f>REMUNERACION_ENEL!AC107</f>
        <v>-448.53000000000003</v>
      </c>
      <c r="AD46" s="291">
        <f>REMUNERACION_ENEL!AD107</f>
        <v>52882181.620000005</v>
      </c>
      <c r="AE46" s="291">
        <f>REMUNERACION_ENEL!AE107</f>
        <v>-647000531.75000012</v>
      </c>
      <c r="AF46" s="322">
        <f>REMUNERACION_ENEL!AF107</f>
        <v>4860958913.2199993</v>
      </c>
      <c r="AG46" s="522">
        <f>REMUNERACION_ENEL!AG107</f>
        <v>0</v>
      </c>
      <c r="AH46" s="1"/>
      <c r="AI46" s="306"/>
      <c r="AM46" s="333"/>
    </row>
    <row r="47" spans="1:39" s="305" customFormat="1" ht="12.75" thickBot="1" x14ac:dyDescent="0.25">
      <c r="B47" s="324">
        <v>5</v>
      </c>
      <c r="C47" s="325" t="s">
        <v>14</v>
      </c>
      <c r="D47" s="296">
        <f>REMUNERACION_ENEL!D108</f>
        <v>11722516106.639999</v>
      </c>
      <c r="E47" s="297">
        <f>REMUNERACION_ENEL!E108</f>
        <v>698148323.5</v>
      </c>
      <c r="F47" s="297">
        <f>REMUNERACION_ENEL!F108</f>
        <v>393737772.47000003</v>
      </c>
      <c r="G47" s="297">
        <f>REMUNERACION_ENEL!G108</f>
        <v>206413295.53999999</v>
      </c>
      <c r="H47" s="297">
        <f>REMUNERACION_ENEL!H108</f>
        <v>2744218164.2200003</v>
      </c>
      <c r="I47" s="297">
        <f>REMUNERACION_ENEL!I108</f>
        <v>104708073.91000001</v>
      </c>
      <c r="J47" s="289">
        <f>REMUNERACION_ENEL!J108</f>
        <v>-82959023.660000086</v>
      </c>
      <c r="K47" s="295">
        <f>REMUNERACION_ENEL!K108</f>
        <v>7658249500.6599989</v>
      </c>
      <c r="L47" s="294">
        <f>REMUNERACION_ENEL!L108</f>
        <v>128990446</v>
      </c>
      <c r="M47" s="298">
        <f>REMUNERACION_ENEL!M108</f>
        <v>7529259054.6599989</v>
      </c>
      <c r="N47" s="299">
        <f>REMUNERACION_ENEL!N108</f>
        <v>8997077.0999999996</v>
      </c>
      <c r="O47" s="298">
        <f>REMUNERACION_ENEL!O108</f>
        <v>7538256131.7599993</v>
      </c>
      <c r="Q47" s="306"/>
      <c r="S47" s="324">
        <v>5</v>
      </c>
      <c r="T47" s="325" t="s">
        <v>14</v>
      </c>
      <c r="U47" s="296">
        <f>REMUNERACION_ENEL!U108</f>
        <v>917978792.29999995</v>
      </c>
      <c r="V47" s="297">
        <f>REMUNERACION_ENEL!V108</f>
        <v>899476756.96000004</v>
      </c>
      <c r="W47" s="297">
        <f>REMUNERACION_ENEL!W108</f>
        <v>4621907148.9099998</v>
      </c>
      <c r="X47" s="297">
        <f>REMUNERACION_ENEL!X108</f>
        <v>2074170432.3500001</v>
      </c>
      <c r="Y47" s="289">
        <f>REMUNERACION_ENEL!Y108</f>
        <v>170858536.44999999</v>
      </c>
      <c r="Z47" s="319">
        <f>REMUNERACION_ENEL!Z108</f>
        <v>-128990446</v>
      </c>
      <c r="AA47" s="320">
        <f>REMUNERACION_ENEL!AA108</f>
        <v>-147049.65</v>
      </c>
      <c r="AB47" s="294">
        <f>REMUNERACION_ENEL!AB108</f>
        <v>8997077.0999999996</v>
      </c>
      <c r="AC47" s="320">
        <f>REMUNERACION_ENEL!AC108</f>
        <v>-33.33</v>
      </c>
      <c r="AD47" s="291">
        <f>REMUNERACION_ENEL!AD108</f>
        <v>-1025995083.3299999</v>
      </c>
      <c r="AE47" s="291">
        <f>REMUNERACION_ENEL!AE108</f>
        <v>-1108954106.99</v>
      </c>
      <c r="AF47" s="322">
        <f>REMUNERACION_ENEL!AF108</f>
        <v>7538256131.7600021</v>
      </c>
      <c r="AG47" s="523">
        <f>REMUNERACION_ENEL!AG108</f>
        <v>0</v>
      </c>
      <c r="AH47" s="1"/>
      <c r="AI47" s="306"/>
      <c r="AM47" s="333"/>
    </row>
    <row r="48" spans="1:39" s="305" customFormat="1" ht="13.5" thickBot="1" x14ac:dyDescent="0.25">
      <c r="B48" s="327"/>
      <c r="C48" s="328" t="s">
        <v>2</v>
      </c>
      <c r="D48" s="290">
        <f>REMUNERACION_ENEL!D109</f>
        <v>68026235701.290009</v>
      </c>
      <c r="E48" s="290">
        <f>REMUNERACION_ENEL!E109</f>
        <v>4296876491.8400002</v>
      </c>
      <c r="F48" s="290">
        <f>REMUNERACION_ENEL!F109</f>
        <v>2419526864.7199993</v>
      </c>
      <c r="G48" s="290">
        <f>REMUNERACION_ENEL!G109</f>
        <v>1268943941.71</v>
      </c>
      <c r="H48" s="290">
        <f>REMUNERACION_ENEL!H109</f>
        <v>17008897229.09</v>
      </c>
      <c r="I48" s="290">
        <f>REMUNERACION_ENEL!I109</f>
        <v>638322201.70000005</v>
      </c>
      <c r="J48" s="290">
        <f>REMUNERACION_ENEL!J109</f>
        <v>-8466734681.1999998</v>
      </c>
      <c r="K48" s="300">
        <f>REMUNERACION_ENEL!K109</f>
        <v>50860403653.43</v>
      </c>
      <c r="L48" s="301">
        <f>REMUNERACION_ENEL!L109</f>
        <v>859936309</v>
      </c>
      <c r="M48" s="302">
        <f>REMUNERACION_ENEL!M109</f>
        <v>50000467344.43</v>
      </c>
      <c r="N48" s="301">
        <f>REMUNERACION_ENEL!N109</f>
        <v>82026262.269999996</v>
      </c>
      <c r="O48" s="302">
        <f>REMUNERACION_ENEL!O109</f>
        <v>50082493606.700005</v>
      </c>
      <c r="P48" s="329"/>
      <c r="Q48" s="306"/>
      <c r="S48" s="327"/>
      <c r="T48" s="328" t="s">
        <v>2</v>
      </c>
      <c r="U48" s="330">
        <f>REMUNERACION_ENEL!U109</f>
        <v>5599929916.6899996</v>
      </c>
      <c r="V48" s="330">
        <f>REMUNERACION_ENEL!V109</f>
        <v>5484839011.8900003</v>
      </c>
      <c r="W48" s="330">
        <f>REMUNERACION_ENEL!W109</f>
        <v>26489296886.760002</v>
      </c>
      <c r="X48" s="330">
        <f>REMUNERACION_ENEL!X109</f>
        <v>10388202960.84</v>
      </c>
      <c r="Y48" s="330">
        <f>REMUNERACION_ENEL!Y109</f>
        <v>1041961751.02</v>
      </c>
      <c r="Z48" s="290">
        <f>REMUNERACION_ENEL!Z109</f>
        <v>-859936309</v>
      </c>
      <c r="AA48" s="290">
        <f>REMUNERACION_ENEL!AA109</f>
        <v>156887.9</v>
      </c>
      <c r="AB48" s="290">
        <f>REMUNERACION_ENEL!AB109</f>
        <v>82026262.269999996</v>
      </c>
      <c r="AC48" s="290">
        <f>REMUNERACION_ENEL!AC109</f>
        <v>-68.760000000000062</v>
      </c>
      <c r="AD48" s="290">
        <f>REMUNERACION_ENEL!AD109</f>
        <v>1856016307.0900002</v>
      </c>
      <c r="AE48" s="290">
        <f>REMUNERACION_ENEL!AE109</f>
        <v>-6610718374.1099997</v>
      </c>
      <c r="AF48" s="331">
        <f>REMUNERACION_ENEL!AF109</f>
        <v>50082493606.700005</v>
      </c>
      <c r="AG48" s="524">
        <f>REMUNERACION_ENEL!AG109</f>
        <v>0</v>
      </c>
      <c r="AH48" s="1"/>
      <c r="AI48" s="306"/>
      <c r="AM48" s="333"/>
    </row>
    <row r="49" spans="1:39" x14ac:dyDescent="0.2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x14ac:dyDescent="0.2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x14ac:dyDescent="0.2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x14ac:dyDescent="0.2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x14ac:dyDescent="0.2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x14ac:dyDescent="0.2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x14ac:dyDescent="0.2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75" thickBot="1" x14ac:dyDescent="0.25">
      <c r="B64" s="324">
        <v>5</v>
      </c>
      <c r="C64" s="325" t="s">
        <v>14</v>
      </c>
      <c r="D64" s="291">
        <f>REMUNERACION_ENERBIT!D108</f>
        <v>33106622.48</v>
      </c>
      <c r="E64" s="291">
        <f>REMUNERACION_ENERBIT!E108</f>
        <v>2354015.58</v>
      </c>
      <c r="F64" s="291">
        <f>REMUNERACION_ENERBIT!F108</f>
        <v>1304933.33</v>
      </c>
      <c r="G64" s="291">
        <f>REMUNERACION_ENERBIT!G108</f>
        <v>678365.21</v>
      </c>
      <c r="H64" s="291">
        <f>REMUNERACION_ENERBIT!H108</f>
        <v>8664264.7300000004</v>
      </c>
      <c r="I64" s="291">
        <f>REMUNERACION_ENERBIT!I108</f>
        <v>306609.89</v>
      </c>
      <c r="J64" s="291">
        <f>REMUNERACION_ENERBIT!J108</f>
        <v>0</v>
      </c>
      <c r="K64" s="295">
        <f>REMUNERACION_ENERBIT!K108</f>
        <v>19798433.739999998</v>
      </c>
      <c r="L64" s="294">
        <f>REMUNERACION_ENERBIT!L108</f>
        <v>0</v>
      </c>
      <c r="M64" s="298">
        <f>REMUNERACION_ENERBIT!M108</f>
        <v>19798433.739999998</v>
      </c>
      <c r="N64" s="299">
        <f>REMUNERACION_ENERBIT!N108</f>
        <v>0</v>
      </c>
      <c r="O64" s="298">
        <f>REMUNERACION_ENERBIT!O108</f>
        <v>19798433.739999998</v>
      </c>
      <c r="Q64" s="306"/>
      <c r="S64" s="324">
        <v>5</v>
      </c>
      <c r="T64" s="325" t="s">
        <v>14</v>
      </c>
      <c r="U64" s="296">
        <f>REMUNERACION_ENERBIT!U108</f>
        <v>2695565.9899999998</v>
      </c>
      <c r="V64" s="297">
        <f>REMUNERACION_ENERBIT!V108</f>
        <v>2662800.6100000003</v>
      </c>
      <c r="W64" s="297">
        <f>REMUNERACION_ENERBIT!W108</f>
        <v>13468229.43</v>
      </c>
      <c r="X64" s="297">
        <f>REMUNERACION_ENERBIT!X108</f>
        <v>6732768.6600000001</v>
      </c>
      <c r="Y64" s="289">
        <f>REMUNERACION_ENERBIT!Y108</f>
        <v>496966.43</v>
      </c>
      <c r="Z64" s="289">
        <f>REMUNERACION_ENERBIT!Z108</f>
        <v>0</v>
      </c>
      <c r="AA64" s="289">
        <f>REMUNERACION_ENERBIT!AA108</f>
        <v>65.34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-6257962.7199999997</v>
      </c>
      <c r="AE64" s="289">
        <f>REMUNERACION_ENERBIT!AE108</f>
        <v>-6257962.7199999997</v>
      </c>
      <c r="AF64" s="322">
        <f>REMUNERACION_ENERBIT!AF108</f>
        <v>19798433.740000002</v>
      </c>
      <c r="AG64" s="523">
        <f>REMUNERACION_ENEL!AG125</f>
        <v>0</v>
      </c>
      <c r="AH64" s="1"/>
      <c r="AI64" s="306"/>
      <c r="AM64" s="333"/>
    </row>
    <row r="65" spans="1:39" s="305" customFormat="1" ht="13.5" thickBot="1" x14ac:dyDescent="0.25">
      <c r="B65" s="327"/>
      <c r="C65" s="328" t="s">
        <v>2</v>
      </c>
      <c r="D65" s="290">
        <f>REMUNERACION_ENERBIT!D109</f>
        <v>33106622.48</v>
      </c>
      <c r="E65" s="290">
        <f>REMUNERACION_ENERBIT!E109</f>
        <v>2354015.58</v>
      </c>
      <c r="F65" s="290">
        <f>REMUNERACION_ENERBIT!F109</f>
        <v>1304933.33</v>
      </c>
      <c r="G65" s="290">
        <f>REMUNERACION_ENERBIT!G109</f>
        <v>678365.21</v>
      </c>
      <c r="H65" s="290">
        <f>REMUNERACION_ENERBIT!H109</f>
        <v>8664264.7300000004</v>
      </c>
      <c r="I65" s="290">
        <f>REMUNERACION_ENERBIT!I109</f>
        <v>306609.89</v>
      </c>
      <c r="J65" s="290">
        <f>REMUNERACION_ENERBIT!J109</f>
        <v>0</v>
      </c>
      <c r="K65" s="300">
        <f>REMUNERACION_ENERBIT!K109</f>
        <v>19798433.739999998</v>
      </c>
      <c r="L65" s="301">
        <f>REMUNERACION_ENERBIT!L109</f>
        <v>0</v>
      </c>
      <c r="M65" s="302">
        <f>REMUNERACION_ENERBIT!M109</f>
        <v>19798433.739999998</v>
      </c>
      <c r="N65" s="301">
        <f>REMUNERACION_ENERBIT!N109</f>
        <v>0</v>
      </c>
      <c r="O65" s="302">
        <f>REMUNERACION_ENERBIT!O109</f>
        <v>19798433.739999998</v>
      </c>
      <c r="P65" s="329"/>
      <c r="Q65" s="306"/>
      <c r="S65" s="327"/>
      <c r="T65" s="328" t="s">
        <v>2</v>
      </c>
      <c r="U65" s="330">
        <f>REMUNERACION_ENERBIT!U109</f>
        <v>2695565.9899999998</v>
      </c>
      <c r="V65" s="330">
        <f>REMUNERACION_ENERBIT!V109</f>
        <v>2662800.6100000003</v>
      </c>
      <c r="W65" s="330">
        <f>REMUNERACION_ENERBIT!W109</f>
        <v>13468229.43</v>
      </c>
      <c r="X65" s="330">
        <f>REMUNERACION_ENERBIT!X109</f>
        <v>6732768.6600000001</v>
      </c>
      <c r="Y65" s="330">
        <f>REMUNERACION_ENERBIT!Y109</f>
        <v>496966.43</v>
      </c>
      <c r="Z65" s="330">
        <f>REMUNERACION_ENERBIT!Z109</f>
        <v>0</v>
      </c>
      <c r="AA65" s="330">
        <f>REMUNERACION_ENERBIT!AA109</f>
        <v>65.34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-6257962.7199999997</v>
      </c>
      <c r="AE65" s="330">
        <f>REMUNERACION_ENERBIT!AE109</f>
        <v>-6257962.7199999997</v>
      </c>
      <c r="AF65" s="331">
        <f>REMUNERACION_ENERBIT!AF109</f>
        <v>19798433.740000002</v>
      </c>
      <c r="AG65" s="524">
        <f>REMUNERACION_ENEL!AG126</f>
        <v>0</v>
      </c>
      <c r="AH65" s="1"/>
      <c r="AI65" s="306"/>
      <c r="AM65" s="333"/>
    </row>
    <row r="66" spans="1:39" x14ac:dyDescent="0.2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x14ac:dyDescent="0.2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75" thickBot="1" x14ac:dyDescent="0.25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x14ac:dyDescent="0.2">
      <c r="B76" s="303">
        <v>1</v>
      </c>
      <c r="C76" s="304" t="s">
        <v>10</v>
      </c>
      <c r="D76" s="291">
        <f>'REMUNERACION_OCCIDENTE_ Directa'!D104</f>
        <v>807049068.57000017</v>
      </c>
      <c r="E76" s="292">
        <f>'REMUNERACION_OCCIDENTE_ Directa'!E104</f>
        <v>99193733.159999996</v>
      </c>
      <c r="F76" s="292">
        <f>'REMUNERACION_OCCIDENTE_ Directa'!F104</f>
        <v>55706578.209999993</v>
      </c>
      <c r="G76" s="292">
        <f>'REMUNERACION_OCCIDENTE_ Directa'!G104</f>
        <v>29360739.059999999</v>
      </c>
      <c r="H76" s="292">
        <f>'REMUNERACION_OCCIDENTE_ Directa'!H104</f>
        <v>53694460.149999999</v>
      </c>
      <c r="I76" s="292">
        <f>'REMUNERACION_OCCIDENTE_ Directa'!I104</f>
        <v>1708389.85</v>
      </c>
      <c r="J76" s="288">
        <f>'REMUNERACION_OCCIDENTE_ Directa'!J104</f>
        <v>0</v>
      </c>
      <c r="K76" s="293">
        <f>'REMUNERACION_OCCIDENTE_ Directa'!K104</f>
        <v>567385168.14000022</v>
      </c>
      <c r="L76" s="294">
        <f>'REMUNERACION_OCCIDENTE_ Directa'!L104</f>
        <v>0</v>
      </c>
      <c r="M76" s="293">
        <f>'REMUNERACION_OCCIDENTE_ Directa'!M104</f>
        <v>567385168.14000022</v>
      </c>
      <c r="N76" s="294">
        <f>'REMUNERACION_OCCIDENTE_ Directa'!N104</f>
        <v>8760824.0099999998</v>
      </c>
      <c r="O76" s="293">
        <f>'REMUNERACION_OCCIDENTE_ Directa'!O104</f>
        <v>576145992.15000021</v>
      </c>
      <c r="Q76" s="306"/>
      <c r="S76" s="303">
        <v>1</v>
      </c>
      <c r="T76" s="304" t="s">
        <v>10</v>
      </c>
      <c r="U76" s="307">
        <f>'REMUNERACION_OCCIDENTE_ Directa'!U104</f>
        <v>15073165.450000001</v>
      </c>
      <c r="V76" s="308">
        <f>'REMUNERACION_OCCIDENTE_ Directa'!V104</f>
        <v>18351766.840000004</v>
      </c>
      <c r="W76" s="308">
        <f>'REMUNERACION_OCCIDENTE_ Directa'!W104</f>
        <v>85158116.140000001</v>
      </c>
      <c r="X76" s="308">
        <f>'REMUNERACION_OCCIDENTE_ Directa'!X104</f>
        <v>271402094.66000003</v>
      </c>
      <c r="Y76" s="309">
        <f>'REMUNERACION_OCCIDENTE_ Directa'!Y104</f>
        <v>2783141.35</v>
      </c>
      <c r="Z76" s="310">
        <f>'REMUNERACION_OCCIDENTE_ Directa'!Z104</f>
        <v>0</v>
      </c>
      <c r="AA76" s="311">
        <f>'REMUNERACION_OCCIDENTE_ Directa'!AA104</f>
        <v>-864.44</v>
      </c>
      <c r="AB76" s="294">
        <f>'REMUNERACION_OCCIDENTE_ Directa'!AB104</f>
        <v>8760824.0099999998</v>
      </c>
      <c r="AC76" s="311">
        <f>'REMUNERACION_OCCIDENTE_ Directa'!AC104</f>
        <v>-2114.38</v>
      </c>
      <c r="AD76" s="291">
        <f>'REMUNERACION_OCCIDENTE_ Directa'!AD104</f>
        <v>174619862.51999998</v>
      </c>
      <c r="AE76" s="291">
        <f>'REMUNERACION_OCCIDENTE_ Directa'!AE104</f>
        <v>174619862.51999998</v>
      </c>
      <c r="AF76" s="313">
        <f>'REMUNERACION_OCCIDENTE_ Directa'!AF104</f>
        <v>576145992.1500001</v>
      </c>
      <c r="AG76" s="521">
        <f>'REMUNERACION_OCCIDENTE_ Directa'!AG104</f>
        <v>0</v>
      </c>
      <c r="AH76" s="1"/>
      <c r="AI76" s="306"/>
      <c r="AM76" s="333"/>
    </row>
    <row r="77" spans="1:39" s="305" customFormat="1" x14ac:dyDescent="0.2">
      <c r="B77" s="314">
        <v>2</v>
      </c>
      <c r="C77" s="315" t="s">
        <v>11</v>
      </c>
      <c r="D77" s="291">
        <f>'REMUNERACION_OCCIDENTE_ Directa'!D105</f>
        <v>1404601147.78</v>
      </c>
      <c r="E77" s="292">
        <f>'REMUNERACION_OCCIDENTE_ Directa'!E105</f>
        <v>183955211.98000002</v>
      </c>
      <c r="F77" s="292">
        <f>'REMUNERACION_OCCIDENTE_ Directa'!F105</f>
        <v>102944599.42999999</v>
      </c>
      <c r="G77" s="292">
        <f>'REMUNERACION_OCCIDENTE_ Directa'!G105</f>
        <v>54335275.669999994</v>
      </c>
      <c r="H77" s="292">
        <f>'REMUNERACION_OCCIDENTE_ Directa'!H105</f>
        <v>214011816.64000002</v>
      </c>
      <c r="I77" s="292">
        <f>'REMUNERACION_OCCIDENTE_ Directa'!I105</f>
        <v>5870826.8500000006</v>
      </c>
      <c r="J77" s="288">
        <f>'REMUNERACION_OCCIDENTE_ Directa'!J105</f>
        <v>0</v>
      </c>
      <c r="K77" s="295">
        <f>'REMUNERACION_OCCIDENTE_ Directa'!K105</f>
        <v>843483417.20999992</v>
      </c>
      <c r="L77" s="294">
        <f>'REMUNERACION_OCCIDENTE_ Directa'!L105</f>
        <v>0</v>
      </c>
      <c r="M77" s="295">
        <f>'REMUNERACION_OCCIDENTE_ Directa'!M105</f>
        <v>843483417.20999992</v>
      </c>
      <c r="N77" s="294">
        <f>'REMUNERACION_OCCIDENTE_ Directa'!N105</f>
        <v>29180991.390000001</v>
      </c>
      <c r="O77" s="295">
        <f>'REMUNERACION_OCCIDENTE_ Directa'!O105</f>
        <v>872664408.5999999</v>
      </c>
      <c r="Q77" s="306"/>
      <c r="S77" s="314">
        <v>2</v>
      </c>
      <c r="T77" s="315" t="s">
        <v>11</v>
      </c>
      <c r="U77" s="316">
        <f>'REMUNERACION_OCCIDENTE_ Directa'!U105</f>
        <v>51434199.740000002</v>
      </c>
      <c r="V77" s="317">
        <f>'REMUNERACION_OCCIDENTE_ Directa'!V105</f>
        <v>70337397.799999997</v>
      </c>
      <c r="W77" s="317">
        <f>'REMUNERACION_OCCIDENTE_ Directa'!W105</f>
        <v>321021887.77000004</v>
      </c>
      <c r="X77" s="317">
        <f>'REMUNERACION_OCCIDENTE_ Directa'!X105</f>
        <v>381196564.10999995</v>
      </c>
      <c r="Y77" s="318">
        <f>'REMUNERACION_OCCIDENTE_ Directa'!Y105</f>
        <v>9471108.7799999993</v>
      </c>
      <c r="Z77" s="319">
        <f>'REMUNERACION_OCCIDENTE_ Directa'!Z105</f>
        <v>0</v>
      </c>
      <c r="AA77" s="320">
        <f>'REMUNERACION_OCCIDENTE_ Directa'!AA105</f>
        <v>-3277.8299999999995</v>
      </c>
      <c r="AB77" s="294">
        <f>'REMUNERACION_OCCIDENTE_ Directa'!AB105</f>
        <v>29180991.390000001</v>
      </c>
      <c r="AC77" s="320">
        <f>'REMUNERACION_OCCIDENTE_ Directa'!AC105</f>
        <v>-13.53</v>
      </c>
      <c r="AD77" s="291">
        <f>'REMUNERACION_OCCIDENTE_ Directa'!AD105</f>
        <v>10025550.370000001</v>
      </c>
      <c r="AE77" s="291">
        <f>'REMUNERACION_OCCIDENTE_ Directa'!AE105</f>
        <v>10025550.370000001</v>
      </c>
      <c r="AF77" s="322">
        <f>'REMUNERACION_OCCIDENTE_ Directa'!AF105</f>
        <v>872664408.60000002</v>
      </c>
      <c r="AG77" s="522">
        <f>'REMUNERACION_OCCIDENTE_ Directa'!AG105</f>
        <v>0</v>
      </c>
      <c r="AH77" s="1"/>
      <c r="AI77" s="306"/>
      <c r="AM77" s="333"/>
    </row>
    <row r="78" spans="1:39" s="305" customFormat="1" x14ac:dyDescent="0.2">
      <c r="B78" s="314">
        <v>3</v>
      </c>
      <c r="C78" s="315" t="s">
        <v>12</v>
      </c>
      <c r="D78" s="291">
        <f>'REMUNERACION_OCCIDENTE_ Directa'!D106</f>
        <v>1245261377.0799999</v>
      </c>
      <c r="E78" s="292">
        <f>'REMUNERACION_OCCIDENTE_ Directa'!E106</f>
        <v>169179321.98000002</v>
      </c>
      <c r="F78" s="292">
        <f>'REMUNERACION_OCCIDENTE_ Directa'!F106</f>
        <v>94674360.829999998</v>
      </c>
      <c r="G78" s="292">
        <f>'REMUNERACION_OCCIDENTE_ Directa'!G106</f>
        <v>50112712.770000003</v>
      </c>
      <c r="H78" s="292">
        <f>'REMUNERACION_OCCIDENTE_ Directa'!H106</f>
        <v>37910837.479999997</v>
      </c>
      <c r="I78" s="292">
        <f>'REMUNERACION_OCCIDENTE_ Directa'!I106</f>
        <v>1165755.6399999999</v>
      </c>
      <c r="J78" s="288">
        <f>'REMUNERACION_OCCIDENTE_ Directa'!J106</f>
        <v>0</v>
      </c>
      <c r="K78" s="295">
        <f>'REMUNERACION_OCCIDENTE_ Directa'!K106</f>
        <v>892218388.37999988</v>
      </c>
      <c r="L78" s="294">
        <f>'REMUNERACION_OCCIDENTE_ Directa'!L106</f>
        <v>0</v>
      </c>
      <c r="M78" s="295">
        <f>'REMUNERACION_OCCIDENTE_ Directa'!M106</f>
        <v>892218388.37999988</v>
      </c>
      <c r="N78" s="294">
        <f>'REMUNERACION_OCCIDENTE_ Directa'!N106</f>
        <v>1311387.82</v>
      </c>
      <c r="O78" s="295">
        <f>'REMUNERACION_OCCIDENTE_ Directa'!O106</f>
        <v>893529776.19999993</v>
      </c>
      <c r="Q78" s="306"/>
      <c r="S78" s="314">
        <v>3</v>
      </c>
      <c r="T78" s="315" t="s">
        <v>12</v>
      </c>
      <c r="U78" s="316">
        <f>'REMUNERACION_OCCIDENTE_ Directa'!U106</f>
        <v>10225267.880000001</v>
      </c>
      <c r="V78" s="317">
        <f>'REMUNERACION_OCCIDENTE_ Directa'!V106</f>
        <v>13794028.73</v>
      </c>
      <c r="W78" s="317">
        <f>'REMUNERACION_OCCIDENTE_ Directa'!W106</f>
        <v>64505492.360000007</v>
      </c>
      <c r="X78" s="317">
        <f>'REMUNERACION_OCCIDENTE_ Directa'!X106</f>
        <v>393819035.60999995</v>
      </c>
      <c r="Y78" s="318">
        <f>'REMUNERACION_OCCIDENTE_ Directa'!Y106</f>
        <v>1909745.96</v>
      </c>
      <c r="Z78" s="319">
        <f>'REMUNERACION_OCCIDENTE_ Directa'!Z106</f>
        <v>0</v>
      </c>
      <c r="AA78" s="320">
        <f>'REMUNERACION_OCCIDENTE_ Directa'!AA106</f>
        <v>-972.41000000000008</v>
      </c>
      <c r="AB78" s="294">
        <f>'REMUNERACION_OCCIDENTE_ Directa'!AB106</f>
        <v>1311387.82</v>
      </c>
      <c r="AC78" s="320">
        <f>'REMUNERACION_OCCIDENTE_ Directa'!AC106</f>
        <v>-11886.56</v>
      </c>
      <c r="AD78" s="291">
        <f>'REMUNERACION_OCCIDENTE_ Directa'!AD106</f>
        <v>407977676.81</v>
      </c>
      <c r="AE78" s="291">
        <f>'REMUNERACION_OCCIDENTE_ Directa'!AE106</f>
        <v>407977676.81</v>
      </c>
      <c r="AF78" s="322">
        <f>'REMUNERACION_OCCIDENTE_ Directa'!AF106</f>
        <v>893529776.19999981</v>
      </c>
      <c r="AG78" s="522">
        <f>'REMUNERACION_OCCIDENTE_ Directa'!AG106</f>
        <v>0</v>
      </c>
      <c r="AH78" s="1"/>
      <c r="AI78" s="306"/>
      <c r="AM78" s="333"/>
    </row>
    <row r="79" spans="1:39" s="305" customFormat="1" x14ac:dyDescent="0.2">
      <c r="B79" s="314">
        <v>4</v>
      </c>
      <c r="C79" s="315" t="s">
        <v>13</v>
      </c>
      <c r="D79" s="291">
        <f>'REMUNERACION_OCCIDENTE_ Directa'!D107</f>
        <v>488724679.72000009</v>
      </c>
      <c r="E79" s="292">
        <f>'REMUNERACION_OCCIDENTE_ Directa'!E107</f>
        <v>55203155.700000003</v>
      </c>
      <c r="F79" s="292">
        <f>'REMUNERACION_OCCIDENTE_ Directa'!F107</f>
        <v>30345126.150000002</v>
      </c>
      <c r="G79" s="292">
        <f>'REMUNERACION_OCCIDENTE_ Directa'!G107</f>
        <v>15489479.65</v>
      </c>
      <c r="H79" s="292">
        <f>'REMUNERACION_OCCIDENTE_ Directa'!H107</f>
        <v>57754003.020000003</v>
      </c>
      <c r="I79" s="292">
        <f>'REMUNERACION_OCCIDENTE_ Directa'!I107</f>
        <v>1909778.2499999998</v>
      </c>
      <c r="J79" s="288">
        <f>'REMUNERACION_OCCIDENTE_ Directa'!J107</f>
        <v>0</v>
      </c>
      <c r="K79" s="295">
        <f>'REMUNERACION_OCCIDENTE_ Directa'!K107</f>
        <v>328023136.95000017</v>
      </c>
      <c r="L79" s="294">
        <f>'REMUNERACION_OCCIDENTE_ Directa'!L107</f>
        <v>0</v>
      </c>
      <c r="M79" s="295">
        <f>'REMUNERACION_OCCIDENTE_ Directa'!M107</f>
        <v>328023136.95000017</v>
      </c>
      <c r="N79" s="294">
        <f>'REMUNERACION_OCCIDENTE_ Directa'!N107</f>
        <v>14919457.4</v>
      </c>
      <c r="O79" s="295">
        <f>'REMUNERACION_OCCIDENTE_ Directa'!O107</f>
        <v>342942594.35000014</v>
      </c>
      <c r="Q79" s="306"/>
      <c r="S79" s="314">
        <v>4</v>
      </c>
      <c r="T79" s="315" t="s">
        <v>13</v>
      </c>
      <c r="U79" s="316">
        <f>'REMUNERACION_OCCIDENTE_ Directa'!U107</f>
        <v>18153635.699999999</v>
      </c>
      <c r="V79" s="317">
        <f>'REMUNERACION_OCCIDENTE_ Directa'!V107</f>
        <v>22508162.759999998</v>
      </c>
      <c r="W79" s="317">
        <f>'REMUNERACION_OCCIDENTE_ Directa'!W107</f>
        <v>110934136.67000002</v>
      </c>
      <c r="X79" s="317">
        <f>'REMUNERACION_OCCIDENTE_ Directa'!X107</f>
        <v>146478227.43000004</v>
      </c>
      <c r="Y79" s="318">
        <f>'REMUNERACION_OCCIDENTE_ Directa'!Y107</f>
        <v>3110743.9899999998</v>
      </c>
      <c r="Z79" s="319">
        <f>'REMUNERACION_OCCIDENTE_ Directa'!Z107</f>
        <v>0</v>
      </c>
      <c r="AA79" s="320">
        <f>'REMUNERACION_OCCIDENTE_ Directa'!AA107</f>
        <v>602.99999999999989</v>
      </c>
      <c r="AB79" s="294">
        <f>'REMUNERACION_OCCIDENTE_ Directa'!AB107</f>
        <v>14919457.4</v>
      </c>
      <c r="AC79" s="320">
        <f>'REMUNERACION_OCCIDENTE_ Directa'!AC107</f>
        <v>-80.570000000000007</v>
      </c>
      <c r="AD79" s="291">
        <f>'REMUNERACION_OCCIDENTE_ Directa'!AD107</f>
        <v>26837707.969999999</v>
      </c>
      <c r="AE79" s="291">
        <f>'REMUNERACION_OCCIDENTE_ Directa'!AE107</f>
        <v>26837707.969999999</v>
      </c>
      <c r="AF79" s="322">
        <f>'REMUNERACION_OCCIDENTE_ Directa'!AF107</f>
        <v>342942594.35000002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75" thickBot="1" x14ac:dyDescent="0.25">
      <c r="B80" s="324">
        <v>5</v>
      </c>
      <c r="C80" s="325" t="s">
        <v>14</v>
      </c>
      <c r="D80" s="296">
        <f>'REMUNERACION_OCCIDENTE_ Directa'!D108</f>
        <v>317721932.47000003</v>
      </c>
      <c r="E80" s="297">
        <f>'REMUNERACION_OCCIDENTE_ Directa'!E108</f>
        <v>31184102.540000003</v>
      </c>
      <c r="F80" s="297">
        <f>'REMUNERACION_OCCIDENTE_ Directa'!F108</f>
        <v>17438110.490000002</v>
      </c>
      <c r="G80" s="297">
        <f>'REMUNERACION_OCCIDENTE_ Directa'!G108</f>
        <v>9129338.4999999981</v>
      </c>
      <c r="H80" s="297">
        <f>'REMUNERACION_OCCIDENTE_ Directa'!H108</f>
        <v>18288367.830000002</v>
      </c>
      <c r="I80" s="297">
        <f>'REMUNERACION_OCCIDENTE_ Directa'!I108</f>
        <v>845568.67</v>
      </c>
      <c r="J80" s="289">
        <f>'REMUNERACION_OCCIDENTE_ Directa'!J108</f>
        <v>0</v>
      </c>
      <c r="K80" s="295">
        <f>'REMUNERACION_OCCIDENTE_ Directa'!K108</f>
        <v>240836444.44</v>
      </c>
      <c r="L80" s="294">
        <f>'REMUNERACION_OCCIDENTE_ Directa'!L108</f>
        <v>0</v>
      </c>
      <c r="M80" s="298">
        <f>'REMUNERACION_OCCIDENTE_ Directa'!M108</f>
        <v>240836444.44</v>
      </c>
      <c r="N80" s="299">
        <f>'REMUNERACION_OCCIDENTE_ Directa'!N108</f>
        <v>6894658.7800000003</v>
      </c>
      <c r="O80" s="298">
        <f>'REMUNERACION_OCCIDENTE_ Directa'!O108</f>
        <v>247731103.22</v>
      </c>
      <c r="Q80" s="306"/>
      <c r="S80" s="324">
        <v>5</v>
      </c>
      <c r="T80" s="325" t="s">
        <v>14</v>
      </c>
      <c r="U80" s="296">
        <f>'REMUNERACION_OCCIDENTE_ Directa'!U108</f>
        <v>7530881.8600000003</v>
      </c>
      <c r="V80" s="297">
        <f>'REMUNERACION_OCCIDENTE_ Directa'!V108</f>
        <v>9040944.5399999991</v>
      </c>
      <c r="W80" s="297">
        <f>'REMUNERACION_OCCIDENTE_ Directa'!W108</f>
        <v>45756182.879999995</v>
      </c>
      <c r="X80" s="297">
        <f>'REMUNERACION_OCCIDENTE_ Directa'!X108</f>
        <v>92948094.320000008</v>
      </c>
      <c r="Y80" s="289">
        <f>'REMUNERACION_OCCIDENTE_ Directa'!Y108</f>
        <v>1374403.66</v>
      </c>
      <c r="Z80" s="319">
        <f>'REMUNERACION_OCCIDENTE_ Directa'!Z108</f>
        <v>0</v>
      </c>
      <c r="AA80" s="320">
        <f>'REMUNERACION_OCCIDENTE_ Directa'!AA108</f>
        <v>-760.25999999999988</v>
      </c>
      <c r="AB80" s="294">
        <f>'REMUNERACION_OCCIDENTE_ Directa'!AB108</f>
        <v>6894658.7800000003</v>
      </c>
      <c r="AC80" s="320">
        <f>'REMUNERACION_OCCIDENTE_ Directa'!AC108</f>
        <v>0.35000000000000003</v>
      </c>
      <c r="AD80" s="291">
        <f>'REMUNERACION_OCCIDENTE_ Directa'!AD108</f>
        <v>84186697.089999989</v>
      </c>
      <c r="AE80" s="291">
        <f>'REMUNERACION_OCCIDENTE_ Directa'!AE108</f>
        <v>84186697.089999989</v>
      </c>
      <c r="AF80" s="322">
        <f>'REMUNERACION_OCCIDENTE_ Directa'!AF108</f>
        <v>247731103.21999997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5" thickBot="1" x14ac:dyDescent="0.25">
      <c r="B81" s="327"/>
      <c r="C81" s="328" t="s">
        <v>2</v>
      </c>
      <c r="D81" s="290">
        <f>'REMUNERACION_OCCIDENTE_ Directa'!D109</f>
        <v>4263358205.6200008</v>
      </c>
      <c r="E81" s="290">
        <f>'REMUNERACION_OCCIDENTE_ Directa'!E109</f>
        <v>538715525.36000001</v>
      </c>
      <c r="F81" s="290">
        <f>'REMUNERACION_OCCIDENTE_ Directa'!F109</f>
        <v>301108775.10999995</v>
      </c>
      <c r="G81" s="290">
        <f>'REMUNERACION_OCCIDENTE_ Directa'!G109</f>
        <v>158427545.65000001</v>
      </c>
      <c r="H81" s="290">
        <f>'REMUNERACION_OCCIDENTE_ Directa'!H109</f>
        <v>381659485.12</v>
      </c>
      <c r="I81" s="290">
        <f>'REMUNERACION_OCCIDENTE_ Directa'!I109</f>
        <v>11500319.260000002</v>
      </c>
      <c r="J81" s="290">
        <f>'REMUNERACION_OCCIDENTE_ Directa'!J109</f>
        <v>0</v>
      </c>
      <c r="K81" s="300">
        <f>'REMUNERACION_OCCIDENTE_ Directa'!K109</f>
        <v>2871946555.1200004</v>
      </c>
      <c r="L81" s="301">
        <f>'REMUNERACION_OCCIDENTE_ Directa'!L109</f>
        <v>0</v>
      </c>
      <c r="M81" s="302">
        <f>'REMUNERACION_OCCIDENTE_ Directa'!M109</f>
        <v>2871946555.1200004</v>
      </c>
      <c r="N81" s="301">
        <f>'REMUNERACION_OCCIDENTE_ Directa'!N109</f>
        <v>61067319.399999999</v>
      </c>
      <c r="O81" s="302">
        <f>'REMUNERACION_OCCIDENTE_ Directa'!O109</f>
        <v>2933013874.52</v>
      </c>
      <c r="P81" s="329"/>
      <c r="Q81" s="306"/>
      <c r="S81" s="327"/>
      <c r="T81" s="328" t="s">
        <v>2</v>
      </c>
      <c r="U81" s="330">
        <f>'REMUNERACION_OCCIDENTE_ Directa'!U109</f>
        <v>102417150.63000001</v>
      </c>
      <c r="V81" s="330">
        <f>'REMUNERACION_OCCIDENTE_ Directa'!V109</f>
        <v>134032300.66999999</v>
      </c>
      <c r="W81" s="330">
        <f>'REMUNERACION_OCCIDENTE_ Directa'!W109</f>
        <v>627375815.82000005</v>
      </c>
      <c r="X81" s="330">
        <f>'REMUNERACION_OCCIDENTE_ Directa'!X109</f>
        <v>1285844016.1299999</v>
      </c>
      <c r="Y81" s="330">
        <f>'REMUNERACION_OCCIDENTE_ Directa'!Y109</f>
        <v>18649143.739999998</v>
      </c>
      <c r="Z81" s="290">
        <f>'REMUNERACION_OCCIDENTE_ Directa'!Z109</f>
        <v>0</v>
      </c>
      <c r="AA81" s="290">
        <f>'REMUNERACION_OCCIDENTE_ Directa'!AA109</f>
        <v>-5271.94</v>
      </c>
      <c r="AB81" s="290">
        <f>'REMUNERACION_OCCIDENTE_ Directa'!AB109</f>
        <v>61067319.399999999</v>
      </c>
      <c r="AC81" s="290">
        <f>'REMUNERACION_OCCIDENTE_ Directa'!AC109</f>
        <v>-14094.689999999999</v>
      </c>
      <c r="AD81" s="290">
        <f>'REMUNERACION_OCCIDENTE_ Directa'!AD109</f>
        <v>703647494.76000011</v>
      </c>
      <c r="AE81" s="290">
        <f>'REMUNERACION_OCCIDENTE_ Directa'!AE109</f>
        <v>703647494.76000011</v>
      </c>
      <c r="AF81" s="331">
        <f>'REMUNERACION_OCCIDENTE_ Directa'!AF109</f>
        <v>2933013874.5199995</v>
      </c>
      <c r="AG81" s="524">
        <f>'REMUNERACION_OCCIDENTE_ Directa'!AG109</f>
        <v>0</v>
      </c>
      <c r="AH81" s="1"/>
      <c r="AI81" s="306"/>
      <c r="AM81" s="333"/>
    </row>
    <row r="82" spans="1:39" ht="12.75" thickBot="1" x14ac:dyDescent="0.25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75" thickBot="1" x14ac:dyDescent="0.25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x14ac:dyDescent="0.2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x14ac:dyDescent="0.2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x14ac:dyDescent="0.2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x14ac:dyDescent="0.2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x14ac:dyDescent="0.2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75" thickBot="1" x14ac:dyDescent="0.25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5" thickBot="1" x14ac:dyDescent="0.25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75" thickBot="1" x14ac:dyDescent="0.25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75" thickBot="1" x14ac:dyDescent="0.25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x14ac:dyDescent="0.2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x14ac:dyDescent="0.2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x14ac:dyDescent="0.2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x14ac:dyDescent="0.2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2.0861625671386719E-7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75" thickBot="1" x14ac:dyDescent="0.25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75" thickBot="1" x14ac:dyDescent="0.25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x14ac:dyDescent="0.2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x14ac:dyDescent="0.2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46238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46219</v>
      </c>
      <c r="H125" s="45"/>
      <c r="I125" s="45"/>
      <c r="J125" s="555" t="s">
        <v>28</v>
      </c>
      <c r="K125" s="557">
        <f>'REMUNERACION_EAAB-CL'!K102</f>
        <v>46234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46219</v>
      </c>
      <c r="W125" s="45" t="s">
        <v>1</v>
      </c>
      <c r="X125" s="45" t="str">
        <f>J125</f>
        <v>Feha Hasta:</v>
      </c>
      <c r="Y125" s="557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2.75" x14ac:dyDescent="0.2"/>
  <cols>
    <col min="1" max="1" width="2.42578125" customWidth="1"/>
    <col min="3" max="3" width="36.85546875" bestFit="1" customWidth="1"/>
    <col min="4" max="4" width="12" bestFit="1" customWidth="1"/>
    <col min="5" max="5" width="12.140625" customWidth="1"/>
    <col min="6" max="6" width="9.140625" customWidth="1"/>
    <col min="7" max="7" width="14.85546875" customWidth="1"/>
    <col min="8" max="8" width="15.140625" customWidth="1"/>
    <col min="9" max="9" width="20.140625" bestFit="1" customWidth="1"/>
    <col min="10" max="10" width="15.42578125" customWidth="1"/>
    <col min="11" max="11" width="17.85546875" customWidth="1"/>
    <col min="12" max="12" width="20.85546875" customWidth="1"/>
    <col min="17" max="17" width="1.140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75" x14ac:dyDescent="0.25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">
      <c r="B6" s="334">
        <v>1</v>
      </c>
      <c r="C6" s="335" t="s">
        <v>10</v>
      </c>
      <c r="D6" s="308">
        <f>'CONSOLIDADO_TOTAL RECAUDO'!D125</f>
        <v>100931031.88</v>
      </c>
      <c r="E6" s="309">
        <f>'CONSOLIDADO_TOTAL RECAUDO'!E125</f>
        <v>0</v>
      </c>
      <c r="G6" s="336">
        <f>'CONSOLIDADO_TOTAL RECAUDO'!G125</f>
        <v>49580</v>
      </c>
      <c r="H6" s="310">
        <f>'CONSOLIDADO_TOTAL RECAUDO'!H125</f>
        <v>125948553.12</v>
      </c>
      <c r="I6" s="309">
        <f>'CONSOLIDADO_TOTAL RECAUDO'!I125</f>
        <v>973693.46</v>
      </c>
      <c r="J6" s="309">
        <f>'CONSOLIDADO_TOTAL RECAUDO'!J125</f>
        <v>-16536713.09</v>
      </c>
      <c r="K6" s="309">
        <f>'CONSOLIDADO_TOTAL RECAUDO'!K125</f>
        <v>82340</v>
      </c>
      <c r="L6" s="309">
        <f>'CONSOLIDADO_TOTAL RECAUDO'!L125</f>
        <v>182537.90999999997</v>
      </c>
      <c r="O6" s="337"/>
      <c r="Q6" s="306"/>
    </row>
    <row r="7" spans="1:33" s="305" customFormat="1" ht="12" x14ac:dyDescent="0.2">
      <c r="B7" s="314">
        <v>2</v>
      </c>
      <c r="C7" s="338" t="s">
        <v>11</v>
      </c>
      <c r="D7" s="292">
        <f>'CONSOLIDADO_TOTAL RECAUDO'!D126</f>
        <v>136534753</v>
      </c>
      <c r="E7" s="288">
        <f>'CONSOLIDADO_TOTAL RECAUDO'!E126</f>
        <v>0</v>
      </c>
      <c r="G7" s="339">
        <f>'CONSOLIDADO_TOTAL RECAUDO'!G126</f>
        <v>56190070</v>
      </c>
      <c r="H7" s="340">
        <f>'CONSOLIDADO_TOTAL RECAUDO'!H126</f>
        <v>178539092.16</v>
      </c>
      <c r="I7" s="288">
        <f>'CONSOLIDADO_TOTAL RECAUDO'!I126</f>
        <v>216025.77</v>
      </c>
      <c r="J7" s="288">
        <f>'CONSOLIDADO_TOTAL RECAUDO'!J126</f>
        <v>-71069759</v>
      </c>
      <c r="K7" s="288">
        <f>'CONSOLIDADO_TOTAL RECAUDO'!K126</f>
        <v>5228610</v>
      </c>
      <c r="L7" s="288">
        <f>'CONSOLIDADO_TOTAL RECAUDO'!L126</f>
        <v>0</v>
      </c>
      <c r="O7" s="337"/>
      <c r="Q7" s="306"/>
    </row>
    <row r="8" spans="1:33" s="305" customFormat="1" ht="12" x14ac:dyDescent="0.2">
      <c r="B8" s="314">
        <v>3</v>
      </c>
      <c r="C8" s="338" t="s">
        <v>12</v>
      </c>
      <c r="D8" s="292">
        <f>'CONSOLIDADO_TOTAL RECAUDO'!D127</f>
        <v>58884032.920000002</v>
      </c>
      <c r="E8" s="288">
        <f>'CONSOLIDADO_TOTAL RECAUDO'!E127</f>
        <v>0</v>
      </c>
      <c r="G8" s="339">
        <f>'CONSOLIDADO_TOTAL RECAUDO'!G127</f>
        <v>1307680</v>
      </c>
      <c r="H8" s="340">
        <f>'CONSOLIDADO_TOTAL RECAUDO'!H127</f>
        <v>26609070.66</v>
      </c>
      <c r="I8" s="288">
        <f>'CONSOLIDADO_TOTAL RECAUDO'!I127</f>
        <v>104231.83</v>
      </c>
      <c r="J8" s="288">
        <f>'CONSOLIDADO_TOTAL RECAUDO'!J127</f>
        <v>-32310979.800000001</v>
      </c>
      <c r="K8" s="288">
        <f>'CONSOLIDADO_TOTAL RECAUDO'!K127</f>
        <v>0</v>
      </c>
      <c r="L8" s="288">
        <f>'CONSOLIDADO_TOTAL RECAUDO'!L127</f>
        <v>2423600.2000000002</v>
      </c>
      <c r="O8" s="337"/>
      <c r="Q8" s="306"/>
    </row>
    <row r="9" spans="1:33" s="305" customFormat="1" ht="12" x14ac:dyDescent="0.2">
      <c r="B9" s="314">
        <v>4</v>
      </c>
      <c r="C9" s="338" t="s">
        <v>13</v>
      </c>
      <c r="D9" s="292">
        <f>'CONSOLIDADO_TOTAL RECAUDO'!D128</f>
        <v>73726637.340000004</v>
      </c>
      <c r="E9" s="288">
        <f>'CONSOLIDADO_TOTAL RECAUDO'!E128</f>
        <v>0</v>
      </c>
      <c r="G9" s="339">
        <f>'CONSOLIDADO_TOTAL RECAUDO'!G128</f>
        <v>4343101</v>
      </c>
      <c r="H9" s="340">
        <f>'CONSOLIDADO_TOTAL RECAUDO'!H128</f>
        <v>161461949.73000002</v>
      </c>
      <c r="I9" s="288">
        <f>'CONSOLIDADO_TOTAL RECAUDO'!I128</f>
        <v>35954.44</v>
      </c>
      <c r="J9" s="288">
        <f>'CONSOLIDADO_TOTAL RECAUDO'!J128</f>
        <v>-33738104.229999997</v>
      </c>
      <c r="K9" s="288">
        <f>'CONSOLIDADO_TOTAL RECAUDO'!K128</f>
        <v>14538094</v>
      </c>
      <c r="L9" s="288">
        <f>'CONSOLIDADO_TOTAL RECAUDO'!L128</f>
        <v>14979759.77</v>
      </c>
      <c r="O9" s="337"/>
      <c r="Q9" s="306"/>
    </row>
    <row r="10" spans="1:33" s="305" customFormat="1" ht="12" x14ac:dyDescent="0.2">
      <c r="B10" s="341">
        <v>5</v>
      </c>
      <c r="C10" s="342" t="s">
        <v>14</v>
      </c>
      <c r="D10" s="292">
        <f>'CONSOLIDADO_TOTAL RECAUDO'!D129</f>
        <v>28383865.960000001</v>
      </c>
      <c r="E10" s="344">
        <f>'CONSOLIDADO_TOTAL RECAUDO'!E129</f>
        <v>0</v>
      </c>
      <c r="G10" s="339">
        <f>'CONSOLIDADO_TOTAL RECAUDO'!G129</f>
        <v>441849</v>
      </c>
      <c r="H10" s="340">
        <f>'CONSOLIDADO_TOTAL RECAUDO'!H129</f>
        <v>43973508.960000001</v>
      </c>
      <c r="I10" s="288">
        <f>'CONSOLIDADO_TOTAL RECAUDO'!I129</f>
        <v>0</v>
      </c>
      <c r="J10" s="288">
        <f>'CONSOLIDADO_TOTAL RECAUDO'!J129</f>
        <v>-3092375.53</v>
      </c>
      <c r="K10" s="288">
        <f>'CONSOLIDADO_TOTAL RECAUDO'!K129</f>
        <v>87550</v>
      </c>
      <c r="L10" s="288">
        <f>'CONSOLIDADO_TOTAL RECAUDO'!L129</f>
        <v>215053.47</v>
      </c>
      <c r="O10" s="337"/>
      <c r="Q10" s="306"/>
    </row>
    <row r="11" spans="1:33" s="305" customFormat="1" thickBot="1" x14ac:dyDescent="0.25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thickBot="1" x14ac:dyDescent="0.25">
      <c r="B12" s="348"/>
      <c r="C12" s="349" t="s">
        <v>2</v>
      </c>
      <c r="D12" s="350">
        <f>'CONSOLIDADO_TOTAL RECAUDO'!D131</f>
        <v>398460321.09999996</v>
      </c>
      <c r="E12" s="350">
        <f>'CONSOLIDADO_TOTAL RECAUDO'!E131</f>
        <v>0</v>
      </c>
      <c r="F12" s="351"/>
      <c r="G12" s="350">
        <f>'CONSOLIDADO_TOTAL RECAUDO'!G131</f>
        <v>62332280</v>
      </c>
      <c r="H12" s="350">
        <f>'CONSOLIDADO_TOTAL RECAUDO'!H131</f>
        <v>536532174.63</v>
      </c>
      <c r="I12" s="350">
        <f>'CONSOLIDADO_TOTAL RECAUDO'!I131</f>
        <v>1329905.5</v>
      </c>
      <c r="J12" s="350">
        <f>'CONSOLIDADO_TOTAL RECAUDO'!J131</f>
        <v>-156747931.65000001</v>
      </c>
      <c r="K12" s="350">
        <f>'CONSOLIDADO_TOTAL RECAUDO'!K131</f>
        <v>19936594</v>
      </c>
      <c r="L12" s="350">
        <f>'CONSOLIDADO_TOTAL RECAUDO'!L131</f>
        <v>17800951.349999998</v>
      </c>
      <c r="M12" s="351"/>
      <c r="N12" s="351"/>
      <c r="O12" s="352"/>
      <c r="P12" s="329"/>
      <c r="Q12" s="306"/>
    </row>
    <row r="13" spans="1:33" s="1" customFormat="1" ht="12" x14ac:dyDescent="0.2">
      <c r="B13" s="2"/>
      <c r="C13" s="2"/>
      <c r="D13" s="448"/>
      <c r="Q13" s="4"/>
    </row>
    <row r="14" spans="1:33" s="1" customFormat="1" ht="12" x14ac:dyDescent="0.2">
      <c r="B14" s="2"/>
      <c r="C14" s="2"/>
      <c r="D14" s="448"/>
      <c r="Q14" s="4"/>
    </row>
    <row r="15" spans="1:33" s="1" customFormat="1" ht="12" x14ac:dyDescent="0.2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75" x14ac:dyDescent="0.25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">
      <c r="B22" s="314">
        <v>2</v>
      </c>
      <c r="C22" s="338" t="s">
        <v>11</v>
      </c>
      <c r="D22" s="292">
        <f>'REMUNERACION Reciprocidad EAAB'!D126</f>
        <v>12820520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35414329.289999992</v>
      </c>
      <c r="I22" s="288">
        <f>'REMUNERACION Reciprocidad EAAB'!I126</f>
        <v>216025.77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">
      <c r="B24" s="314">
        <v>4</v>
      </c>
      <c r="C24" s="338" t="s">
        <v>13</v>
      </c>
      <c r="D24" s="292">
        <f>'REMUNERACION Reciprocidad EAAB'!D128</f>
        <v>10268790</v>
      </c>
      <c r="E24" s="288">
        <f>'REMUNERACION Reciprocidad EAAB'!E128</f>
        <v>0</v>
      </c>
      <c r="G24" s="339">
        <f>'REMUNERACION Reciprocidad EAAB'!G128</f>
        <v>41900</v>
      </c>
      <c r="H24" s="340">
        <f>'REMUNERACION Reciprocidad EAAB'!H128</f>
        <v>66508368.82</v>
      </c>
      <c r="I24" s="288">
        <f>'REMUNERACION Reciprocidad EAAB'!I128</f>
        <v>35954.44</v>
      </c>
      <c r="J24" s="288">
        <f>'REMUNERACION Reciprocidad EAAB'!J128</f>
        <v>-736030</v>
      </c>
      <c r="K24" s="288">
        <f>'REMUNERACION Reciprocidad EAAB'!K128</f>
        <v>694130</v>
      </c>
      <c r="L24" s="288">
        <f>'REMUNERACION Reciprocidad EAAB'!L128</f>
        <v>0</v>
      </c>
      <c r="O24" s="337"/>
      <c r="Q24" s="306"/>
    </row>
    <row r="25" spans="1:17" s="305" customFormat="1" ht="12" x14ac:dyDescent="0.2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thickBot="1" x14ac:dyDescent="0.25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thickBot="1" x14ac:dyDescent="0.25">
      <c r="B27" s="348"/>
      <c r="C27" s="349" t="s">
        <v>2</v>
      </c>
      <c r="D27" s="350">
        <f>'REMUNERACION Reciprocidad EAAB'!D131</f>
        <v>23089310</v>
      </c>
      <c r="E27" s="350">
        <f>'REMUNERACION Reciprocidad EAAB'!E131</f>
        <v>0</v>
      </c>
      <c r="F27" s="351"/>
      <c r="G27" s="350">
        <f>'REMUNERACION Reciprocidad EAAB'!G131</f>
        <v>41900</v>
      </c>
      <c r="H27" s="350">
        <f>'REMUNERACION Reciprocidad EAAB'!H131</f>
        <v>101922698.10999998</v>
      </c>
      <c r="I27" s="350">
        <f>'REMUNERACION Reciprocidad EAAB'!I131</f>
        <v>251980.21</v>
      </c>
      <c r="J27" s="350">
        <f>'REMUNERACION Reciprocidad EAAB'!J131</f>
        <v>-736030</v>
      </c>
      <c r="K27" s="350">
        <f>'REMUNERACION Reciprocidad EAAB'!K131</f>
        <v>694130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">
      <c r="B28" s="2"/>
      <c r="C28" s="2"/>
      <c r="D28" s="448"/>
      <c r="Q28" s="4"/>
    </row>
    <row r="29" spans="1:17" s="1" customFormat="1" ht="12" x14ac:dyDescent="0.2">
      <c r="B29" s="2"/>
      <c r="C29" s="2"/>
      <c r="D29" s="448"/>
      <c r="Q29" s="4"/>
    </row>
    <row r="30" spans="1:17" s="1" customFormat="1" ht="12" x14ac:dyDescent="0.2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75" x14ac:dyDescent="0.25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">
      <c r="B35" s="334">
        <v>1</v>
      </c>
      <c r="C35" s="335" t="s">
        <v>10</v>
      </c>
      <c r="D35" s="308">
        <f>REMUNERACION_ENEL!D125</f>
        <v>83572548.25</v>
      </c>
      <c r="E35" s="309">
        <f>REMUNERACION_ENEL!E125</f>
        <v>0</v>
      </c>
      <c r="G35" s="336">
        <f>REMUNERACION_ENEL!G125</f>
        <v>49580</v>
      </c>
      <c r="H35" s="310">
        <f>REMUNERACION_ENEL!H125</f>
        <v>97091142.519999996</v>
      </c>
      <c r="I35" s="309">
        <f>REMUNERACION_ENEL!I125</f>
        <v>973693.46</v>
      </c>
      <c r="J35" s="309">
        <f>REMUNERACION_ENEL!J125</f>
        <v>-15533961.699999999</v>
      </c>
      <c r="K35" s="309">
        <f>REMUNERACION_ENEL!K125</f>
        <v>0</v>
      </c>
      <c r="L35" s="309">
        <f>REMUNERACION_ENEL!L125</f>
        <v>16889.3</v>
      </c>
      <c r="O35" s="337"/>
      <c r="Q35" s="306"/>
    </row>
    <row r="36" spans="1:17" s="305" customFormat="1" ht="12" x14ac:dyDescent="0.2">
      <c r="B36" s="314">
        <v>2</v>
      </c>
      <c r="C36" s="338" t="s">
        <v>11</v>
      </c>
      <c r="D36" s="292">
        <f>REMUNERACION_ENEL!D126</f>
        <v>44281124</v>
      </c>
      <c r="E36" s="288">
        <f>REMUNERACION_ENEL!E126</f>
        <v>0</v>
      </c>
      <c r="G36" s="339">
        <f>REMUNERACION_ENEL!G126</f>
        <v>56078860</v>
      </c>
      <c r="H36" s="340">
        <f>REMUNERACION_ENEL!H126</f>
        <v>55676152.700000003</v>
      </c>
      <c r="I36" s="288">
        <f>REMUNERACION_ENEL!I126</f>
        <v>0</v>
      </c>
      <c r="J36" s="288">
        <f>REMUNERACION_ENEL!J126</f>
        <v>-70779009</v>
      </c>
      <c r="K36" s="288">
        <f>REMUNERACION_ENEL!K126</f>
        <v>5227240</v>
      </c>
      <c r="L36" s="288">
        <f>REMUNERACION_ENEL!L126</f>
        <v>0</v>
      </c>
      <c r="O36" s="337"/>
      <c r="Q36" s="306"/>
    </row>
    <row r="37" spans="1:17" s="305" customFormat="1" ht="12" x14ac:dyDescent="0.2">
      <c r="B37" s="314">
        <v>3</v>
      </c>
      <c r="C37" s="338" t="s">
        <v>12</v>
      </c>
      <c r="D37" s="292">
        <f>REMUNERACION_ENEL!D127</f>
        <v>44039530</v>
      </c>
      <c r="E37" s="288">
        <f>REMUNERACION_ENEL!E127</f>
        <v>0</v>
      </c>
      <c r="G37" s="339">
        <f>REMUNERACION_ENEL!G127</f>
        <v>1307680</v>
      </c>
      <c r="H37" s="340">
        <f>REMUNERACION_ENEL!H127</f>
        <v>10055662.040000001</v>
      </c>
      <c r="I37" s="288">
        <f>REMUNERACION_ENEL!I127</f>
        <v>104231.83</v>
      </c>
      <c r="J37" s="288">
        <f>REMUNERACION_ENEL!J127</f>
        <v>-32004320</v>
      </c>
      <c r="K37" s="288">
        <f>REMUNERACION_ENEL!K127</f>
        <v>0</v>
      </c>
      <c r="L37" s="288">
        <f>REMUNERACION_ENEL!L127</f>
        <v>79850</v>
      </c>
      <c r="O37" s="337"/>
      <c r="Q37" s="306"/>
    </row>
    <row r="38" spans="1:17" s="305" customFormat="1" ht="12" x14ac:dyDescent="0.2">
      <c r="B38" s="314">
        <v>4</v>
      </c>
      <c r="C38" s="338" t="s">
        <v>13</v>
      </c>
      <c r="D38" s="292">
        <f>REMUNERACION_ENEL!D128</f>
        <v>48826052</v>
      </c>
      <c r="E38" s="288">
        <f>REMUNERACION_ENEL!E128</f>
        <v>0</v>
      </c>
      <c r="G38" s="339">
        <f>REMUNERACION_ENEL!G128</f>
        <v>3610007</v>
      </c>
      <c r="H38" s="340">
        <f>REMUNERACION_ENEL!H128</f>
        <v>60774931.109999992</v>
      </c>
      <c r="I38" s="288">
        <f>REMUNERACION_ENEL!I128</f>
        <v>0</v>
      </c>
      <c r="J38" s="288">
        <f>REMUNERACION_ENEL!J128</f>
        <v>-29768645.890000001</v>
      </c>
      <c r="K38" s="288">
        <f>REMUNERACION_ENEL!K128</f>
        <v>11634964</v>
      </c>
      <c r="L38" s="288">
        <f>REMUNERACION_ENEL!L128</f>
        <v>386384.11</v>
      </c>
      <c r="O38" s="337"/>
      <c r="Q38" s="306"/>
    </row>
    <row r="39" spans="1:17" s="305" customFormat="1" ht="12" x14ac:dyDescent="0.2">
      <c r="B39" s="341">
        <v>5</v>
      </c>
      <c r="C39" s="342" t="s">
        <v>14</v>
      </c>
      <c r="D39" s="292">
        <f>REMUNERACION_ENEL!D129</f>
        <v>15997915</v>
      </c>
      <c r="E39" s="344">
        <f>REMUNERACION_ENEL!E129</f>
        <v>0</v>
      </c>
      <c r="G39" s="339">
        <f>REMUNERACION_ENEL!G129</f>
        <v>0</v>
      </c>
      <c r="H39" s="340">
        <f>REMUNERACION_ENEL!H129</f>
        <v>23423861.739999998</v>
      </c>
      <c r="I39" s="288">
        <f>REMUNERACION_ENEL!I129</f>
        <v>0</v>
      </c>
      <c r="J39" s="288">
        <f>REMUNERACION_ENEL!J129</f>
        <v>-2065600</v>
      </c>
      <c r="K39" s="288">
        <f>REMUNERACION_ENEL!K129</f>
        <v>0</v>
      </c>
      <c r="L39" s="288">
        <f>REMUNERACION_ENEL!L129</f>
        <v>49280</v>
      </c>
      <c r="O39" s="337"/>
      <c r="Q39" s="306"/>
    </row>
    <row r="40" spans="1:17" s="305" customFormat="1" thickBot="1" x14ac:dyDescent="0.25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thickBot="1" x14ac:dyDescent="0.25">
      <c r="B41" s="348"/>
      <c r="C41" s="349" t="s">
        <v>2</v>
      </c>
      <c r="D41" s="350">
        <f>REMUNERACION_ENEL!D131</f>
        <v>236717169.25</v>
      </c>
      <c r="E41" s="350">
        <f>REMUNERACION_ENEL!E131</f>
        <v>0</v>
      </c>
      <c r="F41" s="351"/>
      <c r="G41" s="350">
        <f>REMUNERACION_ENEL!G131</f>
        <v>61046127</v>
      </c>
      <c r="H41" s="350">
        <f>REMUNERACION_ENEL!H131</f>
        <v>247021750.10999998</v>
      </c>
      <c r="I41" s="350">
        <f>REMUNERACION_ENEL!I131</f>
        <v>1077925.29</v>
      </c>
      <c r="J41" s="350">
        <f>REMUNERACION_ENEL!J131</f>
        <v>-150151536.59</v>
      </c>
      <c r="K41" s="350">
        <f>REMUNERACION_ENEL!K131</f>
        <v>16862204</v>
      </c>
      <c r="L41" s="350">
        <f>REMUNERACION_ENEL!L131</f>
        <v>532403.40999999992</v>
      </c>
      <c r="M41" s="351"/>
      <c r="N41" s="351"/>
      <c r="O41" s="352"/>
      <c r="P41" s="329"/>
      <c r="Q41" s="306"/>
    </row>
    <row r="42" spans="1:17" s="1" customFormat="1" ht="12" x14ac:dyDescent="0.2">
      <c r="B42" s="2"/>
      <c r="C42" s="2"/>
      <c r="D42" s="448"/>
      <c r="Q42" s="4"/>
    </row>
    <row r="43" spans="1:17" s="1" customFormat="1" ht="12" x14ac:dyDescent="0.2">
      <c r="B43" s="2"/>
      <c r="C43" s="2"/>
      <c r="D43" s="448"/>
      <c r="Q43" s="4"/>
    </row>
    <row r="44" spans="1:17" s="1" customFormat="1" ht="12" x14ac:dyDescent="0.2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">
      <c r="B45" s="2"/>
      <c r="C45" s="2"/>
      <c r="D45" s="448"/>
      <c r="Q45" s="4"/>
    </row>
    <row r="46" spans="1:17" s="1" customFormat="1" ht="15.75" x14ac:dyDescent="0.25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">
      <c r="B53" s="341">
        <v>5</v>
      </c>
      <c r="C53" s="342" t="s">
        <v>14</v>
      </c>
      <c r="D53" s="292">
        <f>REMUNERACION_ENERBIT!D129</f>
        <v>1781103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6242402.4799999995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thickBot="1" x14ac:dyDescent="0.25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thickBot="1" x14ac:dyDescent="0.25">
      <c r="B55" s="348"/>
      <c r="C55" s="349" t="s">
        <v>2</v>
      </c>
      <c r="D55" s="350">
        <f>REMUNERACION_ENERBIT!D131</f>
        <v>1781103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6242402.4799999995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">
      <c r="B56" s="2"/>
      <c r="C56" s="2"/>
      <c r="D56" s="448"/>
      <c r="Q56" s="4"/>
    </row>
    <row r="57" spans="1:17" s="1" customFormat="1" ht="12" x14ac:dyDescent="0.2">
      <c r="B57" s="2"/>
      <c r="C57" s="2"/>
      <c r="D57" s="448"/>
      <c r="Q57" s="4"/>
    </row>
    <row r="58" spans="1:17" s="1" customFormat="1" ht="12" x14ac:dyDescent="0.2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75" x14ac:dyDescent="0.25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">
      <c r="B63" s="334">
        <v>1</v>
      </c>
      <c r="C63" s="335" t="s">
        <v>10</v>
      </c>
      <c r="D63" s="308">
        <f>'REMUNERACION_OCCIDENTE_ Directa'!D125</f>
        <v>17358483.629999999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28857410.600000001</v>
      </c>
      <c r="I63" s="309">
        <f>'REMUNERACION_OCCIDENTE_ Directa'!I125</f>
        <v>0</v>
      </c>
      <c r="J63" s="309">
        <f>'REMUNERACION_OCCIDENTE_ Directa'!J125</f>
        <v>-1002751.39</v>
      </c>
      <c r="K63" s="309">
        <f>'REMUNERACION_OCCIDENTE_ Directa'!K125</f>
        <v>82340</v>
      </c>
      <c r="L63" s="309">
        <f>'REMUNERACION_OCCIDENTE_ Directa'!L125</f>
        <v>165648.60999999999</v>
      </c>
      <c r="O63" s="337"/>
      <c r="Q63" s="306"/>
    </row>
    <row r="64" spans="1:17" s="305" customFormat="1" ht="12" x14ac:dyDescent="0.2">
      <c r="B64" s="314">
        <v>2</v>
      </c>
      <c r="C64" s="338" t="s">
        <v>11</v>
      </c>
      <c r="D64" s="292">
        <f>'REMUNERACION_OCCIDENTE_ Directa'!D126</f>
        <v>79433109</v>
      </c>
      <c r="E64" s="288">
        <f>'REMUNERACION_OCCIDENTE_ Directa'!E126</f>
        <v>0</v>
      </c>
      <c r="G64" s="339">
        <f>'REMUNERACION_OCCIDENTE_ Directa'!G126</f>
        <v>111210</v>
      </c>
      <c r="H64" s="340">
        <f>'REMUNERACION_OCCIDENTE_ Directa'!H126</f>
        <v>87448610.169999987</v>
      </c>
      <c r="I64" s="288">
        <f>'REMUNERACION_OCCIDENTE_ Directa'!I126</f>
        <v>0</v>
      </c>
      <c r="J64" s="288">
        <f>'REMUNERACION_OCCIDENTE_ Directa'!J126</f>
        <v>-290750</v>
      </c>
      <c r="K64" s="288">
        <f>'REMUNERACION_OCCIDENTE_ Directa'!K126</f>
        <v>1370</v>
      </c>
      <c r="L64" s="288">
        <f>'REMUNERACION_OCCIDENTE_ Directa'!L126</f>
        <v>0</v>
      </c>
      <c r="O64" s="337"/>
      <c r="Q64" s="306"/>
    </row>
    <row r="65" spans="1:17" s="305" customFormat="1" ht="12" x14ac:dyDescent="0.2">
      <c r="B65" s="314">
        <v>3</v>
      </c>
      <c r="C65" s="338" t="s">
        <v>12</v>
      </c>
      <c r="D65" s="292">
        <f>'REMUNERACION_OCCIDENTE_ Directa'!D127</f>
        <v>14844502.92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16553408.619999999</v>
      </c>
      <c r="I65" s="288">
        <f>'REMUNERACION_OCCIDENTE_ Directa'!I127</f>
        <v>0</v>
      </c>
      <c r="J65" s="288">
        <f>'REMUNERACION_OCCIDENTE_ Directa'!J127</f>
        <v>-306659.8</v>
      </c>
      <c r="K65" s="288">
        <f>'REMUNERACION_OCCIDENTE_ Directa'!K127</f>
        <v>0</v>
      </c>
      <c r="L65" s="288">
        <f>'REMUNERACION_OCCIDENTE_ Directa'!L127</f>
        <v>2343750.2000000002</v>
      </c>
      <c r="O65" s="337"/>
      <c r="Q65" s="306"/>
    </row>
    <row r="66" spans="1:17" s="305" customFormat="1" ht="12" x14ac:dyDescent="0.2">
      <c r="B66" s="314">
        <v>4</v>
      </c>
      <c r="C66" s="338" t="s">
        <v>13</v>
      </c>
      <c r="D66" s="292">
        <f>'REMUNERACION_OCCIDENTE_ Directa'!D128</f>
        <v>14631795.34</v>
      </c>
      <c r="E66" s="288">
        <f>'REMUNERACION_OCCIDENTE_ Directa'!E128</f>
        <v>0</v>
      </c>
      <c r="G66" s="339">
        <f>'REMUNERACION_OCCIDENTE_ Directa'!G128</f>
        <v>691194</v>
      </c>
      <c r="H66" s="340">
        <f>'REMUNERACION_OCCIDENTE_ Directa'!H128</f>
        <v>34178649.799999997</v>
      </c>
      <c r="I66" s="288">
        <f>'REMUNERACION_OCCIDENTE_ Directa'!I128</f>
        <v>0</v>
      </c>
      <c r="J66" s="288">
        <f>'REMUNERACION_OCCIDENTE_ Directa'!J128</f>
        <v>-3233428.34</v>
      </c>
      <c r="K66" s="288">
        <f>'REMUNERACION_OCCIDENTE_ Directa'!K128</f>
        <v>2209000</v>
      </c>
      <c r="L66" s="288">
        <f>'REMUNERACION_OCCIDENTE_ Directa'!L128</f>
        <v>14593375.66</v>
      </c>
      <c r="O66" s="337"/>
      <c r="Q66" s="306"/>
    </row>
    <row r="67" spans="1:17" s="305" customFormat="1" ht="12" x14ac:dyDescent="0.2">
      <c r="B67" s="341">
        <v>5</v>
      </c>
      <c r="C67" s="342" t="s">
        <v>14</v>
      </c>
      <c r="D67" s="292">
        <f>'REMUNERACION_OCCIDENTE_ Directa'!D129</f>
        <v>10604847.960000001</v>
      </c>
      <c r="E67" s="344">
        <f>'REMUNERACION_OCCIDENTE_ Directa'!E129</f>
        <v>0</v>
      </c>
      <c r="G67" s="339">
        <f>'REMUNERACION_OCCIDENTE_ Directa'!G129</f>
        <v>441849</v>
      </c>
      <c r="H67" s="340">
        <f>'REMUNERACION_OCCIDENTE_ Directa'!H129</f>
        <v>14307244.74</v>
      </c>
      <c r="I67" s="288">
        <f>'REMUNERACION_OCCIDENTE_ Directa'!I129</f>
        <v>0</v>
      </c>
      <c r="J67" s="288">
        <f>'REMUNERACION_OCCIDENTE_ Directa'!J129</f>
        <v>-1026775.53</v>
      </c>
      <c r="K67" s="288">
        <f>'REMUNERACION_OCCIDENTE_ Directa'!K129</f>
        <v>87550</v>
      </c>
      <c r="L67" s="288">
        <f>'REMUNERACION_OCCIDENTE_ Directa'!L129</f>
        <v>165773.47</v>
      </c>
      <c r="O67" s="337"/>
      <c r="Q67" s="306"/>
    </row>
    <row r="68" spans="1:17" s="305" customFormat="1" thickBot="1" x14ac:dyDescent="0.25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thickBot="1" x14ac:dyDescent="0.25">
      <c r="B69" s="348"/>
      <c r="C69" s="349" t="s">
        <v>2</v>
      </c>
      <c r="D69" s="350">
        <f>'REMUNERACION_OCCIDENTE_ Directa'!D131</f>
        <v>136872738.84999999</v>
      </c>
      <c r="E69" s="350">
        <f>'REMUNERACION_OCCIDENTE_ Directa'!E131</f>
        <v>0</v>
      </c>
      <c r="F69" s="351"/>
      <c r="G69" s="350">
        <f>'REMUNERACION_OCCIDENTE_ Directa'!G131</f>
        <v>1244253</v>
      </c>
      <c r="H69" s="350">
        <f>'REMUNERACION_OCCIDENTE_ Directa'!H131</f>
        <v>181345323.93000001</v>
      </c>
      <c r="I69" s="350">
        <f>'REMUNERACION_OCCIDENTE_ Directa'!I131</f>
        <v>0</v>
      </c>
      <c r="J69" s="350">
        <f>'REMUNERACION_OCCIDENTE_ Directa'!J131</f>
        <v>-5860365.0600000005</v>
      </c>
      <c r="K69" s="350">
        <f>'REMUNERACION_OCCIDENTE_ Directa'!K131</f>
        <v>2380260</v>
      </c>
      <c r="L69" s="350">
        <f>'REMUNERACION_OCCIDENTE_ Directa'!L131</f>
        <v>17268547.939999998</v>
      </c>
      <c r="M69" s="351"/>
      <c r="N69" s="351"/>
      <c r="O69" s="352"/>
      <c r="P69" s="329"/>
      <c r="Q69" s="306"/>
    </row>
    <row r="70" spans="1:17" s="1" customFormat="1" ht="12" x14ac:dyDescent="0.2">
      <c r="B70" s="2"/>
      <c r="C70" s="2"/>
      <c r="D70" s="448"/>
      <c r="Q70" s="4"/>
    </row>
    <row r="71" spans="1:17" s="1" customFormat="1" ht="12" x14ac:dyDescent="0.2">
      <c r="B71" s="2"/>
      <c r="C71" s="2"/>
      <c r="D71" s="448"/>
      <c r="Q71" s="4"/>
    </row>
    <row r="72" spans="1:17" s="1" customFormat="1" ht="12" x14ac:dyDescent="0.2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75" x14ac:dyDescent="0.25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thickBot="1" x14ac:dyDescent="0.25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thickBot="1" x14ac:dyDescent="0.25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">
      <c r="B84" s="2"/>
      <c r="C84" s="2"/>
      <c r="D84" s="448"/>
      <c r="Q84" s="4"/>
    </row>
    <row r="85" spans="1:17" s="1" customFormat="1" ht="12" x14ac:dyDescent="0.2">
      <c r="B85" s="2"/>
      <c r="C85" s="2"/>
      <c r="D85" s="448"/>
      <c r="Q85" s="4"/>
    </row>
    <row r="86" spans="1:17" s="1" customFormat="1" ht="12" x14ac:dyDescent="0.2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75" x14ac:dyDescent="0.25">
      <c r="F88" s="41" t="s">
        <v>191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thickBot="1" x14ac:dyDescent="0.25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thickBot="1" x14ac:dyDescent="0.25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">
      <c r="B99" s="2"/>
      <c r="C99" s="2"/>
      <c r="D99" s="448"/>
      <c r="Q99" s="4"/>
    </row>
    <row r="100" spans="1:17" s="1" customFormat="1" ht="12" x14ac:dyDescent="0.2">
      <c r="B100" s="2"/>
      <c r="C100" s="2"/>
      <c r="D100" s="448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A2" sqref="A2:XFD10"/>
    </sheetView>
  </sheetViews>
  <sheetFormatPr baseColWidth="10" defaultRowHeight="12.75" x14ac:dyDescent="0.2"/>
  <cols>
    <col min="1" max="1" width="4.85546875" customWidth="1"/>
    <col min="2" max="2" width="10" customWidth="1"/>
    <col min="3" max="3" width="20.42578125" bestFit="1" customWidth="1"/>
    <col min="4" max="4" width="17.140625" customWidth="1"/>
    <col min="5" max="5" width="16.140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526">
        <v>2026072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5" x14ac:dyDescent="0.25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5" x14ac:dyDescent="0.25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5" x14ac:dyDescent="0.25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.75" thickBot="1" x14ac:dyDescent="0.3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5" x14ac:dyDescent="0.25">
      <c r="B7" t="s">
        <v>1</v>
      </c>
      <c r="C7" s="545" t="s">
        <v>339</v>
      </c>
      <c r="D7" s="546">
        <v>68144618192</v>
      </c>
      <c r="E7" s="533">
        <v>68213380915</v>
      </c>
      <c r="F7" s="534" t="b">
        <v>1</v>
      </c>
      <c r="G7" s="143"/>
      <c r="H7" s="143"/>
      <c r="I7" s="143"/>
    </row>
    <row r="8" spans="2:9" ht="15" x14ac:dyDescent="0.25">
      <c r="C8" s="545" t="s">
        <v>326</v>
      </c>
      <c r="D8" s="546">
        <v>28645323</v>
      </c>
      <c r="E8" s="758"/>
      <c r="F8" s="534"/>
      <c r="G8" s="143"/>
      <c r="H8" s="143"/>
      <c r="I8" s="143"/>
    </row>
    <row r="9" spans="2:9" ht="15" x14ac:dyDescent="0.25">
      <c r="B9" t="s">
        <v>1</v>
      </c>
      <c r="C9" s="545" t="s">
        <v>205</v>
      </c>
      <c r="D9" s="546">
        <v>40117400</v>
      </c>
      <c r="E9" s="531"/>
      <c r="F9" s="532" t="b">
        <v>1</v>
      </c>
      <c r="G9" s="143"/>
      <c r="H9" s="143"/>
      <c r="I9" s="143"/>
    </row>
    <row r="10" spans="2:9" ht="15.75" thickBot="1" x14ac:dyDescent="0.3">
      <c r="C10" s="547" t="s">
        <v>206</v>
      </c>
      <c r="D10" s="535">
        <v>4284569052</v>
      </c>
      <c r="E10" s="535">
        <v>4284569052</v>
      </c>
      <c r="F10" s="536">
        <v>72497949967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2026-10-19T02:11:33Z</dcterms:modified>
</cp:coreProperties>
</file>